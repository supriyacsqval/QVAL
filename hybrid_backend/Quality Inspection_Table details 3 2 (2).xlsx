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ganesh.govindaraj\Desktop\"/>
    </mc:Choice>
  </mc:AlternateContent>
  <xr:revisionPtr revIDLastSave="0" documentId="8_{F72F30CE-D534-40D6-B230-D8471AD3B43E}" xr6:coauthVersionLast="47" xr6:coauthVersionMax="47" xr10:uidLastSave="{00000000-0000-0000-0000-000000000000}"/>
  <bookViews>
    <workbookView xWindow="-110" yWindow="-110" windowWidth="19420" windowHeight="10300" tabRatio="844" activeTab="10" xr2:uid="{255495AE-FD80-4A85-AFBE-1F67A2FC29E2}"/>
  </bookViews>
  <sheets>
    <sheet name="QALS - Inspection Lot Record" sheetId="1" r:id="rId1"/>
    <sheet name="QAMR - Characteristic Recording" sheetId="7" r:id="rId2"/>
    <sheet name="QAMR - Old" sheetId="2" state="hidden" r:id="rId3"/>
    <sheet name="CAPA" sheetId="12" r:id="rId4"/>
    <sheet name="CAPA-old" sheetId="10" state="hidden" r:id="rId5"/>
    <sheet name="Reference CAPA - Test data" sheetId="11" state="hidden" r:id="rId6"/>
    <sheet name="CAPA-backup" sheetId="8" state="hidden" r:id="rId7"/>
    <sheet name="Defect Notification -old" sheetId="3" state="hidden" r:id="rId8"/>
    <sheet name="CAPA Effectiveness-new" sheetId="9" state="hidden" r:id="rId9"/>
    <sheet name="CAPA Effectiveness-old" sheetId="4" state="hidden" r:id="rId10"/>
    <sheet name="Data &amp; Feature mapping" sheetId="13" r:id="rId11"/>
    <sheet name="Queries" sheetId="14" r:id="rId12"/>
  </sheets>
  <definedNames>
    <definedName name="_xlnm._FilterDatabase" localSheetId="3" hidden="1">CAPA!$A$1:$I$1</definedName>
    <definedName name="_xlnm._FilterDatabase" localSheetId="6" hidden="1">'CAPA-backup'!$A$1:$G$377</definedName>
    <definedName name="_xlnm._FilterDatabase" localSheetId="4" hidden="1">'CAPA-old'!$A$1:$I$377</definedName>
    <definedName name="_xlnm._FilterDatabase" localSheetId="7" hidden="1">'Defect Notification -old'!$A$1:$F$18</definedName>
    <definedName name="_xlnm._FilterDatabase" localSheetId="0" hidden="1">'QALS - Inspection Lot Record'!$A$1:$P$361</definedName>
    <definedName name="_xlnm._FilterDatabase" localSheetId="1" hidden="1">'QAMR - Characteristic Recording'!$A$1:$Q$2881</definedName>
    <definedName name="_xlnm._FilterDatabase" localSheetId="2" hidden="1">'QAMR - Old'!$A$1:$Q$65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7" i="12" l="1"/>
  <c r="H376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2" i="10"/>
  <c r="I2" i="8" a="1"/>
  <c r="I2" i="8" s="1"/>
  <c r="E360" i="1"/>
  <c r="E359" i="1" s="1"/>
  <c r="E361" i="1"/>
  <c r="G2875" i="7" s="1"/>
  <c r="I3" i="8" a="1"/>
  <c r="I3" i="8" s="1"/>
  <c r="I4" i="8" a="1"/>
  <c r="I4" i="8" s="1"/>
  <c r="I5" i="8" a="1"/>
  <c r="I5" i="8" s="1"/>
  <c r="I6" i="8" a="1"/>
  <c r="I6" i="8" s="1"/>
  <c r="I7" i="8" a="1"/>
  <c r="I7" i="8" s="1"/>
  <c r="I8" i="8" a="1"/>
  <c r="I8" i="8" s="1"/>
  <c r="I9" i="8" a="1"/>
  <c r="I9" i="8" s="1"/>
  <c r="I10" i="8" a="1"/>
  <c r="I10" i="8" s="1"/>
  <c r="I11" i="8" a="1"/>
  <c r="I11" i="8" s="1"/>
  <c r="I12" i="8" a="1"/>
  <c r="I12" i="8" s="1"/>
  <c r="I13" i="8" a="1"/>
  <c r="I13" i="8" s="1"/>
  <c r="I14" i="8" a="1"/>
  <c r="I14" i="8" s="1"/>
  <c r="I15" i="8" a="1"/>
  <c r="I15" i="8" s="1"/>
  <c r="I16" i="8" a="1"/>
  <c r="I16" i="8" s="1"/>
  <c r="I17" i="8" a="1"/>
  <c r="I17" i="8" s="1"/>
  <c r="I18" i="8" a="1"/>
  <c r="I18" i="8" s="1"/>
  <c r="I19" i="8" a="1"/>
  <c r="I19" i="8" s="1"/>
  <c r="I20" i="8" a="1"/>
  <c r="I20" i="8" s="1"/>
  <c r="I21" i="8" a="1"/>
  <c r="I21" i="8" s="1"/>
  <c r="I22" i="8" a="1"/>
  <c r="I22" i="8" s="1"/>
  <c r="I23" i="8" a="1"/>
  <c r="I23" i="8" s="1"/>
  <c r="I24" i="8" a="1"/>
  <c r="I24" i="8" s="1"/>
  <c r="I25" i="8" a="1"/>
  <c r="I25" i="8" s="1"/>
  <c r="I26" i="8" a="1"/>
  <c r="I26" i="8" s="1"/>
  <c r="I27" i="8" a="1"/>
  <c r="I27" i="8" s="1"/>
  <c r="I28" i="8" a="1"/>
  <c r="I28" i="8" s="1"/>
  <c r="I29" i="8" a="1"/>
  <c r="I29" i="8" s="1"/>
  <c r="I30" i="8" a="1"/>
  <c r="I30" i="8" s="1"/>
  <c r="I31" i="8" a="1"/>
  <c r="I31" i="8" s="1"/>
  <c r="I32" i="8" a="1"/>
  <c r="I32" i="8" s="1"/>
  <c r="I33" i="8" a="1"/>
  <c r="I33" i="8" s="1"/>
  <c r="I34" i="8" a="1"/>
  <c r="I34" i="8" s="1"/>
  <c r="I35" i="8" a="1"/>
  <c r="I35" i="8" s="1"/>
  <c r="I36" i="8" a="1"/>
  <c r="I36" i="8" s="1"/>
  <c r="I37" i="8" a="1"/>
  <c r="I37" i="8" s="1"/>
  <c r="I38" i="8" a="1"/>
  <c r="I38" i="8" s="1"/>
  <c r="I39" i="8" a="1"/>
  <c r="I39" i="8" s="1"/>
  <c r="I40" i="8" a="1"/>
  <c r="I40" i="8" s="1"/>
  <c r="I41" i="8" a="1"/>
  <c r="I41" i="8" s="1"/>
  <c r="I42" i="8" a="1"/>
  <c r="I42" i="8" s="1"/>
  <c r="I43" i="8" a="1"/>
  <c r="I43" i="8" s="1"/>
  <c r="I44" i="8" a="1"/>
  <c r="I44" i="8" s="1"/>
  <c r="I45" i="8" a="1"/>
  <c r="I45" i="8" s="1"/>
  <c r="I46" i="8" a="1"/>
  <c r="I46" i="8" s="1"/>
  <c r="I47" i="8" a="1"/>
  <c r="I47" i="8" s="1"/>
  <c r="I48" i="8" a="1"/>
  <c r="I48" i="8" s="1"/>
  <c r="I49" i="8" a="1"/>
  <c r="I49" i="8" s="1"/>
  <c r="I50" i="8" a="1"/>
  <c r="I50" i="8" s="1"/>
  <c r="I51" i="8" a="1"/>
  <c r="I51" i="8" s="1"/>
  <c r="I52" i="8" a="1"/>
  <c r="I52" i="8" s="1"/>
  <c r="I53" i="8" a="1"/>
  <c r="I53" i="8" s="1"/>
  <c r="I54" i="8" a="1"/>
  <c r="I54" i="8" s="1"/>
  <c r="I55" i="8" a="1"/>
  <c r="I55" i="8" s="1"/>
  <c r="I56" i="8" a="1"/>
  <c r="I56" i="8" s="1"/>
  <c r="I57" i="8" a="1"/>
  <c r="I57" i="8" s="1"/>
  <c r="I58" i="8" a="1"/>
  <c r="I58" i="8" s="1"/>
  <c r="I59" i="8" a="1"/>
  <c r="I59" i="8" s="1"/>
  <c r="I60" i="8" a="1"/>
  <c r="I60" i="8" s="1"/>
  <c r="I61" i="8" a="1"/>
  <c r="I61" i="8" s="1"/>
  <c r="I62" i="8" a="1"/>
  <c r="I62" i="8" s="1"/>
  <c r="I63" i="8" a="1"/>
  <c r="I63" i="8" s="1"/>
  <c r="I64" i="8" a="1"/>
  <c r="I64" i="8" s="1"/>
  <c r="I65" i="8" a="1"/>
  <c r="I65" i="8" s="1"/>
  <c r="I66" i="8" a="1"/>
  <c r="I66" i="8" s="1"/>
  <c r="I67" i="8" a="1"/>
  <c r="I67" i="8" s="1"/>
  <c r="I68" i="8" a="1"/>
  <c r="I68" i="8" s="1"/>
  <c r="I69" i="8" a="1"/>
  <c r="I69" i="8" s="1"/>
  <c r="I70" i="8" a="1"/>
  <c r="I70" i="8" s="1"/>
  <c r="I71" i="8" a="1"/>
  <c r="I71" i="8" s="1"/>
  <c r="I72" i="8" a="1"/>
  <c r="I72" i="8" s="1"/>
  <c r="I73" i="8" a="1"/>
  <c r="I73" i="8" s="1"/>
  <c r="I74" i="8" a="1"/>
  <c r="I74" i="8" s="1"/>
  <c r="I75" i="8" a="1"/>
  <c r="I75" i="8" s="1"/>
  <c r="I76" i="8" a="1"/>
  <c r="I76" i="8" s="1"/>
  <c r="I77" i="8" a="1"/>
  <c r="I77" i="8" s="1"/>
  <c r="I78" i="8" a="1"/>
  <c r="I78" i="8" s="1"/>
  <c r="I79" i="8" a="1"/>
  <c r="I79" i="8" s="1"/>
  <c r="I80" i="8" a="1"/>
  <c r="I80" i="8" s="1"/>
  <c r="I81" i="8" a="1"/>
  <c r="I81" i="8" s="1"/>
  <c r="I82" i="8" a="1"/>
  <c r="I82" i="8" s="1"/>
  <c r="I83" i="8" a="1"/>
  <c r="I83" i="8" s="1"/>
  <c r="I84" i="8" a="1"/>
  <c r="I84" i="8" s="1"/>
  <c r="I85" i="8" a="1"/>
  <c r="I85" i="8" s="1"/>
  <c r="I86" i="8" a="1"/>
  <c r="I86" i="8" s="1"/>
  <c r="I87" i="8" a="1"/>
  <c r="I87" i="8" s="1"/>
  <c r="I88" i="8" a="1"/>
  <c r="I88" i="8" s="1"/>
  <c r="I89" i="8" a="1"/>
  <c r="I89" i="8" s="1"/>
  <c r="I90" i="8" a="1"/>
  <c r="I90" i="8" s="1"/>
  <c r="I91" i="8" a="1"/>
  <c r="I91" i="8" s="1"/>
  <c r="I92" i="8" a="1"/>
  <c r="I92" i="8" s="1"/>
  <c r="I93" i="8" a="1"/>
  <c r="I93" i="8" s="1"/>
  <c r="I94" i="8" a="1"/>
  <c r="I94" i="8" s="1"/>
  <c r="I95" i="8" a="1"/>
  <c r="I95" i="8" s="1"/>
  <c r="I96" i="8" a="1"/>
  <c r="I96" i="8" s="1"/>
  <c r="I97" i="8" a="1"/>
  <c r="I97" i="8" s="1"/>
  <c r="I98" i="8" a="1"/>
  <c r="I98" i="8" s="1"/>
  <c r="I99" i="8" a="1"/>
  <c r="I99" i="8" s="1"/>
  <c r="I100" i="8" a="1"/>
  <c r="I100" i="8" s="1"/>
  <c r="I101" i="8" a="1"/>
  <c r="I101" i="8" s="1"/>
  <c r="I102" i="8" a="1"/>
  <c r="I102" i="8" s="1"/>
  <c r="I103" i="8" a="1"/>
  <c r="I103" i="8" s="1"/>
  <c r="I104" i="8" a="1"/>
  <c r="I104" i="8" s="1"/>
  <c r="I105" i="8" a="1"/>
  <c r="I105" i="8" s="1"/>
  <c r="I106" i="8" a="1"/>
  <c r="I106" i="8" s="1"/>
  <c r="I107" i="8" a="1"/>
  <c r="I107" i="8" s="1"/>
  <c r="I108" i="8" a="1"/>
  <c r="I108" i="8" s="1"/>
  <c r="I109" i="8" a="1"/>
  <c r="I109" i="8" s="1"/>
  <c r="I110" i="8" a="1"/>
  <c r="I110" i="8" s="1"/>
  <c r="I111" i="8" a="1"/>
  <c r="I111" i="8" s="1"/>
  <c r="I112" i="8" a="1"/>
  <c r="I112" i="8" s="1"/>
  <c r="I113" i="8" a="1"/>
  <c r="I113" i="8" s="1"/>
  <c r="I114" i="8" a="1"/>
  <c r="I114" i="8" s="1"/>
  <c r="I115" i="8" a="1"/>
  <c r="I115" i="8" s="1"/>
  <c r="I116" i="8" a="1"/>
  <c r="I116" i="8" s="1"/>
  <c r="I117" i="8" a="1"/>
  <c r="I117" i="8" s="1"/>
  <c r="I118" i="8" a="1"/>
  <c r="I118" i="8" s="1"/>
  <c r="I119" i="8" a="1"/>
  <c r="I119" i="8" s="1"/>
  <c r="I120" i="8" a="1"/>
  <c r="I120" i="8" s="1"/>
  <c r="I121" i="8" a="1"/>
  <c r="I121" i="8" s="1"/>
  <c r="I122" i="8" a="1"/>
  <c r="I122" i="8" s="1"/>
  <c r="I123" i="8" a="1"/>
  <c r="I123" i="8" s="1"/>
  <c r="I124" i="8" a="1"/>
  <c r="I124" i="8" s="1"/>
  <c r="I125" i="8" a="1"/>
  <c r="I125" i="8" s="1"/>
  <c r="I126" i="8" a="1"/>
  <c r="I126" i="8" s="1"/>
  <c r="I127" i="8" a="1"/>
  <c r="I127" i="8" s="1"/>
  <c r="I128" i="8" a="1"/>
  <c r="I128" i="8" s="1"/>
  <c r="I129" i="8" a="1"/>
  <c r="I129" i="8" s="1"/>
  <c r="I130" i="8" a="1"/>
  <c r="I130" i="8" s="1"/>
  <c r="I131" i="8" a="1"/>
  <c r="I131" i="8" s="1"/>
  <c r="I132" i="8" a="1"/>
  <c r="I132" i="8" s="1"/>
  <c r="I133" i="8" a="1"/>
  <c r="I133" i="8" s="1"/>
  <c r="I134" i="8" a="1"/>
  <c r="I134" i="8" s="1"/>
  <c r="I135" i="8" a="1"/>
  <c r="I135" i="8" s="1"/>
  <c r="I136" i="8" a="1"/>
  <c r="I136" i="8" s="1"/>
  <c r="I137" i="8" a="1"/>
  <c r="I137" i="8" s="1"/>
  <c r="I138" i="8" a="1"/>
  <c r="I138" i="8" s="1"/>
  <c r="I139" i="8" a="1"/>
  <c r="I139" i="8" s="1"/>
  <c r="I140" i="8" a="1"/>
  <c r="I140" i="8" s="1"/>
  <c r="I141" i="8" a="1"/>
  <c r="I141" i="8" s="1"/>
  <c r="I142" i="8" a="1"/>
  <c r="I142" i="8" s="1"/>
  <c r="I143" i="8" a="1"/>
  <c r="I143" i="8" s="1"/>
  <c r="I144" i="8" a="1"/>
  <c r="I144" i="8" s="1"/>
  <c r="I145" i="8" a="1"/>
  <c r="I145" i="8" s="1"/>
  <c r="I146" i="8" a="1"/>
  <c r="I146" i="8" s="1"/>
  <c r="I147" i="8" a="1"/>
  <c r="I147" i="8" s="1"/>
  <c r="I148" i="8" a="1"/>
  <c r="I148" i="8" s="1"/>
  <c r="I149" i="8" a="1"/>
  <c r="I149" i="8" s="1"/>
  <c r="I150" i="8" a="1"/>
  <c r="I150" i="8" s="1"/>
  <c r="I151" i="8" a="1"/>
  <c r="I151" i="8" s="1"/>
  <c r="I152" i="8" a="1"/>
  <c r="I152" i="8" s="1"/>
  <c r="I153" i="8" a="1"/>
  <c r="I153" i="8" s="1"/>
  <c r="I154" i="8" a="1"/>
  <c r="I154" i="8" s="1"/>
  <c r="I155" i="8" a="1"/>
  <c r="I155" i="8" s="1"/>
  <c r="I156" i="8" a="1"/>
  <c r="I156" i="8" s="1"/>
  <c r="I157" i="8" a="1"/>
  <c r="I157" i="8" s="1"/>
  <c r="I158" i="8" a="1"/>
  <c r="I158" i="8" s="1"/>
  <c r="I159" i="8" a="1"/>
  <c r="I159" i="8" s="1"/>
  <c r="I160" i="8" a="1"/>
  <c r="I160" i="8" s="1"/>
  <c r="I161" i="8" a="1"/>
  <c r="I161" i="8" s="1"/>
  <c r="I162" i="8" a="1"/>
  <c r="I162" i="8" s="1"/>
  <c r="I163" i="8" a="1"/>
  <c r="I163" i="8" s="1"/>
  <c r="I164" i="8" a="1"/>
  <c r="I164" i="8" s="1"/>
  <c r="I165" i="8" a="1"/>
  <c r="I165" i="8" s="1"/>
  <c r="I166" i="8" a="1"/>
  <c r="I166" i="8" s="1"/>
  <c r="I167" i="8" a="1"/>
  <c r="I167" i="8" s="1"/>
  <c r="I168" i="8" a="1"/>
  <c r="I168" i="8" s="1"/>
  <c r="I169" i="8" a="1"/>
  <c r="I169" i="8" s="1"/>
  <c r="I170" i="8" a="1"/>
  <c r="I170" i="8" s="1"/>
  <c r="I171" i="8" a="1"/>
  <c r="I171" i="8" s="1"/>
  <c r="I172" i="8" a="1"/>
  <c r="I172" i="8" s="1"/>
  <c r="I173" i="8" a="1"/>
  <c r="I173" i="8" s="1"/>
  <c r="I174" i="8" a="1"/>
  <c r="I174" i="8" s="1"/>
  <c r="I175" i="8" a="1"/>
  <c r="I175" i="8" s="1"/>
  <c r="I176" i="8" a="1"/>
  <c r="I176" i="8" s="1"/>
  <c r="I177" i="8" a="1"/>
  <c r="I177" i="8" s="1"/>
  <c r="I178" i="8" a="1"/>
  <c r="I178" i="8" s="1"/>
  <c r="I179" i="8" a="1"/>
  <c r="I179" i="8" s="1"/>
  <c r="I180" i="8" a="1"/>
  <c r="I180" i="8" s="1"/>
  <c r="I181" i="8" a="1"/>
  <c r="I181" i="8" s="1"/>
  <c r="I182" i="8" a="1"/>
  <c r="I182" i="8" s="1"/>
  <c r="I183" i="8" a="1"/>
  <c r="I183" i="8" s="1"/>
  <c r="I184" i="8" a="1"/>
  <c r="I184" i="8" s="1"/>
  <c r="I185" i="8" a="1"/>
  <c r="I185" i="8" s="1"/>
  <c r="I186" i="8" a="1"/>
  <c r="I186" i="8" s="1"/>
  <c r="I187" i="8" a="1"/>
  <c r="I187" i="8" s="1"/>
  <c r="I188" i="8" a="1"/>
  <c r="I188" i="8" s="1"/>
  <c r="I189" i="8" a="1"/>
  <c r="I189" i="8" s="1"/>
  <c r="I190" i="8" a="1"/>
  <c r="I190" i="8" s="1"/>
  <c r="I191" i="8" a="1"/>
  <c r="I191" i="8" s="1"/>
  <c r="I192" i="8" a="1"/>
  <c r="I192" i="8" s="1"/>
  <c r="I193" i="8" a="1"/>
  <c r="I193" i="8" s="1"/>
  <c r="I194" i="8" a="1"/>
  <c r="I194" i="8" s="1"/>
  <c r="I195" i="8" a="1"/>
  <c r="I195" i="8" s="1"/>
  <c r="I196" i="8" a="1"/>
  <c r="I196" i="8" s="1"/>
  <c r="I197" i="8" a="1"/>
  <c r="I197" i="8" s="1"/>
  <c r="I198" i="8" a="1"/>
  <c r="I198" i="8" s="1"/>
  <c r="I199" i="8" a="1"/>
  <c r="I199" i="8" s="1"/>
  <c r="I200" i="8" a="1"/>
  <c r="I200" i="8" s="1"/>
  <c r="I201" i="8" a="1"/>
  <c r="I201" i="8" s="1"/>
  <c r="I202" i="8" a="1"/>
  <c r="I202" i="8" s="1"/>
  <c r="I203" i="8" a="1"/>
  <c r="I203" i="8" s="1"/>
  <c r="I204" i="8" a="1"/>
  <c r="I204" i="8" s="1"/>
  <c r="I205" i="8" a="1"/>
  <c r="I205" i="8" s="1"/>
  <c r="I206" i="8" a="1"/>
  <c r="I206" i="8" s="1"/>
  <c r="I207" i="8" a="1"/>
  <c r="I207" i="8" s="1"/>
  <c r="I208" i="8" a="1"/>
  <c r="I208" i="8" s="1"/>
  <c r="I209" i="8" a="1"/>
  <c r="I209" i="8" s="1"/>
  <c r="I210" i="8" a="1"/>
  <c r="I210" i="8" s="1"/>
  <c r="I211" i="8" a="1"/>
  <c r="I211" i="8" s="1"/>
  <c r="I212" i="8" a="1"/>
  <c r="I212" i="8" s="1"/>
  <c r="I213" i="8" a="1"/>
  <c r="I213" i="8" s="1"/>
  <c r="I214" i="8" a="1"/>
  <c r="I214" i="8" s="1"/>
  <c r="I215" i="8" a="1"/>
  <c r="I215" i="8" s="1"/>
  <c r="I216" i="8" a="1"/>
  <c r="I216" i="8" s="1"/>
  <c r="I217" i="8" a="1"/>
  <c r="I217" i="8" s="1"/>
  <c r="I218" i="8" a="1"/>
  <c r="I218" i="8" s="1"/>
  <c r="I219" i="8" a="1"/>
  <c r="I219" i="8" s="1"/>
  <c r="I220" i="8" a="1"/>
  <c r="I220" i="8" s="1"/>
  <c r="I221" i="8" a="1"/>
  <c r="I221" i="8" s="1"/>
  <c r="I222" i="8" a="1"/>
  <c r="I222" i="8" s="1"/>
  <c r="I223" i="8" a="1"/>
  <c r="I223" i="8" s="1"/>
  <c r="I224" i="8" a="1"/>
  <c r="I224" i="8" s="1"/>
  <c r="I225" i="8" a="1"/>
  <c r="I225" i="8" s="1"/>
  <c r="I226" i="8" a="1"/>
  <c r="I226" i="8" s="1"/>
  <c r="I227" i="8" a="1"/>
  <c r="I227" i="8" s="1"/>
  <c r="I228" i="8" a="1"/>
  <c r="I228" i="8" s="1"/>
  <c r="I229" i="8" a="1"/>
  <c r="I229" i="8" s="1"/>
  <c r="I230" i="8" a="1"/>
  <c r="I230" i="8" s="1"/>
  <c r="I231" i="8" a="1"/>
  <c r="I231" i="8" s="1"/>
  <c r="I232" i="8" a="1"/>
  <c r="I232" i="8" s="1"/>
  <c r="I233" i="8" a="1"/>
  <c r="I233" i="8" s="1"/>
  <c r="I234" i="8" a="1"/>
  <c r="I234" i="8" s="1"/>
  <c r="I235" i="8" a="1"/>
  <c r="I235" i="8" s="1"/>
  <c r="I236" i="8" a="1"/>
  <c r="I236" i="8" s="1"/>
  <c r="I237" i="8" a="1"/>
  <c r="I237" i="8" s="1"/>
  <c r="I238" i="8" a="1"/>
  <c r="I238" i="8" s="1"/>
  <c r="I239" i="8" a="1"/>
  <c r="I239" i="8" s="1"/>
  <c r="I240" i="8" a="1"/>
  <c r="I240" i="8" s="1"/>
  <c r="I241" i="8" a="1"/>
  <c r="I241" i="8" s="1"/>
  <c r="I242" i="8" a="1"/>
  <c r="I242" i="8" s="1"/>
  <c r="I243" i="8" a="1"/>
  <c r="I243" i="8" s="1"/>
  <c r="I244" i="8" a="1"/>
  <c r="I244" i="8" s="1"/>
  <c r="I245" i="8" a="1"/>
  <c r="I245" i="8" s="1"/>
  <c r="I246" i="8" a="1"/>
  <c r="I246" i="8" s="1"/>
  <c r="I247" i="8" a="1"/>
  <c r="I247" i="8" s="1"/>
  <c r="I248" i="8" a="1"/>
  <c r="I248" i="8" s="1"/>
  <c r="I249" i="8" a="1"/>
  <c r="I249" i="8" s="1"/>
  <c r="I250" i="8" a="1"/>
  <c r="I250" i="8" s="1"/>
  <c r="I251" i="8" a="1"/>
  <c r="I251" i="8" s="1"/>
  <c r="I252" i="8" a="1"/>
  <c r="I252" i="8" s="1"/>
  <c r="I253" i="8" a="1"/>
  <c r="I253" i="8" s="1"/>
  <c r="I254" i="8" a="1"/>
  <c r="I254" i="8" s="1"/>
  <c r="I255" i="8" a="1"/>
  <c r="I255" i="8" s="1"/>
  <c r="I256" i="8" a="1"/>
  <c r="I256" i="8" s="1"/>
  <c r="I257" i="8" a="1"/>
  <c r="I257" i="8" s="1"/>
  <c r="I258" i="8" a="1"/>
  <c r="I258" i="8" s="1"/>
  <c r="I259" i="8" a="1"/>
  <c r="I259" i="8" s="1"/>
  <c r="I260" i="8" a="1"/>
  <c r="I260" i="8" s="1"/>
  <c r="I261" i="8" a="1"/>
  <c r="I261" i="8" s="1"/>
  <c r="I262" i="8" a="1"/>
  <c r="I262" i="8" s="1"/>
  <c r="I263" i="8" a="1"/>
  <c r="I263" i="8" s="1"/>
  <c r="I264" i="8" a="1"/>
  <c r="I264" i="8" s="1"/>
  <c r="I265" i="8" a="1"/>
  <c r="I265" i="8" s="1"/>
  <c r="I266" i="8" a="1"/>
  <c r="I266" i="8" s="1"/>
  <c r="I267" i="8" a="1"/>
  <c r="I267" i="8" s="1"/>
  <c r="I268" i="8" a="1"/>
  <c r="I268" i="8" s="1"/>
  <c r="I269" i="8" a="1"/>
  <c r="I269" i="8" s="1"/>
  <c r="I270" i="8" a="1"/>
  <c r="I270" i="8" s="1"/>
  <c r="I271" i="8" a="1"/>
  <c r="I271" i="8" s="1"/>
  <c r="I272" i="8" a="1"/>
  <c r="I272" i="8" s="1"/>
  <c r="I273" i="8" a="1"/>
  <c r="I273" i="8" s="1"/>
  <c r="I274" i="8" a="1"/>
  <c r="I274" i="8" s="1"/>
  <c r="I275" i="8" a="1"/>
  <c r="I275" i="8" s="1"/>
  <c r="I276" i="8" a="1"/>
  <c r="I276" i="8" s="1"/>
  <c r="I277" i="8" a="1"/>
  <c r="I277" i="8" s="1"/>
  <c r="I278" i="8" a="1"/>
  <c r="I278" i="8" s="1"/>
  <c r="I279" i="8" a="1"/>
  <c r="I279" i="8" s="1"/>
  <c r="I280" i="8" a="1"/>
  <c r="I280" i="8" s="1"/>
  <c r="I281" i="8" a="1"/>
  <c r="I281" i="8" s="1"/>
  <c r="I282" i="8" a="1"/>
  <c r="I282" i="8" s="1"/>
  <c r="I283" i="8" a="1"/>
  <c r="I283" i="8" s="1"/>
  <c r="I284" i="8" a="1"/>
  <c r="I284" i="8" s="1"/>
  <c r="I285" i="8" a="1"/>
  <c r="I285" i="8" s="1"/>
  <c r="I286" i="8" a="1"/>
  <c r="I286" i="8" s="1"/>
  <c r="I287" i="8" a="1"/>
  <c r="I287" i="8" s="1"/>
  <c r="I288" i="8" a="1"/>
  <c r="I288" i="8" s="1"/>
  <c r="I289" i="8" a="1"/>
  <c r="I289" i="8" s="1"/>
  <c r="I290" i="8" a="1"/>
  <c r="I290" i="8" s="1"/>
  <c r="I291" i="8" a="1"/>
  <c r="I291" i="8" s="1"/>
  <c r="I292" i="8" a="1"/>
  <c r="I292" i="8" s="1"/>
  <c r="I293" i="8" a="1"/>
  <c r="I293" i="8" s="1"/>
  <c r="I294" i="8" a="1"/>
  <c r="I294" i="8" s="1"/>
  <c r="I295" i="8" a="1"/>
  <c r="I295" i="8" s="1"/>
  <c r="I296" i="8" a="1"/>
  <c r="I296" i="8" s="1"/>
  <c r="I297" i="8" a="1"/>
  <c r="I297" i="8" s="1"/>
  <c r="I298" i="8" a="1"/>
  <c r="I298" i="8" s="1"/>
  <c r="I299" i="8" a="1"/>
  <c r="I299" i="8" s="1"/>
  <c r="I300" i="8" a="1"/>
  <c r="I300" i="8" s="1"/>
  <c r="I301" i="8" a="1"/>
  <c r="I301" i="8" s="1"/>
  <c r="I302" i="8" a="1"/>
  <c r="I302" i="8" s="1"/>
  <c r="I303" i="8" a="1"/>
  <c r="I303" i="8" s="1"/>
  <c r="I304" i="8" a="1"/>
  <c r="I304" i="8" s="1"/>
  <c r="I305" i="8" a="1"/>
  <c r="I305" i="8" s="1"/>
  <c r="I306" i="8" a="1"/>
  <c r="I306" i="8" s="1"/>
  <c r="I307" i="8" a="1"/>
  <c r="I307" i="8" s="1"/>
  <c r="I308" i="8" a="1"/>
  <c r="I308" i="8" s="1"/>
  <c r="I309" i="8" a="1"/>
  <c r="I309" i="8" s="1"/>
  <c r="I310" i="8" a="1"/>
  <c r="I310" i="8" s="1"/>
  <c r="I311" i="8" a="1"/>
  <c r="I311" i="8" s="1"/>
  <c r="I312" i="8" a="1"/>
  <c r="I312" i="8" s="1"/>
  <c r="I313" i="8" a="1"/>
  <c r="I313" i="8" s="1"/>
  <c r="I314" i="8" a="1"/>
  <c r="I314" i="8" s="1"/>
  <c r="I315" i="8" a="1"/>
  <c r="I315" i="8" s="1"/>
  <c r="I316" i="8" a="1"/>
  <c r="I316" i="8" s="1"/>
  <c r="I317" i="8" a="1"/>
  <c r="I317" i="8" s="1"/>
  <c r="I318" i="8" a="1"/>
  <c r="I318" i="8" s="1"/>
  <c r="I319" i="8" a="1"/>
  <c r="I319" i="8" s="1"/>
  <c r="I320" i="8" a="1"/>
  <c r="I320" i="8" s="1"/>
  <c r="I321" i="8" a="1"/>
  <c r="I321" i="8" s="1"/>
  <c r="I322" i="8" a="1"/>
  <c r="I322" i="8" s="1"/>
  <c r="I323" i="8" a="1"/>
  <c r="I323" i="8" s="1"/>
  <c r="I324" i="8" a="1"/>
  <c r="I324" i="8" s="1"/>
  <c r="I325" i="8" a="1"/>
  <c r="I325" i="8" s="1"/>
  <c r="I326" i="8" a="1"/>
  <c r="I326" i="8" s="1"/>
  <c r="I327" i="8" a="1"/>
  <c r="I327" i="8" s="1"/>
  <c r="I328" i="8" a="1"/>
  <c r="I328" i="8" s="1"/>
  <c r="I329" i="8" a="1"/>
  <c r="I329" i="8" s="1"/>
  <c r="I330" i="8" a="1"/>
  <c r="I330" i="8" s="1"/>
  <c r="I331" i="8" a="1"/>
  <c r="I331" i="8" s="1"/>
  <c r="I332" i="8" a="1"/>
  <c r="I332" i="8" s="1"/>
  <c r="I333" i="8" a="1"/>
  <c r="I333" i="8" s="1"/>
  <c r="I334" i="8" a="1"/>
  <c r="I334" i="8" s="1"/>
  <c r="I335" i="8" a="1"/>
  <c r="I335" i="8" s="1"/>
  <c r="I336" i="8" a="1"/>
  <c r="I336" i="8" s="1"/>
  <c r="I337" i="8" a="1"/>
  <c r="I337" i="8" s="1"/>
  <c r="I338" i="8" a="1"/>
  <c r="I338" i="8" s="1"/>
  <c r="I339" i="8" a="1"/>
  <c r="I339" i="8" s="1"/>
  <c r="I340" i="8" a="1"/>
  <c r="I340" i="8" s="1"/>
  <c r="I341" i="8" a="1"/>
  <c r="I341" i="8" s="1"/>
  <c r="I342" i="8" a="1"/>
  <c r="I342" i="8" s="1"/>
  <c r="I343" i="8" a="1"/>
  <c r="I343" i="8" s="1"/>
  <c r="I344" i="8" a="1"/>
  <c r="I344" i="8" s="1"/>
  <c r="I345" i="8" a="1"/>
  <c r="I345" i="8" s="1"/>
  <c r="I346" i="8" a="1"/>
  <c r="I346" i="8" s="1"/>
  <c r="I347" i="8" a="1"/>
  <c r="I347" i="8" s="1"/>
  <c r="I348" i="8" a="1"/>
  <c r="I348" i="8" s="1"/>
  <c r="I349" i="8" a="1"/>
  <c r="I349" i="8" s="1"/>
  <c r="I350" i="8" a="1"/>
  <c r="I350" i="8" s="1"/>
  <c r="I351" i="8" a="1"/>
  <c r="I351" i="8" s="1"/>
  <c r="I352" i="8" a="1"/>
  <c r="I352" i="8" s="1"/>
  <c r="I353" i="8" a="1"/>
  <c r="I353" i="8" s="1"/>
  <c r="I354" i="8" a="1"/>
  <c r="I354" i="8" s="1"/>
  <c r="I355" i="8" a="1"/>
  <c r="I355" i="8" s="1"/>
  <c r="I356" i="8" a="1"/>
  <c r="I356" i="8" s="1"/>
  <c r="I357" i="8" a="1"/>
  <c r="I357" i="8" s="1"/>
  <c r="I358" i="8" a="1"/>
  <c r="I358" i="8" s="1"/>
  <c r="I359" i="8" a="1"/>
  <c r="I359" i="8" s="1"/>
  <c r="I360" i="8" a="1"/>
  <c r="I360" i="8" s="1"/>
  <c r="I361" i="8" a="1"/>
  <c r="I361" i="8" s="1"/>
  <c r="I362" i="8" a="1"/>
  <c r="I362" i="8" s="1"/>
  <c r="I363" i="8" a="1"/>
  <c r="I363" i="8" s="1"/>
  <c r="I364" i="8" a="1"/>
  <c r="I364" i="8" s="1"/>
  <c r="I365" i="8" a="1"/>
  <c r="I365" i="8" s="1"/>
  <c r="I366" i="8" a="1"/>
  <c r="I366" i="8" s="1"/>
  <c r="I367" i="8" a="1"/>
  <c r="I367" i="8" s="1"/>
  <c r="I368" i="8" a="1"/>
  <c r="I368" i="8" s="1"/>
  <c r="I369" i="8" a="1"/>
  <c r="I369" i="8" s="1"/>
  <c r="I370" i="8" a="1"/>
  <c r="I370" i="8" s="1"/>
  <c r="I371" i="8" a="1"/>
  <c r="I371" i="8" s="1"/>
  <c r="I372" i="8" a="1"/>
  <c r="I372" i="8" s="1"/>
  <c r="I373" i="8" a="1"/>
  <c r="I373" i="8" s="1"/>
  <c r="I374" i="8" a="1"/>
  <c r="I374" i="8" s="1"/>
  <c r="I375" i="8" a="1"/>
  <c r="I375" i="8" s="1"/>
  <c r="I376" i="8" a="1"/>
  <c r="I376" i="8" s="1"/>
  <c r="I377" i="8" a="1"/>
  <c r="I377" i="8" s="1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O2" i="1" a="1"/>
  <c r="O2" i="1" s="1"/>
  <c r="O3" i="1" a="1"/>
  <c r="O3" i="1" s="1"/>
  <c r="O4" i="1" a="1"/>
  <c r="O4" i="1" s="1"/>
  <c r="C18" i="7" s="1"/>
  <c r="O5" i="1" a="1"/>
  <c r="O5" i="1" s="1"/>
  <c r="C27" i="7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C82" i="7" s="1"/>
  <c r="O13" i="1" a="1"/>
  <c r="O13" i="1" s="1"/>
  <c r="O14" i="1" a="1"/>
  <c r="O14" i="1" s="1"/>
  <c r="O15" i="1" a="1"/>
  <c r="O15" i="1" s="1"/>
  <c r="C106" i="7" s="1"/>
  <c r="O16" i="1" a="1"/>
  <c r="O16" i="1" s="1"/>
  <c r="C114" i="7" s="1"/>
  <c r="O17" i="1" a="1"/>
  <c r="O17" i="1" s="1"/>
  <c r="O18" i="1" a="1"/>
  <c r="O18" i="1" s="1"/>
  <c r="O19" i="1" a="1"/>
  <c r="O19" i="1" s="1"/>
  <c r="O20" i="1" a="1"/>
  <c r="O20" i="1" s="1"/>
  <c r="C146" i="7" s="1"/>
  <c r="O21" i="1" a="1"/>
  <c r="O21" i="1" s="1"/>
  <c r="O22" i="1" a="1"/>
  <c r="O22" i="1" s="1"/>
  <c r="O23" i="1" a="1"/>
  <c r="O23" i="1" s="1"/>
  <c r="C170" i="7" s="1"/>
  <c r="O24" i="1" a="1"/>
  <c r="O24" i="1" s="1"/>
  <c r="C178" i="7" s="1"/>
  <c r="O25" i="1" a="1"/>
  <c r="O25" i="1" s="1"/>
  <c r="O26" i="1" a="1"/>
  <c r="O26" i="1" s="1"/>
  <c r="O27" i="1" a="1"/>
  <c r="O27" i="1" s="1"/>
  <c r="O28" i="1" a="1"/>
  <c r="O28" i="1" s="1"/>
  <c r="C210" i="7" s="1"/>
  <c r="O29" i="1" a="1"/>
  <c r="O29" i="1" s="1"/>
  <c r="O30" i="1" a="1"/>
  <c r="O30" i="1" s="1"/>
  <c r="O31" i="1" a="1"/>
  <c r="O31" i="1" s="1"/>
  <c r="C234" i="7" s="1"/>
  <c r="O32" i="1" a="1"/>
  <c r="O32" i="1" s="1"/>
  <c r="C242" i="7" s="1"/>
  <c r="O33" i="1" a="1"/>
  <c r="O33" i="1" s="1"/>
  <c r="O34" i="1" a="1"/>
  <c r="O34" i="1" s="1"/>
  <c r="O35" i="1" a="1"/>
  <c r="O35" i="1" s="1"/>
  <c r="O36" i="1" a="1"/>
  <c r="O36" i="1" s="1"/>
  <c r="C274" i="7" s="1"/>
  <c r="O37" i="1" a="1"/>
  <c r="O37" i="1" s="1"/>
  <c r="O38" i="1" a="1"/>
  <c r="O38" i="1" s="1"/>
  <c r="O39" i="1" a="1"/>
  <c r="O39" i="1" s="1"/>
  <c r="C298" i="7" s="1"/>
  <c r="O40" i="1" a="1"/>
  <c r="O40" i="1" s="1"/>
  <c r="C306" i="7" s="1"/>
  <c r="O41" i="1" a="1"/>
  <c r="O41" i="1" s="1"/>
  <c r="O42" i="1" a="1"/>
  <c r="O42" i="1" s="1"/>
  <c r="O43" i="1" a="1"/>
  <c r="O43" i="1" s="1"/>
  <c r="O44" i="1" a="1"/>
  <c r="O44" i="1" s="1"/>
  <c r="C338" i="7" s="1"/>
  <c r="O45" i="1" a="1"/>
  <c r="O45" i="1" s="1"/>
  <c r="O46" i="1" a="1"/>
  <c r="O46" i="1" s="1"/>
  <c r="O47" i="1" a="1"/>
  <c r="O47" i="1" s="1"/>
  <c r="C362" i="7" s="1"/>
  <c r="O48" i="1" a="1"/>
  <c r="O48" i="1" s="1"/>
  <c r="C370" i="7" s="1"/>
  <c r="O49" i="1" a="1"/>
  <c r="O49" i="1" s="1"/>
  <c r="O50" i="1" a="1"/>
  <c r="O50" i="1" s="1"/>
  <c r="O51" i="1" a="1"/>
  <c r="O51" i="1" s="1"/>
  <c r="O52" i="1" a="1"/>
  <c r="O52" i="1" s="1"/>
  <c r="C402" i="7" s="1"/>
  <c r="O53" i="1" a="1"/>
  <c r="O53" i="1" s="1"/>
  <c r="O54" i="1" a="1"/>
  <c r="O54" i="1" s="1"/>
  <c r="O55" i="1" a="1"/>
  <c r="O55" i="1" s="1"/>
  <c r="C426" i="7" s="1"/>
  <c r="O56" i="1" a="1"/>
  <c r="O56" i="1" s="1"/>
  <c r="C434" i="7" s="1"/>
  <c r="O57" i="1" a="1"/>
  <c r="O57" i="1" s="1"/>
  <c r="O58" i="1" a="1"/>
  <c r="O58" i="1" s="1"/>
  <c r="C456" i="7" s="1"/>
  <c r="O59" i="1" a="1"/>
  <c r="O59" i="1" s="1"/>
  <c r="O60" i="1" a="1"/>
  <c r="O60" i="1" s="1"/>
  <c r="C466" i="7" s="1"/>
  <c r="O61" i="1" a="1"/>
  <c r="O61" i="1" s="1"/>
  <c r="C475" i="7" s="1"/>
  <c r="O62" i="1" a="1"/>
  <c r="O62" i="1" s="1"/>
  <c r="O63" i="1" a="1"/>
  <c r="O63" i="1" s="1"/>
  <c r="C490" i="7" s="1"/>
  <c r="O64" i="1" a="1"/>
  <c r="O64" i="1" s="1"/>
  <c r="C498" i="7" s="1"/>
  <c r="O65" i="1" a="1"/>
  <c r="O65" i="1" s="1"/>
  <c r="O66" i="1" a="1"/>
  <c r="O66" i="1" s="1"/>
  <c r="O67" i="1" a="1"/>
  <c r="O67" i="1" s="1"/>
  <c r="O68" i="1" a="1"/>
  <c r="O68" i="1" s="1"/>
  <c r="C530" i="7" s="1"/>
  <c r="O69" i="1" a="1"/>
  <c r="O69" i="1" s="1"/>
  <c r="O70" i="1" a="1"/>
  <c r="O70" i="1" s="1"/>
  <c r="O71" i="1" a="1"/>
  <c r="O71" i="1" s="1"/>
  <c r="C556" i="7" s="1"/>
  <c r="O72" i="1" a="1"/>
  <c r="O72" i="1" s="1"/>
  <c r="C562" i="7" s="1"/>
  <c r="O73" i="1" a="1"/>
  <c r="O73" i="1" s="1"/>
  <c r="O74" i="1" a="1"/>
  <c r="O74" i="1" s="1"/>
  <c r="O75" i="1" a="1"/>
  <c r="O75" i="1" s="1"/>
  <c r="O76" i="1" a="1"/>
  <c r="O76" i="1" s="1"/>
  <c r="C594" i="7" s="1"/>
  <c r="O77" i="1" a="1"/>
  <c r="O77" i="1" s="1"/>
  <c r="O78" i="1" a="1"/>
  <c r="O78" i="1" s="1"/>
  <c r="O79" i="1" a="1"/>
  <c r="O79" i="1" s="1"/>
  <c r="C618" i="7" s="1"/>
  <c r="O80" i="1" a="1"/>
  <c r="O80" i="1" s="1"/>
  <c r="C626" i="7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C674" i="7" s="1"/>
  <c r="O87" i="1" a="1"/>
  <c r="O87" i="1" s="1"/>
  <c r="C682" i="7" s="1"/>
  <c r="O88" i="1" a="1"/>
  <c r="O88" i="1" s="1"/>
  <c r="C690" i="7" s="1"/>
  <c r="O89" i="1" a="1"/>
  <c r="O89" i="1" s="1"/>
  <c r="O90" i="1" a="1"/>
  <c r="O90" i="1" s="1"/>
  <c r="O91" i="1" a="1"/>
  <c r="O91" i="1" s="1"/>
  <c r="O92" i="1" a="1"/>
  <c r="O92" i="1" s="1"/>
  <c r="C722" i="7" s="1"/>
  <c r="O93" i="1" a="1"/>
  <c r="O93" i="1" s="1"/>
  <c r="O94" i="1" a="1"/>
  <c r="O94" i="1" s="1"/>
  <c r="C740" i="7" s="1"/>
  <c r="O95" i="1" a="1"/>
  <c r="O95" i="1" s="1"/>
  <c r="C746" i="7" s="1"/>
  <c r="O96" i="1" a="1"/>
  <c r="O96" i="1" s="1"/>
  <c r="C754" i="7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C794" i="7" s="1"/>
  <c r="O102" i="1" a="1"/>
  <c r="O102" i="1" s="1"/>
  <c r="C802" i="7" s="1"/>
  <c r="O103" i="1" a="1"/>
  <c r="O103" i="1" s="1"/>
  <c r="C810" i="7" s="1"/>
  <c r="O104" i="1" a="1"/>
  <c r="O104" i="1" s="1"/>
  <c r="C819" i="7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C858" i="7" s="1"/>
  <c r="O110" i="1" a="1"/>
  <c r="O110" i="1" s="1"/>
  <c r="C866" i="7" s="1"/>
  <c r="O111" i="1" a="1"/>
  <c r="O111" i="1" s="1"/>
  <c r="C874" i="7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C922" i="7" s="1"/>
  <c r="O118" i="1" a="1"/>
  <c r="O118" i="1" s="1"/>
  <c r="C930" i="7" s="1"/>
  <c r="O119" i="1" a="1"/>
  <c r="O119" i="1" s="1"/>
  <c r="C938" i="7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C986" i="7" s="1"/>
  <c r="O126" i="1" a="1"/>
  <c r="O126" i="1" s="1"/>
  <c r="C994" i="7" s="1"/>
  <c r="O127" i="1" a="1"/>
  <c r="O127" i="1" s="1"/>
  <c r="C1002" i="7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C1050" i="7" s="1"/>
  <c r="O134" i="1" a="1"/>
  <c r="O134" i="1" s="1"/>
  <c r="C1061" i="7" s="1"/>
  <c r="O135" i="1" a="1"/>
  <c r="O135" i="1" s="1"/>
  <c r="C1068" i="7" s="1"/>
  <c r="O136" i="1" a="1"/>
  <c r="O136" i="1" s="1"/>
  <c r="C1074" i="7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C1138" i="7" s="1"/>
  <c r="O145" i="1" a="1"/>
  <c r="O145" i="1" s="1"/>
  <c r="C1146" i="7" s="1"/>
  <c r="O146" i="1" a="1"/>
  <c r="O146" i="1" s="1"/>
  <c r="O147" i="1" a="1"/>
  <c r="O147" i="1" s="1"/>
  <c r="O148" i="1" a="1"/>
  <c r="O148" i="1" s="1"/>
  <c r="C1170" i="7" s="1"/>
  <c r="O149" i="1" a="1"/>
  <c r="O149" i="1" s="1"/>
  <c r="C1178" i="7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C1252" i="7" s="1"/>
  <c r="O159" i="1" a="1"/>
  <c r="O159" i="1" s="1"/>
  <c r="O160" i="1" a="1"/>
  <c r="O160" i="1" s="1"/>
  <c r="C1266" i="7" s="1"/>
  <c r="O161" i="1" a="1"/>
  <c r="O161" i="1" s="1"/>
  <c r="O162" i="1" a="1"/>
  <c r="O162" i="1" s="1"/>
  <c r="O163" i="1" a="1"/>
  <c r="O163" i="1" s="1"/>
  <c r="O164" i="1" a="1"/>
  <c r="O164" i="1" s="1"/>
  <c r="C1298" i="7" s="1"/>
  <c r="O165" i="1" a="1"/>
  <c r="O165" i="1" s="1"/>
  <c r="C1306" i="7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C1370" i="7" s="1"/>
  <c r="O174" i="1" a="1"/>
  <c r="O174" i="1" s="1"/>
  <c r="O175" i="1" a="1"/>
  <c r="O175" i="1" s="1"/>
  <c r="O176" i="1" a="1"/>
  <c r="O176" i="1" s="1"/>
  <c r="C1394" i="7" s="1"/>
  <c r="O177" i="1" a="1"/>
  <c r="O177" i="1" s="1"/>
  <c r="O178" i="1" a="1"/>
  <c r="O178" i="1" s="1"/>
  <c r="O179" i="1" a="1"/>
  <c r="O179" i="1" s="1"/>
  <c r="O180" i="1" a="1"/>
  <c r="O180" i="1" s="1"/>
  <c r="C1426" i="7" s="1"/>
  <c r="O181" i="1" a="1"/>
  <c r="O181" i="1" s="1"/>
  <c r="C1434" i="7" s="1"/>
  <c r="O182" i="1" a="1"/>
  <c r="O182" i="1" s="1"/>
  <c r="O183" i="1" a="1"/>
  <c r="O183" i="1" s="1"/>
  <c r="O184" i="1" a="1"/>
  <c r="O184" i="1" s="1"/>
  <c r="C1459" i="7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C1498" i="7" s="1"/>
  <c r="O190" i="1" a="1"/>
  <c r="O190" i="1" s="1"/>
  <c r="O191" i="1" a="1"/>
  <c r="O191" i="1" s="1"/>
  <c r="O192" i="1" a="1"/>
  <c r="O192" i="1" s="1"/>
  <c r="C1522" i="7" s="1"/>
  <c r="O193" i="1" a="1"/>
  <c r="O193" i="1" s="1"/>
  <c r="O194" i="1" a="1"/>
  <c r="O194" i="1" s="1"/>
  <c r="O195" i="1" a="1"/>
  <c r="O195" i="1" s="1"/>
  <c r="O196" i="1" a="1"/>
  <c r="O196" i="1" s="1"/>
  <c r="C1554" i="7" s="1"/>
  <c r="O197" i="1" a="1"/>
  <c r="O197" i="1" s="1"/>
  <c r="C1562" i="7" s="1"/>
  <c r="O198" i="1" a="1"/>
  <c r="O198" i="1" s="1"/>
  <c r="O199" i="1" a="1"/>
  <c r="O199" i="1" s="1"/>
  <c r="O200" i="1" a="1"/>
  <c r="O200" i="1" s="1"/>
  <c r="C1587" i="7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C1682" i="7" s="1"/>
  <c r="O213" i="1" a="1"/>
  <c r="O213" i="1" s="1"/>
  <c r="O214" i="1" a="1"/>
  <c r="O214" i="1" s="1"/>
  <c r="O215" i="1" a="1"/>
  <c r="O215" i="1" s="1"/>
  <c r="O216" i="1" a="1"/>
  <c r="O216" i="1" s="1"/>
  <c r="C1715" i="7" s="1"/>
  <c r="O217" i="1" a="1"/>
  <c r="O217" i="1" s="1"/>
  <c r="O218" i="1" a="1"/>
  <c r="O218" i="1" s="1"/>
  <c r="O219" i="1" a="1"/>
  <c r="O219" i="1" s="1"/>
  <c r="O220" i="1" a="1"/>
  <c r="O220" i="1" s="1"/>
  <c r="C1746" i="7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C1810" i="7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C1938" i="7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C2002" i="7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C2194" i="7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C2258" i="7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C2341" i="7" s="1"/>
  <c r="O295" i="1" a="1"/>
  <c r="O295" i="1" s="1"/>
  <c r="O296" i="1" a="1"/>
  <c r="O296" i="1" s="1"/>
  <c r="C2354" i="7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C2397" i="7" s="1"/>
  <c r="O302" i="1" a="1"/>
  <c r="O302" i="1" s="1"/>
  <c r="O303" i="1" a="1"/>
  <c r="O303" i="1" s="1"/>
  <c r="C2412" i="7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C2540" i="7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C2674" i="7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C2739" i="7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C2802" i="7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C2866" i="7" s="1"/>
  <c r="O361" i="1" a="1"/>
  <c r="O361" i="1" s="1"/>
  <c r="F361" i="1"/>
  <c r="F360" i="1"/>
  <c r="I360" i="1" s="1"/>
  <c r="K2873" i="7" s="1"/>
  <c r="M2873" i="7" s="1"/>
  <c r="F359" i="1"/>
  <c r="F358" i="1"/>
  <c r="F357" i="1"/>
  <c r="F356" i="1"/>
  <c r="I356" i="1" s="1"/>
  <c r="K2841" i="7" s="1"/>
  <c r="M2841" i="7" s="1"/>
  <c r="F355" i="1"/>
  <c r="F354" i="1"/>
  <c r="I354" i="1" s="1"/>
  <c r="K354" i="1" s="1"/>
  <c r="F353" i="1"/>
  <c r="F352" i="1"/>
  <c r="I352" i="1" s="1"/>
  <c r="K2809" i="7" s="1"/>
  <c r="M2809" i="7" s="1"/>
  <c r="F351" i="1"/>
  <c r="F350" i="1"/>
  <c r="F349" i="1"/>
  <c r="F348" i="1"/>
  <c r="I348" i="1" s="1"/>
  <c r="K2777" i="7" s="1"/>
  <c r="M2777" i="7" s="1"/>
  <c r="F347" i="1"/>
  <c r="F346" i="1"/>
  <c r="I346" i="1" s="1"/>
  <c r="K346" i="1" s="1"/>
  <c r="F345" i="1"/>
  <c r="F344" i="1"/>
  <c r="I344" i="1" s="1"/>
  <c r="K2745" i="7" s="1"/>
  <c r="M2745" i="7" s="1"/>
  <c r="F343" i="1"/>
  <c r="F342" i="1"/>
  <c r="F341" i="1"/>
  <c r="F340" i="1"/>
  <c r="I340" i="1" s="1"/>
  <c r="K2713" i="7" s="1"/>
  <c r="M2713" i="7" s="1"/>
  <c r="F339" i="1"/>
  <c r="F2705" i="7" s="1"/>
  <c r="I2705" i="7" s="1"/>
  <c r="F338" i="1"/>
  <c r="I338" i="1" s="1"/>
  <c r="K338" i="1" s="1"/>
  <c r="F337" i="1"/>
  <c r="F336" i="1"/>
  <c r="I336" i="1" s="1"/>
  <c r="K2681" i="7" s="1"/>
  <c r="M2681" i="7" s="1"/>
  <c r="F335" i="1"/>
  <c r="F334" i="1"/>
  <c r="F333" i="1"/>
  <c r="F332" i="1"/>
  <c r="I332" i="1" s="1"/>
  <c r="K2645" i="7" s="1"/>
  <c r="M2645" i="7" s="1"/>
  <c r="F331" i="1"/>
  <c r="F330" i="1"/>
  <c r="F329" i="1"/>
  <c r="F328" i="1"/>
  <c r="I328" i="1" s="1"/>
  <c r="K2617" i="7" s="1"/>
  <c r="M2617" i="7" s="1"/>
  <c r="F327" i="1"/>
  <c r="F326" i="1"/>
  <c r="I326" i="1" s="1"/>
  <c r="K2599" i="7" s="1"/>
  <c r="M2599" i="7" s="1"/>
  <c r="F325" i="1"/>
  <c r="F324" i="1"/>
  <c r="I324" i="1" s="1"/>
  <c r="K2581" i="7" s="1"/>
  <c r="M2581" i="7" s="1"/>
  <c r="F323" i="1"/>
  <c r="F322" i="1"/>
  <c r="F321" i="1"/>
  <c r="F320" i="1"/>
  <c r="I320" i="1" s="1"/>
  <c r="K2553" i="7" s="1"/>
  <c r="M2553" i="7" s="1"/>
  <c r="F319" i="1"/>
  <c r="F318" i="1"/>
  <c r="I318" i="1" s="1"/>
  <c r="K2535" i="7" s="1"/>
  <c r="M2535" i="7" s="1"/>
  <c r="F317" i="1"/>
  <c r="F316" i="1"/>
  <c r="I316" i="1" s="1"/>
  <c r="K2517" i="7" s="1"/>
  <c r="M2517" i="7" s="1"/>
  <c r="F315" i="1"/>
  <c r="F314" i="1"/>
  <c r="F313" i="1"/>
  <c r="F312" i="1"/>
  <c r="I312" i="1" s="1"/>
  <c r="K2489" i="7" s="1"/>
  <c r="M2489" i="7" s="1"/>
  <c r="F311" i="1"/>
  <c r="F310" i="1"/>
  <c r="I310" i="1" s="1"/>
  <c r="K2471" i="7" s="1"/>
  <c r="M2471" i="7" s="1"/>
  <c r="F309" i="1"/>
  <c r="F308" i="1"/>
  <c r="I308" i="1" s="1"/>
  <c r="K2453" i="7" s="1"/>
  <c r="M2453" i="7" s="1"/>
  <c r="F307" i="1"/>
  <c r="F306" i="1"/>
  <c r="I306" i="1" s="1"/>
  <c r="K2437" i="7" s="1"/>
  <c r="M2437" i="7" s="1"/>
  <c r="F305" i="1"/>
  <c r="F304" i="1"/>
  <c r="I304" i="1" s="1"/>
  <c r="K2425" i="7" s="1"/>
  <c r="M2425" i="7" s="1"/>
  <c r="F303" i="1"/>
  <c r="F302" i="1"/>
  <c r="F301" i="1"/>
  <c r="F2397" i="7" s="1"/>
  <c r="I2397" i="7" s="1"/>
  <c r="F300" i="1"/>
  <c r="I300" i="1" s="1"/>
  <c r="K2393" i="7" s="1"/>
  <c r="M2393" i="7" s="1"/>
  <c r="F299" i="1"/>
  <c r="I299" i="1" s="1"/>
  <c r="F298" i="1"/>
  <c r="F297" i="1"/>
  <c r="F296" i="1"/>
  <c r="I296" i="1" s="1"/>
  <c r="K2361" i="7" s="1"/>
  <c r="M2361" i="7" s="1"/>
  <c r="F295" i="1"/>
  <c r="I295" i="1" s="1"/>
  <c r="F294" i="1"/>
  <c r="I294" i="1" s="1"/>
  <c r="K2343" i="7" s="1"/>
  <c r="M2343" i="7" s="1"/>
  <c r="F293" i="1"/>
  <c r="F2333" i="7" s="1"/>
  <c r="I2333" i="7" s="1"/>
  <c r="F292" i="1"/>
  <c r="I292" i="1" s="1"/>
  <c r="K2329" i="7" s="1"/>
  <c r="M2329" i="7" s="1"/>
  <c r="F291" i="1"/>
  <c r="I291" i="1" s="1"/>
  <c r="F290" i="1"/>
  <c r="F289" i="1"/>
  <c r="F2301" i="7" s="1"/>
  <c r="I2301" i="7" s="1"/>
  <c r="F288" i="1"/>
  <c r="I288" i="1" s="1"/>
  <c r="K2297" i="7" s="1"/>
  <c r="M2297" i="7" s="1"/>
  <c r="F287" i="1"/>
  <c r="F286" i="1"/>
  <c r="F285" i="1"/>
  <c r="F284" i="1"/>
  <c r="I284" i="1" s="1"/>
  <c r="K2265" i="7" s="1"/>
  <c r="M2265" i="7" s="1"/>
  <c r="F283" i="1"/>
  <c r="F2255" i="7" s="1"/>
  <c r="I2255" i="7" s="1"/>
  <c r="F282" i="1"/>
  <c r="F281" i="1"/>
  <c r="F2237" i="7" s="1"/>
  <c r="I2237" i="7" s="1"/>
  <c r="F280" i="1"/>
  <c r="I280" i="1" s="1"/>
  <c r="K2233" i="7" s="1"/>
  <c r="M2233" i="7" s="1"/>
  <c r="F279" i="1"/>
  <c r="F278" i="1"/>
  <c r="F277" i="1"/>
  <c r="F2205" i="7" s="1"/>
  <c r="I2205" i="7" s="1"/>
  <c r="F276" i="1"/>
  <c r="I276" i="1" s="1"/>
  <c r="K2201" i="7" s="1"/>
  <c r="M2201" i="7" s="1"/>
  <c r="F275" i="1"/>
  <c r="I275" i="1" s="1"/>
  <c r="K2193" i="7" s="1"/>
  <c r="M2193" i="7" s="1"/>
  <c r="F274" i="1"/>
  <c r="F2185" i="7" s="1"/>
  <c r="I2185" i="7" s="1"/>
  <c r="F273" i="1"/>
  <c r="F2173" i="7" s="1"/>
  <c r="I2173" i="7" s="1"/>
  <c r="F272" i="1"/>
  <c r="I272" i="1" s="1"/>
  <c r="K2169" i="7" s="1"/>
  <c r="M2169" i="7" s="1"/>
  <c r="F271" i="1"/>
  <c r="F270" i="1"/>
  <c r="I270" i="1" s="1"/>
  <c r="K2153" i="7" s="1"/>
  <c r="M2153" i="7" s="1"/>
  <c r="F269" i="1"/>
  <c r="F268" i="1"/>
  <c r="F267" i="1"/>
  <c r="I267" i="1" s="1"/>
  <c r="K2129" i="7" s="1"/>
  <c r="M2129" i="7" s="1"/>
  <c r="F266" i="1"/>
  <c r="F2121" i="7" s="1"/>
  <c r="I2121" i="7" s="1"/>
  <c r="F265" i="1"/>
  <c r="F264" i="1"/>
  <c r="I264" i="1" s="1"/>
  <c r="K2105" i="7" s="1"/>
  <c r="M2105" i="7" s="1"/>
  <c r="F263" i="1"/>
  <c r="I263" i="1" s="1"/>
  <c r="K2093" i="7" s="1"/>
  <c r="M2093" i="7" s="1"/>
  <c r="F262" i="1"/>
  <c r="I262" i="1" s="1"/>
  <c r="K2089" i="7" s="1"/>
  <c r="M2089" i="7" s="1"/>
  <c r="F261" i="1"/>
  <c r="F2077" i="7" s="1"/>
  <c r="I2077" i="7" s="1"/>
  <c r="F260" i="1"/>
  <c r="I260" i="1" s="1"/>
  <c r="K2073" i="7" s="1"/>
  <c r="M2073" i="7" s="1"/>
  <c r="F259" i="1"/>
  <c r="I259" i="1" s="1"/>
  <c r="K2065" i="7" s="1"/>
  <c r="M2065" i="7" s="1"/>
  <c r="F258" i="1"/>
  <c r="F2057" i="7" s="1"/>
  <c r="I2057" i="7" s="1"/>
  <c r="F257" i="1"/>
  <c r="F2045" i="7" s="1"/>
  <c r="I2045" i="7" s="1"/>
  <c r="F256" i="1"/>
  <c r="I256" i="1" s="1"/>
  <c r="K2041" i="7" s="1"/>
  <c r="M2041" i="7" s="1"/>
  <c r="F255" i="1"/>
  <c r="F2033" i="7" s="1"/>
  <c r="I2033" i="7" s="1"/>
  <c r="F254" i="1"/>
  <c r="F2025" i="7" s="1"/>
  <c r="I2025" i="7" s="1"/>
  <c r="F253" i="1"/>
  <c r="F252" i="1"/>
  <c r="I252" i="1" s="1"/>
  <c r="K2009" i="7" s="1"/>
  <c r="M2009" i="7" s="1"/>
  <c r="F251" i="1"/>
  <c r="F2001" i="7" s="1"/>
  <c r="I2001" i="7" s="1"/>
  <c r="F250" i="1"/>
  <c r="F1993" i="7" s="1"/>
  <c r="I1993" i="7" s="1"/>
  <c r="F249" i="1"/>
  <c r="F1981" i="7" s="1"/>
  <c r="I1981" i="7" s="1"/>
  <c r="F248" i="1"/>
  <c r="I248" i="1" s="1"/>
  <c r="K1977" i="7" s="1"/>
  <c r="M1977" i="7" s="1"/>
  <c r="F247" i="1"/>
  <c r="I247" i="1" s="1"/>
  <c r="K1967" i="7" s="1"/>
  <c r="M1967" i="7" s="1"/>
  <c r="F246" i="1"/>
  <c r="I246" i="1" s="1"/>
  <c r="K1961" i="7" s="1"/>
  <c r="M1961" i="7" s="1"/>
  <c r="F245" i="1"/>
  <c r="F244" i="1"/>
  <c r="I244" i="1" s="1"/>
  <c r="K1945" i="7" s="1"/>
  <c r="M1945" i="7" s="1"/>
  <c r="F243" i="1"/>
  <c r="I243" i="1" s="1"/>
  <c r="K1937" i="7" s="1"/>
  <c r="M1937" i="7" s="1"/>
  <c r="F242" i="1"/>
  <c r="F241" i="1"/>
  <c r="F1917" i="7" s="1"/>
  <c r="I1917" i="7" s="1"/>
  <c r="F240" i="1"/>
  <c r="I240" i="1" s="1"/>
  <c r="K1913" i="7" s="1"/>
  <c r="M1913" i="7" s="1"/>
  <c r="F239" i="1"/>
  <c r="F238" i="1"/>
  <c r="F1897" i="7" s="1"/>
  <c r="I1897" i="7" s="1"/>
  <c r="F237" i="1"/>
  <c r="F236" i="1"/>
  <c r="F235" i="1"/>
  <c r="F1873" i="7" s="1"/>
  <c r="I1873" i="7" s="1"/>
  <c r="F234" i="1"/>
  <c r="F1865" i="7" s="1"/>
  <c r="I1865" i="7" s="1"/>
  <c r="F233" i="1"/>
  <c r="F232" i="1"/>
  <c r="I232" i="1" s="1"/>
  <c r="K1849" i="7" s="1"/>
  <c r="M1849" i="7" s="1"/>
  <c r="F231" i="1"/>
  <c r="F1841" i="7" s="1"/>
  <c r="I1841" i="7" s="1"/>
  <c r="F230" i="1"/>
  <c r="I230" i="1" s="1"/>
  <c r="K1833" i="7" s="1"/>
  <c r="M1833" i="7" s="1"/>
  <c r="F229" i="1"/>
  <c r="F228" i="1"/>
  <c r="I228" i="1" s="1"/>
  <c r="K1817" i="7" s="1"/>
  <c r="M1817" i="7" s="1"/>
  <c r="F227" i="1"/>
  <c r="I227" i="1" s="1"/>
  <c r="K1809" i="7" s="1"/>
  <c r="M1809" i="7" s="1"/>
  <c r="F226" i="1"/>
  <c r="F225" i="1"/>
  <c r="F1793" i="7" s="1"/>
  <c r="I1793" i="7" s="1"/>
  <c r="F224" i="1"/>
  <c r="I224" i="1" s="1"/>
  <c r="F223" i="1"/>
  <c r="F222" i="1"/>
  <c r="F221" i="1"/>
  <c r="F1761" i="7" s="1"/>
  <c r="I1761" i="7" s="1"/>
  <c r="F220" i="1"/>
  <c r="I220" i="1" s="1"/>
  <c r="K1753" i="7" s="1"/>
  <c r="M1753" i="7" s="1"/>
  <c r="F219" i="1"/>
  <c r="F218" i="1"/>
  <c r="F217" i="1"/>
  <c r="F1729" i="7" s="1"/>
  <c r="I1729" i="7" s="1"/>
  <c r="F216" i="1"/>
  <c r="F215" i="1"/>
  <c r="F214" i="1"/>
  <c r="F1705" i="7" s="1"/>
  <c r="I1705" i="7" s="1"/>
  <c r="F213" i="1"/>
  <c r="F212" i="1"/>
  <c r="I212" i="1" s="1"/>
  <c r="F211" i="1"/>
  <c r="F1681" i="7" s="1"/>
  <c r="I1681" i="7" s="1"/>
  <c r="F210" i="1"/>
  <c r="I210" i="1" s="1"/>
  <c r="F209" i="1"/>
  <c r="F1665" i="7" s="1"/>
  <c r="I1665" i="7" s="1"/>
  <c r="F208" i="1"/>
  <c r="I208" i="1" s="1"/>
  <c r="F207" i="1"/>
  <c r="I207" i="1" s="1"/>
  <c r="F206" i="1"/>
  <c r="F1641" i="7" s="1"/>
  <c r="I1641" i="7" s="1"/>
  <c r="F205" i="1"/>
  <c r="F1633" i="7" s="1"/>
  <c r="I1633" i="7" s="1"/>
  <c r="F204" i="1"/>
  <c r="I204" i="1" s="1"/>
  <c r="F203" i="1"/>
  <c r="F1617" i="7" s="1"/>
  <c r="I1617" i="7" s="1"/>
  <c r="F202" i="1"/>
  <c r="F201" i="1"/>
  <c r="F200" i="1"/>
  <c r="I200" i="1" s="1"/>
  <c r="F199" i="1"/>
  <c r="I199" i="1" s="1"/>
  <c r="F198" i="1"/>
  <c r="I198" i="1" s="1"/>
  <c r="K1577" i="7" s="1"/>
  <c r="M1577" i="7" s="1"/>
  <c r="F197" i="1"/>
  <c r="F1569" i="7" s="1"/>
  <c r="I1569" i="7" s="1"/>
  <c r="F196" i="1"/>
  <c r="I196" i="1" s="1"/>
  <c r="F195" i="1"/>
  <c r="I195" i="1" s="1"/>
  <c r="F194" i="1"/>
  <c r="F193" i="1"/>
  <c r="F192" i="1"/>
  <c r="I192" i="1" s="1"/>
  <c r="F191" i="1"/>
  <c r="F190" i="1"/>
  <c r="F189" i="1"/>
  <c r="F1505" i="7" s="1"/>
  <c r="I1505" i="7" s="1"/>
  <c r="F188" i="1"/>
  <c r="I188" i="1" s="1"/>
  <c r="F187" i="1"/>
  <c r="F186" i="1"/>
  <c r="F185" i="1"/>
  <c r="F1472" i="7" s="1"/>
  <c r="I1472" i="7" s="1"/>
  <c r="F184" i="1"/>
  <c r="F183" i="1"/>
  <c r="I183" i="1" s="1"/>
  <c r="K1457" i="7" s="1"/>
  <c r="M1457" i="7" s="1"/>
  <c r="F182" i="1"/>
  <c r="F1449" i="7" s="1"/>
  <c r="I1449" i="7" s="1"/>
  <c r="F181" i="1"/>
  <c r="F180" i="1"/>
  <c r="I180" i="1" s="1"/>
  <c r="F179" i="1"/>
  <c r="F1425" i="7" s="1"/>
  <c r="I1425" i="7" s="1"/>
  <c r="F178" i="1"/>
  <c r="I178" i="1" s="1"/>
  <c r="F177" i="1"/>
  <c r="F176" i="1"/>
  <c r="I176" i="1" s="1"/>
  <c r="F175" i="1"/>
  <c r="I175" i="1" s="1"/>
  <c r="K1393" i="7" s="1"/>
  <c r="M1393" i="7" s="1"/>
  <c r="F174" i="1"/>
  <c r="I174" i="1" s="1"/>
  <c r="K1385" i="7" s="1"/>
  <c r="M1385" i="7" s="1"/>
  <c r="F173" i="1"/>
  <c r="F1377" i="7" s="1"/>
  <c r="I1377" i="7" s="1"/>
  <c r="F172" i="1"/>
  <c r="I172" i="1" s="1"/>
  <c r="F171" i="1"/>
  <c r="F1361" i="7" s="1"/>
  <c r="I1361" i="7" s="1"/>
  <c r="F170" i="1"/>
  <c r="I170" i="1" s="1"/>
  <c r="F169" i="1"/>
  <c r="F168" i="1"/>
  <c r="I168" i="1" s="1"/>
  <c r="F167" i="1"/>
  <c r="I167" i="1" s="1"/>
  <c r="K1329" i="7" s="1"/>
  <c r="M1329" i="7" s="1"/>
  <c r="F166" i="1"/>
  <c r="I166" i="1" s="1"/>
  <c r="K1321" i="7" s="1"/>
  <c r="M1321" i="7" s="1"/>
  <c r="F165" i="1"/>
  <c r="F1313" i="7" s="1"/>
  <c r="I1313" i="7" s="1"/>
  <c r="F164" i="1"/>
  <c r="F1304" i="7" s="1"/>
  <c r="I1304" i="7" s="1"/>
  <c r="F163" i="1"/>
  <c r="I163" i="1" s="1"/>
  <c r="K1297" i="7" s="1"/>
  <c r="M1297" i="7" s="1"/>
  <c r="F162" i="1"/>
  <c r="F161" i="1"/>
  <c r="F160" i="1"/>
  <c r="F1273" i="7" s="1"/>
  <c r="I1273" i="7" s="1"/>
  <c r="F159" i="1"/>
  <c r="I159" i="1" s="1"/>
  <c r="K1265" i="7" s="1"/>
  <c r="M1265" i="7" s="1"/>
  <c r="F158" i="1"/>
  <c r="I158" i="1" s="1"/>
  <c r="K1257" i="7" s="1"/>
  <c r="M1257" i="7" s="1"/>
  <c r="F157" i="1"/>
  <c r="F1249" i="7" s="1"/>
  <c r="I1249" i="7" s="1"/>
  <c r="F156" i="1"/>
  <c r="I156" i="1" s="1"/>
  <c r="F155" i="1"/>
  <c r="I155" i="1" s="1"/>
  <c r="K1230" i="7" s="1"/>
  <c r="M1230" i="7" s="1"/>
  <c r="F154" i="1"/>
  <c r="F1223" i="7" s="1"/>
  <c r="I1223" i="7" s="1"/>
  <c r="F153" i="1"/>
  <c r="F1216" i="7" s="1"/>
  <c r="I1216" i="7" s="1"/>
  <c r="F152" i="1"/>
  <c r="F1209" i="7" s="1"/>
  <c r="I1209" i="7" s="1"/>
  <c r="F151" i="1"/>
  <c r="I151" i="1" s="1"/>
  <c r="K1201" i="7" s="1"/>
  <c r="M1201" i="7" s="1"/>
  <c r="F150" i="1"/>
  <c r="F1193" i="7" s="1"/>
  <c r="I1193" i="7" s="1"/>
  <c r="F149" i="1"/>
  <c r="F1185" i="7" s="1"/>
  <c r="I1185" i="7" s="1"/>
  <c r="F148" i="1"/>
  <c r="F147" i="1"/>
  <c r="I147" i="1" s="1"/>
  <c r="K1169" i="7" s="1"/>
  <c r="M1169" i="7" s="1"/>
  <c r="F146" i="1"/>
  <c r="F1161" i="7" s="1"/>
  <c r="I1161" i="7" s="1"/>
  <c r="F145" i="1"/>
  <c r="F144" i="1"/>
  <c r="F1145" i="7" s="1"/>
  <c r="I1145" i="7" s="1"/>
  <c r="F143" i="1"/>
  <c r="I143" i="1" s="1"/>
  <c r="F142" i="1"/>
  <c r="I142" i="1" s="1"/>
  <c r="K1129" i="7" s="1"/>
  <c r="M1129" i="7" s="1"/>
  <c r="F141" i="1"/>
  <c r="F1121" i="7" s="1"/>
  <c r="I1121" i="7" s="1"/>
  <c r="F140" i="1"/>
  <c r="F139" i="1"/>
  <c r="I139" i="1" s="1"/>
  <c r="F138" i="1"/>
  <c r="F1097" i="7" s="1"/>
  <c r="I1097" i="7" s="1"/>
  <c r="F137" i="1"/>
  <c r="F136" i="1"/>
  <c r="I136" i="1" s="1"/>
  <c r="F135" i="1"/>
  <c r="I135" i="1" s="1"/>
  <c r="F134" i="1"/>
  <c r="F1065" i="7" s="1"/>
  <c r="I1065" i="7" s="1"/>
  <c r="F133" i="1"/>
  <c r="F1057" i="7" s="1"/>
  <c r="I1057" i="7" s="1"/>
  <c r="F132" i="1"/>
  <c r="I132" i="1" s="1"/>
  <c r="K1048" i="7" s="1"/>
  <c r="M1048" i="7" s="1"/>
  <c r="F131" i="1"/>
  <c r="I131" i="1" s="1"/>
  <c r="K1040" i="7" s="1"/>
  <c r="M1040" i="7" s="1"/>
  <c r="F130" i="1"/>
  <c r="F1033" i="7" s="1"/>
  <c r="I1033" i="7" s="1"/>
  <c r="F129" i="1"/>
  <c r="F128" i="1"/>
  <c r="I128" i="1" s="1"/>
  <c r="F127" i="1"/>
  <c r="F1009" i="7" s="1"/>
  <c r="I1009" i="7" s="1"/>
  <c r="F126" i="1"/>
  <c r="I126" i="1" s="1"/>
  <c r="K1001" i="7" s="1"/>
  <c r="M1001" i="7" s="1"/>
  <c r="F125" i="1"/>
  <c r="F993" i="7" s="1"/>
  <c r="I993" i="7" s="1"/>
  <c r="F124" i="1"/>
  <c r="I124" i="1" s="1"/>
  <c r="K984" i="7" s="1"/>
  <c r="M984" i="7" s="1"/>
  <c r="F123" i="1"/>
  <c r="I123" i="1" s="1"/>
  <c r="K976" i="7" s="1"/>
  <c r="M976" i="7" s="1"/>
  <c r="F122" i="1"/>
  <c r="I122" i="1" s="1"/>
  <c r="F121" i="1"/>
  <c r="F961" i="7" s="1"/>
  <c r="I961" i="7" s="1"/>
  <c r="F120" i="1"/>
  <c r="I120" i="1" s="1"/>
  <c r="F119" i="1"/>
  <c r="F945" i="7" s="1"/>
  <c r="I945" i="7" s="1"/>
  <c r="F118" i="1"/>
  <c r="F937" i="7" s="1"/>
  <c r="I937" i="7" s="1"/>
  <c r="F117" i="1"/>
  <c r="F929" i="7" s="1"/>
  <c r="I929" i="7" s="1"/>
  <c r="F116" i="1"/>
  <c r="I116" i="1" s="1"/>
  <c r="K920" i="7" s="1"/>
  <c r="M920" i="7" s="1"/>
  <c r="F115" i="1"/>
  <c r="F913" i="7" s="1"/>
  <c r="I913" i="7" s="1"/>
  <c r="F114" i="1"/>
  <c r="F905" i="7" s="1"/>
  <c r="I905" i="7" s="1"/>
  <c r="F113" i="1"/>
  <c r="F897" i="7" s="1"/>
  <c r="I897" i="7" s="1"/>
  <c r="F112" i="1"/>
  <c r="I112" i="1" s="1"/>
  <c r="F111" i="1"/>
  <c r="F110" i="1"/>
  <c r="I110" i="1" s="1"/>
  <c r="K873" i="7" s="1"/>
  <c r="M873" i="7" s="1"/>
  <c r="F109" i="1"/>
  <c r="F865" i="7" s="1"/>
  <c r="I865" i="7" s="1"/>
  <c r="F108" i="1"/>
  <c r="I108" i="1" s="1"/>
  <c r="K856" i="7" s="1"/>
  <c r="M856" i="7" s="1"/>
  <c r="F107" i="1"/>
  <c r="F849" i="7" s="1"/>
  <c r="I849" i="7" s="1"/>
  <c r="F106" i="1"/>
  <c r="I106" i="1" s="1"/>
  <c r="F105" i="1"/>
  <c r="F833" i="7" s="1"/>
  <c r="I833" i="7" s="1"/>
  <c r="F104" i="1"/>
  <c r="I104" i="1" s="1"/>
  <c r="F103" i="1"/>
  <c r="I103" i="1" s="1"/>
  <c r="F102" i="1"/>
  <c r="F809" i="7" s="1"/>
  <c r="I809" i="7" s="1"/>
  <c r="F101" i="1"/>
  <c r="F801" i="7" s="1"/>
  <c r="I801" i="7" s="1"/>
  <c r="F100" i="1"/>
  <c r="I100" i="1" s="1"/>
  <c r="K792" i="7" s="1"/>
  <c r="M792" i="7" s="1"/>
  <c r="F99" i="1"/>
  <c r="I99" i="1" s="1"/>
  <c r="F98" i="1"/>
  <c r="F777" i="7" s="1"/>
  <c r="I777" i="7" s="1"/>
  <c r="F97" i="1"/>
  <c r="F769" i="7" s="1"/>
  <c r="I769" i="7" s="1"/>
  <c r="F96" i="1"/>
  <c r="I96" i="1" s="1"/>
  <c r="K760" i="7" s="1"/>
  <c r="M760" i="7" s="1"/>
  <c r="F95" i="1"/>
  <c r="F753" i="7" s="1"/>
  <c r="I753" i="7" s="1"/>
  <c r="F94" i="1"/>
  <c r="I94" i="1" s="1"/>
  <c r="K745" i="7" s="1"/>
  <c r="M745" i="7" s="1"/>
  <c r="F93" i="1"/>
  <c r="F737" i="7" s="1"/>
  <c r="I737" i="7" s="1"/>
  <c r="F92" i="1"/>
  <c r="I92" i="1" s="1"/>
  <c r="K728" i="7" s="1"/>
  <c r="M728" i="7" s="1"/>
  <c r="F91" i="1"/>
  <c r="I91" i="1" s="1"/>
  <c r="F90" i="1"/>
  <c r="F713" i="7" s="1"/>
  <c r="I713" i="7" s="1"/>
  <c r="F89" i="1"/>
  <c r="F705" i="7" s="1"/>
  <c r="I705" i="7" s="1"/>
  <c r="F88" i="1"/>
  <c r="I88" i="1" s="1"/>
  <c r="K696" i="7" s="1"/>
  <c r="M696" i="7" s="1"/>
  <c r="F87" i="1"/>
  <c r="I87" i="1" s="1"/>
  <c r="F86" i="1"/>
  <c r="F681" i="7" s="1"/>
  <c r="I681" i="7" s="1"/>
  <c r="F85" i="1"/>
  <c r="F673" i="7" s="1"/>
  <c r="I673" i="7" s="1"/>
  <c r="F84" i="1"/>
  <c r="I84" i="1" s="1"/>
  <c r="F83" i="1"/>
  <c r="F657" i="7" s="1"/>
  <c r="I657" i="7" s="1"/>
  <c r="F82" i="1"/>
  <c r="F649" i="7" s="1"/>
  <c r="I649" i="7" s="1"/>
  <c r="F81" i="1"/>
  <c r="F641" i="7" s="1"/>
  <c r="I641" i="7" s="1"/>
  <c r="F80" i="1"/>
  <c r="I80" i="1" s="1"/>
  <c r="K633" i="7" s="1"/>
  <c r="M633" i="7" s="1"/>
  <c r="F79" i="1"/>
  <c r="I79" i="1" s="1"/>
  <c r="F78" i="1"/>
  <c r="F617" i="7" s="1"/>
  <c r="I617" i="7" s="1"/>
  <c r="F77" i="1"/>
  <c r="F609" i="7" s="1"/>
  <c r="I609" i="7" s="1"/>
  <c r="F76" i="1"/>
  <c r="F601" i="7" s="1"/>
  <c r="I601" i="7" s="1"/>
  <c r="F75" i="1"/>
  <c r="F593" i="7" s="1"/>
  <c r="I593" i="7" s="1"/>
  <c r="F74" i="1"/>
  <c r="F585" i="7" s="1"/>
  <c r="I585" i="7" s="1"/>
  <c r="F73" i="1"/>
  <c r="I73" i="1" s="1"/>
  <c r="F72" i="1"/>
  <c r="F569" i="7" s="1"/>
  <c r="I569" i="7" s="1"/>
  <c r="F71" i="1"/>
  <c r="F561" i="7" s="1"/>
  <c r="I561" i="7" s="1"/>
  <c r="F70" i="1"/>
  <c r="F553" i="7" s="1"/>
  <c r="I553" i="7" s="1"/>
  <c r="F69" i="1"/>
  <c r="I69" i="1" s="1"/>
  <c r="F68" i="1"/>
  <c r="F537" i="7" s="1"/>
  <c r="I537" i="7" s="1"/>
  <c r="F67" i="1"/>
  <c r="I67" i="1" s="1"/>
  <c r="F66" i="1"/>
  <c r="F521" i="7" s="1"/>
  <c r="I521" i="7" s="1"/>
  <c r="F65" i="1"/>
  <c r="I65" i="1" s="1"/>
  <c r="F64" i="1"/>
  <c r="F505" i="7" s="1"/>
  <c r="I505" i="7" s="1"/>
  <c r="F63" i="1"/>
  <c r="I63" i="1" s="1"/>
  <c r="F62" i="1"/>
  <c r="F489" i="7" s="1"/>
  <c r="I489" i="7" s="1"/>
  <c r="F61" i="1"/>
  <c r="I61" i="1" s="1"/>
  <c r="F60" i="1"/>
  <c r="F473" i="7" s="1"/>
  <c r="I473" i="7" s="1"/>
  <c r="F59" i="1"/>
  <c r="F465" i="7" s="1"/>
  <c r="I465" i="7" s="1"/>
  <c r="F58" i="1"/>
  <c r="F457" i="7" s="1"/>
  <c r="I457" i="7" s="1"/>
  <c r="F57" i="1"/>
  <c r="I57" i="1" s="1"/>
  <c r="F56" i="1"/>
  <c r="I56" i="1" s="1"/>
  <c r="K441" i="7" s="1"/>
  <c r="M441" i="7" s="1"/>
  <c r="F55" i="1"/>
  <c r="F433" i="7" s="1"/>
  <c r="I433" i="7" s="1"/>
  <c r="F54" i="1"/>
  <c r="F425" i="7" s="1"/>
  <c r="I425" i="7" s="1"/>
  <c r="F53" i="1"/>
  <c r="I53" i="1" s="1"/>
  <c r="F52" i="1"/>
  <c r="I52" i="1" s="1"/>
  <c r="F51" i="1"/>
  <c r="I51" i="1" s="1"/>
  <c r="K401" i="7" s="1"/>
  <c r="M401" i="7" s="1"/>
  <c r="F50" i="1"/>
  <c r="F49" i="1"/>
  <c r="I49" i="1" s="1"/>
  <c r="F48" i="1"/>
  <c r="I48" i="1" s="1"/>
  <c r="F47" i="1"/>
  <c r="I47" i="1" s="1"/>
  <c r="F46" i="1"/>
  <c r="F361" i="7" s="1"/>
  <c r="I361" i="7" s="1"/>
  <c r="F45" i="1"/>
  <c r="I45" i="1" s="1"/>
  <c r="F44" i="1"/>
  <c r="F345" i="7" s="1"/>
  <c r="I345" i="7" s="1"/>
  <c r="F43" i="1"/>
  <c r="F337" i="7" s="1"/>
  <c r="I337" i="7" s="1"/>
  <c r="F42" i="1"/>
  <c r="F329" i="7" s="1"/>
  <c r="I329" i="7" s="1"/>
  <c r="F41" i="1"/>
  <c r="I41" i="1" s="1"/>
  <c r="F40" i="1"/>
  <c r="F313" i="7" s="1"/>
  <c r="I313" i="7" s="1"/>
  <c r="F39" i="1"/>
  <c r="F305" i="7" s="1"/>
  <c r="I305" i="7" s="1"/>
  <c r="F38" i="1"/>
  <c r="F297" i="7" s="1"/>
  <c r="I297" i="7" s="1"/>
  <c r="F37" i="1"/>
  <c r="I37" i="1" s="1"/>
  <c r="F36" i="1"/>
  <c r="F281" i="7" s="1"/>
  <c r="I281" i="7" s="1"/>
  <c r="F35" i="1"/>
  <c r="I35" i="1" s="1"/>
  <c r="F34" i="1"/>
  <c r="F265" i="7" s="1"/>
  <c r="I265" i="7" s="1"/>
  <c r="F33" i="1"/>
  <c r="I33" i="1" s="1"/>
  <c r="F32" i="1"/>
  <c r="F249" i="7" s="1"/>
  <c r="I249" i="7" s="1"/>
  <c r="F31" i="1"/>
  <c r="I31" i="1" s="1"/>
  <c r="F30" i="1"/>
  <c r="F233" i="7" s="1"/>
  <c r="I233" i="7" s="1"/>
  <c r="F29" i="1"/>
  <c r="I29" i="1" s="1"/>
  <c r="F28" i="1"/>
  <c r="F217" i="7" s="1"/>
  <c r="I217" i="7" s="1"/>
  <c r="F27" i="1"/>
  <c r="F209" i="7" s="1"/>
  <c r="I209" i="7" s="1"/>
  <c r="F26" i="1"/>
  <c r="F201" i="7" s="1"/>
  <c r="I201" i="7" s="1"/>
  <c r="F25" i="1"/>
  <c r="I25" i="1" s="1"/>
  <c r="F24" i="1"/>
  <c r="F185" i="7" s="1"/>
  <c r="I185" i="7" s="1"/>
  <c r="F23" i="1"/>
  <c r="I23" i="1" s="1"/>
  <c r="F22" i="1"/>
  <c r="F169" i="7" s="1"/>
  <c r="I169" i="7" s="1"/>
  <c r="F21" i="1"/>
  <c r="I21" i="1" s="1"/>
  <c r="F20" i="1"/>
  <c r="F153" i="7" s="1"/>
  <c r="I153" i="7" s="1"/>
  <c r="F19" i="1"/>
  <c r="I19" i="1" s="1"/>
  <c r="K145" i="7" s="1"/>
  <c r="M145" i="7" s="1"/>
  <c r="F18" i="1"/>
  <c r="F137" i="7" s="1"/>
  <c r="I137" i="7" s="1"/>
  <c r="F17" i="1"/>
  <c r="I17" i="1" s="1"/>
  <c r="F16" i="1"/>
  <c r="F121" i="7" s="1"/>
  <c r="I121" i="7" s="1"/>
  <c r="F15" i="1"/>
  <c r="I15" i="1" s="1"/>
  <c r="F14" i="1"/>
  <c r="F105" i="7" s="1"/>
  <c r="I105" i="7" s="1"/>
  <c r="F13" i="1"/>
  <c r="I13" i="1" s="1"/>
  <c r="F12" i="1"/>
  <c r="F89" i="7" s="1"/>
  <c r="I89" i="7" s="1"/>
  <c r="F11" i="1"/>
  <c r="F81" i="7" s="1"/>
  <c r="I81" i="7" s="1"/>
  <c r="F10" i="1"/>
  <c r="F73" i="7" s="1"/>
  <c r="I73" i="7" s="1"/>
  <c r="F9" i="1"/>
  <c r="I9" i="1" s="1"/>
  <c r="F8" i="1"/>
  <c r="I8" i="1" s="1"/>
  <c r="F7" i="1"/>
  <c r="I7" i="1" s="1"/>
  <c r="F6" i="1"/>
  <c r="F41" i="7" s="1"/>
  <c r="I41" i="7" s="1"/>
  <c r="F5" i="1"/>
  <c r="I5" i="1" s="1"/>
  <c r="F4" i="1"/>
  <c r="I4" i="1" s="1"/>
  <c r="F3" i="1"/>
  <c r="I3" i="1" s="1"/>
  <c r="F2" i="1"/>
  <c r="E358" i="1" l="1"/>
  <c r="G2851" i="7" s="1"/>
  <c r="J2851" i="7" s="1"/>
  <c r="F376" i="8"/>
  <c r="H376" i="8" s="1"/>
  <c r="F377" i="8"/>
  <c r="H377" i="8" s="1"/>
  <c r="A376" i="9"/>
  <c r="A377" i="9"/>
  <c r="G2874" i="7"/>
  <c r="J2874" i="7" s="1"/>
  <c r="J361" i="1"/>
  <c r="G2876" i="7"/>
  <c r="L2876" i="7" s="1"/>
  <c r="H361" i="1"/>
  <c r="G2877" i="7"/>
  <c r="J2877" i="7" s="1"/>
  <c r="G2879" i="7"/>
  <c r="L2879" i="7" s="1"/>
  <c r="G2880" i="7"/>
  <c r="G2881" i="7"/>
  <c r="G2878" i="7"/>
  <c r="C1849" i="7"/>
  <c r="C1848" i="7"/>
  <c r="C1844" i="7"/>
  <c r="C1845" i="7"/>
  <c r="C1846" i="7"/>
  <c r="C1847" i="7"/>
  <c r="C1842" i="7"/>
  <c r="C1843" i="7"/>
  <c r="C57" i="7"/>
  <c r="C56" i="7"/>
  <c r="C52" i="7"/>
  <c r="C54" i="7"/>
  <c r="C53" i="7"/>
  <c r="C51" i="7"/>
  <c r="C55" i="7"/>
  <c r="C50" i="7"/>
  <c r="C2313" i="7"/>
  <c r="C2311" i="7"/>
  <c r="C2310" i="7"/>
  <c r="C2308" i="7"/>
  <c r="C2309" i="7"/>
  <c r="C2312" i="7"/>
  <c r="C2307" i="7"/>
  <c r="C2306" i="7"/>
  <c r="C664" i="7"/>
  <c r="C663" i="7"/>
  <c r="C662" i="7"/>
  <c r="C665" i="7"/>
  <c r="C661" i="7"/>
  <c r="C659" i="7"/>
  <c r="C660" i="7"/>
  <c r="C658" i="7"/>
  <c r="C2617" i="7"/>
  <c r="C2616" i="7"/>
  <c r="C2612" i="7"/>
  <c r="C2614" i="7"/>
  <c r="C2613" i="7"/>
  <c r="C2615" i="7"/>
  <c r="C2611" i="7"/>
  <c r="C2610" i="7"/>
  <c r="C1481" i="7"/>
  <c r="C1479" i="7"/>
  <c r="C1478" i="7"/>
  <c r="C1476" i="7"/>
  <c r="C1477" i="7"/>
  <c r="C1480" i="7"/>
  <c r="C1475" i="7"/>
  <c r="C1474" i="7"/>
  <c r="C1161" i="7"/>
  <c r="C1159" i="7"/>
  <c r="C1158" i="7"/>
  <c r="C1160" i="7"/>
  <c r="C1156" i="7"/>
  <c r="C1157" i="7"/>
  <c r="C1155" i="7"/>
  <c r="C1154" i="7"/>
  <c r="C2865" i="7"/>
  <c r="C2864" i="7"/>
  <c r="C2863" i="7"/>
  <c r="C2861" i="7"/>
  <c r="C2862" i="7"/>
  <c r="C2859" i="7"/>
  <c r="C2858" i="7"/>
  <c r="C2860" i="7"/>
  <c r="C2737" i="7"/>
  <c r="C2736" i="7"/>
  <c r="C2735" i="7"/>
  <c r="C2733" i="7"/>
  <c r="C2734" i="7"/>
  <c r="C2731" i="7"/>
  <c r="C2730" i="7"/>
  <c r="C2732" i="7"/>
  <c r="C2489" i="7"/>
  <c r="C2488" i="7"/>
  <c r="C2484" i="7"/>
  <c r="C2485" i="7"/>
  <c r="C2487" i="7"/>
  <c r="C2486" i="7"/>
  <c r="C2425" i="7"/>
  <c r="C2424" i="7"/>
  <c r="C2420" i="7"/>
  <c r="C2421" i="7"/>
  <c r="C2423" i="7"/>
  <c r="C2422" i="7"/>
  <c r="C2419" i="7"/>
  <c r="C2249" i="7"/>
  <c r="C2247" i="7"/>
  <c r="C2246" i="7"/>
  <c r="C2248" i="7"/>
  <c r="C2244" i="7"/>
  <c r="C2245" i="7"/>
  <c r="C2243" i="7"/>
  <c r="C2242" i="7"/>
  <c r="C2185" i="7"/>
  <c r="C2183" i="7"/>
  <c r="C2182" i="7"/>
  <c r="C2184" i="7"/>
  <c r="C2180" i="7"/>
  <c r="C2181" i="7"/>
  <c r="C2179" i="7"/>
  <c r="C2178" i="7"/>
  <c r="C2057" i="7"/>
  <c r="C2055" i="7"/>
  <c r="C2054" i="7"/>
  <c r="C2052" i="7"/>
  <c r="C2053" i="7"/>
  <c r="C2056" i="7"/>
  <c r="C2051" i="7"/>
  <c r="C2050" i="7"/>
  <c r="C1929" i="7"/>
  <c r="C1927" i="7"/>
  <c r="C1926" i="7"/>
  <c r="C1928" i="7"/>
  <c r="C1924" i="7"/>
  <c r="C1925" i="7"/>
  <c r="C1923" i="7"/>
  <c r="C1922" i="7"/>
  <c r="C1808" i="7"/>
  <c r="C1807" i="7"/>
  <c r="C1806" i="7"/>
  <c r="C1809" i="7"/>
  <c r="C1804" i="7"/>
  <c r="C1803" i="7"/>
  <c r="C1805" i="7"/>
  <c r="C1802" i="7"/>
  <c r="C1625" i="7"/>
  <c r="C1624" i="7"/>
  <c r="C1623" i="7"/>
  <c r="C1622" i="7"/>
  <c r="C1619" i="7"/>
  <c r="C1621" i="7"/>
  <c r="C1620" i="7"/>
  <c r="C1249" i="7"/>
  <c r="C1248" i="7"/>
  <c r="C1247" i="7"/>
  <c r="C1246" i="7"/>
  <c r="C1243" i="7"/>
  <c r="C1244" i="7"/>
  <c r="C1245" i="7"/>
  <c r="C2849" i="7"/>
  <c r="C2848" i="7"/>
  <c r="C2847" i="7"/>
  <c r="C2843" i="7"/>
  <c r="C2846" i="7"/>
  <c r="C2844" i="7"/>
  <c r="C2842" i="7"/>
  <c r="C2845" i="7"/>
  <c r="C2785" i="7"/>
  <c r="C2784" i="7"/>
  <c r="C2783" i="7"/>
  <c r="C2779" i="7"/>
  <c r="C2782" i="7"/>
  <c r="C2778" i="7"/>
  <c r="C2781" i="7"/>
  <c r="C2780" i="7"/>
  <c r="C2721" i="7"/>
  <c r="C2720" i="7"/>
  <c r="C2719" i="7"/>
  <c r="C2718" i="7"/>
  <c r="C2715" i="7"/>
  <c r="C2716" i="7"/>
  <c r="C2717" i="7"/>
  <c r="C2714" i="7"/>
  <c r="C2657" i="7"/>
  <c r="C2656" i="7"/>
  <c r="C2655" i="7"/>
  <c r="C2651" i="7"/>
  <c r="C2654" i="7"/>
  <c r="C2653" i="7"/>
  <c r="C2650" i="7"/>
  <c r="C2652" i="7"/>
  <c r="C2601" i="7"/>
  <c r="C2600" i="7"/>
  <c r="C2595" i="7"/>
  <c r="C2599" i="7"/>
  <c r="C2594" i="7"/>
  <c r="C2596" i="7"/>
  <c r="C2598" i="7"/>
  <c r="C2537" i="7"/>
  <c r="C2536" i="7"/>
  <c r="C2531" i="7"/>
  <c r="C2534" i="7"/>
  <c r="C2530" i="7"/>
  <c r="C2535" i="7"/>
  <c r="C2533" i="7"/>
  <c r="C2532" i="7"/>
  <c r="C2473" i="7"/>
  <c r="C2472" i="7"/>
  <c r="C2467" i="7"/>
  <c r="C2471" i="7"/>
  <c r="C2470" i="7"/>
  <c r="C2466" i="7"/>
  <c r="C2468" i="7"/>
  <c r="C2469" i="7"/>
  <c r="C2409" i="7"/>
  <c r="C2408" i="7"/>
  <c r="C2406" i="7"/>
  <c r="C2403" i="7"/>
  <c r="C2407" i="7"/>
  <c r="C2405" i="7"/>
  <c r="C2402" i="7"/>
  <c r="C2404" i="7"/>
  <c r="C2353" i="7"/>
  <c r="C2352" i="7"/>
  <c r="C2351" i="7"/>
  <c r="C2349" i="7"/>
  <c r="C2350" i="7"/>
  <c r="C2347" i="7"/>
  <c r="C2346" i="7"/>
  <c r="C2348" i="7"/>
  <c r="C2297" i="7"/>
  <c r="C2296" i="7"/>
  <c r="C2294" i="7"/>
  <c r="C2292" i="7"/>
  <c r="C2293" i="7"/>
  <c r="C2295" i="7"/>
  <c r="C2291" i="7"/>
  <c r="C2233" i="7"/>
  <c r="C2232" i="7"/>
  <c r="C2228" i="7"/>
  <c r="C2231" i="7"/>
  <c r="C2229" i="7"/>
  <c r="C2230" i="7"/>
  <c r="C2169" i="7"/>
  <c r="C2168" i="7"/>
  <c r="C2164" i="7"/>
  <c r="C2165" i="7"/>
  <c r="C2167" i="7"/>
  <c r="C2166" i="7"/>
  <c r="C2163" i="7"/>
  <c r="C2105" i="7"/>
  <c r="C2104" i="7"/>
  <c r="C2100" i="7"/>
  <c r="C2102" i="7"/>
  <c r="C2101" i="7"/>
  <c r="C2103" i="7"/>
  <c r="C2041" i="7"/>
  <c r="C2040" i="7"/>
  <c r="C2039" i="7"/>
  <c r="C2036" i="7"/>
  <c r="C2037" i="7"/>
  <c r="C2038" i="7"/>
  <c r="C2035" i="7"/>
  <c r="C1977" i="7"/>
  <c r="C1976" i="7"/>
  <c r="C1972" i="7"/>
  <c r="C1973" i="7"/>
  <c r="C1975" i="7"/>
  <c r="C1974" i="7"/>
  <c r="C1913" i="7"/>
  <c r="C1912" i="7"/>
  <c r="C1908" i="7"/>
  <c r="C1909" i="7"/>
  <c r="C1911" i="7"/>
  <c r="C1910" i="7"/>
  <c r="C1907" i="7"/>
  <c r="C1793" i="7"/>
  <c r="C1792" i="7"/>
  <c r="C1788" i="7"/>
  <c r="C1789" i="7"/>
  <c r="C1790" i="7"/>
  <c r="C1791" i="7"/>
  <c r="C1787" i="7"/>
  <c r="C1786" i="7"/>
  <c r="C1729" i="7"/>
  <c r="C1728" i="7"/>
  <c r="C1724" i="7"/>
  <c r="C1727" i="7"/>
  <c r="C1725" i="7"/>
  <c r="C1726" i="7"/>
  <c r="C1723" i="7"/>
  <c r="C1722" i="7"/>
  <c r="C1673" i="7"/>
  <c r="C1671" i="7"/>
  <c r="C1670" i="7"/>
  <c r="C1672" i="7"/>
  <c r="C1668" i="7"/>
  <c r="C1669" i="7"/>
  <c r="C1667" i="7"/>
  <c r="C1666" i="7"/>
  <c r="C1609" i="7"/>
  <c r="C1607" i="7"/>
  <c r="C1606" i="7"/>
  <c r="C1608" i="7"/>
  <c r="C1604" i="7"/>
  <c r="C1605" i="7"/>
  <c r="C1603" i="7"/>
  <c r="C1602" i="7"/>
  <c r="C1545" i="7"/>
  <c r="C1543" i="7"/>
  <c r="C1542" i="7"/>
  <c r="C1544" i="7"/>
  <c r="C1540" i="7"/>
  <c r="C1541" i="7"/>
  <c r="C1539" i="7"/>
  <c r="C1424" i="7"/>
  <c r="C1423" i="7"/>
  <c r="C1425" i="7"/>
  <c r="C1422" i="7"/>
  <c r="C1420" i="7"/>
  <c r="C1419" i="7"/>
  <c r="C1421" i="7"/>
  <c r="C1418" i="7"/>
  <c r="C1361" i="7"/>
  <c r="C1360" i="7"/>
  <c r="C1359" i="7"/>
  <c r="C1358" i="7"/>
  <c r="C1356" i="7"/>
  <c r="C1355" i="7"/>
  <c r="C1357" i="7"/>
  <c r="C1354" i="7"/>
  <c r="C1296" i="7"/>
  <c r="C1295" i="7"/>
  <c r="C1294" i="7"/>
  <c r="C1297" i="7"/>
  <c r="C1292" i="7"/>
  <c r="C1291" i="7"/>
  <c r="C1293" i="7"/>
  <c r="C1290" i="7"/>
  <c r="C1232" i="7"/>
  <c r="C1231" i="7"/>
  <c r="C1230" i="7"/>
  <c r="C1233" i="7"/>
  <c r="C1228" i="7"/>
  <c r="C1227" i="7"/>
  <c r="C1229" i="7"/>
  <c r="C1226" i="7"/>
  <c r="C1168" i="7"/>
  <c r="C1167" i="7"/>
  <c r="C1169" i="7"/>
  <c r="C1166" i="7"/>
  <c r="C1164" i="7"/>
  <c r="C1163" i="7"/>
  <c r="C1165" i="7"/>
  <c r="C1162" i="7"/>
  <c r="C1113" i="7"/>
  <c r="C1112" i="7"/>
  <c r="C1111" i="7"/>
  <c r="C1110" i="7"/>
  <c r="C1107" i="7"/>
  <c r="C1109" i="7"/>
  <c r="C1108" i="7"/>
  <c r="C1048" i="7"/>
  <c r="C1047" i="7"/>
  <c r="C1046" i="7"/>
  <c r="C1043" i="7"/>
  <c r="C1049" i="7"/>
  <c r="C1045" i="7"/>
  <c r="C1044" i="7"/>
  <c r="C984" i="7"/>
  <c r="C983" i="7"/>
  <c r="C982" i="7"/>
  <c r="C985" i="7"/>
  <c r="C979" i="7"/>
  <c r="C981" i="7"/>
  <c r="C980" i="7"/>
  <c r="C920" i="7"/>
  <c r="C919" i="7"/>
  <c r="C921" i="7"/>
  <c r="C918" i="7"/>
  <c r="C915" i="7"/>
  <c r="C917" i="7"/>
  <c r="C857" i="7"/>
  <c r="C856" i="7"/>
  <c r="C855" i="7"/>
  <c r="C854" i="7"/>
  <c r="C853" i="7"/>
  <c r="C851" i="7"/>
  <c r="C852" i="7"/>
  <c r="C792" i="7"/>
  <c r="C791" i="7"/>
  <c r="C790" i="7"/>
  <c r="C787" i="7"/>
  <c r="C793" i="7"/>
  <c r="C789" i="7"/>
  <c r="C788" i="7"/>
  <c r="C737" i="7"/>
  <c r="C736" i="7"/>
  <c r="C735" i="7"/>
  <c r="C734" i="7"/>
  <c r="C733" i="7"/>
  <c r="C731" i="7"/>
  <c r="C732" i="7"/>
  <c r="C673" i="7"/>
  <c r="C672" i="7"/>
  <c r="C671" i="7"/>
  <c r="C667" i="7"/>
  <c r="C669" i="7"/>
  <c r="C670" i="7"/>
  <c r="C668" i="7"/>
  <c r="C617" i="7"/>
  <c r="C616" i="7"/>
  <c r="C615" i="7"/>
  <c r="C614" i="7"/>
  <c r="C611" i="7"/>
  <c r="C612" i="7"/>
  <c r="C613" i="7"/>
  <c r="C553" i="7"/>
  <c r="C552" i="7"/>
  <c r="C551" i="7"/>
  <c r="C550" i="7"/>
  <c r="C549" i="7"/>
  <c r="C547" i="7"/>
  <c r="C548" i="7"/>
  <c r="C489" i="7"/>
  <c r="C488" i="7"/>
  <c r="C487" i="7"/>
  <c r="C486" i="7"/>
  <c r="C485" i="7"/>
  <c r="C484" i="7"/>
  <c r="C483" i="7"/>
  <c r="C425" i="7"/>
  <c r="C424" i="7"/>
  <c r="C423" i="7"/>
  <c r="C422" i="7"/>
  <c r="C421" i="7"/>
  <c r="C420" i="7"/>
  <c r="C419" i="7"/>
  <c r="C361" i="7"/>
  <c r="C360" i="7"/>
  <c r="C359" i="7"/>
  <c r="C358" i="7"/>
  <c r="C357" i="7"/>
  <c r="C356" i="7"/>
  <c r="C355" i="7"/>
  <c r="C297" i="7"/>
  <c r="C296" i="7"/>
  <c r="C295" i="7"/>
  <c r="C294" i="7"/>
  <c r="C292" i="7"/>
  <c r="C293" i="7"/>
  <c r="C291" i="7"/>
  <c r="C233" i="7"/>
  <c r="C232" i="7"/>
  <c r="C231" i="7"/>
  <c r="C230" i="7"/>
  <c r="C229" i="7"/>
  <c r="C227" i="7"/>
  <c r="C169" i="7"/>
  <c r="C168" i="7"/>
  <c r="C167" i="7"/>
  <c r="C166" i="7"/>
  <c r="C165" i="7"/>
  <c r="C164" i="7"/>
  <c r="C163" i="7"/>
  <c r="C105" i="7"/>
  <c r="C104" i="7"/>
  <c r="C103" i="7"/>
  <c r="C102" i="7"/>
  <c r="C100" i="7"/>
  <c r="C101" i="7"/>
  <c r="C99" i="7"/>
  <c r="C49" i="7"/>
  <c r="C48" i="7"/>
  <c r="C47" i="7"/>
  <c r="C46" i="7"/>
  <c r="C45" i="7"/>
  <c r="C44" i="7"/>
  <c r="C43" i="7"/>
  <c r="C786" i="7"/>
  <c r="C850" i="7"/>
  <c r="C914" i="7"/>
  <c r="C978" i="7"/>
  <c r="C1042" i="7"/>
  <c r="C1242" i="7"/>
  <c r="C2483" i="7"/>
  <c r="C2597" i="7"/>
  <c r="C301" i="7"/>
  <c r="C1665" i="7"/>
  <c r="C1664" i="7"/>
  <c r="C1660" i="7"/>
  <c r="C1661" i="7"/>
  <c r="C1662" i="7"/>
  <c r="C1659" i="7"/>
  <c r="C1658" i="7"/>
  <c r="C1601" i="7"/>
  <c r="C1600" i="7"/>
  <c r="C1596" i="7"/>
  <c r="C1597" i="7"/>
  <c r="C1599" i="7"/>
  <c r="C1598" i="7"/>
  <c r="C1595" i="7"/>
  <c r="C1594" i="7"/>
  <c r="C1537" i="7"/>
  <c r="C1536" i="7"/>
  <c r="C1535" i="7"/>
  <c r="C1532" i="7"/>
  <c r="C1533" i="7"/>
  <c r="C1534" i="7"/>
  <c r="C1531" i="7"/>
  <c r="C1530" i="7"/>
  <c r="C1417" i="7"/>
  <c r="C1415" i="7"/>
  <c r="C1414" i="7"/>
  <c r="C1412" i="7"/>
  <c r="C1413" i="7"/>
  <c r="C1416" i="7"/>
  <c r="C1411" i="7"/>
  <c r="C1353" i="7"/>
  <c r="C1351" i="7"/>
  <c r="C1350" i="7"/>
  <c r="C1348" i="7"/>
  <c r="C1349" i="7"/>
  <c r="C1352" i="7"/>
  <c r="C1347" i="7"/>
  <c r="C1289" i="7"/>
  <c r="C1287" i="7"/>
  <c r="C1286" i="7"/>
  <c r="C1284" i="7"/>
  <c r="C1285" i="7"/>
  <c r="C1288" i="7"/>
  <c r="C1283" i="7"/>
  <c r="C1225" i="7"/>
  <c r="C1223" i="7"/>
  <c r="C1222" i="7"/>
  <c r="C1220" i="7"/>
  <c r="C1224" i="7"/>
  <c r="C1221" i="7"/>
  <c r="C1219" i="7"/>
  <c r="C1105" i="7"/>
  <c r="C1104" i="7"/>
  <c r="C1103" i="7"/>
  <c r="C1102" i="7"/>
  <c r="C1100" i="7"/>
  <c r="C1099" i="7"/>
  <c r="C1101" i="7"/>
  <c r="C1098" i="7"/>
  <c r="C1040" i="7"/>
  <c r="C1039" i="7"/>
  <c r="C1038" i="7"/>
  <c r="C1041" i="7"/>
  <c r="C1036" i="7"/>
  <c r="C1035" i="7"/>
  <c r="C1037" i="7"/>
  <c r="C976" i="7"/>
  <c r="C975" i="7"/>
  <c r="C974" i="7"/>
  <c r="C977" i="7"/>
  <c r="C972" i="7"/>
  <c r="C971" i="7"/>
  <c r="C973" i="7"/>
  <c r="C912" i="7"/>
  <c r="C911" i="7"/>
  <c r="C913" i="7"/>
  <c r="C910" i="7"/>
  <c r="C909" i="7"/>
  <c r="C908" i="7"/>
  <c r="C907" i="7"/>
  <c r="C849" i="7"/>
  <c r="C848" i="7"/>
  <c r="C847" i="7"/>
  <c r="C846" i="7"/>
  <c r="C845" i="7"/>
  <c r="C844" i="7"/>
  <c r="C843" i="7"/>
  <c r="C784" i="7"/>
  <c r="C783" i="7"/>
  <c r="C782" i="7"/>
  <c r="C781" i="7"/>
  <c r="C785" i="7"/>
  <c r="C780" i="7"/>
  <c r="C779" i="7"/>
  <c r="C728" i="7"/>
  <c r="C727" i="7"/>
  <c r="C726" i="7"/>
  <c r="C729" i="7"/>
  <c r="C723" i="7"/>
  <c r="C724" i="7"/>
  <c r="C609" i="7"/>
  <c r="C608" i="7"/>
  <c r="C607" i="7"/>
  <c r="C606" i="7"/>
  <c r="C603" i="7"/>
  <c r="C604" i="7"/>
  <c r="C605" i="7"/>
  <c r="C545" i="7"/>
  <c r="C544" i="7"/>
  <c r="C543" i="7"/>
  <c r="C541" i="7"/>
  <c r="C539" i="7"/>
  <c r="C542" i="7"/>
  <c r="C540" i="7"/>
  <c r="C481" i="7"/>
  <c r="C480" i="7"/>
  <c r="C479" i="7"/>
  <c r="C478" i="7"/>
  <c r="C477" i="7"/>
  <c r="C476" i="7"/>
  <c r="C417" i="7"/>
  <c r="C416" i="7"/>
  <c r="C415" i="7"/>
  <c r="C414" i="7"/>
  <c r="C412" i="7"/>
  <c r="C413" i="7"/>
  <c r="C353" i="7"/>
  <c r="C352" i="7"/>
  <c r="C351" i="7"/>
  <c r="C350" i="7"/>
  <c r="C349" i="7"/>
  <c r="C348" i="7"/>
  <c r="C289" i="7"/>
  <c r="C288" i="7"/>
  <c r="C287" i="7"/>
  <c r="C285" i="7"/>
  <c r="C284" i="7"/>
  <c r="C286" i="7"/>
  <c r="C225" i="7"/>
  <c r="C224" i="7"/>
  <c r="C223" i="7"/>
  <c r="C221" i="7"/>
  <c r="C222" i="7"/>
  <c r="C220" i="7"/>
  <c r="C161" i="7"/>
  <c r="C160" i="7"/>
  <c r="C159" i="7"/>
  <c r="C158" i="7"/>
  <c r="C157" i="7"/>
  <c r="C156" i="7"/>
  <c r="C97" i="7"/>
  <c r="C96" i="7"/>
  <c r="C95" i="7"/>
  <c r="C94" i="7"/>
  <c r="C92" i="7"/>
  <c r="C93" i="7"/>
  <c r="C41" i="7"/>
  <c r="C40" i="7"/>
  <c r="C39" i="7"/>
  <c r="C38" i="7"/>
  <c r="C37" i="7"/>
  <c r="C36" i="7"/>
  <c r="C35" i="7"/>
  <c r="C26" i="7"/>
  <c r="C90" i="7"/>
  <c r="C154" i="7"/>
  <c r="C218" i="7"/>
  <c r="C282" i="7"/>
  <c r="C346" i="7"/>
  <c r="C410" i="7"/>
  <c r="C474" i="7"/>
  <c r="C538" i="7"/>
  <c r="C602" i="7"/>
  <c r="C666" i="7"/>
  <c r="C730" i="7"/>
  <c r="C1714" i="7"/>
  <c r="C1970" i="7"/>
  <c r="C2226" i="7"/>
  <c r="C563" i="7"/>
  <c r="C2801" i="7"/>
  <c r="C2800" i="7"/>
  <c r="C2799" i="7"/>
  <c r="C2797" i="7"/>
  <c r="C2794" i="7"/>
  <c r="C2795" i="7"/>
  <c r="C2841" i="7"/>
  <c r="C2840" i="7"/>
  <c r="C2839" i="7"/>
  <c r="C2838" i="7"/>
  <c r="C2835" i="7"/>
  <c r="C2837" i="7"/>
  <c r="C2836" i="7"/>
  <c r="C2834" i="7"/>
  <c r="C2649" i="7"/>
  <c r="C2648" i="7"/>
  <c r="C2647" i="7"/>
  <c r="C2646" i="7"/>
  <c r="C2643" i="7"/>
  <c r="C2645" i="7"/>
  <c r="C2642" i="7"/>
  <c r="C2644" i="7"/>
  <c r="C2529" i="7"/>
  <c r="C2528" i="7"/>
  <c r="C2527" i="7"/>
  <c r="C2526" i="7"/>
  <c r="C2523" i="7"/>
  <c r="C2522" i="7"/>
  <c r="C2525" i="7"/>
  <c r="C2524" i="7"/>
  <c r="C2401" i="7"/>
  <c r="C2400" i="7"/>
  <c r="C2399" i="7"/>
  <c r="C2395" i="7"/>
  <c r="C2398" i="7"/>
  <c r="C2394" i="7"/>
  <c r="C2396" i="7"/>
  <c r="C2289" i="7"/>
  <c r="C2288" i="7"/>
  <c r="C2287" i="7"/>
  <c r="C2285" i="7"/>
  <c r="C2284" i="7"/>
  <c r="C2282" i="7"/>
  <c r="C2286" i="7"/>
  <c r="C2283" i="7"/>
  <c r="C2161" i="7"/>
  <c r="C2160" i="7"/>
  <c r="C2159" i="7"/>
  <c r="C2157" i="7"/>
  <c r="C2158" i="7"/>
  <c r="C2154" i="7"/>
  <c r="C2156" i="7"/>
  <c r="C2155" i="7"/>
  <c r="C2033" i="7"/>
  <c r="C2032" i="7"/>
  <c r="C2031" i="7"/>
  <c r="C2029" i="7"/>
  <c r="C2030" i="7"/>
  <c r="C2026" i="7"/>
  <c r="C2028" i="7"/>
  <c r="C2027" i="7"/>
  <c r="C1905" i="7"/>
  <c r="C1904" i="7"/>
  <c r="C1903" i="7"/>
  <c r="C1901" i="7"/>
  <c r="C1902" i="7"/>
  <c r="C1898" i="7"/>
  <c r="C1899" i="7"/>
  <c r="C1900" i="7"/>
  <c r="C1785" i="7"/>
  <c r="C1784" i="7"/>
  <c r="C1780" i="7"/>
  <c r="C1781" i="7"/>
  <c r="C1782" i="7"/>
  <c r="C1783" i="7"/>
  <c r="C1779" i="7"/>
  <c r="C2832" i="7"/>
  <c r="C2831" i="7"/>
  <c r="C2830" i="7"/>
  <c r="C2828" i="7"/>
  <c r="C2827" i="7"/>
  <c r="C2829" i="7"/>
  <c r="C2833" i="7"/>
  <c r="C2826" i="7"/>
  <c r="C2768" i="7"/>
  <c r="C2767" i="7"/>
  <c r="C2766" i="7"/>
  <c r="C2764" i="7"/>
  <c r="C2763" i="7"/>
  <c r="C2765" i="7"/>
  <c r="C2769" i="7"/>
  <c r="C2762" i="7"/>
  <c r="C2704" i="7"/>
  <c r="C2703" i="7"/>
  <c r="C2702" i="7"/>
  <c r="C2700" i="7"/>
  <c r="C2699" i="7"/>
  <c r="C2705" i="7"/>
  <c r="C2701" i="7"/>
  <c r="C2698" i="7"/>
  <c r="C2640" i="7"/>
  <c r="C2639" i="7"/>
  <c r="C2638" i="7"/>
  <c r="C2641" i="7"/>
  <c r="C2636" i="7"/>
  <c r="C2635" i="7"/>
  <c r="C2637" i="7"/>
  <c r="C2634" i="7"/>
  <c r="C2585" i="7"/>
  <c r="C2584" i="7"/>
  <c r="C2583" i="7"/>
  <c r="C2582" i="7"/>
  <c r="C2579" i="7"/>
  <c r="C2581" i="7"/>
  <c r="C2580" i="7"/>
  <c r="C2578" i="7"/>
  <c r="C2520" i="7"/>
  <c r="C2519" i="7"/>
  <c r="C2518" i="7"/>
  <c r="C2521" i="7"/>
  <c r="C2515" i="7"/>
  <c r="C2517" i="7"/>
  <c r="C2514" i="7"/>
  <c r="C2516" i="7"/>
  <c r="C2456" i="7"/>
  <c r="C2455" i="7"/>
  <c r="C2457" i="7"/>
  <c r="C2454" i="7"/>
  <c r="C2451" i="7"/>
  <c r="C2453" i="7"/>
  <c r="C2452" i="7"/>
  <c r="C2450" i="7"/>
  <c r="C2393" i="7"/>
  <c r="C2392" i="7"/>
  <c r="C2391" i="7"/>
  <c r="C2390" i="7"/>
  <c r="C2387" i="7"/>
  <c r="C2389" i="7"/>
  <c r="C2386" i="7"/>
  <c r="C2388" i="7"/>
  <c r="C2337" i="7"/>
  <c r="C2336" i="7"/>
  <c r="C2335" i="7"/>
  <c r="C2331" i="7"/>
  <c r="C2334" i="7"/>
  <c r="C2332" i="7"/>
  <c r="C2330" i="7"/>
  <c r="C2333" i="7"/>
  <c r="C2281" i="7"/>
  <c r="C2280" i="7"/>
  <c r="C2275" i="7"/>
  <c r="C2279" i="7"/>
  <c r="C2278" i="7"/>
  <c r="C2274" i="7"/>
  <c r="C2277" i="7"/>
  <c r="C2217" i="7"/>
  <c r="C2216" i="7"/>
  <c r="C2215" i="7"/>
  <c r="C2211" i="7"/>
  <c r="C2214" i="7"/>
  <c r="C2210" i="7"/>
  <c r="C2213" i="7"/>
  <c r="C2212" i="7"/>
  <c r="C2153" i="7"/>
  <c r="C2152" i="7"/>
  <c r="C2147" i="7"/>
  <c r="C2150" i="7"/>
  <c r="C2151" i="7"/>
  <c r="C2149" i="7"/>
  <c r="C2148" i="7"/>
  <c r="C2146" i="7"/>
  <c r="C2089" i="7"/>
  <c r="C2088" i="7"/>
  <c r="C2083" i="7"/>
  <c r="C2087" i="7"/>
  <c r="C2082" i="7"/>
  <c r="C2084" i="7"/>
  <c r="C2025" i="7"/>
  <c r="C2024" i="7"/>
  <c r="C2019" i="7"/>
  <c r="C2022" i="7"/>
  <c r="C2023" i="7"/>
  <c r="C2018" i="7"/>
  <c r="C2020" i="7"/>
  <c r="C2021" i="7"/>
  <c r="C1961" i="7"/>
  <c r="C1960" i="7"/>
  <c r="C1955" i="7"/>
  <c r="C1959" i="7"/>
  <c r="C1958" i="7"/>
  <c r="C1956" i="7"/>
  <c r="C1954" i="7"/>
  <c r="C1957" i="7"/>
  <c r="C1897" i="7"/>
  <c r="C1896" i="7"/>
  <c r="C1894" i="7"/>
  <c r="C1891" i="7"/>
  <c r="C1895" i="7"/>
  <c r="C1893" i="7"/>
  <c r="C1890" i="7"/>
  <c r="C1892" i="7"/>
  <c r="C1841" i="7"/>
  <c r="C1840" i="7"/>
  <c r="C1839" i="7"/>
  <c r="C1837" i="7"/>
  <c r="C1838" i="7"/>
  <c r="C1835" i="7"/>
  <c r="C1834" i="7"/>
  <c r="C1836" i="7"/>
  <c r="C1777" i="7"/>
  <c r="C1776" i="7"/>
  <c r="C1775" i="7"/>
  <c r="C1773" i="7"/>
  <c r="C1774" i="7"/>
  <c r="C1772" i="7"/>
  <c r="C1770" i="7"/>
  <c r="C1771" i="7"/>
  <c r="C1657" i="7"/>
  <c r="C1656" i="7"/>
  <c r="C1652" i="7"/>
  <c r="C1653" i="7"/>
  <c r="C1654" i="7"/>
  <c r="C1655" i="7"/>
  <c r="C1651" i="7"/>
  <c r="C1593" i="7"/>
  <c r="C1592" i="7"/>
  <c r="C1588" i="7"/>
  <c r="C1589" i="7"/>
  <c r="C1591" i="7"/>
  <c r="C1590" i="7"/>
  <c r="C1529" i="7"/>
  <c r="C1528" i="7"/>
  <c r="C1527" i="7"/>
  <c r="C1524" i="7"/>
  <c r="C1525" i="7"/>
  <c r="C1526" i="7"/>
  <c r="C1523" i="7"/>
  <c r="C1473" i="7"/>
  <c r="C1472" i="7"/>
  <c r="C1468" i="7"/>
  <c r="C1469" i="7"/>
  <c r="C1471" i="7"/>
  <c r="C1470" i="7"/>
  <c r="C1467" i="7"/>
  <c r="C1466" i="7"/>
  <c r="C1409" i="7"/>
  <c r="C1408" i="7"/>
  <c r="C1404" i="7"/>
  <c r="C1405" i="7"/>
  <c r="C1407" i="7"/>
  <c r="C1406" i="7"/>
  <c r="C1403" i="7"/>
  <c r="C1402" i="7"/>
  <c r="C1345" i="7"/>
  <c r="C1344" i="7"/>
  <c r="C1343" i="7"/>
  <c r="C1340" i="7"/>
  <c r="C1341" i="7"/>
  <c r="C1342" i="7"/>
  <c r="C1339" i="7"/>
  <c r="C1338" i="7"/>
  <c r="C1281" i="7"/>
  <c r="C1280" i="7"/>
  <c r="C1276" i="7"/>
  <c r="C1277" i="7"/>
  <c r="C1278" i="7"/>
  <c r="C1279" i="7"/>
  <c r="C1275" i="7"/>
  <c r="C1274" i="7"/>
  <c r="C1217" i="7"/>
  <c r="C1216" i="7"/>
  <c r="C1212" i="7"/>
  <c r="C1215" i="7"/>
  <c r="C1213" i="7"/>
  <c r="C1214" i="7"/>
  <c r="C1211" i="7"/>
  <c r="C1210" i="7"/>
  <c r="C1097" i="7"/>
  <c r="C1095" i="7"/>
  <c r="C1094" i="7"/>
  <c r="C1096" i="7"/>
  <c r="C1092" i="7"/>
  <c r="C1093" i="7"/>
  <c r="C1091" i="7"/>
  <c r="C1033" i="7"/>
  <c r="C1031" i="7"/>
  <c r="C1030" i="7"/>
  <c r="C1032" i="7"/>
  <c r="C1028" i="7"/>
  <c r="C1029" i="7"/>
  <c r="C1027" i="7"/>
  <c r="C969" i="7"/>
  <c r="C967" i="7"/>
  <c r="C966" i="7"/>
  <c r="C964" i="7"/>
  <c r="C965" i="7"/>
  <c r="C968" i="7"/>
  <c r="C963" i="7"/>
  <c r="C905" i="7"/>
  <c r="C903" i="7"/>
  <c r="C902" i="7"/>
  <c r="C901" i="7"/>
  <c r="C900" i="7"/>
  <c r="C904" i="7"/>
  <c r="C899" i="7"/>
  <c r="C841" i="7"/>
  <c r="C839" i="7"/>
  <c r="C838" i="7"/>
  <c r="C837" i="7"/>
  <c r="C836" i="7"/>
  <c r="C840" i="7"/>
  <c r="C835" i="7"/>
  <c r="C777" i="7"/>
  <c r="C775" i="7"/>
  <c r="C774" i="7"/>
  <c r="C773" i="7"/>
  <c r="C772" i="7"/>
  <c r="C776" i="7"/>
  <c r="C771" i="7"/>
  <c r="C721" i="7"/>
  <c r="C720" i="7"/>
  <c r="C719" i="7"/>
  <c r="C718" i="7"/>
  <c r="C717" i="7"/>
  <c r="C716" i="7"/>
  <c r="C715" i="7"/>
  <c r="C600" i="7"/>
  <c r="C599" i="7"/>
  <c r="C601" i="7"/>
  <c r="C598" i="7"/>
  <c r="C595" i="7"/>
  <c r="C597" i="7"/>
  <c r="C596" i="7"/>
  <c r="C536" i="7"/>
  <c r="C537" i="7"/>
  <c r="C535" i="7"/>
  <c r="C534" i="7"/>
  <c r="C533" i="7"/>
  <c r="C531" i="7"/>
  <c r="C532" i="7"/>
  <c r="C473" i="7"/>
  <c r="C472" i="7"/>
  <c r="C471" i="7"/>
  <c r="C470" i="7"/>
  <c r="C469" i="7"/>
  <c r="C467" i="7"/>
  <c r="C468" i="7"/>
  <c r="C409" i="7"/>
  <c r="C408" i="7"/>
  <c r="C407" i="7"/>
  <c r="C406" i="7"/>
  <c r="C405" i="7"/>
  <c r="C403" i="7"/>
  <c r="C344" i="7"/>
  <c r="C343" i="7"/>
  <c r="C342" i="7"/>
  <c r="C341" i="7"/>
  <c r="C345" i="7"/>
  <c r="C339" i="7"/>
  <c r="C340" i="7"/>
  <c r="C280" i="7"/>
  <c r="C279" i="7"/>
  <c r="C278" i="7"/>
  <c r="C281" i="7"/>
  <c r="C277" i="7"/>
  <c r="C275" i="7"/>
  <c r="C276" i="7"/>
  <c r="C216" i="7"/>
  <c r="C215" i="7"/>
  <c r="C214" i="7"/>
  <c r="C217" i="7"/>
  <c r="C211" i="7"/>
  <c r="C213" i="7"/>
  <c r="C212" i="7"/>
  <c r="C152" i="7"/>
  <c r="C151" i="7"/>
  <c r="C150" i="7"/>
  <c r="C153" i="7"/>
  <c r="C149" i="7"/>
  <c r="C148" i="7"/>
  <c r="C147" i="7"/>
  <c r="C88" i="7"/>
  <c r="C87" i="7"/>
  <c r="C89" i="7"/>
  <c r="C86" i="7"/>
  <c r="C84" i="7"/>
  <c r="C85" i="7"/>
  <c r="C83" i="7"/>
  <c r="C33" i="7"/>
  <c r="C32" i="7"/>
  <c r="C31" i="7"/>
  <c r="C29" i="7"/>
  <c r="C30" i="7"/>
  <c r="C28" i="7"/>
  <c r="C34" i="7"/>
  <c r="C98" i="7"/>
  <c r="C162" i="7"/>
  <c r="C226" i="7"/>
  <c r="C290" i="7"/>
  <c r="C354" i="7"/>
  <c r="C418" i="7"/>
  <c r="C482" i="7"/>
  <c r="C546" i="7"/>
  <c r="C610" i="7"/>
  <c r="C738" i="7"/>
  <c r="C1058" i="7"/>
  <c r="C1282" i="7"/>
  <c r="C1410" i="7"/>
  <c r="C1538" i="7"/>
  <c r="C2738" i="7"/>
  <c r="C91" i="7"/>
  <c r="C691" i="7"/>
  <c r="C2276" i="7"/>
  <c r="C916" i="7"/>
  <c r="C2085" i="7"/>
  <c r="C2798" i="7"/>
  <c r="C2777" i="7"/>
  <c r="C2776" i="7"/>
  <c r="C2775" i="7"/>
  <c r="C2774" i="7"/>
  <c r="C2771" i="7"/>
  <c r="C2773" i="7"/>
  <c r="C2770" i="7"/>
  <c r="C2772" i="7"/>
  <c r="C2713" i="7"/>
  <c r="C2712" i="7"/>
  <c r="C2711" i="7"/>
  <c r="C2710" i="7"/>
  <c r="C2707" i="7"/>
  <c r="C2709" i="7"/>
  <c r="C2708" i="7"/>
  <c r="C2706" i="7"/>
  <c r="C2593" i="7"/>
  <c r="C2592" i="7"/>
  <c r="C2591" i="7"/>
  <c r="C2587" i="7"/>
  <c r="C2590" i="7"/>
  <c r="C2588" i="7"/>
  <c r="C2586" i="7"/>
  <c r="C2589" i="7"/>
  <c r="C2465" i="7"/>
  <c r="C2464" i="7"/>
  <c r="C2463" i="7"/>
  <c r="C2459" i="7"/>
  <c r="C2462" i="7"/>
  <c r="C2460" i="7"/>
  <c r="C2461" i="7"/>
  <c r="C2458" i="7"/>
  <c r="C2345" i="7"/>
  <c r="C2344" i="7"/>
  <c r="C2339" i="7"/>
  <c r="C2342" i="7"/>
  <c r="C2343" i="7"/>
  <c r="C2338" i="7"/>
  <c r="C2340" i="7"/>
  <c r="C2225" i="7"/>
  <c r="C2224" i="7"/>
  <c r="C2223" i="7"/>
  <c r="C2221" i="7"/>
  <c r="C2222" i="7"/>
  <c r="C2219" i="7"/>
  <c r="C2218" i="7"/>
  <c r="C2220" i="7"/>
  <c r="C2097" i="7"/>
  <c r="C2096" i="7"/>
  <c r="C2095" i="7"/>
  <c r="C2094" i="7"/>
  <c r="C2093" i="7"/>
  <c r="C2091" i="7"/>
  <c r="C2090" i="7"/>
  <c r="C1969" i="7"/>
  <c r="C1968" i="7"/>
  <c r="C1967" i="7"/>
  <c r="C1965" i="7"/>
  <c r="C1966" i="7"/>
  <c r="C1963" i="7"/>
  <c r="C1962" i="7"/>
  <c r="C1964" i="7"/>
  <c r="C1721" i="7"/>
  <c r="C1720" i="7"/>
  <c r="C1716" i="7"/>
  <c r="C1719" i="7"/>
  <c r="C1717" i="7"/>
  <c r="C1718" i="7"/>
  <c r="C2823" i="7"/>
  <c r="C2822" i="7"/>
  <c r="C2825" i="7"/>
  <c r="C2820" i="7"/>
  <c r="C2821" i="7"/>
  <c r="C2824" i="7"/>
  <c r="C2819" i="7"/>
  <c r="C2818" i="7"/>
  <c r="C2759" i="7"/>
  <c r="C2758" i="7"/>
  <c r="C2761" i="7"/>
  <c r="C2760" i="7"/>
  <c r="C2756" i="7"/>
  <c r="C2757" i="7"/>
  <c r="C2755" i="7"/>
  <c r="C2754" i="7"/>
  <c r="C2695" i="7"/>
  <c r="C2694" i="7"/>
  <c r="C2697" i="7"/>
  <c r="C2696" i="7"/>
  <c r="C2692" i="7"/>
  <c r="C2693" i="7"/>
  <c r="C2691" i="7"/>
  <c r="C2690" i="7"/>
  <c r="C2631" i="7"/>
  <c r="C2630" i="7"/>
  <c r="C2633" i="7"/>
  <c r="C2628" i="7"/>
  <c r="C2629" i="7"/>
  <c r="C2632" i="7"/>
  <c r="C2627" i="7"/>
  <c r="C2626" i="7"/>
  <c r="C2576" i="7"/>
  <c r="C2575" i="7"/>
  <c r="C2574" i="7"/>
  <c r="C2577" i="7"/>
  <c r="C2572" i="7"/>
  <c r="C2571" i="7"/>
  <c r="C2573" i="7"/>
  <c r="C2570" i="7"/>
  <c r="C2512" i="7"/>
  <c r="C2511" i="7"/>
  <c r="C2510" i="7"/>
  <c r="C2513" i="7"/>
  <c r="C2508" i="7"/>
  <c r="C2507" i="7"/>
  <c r="C2509" i="7"/>
  <c r="C2506" i="7"/>
  <c r="C2448" i="7"/>
  <c r="C2447" i="7"/>
  <c r="C2449" i="7"/>
  <c r="C2446" i="7"/>
  <c r="C2444" i="7"/>
  <c r="C2443" i="7"/>
  <c r="C2445" i="7"/>
  <c r="C2442" i="7"/>
  <c r="C2385" i="7"/>
  <c r="C2384" i="7"/>
  <c r="C2383" i="7"/>
  <c r="C2382" i="7"/>
  <c r="C2380" i="7"/>
  <c r="C2379" i="7"/>
  <c r="C2381" i="7"/>
  <c r="C2378" i="7"/>
  <c r="C2328" i="7"/>
  <c r="C2327" i="7"/>
  <c r="C2326" i="7"/>
  <c r="C2329" i="7"/>
  <c r="C2323" i="7"/>
  <c r="C2325" i="7"/>
  <c r="C2324" i="7"/>
  <c r="C2322" i="7"/>
  <c r="C2273" i="7"/>
  <c r="C2272" i="7"/>
  <c r="C2271" i="7"/>
  <c r="C2267" i="7"/>
  <c r="C2270" i="7"/>
  <c r="C2268" i="7"/>
  <c r="C2266" i="7"/>
  <c r="C2269" i="7"/>
  <c r="C2209" i="7"/>
  <c r="C2208" i="7"/>
  <c r="C2207" i="7"/>
  <c r="C2206" i="7"/>
  <c r="C2203" i="7"/>
  <c r="C2204" i="7"/>
  <c r="C2205" i="7"/>
  <c r="C2202" i="7"/>
  <c r="C2145" i="7"/>
  <c r="C2144" i="7"/>
  <c r="C2143" i="7"/>
  <c r="C2139" i="7"/>
  <c r="C2142" i="7"/>
  <c r="C2140" i="7"/>
  <c r="C2141" i="7"/>
  <c r="C2138" i="7"/>
  <c r="C2081" i="7"/>
  <c r="C2080" i="7"/>
  <c r="C2079" i="7"/>
  <c r="C2075" i="7"/>
  <c r="C2076" i="7"/>
  <c r="C2078" i="7"/>
  <c r="C2074" i="7"/>
  <c r="C2077" i="7"/>
  <c r="C2017" i="7"/>
  <c r="C2016" i="7"/>
  <c r="C2015" i="7"/>
  <c r="C2014" i="7"/>
  <c r="C2011" i="7"/>
  <c r="C2012" i="7"/>
  <c r="C2010" i="7"/>
  <c r="C2013" i="7"/>
  <c r="C1953" i="7"/>
  <c r="C1952" i="7"/>
  <c r="C1951" i="7"/>
  <c r="C1947" i="7"/>
  <c r="C1950" i="7"/>
  <c r="C1948" i="7"/>
  <c r="C1949" i="7"/>
  <c r="C1946" i="7"/>
  <c r="C1889" i="7"/>
  <c r="C1888" i="7"/>
  <c r="C1887" i="7"/>
  <c r="C1886" i="7"/>
  <c r="C1883" i="7"/>
  <c r="C1884" i="7"/>
  <c r="C1885" i="7"/>
  <c r="C1882" i="7"/>
  <c r="C1833" i="7"/>
  <c r="C1832" i="7"/>
  <c r="C1830" i="7"/>
  <c r="C1827" i="7"/>
  <c r="C1831" i="7"/>
  <c r="C1826" i="7"/>
  <c r="C1828" i="7"/>
  <c r="C1769" i="7"/>
  <c r="C1768" i="7"/>
  <c r="C1766" i="7"/>
  <c r="C1763" i="7"/>
  <c r="C1767" i="7"/>
  <c r="C1762" i="7"/>
  <c r="C1765" i="7"/>
  <c r="C1713" i="7"/>
  <c r="C1712" i="7"/>
  <c r="C1711" i="7"/>
  <c r="C1709" i="7"/>
  <c r="C1710" i="7"/>
  <c r="C1707" i="7"/>
  <c r="C1706" i="7"/>
  <c r="C1708" i="7"/>
  <c r="C1649" i="7"/>
  <c r="C1648" i="7"/>
  <c r="C1647" i="7"/>
  <c r="C1645" i="7"/>
  <c r="C1646" i="7"/>
  <c r="C1642" i="7"/>
  <c r="C1644" i="7"/>
  <c r="C1643" i="7"/>
  <c r="C1585" i="7"/>
  <c r="C1584" i="7"/>
  <c r="C1583" i="7"/>
  <c r="C1581" i="7"/>
  <c r="C1582" i="7"/>
  <c r="C1579" i="7"/>
  <c r="C1578" i="7"/>
  <c r="C1521" i="7"/>
  <c r="C1520" i="7"/>
  <c r="C1519" i="7"/>
  <c r="C1517" i="7"/>
  <c r="C1518" i="7"/>
  <c r="C1514" i="7"/>
  <c r="C1516" i="7"/>
  <c r="C1515" i="7"/>
  <c r="C1465" i="7"/>
  <c r="C1464" i="7"/>
  <c r="C1460" i="7"/>
  <c r="C1461" i="7"/>
  <c r="C1463" i="7"/>
  <c r="C1462" i="7"/>
  <c r="C1401" i="7"/>
  <c r="C1400" i="7"/>
  <c r="C1396" i="7"/>
  <c r="C1397" i="7"/>
  <c r="C1399" i="7"/>
  <c r="C1398" i="7"/>
  <c r="C1395" i="7"/>
  <c r="C1337" i="7"/>
  <c r="C1336" i="7"/>
  <c r="C1332" i="7"/>
  <c r="C1333" i="7"/>
  <c r="C1334" i="7"/>
  <c r="C1335" i="7"/>
  <c r="C1273" i="7"/>
  <c r="C1272" i="7"/>
  <c r="C1268" i="7"/>
  <c r="C1269" i="7"/>
  <c r="C1270" i="7"/>
  <c r="C1271" i="7"/>
  <c r="C1267" i="7"/>
  <c r="C1209" i="7"/>
  <c r="C1208" i="7"/>
  <c r="C1204" i="7"/>
  <c r="C1207" i="7"/>
  <c r="C1205" i="7"/>
  <c r="C1206" i="7"/>
  <c r="C1153" i="7"/>
  <c r="C1152" i="7"/>
  <c r="C1148" i="7"/>
  <c r="C1149" i="7"/>
  <c r="C1150" i="7"/>
  <c r="C1147" i="7"/>
  <c r="C1151" i="7"/>
  <c r="C1089" i="7"/>
  <c r="C1088" i="7"/>
  <c r="C1084" i="7"/>
  <c r="C1085" i="7"/>
  <c r="C1087" i="7"/>
  <c r="C1083" i="7"/>
  <c r="C1025" i="7"/>
  <c r="C1024" i="7"/>
  <c r="C1023" i="7"/>
  <c r="C1020" i="7"/>
  <c r="C1021" i="7"/>
  <c r="C1022" i="7"/>
  <c r="C1019" i="7"/>
  <c r="C961" i="7"/>
  <c r="C957" i="7"/>
  <c r="C960" i="7"/>
  <c r="C956" i="7"/>
  <c r="C959" i="7"/>
  <c r="C958" i="7"/>
  <c r="C955" i="7"/>
  <c r="C897" i="7"/>
  <c r="C893" i="7"/>
  <c r="C896" i="7"/>
  <c r="C892" i="7"/>
  <c r="C895" i="7"/>
  <c r="C894" i="7"/>
  <c r="C891" i="7"/>
  <c r="C833" i="7"/>
  <c r="C829" i="7"/>
  <c r="C832" i="7"/>
  <c r="C831" i="7"/>
  <c r="C828" i="7"/>
  <c r="C830" i="7"/>
  <c r="C827" i="7"/>
  <c r="C713" i="7"/>
  <c r="C711" i="7"/>
  <c r="C710" i="7"/>
  <c r="C709" i="7"/>
  <c r="C708" i="7"/>
  <c r="C712" i="7"/>
  <c r="C707" i="7"/>
  <c r="C657" i="7"/>
  <c r="C656" i="7"/>
  <c r="C655" i="7"/>
  <c r="C654" i="7"/>
  <c r="C653" i="7"/>
  <c r="C652" i="7"/>
  <c r="C651" i="7"/>
  <c r="C593" i="7"/>
  <c r="C592" i="7"/>
  <c r="C591" i="7"/>
  <c r="C590" i="7"/>
  <c r="C589" i="7"/>
  <c r="C588" i="7"/>
  <c r="C587" i="7"/>
  <c r="C529" i="7"/>
  <c r="C528" i="7"/>
  <c r="C527" i="7"/>
  <c r="C526" i="7"/>
  <c r="C525" i="7"/>
  <c r="C524" i="7"/>
  <c r="C523" i="7"/>
  <c r="C465" i="7"/>
  <c r="C464" i="7"/>
  <c r="C463" i="7"/>
  <c r="C462" i="7"/>
  <c r="C461" i="7"/>
  <c r="C460" i="7"/>
  <c r="C459" i="7"/>
  <c r="C401" i="7"/>
  <c r="C400" i="7"/>
  <c r="C399" i="7"/>
  <c r="C398" i="7"/>
  <c r="C397" i="7"/>
  <c r="C396" i="7"/>
  <c r="C395" i="7"/>
  <c r="C337" i="7"/>
  <c r="C336" i="7"/>
  <c r="C335" i="7"/>
  <c r="C334" i="7"/>
  <c r="C333" i="7"/>
  <c r="C332" i="7"/>
  <c r="C331" i="7"/>
  <c r="C273" i="7"/>
  <c r="C272" i="7"/>
  <c r="C271" i="7"/>
  <c r="C270" i="7"/>
  <c r="C269" i="7"/>
  <c r="C268" i="7"/>
  <c r="C267" i="7"/>
  <c r="C209" i="7"/>
  <c r="C208" i="7"/>
  <c r="C207" i="7"/>
  <c r="C206" i="7"/>
  <c r="C205" i="7"/>
  <c r="C204" i="7"/>
  <c r="C203" i="7"/>
  <c r="C145" i="7"/>
  <c r="C144" i="7"/>
  <c r="C143" i="7"/>
  <c r="C142" i="7"/>
  <c r="C141" i="7"/>
  <c r="C140" i="7"/>
  <c r="C139" i="7"/>
  <c r="C81" i="7"/>
  <c r="C80" i="7"/>
  <c r="C79" i="7"/>
  <c r="C78" i="7"/>
  <c r="C77" i="7"/>
  <c r="C76" i="7"/>
  <c r="C75" i="7"/>
  <c r="C24" i="7"/>
  <c r="C25" i="7"/>
  <c r="C23" i="7"/>
  <c r="C22" i="7"/>
  <c r="C21" i="7"/>
  <c r="C20" i="7"/>
  <c r="C19" i="7"/>
  <c r="C42" i="7"/>
  <c r="C554" i="7"/>
  <c r="C1778" i="7"/>
  <c r="C2034" i="7"/>
  <c r="C2290" i="7"/>
  <c r="C155" i="7"/>
  <c r="C2867" i="7"/>
  <c r="C2092" i="7"/>
  <c r="C1829" i="7"/>
  <c r="C2086" i="7"/>
  <c r="C2881" i="7"/>
  <c r="C2879" i="7"/>
  <c r="C2876" i="7"/>
  <c r="C2877" i="7"/>
  <c r="C2880" i="7"/>
  <c r="C2878" i="7"/>
  <c r="C2875" i="7"/>
  <c r="C2817" i="7"/>
  <c r="C2814" i="7"/>
  <c r="C2812" i="7"/>
  <c r="C2813" i="7"/>
  <c r="C2816" i="7"/>
  <c r="C2815" i="7"/>
  <c r="C2811" i="7"/>
  <c r="C2810" i="7"/>
  <c r="C2753" i="7"/>
  <c r="C2752" i="7"/>
  <c r="C2748" i="7"/>
  <c r="C2751" i="7"/>
  <c r="C2749" i="7"/>
  <c r="C2750" i="7"/>
  <c r="C2747" i="7"/>
  <c r="C2746" i="7"/>
  <c r="C2689" i="7"/>
  <c r="C2684" i="7"/>
  <c r="C2685" i="7"/>
  <c r="C2683" i="7"/>
  <c r="C2688" i="7"/>
  <c r="C2687" i="7"/>
  <c r="C2686" i="7"/>
  <c r="C2682" i="7"/>
  <c r="C2625" i="7"/>
  <c r="C2620" i="7"/>
  <c r="C2622" i="7"/>
  <c r="C2621" i="7"/>
  <c r="C2623" i="7"/>
  <c r="C2624" i="7"/>
  <c r="C2619" i="7"/>
  <c r="C2618" i="7"/>
  <c r="C2567" i="7"/>
  <c r="C2566" i="7"/>
  <c r="C2569" i="7"/>
  <c r="C2564" i="7"/>
  <c r="C2565" i="7"/>
  <c r="C2568" i="7"/>
  <c r="C2563" i="7"/>
  <c r="C2562" i="7"/>
  <c r="C2505" i="7"/>
  <c r="C2503" i="7"/>
  <c r="C2502" i="7"/>
  <c r="C2504" i="7"/>
  <c r="C2500" i="7"/>
  <c r="C2501" i="7"/>
  <c r="C2499" i="7"/>
  <c r="C2498" i="7"/>
  <c r="C2441" i="7"/>
  <c r="C2439" i="7"/>
  <c r="C2438" i="7"/>
  <c r="C2440" i="7"/>
  <c r="C2436" i="7"/>
  <c r="C2437" i="7"/>
  <c r="C2435" i="7"/>
  <c r="C2434" i="7"/>
  <c r="C2377" i="7"/>
  <c r="C2375" i="7"/>
  <c r="C2374" i="7"/>
  <c r="C2372" i="7"/>
  <c r="C2373" i="7"/>
  <c r="C2376" i="7"/>
  <c r="C2371" i="7"/>
  <c r="C2370" i="7"/>
  <c r="C2320" i="7"/>
  <c r="C2319" i="7"/>
  <c r="C2318" i="7"/>
  <c r="C2321" i="7"/>
  <c r="C2316" i="7"/>
  <c r="C2315" i="7"/>
  <c r="C2317" i="7"/>
  <c r="C2314" i="7"/>
  <c r="C2264" i="7"/>
  <c r="C2263" i="7"/>
  <c r="C2262" i="7"/>
  <c r="C2265" i="7"/>
  <c r="C2259" i="7"/>
  <c r="C2261" i="7"/>
  <c r="C2260" i="7"/>
  <c r="C2200" i="7"/>
  <c r="C2199" i="7"/>
  <c r="C2201" i="7"/>
  <c r="C2198" i="7"/>
  <c r="C2195" i="7"/>
  <c r="C2197" i="7"/>
  <c r="C2196" i="7"/>
  <c r="C2137" i="7"/>
  <c r="C2136" i="7"/>
  <c r="C2135" i="7"/>
  <c r="C2134" i="7"/>
  <c r="C2131" i="7"/>
  <c r="C2133" i="7"/>
  <c r="C2132" i="7"/>
  <c r="C2072" i="7"/>
  <c r="C2071" i="7"/>
  <c r="C2070" i="7"/>
  <c r="C2073" i="7"/>
  <c r="C2067" i="7"/>
  <c r="C2069" i="7"/>
  <c r="C2068" i="7"/>
  <c r="C2008" i="7"/>
  <c r="C2007" i="7"/>
  <c r="C2006" i="7"/>
  <c r="C2009" i="7"/>
  <c r="C2003" i="7"/>
  <c r="C2005" i="7"/>
  <c r="C2004" i="7"/>
  <c r="C1944" i="7"/>
  <c r="C1943" i="7"/>
  <c r="C1945" i="7"/>
  <c r="C1942" i="7"/>
  <c r="C1939" i="7"/>
  <c r="C1941" i="7"/>
  <c r="C1881" i="7"/>
  <c r="C1880" i="7"/>
  <c r="C1879" i="7"/>
  <c r="C1878" i="7"/>
  <c r="C1875" i="7"/>
  <c r="C1877" i="7"/>
  <c r="C1876" i="7"/>
  <c r="C1825" i="7"/>
  <c r="C1824" i="7"/>
  <c r="C1823" i="7"/>
  <c r="C1819" i="7"/>
  <c r="C1822" i="7"/>
  <c r="C1820" i="7"/>
  <c r="C1818" i="7"/>
  <c r="C1821" i="7"/>
  <c r="C1761" i="7"/>
  <c r="C1760" i="7"/>
  <c r="C1759" i="7"/>
  <c r="C1758" i="7"/>
  <c r="C1755" i="7"/>
  <c r="C1756" i="7"/>
  <c r="C1754" i="7"/>
  <c r="C1757" i="7"/>
  <c r="C1705" i="7"/>
  <c r="C1704" i="7"/>
  <c r="C1702" i="7"/>
  <c r="C1703" i="7"/>
  <c r="C1699" i="7"/>
  <c r="C1698" i="7"/>
  <c r="C1701" i="7"/>
  <c r="C1700" i="7"/>
  <c r="C1641" i="7"/>
  <c r="C1640" i="7"/>
  <c r="C1638" i="7"/>
  <c r="C1635" i="7"/>
  <c r="C1639" i="7"/>
  <c r="C1637" i="7"/>
  <c r="C1636" i="7"/>
  <c r="C1634" i="7"/>
  <c r="C1577" i="7"/>
  <c r="C1576" i="7"/>
  <c r="C1574" i="7"/>
  <c r="C1571" i="7"/>
  <c r="C1575" i="7"/>
  <c r="C1570" i="7"/>
  <c r="C1572" i="7"/>
  <c r="C1513" i="7"/>
  <c r="C1512" i="7"/>
  <c r="C1510" i="7"/>
  <c r="C1507" i="7"/>
  <c r="C1506" i="7"/>
  <c r="C1508" i="7"/>
  <c r="C1509" i="7"/>
  <c r="C1511" i="7"/>
  <c r="C1457" i="7"/>
  <c r="C1456" i="7"/>
  <c r="C1455" i="7"/>
  <c r="C1453" i="7"/>
  <c r="C1454" i="7"/>
  <c r="C1451" i="7"/>
  <c r="C1450" i="7"/>
  <c r="C1452" i="7"/>
  <c r="C1393" i="7"/>
  <c r="C1392" i="7"/>
  <c r="C1391" i="7"/>
  <c r="C1389" i="7"/>
  <c r="C1390" i="7"/>
  <c r="C1386" i="7"/>
  <c r="C1387" i="7"/>
  <c r="C1388" i="7"/>
  <c r="C1329" i="7"/>
  <c r="C1328" i="7"/>
  <c r="C1327" i="7"/>
  <c r="C1325" i="7"/>
  <c r="C1326" i="7"/>
  <c r="C1323" i="7"/>
  <c r="C1322" i="7"/>
  <c r="C1324" i="7"/>
  <c r="C1265" i="7"/>
  <c r="C1264" i="7"/>
  <c r="C1263" i="7"/>
  <c r="C1261" i="7"/>
  <c r="C1262" i="7"/>
  <c r="C1260" i="7"/>
  <c r="C1258" i="7"/>
  <c r="C1259" i="7"/>
  <c r="C1201" i="7"/>
  <c r="C1200" i="7"/>
  <c r="C1199" i="7"/>
  <c r="C1197" i="7"/>
  <c r="C1198" i="7"/>
  <c r="C1195" i="7"/>
  <c r="C1194" i="7"/>
  <c r="C1196" i="7"/>
  <c r="C1145" i="7"/>
  <c r="C1144" i="7"/>
  <c r="C1140" i="7"/>
  <c r="C1141" i="7"/>
  <c r="C1142" i="7"/>
  <c r="C1143" i="7"/>
  <c r="C1139" i="7"/>
  <c r="C1081" i="7"/>
  <c r="C1080" i="7"/>
  <c r="C1076" i="7"/>
  <c r="C1077" i="7"/>
  <c r="C1079" i="7"/>
  <c r="C1078" i="7"/>
  <c r="C1017" i="7"/>
  <c r="C1016" i="7"/>
  <c r="C1015" i="7"/>
  <c r="C1012" i="7"/>
  <c r="C1013" i="7"/>
  <c r="C1014" i="7"/>
  <c r="C1011" i="7"/>
  <c r="C953" i="7"/>
  <c r="C952" i="7"/>
  <c r="C948" i="7"/>
  <c r="C949" i="7"/>
  <c r="C951" i="7"/>
  <c r="C950" i="7"/>
  <c r="C889" i="7"/>
  <c r="C888" i="7"/>
  <c r="C884" i="7"/>
  <c r="C887" i="7"/>
  <c r="C886" i="7"/>
  <c r="C885" i="7"/>
  <c r="C883" i="7"/>
  <c r="C825" i="7"/>
  <c r="C824" i="7"/>
  <c r="C821" i="7"/>
  <c r="C820" i="7"/>
  <c r="C822" i="7"/>
  <c r="C823" i="7"/>
  <c r="C769" i="7"/>
  <c r="C765" i="7"/>
  <c r="C768" i="7"/>
  <c r="C764" i="7"/>
  <c r="C766" i="7"/>
  <c r="C767" i="7"/>
  <c r="C763" i="7"/>
  <c r="C705" i="7"/>
  <c r="C701" i="7"/>
  <c r="C704" i="7"/>
  <c r="C700" i="7"/>
  <c r="C703" i="7"/>
  <c r="C702" i="7"/>
  <c r="C699" i="7"/>
  <c r="C649" i="7"/>
  <c r="C647" i="7"/>
  <c r="C646" i="7"/>
  <c r="C645" i="7"/>
  <c r="C648" i="7"/>
  <c r="C644" i="7"/>
  <c r="C643" i="7"/>
  <c r="C585" i="7"/>
  <c r="C583" i="7"/>
  <c r="C582" i="7"/>
  <c r="C581" i="7"/>
  <c r="C584" i="7"/>
  <c r="C580" i="7"/>
  <c r="C579" i="7"/>
  <c r="C521" i="7"/>
  <c r="C519" i="7"/>
  <c r="C518" i="7"/>
  <c r="C517" i="7"/>
  <c r="C520" i="7"/>
  <c r="C516" i="7"/>
  <c r="C515" i="7"/>
  <c r="C457" i="7"/>
  <c r="C455" i="7"/>
  <c r="C454" i="7"/>
  <c r="C453" i="7"/>
  <c r="C452" i="7"/>
  <c r="C451" i="7"/>
  <c r="C393" i="7"/>
  <c r="C391" i="7"/>
  <c r="C390" i="7"/>
  <c r="C389" i="7"/>
  <c r="C388" i="7"/>
  <c r="C392" i="7"/>
  <c r="C387" i="7"/>
  <c r="C329" i="7"/>
  <c r="C327" i="7"/>
  <c r="C326" i="7"/>
  <c r="C325" i="7"/>
  <c r="C324" i="7"/>
  <c r="C328" i="7"/>
  <c r="C323" i="7"/>
  <c r="C265" i="7"/>
  <c r="C263" i="7"/>
  <c r="C262" i="7"/>
  <c r="C261" i="7"/>
  <c r="C260" i="7"/>
  <c r="C264" i="7"/>
  <c r="C259" i="7"/>
  <c r="C201" i="7"/>
  <c r="C199" i="7"/>
  <c r="C198" i="7"/>
  <c r="C197" i="7"/>
  <c r="C196" i="7"/>
  <c r="C200" i="7"/>
  <c r="C195" i="7"/>
  <c r="C137" i="7"/>
  <c r="C135" i="7"/>
  <c r="C134" i="7"/>
  <c r="C133" i="7"/>
  <c r="C136" i="7"/>
  <c r="C132" i="7"/>
  <c r="C131" i="7"/>
  <c r="C73" i="7"/>
  <c r="C71" i="7"/>
  <c r="C70" i="7"/>
  <c r="C69" i="7"/>
  <c r="C72" i="7"/>
  <c r="C68" i="7"/>
  <c r="C67" i="7"/>
  <c r="C17" i="7"/>
  <c r="C16" i="7"/>
  <c r="C15" i="7"/>
  <c r="C14" i="7"/>
  <c r="C13" i="7"/>
  <c r="C12" i="7"/>
  <c r="C11" i="7"/>
  <c r="C818" i="7"/>
  <c r="C882" i="7"/>
  <c r="C946" i="7"/>
  <c r="C1010" i="7"/>
  <c r="C1082" i="7"/>
  <c r="C2066" i="7"/>
  <c r="C219" i="7"/>
  <c r="C947" i="7"/>
  <c r="C1971" i="7"/>
  <c r="C1940" i="7"/>
  <c r="C1573" i="7"/>
  <c r="C1086" i="7"/>
  <c r="C2873" i="7"/>
  <c r="C2872" i="7"/>
  <c r="C2868" i="7"/>
  <c r="C2869" i="7"/>
  <c r="C2870" i="7"/>
  <c r="C2871" i="7"/>
  <c r="C2809" i="7"/>
  <c r="C2808" i="7"/>
  <c r="C2806" i="7"/>
  <c r="C2804" i="7"/>
  <c r="C2805" i="7"/>
  <c r="C2807" i="7"/>
  <c r="C2803" i="7"/>
  <c r="C2745" i="7"/>
  <c r="C2744" i="7"/>
  <c r="C2740" i="7"/>
  <c r="C2743" i="7"/>
  <c r="C2741" i="7"/>
  <c r="C2742" i="7"/>
  <c r="C2681" i="7"/>
  <c r="C2680" i="7"/>
  <c r="C2676" i="7"/>
  <c r="C2677" i="7"/>
  <c r="C2679" i="7"/>
  <c r="C2678" i="7"/>
  <c r="C2675" i="7"/>
  <c r="C2561" i="7"/>
  <c r="C2559" i="7"/>
  <c r="C2556" i="7"/>
  <c r="C2557" i="7"/>
  <c r="C2560" i="7"/>
  <c r="C2558" i="7"/>
  <c r="C2555" i="7"/>
  <c r="C2554" i="7"/>
  <c r="C2497" i="7"/>
  <c r="C2494" i="7"/>
  <c r="C2496" i="7"/>
  <c r="C2492" i="7"/>
  <c r="C2493" i="7"/>
  <c r="C2495" i="7"/>
  <c r="C2491" i="7"/>
  <c r="C2490" i="7"/>
  <c r="C2433" i="7"/>
  <c r="C2428" i="7"/>
  <c r="C2429" i="7"/>
  <c r="C2431" i="7"/>
  <c r="C2430" i="7"/>
  <c r="C2427" i="7"/>
  <c r="C2432" i="7"/>
  <c r="C2426" i="7"/>
  <c r="C2256" i="7"/>
  <c r="C2255" i="7"/>
  <c r="C2254" i="7"/>
  <c r="C2257" i="7"/>
  <c r="C2252" i="7"/>
  <c r="C2251" i="7"/>
  <c r="C2253" i="7"/>
  <c r="C2250" i="7"/>
  <c r="C2192" i="7"/>
  <c r="C2191" i="7"/>
  <c r="C2193" i="7"/>
  <c r="C2190" i="7"/>
  <c r="C2188" i="7"/>
  <c r="C2187" i="7"/>
  <c r="C2189" i="7"/>
  <c r="C2186" i="7"/>
  <c r="C2129" i="7"/>
  <c r="C2128" i="7"/>
  <c r="C2127" i="7"/>
  <c r="C2126" i="7"/>
  <c r="C2124" i="7"/>
  <c r="C2123" i="7"/>
  <c r="C2125" i="7"/>
  <c r="C2122" i="7"/>
  <c r="C2064" i="7"/>
  <c r="C2063" i="7"/>
  <c r="C2062" i="7"/>
  <c r="C2065" i="7"/>
  <c r="C2060" i="7"/>
  <c r="C2059" i="7"/>
  <c r="C2061" i="7"/>
  <c r="C2058" i="7"/>
  <c r="C2000" i="7"/>
  <c r="C1999" i="7"/>
  <c r="C1998" i="7"/>
  <c r="C2001" i="7"/>
  <c r="C1996" i="7"/>
  <c r="C1995" i="7"/>
  <c r="C1997" i="7"/>
  <c r="C1994" i="7"/>
  <c r="C1936" i="7"/>
  <c r="C1935" i="7"/>
  <c r="C1937" i="7"/>
  <c r="C1934" i="7"/>
  <c r="C1932" i="7"/>
  <c r="C1931" i="7"/>
  <c r="C1933" i="7"/>
  <c r="C1930" i="7"/>
  <c r="C1873" i="7"/>
  <c r="C1872" i="7"/>
  <c r="C1871" i="7"/>
  <c r="C1870" i="7"/>
  <c r="C1868" i="7"/>
  <c r="C1867" i="7"/>
  <c r="C1869" i="7"/>
  <c r="C1866" i="7"/>
  <c r="C1816" i="7"/>
  <c r="C1815" i="7"/>
  <c r="C1814" i="7"/>
  <c r="C1811" i="7"/>
  <c r="C1813" i="7"/>
  <c r="C1812" i="7"/>
  <c r="C1817" i="7"/>
  <c r="C1752" i="7"/>
  <c r="C1751" i="7"/>
  <c r="C1750" i="7"/>
  <c r="C1753" i="7"/>
  <c r="C1747" i="7"/>
  <c r="C1749" i="7"/>
  <c r="C1748" i="7"/>
  <c r="C1697" i="7"/>
  <c r="C1696" i="7"/>
  <c r="C1695" i="7"/>
  <c r="C1691" i="7"/>
  <c r="C1694" i="7"/>
  <c r="C1692" i="7"/>
  <c r="C1693" i="7"/>
  <c r="C1690" i="7"/>
  <c r="C1633" i="7"/>
  <c r="C1632" i="7"/>
  <c r="C1631" i="7"/>
  <c r="C1630" i="7"/>
  <c r="C1627" i="7"/>
  <c r="C1628" i="7"/>
  <c r="C1629" i="7"/>
  <c r="C1626" i="7"/>
  <c r="C1569" i="7"/>
  <c r="C1568" i="7"/>
  <c r="C1567" i="7"/>
  <c r="C1563" i="7"/>
  <c r="C1566" i="7"/>
  <c r="C1564" i="7"/>
  <c r="C1565" i="7"/>
  <c r="C1505" i="7"/>
  <c r="C1504" i="7"/>
  <c r="C1503" i="7"/>
  <c r="C1502" i="7"/>
  <c r="C1499" i="7"/>
  <c r="C1500" i="7"/>
  <c r="C1501" i="7"/>
  <c r="C1449" i="7"/>
  <c r="C1448" i="7"/>
  <c r="C1446" i="7"/>
  <c r="C1443" i="7"/>
  <c r="C1447" i="7"/>
  <c r="C1444" i="7"/>
  <c r="C1442" i="7"/>
  <c r="C1445" i="7"/>
  <c r="C1385" i="7"/>
  <c r="C1384" i="7"/>
  <c r="C1382" i="7"/>
  <c r="C1379" i="7"/>
  <c r="C1383" i="7"/>
  <c r="C1381" i="7"/>
  <c r="C1378" i="7"/>
  <c r="C1380" i="7"/>
  <c r="C1321" i="7"/>
  <c r="C1320" i="7"/>
  <c r="C1318" i="7"/>
  <c r="C1315" i="7"/>
  <c r="C1319" i="7"/>
  <c r="C1314" i="7"/>
  <c r="C1316" i="7"/>
  <c r="C1257" i="7"/>
  <c r="C1256" i="7"/>
  <c r="C1254" i="7"/>
  <c r="C1251" i="7"/>
  <c r="C1255" i="7"/>
  <c r="C1250" i="7"/>
  <c r="C1253" i="7"/>
  <c r="C1193" i="7"/>
  <c r="C1192" i="7"/>
  <c r="C1190" i="7"/>
  <c r="C1191" i="7"/>
  <c r="C1187" i="7"/>
  <c r="C1186" i="7"/>
  <c r="C1189" i="7"/>
  <c r="C1188" i="7"/>
  <c r="C1137" i="7"/>
  <c r="C1136" i="7"/>
  <c r="C1135" i="7"/>
  <c r="C1133" i="7"/>
  <c r="C1134" i="7"/>
  <c r="C1130" i="7"/>
  <c r="C1132" i="7"/>
  <c r="C1131" i="7"/>
  <c r="C1073" i="7"/>
  <c r="C1072" i="7"/>
  <c r="C1071" i="7"/>
  <c r="C1069" i="7"/>
  <c r="C1070" i="7"/>
  <c r="C1067" i="7"/>
  <c r="C1066" i="7"/>
  <c r="C1009" i="7"/>
  <c r="C1008" i="7"/>
  <c r="C1007" i="7"/>
  <c r="C1005" i="7"/>
  <c r="C1006" i="7"/>
  <c r="C1004" i="7"/>
  <c r="C1003" i="7"/>
  <c r="C945" i="7"/>
  <c r="C944" i="7"/>
  <c r="C943" i="7"/>
  <c r="C941" i="7"/>
  <c r="C942" i="7"/>
  <c r="C939" i="7"/>
  <c r="C940" i="7"/>
  <c r="C881" i="7"/>
  <c r="C880" i="7"/>
  <c r="C879" i="7"/>
  <c r="C878" i="7"/>
  <c r="C877" i="7"/>
  <c r="C875" i="7"/>
  <c r="C876" i="7"/>
  <c r="C817" i="7"/>
  <c r="C816" i="7"/>
  <c r="C815" i="7"/>
  <c r="C814" i="7"/>
  <c r="C811" i="7"/>
  <c r="C813" i="7"/>
  <c r="C812" i="7"/>
  <c r="C761" i="7"/>
  <c r="C760" i="7"/>
  <c r="C756" i="7"/>
  <c r="C758" i="7"/>
  <c r="C757" i="7"/>
  <c r="C759" i="7"/>
  <c r="C755" i="7"/>
  <c r="C697" i="7"/>
  <c r="C696" i="7"/>
  <c r="C692" i="7"/>
  <c r="C695" i="7"/>
  <c r="C694" i="7"/>
  <c r="C693" i="7"/>
  <c r="C641" i="7"/>
  <c r="C637" i="7"/>
  <c r="C640" i="7"/>
  <c r="C636" i="7"/>
  <c r="C639" i="7"/>
  <c r="C638" i="7"/>
  <c r="C635" i="7"/>
  <c r="C577" i="7"/>
  <c r="C573" i="7"/>
  <c r="C576" i="7"/>
  <c r="C575" i="7"/>
  <c r="C572" i="7"/>
  <c r="C574" i="7"/>
  <c r="C571" i="7"/>
  <c r="C513" i="7"/>
  <c r="C509" i="7"/>
  <c r="C512" i="7"/>
  <c r="C508" i="7"/>
  <c r="C510" i="7"/>
  <c r="C511" i="7"/>
  <c r="C507" i="7"/>
  <c r="C449" i="7"/>
  <c r="C445" i="7"/>
  <c r="C448" i="7"/>
  <c r="C444" i="7"/>
  <c r="C447" i="7"/>
  <c r="C446" i="7"/>
  <c r="C443" i="7"/>
  <c r="C385" i="7"/>
  <c r="C382" i="7"/>
  <c r="C381" i="7"/>
  <c r="C384" i="7"/>
  <c r="C380" i="7"/>
  <c r="C383" i="7"/>
  <c r="C379" i="7"/>
  <c r="C321" i="7"/>
  <c r="C318" i="7"/>
  <c r="C317" i="7"/>
  <c r="C320" i="7"/>
  <c r="C319" i="7"/>
  <c r="C316" i="7"/>
  <c r="C315" i="7"/>
  <c r="C257" i="7"/>
  <c r="C254" i="7"/>
  <c r="C253" i="7"/>
  <c r="C256" i="7"/>
  <c r="C252" i="7"/>
  <c r="C255" i="7"/>
  <c r="C251" i="7"/>
  <c r="C193" i="7"/>
  <c r="C190" i="7"/>
  <c r="C189" i="7"/>
  <c r="C192" i="7"/>
  <c r="C188" i="7"/>
  <c r="C191" i="7"/>
  <c r="C187" i="7"/>
  <c r="C129" i="7"/>
  <c r="C126" i="7"/>
  <c r="C125" i="7"/>
  <c r="C128" i="7"/>
  <c r="C124" i="7"/>
  <c r="C127" i="7"/>
  <c r="C123" i="7"/>
  <c r="C65" i="7"/>
  <c r="C62" i="7"/>
  <c r="C61" i="7"/>
  <c r="C64" i="7"/>
  <c r="C63" i="7"/>
  <c r="C60" i="7"/>
  <c r="C59" i="7"/>
  <c r="C9" i="7"/>
  <c r="C7" i="7"/>
  <c r="C6" i="7"/>
  <c r="C5" i="7"/>
  <c r="C8" i="7"/>
  <c r="C4" i="7"/>
  <c r="C3" i="7"/>
  <c r="C58" i="7"/>
  <c r="C122" i="7"/>
  <c r="C186" i="7"/>
  <c r="C250" i="7"/>
  <c r="C314" i="7"/>
  <c r="C378" i="7"/>
  <c r="C442" i="7"/>
  <c r="C506" i="7"/>
  <c r="C570" i="7"/>
  <c r="C634" i="7"/>
  <c r="C698" i="7"/>
  <c r="C762" i="7"/>
  <c r="C826" i="7"/>
  <c r="C890" i="7"/>
  <c r="C954" i="7"/>
  <c r="C1018" i="7"/>
  <c r="C1090" i="7"/>
  <c r="C1202" i="7"/>
  <c r="C1330" i="7"/>
  <c r="C1458" i="7"/>
  <c r="C1586" i="7"/>
  <c r="C2098" i="7"/>
  <c r="C2418" i="7"/>
  <c r="C283" i="7"/>
  <c r="C1075" i="7"/>
  <c r="C2099" i="7"/>
  <c r="C1764" i="7"/>
  <c r="C404" i="7"/>
  <c r="C1317" i="7"/>
  <c r="C121" i="7"/>
  <c r="C120" i="7"/>
  <c r="C116" i="7"/>
  <c r="C119" i="7"/>
  <c r="C117" i="7"/>
  <c r="C118" i="7"/>
  <c r="C115" i="7"/>
  <c r="C2" i="7"/>
  <c r="C66" i="7"/>
  <c r="C130" i="7"/>
  <c r="C194" i="7"/>
  <c r="C258" i="7"/>
  <c r="C322" i="7"/>
  <c r="C386" i="7"/>
  <c r="C450" i="7"/>
  <c r="C514" i="7"/>
  <c r="C578" i="7"/>
  <c r="C642" i="7"/>
  <c r="C706" i="7"/>
  <c r="C770" i="7"/>
  <c r="C834" i="7"/>
  <c r="C898" i="7"/>
  <c r="C962" i="7"/>
  <c r="C1026" i="7"/>
  <c r="C1106" i="7"/>
  <c r="C1218" i="7"/>
  <c r="C1346" i="7"/>
  <c r="C1618" i="7"/>
  <c r="C1874" i="7"/>
  <c r="C2130" i="7"/>
  <c r="C2482" i="7"/>
  <c r="C347" i="7"/>
  <c r="C1203" i="7"/>
  <c r="C2227" i="7"/>
  <c r="C2796" i="7"/>
  <c r="C1580" i="7"/>
  <c r="C228" i="7"/>
  <c r="C1663" i="7"/>
  <c r="C2673" i="7"/>
  <c r="C2672" i="7"/>
  <c r="C2671" i="7"/>
  <c r="C2669" i="7"/>
  <c r="C2670" i="7"/>
  <c r="C2666" i="7"/>
  <c r="C2667" i="7"/>
  <c r="C2553" i="7"/>
  <c r="C2552" i="7"/>
  <c r="C2551" i="7"/>
  <c r="C2548" i="7"/>
  <c r="C2549" i="7"/>
  <c r="C2550" i="7"/>
  <c r="C2547" i="7"/>
  <c r="C2369" i="7"/>
  <c r="C2367" i="7"/>
  <c r="C2364" i="7"/>
  <c r="C2365" i="7"/>
  <c r="C2368" i="7"/>
  <c r="C2366" i="7"/>
  <c r="C2363" i="7"/>
  <c r="C2362" i="7"/>
  <c r="C2121" i="7"/>
  <c r="C2119" i="7"/>
  <c r="C2118" i="7"/>
  <c r="C2116" i="7"/>
  <c r="C2117" i="7"/>
  <c r="C2120" i="7"/>
  <c r="C2115" i="7"/>
  <c r="C2114" i="7"/>
  <c r="C1993" i="7"/>
  <c r="C1991" i="7"/>
  <c r="C1990" i="7"/>
  <c r="C1992" i="7"/>
  <c r="C1988" i="7"/>
  <c r="C1989" i="7"/>
  <c r="C1987" i="7"/>
  <c r="C1986" i="7"/>
  <c r="C1865" i="7"/>
  <c r="C1863" i="7"/>
  <c r="C1862" i="7"/>
  <c r="C1860" i="7"/>
  <c r="C1861" i="7"/>
  <c r="C1864" i="7"/>
  <c r="C1859" i="7"/>
  <c r="C1858" i="7"/>
  <c r="C1744" i="7"/>
  <c r="C1743" i="7"/>
  <c r="C1742" i="7"/>
  <c r="C1745" i="7"/>
  <c r="C1740" i="7"/>
  <c r="C1739" i="7"/>
  <c r="C1741" i="7"/>
  <c r="C1738" i="7"/>
  <c r="C1688" i="7"/>
  <c r="C1687" i="7"/>
  <c r="C1689" i="7"/>
  <c r="C1686" i="7"/>
  <c r="C1683" i="7"/>
  <c r="C1685" i="7"/>
  <c r="C1684" i="7"/>
  <c r="C1560" i="7"/>
  <c r="C1559" i="7"/>
  <c r="C1558" i="7"/>
  <c r="C1555" i="7"/>
  <c r="C1557" i="7"/>
  <c r="C1561" i="7"/>
  <c r="C1556" i="7"/>
  <c r="C1496" i="7"/>
  <c r="C1495" i="7"/>
  <c r="C1494" i="7"/>
  <c r="C1497" i="7"/>
  <c r="C1491" i="7"/>
  <c r="C1493" i="7"/>
  <c r="C1492" i="7"/>
  <c r="C1441" i="7"/>
  <c r="C1440" i="7"/>
  <c r="C1439" i="7"/>
  <c r="C1435" i="7"/>
  <c r="C1438" i="7"/>
  <c r="C1436" i="7"/>
  <c r="C1437" i="7"/>
  <c r="C1377" i="7"/>
  <c r="C1376" i="7"/>
  <c r="C1375" i="7"/>
  <c r="C1374" i="7"/>
  <c r="C1371" i="7"/>
  <c r="C1372" i="7"/>
  <c r="C1373" i="7"/>
  <c r="C1313" i="7"/>
  <c r="C1312" i="7"/>
  <c r="C1311" i="7"/>
  <c r="C1307" i="7"/>
  <c r="C1310" i="7"/>
  <c r="C1308" i="7"/>
  <c r="C1309" i="7"/>
  <c r="C1185" i="7"/>
  <c r="C1184" i="7"/>
  <c r="C1183" i="7"/>
  <c r="C1179" i="7"/>
  <c r="C1182" i="7"/>
  <c r="C1180" i="7"/>
  <c r="C1181" i="7"/>
  <c r="C1129" i="7"/>
  <c r="C1128" i="7"/>
  <c r="C1126" i="7"/>
  <c r="C1123" i="7"/>
  <c r="C1127" i="7"/>
  <c r="C1125" i="7"/>
  <c r="C1124" i="7"/>
  <c r="C1122" i="7"/>
  <c r="C1065" i="7"/>
  <c r="C1064" i="7"/>
  <c r="C1062" i="7"/>
  <c r="C1059" i="7"/>
  <c r="C1063" i="7"/>
  <c r="C1060" i="7"/>
  <c r="C1001" i="7"/>
  <c r="C1000" i="7"/>
  <c r="C998" i="7"/>
  <c r="C995" i="7"/>
  <c r="C999" i="7"/>
  <c r="C996" i="7"/>
  <c r="C997" i="7"/>
  <c r="C937" i="7"/>
  <c r="C936" i="7"/>
  <c r="C934" i="7"/>
  <c r="C933" i="7"/>
  <c r="C931" i="7"/>
  <c r="C935" i="7"/>
  <c r="C932" i="7"/>
  <c r="C873" i="7"/>
  <c r="C872" i="7"/>
  <c r="C870" i="7"/>
  <c r="C867" i="7"/>
  <c r="C871" i="7"/>
  <c r="C869" i="7"/>
  <c r="C868" i="7"/>
  <c r="C809" i="7"/>
  <c r="C808" i="7"/>
  <c r="C807" i="7"/>
  <c r="C806" i="7"/>
  <c r="C803" i="7"/>
  <c r="C805" i="7"/>
  <c r="C804" i="7"/>
  <c r="C753" i="7"/>
  <c r="C752" i="7"/>
  <c r="C751" i="7"/>
  <c r="C750" i="7"/>
  <c r="C749" i="7"/>
  <c r="C748" i="7"/>
  <c r="C747" i="7"/>
  <c r="C689" i="7"/>
  <c r="C688" i="7"/>
  <c r="C687" i="7"/>
  <c r="C686" i="7"/>
  <c r="C685" i="7"/>
  <c r="C683" i="7"/>
  <c r="C684" i="7"/>
  <c r="C633" i="7"/>
  <c r="C632" i="7"/>
  <c r="C628" i="7"/>
  <c r="C631" i="7"/>
  <c r="C629" i="7"/>
  <c r="C630" i="7"/>
  <c r="C627" i="7"/>
  <c r="C569" i="7"/>
  <c r="C568" i="7"/>
  <c r="C564" i="7"/>
  <c r="C565" i="7"/>
  <c r="C566" i="7"/>
  <c r="C567" i="7"/>
  <c r="C505" i="7"/>
  <c r="C504" i="7"/>
  <c r="C500" i="7"/>
  <c r="C502" i="7"/>
  <c r="C503" i="7"/>
  <c r="C501" i="7"/>
  <c r="C499" i="7"/>
  <c r="C441" i="7"/>
  <c r="C440" i="7"/>
  <c r="C436" i="7"/>
  <c r="C437" i="7"/>
  <c r="C439" i="7"/>
  <c r="C438" i="7"/>
  <c r="C435" i="7"/>
  <c r="C377" i="7"/>
  <c r="C376" i="7"/>
  <c r="C372" i="7"/>
  <c r="C375" i="7"/>
  <c r="C374" i="7"/>
  <c r="C373" i="7"/>
  <c r="C371" i="7"/>
  <c r="C313" i="7"/>
  <c r="C312" i="7"/>
  <c r="C310" i="7"/>
  <c r="C309" i="7"/>
  <c r="C308" i="7"/>
  <c r="C311" i="7"/>
  <c r="C307" i="7"/>
  <c r="C249" i="7"/>
  <c r="C248" i="7"/>
  <c r="C244" i="7"/>
  <c r="C245" i="7"/>
  <c r="C247" i="7"/>
  <c r="C246" i="7"/>
  <c r="C243" i="7"/>
  <c r="C185" i="7"/>
  <c r="C184" i="7"/>
  <c r="C180" i="7"/>
  <c r="C182" i="7"/>
  <c r="C183" i="7"/>
  <c r="C181" i="7"/>
  <c r="C179" i="7"/>
  <c r="C2857" i="7"/>
  <c r="C2856" i="7"/>
  <c r="C2851" i="7"/>
  <c r="C2854" i="7"/>
  <c r="C2855" i="7"/>
  <c r="C2850" i="7"/>
  <c r="C2852" i="7"/>
  <c r="C2793" i="7"/>
  <c r="C2792" i="7"/>
  <c r="C2787" i="7"/>
  <c r="C2791" i="7"/>
  <c r="C2786" i="7"/>
  <c r="C2789" i="7"/>
  <c r="C2790" i="7"/>
  <c r="C2788" i="7"/>
  <c r="C2729" i="7"/>
  <c r="C2728" i="7"/>
  <c r="C2727" i="7"/>
  <c r="C2723" i="7"/>
  <c r="C2726" i="7"/>
  <c r="C2722" i="7"/>
  <c r="C2724" i="7"/>
  <c r="C2725" i="7"/>
  <c r="C2665" i="7"/>
  <c r="C2664" i="7"/>
  <c r="C2659" i="7"/>
  <c r="C2662" i="7"/>
  <c r="C2663" i="7"/>
  <c r="C2661" i="7"/>
  <c r="C2658" i="7"/>
  <c r="C2660" i="7"/>
  <c r="C2609" i="7"/>
  <c r="C2608" i="7"/>
  <c r="C2607" i="7"/>
  <c r="C2606" i="7"/>
  <c r="C2605" i="7"/>
  <c r="C2603" i="7"/>
  <c r="C2602" i="7"/>
  <c r="C2604" i="7"/>
  <c r="C2545" i="7"/>
  <c r="C2544" i="7"/>
  <c r="C2543" i="7"/>
  <c r="C2541" i="7"/>
  <c r="C2542" i="7"/>
  <c r="C2538" i="7"/>
  <c r="C2539" i="7"/>
  <c r="C2481" i="7"/>
  <c r="C2480" i="7"/>
  <c r="C2479" i="7"/>
  <c r="C2477" i="7"/>
  <c r="C2478" i="7"/>
  <c r="C2475" i="7"/>
  <c r="C2474" i="7"/>
  <c r="C2476" i="7"/>
  <c r="C2417" i="7"/>
  <c r="C2416" i="7"/>
  <c r="C2415" i="7"/>
  <c r="C2413" i="7"/>
  <c r="C2414" i="7"/>
  <c r="C2410" i="7"/>
  <c r="C2411" i="7"/>
  <c r="C2361" i="7"/>
  <c r="C2360" i="7"/>
  <c r="C2356" i="7"/>
  <c r="C2357" i="7"/>
  <c r="C2358" i="7"/>
  <c r="C2359" i="7"/>
  <c r="C2305" i="7"/>
  <c r="C2302" i="7"/>
  <c r="C2300" i="7"/>
  <c r="C2301" i="7"/>
  <c r="C2304" i="7"/>
  <c r="C2303" i="7"/>
  <c r="C2299" i="7"/>
  <c r="C2298" i="7"/>
  <c r="C2241" i="7"/>
  <c r="C2240" i="7"/>
  <c r="C2236" i="7"/>
  <c r="C2239" i="7"/>
  <c r="C2237" i="7"/>
  <c r="C2238" i="7"/>
  <c r="C2235" i="7"/>
  <c r="C2234" i="7"/>
  <c r="C2177" i="7"/>
  <c r="C2172" i="7"/>
  <c r="C2173" i="7"/>
  <c r="C2174" i="7"/>
  <c r="C2175" i="7"/>
  <c r="C2171" i="7"/>
  <c r="C2176" i="7"/>
  <c r="C2170" i="7"/>
  <c r="C2113" i="7"/>
  <c r="C2108" i="7"/>
  <c r="C2110" i="7"/>
  <c r="C2109" i="7"/>
  <c r="C2111" i="7"/>
  <c r="C2112" i="7"/>
  <c r="C2107" i="7"/>
  <c r="C2106" i="7"/>
  <c r="C2049" i="7"/>
  <c r="C2047" i="7"/>
  <c r="C2044" i="7"/>
  <c r="C2045" i="7"/>
  <c r="C2048" i="7"/>
  <c r="C2046" i="7"/>
  <c r="C2043" i="7"/>
  <c r="C2042" i="7"/>
  <c r="C1985" i="7"/>
  <c r="C1982" i="7"/>
  <c r="C1984" i="7"/>
  <c r="C1980" i="7"/>
  <c r="C1981" i="7"/>
  <c r="C1983" i="7"/>
  <c r="C1979" i="7"/>
  <c r="C1978" i="7"/>
  <c r="C1921" i="7"/>
  <c r="C1916" i="7"/>
  <c r="C1917" i="7"/>
  <c r="C1919" i="7"/>
  <c r="C1918" i="7"/>
  <c r="C1920" i="7"/>
  <c r="C1915" i="7"/>
  <c r="C1914" i="7"/>
  <c r="C1857" i="7"/>
  <c r="C1855" i="7"/>
  <c r="C1852" i="7"/>
  <c r="C1853" i="7"/>
  <c r="C1856" i="7"/>
  <c r="C1854" i="7"/>
  <c r="C1851" i="7"/>
  <c r="C1850" i="7"/>
  <c r="C1801" i="7"/>
  <c r="C1799" i="7"/>
  <c r="C1798" i="7"/>
  <c r="C1796" i="7"/>
  <c r="C1797" i="7"/>
  <c r="C1800" i="7"/>
  <c r="C1795" i="7"/>
  <c r="C1794" i="7"/>
  <c r="C1737" i="7"/>
  <c r="C1735" i="7"/>
  <c r="C1734" i="7"/>
  <c r="C1732" i="7"/>
  <c r="C1736" i="7"/>
  <c r="C1733" i="7"/>
  <c r="C1731" i="7"/>
  <c r="C1730" i="7"/>
  <c r="C1680" i="7"/>
  <c r="C1679" i="7"/>
  <c r="C1681" i="7"/>
  <c r="C1678" i="7"/>
  <c r="C1676" i="7"/>
  <c r="C1675" i="7"/>
  <c r="C1677" i="7"/>
  <c r="C1674" i="7"/>
  <c r="C1617" i="7"/>
  <c r="C1616" i="7"/>
  <c r="C1615" i="7"/>
  <c r="C1614" i="7"/>
  <c r="C1612" i="7"/>
  <c r="C1611" i="7"/>
  <c r="C1613" i="7"/>
  <c r="C1610" i="7"/>
  <c r="C1552" i="7"/>
  <c r="C1551" i="7"/>
  <c r="C1550" i="7"/>
  <c r="C1553" i="7"/>
  <c r="C1548" i="7"/>
  <c r="C1547" i="7"/>
  <c r="C1549" i="7"/>
  <c r="C1546" i="7"/>
  <c r="C1488" i="7"/>
  <c r="C1487" i="7"/>
  <c r="C1486" i="7"/>
  <c r="C1489" i="7"/>
  <c r="C1484" i="7"/>
  <c r="C1483" i="7"/>
  <c r="C1485" i="7"/>
  <c r="C1482" i="7"/>
  <c r="C1432" i="7"/>
  <c r="C1431" i="7"/>
  <c r="C1433" i="7"/>
  <c r="C1430" i="7"/>
  <c r="C1427" i="7"/>
  <c r="C1429" i="7"/>
  <c r="C1369" i="7"/>
  <c r="C1368" i="7"/>
  <c r="C1367" i="7"/>
  <c r="C1366" i="7"/>
  <c r="C1363" i="7"/>
  <c r="C1365" i="7"/>
  <c r="C1364" i="7"/>
  <c r="C1304" i="7"/>
  <c r="C1303" i="7"/>
  <c r="C1302" i="7"/>
  <c r="C1299" i="7"/>
  <c r="C1305" i="7"/>
  <c r="C1301" i="7"/>
  <c r="C1300" i="7"/>
  <c r="C1240" i="7"/>
  <c r="C1239" i="7"/>
  <c r="C1238" i="7"/>
  <c r="C1241" i="7"/>
  <c r="C1235" i="7"/>
  <c r="C1237" i="7"/>
  <c r="C1236" i="7"/>
  <c r="C1176" i="7"/>
  <c r="C1175" i="7"/>
  <c r="C1177" i="7"/>
  <c r="C1174" i="7"/>
  <c r="C1171" i="7"/>
  <c r="C1173" i="7"/>
  <c r="C1172" i="7"/>
  <c r="C1121" i="7"/>
  <c r="C1120" i="7"/>
  <c r="C1119" i="7"/>
  <c r="C1118" i="7"/>
  <c r="C1115" i="7"/>
  <c r="C1116" i="7"/>
  <c r="C1117" i="7"/>
  <c r="C1057" i="7"/>
  <c r="C1056" i="7"/>
  <c r="C1055" i="7"/>
  <c r="C1051" i="7"/>
  <c r="C1054" i="7"/>
  <c r="C1052" i="7"/>
  <c r="C1053" i="7"/>
  <c r="C993" i="7"/>
  <c r="C992" i="7"/>
  <c r="C991" i="7"/>
  <c r="C990" i="7"/>
  <c r="C987" i="7"/>
  <c r="C988" i="7"/>
  <c r="C989" i="7"/>
  <c r="C929" i="7"/>
  <c r="C928" i="7"/>
  <c r="C927" i="7"/>
  <c r="C923" i="7"/>
  <c r="C926" i="7"/>
  <c r="C924" i="7"/>
  <c r="C925" i="7"/>
  <c r="C865" i="7"/>
  <c r="C864" i="7"/>
  <c r="C863" i="7"/>
  <c r="C862" i="7"/>
  <c r="C859" i="7"/>
  <c r="C861" i="7"/>
  <c r="C860" i="7"/>
  <c r="C801" i="7"/>
  <c r="C800" i="7"/>
  <c r="C799" i="7"/>
  <c r="C795" i="7"/>
  <c r="C798" i="7"/>
  <c r="C797" i="7"/>
  <c r="C796" i="7"/>
  <c r="C745" i="7"/>
  <c r="C744" i="7"/>
  <c r="C743" i="7"/>
  <c r="C742" i="7"/>
  <c r="C739" i="7"/>
  <c r="C741" i="7"/>
  <c r="C681" i="7"/>
  <c r="C680" i="7"/>
  <c r="C679" i="7"/>
  <c r="C678" i="7"/>
  <c r="C675" i="7"/>
  <c r="C677" i="7"/>
  <c r="C676" i="7"/>
  <c r="C625" i="7"/>
  <c r="C624" i="7"/>
  <c r="C623" i="7"/>
  <c r="C621" i="7"/>
  <c r="C622" i="7"/>
  <c r="C620" i="7"/>
  <c r="C619" i="7"/>
  <c r="C561" i="7"/>
  <c r="C560" i="7"/>
  <c r="C559" i="7"/>
  <c r="C557" i="7"/>
  <c r="C558" i="7"/>
  <c r="C555" i="7"/>
  <c r="C497" i="7"/>
  <c r="C496" i="7"/>
  <c r="C495" i="7"/>
  <c r="C494" i="7"/>
  <c r="C493" i="7"/>
  <c r="C492" i="7"/>
  <c r="C491" i="7"/>
  <c r="C433" i="7"/>
  <c r="C432" i="7"/>
  <c r="C431" i="7"/>
  <c r="C429" i="7"/>
  <c r="C430" i="7"/>
  <c r="C428" i="7"/>
  <c r="C427" i="7"/>
  <c r="C369" i="7"/>
  <c r="C368" i="7"/>
  <c r="C367" i="7"/>
  <c r="C366" i="7"/>
  <c r="C365" i="7"/>
  <c r="C363" i="7"/>
  <c r="C364" i="7"/>
  <c r="C305" i="7"/>
  <c r="C304" i="7"/>
  <c r="C303" i="7"/>
  <c r="C302" i="7"/>
  <c r="C300" i="7"/>
  <c r="C299" i="7"/>
  <c r="C241" i="7"/>
  <c r="C240" i="7"/>
  <c r="C239" i="7"/>
  <c r="C237" i="7"/>
  <c r="C238" i="7"/>
  <c r="C236" i="7"/>
  <c r="C235" i="7"/>
  <c r="C177" i="7"/>
  <c r="C176" i="7"/>
  <c r="C175" i="7"/>
  <c r="C174" i="7"/>
  <c r="C173" i="7"/>
  <c r="C172" i="7"/>
  <c r="C171" i="7"/>
  <c r="C113" i="7"/>
  <c r="C112" i="7"/>
  <c r="C111" i="7"/>
  <c r="C109" i="7"/>
  <c r="C110" i="7"/>
  <c r="C108" i="7"/>
  <c r="C107" i="7"/>
  <c r="C10" i="7"/>
  <c r="C74" i="7"/>
  <c r="C138" i="7"/>
  <c r="C202" i="7"/>
  <c r="C266" i="7"/>
  <c r="C330" i="7"/>
  <c r="C394" i="7"/>
  <c r="C458" i="7"/>
  <c r="C522" i="7"/>
  <c r="C586" i="7"/>
  <c r="C650" i="7"/>
  <c r="C714" i="7"/>
  <c r="C778" i="7"/>
  <c r="C842" i="7"/>
  <c r="C906" i="7"/>
  <c r="C970" i="7"/>
  <c r="C1034" i="7"/>
  <c r="C1114" i="7"/>
  <c r="C1234" i="7"/>
  <c r="C1362" i="7"/>
  <c r="C1490" i="7"/>
  <c r="C1650" i="7"/>
  <c r="C1906" i="7"/>
  <c r="C2162" i="7"/>
  <c r="C2546" i="7"/>
  <c r="C411" i="7"/>
  <c r="C1331" i="7"/>
  <c r="C2355" i="7"/>
  <c r="C2668" i="7"/>
  <c r="C1428" i="7"/>
  <c r="C2853" i="7"/>
  <c r="C725" i="7"/>
  <c r="G2866" i="7"/>
  <c r="J360" i="1"/>
  <c r="G2871" i="7"/>
  <c r="H360" i="1"/>
  <c r="G2872" i="7"/>
  <c r="G2868" i="7"/>
  <c r="J2868" i="7" s="1"/>
  <c r="G2869" i="7"/>
  <c r="L2869" i="7" s="1"/>
  <c r="G2873" i="7"/>
  <c r="G2867" i="7"/>
  <c r="G2870" i="7"/>
  <c r="H359" i="1"/>
  <c r="J359" i="1"/>
  <c r="G2865" i="7"/>
  <c r="L2865" i="7" s="1"/>
  <c r="G2864" i="7"/>
  <c r="J2864" i="7" s="1"/>
  <c r="G2863" i="7"/>
  <c r="G2862" i="7"/>
  <c r="J2862" i="7" s="1"/>
  <c r="G2861" i="7"/>
  <c r="J2861" i="7" s="1"/>
  <c r="G2859" i="7"/>
  <c r="J2859" i="7" s="1"/>
  <c r="G2858" i="7"/>
  <c r="G2860" i="7"/>
  <c r="L2875" i="7"/>
  <c r="J2875" i="7"/>
  <c r="F2215" i="7"/>
  <c r="I2215" i="7" s="1"/>
  <c r="F2217" i="7"/>
  <c r="I2217" i="7" s="1"/>
  <c r="F2275" i="7"/>
  <c r="I2275" i="7" s="1"/>
  <c r="F2281" i="7"/>
  <c r="I2281" i="7" s="1"/>
  <c r="F2403" i="7"/>
  <c r="I2403" i="7" s="1"/>
  <c r="F2409" i="7"/>
  <c r="I2409" i="7" s="1"/>
  <c r="F2659" i="7"/>
  <c r="I2659" i="7" s="1"/>
  <c r="F2665" i="7"/>
  <c r="I2665" i="7" s="1"/>
  <c r="F2723" i="7"/>
  <c r="I2723" i="7" s="1"/>
  <c r="F2729" i="7"/>
  <c r="I2729" i="7" s="1"/>
  <c r="F2787" i="7"/>
  <c r="I2787" i="7" s="1"/>
  <c r="F2793" i="7"/>
  <c r="I2793" i="7" s="1"/>
  <c r="F2855" i="7"/>
  <c r="I2855" i="7" s="1"/>
  <c r="F2857" i="7"/>
  <c r="I2857" i="7" s="1"/>
  <c r="K1104" i="7"/>
  <c r="M1104" i="7" s="1"/>
  <c r="K1105" i="7"/>
  <c r="M1105" i="7" s="1"/>
  <c r="K2316" i="7"/>
  <c r="M2316" i="7" s="1"/>
  <c r="K2321" i="7"/>
  <c r="M2321" i="7" s="1"/>
  <c r="K2380" i="7"/>
  <c r="M2380" i="7" s="1"/>
  <c r="K2385" i="7"/>
  <c r="M2385" i="7" s="1"/>
  <c r="F2447" i="7"/>
  <c r="I2447" i="7" s="1"/>
  <c r="F2449" i="7"/>
  <c r="I2449" i="7" s="1"/>
  <c r="F2575" i="7"/>
  <c r="I2575" i="7" s="1"/>
  <c r="F2577" i="7"/>
  <c r="I2577" i="7" s="1"/>
  <c r="F2639" i="7"/>
  <c r="I2639" i="7" s="1"/>
  <c r="F2641" i="7"/>
  <c r="I2641" i="7" s="1"/>
  <c r="F2621" i="7"/>
  <c r="I2621" i="7" s="1"/>
  <c r="F2625" i="7"/>
  <c r="I2625" i="7" s="1"/>
  <c r="F2811" i="7"/>
  <c r="I2811" i="7" s="1"/>
  <c r="F2817" i="7"/>
  <c r="I2817" i="7" s="1"/>
  <c r="F1536" i="7"/>
  <c r="I1536" i="7" s="1"/>
  <c r="F1537" i="7"/>
  <c r="I1537" i="7" s="1"/>
  <c r="F2493" i="7"/>
  <c r="I2493" i="7" s="1"/>
  <c r="F2497" i="7"/>
  <c r="I2497" i="7" s="1"/>
  <c r="F2747" i="7"/>
  <c r="I2747" i="7" s="1"/>
  <c r="F2753" i="7"/>
  <c r="I2753" i="7" s="1"/>
  <c r="F2221" i="7"/>
  <c r="I2221" i="7" s="1"/>
  <c r="F2225" i="7"/>
  <c r="I2225" i="7" s="1"/>
  <c r="F2285" i="7"/>
  <c r="I2285" i="7" s="1"/>
  <c r="F2289" i="7"/>
  <c r="I2289" i="7" s="1"/>
  <c r="K2349" i="7"/>
  <c r="M2349" i="7" s="1"/>
  <c r="K2353" i="7"/>
  <c r="M2353" i="7" s="1"/>
  <c r="F2413" i="7"/>
  <c r="I2413" i="7" s="1"/>
  <c r="F2417" i="7"/>
  <c r="I2417" i="7" s="1"/>
  <c r="F2477" i="7"/>
  <c r="I2477" i="7" s="1"/>
  <c r="F2481" i="7"/>
  <c r="I2481" i="7" s="1"/>
  <c r="F2557" i="7"/>
  <c r="I2557" i="7" s="1"/>
  <c r="F2561" i="7"/>
  <c r="I2561" i="7" s="1"/>
  <c r="F2875" i="7"/>
  <c r="I2875" i="7" s="1"/>
  <c r="F2881" i="7"/>
  <c r="I2881" i="7" s="1"/>
  <c r="F2245" i="7"/>
  <c r="I2245" i="7" s="1"/>
  <c r="F2249" i="7"/>
  <c r="I2249" i="7" s="1"/>
  <c r="F2565" i="7"/>
  <c r="I2565" i="7" s="1"/>
  <c r="F2569" i="7"/>
  <c r="I2569" i="7" s="1"/>
  <c r="F1152" i="7"/>
  <c r="I1152" i="7" s="1"/>
  <c r="F1153" i="7"/>
  <c r="I1153" i="7" s="1"/>
  <c r="F2683" i="7"/>
  <c r="I2683" i="7" s="1"/>
  <c r="F2689" i="7"/>
  <c r="I2689" i="7" s="1"/>
  <c r="F1287" i="7"/>
  <c r="I1287" i="7" s="1"/>
  <c r="F1289" i="7"/>
  <c r="I1289" i="7" s="1"/>
  <c r="F2309" i="7"/>
  <c r="I2309" i="7" s="1"/>
  <c r="F2313" i="7"/>
  <c r="I2313" i="7" s="1"/>
  <c r="F2373" i="7"/>
  <c r="I2373" i="7" s="1"/>
  <c r="F2377" i="7"/>
  <c r="I2377" i="7" s="1"/>
  <c r="F2501" i="7"/>
  <c r="I2501" i="7" s="1"/>
  <c r="F2505" i="7"/>
  <c r="I2505" i="7" s="1"/>
  <c r="F2629" i="7"/>
  <c r="I2629" i="7" s="1"/>
  <c r="F2633" i="7"/>
  <c r="I2633" i="7" s="1"/>
  <c r="K224" i="7"/>
  <c r="M224" i="7" s="1"/>
  <c r="K225" i="7"/>
  <c r="M225" i="7" s="1"/>
  <c r="F2141" i="7"/>
  <c r="I2141" i="7" s="1"/>
  <c r="F2145" i="7"/>
  <c r="I2145" i="7" s="1"/>
  <c r="F2461" i="7"/>
  <c r="I2461" i="7" s="1"/>
  <c r="F2465" i="7"/>
  <c r="I2465" i="7" s="1"/>
  <c r="F2653" i="7"/>
  <c r="I2653" i="7" s="1"/>
  <c r="F2657" i="7"/>
  <c r="I2657" i="7" s="1"/>
  <c r="F2715" i="7"/>
  <c r="I2715" i="7" s="1"/>
  <c r="F2721" i="7"/>
  <c r="I2721" i="7" s="1"/>
  <c r="F2843" i="7"/>
  <c r="I2843" i="7" s="1"/>
  <c r="F2849" i="7"/>
  <c r="I2849" i="7" s="1"/>
  <c r="F2589" i="7"/>
  <c r="I2589" i="7" s="1"/>
  <c r="F2593" i="7"/>
  <c r="I2593" i="7" s="1"/>
  <c r="F2779" i="7"/>
  <c r="I2779" i="7" s="1"/>
  <c r="F2785" i="7"/>
  <c r="I2785" i="7" s="1"/>
  <c r="F2541" i="7"/>
  <c r="I2541" i="7" s="1"/>
  <c r="F2545" i="7"/>
  <c r="I2545" i="7" s="1"/>
  <c r="F2605" i="7"/>
  <c r="I2605" i="7" s="1"/>
  <c r="F2609" i="7"/>
  <c r="I2609" i="7" s="1"/>
  <c r="F2667" i="7"/>
  <c r="I2667" i="7" s="1"/>
  <c r="F2673" i="7"/>
  <c r="I2673" i="7" s="1"/>
  <c r="F2731" i="7"/>
  <c r="I2731" i="7" s="1"/>
  <c r="F2737" i="7"/>
  <c r="I2737" i="7" s="1"/>
  <c r="K824" i="7"/>
  <c r="M824" i="7" s="1"/>
  <c r="K825" i="7"/>
  <c r="M825" i="7" s="1"/>
  <c r="K1528" i="7"/>
  <c r="M1528" i="7" s="1"/>
  <c r="K1529" i="7"/>
  <c r="M1529" i="7" s="1"/>
  <c r="K1656" i="7"/>
  <c r="M1656" i="7" s="1"/>
  <c r="K1657" i="7"/>
  <c r="M1657" i="7" s="1"/>
  <c r="K784" i="7"/>
  <c r="M784" i="7" s="1"/>
  <c r="K785" i="7"/>
  <c r="M785" i="7" s="1"/>
  <c r="K977" i="7"/>
  <c r="M977" i="7" s="1"/>
  <c r="K2097" i="7"/>
  <c r="M2097" i="7" s="1"/>
  <c r="F2081" i="7"/>
  <c r="I2081" i="7" s="1"/>
  <c r="F1921" i="7"/>
  <c r="I1921" i="7" s="1"/>
  <c r="K1233" i="7"/>
  <c r="M1233" i="7" s="1"/>
  <c r="F1225" i="7"/>
  <c r="I1225" i="7" s="1"/>
  <c r="K1049" i="7"/>
  <c r="M1049" i="7" s="1"/>
  <c r="K952" i="7"/>
  <c r="M952" i="7" s="1"/>
  <c r="K953" i="7"/>
  <c r="M953" i="7" s="1"/>
  <c r="K1552" i="7"/>
  <c r="M1552" i="7" s="1"/>
  <c r="K1553" i="7"/>
  <c r="M1553" i="7" s="1"/>
  <c r="K64" i="7"/>
  <c r="M64" i="7" s="1"/>
  <c r="K65" i="7"/>
  <c r="M65" i="7" s="1"/>
  <c r="K128" i="7"/>
  <c r="M128" i="7" s="1"/>
  <c r="K129" i="7"/>
  <c r="M129" i="7" s="1"/>
  <c r="K192" i="7"/>
  <c r="M192" i="7" s="1"/>
  <c r="K193" i="7"/>
  <c r="M193" i="7" s="1"/>
  <c r="K256" i="7"/>
  <c r="M256" i="7" s="1"/>
  <c r="K257" i="7"/>
  <c r="M257" i="7" s="1"/>
  <c r="K320" i="7"/>
  <c r="M320" i="7" s="1"/>
  <c r="K321" i="7"/>
  <c r="M321" i="7" s="1"/>
  <c r="K384" i="7"/>
  <c r="M384" i="7" s="1"/>
  <c r="K385" i="7"/>
  <c r="M385" i="7" s="1"/>
  <c r="K448" i="7"/>
  <c r="M448" i="7" s="1"/>
  <c r="K449" i="7"/>
  <c r="M449" i="7" s="1"/>
  <c r="K512" i="7"/>
  <c r="M512" i="7" s="1"/>
  <c r="K513" i="7"/>
  <c r="M513" i="7" s="1"/>
  <c r="K576" i="7"/>
  <c r="M576" i="7" s="1"/>
  <c r="K577" i="7"/>
  <c r="M577" i="7" s="1"/>
  <c r="F1024" i="7"/>
  <c r="I1024" i="7" s="1"/>
  <c r="F1025" i="7"/>
  <c r="I1025" i="7" s="1"/>
  <c r="F1088" i="7"/>
  <c r="I1088" i="7" s="1"/>
  <c r="F1089" i="7"/>
  <c r="I1089" i="7" s="1"/>
  <c r="F1280" i="7"/>
  <c r="I1280" i="7" s="1"/>
  <c r="F1281" i="7"/>
  <c r="I1281" i="7" s="1"/>
  <c r="F1408" i="7"/>
  <c r="I1408" i="7" s="1"/>
  <c r="F1409" i="7"/>
  <c r="I1409" i="7" s="1"/>
  <c r="K2825" i="7"/>
  <c r="M2825" i="7" s="1"/>
  <c r="K2761" i="7"/>
  <c r="M2761" i="7" s="1"/>
  <c r="K2697" i="7"/>
  <c r="M2697" i="7" s="1"/>
  <c r="K2649" i="7"/>
  <c r="M2649" i="7" s="1"/>
  <c r="K2601" i="7"/>
  <c r="M2601" i="7" s="1"/>
  <c r="K2585" i="7"/>
  <c r="M2585" i="7" s="1"/>
  <c r="K2537" i="7"/>
  <c r="M2537" i="7" s="1"/>
  <c r="K2521" i="7"/>
  <c r="M2521" i="7" s="1"/>
  <c r="K2473" i="7"/>
  <c r="M2473" i="7" s="1"/>
  <c r="K2457" i="7"/>
  <c r="M2457" i="7" s="1"/>
  <c r="K2441" i="7"/>
  <c r="M2441" i="7" s="1"/>
  <c r="K2345" i="7"/>
  <c r="M2345" i="7" s="1"/>
  <c r="F2305" i="7"/>
  <c r="I2305" i="7" s="1"/>
  <c r="F2241" i="7"/>
  <c r="I2241" i="7" s="1"/>
  <c r="F2177" i="7"/>
  <c r="I2177" i="7" s="1"/>
  <c r="F1985" i="7"/>
  <c r="I1985" i="7" s="1"/>
  <c r="K1969" i="7"/>
  <c r="M1969" i="7" s="1"/>
  <c r="F1473" i="7"/>
  <c r="I1473" i="7" s="1"/>
  <c r="F1305" i="7"/>
  <c r="I1305" i="7" s="1"/>
  <c r="K921" i="7"/>
  <c r="M921" i="7" s="1"/>
  <c r="K888" i="7"/>
  <c r="M888" i="7" s="1"/>
  <c r="K889" i="7"/>
  <c r="M889" i="7" s="1"/>
  <c r="K720" i="7"/>
  <c r="M720" i="7" s="1"/>
  <c r="K721" i="7"/>
  <c r="M721" i="7" s="1"/>
  <c r="K793" i="7"/>
  <c r="M793" i="7" s="1"/>
  <c r="K56" i="7"/>
  <c r="M56" i="7" s="1"/>
  <c r="K57" i="7"/>
  <c r="M57" i="7" s="1"/>
  <c r="F1112" i="7"/>
  <c r="I1112" i="7" s="1"/>
  <c r="F1113" i="7"/>
  <c r="I1113" i="7" s="1"/>
  <c r="K1240" i="7"/>
  <c r="M1240" i="7" s="1"/>
  <c r="K1241" i="7"/>
  <c r="M1241" i="7" s="1"/>
  <c r="K1496" i="7"/>
  <c r="M1496" i="7" s="1"/>
  <c r="K1497" i="7"/>
  <c r="M1497" i="7" s="1"/>
  <c r="K48" i="7"/>
  <c r="M48" i="7" s="1"/>
  <c r="K49" i="7"/>
  <c r="M49" i="7" s="1"/>
  <c r="K112" i="7"/>
  <c r="M112" i="7" s="1"/>
  <c r="K113" i="7"/>
  <c r="M113" i="7" s="1"/>
  <c r="K176" i="7"/>
  <c r="M176" i="7" s="1"/>
  <c r="K177" i="7"/>
  <c r="M177" i="7" s="1"/>
  <c r="K240" i="7"/>
  <c r="M240" i="7" s="1"/>
  <c r="K241" i="7"/>
  <c r="M241" i="7" s="1"/>
  <c r="K368" i="7"/>
  <c r="M368" i="7" s="1"/>
  <c r="K369" i="7"/>
  <c r="M369" i="7" s="1"/>
  <c r="K496" i="7"/>
  <c r="M496" i="7" s="1"/>
  <c r="K497" i="7"/>
  <c r="M497" i="7" s="1"/>
  <c r="K624" i="7"/>
  <c r="M624" i="7" s="1"/>
  <c r="K625" i="7"/>
  <c r="M625" i="7" s="1"/>
  <c r="K688" i="7"/>
  <c r="M688" i="7" s="1"/>
  <c r="K689" i="7"/>
  <c r="M689" i="7" s="1"/>
  <c r="K816" i="7"/>
  <c r="M816" i="7" s="1"/>
  <c r="K817" i="7"/>
  <c r="M817" i="7" s="1"/>
  <c r="F879" i="7"/>
  <c r="I879" i="7" s="1"/>
  <c r="F881" i="7"/>
  <c r="I881" i="7" s="1"/>
  <c r="K1072" i="7"/>
  <c r="M1072" i="7" s="1"/>
  <c r="K1073" i="7"/>
  <c r="M1073" i="7" s="1"/>
  <c r="K1136" i="7"/>
  <c r="M1136" i="7" s="1"/>
  <c r="K1137" i="7"/>
  <c r="M1137" i="7" s="1"/>
  <c r="F1519" i="7"/>
  <c r="I1519" i="7" s="1"/>
  <c r="F1521" i="7"/>
  <c r="I1521" i="7" s="1"/>
  <c r="K1584" i="7"/>
  <c r="M1584" i="7" s="1"/>
  <c r="K1585" i="7"/>
  <c r="M1585" i="7" s="1"/>
  <c r="K1648" i="7"/>
  <c r="M1648" i="7" s="1"/>
  <c r="K1649" i="7"/>
  <c r="M1649" i="7" s="1"/>
  <c r="F1712" i="7"/>
  <c r="I1712" i="7" s="1"/>
  <c r="F1713" i="7"/>
  <c r="I1713" i="7" s="1"/>
  <c r="F1773" i="7"/>
  <c r="I1773" i="7" s="1"/>
  <c r="F1777" i="7"/>
  <c r="I1777" i="7" s="1"/>
  <c r="F2257" i="7"/>
  <c r="I2257" i="7" s="1"/>
  <c r="F1217" i="7"/>
  <c r="I1217" i="7" s="1"/>
  <c r="K1041" i="7"/>
  <c r="M1041" i="7" s="1"/>
  <c r="K761" i="7"/>
  <c r="M761" i="7" s="1"/>
  <c r="K1400" i="7"/>
  <c r="M1400" i="7" s="1"/>
  <c r="K1401" i="7"/>
  <c r="M1401" i="7" s="1"/>
  <c r="K1782" i="7"/>
  <c r="M1782" i="7" s="1"/>
  <c r="K1785" i="7"/>
  <c r="M1785" i="7" s="1"/>
  <c r="K272" i="7"/>
  <c r="M272" i="7" s="1"/>
  <c r="K273" i="7"/>
  <c r="M273" i="7" s="1"/>
  <c r="K528" i="7"/>
  <c r="M528" i="7" s="1"/>
  <c r="K529" i="7"/>
  <c r="M529" i="7" s="1"/>
  <c r="K24" i="7"/>
  <c r="M24" i="7" s="1"/>
  <c r="K25" i="7"/>
  <c r="M25" i="7" s="1"/>
  <c r="K664" i="7"/>
  <c r="M664" i="7" s="1"/>
  <c r="K665" i="7"/>
  <c r="M665" i="7" s="1"/>
  <c r="K1432" i="7"/>
  <c r="M1432" i="7" s="1"/>
  <c r="K1433" i="7"/>
  <c r="M1433" i="7" s="1"/>
  <c r="K1624" i="7"/>
  <c r="M1624" i="7" s="1"/>
  <c r="K1625" i="7"/>
  <c r="M1625" i="7" s="1"/>
  <c r="K1688" i="7"/>
  <c r="M1688" i="7" s="1"/>
  <c r="K1689" i="7"/>
  <c r="M1689" i="7" s="1"/>
  <c r="F8" i="7"/>
  <c r="I8" i="7" s="1"/>
  <c r="F9" i="7"/>
  <c r="I9" i="7" s="1"/>
  <c r="F392" i="7"/>
  <c r="I392" i="7" s="1"/>
  <c r="F393" i="7"/>
  <c r="I393" i="7" s="1"/>
  <c r="K840" i="7"/>
  <c r="M840" i="7" s="1"/>
  <c r="K841" i="7"/>
  <c r="M841" i="7" s="1"/>
  <c r="K968" i="7"/>
  <c r="M968" i="7" s="1"/>
  <c r="K969" i="7"/>
  <c r="M969" i="7" s="1"/>
  <c r="K1352" i="7"/>
  <c r="M1352" i="7" s="1"/>
  <c r="K1353" i="7"/>
  <c r="M1353" i="7" s="1"/>
  <c r="K1416" i="7"/>
  <c r="M1416" i="7" s="1"/>
  <c r="K1417" i="7"/>
  <c r="M1417" i="7" s="1"/>
  <c r="F1479" i="7"/>
  <c r="I1479" i="7" s="1"/>
  <c r="F1481" i="7"/>
  <c r="I1481" i="7" s="1"/>
  <c r="F1543" i="7"/>
  <c r="I1543" i="7" s="1"/>
  <c r="F1545" i="7"/>
  <c r="I1545" i="7" s="1"/>
  <c r="F1607" i="7"/>
  <c r="I1607" i="7" s="1"/>
  <c r="F1609" i="7"/>
  <c r="I1609" i="7" s="1"/>
  <c r="K1672" i="7"/>
  <c r="M1672" i="7" s="1"/>
  <c r="K1673" i="7"/>
  <c r="M1673" i="7" s="1"/>
  <c r="F1735" i="7"/>
  <c r="I1735" i="7" s="1"/>
  <c r="F1737" i="7"/>
  <c r="I1737" i="7" s="1"/>
  <c r="F1797" i="7"/>
  <c r="I1797" i="7" s="1"/>
  <c r="F1801" i="7"/>
  <c r="I1801" i="7" s="1"/>
  <c r="K985" i="7"/>
  <c r="M985" i="7" s="1"/>
  <c r="K376" i="7"/>
  <c r="M376" i="7" s="1"/>
  <c r="K377" i="7"/>
  <c r="M377" i="7" s="1"/>
  <c r="K1016" i="7"/>
  <c r="M1016" i="7" s="1"/>
  <c r="K1017" i="7"/>
  <c r="M1017" i="7" s="1"/>
  <c r="K1080" i="7"/>
  <c r="M1080" i="7" s="1"/>
  <c r="K1081" i="7"/>
  <c r="M1081" i="7" s="1"/>
  <c r="K1336" i="7"/>
  <c r="M1336" i="7" s="1"/>
  <c r="K1337" i="7"/>
  <c r="M1337" i="7" s="1"/>
  <c r="K1592" i="7"/>
  <c r="M1592" i="7" s="1"/>
  <c r="K1593" i="7"/>
  <c r="M1593" i="7" s="1"/>
  <c r="K697" i="7"/>
  <c r="M697" i="7" s="1"/>
  <c r="K16" i="7"/>
  <c r="M16" i="7" s="1"/>
  <c r="K17" i="7"/>
  <c r="M17" i="7" s="1"/>
  <c r="K408" i="7"/>
  <c r="M408" i="7" s="1"/>
  <c r="K409" i="7"/>
  <c r="M409" i="7" s="1"/>
  <c r="F1176" i="7"/>
  <c r="I1176" i="7" s="1"/>
  <c r="F1177" i="7"/>
  <c r="I1177" i="7" s="1"/>
  <c r="K1368" i="7"/>
  <c r="M1368" i="7" s="1"/>
  <c r="K1369" i="7"/>
  <c r="M1369" i="7" s="1"/>
  <c r="K1560" i="7"/>
  <c r="M1560" i="7" s="1"/>
  <c r="K1561" i="7"/>
  <c r="M1561" i="7" s="1"/>
  <c r="K32" i="7"/>
  <c r="M32" i="7" s="1"/>
  <c r="K33" i="7"/>
  <c r="M33" i="7" s="1"/>
  <c r="K96" i="7"/>
  <c r="M96" i="7" s="1"/>
  <c r="K97" i="7"/>
  <c r="M97" i="7" s="1"/>
  <c r="K160" i="7"/>
  <c r="M160" i="7" s="1"/>
  <c r="K161" i="7"/>
  <c r="M161" i="7" s="1"/>
  <c r="K288" i="7"/>
  <c r="M288" i="7" s="1"/>
  <c r="K289" i="7"/>
  <c r="M289" i="7" s="1"/>
  <c r="K352" i="7"/>
  <c r="M352" i="7" s="1"/>
  <c r="K353" i="7"/>
  <c r="M353" i="7" s="1"/>
  <c r="K416" i="7"/>
  <c r="M416" i="7" s="1"/>
  <c r="K417" i="7"/>
  <c r="M417" i="7" s="1"/>
  <c r="K480" i="7"/>
  <c r="M480" i="7" s="1"/>
  <c r="K481" i="7"/>
  <c r="M481" i="7" s="1"/>
  <c r="K544" i="7"/>
  <c r="M544" i="7" s="1"/>
  <c r="K545" i="7"/>
  <c r="M545" i="7" s="1"/>
  <c r="F1821" i="7"/>
  <c r="I1821" i="7" s="1"/>
  <c r="F1825" i="7"/>
  <c r="I1825" i="7" s="1"/>
  <c r="F1885" i="7"/>
  <c r="I1885" i="7" s="1"/>
  <c r="F1889" i="7"/>
  <c r="I1889" i="7" s="1"/>
  <c r="F1949" i="7"/>
  <c r="I1949" i="7" s="1"/>
  <c r="F1953" i="7"/>
  <c r="I1953" i="7" s="1"/>
  <c r="F2401" i="7"/>
  <c r="I2401" i="7" s="1"/>
  <c r="F2337" i="7"/>
  <c r="I2337" i="7" s="1"/>
  <c r="F2209" i="7"/>
  <c r="I2209" i="7" s="1"/>
  <c r="F2049" i="7"/>
  <c r="I2049" i="7" s="1"/>
  <c r="K857" i="7"/>
  <c r="M857" i="7" s="1"/>
  <c r="K729" i="7"/>
  <c r="M729" i="7" s="1"/>
  <c r="F1480" i="7"/>
  <c r="I1480" i="7" s="1"/>
  <c r="F1288" i="7"/>
  <c r="I1288" i="7" s="1"/>
  <c r="F2304" i="7"/>
  <c r="I2304" i="7" s="1"/>
  <c r="K2352" i="7"/>
  <c r="M2352" i="7" s="1"/>
  <c r="F2416" i="7"/>
  <c r="I2416" i="7" s="1"/>
  <c r="F2544" i="7"/>
  <c r="I2544" i="7" s="1"/>
  <c r="F2608" i="7"/>
  <c r="I2608" i="7" s="1"/>
  <c r="F2240" i="7"/>
  <c r="I2240" i="7" s="1"/>
  <c r="K2096" i="7"/>
  <c r="M2096" i="7" s="1"/>
  <c r="F1544" i="7"/>
  <c r="I1544" i="7" s="1"/>
  <c r="K1232" i="7"/>
  <c r="M1232" i="7" s="1"/>
  <c r="F2672" i="7"/>
  <c r="I2672" i="7" s="1"/>
  <c r="F2208" i="7"/>
  <c r="I2208" i="7" s="1"/>
  <c r="F1824" i="7"/>
  <c r="I1824" i="7" s="1"/>
  <c r="F2480" i="7"/>
  <c r="I2480" i="7" s="1"/>
  <c r="F2400" i="7"/>
  <c r="I2400" i="7" s="1"/>
  <c r="F2288" i="7"/>
  <c r="I2288" i="7" s="1"/>
  <c r="F2176" i="7"/>
  <c r="I2176" i="7" s="1"/>
  <c r="F1800" i="7"/>
  <c r="I1800" i="7" s="1"/>
  <c r="F2336" i="7"/>
  <c r="I2336" i="7" s="1"/>
  <c r="F2224" i="7"/>
  <c r="I2224" i="7" s="1"/>
  <c r="K1968" i="7"/>
  <c r="M1968" i="7" s="1"/>
  <c r="F183" i="7"/>
  <c r="I183" i="7" s="1"/>
  <c r="F184" i="7"/>
  <c r="I184" i="7" s="1"/>
  <c r="F503" i="7"/>
  <c r="I503" i="7" s="1"/>
  <c r="F504" i="7"/>
  <c r="I504" i="7" s="1"/>
  <c r="F1207" i="7"/>
  <c r="I1207" i="7" s="1"/>
  <c r="F1208" i="7"/>
  <c r="I1208" i="7" s="1"/>
  <c r="F1271" i="7"/>
  <c r="I1271" i="7" s="1"/>
  <c r="F1272" i="7"/>
  <c r="I1272" i="7" s="1"/>
  <c r="K1846" i="7"/>
  <c r="M1846" i="7" s="1"/>
  <c r="K1848" i="7"/>
  <c r="M1848" i="7" s="1"/>
  <c r="K1911" i="7"/>
  <c r="M1911" i="7" s="1"/>
  <c r="K1912" i="7"/>
  <c r="M1912" i="7" s="1"/>
  <c r="K1974" i="7"/>
  <c r="M1974" i="7" s="1"/>
  <c r="K1976" i="7"/>
  <c r="M1976" i="7" s="1"/>
  <c r="K2038" i="7"/>
  <c r="M2038" i="7" s="1"/>
  <c r="K2040" i="7"/>
  <c r="M2040" i="7" s="1"/>
  <c r="K2102" i="7"/>
  <c r="M2102" i="7" s="1"/>
  <c r="K2104" i="7"/>
  <c r="M2104" i="7" s="1"/>
  <c r="K2166" i="7"/>
  <c r="M2166" i="7" s="1"/>
  <c r="K2168" i="7"/>
  <c r="M2168" i="7" s="1"/>
  <c r="K2230" i="7"/>
  <c r="M2230" i="7" s="1"/>
  <c r="K2232" i="7"/>
  <c r="M2232" i="7" s="1"/>
  <c r="K2292" i="7"/>
  <c r="M2292" i="7" s="1"/>
  <c r="K2296" i="7"/>
  <c r="M2296" i="7" s="1"/>
  <c r="K2356" i="7"/>
  <c r="M2356" i="7" s="1"/>
  <c r="K2360" i="7"/>
  <c r="M2360" i="7" s="1"/>
  <c r="K2420" i="7"/>
  <c r="M2420" i="7" s="1"/>
  <c r="K2424" i="7"/>
  <c r="M2424" i="7" s="1"/>
  <c r="K2484" i="7"/>
  <c r="M2484" i="7" s="1"/>
  <c r="K2488" i="7"/>
  <c r="M2488" i="7" s="1"/>
  <c r="K2548" i="7"/>
  <c r="M2548" i="7" s="1"/>
  <c r="K2552" i="7"/>
  <c r="M2552" i="7" s="1"/>
  <c r="K2612" i="7"/>
  <c r="M2612" i="7" s="1"/>
  <c r="K2616" i="7"/>
  <c r="M2616" i="7" s="1"/>
  <c r="K2676" i="7"/>
  <c r="M2676" i="7" s="1"/>
  <c r="K2680" i="7"/>
  <c r="M2680" i="7" s="1"/>
  <c r="K2740" i="7"/>
  <c r="M2740" i="7" s="1"/>
  <c r="K2744" i="7"/>
  <c r="M2744" i="7" s="1"/>
  <c r="K2804" i="7"/>
  <c r="M2804" i="7" s="1"/>
  <c r="K2808" i="7"/>
  <c r="M2808" i="7" s="1"/>
  <c r="K2868" i="7"/>
  <c r="M2868" i="7" s="1"/>
  <c r="K2872" i="7"/>
  <c r="M2872" i="7" s="1"/>
  <c r="F247" i="7"/>
  <c r="I247" i="7" s="1"/>
  <c r="F248" i="7"/>
  <c r="I248" i="7" s="1"/>
  <c r="K439" i="7"/>
  <c r="M439" i="7" s="1"/>
  <c r="K440" i="7"/>
  <c r="M440" i="7" s="1"/>
  <c r="K143" i="7"/>
  <c r="M143" i="7" s="1"/>
  <c r="K144" i="7"/>
  <c r="M144" i="7" s="1"/>
  <c r="F335" i="7"/>
  <c r="I335" i="7" s="1"/>
  <c r="F336" i="7"/>
  <c r="I336" i="7" s="1"/>
  <c r="K399" i="7"/>
  <c r="M399" i="7" s="1"/>
  <c r="K400" i="7"/>
  <c r="M400" i="7" s="1"/>
  <c r="F591" i="7"/>
  <c r="I591" i="7" s="1"/>
  <c r="F592" i="7"/>
  <c r="I592" i="7" s="1"/>
  <c r="F911" i="7"/>
  <c r="I911" i="7" s="1"/>
  <c r="F912" i="7"/>
  <c r="I912" i="7" s="1"/>
  <c r="K1294" i="7"/>
  <c r="M1294" i="7" s="1"/>
  <c r="K1296" i="7"/>
  <c r="M1296" i="7" s="1"/>
  <c r="F1871" i="7"/>
  <c r="I1871" i="7" s="1"/>
  <c r="F1872" i="7"/>
  <c r="I1872" i="7" s="1"/>
  <c r="F2703" i="7"/>
  <c r="I2703" i="7" s="1"/>
  <c r="F2704" i="7"/>
  <c r="I2704" i="7" s="1"/>
  <c r="F2640" i="7"/>
  <c r="I2640" i="7" s="1"/>
  <c r="K2384" i="7"/>
  <c r="M2384" i="7" s="1"/>
  <c r="K2320" i="7"/>
  <c r="M2320" i="7" s="1"/>
  <c r="F119" i="7"/>
  <c r="I119" i="7" s="1"/>
  <c r="F120" i="7"/>
  <c r="I120" i="7" s="1"/>
  <c r="F311" i="7"/>
  <c r="I311" i="7" s="1"/>
  <c r="F312" i="7"/>
  <c r="I312" i="7" s="1"/>
  <c r="F567" i="7"/>
  <c r="I567" i="7" s="1"/>
  <c r="F568" i="7"/>
  <c r="I568" i="7" s="1"/>
  <c r="K631" i="7"/>
  <c r="M631" i="7" s="1"/>
  <c r="K632" i="7"/>
  <c r="M632" i="7" s="1"/>
  <c r="F655" i="7"/>
  <c r="I655" i="7" s="1"/>
  <c r="F656" i="7"/>
  <c r="I656" i="7" s="1"/>
  <c r="F847" i="7"/>
  <c r="I847" i="7" s="1"/>
  <c r="F848" i="7"/>
  <c r="I848" i="7" s="1"/>
  <c r="K1167" i="7"/>
  <c r="M1167" i="7" s="1"/>
  <c r="K1168" i="7"/>
  <c r="M1168" i="7" s="1"/>
  <c r="F1359" i="7"/>
  <c r="I1359" i="7" s="1"/>
  <c r="F1360" i="7"/>
  <c r="I1360" i="7" s="1"/>
  <c r="F1615" i="7"/>
  <c r="I1615" i="7" s="1"/>
  <c r="F1616" i="7"/>
  <c r="I1616" i="7" s="1"/>
  <c r="F1999" i="7"/>
  <c r="I1999" i="7" s="1"/>
  <c r="F2000" i="7"/>
  <c r="I2000" i="7" s="1"/>
  <c r="K2126" i="7"/>
  <c r="M2126" i="7" s="1"/>
  <c r="K2128" i="7"/>
  <c r="M2128" i="7" s="1"/>
  <c r="K2648" i="7"/>
  <c r="M2648" i="7" s="1"/>
  <c r="F2576" i="7"/>
  <c r="I2576" i="7" s="1"/>
  <c r="K1784" i="7"/>
  <c r="M1784" i="7" s="1"/>
  <c r="F1143" i="7"/>
  <c r="I1143" i="7" s="1"/>
  <c r="F1144" i="7"/>
  <c r="I1144" i="7" s="1"/>
  <c r="F79" i="7"/>
  <c r="I79" i="7" s="1"/>
  <c r="F80" i="7"/>
  <c r="I80" i="7" s="1"/>
  <c r="F207" i="7"/>
  <c r="I207" i="7" s="1"/>
  <c r="F208" i="7"/>
  <c r="I208" i="7" s="1"/>
  <c r="F463" i="7"/>
  <c r="I463" i="7" s="1"/>
  <c r="F464" i="7"/>
  <c r="I464" i="7" s="1"/>
  <c r="F1423" i="7"/>
  <c r="I1423" i="7" s="1"/>
  <c r="F1424" i="7"/>
  <c r="I1424" i="7" s="1"/>
  <c r="F1679" i="7"/>
  <c r="I1679" i="7" s="1"/>
  <c r="F1680" i="7"/>
  <c r="I1680" i="7" s="1"/>
  <c r="K1806" i="7"/>
  <c r="M1806" i="7" s="1"/>
  <c r="K1808" i="7"/>
  <c r="M1808" i="7" s="1"/>
  <c r="K1934" i="7"/>
  <c r="M1934" i="7" s="1"/>
  <c r="K1936" i="7"/>
  <c r="M1936" i="7" s="1"/>
  <c r="K2062" i="7"/>
  <c r="M2062" i="7" s="1"/>
  <c r="K2064" i="7"/>
  <c r="M2064" i="7" s="1"/>
  <c r="K2190" i="7"/>
  <c r="M2190" i="7" s="1"/>
  <c r="K2192" i="7"/>
  <c r="M2192" i="7" s="1"/>
  <c r="K2584" i="7"/>
  <c r="M2584" i="7" s="1"/>
  <c r="F151" i="7"/>
  <c r="I151" i="7" s="1"/>
  <c r="F152" i="7"/>
  <c r="I152" i="7" s="1"/>
  <c r="F535" i="7"/>
  <c r="I535" i="7" s="1"/>
  <c r="F536" i="7"/>
  <c r="I536" i="7" s="1"/>
  <c r="K1815" i="7"/>
  <c r="M1815" i="7" s="1"/>
  <c r="K1816" i="7"/>
  <c r="M1816" i="7" s="1"/>
  <c r="K1943" i="7"/>
  <c r="M1943" i="7" s="1"/>
  <c r="K1944" i="7"/>
  <c r="M1944" i="7" s="1"/>
  <c r="K2069" i="7"/>
  <c r="M2069" i="7" s="1"/>
  <c r="K2072" i="7"/>
  <c r="M2072" i="7" s="1"/>
  <c r="K2197" i="7"/>
  <c r="M2197" i="7" s="1"/>
  <c r="K2200" i="7"/>
  <c r="M2200" i="7" s="1"/>
  <c r="K2325" i="7"/>
  <c r="M2325" i="7" s="1"/>
  <c r="K2328" i="7"/>
  <c r="M2328" i="7" s="1"/>
  <c r="K340" i="1"/>
  <c r="K2712" i="7"/>
  <c r="M2712" i="7" s="1"/>
  <c r="K348" i="1"/>
  <c r="K2776" i="7"/>
  <c r="M2776" i="7" s="1"/>
  <c r="K356" i="1"/>
  <c r="K2840" i="7"/>
  <c r="M2840" i="7" s="1"/>
  <c r="K2520" i="7"/>
  <c r="M2520" i="7" s="1"/>
  <c r="F2448" i="7"/>
  <c r="I2448" i="7" s="1"/>
  <c r="F2256" i="7"/>
  <c r="I2256" i="7" s="1"/>
  <c r="F87" i="7"/>
  <c r="I87" i="7" s="1"/>
  <c r="F88" i="7"/>
  <c r="I88" i="7" s="1"/>
  <c r="F215" i="7"/>
  <c r="I215" i="7" s="1"/>
  <c r="F216" i="7"/>
  <c r="I216" i="7" s="1"/>
  <c r="F279" i="7"/>
  <c r="I279" i="7" s="1"/>
  <c r="F280" i="7"/>
  <c r="I280" i="7" s="1"/>
  <c r="F343" i="7"/>
  <c r="I343" i="7" s="1"/>
  <c r="F344" i="7"/>
  <c r="I344" i="7" s="1"/>
  <c r="F471" i="7"/>
  <c r="I471" i="7" s="1"/>
  <c r="F472" i="7"/>
  <c r="I472" i="7" s="1"/>
  <c r="F599" i="7"/>
  <c r="I599" i="7" s="1"/>
  <c r="F600" i="7"/>
  <c r="I600" i="7" s="1"/>
  <c r="K1750" i="7"/>
  <c r="M1750" i="7" s="1"/>
  <c r="K1752" i="7"/>
  <c r="M1752" i="7" s="1"/>
  <c r="K2005" i="7"/>
  <c r="M2005" i="7" s="1"/>
  <c r="K2008" i="7"/>
  <c r="M2008" i="7" s="1"/>
  <c r="K2261" i="7"/>
  <c r="M2261" i="7" s="1"/>
  <c r="K2264" i="7"/>
  <c r="M2264" i="7" s="1"/>
  <c r="K2389" i="7"/>
  <c r="M2389" i="7" s="1"/>
  <c r="K2392" i="7"/>
  <c r="M2392" i="7" s="1"/>
  <c r="K2456" i="7"/>
  <c r="M2456" i="7" s="1"/>
  <c r="F39" i="7"/>
  <c r="I39" i="7" s="1"/>
  <c r="F40" i="7"/>
  <c r="I40" i="7" s="1"/>
  <c r="F103" i="7"/>
  <c r="I103" i="7" s="1"/>
  <c r="F104" i="7"/>
  <c r="I104" i="7" s="1"/>
  <c r="F167" i="7"/>
  <c r="I167" i="7" s="1"/>
  <c r="F168" i="7"/>
  <c r="I168" i="7" s="1"/>
  <c r="F231" i="7"/>
  <c r="I231" i="7" s="1"/>
  <c r="F232" i="7"/>
  <c r="I232" i="7" s="1"/>
  <c r="F295" i="7"/>
  <c r="I295" i="7" s="1"/>
  <c r="F296" i="7"/>
  <c r="I296" i="7" s="1"/>
  <c r="F359" i="7"/>
  <c r="I359" i="7" s="1"/>
  <c r="F360" i="7"/>
  <c r="I360" i="7" s="1"/>
  <c r="F423" i="7"/>
  <c r="I423" i="7" s="1"/>
  <c r="F424" i="7"/>
  <c r="I424" i="7" s="1"/>
  <c r="F487" i="7"/>
  <c r="I487" i="7" s="1"/>
  <c r="F488" i="7"/>
  <c r="I488" i="7" s="1"/>
  <c r="F551" i="7"/>
  <c r="I551" i="7" s="1"/>
  <c r="F552" i="7"/>
  <c r="I552" i="7" s="1"/>
  <c r="F615" i="7"/>
  <c r="I615" i="7" s="1"/>
  <c r="F616" i="7"/>
  <c r="I616" i="7" s="1"/>
  <c r="F679" i="7"/>
  <c r="I679" i="7" s="1"/>
  <c r="F680" i="7"/>
  <c r="I680" i="7" s="1"/>
  <c r="K743" i="7"/>
  <c r="M743" i="7" s="1"/>
  <c r="K744" i="7"/>
  <c r="M744" i="7" s="1"/>
  <c r="F807" i="7"/>
  <c r="I807" i="7" s="1"/>
  <c r="F808" i="7"/>
  <c r="I808" i="7" s="1"/>
  <c r="K871" i="7"/>
  <c r="M871" i="7" s="1"/>
  <c r="K872" i="7"/>
  <c r="M872" i="7" s="1"/>
  <c r="F935" i="7"/>
  <c r="I935" i="7" s="1"/>
  <c r="F936" i="7"/>
  <c r="I936" i="7" s="1"/>
  <c r="K999" i="7"/>
  <c r="M999" i="7" s="1"/>
  <c r="K1000" i="7"/>
  <c r="M1000" i="7" s="1"/>
  <c r="F1063" i="7"/>
  <c r="I1063" i="7" s="1"/>
  <c r="F1064" i="7"/>
  <c r="I1064" i="7" s="1"/>
  <c r="K1127" i="7"/>
  <c r="M1127" i="7" s="1"/>
  <c r="K1128" i="7"/>
  <c r="M1128" i="7" s="1"/>
  <c r="F1191" i="7"/>
  <c r="I1191" i="7" s="1"/>
  <c r="F1192" i="7"/>
  <c r="I1192" i="7" s="1"/>
  <c r="K1255" i="7"/>
  <c r="M1255" i="7" s="1"/>
  <c r="K1256" i="7"/>
  <c r="M1256" i="7" s="1"/>
  <c r="K1319" i="7"/>
  <c r="M1319" i="7" s="1"/>
  <c r="K1320" i="7"/>
  <c r="M1320" i="7" s="1"/>
  <c r="K1383" i="7"/>
  <c r="M1383" i="7" s="1"/>
  <c r="K1384" i="7"/>
  <c r="M1384" i="7" s="1"/>
  <c r="F1447" i="7"/>
  <c r="I1447" i="7" s="1"/>
  <c r="F1448" i="7"/>
  <c r="I1448" i="7" s="1"/>
  <c r="K1575" i="7"/>
  <c r="M1575" i="7" s="1"/>
  <c r="K1576" i="7"/>
  <c r="M1576" i="7" s="1"/>
  <c r="F1639" i="7"/>
  <c r="I1639" i="7" s="1"/>
  <c r="F1640" i="7"/>
  <c r="I1640" i="7" s="1"/>
  <c r="F1703" i="7"/>
  <c r="I1703" i="7" s="1"/>
  <c r="F1704" i="7"/>
  <c r="I1704" i="7" s="1"/>
  <c r="K1831" i="7"/>
  <c r="M1831" i="7" s="1"/>
  <c r="K1832" i="7"/>
  <c r="M1832" i="7" s="1"/>
  <c r="F1894" i="7"/>
  <c r="I1894" i="7" s="1"/>
  <c r="F1896" i="7"/>
  <c r="I1896" i="7" s="1"/>
  <c r="K1959" i="7"/>
  <c r="M1959" i="7" s="1"/>
  <c r="K1960" i="7"/>
  <c r="M1960" i="7" s="1"/>
  <c r="F2022" i="7"/>
  <c r="I2022" i="7" s="1"/>
  <c r="F2024" i="7"/>
  <c r="I2024" i="7" s="1"/>
  <c r="K2085" i="7"/>
  <c r="M2085" i="7" s="1"/>
  <c r="K2088" i="7"/>
  <c r="M2088" i="7" s="1"/>
  <c r="K2149" i="7"/>
  <c r="M2149" i="7" s="1"/>
  <c r="K2152" i="7"/>
  <c r="M2152" i="7" s="1"/>
  <c r="F2688" i="7"/>
  <c r="I2688" i="7" s="1"/>
  <c r="F2624" i="7"/>
  <c r="I2624" i="7" s="1"/>
  <c r="F2560" i="7"/>
  <c r="I2560" i="7" s="1"/>
  <c r="F2496" i="7"/>
  <c r="I2496" i="7" s="1"/>
  <c r="F2408" i="7"/>
  <c r="I2408" i="7" s="1"/>
  <c r="F2376" i="7"/>
  <c r="I2376" i="7" s="1"/>
  <c r="F2312" i="7"/>
  <c r="I2312" i="7" s="1"/>
  <c r="F2280" i="7"/>
  <c r="I2280" i="7" s="1"/>
  <c r="F2248" i="7"/>
  <c r="I2248" i="7" s="1"/>
  <c r="F2216" i="7"/>
  <c r="I2216" i="7" s="1"/>
  <c r="F1520" i="7"/>
  <c r="I1520" i="7" s="1"/>
  <c r="F639" i="7"/>
  <c r="I639" i="7" s="1"/>
  <c r="F640" i="7"/>
  <c r="I640" i="7" s="1"/>
  <c r="F703" i="7"/>
  <c r="I703" i="7" s="1"/>
  <c r="F704" i="7"/>
  <c r="I704" i="7" s="1"/>
  <c r="F767" i="7"/>
  <c r="I767" i="7" s="1"/>
  <c r="F768" i="7"/>
  <c r="I768" i="7" s="1"/>
  <c r="F831" i="7"/>
  <c r="I831" i="7" s="1"/>
  <c r="F832" i="7"/>
  <c r="I832" i="7" s="1"/>
  <c r="F895" i="7"/>
  <c r="I895" i="7" s="1"/>
  <c r="F896" i="7"/>
  <c r="I896" i="7" s="1"/>
  <c r="F959" i="7"/>
  <c r="I959" i="7" s="1"/>
  <c r="F960" i="7"/>
  <c r="I960" i="7" s="1"/>
  <c r="F1663" i="7"/>
  <c r="I1663" i="7" s="1"/>
  <c r="F1664" i="7"/>
  <c r="I1664" i="7" s="1"/>
  <c r="F1727" i="7"/>
  <c r="I1727" i="7" s="1"/>
  <c r="F1728" i="7"/>
  <c r="I1728" i="7" s="1"/>
  <c r="F1789" i="7"/>
  <c r="I1789" i="7" s="1"/>
  <c r="F1792" i="7"/>
  <c r="I1792" i="7" s="1"/>
  <c r="F2880" i="7"/>
  <c r="I2880" i="7" s="1"/>
  <c r="F2856" i="7"/>
  <c r="I2856" i="7" s="1"/>
  <c r="F2848" i="7"/>
  <c r="I2848" i="7" s="1"/>
  <c r="F2816" i="7"/>
  <c r="I2816" i="7" s="1"/>
  <c r="F2792" i="7"/>
  <c r="I2792" i="7" s="1"/>
  <c r="F2784" i="7"/>
  <c r="I2784" i="7" s="1"/>
  <c r="F2752" i="7"/>
  <c r="I2752" i="7" s="1"/>
  <c r="F2736" i="7"/>
  <c r="I2736" i="7" s="1"/>
  <c r="F2728" i="7"/>
  <c r="I2728" i="7" s="1"/>
  <c r="F2720" i="7"/>
  <c r="I2720" i="7" s="1"/>
  <c r="F2632" i="7"/>
  <c r="I2632" i="7" s="1"/>
  <c r="K2600" i="7"/>
  <c r="M2600" i="7" s="1"/>
  <c r="F2568" i="7"/>
  <c r="I2568" i="7" s="1"/>
  <c r="K2536" i="7"/>
  <c r="M2536" i="7" s="1"/>
  <c r="F2504" i="7"/>
  <c r="I2504" i="7" s="1"/>
  <c r="K2472" i="7"/>
  <c r="M2472" i="7" s="1"/>
  <c r="F2048" i="7"/>
  <c r="I2048" i="7" s="1"/>
  <c r="F1984" i="7"/>
  <c r="I1984" i="7" s="1"/>
  <c r="F1920" i="7"/>
  <c r="I1920" i="7" s="1"/>
  <c r="F880" i="7"/>
  <c r="I880" i="7" s="1"/>
  <c r="F303" i="7"/>
  <c r="I303" i="7" s="1"/>
  <c r="F304" i="7"/>
  <c r="I304" i="7" s="1"/>
  <c r="F431" i="7"/>
  <c r="I431" i="7" s="1"/>
  <c r="F432" i="7"/>
  <c r="I432" i="7" s="1"/>
  <c r="F559" i="7"/>
  <c r="I559" i="7" s="1"/>
  <c r="F560" i="7"/>
  <c r="I560" i="7" s="1"/>
  <c r="F751" i="7"/>
  <c r="I751" i="7" s="1"/>
  <c r="F752" i="7"/>
  <c r="I752" i="7" s="1"/>
  <c r="F943" i="7"/>
  <c r="I943" i="7" s="1"/>
  <c r="F944" i="7"/>
  <c r="I944" i="7" s="1"/>
  <c r="F1007" i="7"/>
  <c r="I1007" i="7" s="1"/>
  <c r="F1008" i="7"/>
  <c r="I1008" i="7" s="1"/>
  <c r="K1198" i="7"/>
  <c r="M1198" i="7" s="1"/>
  <c r="K1200" i="7"/>
  <c r="M1200" i="7" s="1"/>
  <c r="K1262" i="7"/>
  <c r="M1262" i="7" s="1"/>
  <c r="K1264" i="7"/>
  <c r="M1264" i="7" s="1"/>
  <c r="K1326" i="7"/>
  <c r="M1326" i="7" s="1"/>
  <c r="K1328" i="7"/>
  <c r="M1328" i="7" s="1"/>
  <c r="K1390" i="7"/>
  <c r="M1390" i="7" s="1"/>
  <c r="K1392" i="7"/>
  <c r="M1392" i="7" s="1"/>
  <c r="K1454" i="7"/>
  <c r="M1454" i="7" s="1"/>
  <c r="K1456" i="7"/>
  <c r="M1456" i="7" s="1"/>
  <c r="F1837" i="7"/>
  <c r="I1837" i="7" s="1"/>
  <c r="F1840" i="7"/>
  <c r="I1840" i="7" s="1"/>
  <c r="F2029" i="7"/>
  <c r="I2029" i="7" s="1"/>
  <c r="F2032" i="7"/>
  <c r="I2032" i="7" s="1"/>
  <c r="F1736" i="7"/>
  <c r="I1736" i="7" s="1"/>
  <c r="F1224" i="7"/>
  <c r="I1224" i="7" s="1"/>
  <c r="F71" i="7"/>
  <c r="I71" i="7" s="1"/>
  <c r="F72" i="7"/>
  <c r="I72" i="7" s="1"/>
  <c r="F135" i="7"/>
  <c r="I135" i="7" s="1"/>
  <c r="F136" i="7"/>
  <c r="I136" i="7" s="1"/>
  <c r="F199" i="7"/>
  <c r="I199" i="7" s="1"/>
  <c r="F200" i="7"/>
  <c r="I200" i="7" s="1"/>
  <c r="F263" i="7"/>
  <c r="I263" i="7" s="1"/>
  <c r="F264" i="7"/>
  <c r="I264" i="7" s="1"/>
  <c r="F327" i="7"/>
  <c r="I327" i="7" s="1"/>
  <c r="F328" i="7"/>
  <c r="I328" i="7" s="1"/>
  <c r="F455" i="7"/>
  <c r="I455" i="7" s="1"/>
  <c r="F456" i="7"/>
  <c r="I456" i="7" s="1"/>
  <c r="F519" i="7"/>
  <c r="I519" i="7" s="1"/>
  <c r="F520" i="7"/>
  <c r="I520" i="7" s="1"/>
  <c r="F583" i="7"/>
  <c r="I583" i="7" s="1"/>
  <c r="F584" i="7"/>
  <c r="I584" i="7" s="1"/>
  <c r="F647" i="7"/>
  <c r="I647" i="7" s="1"/>
  <c r="F648" i="7"/>
  <c r="I648" i="7" s="1"/>
  <c r="F711" i="7"/>
  <c r="I711" i="7" s="1"/>
  <c r="F712" i="7"/>
  <c r="I712" i="7" s="1"/>
  <c r="F775" i="7"/>
  <c r="I775" i="7" s="1"/>
  <c r="F776" i="7"/>
  <c r="I776" i="7" s="1"/>
  <c r="F903" i="7"/>
  <c r="I903" i="7" s="1"/>
  <c r="F904" i="7"/>
  <c r="I904" i="7" s="1"/>
  <c r="F1031" i="7"/>
  <c r="I1031" i="7" s="1"/>
  <c r="F1032" i="7"/>
  <c r="I1032" i="7" s="1"/>
  <c r="F1095" i="7"/>
  <c r="I1095" i="7" s="1"/>
  <c r="F1096" i="7"/>
  <c r="I1096" i="7" s="1"/>
  <c r="F1159" i="7"/>
  <c r="I1159" i="7" s="1"/>
  <c r="F1160" i="7"/>
  <c r="I1160" i="7" s="1"/>
  <c r="F1861" i="7"/>
  <c r="I1861" i="7" s="1"/>
  <c r="F1864" i="7"/>
  <c r="I1864" i="7" s="1"/>
  <c r="F1989" i="7"/>
  <c r="I1989" i="7" s="1"/>
  <c r="F1992" i="7"/>
  <c r="I1992" i="7" s="1"/>
  <c r="F2053" i="7"/>
  <c r="I2053" i="7" s="1"/>
  <c r="F2056" i="7"/>
  <c r="I2056" i="7" s="1"/>
  <c r="F2117" i="7"/>
  <c r="I2117" i="7" s="1"/>
  <c r="F2120" i="7"/>
  <c r="I2120" i="7" s="1"/>
  <c r="F2181" i="7"/>
  <c r="I2181" i="7" s="1"/>
  <c r="F2184" i="7"/>
  <c r="I2184" i="7" s="1"/>
  <c r="K2824" i="7"/>
  <c r="M2824" i="7" s="1"/>
  <c r="K2760" i="7"/>
  <c r="M2760" i="7" s="1"/>
  <c r="K2696" i="7"/>
  <c r="M2696" i="7" s="1"/>
  <c r="F2656" i="7"/>
  <c r="I2656" i="7" s="1"/>
  <c r="F2592" i="7"/>
  <c r="I2592" i="7" s="1"/>
  <c r="F2464" i="7"/>
  <c r="I2464" i="7" s="1"/>
  <c r="K2440" i="7"/>
  <c r="M2440" i="7" s="1"/>
  <c r="K2344" i="7"/>
  <c r="M2344" i="7" s="1"/>
  <c r="F1776" i="7"/>
  <c r="I1776" i="7" s="1"/>
  <c r="F607" i="7"/>
  <c r="I607" i="7" s="1"/>
  <c r="F608" i="7"/>
  <c r="I608" i="7" s="1"/>
  <c r="F671" i="7"/>
  <c r="I671" i="7" s="1"/>
  <c r="F672" i="7"/>
  <c r="I672" i="7" s="1"/>
  <c r="F735" i="7"/>
  <c r="I735" i="7" s="1"/>
  <c r="F736" i="7"/>
  <c r="I736" i="7" s="1"/>
  <c r="F799" i="7"/>
  <c r="I799" i="7" s="1"/>
  <c r="F800" i="7"/>
  <c r="I800" i="7" s="1"/>
  <c r="F863" i="7"/>
  <c r="I863" i="7" s="1"/>
  <c r="F864" i="7"/>
  <c r="I864" i="7" s="1"/>
  <c r="F927" i="7"/>
  <c r="I927" i="7" s="1"/>
  <c r="F928" i="7"/>
  <c r="I928" i="7" s="1"/>
  <c r="F991" i="7"/>
  <c r="I991" i="7" s="1"/>
  <c r="F992" i="7"/>
  <c r="I992" i="7" s="1"/>
  <c r="F1055" i="7"/>
  <c r="I1055" i="7" s="1"/>
  <c r="F1056" i="7"/>
  <c r="I1056" i="7" s="1"/>
  <c r="F1119" i="7"/>
  <c r="I1119" i="7" s="1"/>
  <c r="F1120" i="7"/>
  <c r="I1120" i="7" s="1"/>
  <c r="F1183" i="7"/>
  <c r="I1183" i="7" s="1"/>
  <c r="F1184" i="7"/>
  <c r="I1184" i="7" s="1"/>
  <c r="F1247" i="7"/>
  <c r="I1247" i="7" s="1"/>
  <c r="F1248" i="7"/>
  <c r="I1248" i="7" s="1"/>
  <c r="F1311" i="7"/>
  <c r="I1311" i="7" s="1"/>
  <c r="F1312" i="7"/>
  <c r="I1312" i="7" s="1"/>
  <c r="F1375" i="7"/>
  <c r="I1375" i="7" s="1"/>
  <c r="F1376" i="7"/>
  <c r="I1376" i="7" s="1"/>
  <c r="F1503" i="7"/>
  <c r="I1503" i="7" s="1"/>
  <c r="F1504" i="7"/>
  <c r="I1504" i="7" s="1"/>
  <c r="F1567" i="7"/>
  <c r="I1567" i="7" s="1"/>
  <c r="F1568" i="7"/>
  <c r="I1568" i="7" s="1"/>
  <c r="F1631" i="7"/>
  <c r="I1631" i="7" s="1"/>
  <c r="F1632" i="7"/>
  <c r="I1632" i="7" s="1"/>
  <c r="F1759" i="7"/>
  <c r="I1759" i="7" s="1"/>
  <c r="F1760" i="7"/>
  <c r="I1760" i="7" s="1"/>
  <c r="F2664" i="7"/>
  <c r="I2664" i="7" s="1"/>
  <c r="F2144" i="7"/>
  <c r="I2144" i="7" s="1"/>
  <c r="F2080" i="7"/>
  <c r="I2080" i="7" s="1"/>
  <c r="F1952" i="7"/>
  <c r="I1952" i="7" s="1"/>
  <c r="F1888" i="7"/>
  <c r="I1888" i="7" s="1"/>
  <c r="F1608" i="7"/>
  <c r="I1608" i="7" s="1"/>
  <c r="K2007" i="7"/>
  <c r="M2007" i="7" s="1"/>
  <c r="K1751" i="7"/>
  <c r="M1751" i="7" s="1"/>
  <c r="K2199" i="7"/>
  <c r="M2199" i="7" s="1"/>
  <c r="K1231" i="7"/>
  <c r="M1231" i="7" s="1"/>
  <c r="K2071" i="7"/>
  <c r="M2071" i="7" s="1"/>
  <c r="K126" i="7"/>
  <c r="M126" i="7" s="1"/>
  <c r="K127" i="7"/>
  <c r="M127" i="7" s="1"/>
  <c r="K254" i="7"/>
  <c r="M254" i="7" s="1"/>
  <c r="K255" i="7"/>
  <c r="M255" i="7" s="1"/>
  <c r="K382" i="7"/>
  <c r="M382" i="7" s="1"/>
  <c r="K383" i="7"/>
  <c r="M383" i="7" s="1"/>
  <c r="K446" i="7"/>
  <c r="M446" i="7" s="1"/>
  <c r="K447" i="7"/>
  <c r="M447" i="7" s="1"/>
  <c r="K510" i="7"/>
  <c r="M510" i="7" s="1"/>
  <c r="K511" i="7"/>
  <c r="M511" i="7" s="1"/>
  <c r="K574" i="7"/>
  <c r="M574" i="7" s="1"/>
  <c r="K575" i="7"/>
  <c r="M575" i="7" s="1"/>
  <c r="F1021" i="7"/>
  <c r="I1021" i="7" s="1"/>
  <c r="F1023" i="7"/>
  <c r="I1023" i="7" s="1"/>
  <c r="F1085" i="7"/>
  <c r="I1085" i="7" s="1"/>
  <c r="F1087" i="7"/>
  <c r="I1087" i="7" s="1"/>
  <c r="F1149" i="7"/>
  <c r="I1149" i="7" s="1"/>
  <c r="F1151" i="7"/>
  <c r="I1151" i="7" s="1"/>
  <c r="F1213" i="7"/>
  <c r="I1213" i="7" s="1"/>
  <c r="F1215" i="7"/>
  <c r="I1215" i="7" s="1"/>
  <c r="F1277" i="7"/>
  <c r="I1277" i="7" s="1"/>
  <c r="F1279" i="7"/>
  <c r="I1279" i="7" s="1"/>
  <c r="F1405" i="7"/>
  <c r="I1405" i="7" s="1"/>
  <c r="F1407" i="7"/>
  <c r="I1407" i="7" s="1"/>
  <c r="F1469" i="7"/>
  <c r="I1469" i="7" s="1"/>
  <c r="F1471" i="7"/>
  <c r="I1471" i="7" s="1"/>
  <c r="F1533" i="7"/>
  <c r="I1533" i="7" s="1"/>
  <c r="F1535" i="7"/>
  <c r="I1535" i="7" s="1"/>
  <c r="K2871" i="7"/>
  <c r="M2871" i="7" s="1"/>
  <c r="K2839" i="7"/>
  <c r="M2839" i="7" s="1"/>
  <c r="K2823" i="7"/>
  <c r="M2823" i="7" s="1"/>
  <c r="K2807" i="7"/>
  <c r="M2807" i="7" s="1"/>
  <c r="K2775" i="7"/>
  <c r="M2775" i="7" s="1"/>
  <c r="K2759" i="7"/>
  <c r="M2759" i="7" s="1"/>
  <c r="K2743" i="7"/>
  <c r="M2743" i="7" s="1"/>
  <c r="K2711" i="7"/>
  <c r="M2711" i="7" s="1"/>
  <c r="K2695" i="7"/>
  <c r="M2695" i="7" s="1"/>
  <c r="K2439" i="7"/>
  <c r="M2439" i="7" s="1"/>
  <c r="K2095" i="7"/>
  <c r="M2095" i="7" s="1"/>
  <c r="F2023" i="7"/>
  <c r="I2023" i="7" s="1"/>
  <c r="F1895" i="7"/>
  <c r="I1895" i="7" s="1"/>
  <c r="K1391" i="7"/>
  <c r="M1391" i="7" s="1"/>
  <c r="K62" i="7"/>
  <c r="M62" i="7" s="1"/>
  <c r="K63" i="7"/>
  <c r="M63" i="7" s="1"/>
  <c r="K190" i="7"/>
  <c r="M190" i="7" s="1"/>
  <c r="K191" i="7"/>
  <c r="M191" i="7" s="1"/>
  <c r="K318" i="7"/>
  <c r="M318" i="7" s="1"/>
  <c r="K319" i="7"/>
  <c r="M319" i="7" s="1"/>
  <c r="K22" i="7"/>
  <c r="M22" i="7" s="1"/>
  <c r="K23" i="7"/>
  <c r="M23" i="7" s="1"/>
  <c r="K406" i="7"/>
  <c r="M406" i="7" s="1"/>
  <c r="K407" i="7"/>
  <c r="M407" i="7" s="1"/>
  <c r="K662" i="7"/>
  <c r="M662" i="7" s="1"/>
  <c r="K663" i="7"/>
  <c r="M663" i="7" s="1"/>
  <c r="K726" i="7"/>
  <c r="M726" i="7" s="1"/>
  <c r="K727" i="7"/>
  <c r="M727" i="7" s="1"/>
  <c r="K790" i="7"/>
  <c r="M790" i="7" s="1"/>
  <c r="K791" i="7"/>
  <c r="M791" i="7" s="1"/>
  <c r="K854" i="7"/>
  <c r="M854" i="7" s="1"/>
  <c r="K855" i="7"/>
  <c r="M855" i="7" s="1"/>
  <c r="K918" i="7"/>
  <c r="M918" i="7" s="1"/>
  <c r="K919" i="7"/>
  <c r="M919" i="7" s="1"/>
  <c r="K982" i="7"/>
  <c r="M982" i="7" s="1"/>
  <c r="K983" i="7"/>
  <c r="M983" i="7" s="1"/>
  <c r="K1046" i="7"/>
  <c r="M1046" i="7" s="1"/>
  <c r="K1047" i="7"/>
  <c r="M1047" i="7" s="1"/>
  <c r="F1109" i="7"/>
  <c r="I1109" i="7" s="1"/>
  <c r="F1111" i="7"/>
  <c r="I1111" i="7" s="1"/>
  <c r="F1173" i="7"/>
  <c r="I1173" i="7" s="1"/>
  <c r="F1175" i="7"/>
  <c r="I1175" i="7" s="1"/>
  <c r="K1238" i="7"/>
  <c r="M1238" i="7" s="1"/>
  <c r="K1239" i="7"/>
  <c r="M1239" i="7" s="1"/>
  <c r="F1301" i="7"/>
  <c r="I1301" i="7" s="1"/>
  <c r="F1303" i="7"/>
  <c r="I1303" i="7" s="1"/>
  <c r="K1366" i="7"/>
  <c r="M1366" i="7" s="1"/>
  <c r="K1367" i="7"/>
  <c r="M1367" i="7" s="1"/>
  <c r="K1430" i="7"/>
  <c r="M1430" i="7" s="1"/>
  <c r="K1431" i="7"/>
  <c r="M1431" i="7" s="1"/>
  <c r="K1494" i="7"/>
  <c r="M1494" i="7" s="1"/>
  <c r="K1495" i="7"/>
  <c r="M1495" i="7" s="1"/>
  <c r="K1558" i="7"/>
  <c r="M1558" i="7" s="1"/>
  <c r="K1559" i="7"/>
  <c r="M1559" i="7" s="1"/>
  <c r="K1622" i="7"/>
  <c r="M1622" i="7" s="1"/>
  <c r="K1623" i="7"/>
  <c r="M1623" i="7" s="1"/>
  <c r="K1686" i="7"/>
  <c r="M1686" i="7" s="1"/>
  <c r="K1687" i="7"/>
  <c r="M1687" i="7" s="1"/>
  <c r="F2239" i="7"/>
  <c r="I2239" i="7" s="1"/>
  <c r="F2175" i="7"/>
  <c r="I2175" i="7" s="1"/>
  <c r="F2047" i="7"/>
  <c r="I2047" i="7" s="1"/>
  <c r="F1983" i="7"/>
  <c r="I1983" i="7" s="1"/>
  <c r="F1919" i="7"/>
  <c r="I1919" i="7" s="1"/>
  <c r="F1791" i="7"/>
  <c r="I1791" i="7" s="1"/>
  <c r="K1295" i="7"/>
  <c r="M1295" i="7" s="1"/>
  <c r="K46" i="7"/>
  <c r="M46" i="7" s="1"/>
  <c r="K47" i="7"/>
  <c r="M47" i="7" s="1"/>
  <c r="K174" i="7"/>
  <c r="M174" i="7" s="1"/>
  <c r="K175" i="7"/>
  <c r="M175" i="7" s="1"/>
  <c r="K238" i="7"/>
  <c r="M238" i="7" s="1"/>
  <c r="K239" i="7"/>
  <c r="M239" i="7" s="1"/>
  <c r="K366" i="7"/>
  <c r="M366" i="7" s="1"/>
  <c r="K367" i="7"/>
  <c r="M367" i="7" s="1"/>
  <c r="K494" i="7"/>
  <c r="M494" i="7" s="1"/>
  <c r="K495" i="7"/>
  <c r="M495" i="7" s="1"/>
  <c r="K622" i="7"/>
  <c r="M622" i="7" s="1"/>
  <c r="K623" i="7"/>
  <c r="M623" i="7" s="1"/>
  <c r="K686" i="7"/>
  <c r="M686" i="7" s="1"/>
  <c r="K687" i="7"/>
  <c r="M687" i="7" s="1"/>
  <c r="K814" i="7"/>
  <c r="M814" i="7" s="1"/>
  <c r="K815" i="7"/>
  <c r="M815" i="7" s="1"/>
  <c r="K1070" i="7"/>
  <c r="M1070" i="7" s="1"/>
  <c r="K1071" i="7"/>
  <c r="M1071" i="7" s="1"/>
  <c r="K1134" i="7"/>
  <c r="M1134" i="7" s="1"/>
  <c r="K1135" i="7"/>
  <c r="M1135" i="7" s="1"/>
  <c r="K1582" i="7"/>
  <c r="M1582" i="7" s="1"/>
  <c r="K1583" i="7"/>
  <c r="M1583" i="7" s="1"/>
  <c r="K1646" i="7"/>
  <c r="M1646" i="7" s="1"/>
  <c r="K1647" i="7"/>
  <c r="M1647" i="7" s="1"/>
  <c r="F1709" i="7"/>
  <c r="I1709" i="7" s="1"/>
  <c r="F1711" i="7"/>
  <c r="I1711" i="7" s="1"/>
  <c r="F2687" i="7"/>
  <c r="I2687" i="7" s="1"/>
  <c r="F2655" i="7"/>
  <c r="I2655" i="7" s="1"/>
  <c r="F2623" i="7"/>
  <c r="I2623" i="7" s="1"/>
  <c r="F2591" i="7"/>
  <c r="I2591" i="7" s="1"/>
  <c r="F2559" i="7"/>
  <c r="I2559" i="7" s="1"/>
  <c r="F2495" i="7"/>
  <c r="I2495" i="7" s="1"/>
  <c r="F2463" i="7"/>
  <c r="I2463" i="7" s="1"/>
  <c r="F2399" i="7"/>
  <c r="I2399" i="7" s="1"/>
  <c r="K2383" i="7"/>
  <c r="M2383" i="7" s="1"/>
  <c r="K2351" i="7"/>
  <c r="M2351" i="7" s="1"/>
  <c r="F2335" i="7"/>
  <c r="I2335" i="7" s="1"/>
  <c r="K2319" i="7"/>
  <c r="M2319" i="7" s="1"/>
  <c r="F2303" i="7"/>
  <c r="I2303" i="7" s="1"/>
  <c r="K1455" i="7"/>
  <c r="M1455" i="7" s="1"/>
  <c r="K1199" i="7"/>
  <c r="M1199" i="7" s="1"/>
  <c r="K110" i="7"/>
  <c r="M110" i="7" s="1"/>
  <c r="K111" i="7"/>
  <c r="M111" i="7" s="1"/>
  <c r="K838" i="7"/>
  <c r="M838" i="7" s="1"/>
  <c r="K839" i="7"/>
  <c r="M839" i="7" s="1"/>
  <c r="K966" i="7"/>
  <c r="M966" i="7" s="1"/>
  <c r="K967" i="7"/>
  <c r="M967" i="7" s="1"/>
  <c r="K1350" i="7"/>
  <c r="M1350" i="7" s="1"/>
  <c r="K1351" i="7"/>
  <c r="M1351" i="7" s="1"/>
  <c r="K1414" i="7"/>
  <c r="M1414" i="7" s="1"/>
  <c r="K1415" i="7"/>
  <c r="M1415" i="7" s="1"/>
  <c r="K1670" i="7"/>
  <c r="M1670" i="7" s="1"/>
  <c r="K1671" i="7"/>
  <c r="M1671" i="7" s="1"/>
  <c r="K2231" i="7"/>
  <c r="M2231" i="7" s="1"/>
  <c r="F2223" i="7"/>
  <c r="I2223" i="7" s="1"/>
  <c r="K2167" i="7"/>
  <c r="M2167" i="7" s="1"/>
  <c r="K2103" i="7"/>
  <c r="M2103" i="7" s="1"/>
  <c r="K2039" i="7"/>
  <c r="M2039" i="7" s="1"/>
  <c r="F2031" i="7"/>
  <c r="I2031" i="7" s="1"/>
  <c r="K1975" i="7"/>
  <c r="M1975" i="7" s="1"/>
  <c r="K1847" i="7"/>
  <c r="M1847" i="7" s="1"/>
  <c r="F1839" i="7"/>
  <c r="I1839" i="7" s="1"/>
  <c r="K1783" i="7"/>
  <c r="M1783" i="7" s="1"/>
  <c r="F1775" i="7"/>
  <c r="I1775" i="7" s="1"/>
  <c r="F6" i="7"/>
  <c r="I6" i="7" s="1"/>
  <c r="F7" i="7"/>
  <c r="I7" i="7" s="1"/>
  <c r="K158" i="7"/>
  <c r="M158" i="7" s="1"/>
  <c r="K159" i="7"/>
  <c r="M159" i="7" s="1"/>
  <c r="K286" i="7"/>
  <c r="M286" i="7" s="1"/>
  <c r="K287" i="7"/>
  <c r="M287" i="7" s="1"/>
  <c r="K414" i="7"/>
  <c r="M414" i="7" s="1"/>
  <c r="K415" i="7"/>
  <c r="M415" i="7" s="1"/>
  <c r="K542" i="7"/>
  <c r="M542" i="7" s="1"/>
  <c r="K543" i="7"/>
  <c r="M543" i="7" s="1"/>
  <c r="K2679" i="7"/>
  <c r="M2679" i="7" s="1"/>
  <c r="F2663" i="7"/>
  <c r="I2663" i="7" s="1"/>
  <c r="K2647" i="7"/>
  <c r="M2647" i="7" s="1"/>
  <c r="F2631" i="7"/>
  <c r="I2631" i="7" s="1"/>
  <c r="K2615" i="7"/>
  <c r="M2615" i="7" s="1"/>
  <c r="K2583" i="7"/>
  <c r="M2583" i="7" s="1"/>
  <c r="F2567" i="7"/>
  <c r="I2567" i="7" s="1"/>
  <c r="K2551" i="7"/>
  <c r="M2551" i="7" s="1"/>
  <c r="K2519" i="7"/>
  <c r="M2519" i="7" s="1"/>
  <c r="F2503" i="7"/>
  <c r="I2503" i="7" s="1"/>
  <c r="K2487" i="7"/>
  <c r="M2487" i="7" s="1"/>
  <c r="K2455" i="7"/>
  <c r="M2455" i="7" s="1"/>
  <c r="K2423" i="7"/>
  <c r="M2423" i="7" s="1"/>
  <c r="F2407" i="7"/>
  <c r="I2407" i="7" s="1"/>
  <c r="K2391" i="7"/>
  <c r="M2391" i="7" s="1"/>
  <c r="F2375" i="7"/>
  <c r="I2375" i="7" s="1"/>
  <c r="K2359" i="7"/>
  <c r="M2359" i="7" s="1"/>
  <c r="K2327" i="7"/>
  <c r="M2327" i="7" s="1"/>
  <c r="F2311" i="7"/>
  <c r="I2311" i="7" s="1"/>
  <c r="K2295" i="7"/>
  <c r="M2295" i="7" s="1"/>
  <c r="F2279" i="7"/>
  <c r="I2279" i="7" s="1"/>
  <c r="K2263" i="7"/>
  <c r="M2263" i="7" s="1"/>
  <c r="F2247" i="7"/>
  <c r="I2247" i="7" s="1"/>
  <c r="K2191" i="7"/>
  <c r="M2191" i="7" s="1"/>
  <c r="F2183" i="7"/>
  <c r="I2183" i="7" s="1"/>
  <c r="K2127" i="7"/>
  <c r="M2127" i="7" s="1"/>
  <c r="F2119" i="7"/>
  <c r="I2119" i="7" s="1"/>
  <c r="K2063" i="7"/>
  <c r="M2063" i="7" s="1"/>
  <c r="F2055" i="7"/>
  <c r="I2055" i="7" s="1"/>
  <c r="F1991" i="7"/>
  <c r="I1991" i="7" s="1"/>
  <c r="K1935" i="7"/>
  <c r="M1935" i="7" s="1"/>
  <c r="F1863" i="7"/>
  <c r="I1863" i="7" s="1"/>
  <c r="K1807" i="7"/>
  <c r="M1807" i="7" s="1"/>
  <c r="F1799" i="7"/>
  <c r="I1799" i="7" s="1"/>
  <c r="K1263" i="7"/>
  <c r="M1263" i="7" s="1"/>
  <c r="F389" i="7"/>
  <c r="I389" i="7" s="1"/>
  <c r="F391" i="7"/>
  <c r="I391" i="7" s="1"/>
  <c r="K94" i="7"/>
  <c r="M94" i="7" s="1"/>
  <c r="K95" i="7"/>
  <c r="M95" i="7" s="1"/>
  <c r="K350" i="7"/>
  <c r="M350" i="7" s="1"/>
  <c r="K351" i="7"/>
  <c r="M351" i="7" s="1"/>
  <c r="K374" i="7"/>
  <c r="M374" i="7" s="1"/>
  <c r="K375" i="7"/>
  <c r="M375" i="7" s="1"/>
  <c r="K694" i="7"/>
  <c r="M694" i="7" s="1"/>
  <c r="K695" i="7"/>
  <c r="M695" i="7" s="1"/>
  <c r="K758" i="7"/>
  <c r="M758" i="7" s="1"/>
  <c r="K759" i="7"/>
  <c r="M759" i="7" s="1"/>
  <c r="K822" i="7"/>
  <c r="M822" i="7" s="1"/>
  <c r="K823" i="7"/>
  <c r="M823" i="7" s="1"/>
  <c r="K886" i="7"/>
  <c r="M886" i="7" s="1"/>
  <c r="K887" i="7"/>
  <c r="M887" i="7" s="1"/>
  <c r="K950" i="7"/>
  <c r="M950" i="7" s="1"/>
  <c r="K951" i="7"/>
  <c r="M951" i="7" s="1"/>
  <c r="K1014" i="7"/>
  <c r="M1014" i="7" s="1"/>
  <c r="K1015" i="7"/>
  <c r="M1015" i="7" s="1"/>
  <c r="K1078" i="7"/>
  <c r="M1078" i="7" s="1"/>
  <c r="K1079" i="7"/>
  <c r="M1079" i="7" s="1"/>
  <c r="K1334" i="7"/>
  <c r="M1334" i="7" s="1"/>
  <c r="K1335" i="7"/>
  <c r="M1335" i="7" s="1"/>
  <c r="K1398" i="7"/>
  <c r="M1398" i="7" s="1"/>
  <c r="K1399" i="7"/>
  <c r="M1399" i="7" s="1"/>
  <c r="K1526" i="7"/>
  <c r="M1526" i="7" s="1"/>
  <c r="K1527" i="7"/>
  <c r="M1527" i="7" s="1"/>
  <c r="K1590" i="7"/>
  <c r="M1590" i="7" s="1"/>
  <c r="K1591" i="7"/>
  <c r="M1591" i="7" s="1"/>
  <c r="K1654" i="7"/>
  <c r="M1654" i="7" s="1"/>
  <c r="K1655" i="7"/>
  <c r="M1655" i="7" s="1"/>
  <c r="F2879" i="7"/>
  <c r="I2879" i="7" s="1"/>
  <c r="F2847" i="7"/>
  <c r="I2847" i="7" s="1"/>
  <c r="F2815" i="7"/>
  <c r="I2815" i="7" s="1"/>
  <c r="F2791" i="7"/>
  <c r="I2791" i="7" s="1"/>
  <c r="F2783" i="7"/>
  <c r="I2783" i="7" s="1"/>
  <c r="F2751" i="7"/>
  <c r="I2751" i="7" s="1"/>
  <c r="F2735" i="7"/>
  <c r="I2735" i="7" s="1"/>
  <c r="F2727" i="7"/>
  <c r="I2727" i="7" s="1"/>
  <c r="F2719" i="7"/>
  <c r="I2719" i="7" s="1"/>
  <c r="F2207" i="7"/>
  <c r="I2207" i="7" s="1"/>
  <c r="K2151" i="7"/>
  <c r="M2151" i="7" s="1"/>
  <c r="F2143" i="7"/>
  <c r="I2143" i="7" s="1"/>
  <c r="K2087" i="7"/>
  <c r="M2087" i="7" s="1"/>
  <c r="F2079" i="7"/>
  <c r="I2079" i="7" s="1"/>
  <c r="F1951" i="7"/>
  <c r="I1951" i="7" s="1"/>
  <c r="F1887" i="7"/>
  <c r="I1887" i="7" s="1"/>
  <c r="F1823" i="7"/>
  <c r="I1823" i="7" s="1"/>
  <c r="K30" i="7"/>
  <c r="M30" i="7" s="1"/>
  <c r="K31" i="7"/>
  <c r="M31" i="7" s="1"/>
  <c r="K222" i="7"/>
  <c r="M222" i="7" s="1"/>
  <c r="K223" i="7"/>
  <c r="M223" i="7" s="1"/>
  <c r="K478" i="7"/>
  <c r="M478" i="7" s="1"/>
  <c r="K479" i="7"/>
  <c r="M479" i="7" s="1"/>
  <c r="K54" i="7"/>
  <c r="M54" i="7" s="1"/>
  <c r="K55" i="7"/>
  <c r="M55" i="7" s="1"/>
  <c r="K14" i="7"/>
  <c r="M14" i="7" s="1"/>
  <c r="K15" i="7"/>
  <c r="M15" i="7" s="1"/>
  <c r="K270" i="7"/>
  <c r="M270" i="7" s="1"/>
  <c r="K271" i="7"/>
  <c r="M271" i="7" s="1"/>
  <c r="K526" i="7"/>
  <c r="M526" i="7" s="1"/>
  <c r="K527" i="7"/>
  <c r="M527" i="7" s="1"/>
  <c r="K718" i="7"/>
  <c r="M718" i="7" s="1"/>
  <c r="K719" i="7"/>
  <c r="M719" i="7" s="1"/>
  <c r="K782" i="7"/>
  <c r="M782" i="7" s="1"/>
  <c r="K783" i="7"/>
  <c r="M783" i="7" s="1"/>
  <c r="K974" i="7"/>
  <c r="M974" i="7" s="1"/>
  <c r="K975" i="7"/>
  <c r="M975" i="7" s="1"/>
  <c r="K1038" i="7"/>
  <c r="M1038" i="7" s="1"/>
  <c r="K1039" i="7"/>
  <c r="M1039" i="7" s="1"/>
  <c r="K1102" i="7"/>
  <c r="M1102" i="7" s="1"/>
  <c r="K1103" i="7"/>
  <c r="M1103" i="7" s="1"/>
  <c r="K1550" i="7"/>
  <c r="M1550" i="7" s="1"/>
  <c r="K1551" i="7"/>
  <c r="M1551" i="7" s="1"/>
  <c r="F2671" i="7"/>
  <c r="I2671" i="7" s="1"/>
  <c r="F2607" i="7"/>
  <c r="I2607" i="7" s="1"/>
  <c r="F2543" i="7"/>
  <c r="I2543" i="7" s="1"/>
  <c r="F2479" i="7"/>
  <c r="I2479" i="7" s="1"/>
  <c r="F2415" i="7"/>
  <c r="I2415" i="7" s="1"/>
  <c r="F2287" i="7"/>
  <c r="I2287" i="7" s="1"/>
  <c r="K1327" i="7"/>
  <c r="M1327" i="7" s="1"/>
  <c r="K2838" i="7"/>
  <c r="M2838" i="7" s="1"/>
  <c r="K2582" i="7"/>
  <c r="M2582" i="7" s="1"/>
  <c r="K2262" i="7"/>
  <c r="M2262" i="7" s="1"/>
  <c r="F2246" i="7"/>
  <c r="I2246" i="7" s="1"/>
  <c r="F1862" i="7"/>
  <c r="I1862" i="7" s="1"/>
  <c r="K2774" i="7"/>
  <c r="M2774" i="7" s="1"/>
  <c r="F2662" i="7"/>
  <c r="I2662" i="7" s="1"/>
  <c r="F2606" i="7"/>
  <c r="I2606" i="7" s="1"/>
  <c r="F2286" i="7"/>
  <c r="I2286" i="7" s="1"/>
  <c r="F1798" i="7"/>
  <c r="I1798" i="7" s="1"/>
  <c r="K2518" i="7"/>
  <c r="M2518" i="7" s="1"/>
  <c r="F2406" i="7"/>
  <c r="I2406" i="7" s="1"/>
  <c r="F2182" i="7"/>
  <c r="I2182" i="7" s="1"/>
  <c r="K2710" i="7"/>
  <c r="M2710" i="7" s="1"/>
  <c r="F2542" i="7"/>
  <c r="I2542" i="7" s="1"/>
  <c r="F2206" i="7"/>
  <c r="I2206" i="7" s="1"/>
  <c r="F2734" i="7"/>
  <c r="I2734" i="7" s="1"/>
  <c r="K2454" i="7"/>
  <c r="M2454" i="7" s="1"/>
  <c r="F2118" i="7"/>
  <c r="I2118" i="7" s="1"/>
  <c r="F1470" i="7"/>
  <c r="I1470" i="7" s="1"/>
  <c r="F2478" i="7"/>
  <c r="I2478" i="7" s="1"/>
  <c r="F2142" i="7"/>
  <c r="I2142" i="7" s="1"/>
  <c r="F2670" i="7"/>
  <c r="I2670" i="7" s="1"/>
  <c r="K2646" i="7"/>
  <c r="M2646" i="7" s="1"/>
  <c r="F2054" i="7"/>
  <c r="I2054" i="7" s="1"/>
  <c r="F1214" i="7"/>
  <c r="I1214" i="7" s="1"/>
  <c r="K2870" i="7"/>
  <c r="M2870" i="7" s="1"/>
  <c r="F2414" i="7"/>
  <c r="I2414" i="7" s="1"/>
  <c r="K2390" i="7"/>
  <c r="M2390" i="7" s="1"/>
  <c r="K2326" i="7"/>
  <c r="M2326" i="7" s="1"/>
  <c r="F2078" i="7"/>
  <c r="I2078" i="7" s="1"/>
  <c r="F1990" i="7"/>
  <c r="I1990" i="7" s="1"/>
  <c r="F301" i="7"/>
  <c r="I301" i="7" s="1"/>
  <c r="F302" i="7"/>
  <c r="I302" i="7" s="1"/>
  <c r="F197" i="7"/>
  <c r="I197" i="7" s="1"/>
  <c r="F198" i="7"/>
  <c r="I198" i="7" s="1"/>
  <c r="F261" i="7"/>
  <c r="I261" i="7" s="1"/>
  <c r="F262" i="7"/>
  <c r="I262" i="7" s="1"/>
  <c r="K2382" i="7"/>
  <c r="M2382" i="7" s="1"/>
  <c r="F69" i="7"/>
  <c r="I69" i="7" s="1"/>
  <c r="F70" i="7"/>
  <c r="I70" i="7" s="1"/>
  <c r="F133" i="7"/>
  <c r="I133" i="7" s="1"/>
  <c r="F134" i="7"/>
  <c r="I134" i="7" s="1"/>
  <c r="F325" i="7"/>
  <c r="I325" i="7" s="1"/>
  <c r="F326" i="7"/>
  <c r="I326" i="7" s="1"/>
  <c r="F2726" i="7"/>
  <c r="I2726" i="7" s="1"/>
  <c r="F2278" i="7"/>
  <c r="I2278" i="7" s="1"/>
  <c r="F749" i="7"/>
  <c r="I749" i="7" s="1"/>
  <c r="F750" i="7"/>
  <c r="I750" i="7" s="1"/>
  <c r="F205" i="7"/>
  <c r="I205" i="7" s="1"/>
  <c r="F206" i="7"/>
  <c r="I206" i="7" s="1"/>
  <c r="F461" i="7"/>
  <c r="I461" i="7" s="1"/>
  <c r="F462" i="7"/>
  <c r="I462" i="7" s="1"/>
  <c r="K1165" i="7"/>
  <c r="M1165" i="7" s="1"/>
  <c r="K1166" i="7"/>
  <c r="M1166" i="7" s="1"/>
  <c r="F1357" i="7"/>
  <c r="I1357" i="7" s="1"/>
  <c r="F1358" i="7"/>
  <c r="I1358" i="7" s="1"/>
  <c r="F1421" i="7"/>
  <c r="I1421" i="7" s="1"/>
  <c r="F1422" i="7"/>
  <c r="I1422" i="7" s="1"/>
  <c r="F1613" i="7"/>
  <c r="I1613" i="7" s="1"/>
  <c r="F1614" i="7"/>
  <c r="I1614" i="7" s="1"/>
  <c r="F1677" i="7"/>
  <c r="I1677" i="7" s="1"/>
  <c r="F1678" i="7"/>
  <c r="I1678" i="7" s="1"/>
  <c r="F1869" i="7"/>
  <c r="I1869" i="7" s="1"/>
  <c r="F1870" i="7"/>
  <c r="I1870" i="7" s="1"/>
  <c r="F1997" i="7"/>
  <c r="I1997" i="7" s="1"/>
  <c r="F1998" i="7"/>
  <c r="I1998" i="7" s="1"/>
  <c r="F2253" i="7"/>
  <c r="I2253" i="7" s="1"/>
  <c r="F2254" i="7"/>
  <c r="I2254" i="7" s="1"/>
  <c r="F2445" i="7"/>
  <c r="I2445" i="7" s="1"/>
  <c r="F2446" i="7"/>
  <c r="I2446" i="7" s="1"/>
  <c r="F2573" i="7"/>
  <c r="I2573" i="7" s="1"/>
  <c r="F2574" i="7"/>
  <c r="I2574" i="7" s="1"/>
  <c r="F2637" i="7"/>
  <c r="I2637" i="7" s="1"/>
  <c r="F2638" i="7"/>
  <c r="I2638" i="7" s="1"/>
  <c r="F2699" i="7"/>
  <c r="I2699" i="7" s="1"/>
  <c r="F2702" i="7"/>
  <c r="I2702" i="7" s="1"/>
  <c r="F653" i="7"/>
  <c r="I653" i="7" s="1"/>
  <c r="F654" i="7"/>
  <c r="I654" i="7" s="1"/>
  <c r="F845" i="7"/>
  <c r="I845" i="7" s="1"/>
  <c r="F846" i="7"/>
  <c r="I846" i="7" s="1"/>
  <c r="F101" i="7"/>
  <c r="I101" i="7" s="1"/>
  <c r="F102" i="7"/>
  <c r="I102" i="7" s="1"/>
  <c r="F293" i="7"/>
  <c r="I293" i="7" s="1"/>
  <c r="F294" i="7"/>
  <c r="I294" i="7" s="1"/>
  <c r="F485" i="7"/>
  <c r="I485" i="7" s="1"/>
  <c r="F486" i="7"/>
  <c r="I486" i="7" s="1"/>
  <c r="F677" i="7"/>
  <c r="I677" i="7" s="1"/>
  <c r="F678" i="7"/>
  <c r="I678" i="7" s="1"/>
  <c r="F933" i="7"/>
  <c r="I933" i="7" s="1"/>
  <c r="F934" i="7"/>
  <c r="I934" i="7" s="1"/>
  <c r="F1189" i="7"/>
  <c r="I1189" i="7" s="1"/>
  <c r="F1190" i="7"/>
  <c r="I1190" i="7" s="1"/>
  <c r="K1381" i="7"/>
  <c r="M1381" i="7" s="1"/>
  <c r="K1382" i="7"/>
  <c r="M1382" i="7" s="1"/>
  <c r="F1445" i="7"/>
  <c r="I1445" i="7" s="1"/>
  <c r="F1446" i="7"/>
  <c r="I1446" i="7" s="1"/>
  <c r="K1573" i="7"/>
  <c r="M1573" i="7" s="1"/>
  <c r="K1574" i="7"/>
  <c r="M1574" i="7" s="1"/>
  <c r="F1637" i="7"/>
  <c r="I1637" i="7" s="1"/>
  <c r="F1638" i="7"/>
  <c r="I1638" i="7" s="1"/>
  <c r="F1701" i="7"/>
  <c r="I1701" i="7" s="1"/>
  <c r="F1702" i="7"/>
  <c r="I1702" i="7" s="1"/>
  <c r="K1829" i="7"/>
  <c r="M1829" i="7" s="1"/>
  <c r="K1830" i="7"/>
  <c r="M1830" i="7" s="1"/>
  <c r="K1957" i="7"/>
  <c r="M1957" i="7" s="1"/>
  <c r="K1958" i="7"/>
  <c r="M1958" i="7" s="1"/>
  <c r="F2211" i="7"/>
  <c r="I2211" i="7" s="1"/>
  <c r="F2214" i="7"/>
  <c r="I2214" i="7" s="1"/>
  <c r="K2341" i="7"/>
  <c r="M2341" i="7" s="1"/>
  <c r="K2342" i="7"/>
  <c r="M2342" i="7" s="1"/>
  <c r="K2469" i="7"/>
  <c r="M2469" i="7" s="1"/>
  <c r="K2470" i="7"/>
  <c r="M2470" i="7" s="1"/>
  <c r="K2533" i="7"/>
  <c r="M2533" i="7" s="1"/>
  <c r="K2534" i="7"/>
  <c r="M2534" i="7" s="1"/>
  <c r="K2597" i="7"/>
  <c r="M2597" i="7" s="1"/>
  <c r="K2598" i="7"/>
  <c r="M2598" i="7" s="1"/>
  <c r="F2851" i="7"/>
  <c r="I2851" i="7" s="1"/>
  <c r="F2854" i="7"/>
  <c r="I2854" i="7" s="1"/>
  <c r="F2790" i="7"/>
  <c r="I2790" i="7" s="1"/>
  <c r="K2086" i="7"/>
  <c r="M2086" i="7" s="1"/>
  <c r="F429" i="7"/>
  <c r="I429" i="7" s="1"/>
  <c r="F430" i="7"/>
  <c r="I430" i="7" s="1"/>
  <c r="F557" i="7"/>
  <c r="I557" i="7" s="1"/>
  <c r="F558" i="7"/>
  <c r="I558" i="7" s="1"/>
  <c r="F877" i="7"/>
  <c r="I877" i="7" s="1"/>
  <c r="F878" i="7"/>
  <c r="I878" i="7" s="1"/>
  <c r="K141" i="7"/>
  <c r="M141" i="7" s="1"/>
  <c r="K142" i="7"/>
  <c r="M142" i="7" s="1"/>
  <c r="F333" i="7"/>
  <c r="I333" i="7" s="1"/>
  <c r="F334" i="7"/>
  <c r="I334" i="7" s="1"/>
  <c r="F589" i="7"/>
  <c r="I589" i="7" s="1"/>
  <c r="F590" i="7"/>
  <c r="I590" i="7" s="1"/>
  <c r="F165" i="7"/>
  <c r="I165" i="7" s="1"/>
  <c r="F166" i="7"/>
  <c r="I166" i="7" s="1"/>
  <c r="F357" i="7"/>
  <c r="I357" i="7" s="1"/>
  <c r="F358" i="7"/>
  <c r="I358" i="7" s="1"/>
  <c r="F549" i="7"/>
  <c r="I549" i="7" s="1"/>
  <c r="F550" i="7"/>
  <c r="I550" i="7" s="1"/>
  <c r="F805" i="7"/>
  <c r="I805" i="7" s="1"/>
  <c r="F806" i="7"/>
  <c r="I806" i="7" s="1"/>
  <c r="F1061" i="7"/>
  <c r="I1061" i="7" s="1"/>
  <c r="F1062" i="7"/>
  <c r="I1062" i="7" s="1"/>
  <c r="K1317" i="7"/>
  <c r="M1317" i="7" s="1"/>
  <c r="K1318" i="7"/>
  <c r="M1318" i="7" s="1"/>
  <c r="F637" i="7"/>
  <c r="I637" i="7" s="1"/>
  <c r="F638" i="7"/>
  <c r="I638" i="7" s="1"/>
  <c r="F701" i="7"/>
  <c r="I701" i="7" s="1"/>
  <c r="F702" i="7"/>
  <c r="I702" i="7" s="1"/>
  <c r="F765" i="7"/>
  <c r="I765" i="7" s="1"/>
  <c r="F766" i="7"/>
  <c r="I766" i="7" s="1"/>
  <c r="F829" i="7"/>
  <c r="I829" i="7" s="1"/>
  <c r="F830" i="7"/>
  <c r="I830" i="7" s="1"/>
  <c r="F941" i="7"/>
  <c r="I941" i="7" s="1"/>
  <c r="F942" i="7"/>
  <c r="I942" i="7" s="1"/>
  <c r="F77" i="7"/>
  <c r="I77" i="7" s="1"/>
  <c r="F78" i="7"/>
  <c r="I78" i="7" s="1"/>
  <c r="K397" i="7"/>
  <c r="M397" i="7" s="1"/>
  <c r="K398" i="7"/>
  <c r="M398" i="7" s="1"/>
  <c r="F909" i="7"/>
  <c r="I909" i="7" s="1"/>
  <c r="F910" i="7"/>
  <c r="I910" i="7" s="1"/>
  <c r="F37" i="7"/>
  <c r="I37" i="7" s="1"/>
  <c r="F38" i="7"/>
  <c r="I38" i="7" s="1"/>
  <c r="F229" i="7"/>
  <c r="I229" i="7" s="1"/>
  <c r="F230" i="7"/>
  <c r="I230" i="7" s="1"/>
  <c r="F421" i="7"/>
  <c r="I421" i="7" s="1"/>
  <c r="F422" i="7"/>
  <c r="I422" i="7" s="1"/>
  <c r="F613" i="7"/>
  <c r="I613" i="7" s="1"/>
  <c r="F614" i="7"/>
  <c r="I614" i="7" s="1"/>
  <c r="K741" i="7"/>
  <c r="M741" i="7" s="1"/>
  <c r="K742" i="7"/>
  <c r="M742" i="7" s="1"/>
  <c r="K869" i="7"/>
  <c r="M869" i="7" s="1"/>
  <c r="K870" i="7"/>
  <c r="M870" i="7" s="1"/>
  <c r="K997" i="7"/>
  <c r="M997" i="7" s="1"/>
  <c r="K998" i="7"/>
  <c r="M998" i="7" s="1"/>
  <c r="K1125" i="7"/>
  <c r="M1125" i="7" s="1"/>
  <c r="K1126" i="7"/>
  <c r="M1126" i="7" s="1"/>
  <c r="K1253" i="7"/>
  <c r="M1253" i="7" s="1"/>
  <c r="K1254" i="7"/>
  <c r="M1254" i="7" s="1"/>
  <c r="F85" i="7"/>
  <c r="I85" i="7" s="1"/>
  <c r="F86" i="7"/>
  <c r="I86" i="7" s="1"/>
  <c r="F149" i="7"/>
  <c r="I149" i="7" s="1"/>
  <c r="F150" i="7"/>
  <c r="I150" i="7" s="1"/>
  <c r="F213" i="7"/>
  <c r="I213" i="7" s="1"/>
  <c r="F214" i="7"/>
  <c r="I214" i="7" s="1"/>
  <c r="F277" i="7"/>
  <c r="I277" i="7" s="1"/>
  <c r="F278" i="7"/>
  <c r="I278" i="7" s="1"/>
  <c r="F341" i="7"/>
  <c r="I341" i="7" s="1"/>
  <c r="F342" i="7"/>
  <c r="I342" i="7" s="1"/>
  <c r="F469" i="7"/>
  <c r="I469" i="7" s="1"/>
  <c r="F470" i="7"/>
  <c r="I470" i="7" s="1"/>
  <c r="F533" i="7"/>
  <c r="I533" i="7" s="1"/>
  <c r="F534" i="7"/>
  <c r="I534" i="7" s="1"/>
  <c r="F597" i="7"/>
  <c r="I597" i="7" s="1"/>
  <c r="F598" i="7"/>
  <c r="I598" i="7" s="1"/>
  <c r="K2318" i="7"/>
  <c r="M2318" i="7" s="1"/>
  <c r="K2150" i="7"/>
  <c r="M2150" i="7" s="1"/>
  <c r="F893" i="7"/>
  <c r="I893" i="7" s="1"/>
  <c r="F894" i="7"/>
  <c r="I894" i="7" s="1"/>
  <c r="F957" i="7"/>
  <c r="I957" i="7" s="1"/>
  <c r="F958" i="7"/>
  <c r="I958" i="7" s="1"/>
  <c r="F1661" i="7"/>
  <c r="I1661" i="7" s="1"/>
  <c r="F1662" i="7"/>
  <c r="I1662" i="7" s="1"/>
  <c r="F1725" i="7"/>
  <c r="I1725" i="7" s="1"/>
  <c r="F1726" i="7"/>
  <c r="I1726" i="7" s="1"/>
  <c r="K2198" i="7"/>
  <c r="M2198" i="7" s="1"/>
  <c r="K2070" i="7"/>
  <c r="M2070" i="7" s="1"/>
  <c r="K2006" i="7"/>
  <c r="M2006" i="7" s="1"/>
  <c r="F1838" i="7"/>
  <c r="I1838" i="7" s="1"/>
  <c r="F1534" i="7"/>
  <c r="I1534" i="7" s="1"/>
  <c r="F1302" i="7"/>
  <c r="I1302" i="7" s="1"/>
  <c r="F1278" i="7"/>
  <c r="I1278" i="7" s="1"/>
  <c r="F1022" i="7"/>
  <c r="I1022" i="7" s="1"/>
  <c r="K1813" i="7"/>
  <c r="M1813" i="7" s="1"/>
  <c r="K1814" i="7"/>
  <c r="M1814" i="7" s="1"/>
  <c r="K1941" i="7"/>
  <c r="M1941" i="7" s="1"/>
  <c r="K1942" i="7"/>
  <c r="M1942" i="7" s="1"/>
  <c r="F2814" i="7"/>
  <c r="I2814" i="7" s="1"/>
  <c r="F2750" i="7"/>
  <c r="I2750" i="7" s="1"/>
  <c r="F2686" i="7"/>
  <c r="I2686" i="7" s="1"/>
  <c r="F2622" i="7"/>
  <c r="I2622" i="7" s="1"/>
  <c r="F2558" i="7"/>
  <c r="I2558" i="7" s="1"/>
  <c r="F2494" i="7"/>
  <c r="I2494" i="7" s="1"/>
  <c r="F2302" i="7"/>
  <c r="I2302" i="7" s="1"/>
  <c r="K2094" i="7"/>
  <c r="M2094" i="7" s="1"/>
  <c r="F1005" i="7"/>
  <c r="I1005" i="7" s="1"/>
  <c r="F1006" i="7"/>
  <c r="I1006" i="7" s="1"/>
  <c r="F1517" i="7"/>
  <c r="I1517" i="7" s="1"/>
  <c r="F1518" i="7"/>
  <c r="I1518" i="7" s="1"/>
  <c r="K1965" i="7"/>
  <c r="M1965" i="7" s="1"/>
  <c r="K1966" i="7"/>
  <c r="M1966" i="7" s="1"/>
  <c r="F2630" i="7"/>
  <c r="I2630" i="7" s="1"/>
  <c r="F2566" i="7"/>
  <c r="I2566" i="7" s="1"/>
  <c r="F2502" i="7"/>
  <c r="I2502" i="7" s="1"/>
  <c r="F2374" i="7"/>
  <c r="I2374" i="7" s="1"/>
  <c r="K2350" i="7"/>
  <c r="M2350" i="7" s="1"/>
  <c r="F2310" i="7"/>
  <c r="I2310" i="7" s="1"/>
  <c r="F1110" i="7"/>
  <c r="I1110" i="7" s="1"/>
  <c r="F1086" i="7"/>
  <c r="I1086" i="7" s="1"/>
  <c r="F390" i="7"/>
  <c r="I390" i="7" s="1"/>
  <c r="F453" i="7"/>
  <c r="I453" i="7" s="1"/>
  <c r="F454" i="7"/>
  <c r="I454" i="7" s="1"/>
  <c r="F517" i="7"/>
  <c r="I517" i="7" s="1"/>
  <c r="F518" i="7"/>
  <c r="I518" i="7" s="1"/>
  <c r="F581" i="7"/>
  <c r="I581" i="7" s="1"/>
  <c r="F582" i="7"/>
  <c r="I582" i="7" s="1"/>
  <c r="F645" i="7"/>
  <c r="I645" i="7" s="1"/>
  <c r="F646" i="7"/>
  <c r="I646" i="7" s="1"/>
  <c r="F709" i="7"/>
  <c r="I709" i="7" s="1"/>
  <c r="F710" i="7"/>
  <c r="I710" i="7" s="1"/>
  <c r="F773" i="7"/>
  <c r="I773" i="7" s="1"/>
  <c r="F774" i="7"/>
  <c r="I774" i="7" s="1"/>
  <c r="F901" i="7"/>
  <c r="I901" i="7" s="1"/>
  <c r="F902" i="7"/>
  <c r="I902" i="7" s="1"/>
  <c r="F1029" i="7"/>
  <c r="I1029" i="7" s="1"/>
  <c r="F1030" i="7"/>
  <c r="I1030" i="7" s="1"/>
  <c r="F1093" i="7"/>
  <c r="I1093" i="7" s="1"/>
  <c r="F1094" i="7"/>
  <c r="I1094" i="7" s="1"/>
  <c r="F1157" i="7"/>
  <c r="I1157" i="7" s="1"/>
  <c r="F1158" i="7"/>
  <c r="I1158" i="7" s="1"/>
  <c r="F1221" i="7"/>
  <c r="I1221" i="7" s="1"/>
  <c r="F1222" i="7"/>
  <c r="I1222" i="7" s="1"/>
  <c r="F1285" i="7"/>
  <c r="I1285" i="7" s="1"/>
  <c r="F1286" i="7"/>
  <c r="I1286" i="7" s="1"/>
  <c r="F1477" i="7"/>
  <c r="I1477" i="7" s="1"/>
  <c r="F1478" i="7"/>
  <c r="I1478" i="7" s="1"/>
  <c r="F1541" i="7"/>
  <c r="I1541" i="7" s="1"/>
  <c r="F1542" i="7"/>
  <c r="I1542" i="7" s="1"/>
  <c r="F1605" i="7"/>
  <c r="I1605" i="7" s="1"/>
  <c r="F1606" i="7"/>
  <c r="I1606" i="7" s="1"/>
  <c r="F1733" i="7"/>
  <c r="I1733" i="7" s="1"/>
  <c r="F1734" i="7"/>
  <c r="I1734" i="7" s="1"/>
  <c r="F2878" i="7"/>
  <c r="I2878" i="7" s="1"/>
  <c r="F2846" i="7"/>
  <c r="I2846" i="7" s="1"/>
  <c r="K2806" i="7"/>
  <c r="M2806" i="7" s="1"/>
  <c r="K2742" i="7"/>
  <c r="M2742" i="7" s="1"/>
  <c r="K2678" i="7"/>
  <c r="M2678" i="7" s="1"/>
  <c r="K2614" i="7"/>
  <c r="M2614" i="7" s="1"/>
  <c r="K2550" i="7"/>
  <c r="M2550" i="7" s="1"/>
  <c r="K2486" i="7"/>
  <c r="M2486" i="7" s="1"/>
  <c r="K2422" i="7"/>
  <c r="M2422" i="7" s="1"/>
  <c r="K2358" i="7"/>
  <c r="M2358" i="7" s="1"/>
  <c r="K2294" i="7"/>
  <c r="M2294" i="7" s="1"/>
  <c r="F2238" i="7"/>
  <c r="I2238" i="7" s="1"/>
  <c r="F2174" i="7"/>
  <c r="I2174" i="7" s="1"/>
  <c r="F2046" i="7"/>
  <c r="I2046" i="7" s="1"/>
  <c r="F1710" i="7"/>
  <c r="I1710" i="7" s="1"/>
  <c r="F605" i="7"/>
  <c r="I605" i="7" s="1"/>
  <c r="F606" i="7"/>
  <c r="I606" i="7" s="1"/>
  <c r="F669" i="7"/>
  <c r="I669" i="7" s="1"/>
  <c r="F670" i="7"/>
  <c r="I670" i="7" s="1"/>
  <c r="F733" i="7"/>
  <c r="I733" i="7" s="1"/>
  <c r="F734" i="7"/>
  <c r="I734" i="7" s="1"/>
  <c r="F797" i="7"/>
  <c r="I797" i="7" s="1"/>
  <c r="F798" i="7"/>
  <c r="I798" i="7" s="1"/>
  <c r="F861" i="7"/>
  <c r="I861" i="7" s="1"/>
  <c r="F862" i="7"/>
  <c r="I862" i="7" s="1"/>
  <c r="F925" i="7"/>
  <c r="I925" i="7" s="1"/>
  <c r="F926" i="7"/>
  <c r="I926" i="7" s="1"/>
  <c r="F989" i="7"/>
  <c r="I989" i="7" s="1"/>
  <c r="F990" i="7"/>
  <c r="I990" i="7" s="1"/>
  <c r="F1053" i="7"/>
  <c r="I1053" i="7" s="1"/>
  <c r="F1054" i="7"/>
  <c r="I1054" i="7" s="1"/>
  <c r="F1117" i="7"/>
  <c r="I1117" i="7" s="1"/>
  <c r="F1118" i="7"/>
  <c r="I1118" i="7" s="1"/>
  <c r="F1181" i="7"/>
  <c r="I1181" i="7" s="1"/>
  <c r="F1182" i="7"/>
  <c r="I1182" i="7" s="1"/>
  <c r="F1245" i="7"/>
  <c r="I1245" i="7" s="1"/>
  <c r="F1246" i="7"/>
  <c r="I1246" i="7" s="1"/>
  <c r="F1309" i="7"/>
  <c r="I1309" i="7" s="1"/>
  <c r="F1310" i="7"/>
  <c r="I1310" i="7" s="1"/>
  <c r="F1373" i="7"/>
  <c r="I1373" i="7" s="1"/>
  <c r="F1374" i="7"/>
  <c r="I1374" i="7" s="1"/>
  <c r="F1501" i="7"/>
  <c r="I1501" i="7" s="1"/>
  <c r="F1502" i="7"/>
  <c r="I1502" i="7" s="1"/>
  <c r="F1565" i="7"/>
  <c r="I1565" i="7" s="1"/>
  <c r="F1566" i="7"/>
  <c r="I1566" i="7" s="1"/>
  <c r="F1629" i="7"/>
  <c r="I1629" i="7" s="1"/>
  <c r="F1630" i="7"/>
  <c r="I1630" i="7" s="1"/>
  <c r="F1757" i="7"/>
  <c r="I1757" i="7" s="1"/>
  <c r="F1758" i="7"/>
  <c r="I1758" i="7" s="1"/>
  <c r="F1982" i="7"/>
  <c r="I1982" i="7" s="1"/>
  <c r="F1950" i="7"/>
  <c r="I1950" i="7" s="1"/>
  <c r="F1918" i="7"/>
  <c r="I1918" i="7" s="1"/>
  <c r="F1886" i="7"/>
  <c r="I1886" i="7" s="1"/>
  <c r="F1822" i="7"/>
  <c r="I1822" i="7" s="1"/>
  <c r="F1790" i="7"/>
  <c r="I1790" i="7" s="1"/>
  <c r="F1406" i="7"/>
  <c r="I1406" i="7" s="1"/>
  <c r="F1174" i="7"/>
  <c r="I1174" i="7" s="1"/>
  <c r="F1150" i="7"/>
  <c r="I1150" i="7" s="1"/>
  <c r="F117" i="7"/>
  <c r="I117" i="7" s="1"/>
  <c r="F118" i="7"/>
  <c r="I118" i="7" s="1"/>
  <c r="F181" i="7"/>
  <c r="I181" i="7" s="1"/>
  <c r="F182" i="7"/>
  <c r="I182" i="7" s="1"/>
  <c r="F245" i="7"/>
  <c r="I245" i="7" s="1"/>
  <c r="F246" i="7"/>
  <c r="I246" i="7" s="1"/>
  <c r="F309" i="7"/>
  <c r="I309" i="7" s="1"/>
  <c r="F310" i="7"/>
  <c r="I310" i="7" s="1"/>
  <c r="K436" i="7"/>
  <c r="M436" i="7" s="1"/>
  <c r="K438" i="7"/>
  <c r="M438" i="7" s="1"/>
  <c r="F501" i="7"/>
  <c r="I501" i="7" s="1"/>
  <c r="F502" i="7"/>
  <c r="I502" i="7" s="1"/>
  <c r="F565" i="7"/>
  <c r="I565" i="7" s="1"/>
  <c r="F566" i="7"/>
  <c r="I566" i="7" s="1"/>
  <c r="K628" i="7"/>
  <c r="M628" i="7" s="1"/>
  <c r="K630" i="7"/>
  <c r="M630" i="7" s="1"/>
  <c r="F1141" i="7"/>
  <c r="I1141" i="7" s="1"/>
  <c r="F1142" i="7"/>
  <c r="I1142" i="7" s="1"/>
  <c r="F1205" i="7"/>
  <c r="I1205" i="7" s="1"/>
  <c r="F1206" i="7"/>
  <c r="I1206" i="7" s="1"/>
  <c r="F1269" i="7"/>
  <c r="I1269" i="7" s="1"/>
  <c r="F1270" i="7"/>
  <c r="I1270" i="7" s="1"/>
  <c r="K1908" i="7"/>
  <c r="M1908" i="7" s="1"/>
  <c r="K1910" i="7"/>
  <c r="M1910" i="7" s="1"/>
  <c r="K2822" i="7"/>
  <c r="M2822" i="7" s="1"/>
  <c r="F2782" i="7"/>
  <c r="I2782" i="7" s="1"/>
  <c r="K2758" i="7"/>
  <c r="M2758" i="7" s="1"/>
  <c r="F2718" i="7"/>
  <c r="I2718" i="7" s="1"/>
  <c r="K2694" i="7"/>
  <c r="M2694" i="7" s="1"/>
  <c r="F2654" i="7"/>
  <c r="I2654" i="7" s="1"/>
  <c r="F2590" i="7"/>
  <c r="I2590" i="7" s="1"/>
  <c r="F2462" i="7"/>
  <c r="I2462" i="7" s="1"/>
  <c r="K2438" i="7"/>
  <c r="M2438" i="7" s="1"/>
  <c r="F2398" i="7"/>
  <c r="I2398" i="7" s="1"/>
  <c r="F2334" i="7"/>
  <c r="I2334" i="7" s="1"/>
  <c r="F2222" i="7"/>
  <c r="I2222" i="7" s="1"/>
  <c r="F2030" i="7"/>
  <c r="I2030" i="7" s="1"/>
  <c r="F1774" i="7"/>
  <c r="I1774" i="7" s="1"/>
  <c r="F2813" i="7"/>
  <c r="I2813" i="7" s="1"/>
  <c r="F2877" i="7"/>
  <c r="I2877" i="7" s="1"/>
  <c r="F2845" i="7"/>
  <c r="I2845" i="7" s="1"/>
  <c r="F2781" i="7"/>
  <c r="I2781" i="7" s="1"/>
  <c r="F2749" i="7"/>
  <c r="I2749" i="7" s="1"/>
  <c r="F2733" i="7"/>
  <c r="I2733" i="7" s="1"/>
  <c r="F2717" i="7"/>
  <c r="I2717" i="7" s="1"/>
  <c r="K2677" i="7"/>
  <c r="M2677" i="7" s="1"/>
  <c r="F2701" i="7"/>
  <c r="I2701" i="7" s="1"/>
  <c r="K20" i="7"/>
  <c r="M20" i="7" s="1"/>
  <c r="K21" i="7"/>
  <c r="M21" i="7" s="1"/>
  <c r="K404" i="7"/>
  <c r="M404" i="7" s="1"/>
  <c r="K405" i="7"/>
  <c r="M405" i="7" s="1"/>
  <c r="K660" i="7"/>
  <c r="M660" i="7" s="1"/>
  <c r="K661" i="7"/>
  <c r="M661" i="7" s="1"/>
  <c r="K724" i="7"/>
  <c r="M724" i="7" s="1"/>
  <c r="K725" i="7"/>
  <c r="M725" i="7" s="1"/>
  <c r="K788" i="7"/>
  <c r="M788" i="7" s="1"/>
  <c r="K789" i="7"/>
  <c r="M789" i="7" s="1"/>
  <c r="K852" i="7"/>
  <c r="M852" i="7" s="1"/>
  <c r="K853" i="7"/>
  <c r="M853" i="7" s="1"/>
  <c r="K916" i="7"/>
  <c r="M916" i="7" s="1"/>
  <c r="K917" i="7"/>
  <c r="M917" i="7" s="1"/>
  <c r="K980" i="7"/>
  <c r="M980" i="7" s="1"/>
  <c r="K981" i="7"/>
  <c r="M981" i="7" s="1"/>
  <c r="K1044" i="7"/>
  <c r="M1044" i="7" s="1"/>
  <c r="K1045" i="7"/>
  <c r="M1045" i="7" s="1"/>
  <c r="K1236" i="7"/>
  <c r="M1236" i="7" s="1"/>
  <c r="K1237" i="7"/>
  <c r="M1237" i="7" s="1"/>
  <c r="K1364" i="7"/>
  <c r="M1364" i="7" s="1"/>
  <c r="K1365" i="7"/>
  <c r="M1365" i="7" s="1"/>
  <c r="K1428" i="7"/>
  <c r="M1428" i="7" s="1"/>
  <c r="K1429" i="7"/>
  <c r="M1429" i="7" s="1"/>
  <c r="K1492" i="7"/>
  <c r="M1492" i="7" s="1"/>
  <c r="K1493" i="7"/>
  <c r="M1493" i="7" s="1"/>
  <c r="K1556" i="7"/>
  <c r="M1556" i="7" s="1"/>
  <c r="K1557" i="7"/>
  <c r="M1557" i="7" s="1"/>
  <c r="K1620" i="7"/>
  <c r="M1620" i="7" s="1"/>
  <c r="K1621" i="7"/>
  <c r="M1621" i="7" s="1"/>
  <c r="K1684" i="7"/>
  <c r="M1684" i="7" s="1"/>
  <c r="K1685" i="7"/>
  <c r="M1685" i="7" s="1"/>
  <c r="K1748" i="7"/>
  <c r="M1748" i="7" s="1"/>
  <c r="K1749" i="7"/>
  <c r="M1749" i="7" s="1"/>
  <c r="F2669" i="7"/>
  <c r="I2669" i="7" s="1"/>
  <c r="K2381" i="7"/>
  <c r="M2381" i="7" s="1"/>
  <c r="K2317" i="7"/>
  <c r="M2317" i="7" s="1"/>
  <c r="F2789" i="7"/>
  <c r="I2789" i="7" s="1"/>
  <c r="K188" i="7"/>
  <c r="M188" i="7" s="1"/>
  <c r="K189" i="7"/>
  <c r="M189" i="7" s="1"/>
  <c r="F2405" i="7"/>
  <c r="I2405" i="7" s="1"/>
  <c r="F2277" i="7"/>
  <c r="I2277" i="7" s="1"/>
  <c r="K44" i="7"/>
  <c r="M44" i="7" s="1"/>
  <c r="K45" i="7"/>
  <c r="M45" i="7" s="1"/>
  <c r="K108" i="7"/>
  <c r="M108" i="7" s="1"/>
  <c r="K109" i="7"/>
  <c r="M109" i="7" s="1"/>
  <c r="K172" i="7"/>
  <c r="M172" i="7" s="1"/>
  <c r="K173" i="7"/>
  <c r="M173" i="7" s="1"/>
  <c r="K236" i="7"/>
  <c r="M236" i="7" s="1"/>
  <c r="K237" i="7"/>
  <c r="M237" i="7" s="1"/>
  <c r="K364" i="7"/>
  <c r="M364" i="7" s="1"/>
  <c r="K365" i="7"/>
  <c r="M365" i="7" s="1"/>
  <c r="K492" i="7"/>
  <c r="M492" i="7" s="1"/>
  <c r="K493" i="7"/>
  <c r="M493" i="7" s="1"/>
  <c r="K620" i="7"/>
  <c r="M620" i="7" s="1"/>
  <c r="K621" i="7"/>
  <c r="M621" i="7" s="1"/>
  <c r="K684" i="7"/>
  <c r="M684" i="7" s="1"/>
  <c r="K685" i="7"/>
  <c r="M685" i="7" s="1"/>
  <c r="K812" i="7"/>
  <c r="M812" i="7" s="1"/>
  <c r="K813" i="7"/>
  <c r="M813" i="7" s="1"/>
  <c r="K1068" i="7"/>
  <c r="M1068" i="7" s="1"/>
  <c r="K1069" i="7"/>
  <c r="M1069" i="7" s="1"/>
  <c r="K1132" i="7"/>
  <c r="M1132" i="7" s="1"/>
  <c r="K1133" i="7"/>
  <c r="M1133" i="7" s="1"/>
  <c r="K1196" i="7"/>
  <c r="M1196" i="7" s="1"/>
  <c r="K1197" i="7"/>
  <c r="M1197" i="7" s="1"/>
  <c r="K1260" i="7"/>
  <c r="M1260" i="7" s="1"/>
  <c r="K1261" i="7"/>
  <c r="M1261" i="7" s="1"/>
  <c r="K1324" i="7"/>
  <c r="M1324" i="7" s="1"/>
  <c r="K1325" i="7"/>
  <c r="M1325" i="7" s="1"/>
  <c r="K1388" i="7"/>
  <c r="M1388" i="7" s="1"/>
  <c r="K1389" i="7"/>
  <c r="M1389" i="7" s="1"/>
  <c r="K1452" i="7"/>
  <c r="M1452" i="7" s="1"/>
  <c r="K1453" i="7"/>
  <c r="M1453" i="7" s="1"/>
  <c r="K1580" i="7"/>
  <c r="M1580" i="7" s="1"/>
  <c r="K1581" i="7"/>
  <c r="M1581" i="7" s="1"/>
  <c r="K1644" i="7"/>
  <c r="M1644" i="7" s="1"/>
  <c r="K1645" i="7"/>
  <c r="M1645" i="7" s="1"/>
  <c r="K2869" i="7"/>
  <c r="M2869" i="7" s="1"/>
  <c r="K2837" i="7"/>
  <c r="M2837" i="7" s="1"/>
  <c r="K2821" i="7"/>
  <c r="M2821" i="7" s="1"/>
  <c r="K2805" i="7"/>
  <c r="M2805" i="7" s="1"/>
  <c r="K2773" i="7"/>
  <c r="M2773" i="7" s="1"/>
  <c r="K2757" i="7"/>
  <c r="M2757" i="7" s="1"/>
  <c r="K2741" i="7"/>
  <c r="M2741" i="7" s="1"/>
  <c r="K2709" i="7"/>
  <c r="M2709" i="7" s="1"/>
  <c r="K2693" i="7"/>
  <c r="M2693" i="7" s="1"/>
  <c r="F2213" i="7"/>
  <c r="I2213" i="7" s="1"/>
  <c r="K437" i="7"/>
  <c r="M437" i="7" s="1"/>
  <c r="F2853" i="7"/>
  <c r="I2853" i="7" s="1"/>
  <c r="K316" i="7"/>
  <c r="M316" i="7" s="1"/>
  <c r="K317" i="7"/>
  <c r="M317" i="7" s="1"/>
  <c r="K444" i="7"/>
  <c r="M444" i="7" s="1"/>
  <c r="K445" i="7"/>
  <c r="M445" i="7" s="1"/>
  <c r="K572" i="7"/>
  <c r="M572" i="7" s="1"/>
  <c r="K573" i="7"/>
  <c r="M573" i="7" s="1"/>
  <c r="K836" i="7"/>
  <c r="M836" i="7" s="1"/>
  <c r="K837" i="7"/>
  <c r="M837" i="7" s="1"/>
  <c r="K964" i="7"/>
  <c r="M964" i="7" s="1"/>
  <c r="K965" i="7"/>
  <c r="M965" i="7" s="1"/>
  <c r="K1348" i="7"/>
  <c r="M1348" i="7" s="1"/>
  <c r="K1349" i="7"/>
  <c r="M1349" i="7" s="1"/>
  <c r="K1412" i="7"/>
  <c r="M1412" i="7" s="1"/>
  <c r="K1413" i="7"/>
  <c r="M1413" i="7" s="1"/>
  <c r="K1668" i="7"/>
  <c r="M1668" i="7" s="1"/>
  <c r="K1669" i="7"/>
  <c r="M1669" i="7" s="1"/>
  <c r="K629" i="7"/>
  <c r="M629" i="7" s="1"/>
  <c r="F2019" i="7"/>
  <c r="I2019" i="7" s="1"/>
  <c r="F2021" i="7"/>
  <c r="I2021" i="7" s="1"/>
  <c r="K380" i="7"/>
  <c r="M380" i="7" s="1"/>
  <c r="K381" i="7"/>
  <c r="M381" i="7" s="1"/>
  <c r="K284" i="7"/>
  <c r="M284" i="7" s="1"/>
  <c r="K285" i="7"/>
  <c r="M285" i="7" s="1"/>
  <c r="F1891" i="7"/>
  <c r="I1891" i="7" s="1"/>
  <c r="F1893" i="7"/>
  <c r="I1893" i="7" s="1"/>
  <c r="F2725" i="7"/>
  <c r="I2725" i="7" s="1"/>
  <c r="K60" i="7"/>
  <c r="M60" i="7" s="1"/>
  <c r="K61" i="7"/>
  <c r="M61" i="7" s="1"/>
  <c r="K252" i="7"/>
  <c r="M252" i="7" s="1"/>
  <c r="K253" i="7"/>
  <c r="M253" i="7" s="1"/>
  <c r="K508" i="7"/>
  <c r="M508" i="7" s="1"/>
  <c r="K509" i="7"/>
  <c r="M509" i="7" s="1"/>
  <c r="F2" i="7"/>
  <c r="I2" i="7" s="1"/>
  <c r="F5" i="7"/>
  <c r="I5" i="7" s="1"/>
  <c r="K92" i="7"/>
  <c r="M92" i="7" s="1"/>
  <c r="K93" i="7"/>
  <c r="M93" i="7" s="1"/>
  <c r="K220" i="7"/>
  <c r="M220" i="7" s="1"/>
  <c r="K221" i="7"/>
  <c r="M221" i="7" s="1"/>
  <c r="K412" i="7"/>
  <c r="M412" i="7" s="1"/>
  <c r="K413" i="7"/>
  <c r="M413" i="7" s="1"/>
  <c r="K476" i="7"/>
  <c r="M476" i="7" s="1"/>
  <c r="K477" i="7"/>
  <c r="M477" i="7" s="1"/>
  <c r="K540" i="7"/>
  <c r="M540" i="7" s="1"/>
  <c r="K541" i="7"/>
  <c r="M541" i="7" s="1"/>
  <c r="K52" i="7"/>
  <c r="M52" i="7" s="1"/>
  <c r="K53" i="7"/>
  <c r="M53" i="7" s="1"/>
  <c r="K372" i="7"/>
  <c r="M372" i="7" s="1"/>
  <c r="K373" i="7"/>
  <c r="M373" i="7" s="1"/>
  <c r="K692" i="7"/>
  <c r="M692" i="7" s="1"/>
  <c r="K693" i="7"/>
  <c r="M693" i="7" s="1"/>
  <c r="K756" i="7"/>
  <c r="M756" i="7" s="1"/>
  <c r="K757" i="7"/>
  <c r="M757" i="7" s="1"/>
  <c r="K820" i="7"/>
  <c r="M820" i="7" s="1"/>
  <c r="K821" i="7"/>
  <c r="M821" i="7" s="1"/>
  <c r="K884" i="7"/>
  <c r="M884" i="7" s="1"/>
  <c r="K885" i="7"/>
  <c r="M885" i="7" s="1"/>
  <c r="K948" i="7"/>
  <c r="M948" i="7" s="1"/>
  <c r="K949" i="7"/>
  <c r="M949" i="7" s="1"/>
  <c r="K1012" i="7"/>
  <c r="M1012" i="7" s="1"/>
  <c r="K1013" i="7"/>
  <c r="M1013" i="7" s="1"/>
  <c r="K1076" i="7"/>
  <c r="M1076" i="7" s="1"/>
  <c r="K1077" i="7"/>
  <c r="M1077" i="7" s="1"/>
  <c r="K1332" i="7"/>
  <c r="M1332" i="7" s="1"/>
  <c r="K1333" i="7"/>
  <c r="M1333" i="7" s="1"/>
  <c r="K1396" i="7"/>
  <c r="M1396" i="7" s="1"/>
  <c r="K1397" i="7"/>
  <c r="M1397" i="7" s="1"/>
  <c r="K1524" i="7"/>
  <c r="M1524" i="7" s="1"/>
  <c r="K1525" i="7"/>
  <c r="M1525" i="7" s="1"/>
  <c r="K1588" i="7"/>
  <c r="M1588" i="7" s="1"/>
  <c r="K1589" i="7"/>
  <c r="M1589" i="7" s="1"/>
  <c r="K1652" i="7"/>
  <c r="M1652" i="7" s="1"/>
  <c r="K1653" i="7"/>
  <c r="M1653" i="7" s="1"/>
  <c r="K1780" i="7"/>
  <c r="M1780" i="7" s="1"/>
  <c r="K1781" i="7"/>
  <c r="M1781" i="7" s="1"/>
  <c r="K1844" i="7"/>
  <c r="M1844" i="7" s="1"/>
  <c r="K1845" i="7"/>
  <c r="M1845" i="7" s="1"/>
  <c r="K1972" i="7"/>
  <c r="M1972" i="7" s="1"/>
  <c r="K1973" i="7"/>
  <c r="M1973" i="7" s="1"/>
  <c r="K2036" i="7"/>
  <c r="M2036" i="7" s="1"/>
  <c r="K2037" i="7"/>
  <c r="M2037" i="7" s="1"/>
  <c r="K2100" i="7"/>
  <c r="M2100" i="7" s="1"/>
  <c r="K2101" i="7"/>
  <c r="M2101" i="7" s="1"/>
  <c r="K2164" i="7"/>
  <c r="M2164" i="7" s="1"/>
  <c r="K2165" i="7"/>
  <c r="M2165" i="7" s="1"/>
  <c r="K2228" i="7"/>
  <c r="M2228" i="7" s="1"/>
  <c r="K2229" i="7"/>
  <c r="M2229" i="7" s="1"/>
  <c r="F2685" i="7"/>
  <c r="I2685" i="7" s="1"/>
  <c r="K2613" i="7"/>
  <c r="M2613" i="7" s="1"/>
  <c r="K2549" i="7"/>
  <c r="M2549" i="7" s="1"/>
  <c r="K2485" i="7"/>
  <c r="M2485" i="7" s="1"/>
  <c r="K2421" i="7"/>
  <c r="M2421" i="7" s="1"/>
  <c r="K2357" i="7"/>
  <c r="M2357" i="7" s="1"/>
  <c r="K2293" i="7"/>
  <c r="M2293" i="7" s="1"/>
  <c r="K124" i="7"/>
  <c r="M124" i="7" s="1"/>
  <c r="K125" i="7"/>
  <c r="M125" i="7" s="1"/>
  <c r="K28" i="7"/>
  <c r="M28" i="7" s="1"/>
  <c r="K29" i="7"/>
  <c r="M29" i="7" s="1"/>
  <c r="K156" i="7"/>
  <c r="M156" i="7" s="1"/>
  <c r="K157" i="7"/>
  <c r="M157" i="7" s="1"/>
  <c r="K348" i="7"/>
  <c r="M348" i="7" s="1"/>
  <c r="K349" i="7"/>
  <c r="M349" i="7" s="1"/>
  <c r="K12" i="7"/>
  <c r="M12" i="7" s="1"/>
  <c r="K13" i="7"/>
  <c r="M13" i="7" s="1"/>
  <c r="K268" i="7"/>
  <c r="M268" i="7" s="1"/>
  <c r="K269" i="7"/>
  <c r="M269" i="7" s="1"/>
  <c r="K524" i="7"/>
  <c r="M524" i="7" s="1"/>
  <c r="K525" i="7"/>
  <c r="M525" i="7" s="1"/>
  <c r="K716" i="7"/>
  <c r="M716" i="7" s="1"/>
  <c r="K717" i="7"/>
  <c r="M717" i="7" s="1"/>
  <c r="K780" i="7"/>
  <c r="M780" i="7" s="1"/>
  <c r="K781" i="7"/>
  <c r="M781" i="7" s="1"/>
  <c r="K972" i="7"/>
  <c r="M972" i="7" s="1"/>
  <c r="K973" i="7"/>
  <c r="M973" i="7" s="1"/>
  <c r="K1036" i="7"/>
  <c r="M1036" i="7" s="1"/>
  <c r="K1037" i="7"/>
  <c r="M1037" i="7" s="1"/>
  <c r="K1100" i="7"/>
  <c r="M1100" i="7" s="1"/>
  <c r="K1101" i="7"/>
  <c r="M1101" i="7" s="1"/>
  <c r="K1228" i="7"/>
  <c r="M1228" i="7" s="1"/>
  <c r="K1229" i="7"/>
  <c r="M1229" i="7" s="1"/>
  <c r="K1292" i="7"/>
  <c r="M1292" i="7" s="1"/>
  <c r="K1293" i="7"/>
  <c r="M1293" i="7" s="1"/>
  <c r="K1548" i="7"/>
  <c r="M1548" i="7" s="1"/>
  <c r="K1549" i="7"/>
  <c r="M1549" i="7" s="1"/>
  <c r="K1804" i="7"/>
  <c r="M1804" i="7" s="1"/>
  <c r="K1805" i="7"/>
  <c r="M1805" i="7" s="1"/>
  <c r="K1932" i="7"/>
  <c r="M1932" i="7" s="1"/>
  <c r="K1933" i="7"/>
  <c r="M1933" i="7" s="1"/>
  <c r="K2060" i="7"/>
  <c r="M2060" i="7" s="1"/>
  <c r="K2061" i="7"/>
  <c r="M2061" i="7" s="1"/>
  <c r="K2124" i="7"/>
  <c r="M2124" i="7" s="1"/>
  <c r="K2125" i="7"/>
  <c r="M2125" i="7" s="1"/>
  <c r="K2188" i="7"/>
  <c r="M2188" i="7" s="1"/>
  <c r="K2189" i="7"/>
  <c r="M2189" i="7" s="1"/>
  <c r="F2661" i="7"/>
  <c r="I2661" i="7" s="1"/>
  <c r="K1909" i="7"/>
  <c r="M1909" i="7" s="1"/>
  <c r="K2836" i="7"/>
  <c r="M2836" i="7" s="1"/>
  <c r="F2748" i="7"/>
  <c r="I2748" i="7" s="1"/>
  <c r="K2772" i="7"/>
  <c r="M2772" i="7" s="1"/>
  <c r="F2684" i="7"/>
  <c r="I2684" i="7" s="1"/>
  <c r="F2404" i="7"/>
  <c r="I2404" i="7" s="1"/>
  <c r="F2876" i="7"/>
  <c r="I2876" i="7" s="1"/>
  <c r="K2708" i="7"/>
  <c r="M2708" i="7" s="1"/>
  <c r="F2276" i="7"/>
  <c r="I2276" i="7" s="1"/>
  <c r="F2812" i="7"/>
  <c r="I2812" i="7" s="1"/>
  <c r="F258" i="7"/>
  <c r="I258" i="7" s="1"/>
  <c r="F260" i="7"/>
  <c r="I260" i="7" s="1"/>
  <c r="F450" i="7"/>
  <c r="I450" i="7" s="1"/>
  <c r="F452" i="7"/>
  <c r="I452" i="7" s="1"/>
  <c r="F642" i="7"/>
  <c r="I642" i="7" s="1"/>
  <c r="F644" i="7"/>
  <c r="I644" i="7" s="1"/>
  <c r="F1731" i="7"/>
  <c r="I1731" i="7" s="1"/>
  <c r="F1732" i="7"/>
  <c r="I1732" i="7" s="1"/>
  <c r="F2243" i="7"/>
  <c r="I2243" i="7" s="1"/>
  <c r="F2244" i="7"/>
  <c r="I2244" i="7" s="1"/>
  <c r="F602" i="7"/>
  <c r="I602" i="7" s="1"/>
  <c r="F604" i="7"/>
  <c r="I604" i="7" s="1"/>
  <c r="F666" i="7"/>
  <c r="I666" i="7" s="1"/>
  <c r="F668" i="7"/>
  <c r="I668" i="7" s="1"/>
  <c r="F730" i="7"/>
  <c r="I730" i="7" s="1"/>
  <c r="F732" i="7"/>
  <c r="I732" i="7" s="1"/>
  <c r="F794" i="7"/>
  <c r="I794" i="7" s="1"/>
  <c r="F796" i="7"/>
  <c r="I796" i="7" s="1"/>
  <c r="F859" i="7"/>
  <c r="I859" i="7" s="1"/>
  <c r="F860" i="7"/>
  <c r="I860" i="7" s="1"/>
  <c r="F923" i="7"/>
  <c r="I923" i="7" s="1"/>
  <c r="F924" i="7"/>
  <c r="I924" i="7" s="1"/>
  <c r="F987" i="7"/>
  <c r="I987" i="7" s="1"/>
  <c r="F988" i="7"/>
  <c r="I988" i="7" s="1"/>
  <c r="F1051" i="7"/>
  <c r="I1051" i="7" s="1"/>
  <c r="F1052" i="7"/>
  <c r="I1052" i="7" s="1"/>
  <c r="F1115" i="7"/>
  <c r="I1115" i="7" s="1"/>
  <c r="F1116" i="7"/>
  <c r="I1116" i="7" s="1"/>
  <c r="F1179" i="7"/>
  <c r="I1179" i="7" s="1"/>
  <c r="F1180" i="7"/>
  <c r="I1180" i="7" s="1"/>
  <c r="F1243" i="7"/>
  <c r="I1243" i="7" s="1"/>
  <c r="F1244" i="7"/>
  <c r="I1244" i="7" s="1"/>
  <c r="F1307" i="7"/>
  <c r="I1307" i="7" s="1"/>
  <c r="F1308" i="7"/>
  <c r="I1308" i="7" s="1"/>
  <c r="F1371" i="7"/>
  <c r="I1371" i="7" s="1"/>
  <c r="F1372" i="7"/>
  <c r="I1372" i="7" s="1"/>
  <c r="F1499" i="7"/>
  <c r="I1499" i="7" s="1"/>
  <c r="F1500" i="7"/>
  <c r="I1500" i="7" s="1"/>
  <c r="F1563" i="7"/>
  <c r="I1563" i="7" s="1"/>
  <c r="F1564" i="7"/>
  <c r="I1564" i="7" s="1"/>
  <c r="F1627" i="7"/>
  <c r="I1627" i="7" s="1"/>
  <c r="F1628" i="7"/>
  <c r="I1628" i="7" s="1"/>
  <c r="F1755" i="7"/>
  <c r="I1755" i="7" s="1"/>
  <c r="F1756" i="7"/>
  <c r="I1756" i="7" s="1"/>
  <c r="F1819" i="7"/>
  <c r="I1819" i="7" s="1"/>
  <c r="F1820" i="7"/>
  <c r="I1820" i="7" s="1"/>
  <c r="F1883" i="7"/>
  <c r="I1883" i="7" s="1"/>
  <c r="F1884" i="7"/>
  <c r="I1884" i="7" s="1"/>
  <c r="F1947" i="7"/>
  <c r="I1947" i="7" s="1"/>
  <c r="F1948" i="7"/>
  <c r="I1948" i="7" s="1"/>
  <c r="F2075" i="7"/>
  <c r="I2075" i="7" s="1"/>
  <c r="F2076" i="7"/>
  <c r="I2076" i="7" s="1"/>
  <c r="F2139" i="7"/>
  <c r="I2139" i="7" s="1"/>
  <c r="F2140" i="7"/>
  <c r="I2140" i="7" s="1"/>
  <c r="F2203" i="7"/>
  <c r="I2203" i="7" s="1"/>
  <c r="F2204" i="7"/>
  <c r="I2204" i="7" s="1"/>
  <c r="F2331" i="7"/>
  <c r="I2331" i="7" s="1"/>
  <c r="F2332" i="7"/>
  <c r="I2332" i="7" s="1"/>
  <c r="F2395" i="7"/>
  <c r="I2395" i="7" s="1"/>
  <c r="F2396" i="7"/>
  <c r="I2396" i="7" s="1"/>
  <c r="F2459" i="7"/>
  <c r="I2459" i="7" s="1"/>
  <c r="F2460" i="7"/>
  <c r="I2460" i="7" s="1"/>
  <c r="F2587" i="7"/>
  <c r="I2587" i="7" s="1"/>
  <c r="F2588" i="7"/>
  <c r="I2588" i="7" s="1"/>
  <c r="F2651" i="7"/>
  <c r="I2651" i="7" s="1"/>
  <c r="F2652" i="7"/>
  <c r="I2652" i="7" s="1"/>
  <c r="F2020" i="7"/>
  <c r="I2020" i="7" s="1"/>
  <c r="F1892" i="7"/>
  <c r="I1892" i="7" s="1"/>
  <c r="F386" i="7"/>
  <c r="I386" i="7" s="1"/>
  <c r="F388" i="7"/>
  <c r="I388" i="7" s="1"/>
  <c r="F706" i="7"/>
  <c r="I706" i="7" s="1"/>
  <c r="F708" i="7"/>
  <c r="I708" i="7" s="1"/>
  <c r="F1027" i="7"/>
  <c r="I1027" i="7" s="1"/>
  <c r="F1028" i="7"/>
  <c r="I1028" i="7" s="1"/>
  <c r="F1859" i="7"/>
  <c r="I1859" i="7" s="1"/>
  <c r="F1860" i="7"/>
  <c r="I1860" i="7" s="1"/>
  <c r="F2115" i="7"/>
  <c r="I2115" i="7" s="1"/>
  <c r="F2116" i="7"/>
  <c r="I2116" i="7" s="1"/>
  <c r="F2627" i="7"/>
  <c r="I2627" i="7" s="1"/>
  <c r="F2628" i="7"/>
  <c r="I2628" i="7" s="1"/>
  <c r="F242" i="7"/>
  <c r="I242" i="7" s="1"/>
  <c r="F244" i="7"/>
  <c r="I244" i="7" s="1"/>
  <c r="F306" i="7"/>
  <c r="I306" i="7" s="1"/>
  <c r="F308" i="7"/>
  <c r="I308" i="7" s="1"/>
  <c r="F498" i="7"/>
  <c r="I498" i="7" s="1"/>
  <c r="F500" i="7"/>
  <c r="I500" i="7" s="1"/>
  <c r="F562" i="7"/>
  <c r="I562" i="7" s="1"/>
  <c r="F564" i="7"/>
  <c r="I564" i="7" s="1"/>
  <c r="F1139" i="7"/>
  <c r="I1139" i="7" s="1"/>
  <c r="F1140" i="7"/>
  <c r="I1140" i="7" s="1"/>
  <c r="F1203" i="7"/>
  <c r="I1203" i="7" s="1"/>
  <c r="F1204" i="7"/>
  <c r="I1204" i="7" s="1"/>
  <c r="F1267" i="7"/>
  <c r="I1267" i="7" s="1"/>
  <c r="F1268" i="7"/>
  <c r="I1268" i="7" s="1"/>
  <c r="K2820" i="7"/>
  <c r="M2820" i="7" s="1"/>
  <c r="K2756" i="7"/>
  <c r="M2756" i="7" s="1"/>
  <c r="F2732" i="7"/>
  <c r="I2732" i="7" s="1"/>
  <c r="K2692" i="7"/>
  <c r="M2692" i="7" s="1"/>
  <c r="F2668" i="7"/>
  <c r="I2668" i="7" s="1"/>
  <c r="F194" i="7"/>
  <c r="I194" i="7" s="1"/>
  <c r="F196" i="7"/>
  <c r="I196" i="7" s="1"/>
  <c r="F578" i="7"/>
  <c r="I578" i="7" s="1"/>
  <c r="F580" i="7"/>
  <c r="I580" i="7" s="1"/>
  <c r="F1603" i="7"/>
  <c r="I1603" i="7" s="1"/>
  <c r="F1604" i="7"/>
  <c r="I1604" i="7" s="1"/>
  <c r="F2371" i="7"/>
  <c r="I2371" i="7" s="1"/>
  <c r="F2372" i="7"/>
  <c r="I2372" i="7" s="1"/>
  <c r="F114" i="7"/>
  <c r="I114" i="7" s="1"/>
  <c r="F116" i="7"/>
  <c r="I116" i="7" s="1"/>
  <c r="F74" i="7"/>
  <c r="I74" i="7" s="1"/>
  <c r="F76" i="7"/>
  <c r="I76" i="7" s="1"/>
  <c r="K19" i="1"/>
  <c r="K140" i="7"/>
  <c r="M140" i="7" s="1"/>
  <c r="F202" i="7"/>
  <c r="I202" i="7" s="1"/>
  <c r="F204" i="7"/>
  <c r="I204" i="7" s="1"/>
  <c r="F330" i="7"/>
  <c r="I330" i="7" s="1"/>
  <c r="F332" i="7"/>
  <c r="I332" i="7" s="1"/>
  <c r="K51" i="1"/>
  <c r="K396" i="7"/>
  <c r="M396" i="7" s="1"/>
  <c r="F458" i="7"/>
  <c r="I458" i="7" s="1"/>
  <c r="F460" i="7"/>
  <c r="I460" i="7" s="1"/>
  <c r="F586" i="7"/>
  <c r="I586" i="7" s="1"/>
  <c r="F588" i="7"/>
  <c r="I588" i="7" s="1"/>
  <c r="F650" i="7"/>
  <c r="I650" i="7" s="1"/>
  <c r="F652" i="7"/>
  <c r="I652" i="7" s="1"/>
  <c r="F842" i="7"/>
  <c r="I842" i="7" s="1"/>
  <c r="F844" i="7"/>
  <c r="I844" i="7" s="1"/>
  <c r="F907" i="7"/>
  <c r="I907" i="7" s="1"/>
  <c r="F908" i="7"/>
  <c r="I908" i="7" s="1"/>
  <c r="K147" i="1"/>
  <c r="K1164" i="7"/>
  <c r="M1164" i="7" s="1"/>
  <c r="F1355" i="7"/>
  <c r="I1355" i="7" s="1"/>
  <c r="F1356" i="7"/>
  <c r="I1356" i="7" s="1"/>
  <c r="F1419" i="7"/>
  <c r="I1419" i="7" s="1"/>
  <c r="F1420" i="7"/>
  <c r="I1420" i="7" s="1"/>
  <c r="F1611" i="7"/>
  <c r="I1611" i="7" s="1"/>
  <c r="F1612" i="7"/>
  <c r="I1612" i="7" s="1"/>
  <c r="F1675" i="7"/>
  <c r="I1675" i="7" s="1"/>
  <c r="F1676" i="7"/>
  <c r="I1676" i="7" s="1"/>
  <c r="F1867" i="7"/>
  <c r="I1867" i="7" s="1"/>
  <c r="F1868" i="7"/>
  <c r="I1868" i="7" s="1"/>
  <c r="F1995" i="7"/>
  <c r="I1995" i="7" s="1"/>
  <c r="F1996" i="7"/>
  <c r="I1996" i="7" s="1"/>
  <c r="F2251" i="7"/>
  <c r="I2251" i="7" s="1"/>
  <c r="F2252" i="7"/>
  <c r="I2252" i="7" s="1"/>
  <c r="F2443" i="7"/>
  <c r="I2443" i="7" s="1"/>
  <c r="F2444" i="7"/>
  <c r="I2444" i="7" s="1"/>
  <c r="F2571" i="7"/>
  <c r="I2571" i="7" s="1"/>
  <c r="F2572" i="7"/>
  <c r="I2572" i="7" s="1"/>
  <c r="F2635" i="7"/>
  <c r="I2635" i="7" s="1"/>
  <c r="F2636" i="7"/>
  <c r="I2636" i="7" s="1"/>
  <c r="F2852" i="7"/>
  <c r="I2852" i="7" s="1"/>
  <c r="F2788" i="7"/>
  <c r="I2788" i="7" s="1"/>
  <c r="F2724" i="7"/>
  <c r="I2724" i="7" s="1"/>
  <c r="F2660" i="7"/>
  <c r="I2660" i="7" s="1"/>
  <c r="F770" i="7"/>
  <c r="I770" i="7" s="1"/>
  <c r="F772" i="7"/>
  <c r="I772" i="7" s="1"/>
  <c r="F1091" i="7"/>
  <c r="I1091" i="7" s="1"/>
  <c r="F1092" i="7"/>
  <c r="I1092" i="7" s="1"/>
  <c r="F2051" i="7"/>
  <c r="I2051" i="7" s="1"/>
  <c r="F2052" i="7"/>
  <c r="I2052" i="7" s="1"/>
  <c r="F2563" i="7"/>
  <c r="I2563" i="7" s="1"/>
  <c r="F2564" i="7"/>
  <c r="I2564" i="7" s="1"/>
  <c r="F178" i="7"/>
  <c r="I178" i="7" s="1"/>
  <c r="F180" i="7"/>
  <c r="I180" i="7" s="1"/>
  <c r="F34" i="7"/>
  <c r="I34" i="7" s="1"/>
  <c r="F36" i="7"/>
  <c r="I36" i="7" s="1"/>
  <c r="F98" i="7"/>
  <c r="I98" i="7" s="1"/>
  <c r="F100" i="7"/>
  <c r="I100" i="7" s="1"/>
  <c r="F162" i="7"/>
  <c r="I162" i="7" s="1"/>
  <c r="F164" i="7"/>
  <c r="I164" i="7" s="1"/>
  <c r="F226" i="7"/>
  <c r="I226" i="7" s="1"/>
  <c r="F228" i="7"/>
  <c r="I228" i="7" s="1"/>
  <c r="F290" i="7"/>
  <c r="I290" i="7" s="1"/>
  <c r="F292" i="7"/>
  <c r="I292" i="7" s="1"/>
  <c r="F354" i="7"/>
  <c r="I354" i="7" s="1"/>
  <c r="F356" i="7"/>
  <c r="I356" i="7" s="1"/>
  <c r="F418" i="7"/>
  <c r="I418" i="7" s="1"/>
  <c r="F420" i="7"/>
  <c r="I420" i="7" s="1"/>
  <c r="F482" i="7"/>
  <c r="I482" i="7" s="1"/>
  <c r="F484" i="7"/>
  <c r="I484" i="7" s="1"/>
  <c r="F546" i="7"/>
  <c r="I546" i="7" s="1"/>
  <c r="F548" i="7"/>
  <c r="I548" i="7" s="1"/>
  <c r="F610" i="7"/>
  <c r="I610" i="7" s="1"/>
  <c r="F612" i="7"/>
  <c r="I612" i="7" s="1"/>
  <c r="F674" i="7"/>
  <c r="I674" i="7" s="1"/>
  <c r="F676" i="7"/>
  <c r="I676" i="7" s="1"/>
  <c r="K94" i="1"/>
  <c r="K740" i="7"/>
  <c r="M740" i="7" s="1"/>
  <c r="F802" i="7"/>
  <c r="I802" i="7" s="1"/>
  <c r="F804" i="7"/>
  <c r="I804" i="7" s="1"/>
  <c r="K110" i="1"/>
  <c r="K868" i="7"/>
  <c r="M868" i="7" s="1"/>
  <c r="F931" i="7"/>
  <c r="I931" i="7" s="1"/>
  <c r="F932" i="7"/>
  <c r="I932" i="7" s="1"/>
  <c r="K126" i="1"/>
  <c r="K996" i="7"/>
  <c r="M996" i="7" s="1"/>
  <c r="F1059" i="7"/>
  <c r="I1059" i="7" s="1"/>
  <c r="F1060" i="7"/>
  <c r="I1060" i="7" s="1"/>
  <c r="K142" i="1"/>
  <c r="K1124" i="7"/>
  <c r="M1124" i="7" s="1"/>
  <c r="F1187" i="7"/>
  <c r="I1187" i="7" s="1"/>
  <c r="F1188" i="7"/>
  <c r="I1188" i="7" s="1"/>
  <c r="K158" i="1"/>
  <c r="K1252" i="7"/>
  <c r="M1252" i="7" s="1"/>
  <c r="K166" i="1"/>
  <c r="K1316" i="7"/>
  <c r="M1316" i="7" s="1"/>
  <c r="K174" i="1"/>
  <c r="K1380" i="7"/>
  <c r="M1380" i="7" s="1"/>
  <c r="F1443" i="7"/>
  <c r="I1443" i="7" s="1"/>
  <c r="F1444" i="7"/>
  <c r="I1444" i="7" s="1"/>
  <c r="K198" i="1"/>
  <c r="K1572" i="7"/>
  <c r="M1572" i="7" s="1"/>
  <c r="F1635" i="7"/>
  <c r="I1635" i="7" s="1"/>
  <c r="F1636" i="7"/>
  <c r="I1636" i="7" s="1"/>
  <c r="F1699" i="7"/>
  <c r="I1699" i="7" s="1"/>
  <c r="F1700" i="7"/>
  <c r="I1700" i="7" s="1"/>
  <c r="K230" i="1"/>
  <c r="K1828" i="7"/>
  <c r="M1828" i="7" s="1"/>
  <c r="K246" i="1"/>
  <c r="K1956" i="7"/>
  <c r="M1956" i="7" s="1"/>
  <c r="K262" i="1"/>
  <c r="K2084" i="7"/>
  <c r="M2084" i="7" s="1"/>
  <c r="K270" i="1"/>
  <c r="K2148" i="7"/>
  <c r="M2148" i="7" s="1"/>
  <c r="K294" i="1"/>
  <c r="K2340" i="7"/>
  <c r="M2340" i="7" s="1"/>
  <c r="K310" i="1"/>
  <c r="K2468" i="7"/>
  <c r="M2468" i="7" s="1"/>
  <c r="K318" i="1"/>
  <c r="K2532" i="7"/>
  <c r="M2532" i="7" s="1"/>
  <c r="K326" i="1"/>
  <c r="K2596" i="7"/>
  <c r="M2596" i="7" s="1"/>
  <c r="F2844" i="7"/>
  <c r="I2844" i="7" s="1"/>
  <c r="F2780" i="7"/>
  <c r="I2780" i="7" s="1"/>
  <c r="F2716" i="7"/>
  <c r="I2716" i="7" s="1"/>
  <c r="F2212" i="7"/>
  <c r="I2212" i="7" s="1"/>
  <c r="F66" i="7"/>
  <c r="I66" i="7" s="1"/>
  <c r="F68" i="7"/>
  <c r="I68" i="7" s="1"/>
  <c r="F1219" i="7"/>
  <c r="I1219" i="7" s="1"/>
  <c r="F1220" i="7"/>
  <c r="I1220" i="7" s="1"/>
  <c r="F1987" i="7"/>
  <c r="I1987" i="7" s="1"/>
  <c r="F1988" i="7"/>
  <c r="I1988" i="7" s="1"/>
  <c r="F2499" i="7"/>
  <c r="I2499" i="7" s="1"/>
  <c r="F2500" i="7"/>
  <c r="I2500" i="7" s="1"/>
  <c r="F634" i="7"/>
  <c r="I634" i="7" s="1"/>
  <c r="F636" i="7"/>
  <c r="I636" i="7" s="1"/>
  <c r="F698" i="7"/>
  <c r="I698" i="7" s="1"/>
  <c r="F700" i="7"/>
  <c r="I700" i="7" s="1"/>
  <c r="F762" i="7"/>
  <c r="I762" i="7" s="1"/>
  <c r="F764" i="7"/>
  <c r="I764" i="7" s="1"/>
  <c r="F826" i="7"/>
  <c r="I826" i="7" s="1"/>
  <c r="F828" i="7"/>
  <c r="I828" i="7" s="1"/>
  <c r="F891" i="7"/>
  <c r="I891" i="7" s="1"/>
  <c r="F892" i="7"/>
  <c r="I892" i="7" s="1"/>
  <c r="F955" i="7"/>
  <c r="I955" i="7" s="1"/>
  <c r="F956" i="7"/>
  <c r="I956" i="7" s="1"/>
  <c r="F1019" i="7"/>
  <c r="I1019" i="7" s="1"/>
  <c r="F1020" i="7"/>
  <c r="I1020" i="7" s="1"/>
  <c r="F1083" i="7"/>
  <c r="I1083" i="7" s="1"/>
  <c r="F1084" i="7"/>
  <c r="I1084" i="7" s="1"/>
  <c r="F1147" i="7"/>
  <c r="I1147" i="7" s="1"/>
  <c r="F1148" i="7"/>
  <c r="I1148" i="7" s="1"/>
  <c r="F1211" i="7"/>
  <c r="I1211" i="7" s="1"/>
  <c r="F1212" i="7"/>
  <c r="I1212" i="7" s="1"/>
  <c r="F1275" i="7"/>
  <c r="I1275" i="7" s="1"/>
  <c r="F1276" i="7"/>
  <c r="I1276" i="7" s="1"/>
  <c r="F1403" i="7"/>
  <c r="I1403" i="7" s="1"/>
  <c r="F1404" i="7"/>
  <c r="I1404" i="7" s="1"/>
  <c r="F1467" i="7"/>
  <c r="I1467" i="7" s="1"/>
  <c r="F1468" i="7"/>
  <c r="I1468" i="7" s="1"/>
  <c r="F1531" i="7"/>
  <c r="I1531" i="7" s="1"/>
  <c r="F1532" i="7"/>
  <c r="I1532" i="7" s="1"/>
  <c r="F1659" i="7"/>
  <c r="I1659" i="7" s="1"/>
  <c r="F1660" i="7"/>
  <c r="I1660" i="7" s="1"/>
  <c r="F1723" i="7"/>
  <c r="I1723" i="7" s="1"/>
  <c r="F1724" i="7"/>
  <c r="I1724" i="7" s="1"/>
  <c r="F1787" i="7"/>
  <c r="I1787" i="7" s="1"/>
  <c r="F1788" i="7"/>
  <c r="I1788" i="7" s="1"/>
  <c r="F1915" i="7"/>
  <c r="I1915" i="7" s="1"/>
  <c r="F1916" i="7"/>
  <c r="I1916" i="7" s="1"/>
  <c r="F1979" i="7"/>
  <c r="I1979" i="7" s="1"/>
  <c r="F1980" i="7"/>
  <c r="I1980" i="7" s="1"/>
  <c r="F2043" i="7"/>
  <c r="I2043" i="7" s="1"/>
  <c r="F2044" i="7"/>
  <c r="I2044" i="7" s="1"/>
  <c r="F2171" i="7"/>
  <c r="I2171" i="7" s="1"/>
  <c r="F2172" i="7"/>
  <c r="I2172" i="7" s="1"/>
  <c r="F2235" i="7"/>
  <c r="I2235" i="7" s="1"/>
  <c r="F2236" i="7"/>
  <c r="I2236" i="7" s="1"/>
  <c r="F2299" i="7"/>
  <c r="I2299" i="7" s="1"/>
  <c r="F2300" i="7"/>
  <c r="I2300" i="7" s="1"/>
  <c r="F2491" i="7"/>
  <c r="I2491" i="7" s="1"/>
  <c r="F2492" i="7"/>
  <c r="I2492" i="7" s="1"/>
  <c r="F2555" i="7"/>
  <c r="I2555" i="7" s="1"/>
  <c r="F2556" i="7"/>
  <c r="I2556" i="7" s="1"/>
  <c r="F2619" i="7"/>
  <c r="I2619" i="7" s="1"/>
  <c r="F2620" i="7"/>
  <c r="I2620" i="7" s="1"/>
  <c r="F322" i="7"/>
  <c r="I322" i="7" s="1"/>
  <c r="F324" i="7"/>
  <c r="I324" i="7" s="1"/>
  <c r="F1283" i="7"/>
  <c r="I1283" i="7" s="1"/>
  <c r="F1284" i="7"/>
  <c r="I1284" i="7" s="1"/>
  <c r="F1475" i="7"/>
  <c r="I1475" i="7" s="1"/>
  <c r="F1476" i="7"/>
  <c r="I1476" i="7" s="1"/>
  <c r="F1795" i="7"/>
  <c r="I1795" i="7" s="1"/>
  <c r="F1796" i="7"/>
  <c r="I1796" i="7" s="1"/>
  <c r="F2179" i="7"/>
  <c r="I2179" i="7" s="1"/>
  <c r="F2180" i="7"/>
  <c r="I2180" i="7" s="1"/>
  <c r="F2307" i="7"/>
  <c r="I2307" i="7" s="1"/>
  <c r="F2308" i="7"/>
  <c r="I2308" i="7" s="1"/>
  <c r="K306" i="1"/>
  <c r="K2436" i="7"/>
  <c r="M2436" i="7" s="1"/>
  <c r="F82" i="7"/>
  <c r="I82" i="7" s="1"/>
  <c r="F84" i="7"/>
  <c r="I84" i="7" s="1"/>
  <c r="F146" i="7"/>
  <c r="I146" i="7" s="1"/>
  <c r="F148" i="7"/>
  <c r="I148" i="7" s="1"/>
  <c r="F210" i="7"/>
  <c r="I210" i="7" s="1"/>
  <c r="F212" i="7"/>
  <c r="I212" i="7" s="1"/>
  <c r="F274" i="7"/>
  <c r="I274" i="7" s="1"/>
  <c r="F276" i="7"/>
  <c r="I276" i="7" s="1"/>
  <c r="F338" i="7"/>
  <c r="I338" i="7" s="1"/>
  <c r="F340" i="7"/>
  <c r="I340" i="7" s="1"/>
  <c r="F466" i="7"/>
  <c r="I466" i="7" s="1"/>
  <c r="F468" i="7"/>
  <c r="I468" i="7" s="1"/>
  <c r="F530" i="7"/>
  <c r="I530" i="7" s="1"/>
  <c r="F532" i="7"/>
  <c r="I532" i="7" s="1"/>
  <c r="F594" i="7"/>
  <c r="I594" i="7" s="1"/>
  <c r="F596" i="7"/>
  <c r="I596" i="7" s="1"/>
  <c r="F1107" i="7"/>
  <c r="I1107" i="7" s="1"/>
  <c r="F1108" i="7"/>
  <c r="I1108" i="7" s="1"/>
  <c r="F1171" i="7"/>
  <c r="I1171" i="7" s="1"/>
  <c r="F1172" i="7"/>
  <c r="I1172" i="7" s="1"/>
  <c r="F1299" i="7"/>
  <c r="I1299" i="7" s="1"/>
  <c r="F1300" i="7"/>
  <c r="I1300" i="7" s="1"/>
  <c r="K228" i="1"/>
  <c r="K1812" i="7"/>
  <c r="M1812" i="7" s="1"/>
  <c r="K244" i="1"/>
  <c r="K1940" i="7"/>
  <c r="M1940" i="7" s="1"/>
  <c r="K252" i="1"/>
  <c r="K2004" i="7"/>
  <c r="M2004" i="7" s="1"/>
  <c r="K260" i="1"/>
  <c r="K2068" i="7"/>
  <c r="M2068" i="7" s="1"/>
  <c r="K276" i="1"/>
  <c r="K2196" i="7"/>
  <c r="M2196" i="7" s="1"/>
  <c r="K284" i="1"/>
  <c r="K2260" i="7"/>
  <c r="M2260" i="7" s="1"/>
  <c r="K292" i="1"/>
  <c r="K2324" i="7"/>
  <c r="M2324" i="7" s="1"/>
  <c r="K300" i="1"/>
  <c r="K2388" i="7"/>
  <c r="M2388" i="7" s="1"/>
  <c r="K308" i="1"/>
  <c r="K2452" i="7"/>
  <c r="M2452" i="7" s="1"/>
  <c r="K316" i="1"/>
  <c r="K2516" i="7"/>
  <c r="M2516" i="7" s="1"/>
  <c r="K324" i="1"/>
  <c r="K2580" i="7"/>
  <c r="M2580" i="7" s="1"/>
  <c r="K332" i="1"/>
  <c r="K2644" i="7"/>
  <c r="M2644" i="7" s="1"/>
  <c r="F2700" i="7"/>
  <c r="I2700" i="7" s="1"/>
  <c r="F130" i="7"/>
  <c r="I130" i="7" s="1"/>
  <c r="F132" i="7"/>
  <c r="I132" i="7" s="1"/>
  <c r="F514" i="7"/>
  <c r="I514" i="7" s="1"/>
  <c r="F516" i="7"/>
  <c r="I516" i="7" s="1"/>
  <c r="F899" i="7"/>
  <c r="I899" i="7" s="1"/>
  <c r="F900" i="7"/>
  <c r="I900" i="7" s="1"/>
  <c r="F1155" i="7"/>
  <c r="I1155" i="7" s="1"/>
  <c r="F1156" i="7"/>
  <c r="I1156" i="7" s="1"/>
  <c r="F1539" i="7"/>
  <c r="I1539" i="7" s="1"/>
  <c r="F1540" i="7"/>
  <c r="I1540" i="7" s="1"/>
  <c r="F298" i="7"/>
  <c r="I298" i="7" s="1"/>
  <c r="F300" i="7"/>
  <c r="I300" i="7" s="1"/>
  <c r="F426" i="7"/>
  <c r="I426" i="7" s="1"/>
  <c r="F428" i="7"/>
  <c r="I428" i="7" s="1"/>
  <c r="F554" i="7"/>
  <c r="I554" i="7" s="1"/>
  <c r="F556" i="7"/>
  <c r="I556" i="7" s="1"/>
  <c r="F746" i="7"/>
  <c r="I746" i="7" s="1"/>
  <c r="F748" i="7"/>
  <c r="I748" i="7" s="1"/>
  <c r="F875" i="7"/>
  <c r="I875" i="7" s="1"/>
  <c r="F876" i="7"/>
  <c r="I876" i="7" s="1"/>
  <c r="F939" i="7"/>
  <c r="I939" i="7" s="1"/>
  <c r="F940" i="7"/>
  <c r="I940" i="7" s="1"/>
  <c r="F1003" i="7"/>
  <c r="I1003" i="7" s="1"/>
  <c r="F1004" i="7"/>
  <c r="I1004" i="7" s="1"/>
  <c r="F1515" i="7"/>
  <c r="I1515" i="7" s="1"/>
  <c r="F1516" i="7"/>
  <c r="I1516" i="7" s="1"/>
  <c r="F1707" i="7"/>
  <c r="I1707" i="7" s="1"/>
  <c r="F1708" i="7"/>
  <c r="I1708" i="7" s="1"/>
  <c r="F1771" i="7"/>
  <c r="I1771" i="7" s="1"/>
  <c r="F1772" i="7"/>
  <c r="I1772" i="7" s="1"/>
  <c r="F1835" i="7"/>
  <c r="I1835" i="7" s="1"/>
  <c r="F1836" i="7"/>
  <c r="I1836" i="7" s="1"/>
  <c r="K247" i="1"/>
  <c r="K1964" i="7"/>
  <c r="M1964" i="7" s="1"/>
  <c r="F2027" i="7"/>
  <c r="I2027" i="7" s="1"/>
  <c r="F2028" i="7"/>
  <c r="I2028" i="7" s="1"/>
  <c r="K263" i="1"/>
  <c r="K2092" i="7"/>
  <c r="M2092" i="7" s="1"/>
  <c r="F2219" i="7"/>
  <c r="I2219" i="7" s="1"/>
  <c r="F2220" i="7"/>
  <c r="I2220" i="7" s="1"/>
  <c r="F2283" i="7"/>
  <c r="I2283" i="7" s="1"/>
  <c r="F2284" i="7"/>
  <c r="I2284" i="7" s="1"/>
  <c r="K295" i="1"/>
  <c r="K2348" i="7"/>
  <c r="M2348" i="7" s="1"/>
  <c r="F2411" i="7"/>
  <c r="I2411" i="7" s="1"/>
  <c r="F2412" i="7"/>
  <c r="I2412" i="7" s="1"/>
  <c r="F2475" i="7"/>
  <c r="I2475" i="7" s="1"/>
  <c r="F2476" i="7"/>
  <c r="I2476" i="7" s="1"/>
  <c r="F2539" i="7"/>
  <c r="I2539" i="7" s="1"/>
  <c r="F2540" i="7"/>
  <c r="I2540" i="7" s="1"/>
  <c r="F2603" i="7"/>
  <c r="I2603" i="7" s="1"/>
  <c r="F2604" i="7"/>
  <c r="I2604" i="7" s="1"/>
  <c r="F4" i="7"/>
  <c r="I4" i="7" s="1"/>
  <c r="K2755" i="7"/>
  <c r="M2755" i="7" s="1"/>
  <c r="K1251" i="7"/>
  <c r="M1251" i="7" s="1"/>
  <c r="K2691" i="7"/>
  <c r="M2691" i="7" s="1"/>
  <c r="K995" i="7"/>
  <c r="M995" i="7" s="1"/>
  <c r="K395" i="7"/>
  <c r="M395" i="7" s="1"/>
  <c r="K739" i="7"/>
  <c r="M739" i="7" s="1"/>
  <c r="K2819" i="7"/>
  <c r="M2819" i="7" s="1"/>
  <c r="K2435" i="7"/>
  <c r="M2435" i="7" s="1"/>
  <c r="K48" i="1"/>
  <c r="K371" i="7"/>
  <c r="M371" i="7" s="1"/>
  <c r="K80" i="1"/>
  <c r="K627" i="7"/>
  <c r="M627" i="7" s="1"/>
  <c r="K88" i="1"/>
  <c r="K691" i="7"/>
  <c r="M691" i="7" s="1"/>
  <c r="K96" i="1"/>
  <c r="K755" i="7"/>
  <c r="M755" i="7" s="1"/>
  <c r="K104" i="1"/>
  <c r="K819" i="7"/>
  <c r="M819" i="7" s="1"/>
  <c r="K112" i="1"/>
  <c r="K883" i="7"/>
  <c r="M883" i="7" s="1"/>
  <c r="K120" i="1"/>
  <c r="K947" i="7"/>
  <c r="M947" i="7" s="1"/>
  <c r="K128" i="1"/>
  <c r="K1011" i="7"/>
  <c r="M1011" i="7" s="1"/>
  <c r="K136" i="1"/>
  <c r="K1075" i="7"/>
  <c r="M1075" i="7" s="1"/>
  <c r="K168" i="1"/>
  <c r="K1331" i="7"/>
  <c r="M1331" i="7" s="1"/>
  <c r="K176" i="1"/>
  <c r="K1395" i="7"/>
  <c r="M1395" i="7" s="1"/>
  <c r="K192" i="1"/>
  <c r="K1523" i="7"/>
  <c r="M1523" i="7" s="1"/>
  <c r="K200" i="1"/>
  <c r="K1587" i="7"/>
  <c r="M1587" i="7" s="1"/>
  <c r="K208" i="1"/>
  <c r="K1651" i="7"/>
  <c r="M1651" i="7" s="1"/>
  <c r="K224" i="1"/>
  <c r="K1779" i="7"/>
  <c r="M1779" i="7" s="1"/>
  <c r="K232" i="1"/>
  <c r="K1843" i="7"/>
  <c r="M1843" i="7" s="1"/>
  <c r="K240" i="1"/>
  <c r="K1907" i="7"/>
  <c r="M1907" i="7" s="1"/>
  <c r="K248" i="1"/>
  <c r="K1971" i="7"/>
  <c r="M1971" i="7" s="1"/>
  <c r="K256" i="1"/>
  <c r="K2035" i="7"/>
  <c r="M2035" i="7" s="1"/>
  <c r="K264" i="1"/>
  <c r="K2099" i="7"/>
  <c r="M2099" i="7" s="1"/>
  <c r="K272" i="1"/>
  <c r="K2163" i="7"/>
  <c r="M2163" i="7" s="1"/>
  <c r="K280" i="1"/>
  <c r="K2227" i="7"/>
  <c r="M2227" i="7" s="1"/>
  <c r="K288" i="1"/>
  <c r="K2291" i="7"/>
  <c r="M2291" i="7" s="1"/>
  <c r="K296" i="1"/>
  <c r="K2355" i="7"/>
  <c r="M2355" i="7" s="1"/>
  <c r="K304" i="1"/>
  <c r="K2419" i="7"/>
  <c r="M2419" i="7" s="1"/>
  <c r="K312" i="1"/>
  <c r="K2483" i="7"/>
  <c r="M2483" i="7" s="1"/>
  <c r="K320" i="1"/>
  <c r="K2547" i="7"/>
  <c r="M2547" i="7" s="1"/>
  <c r="K328" i="1"/>
  <c r="K2611" i="7"/>
  <c r="M2611" i="7" s="1"/>
  <c r="K336" i="1"/>
  <c r="K2675" i="7"/>
  <c r="M2675" i="7" s="1"/>
  <c r="K344" i="1"/>
  <c r="K2739" i="7"/>
  <c r="M2739" i="7" s="1"/>
  <c r="K352" i="1"/>
  <c r="K2803" i="7"/>
  <c r="M2803" i="7" s="1"/>
  <c r="K360" i="1"/>
  <c r="K2867" i="7"/>
  <c r="M2867" i="7" s="1"/>
  <c r="K67" i="1"/>
  <c r="K523" i="7"/>
  <c r="M523" i="7" s="1"/>
  <c r="K99" i="1"/>
  <c r="K779" i="7"/>
  <c r="M779" i="7" s="1"/>
  <c r="K195" i="1"/>
  <c r="K1547" i="7"/>
  <c r="M1547" i="7" s="1"/>
  <c r="K259" i="1"/>
  <c r="K2059" i="7"/>
  <c r="M2059" i="7" s="1"/>
  <c r="K275" i="1"/>
  <c r="K2187" i="7"/>
  <c r="M2187" i="7" s="1"/>
  <c r="K291" i="1"/>
  <c r="K2315" i="7"/>
  <c r="M2315" i="7" s="1"/>
  <c r="K1163" i="7"/>
  <c r="M1163" i="7" s="1"/>
  <c r="K139" i="7"/>
  <c r="M139" i="7" s="1"/>
  <c r="K56" i="1"/>
  <c r="K435" i="7"/>
  <c r="M435" i="7" s="1"/>
  <c r="K299" i="1"/>
  <c r="K2379" i="7"/>
  <c r="M2379" i="7" s="1"/>
  <c r="K35" i="1"/>
  <c r="K267" i="7"/>
  <c r="M267" i="7" s="1"/>
  <c r="K267" i="1"/>
  <c r="K2123" i="7"/>
  <c r="M2123" i="7" s="1"/>
  <c r="K8" i="1"/>
  <c r="K51" i="7"/>
  <c r="M51" i="7" s="1"/>
  <c r="K3" i="1"/>
  <c r="K11" i="7"/>
  <c r="M11" i="7" s="1"/>
  <c r="K131" i="1"/>
  <c r="K1035" i="7"/>
  <c r="M1035" i="7" s="1"/>
  <c r="K155" i="1"/>
  <c r="K1227" i="7"/>
  <c r="M1227" i="7" s="1"/>
  <c r="K163" i="1"/>
  <c r="K1291" i="7"/>
  <c r="M1291" i="7" s="1"/>
  <c r="K91" i="1"/>
  <c r="K715" i="7"/>
  <c r="M715" i="7" s="1"/>
  <c r="K123" i="1"/>
  <c r="K971" i="7"/>
  <c r="M971" i="7" s="1"/>
  <c r="K139" i="1"/>
  <c r="K1099" i="7"/>
  <c r="M1099" i="7" s="1"/>
  <c r="K227" i="1"/>
  <c r="K1803" i="7"/>
  <c r="M1803" i="7" s="1"/>
  <c r="K243" i="1"/>
  <c r="K1931" i="7"/>
  <c r="M1931" i="7" s="1"/>
  <c r="K49" i="1"/>
  <c r="K379" i="7"/>
  <c r="M379" i="7" s="1"/>
  <c r="K1571" i="7"/>
  <c r="M1571" i="7" s="1"/>
  <c r="K1315" i="7"/>
  <c r="M1315" i="7" s="1"/>
  <c r="K17" i="1"/>
  <c r="K123" i="7"/>
  <c r="M123" i="7" s="1"/>
  <c r="K41" i="1"/>
  <c r="K315" i="7"/>
  <c r="M315" i="7" s="1"/>
  <c r="K73" i="1"/>
  <c r="K571" i="7"/>
  <c r="M571" i="7" s="1"/>
  <c r="K4" i="1"/>
  <c r="K19" i="7"/>
  <c r="M19" i="7" s="1"/>
  <c r="K52" i="1"/>
  <c r="K403" i="7"/>
  <c r="M403" i="7" s="1"/>
  <c r="K84" i="1"/>
  <c r="K659" i="7"/>
  <c r="M659" i="7" s="1"/>
  <c r="K92" i="1"/>
  <c r="K723" i="7"/>
  <c r="M723" i="7" s="1"/>
  <c r="K100" i="1"/>
  <c r="K787" i="7"/>
  <c r="M787" i="7" s="1"/>
  <c r="K108" i="1"/>
  <c r="K851" i="7"/>
  <c r="M851" i="7" s="1"/>
  <c r="K116" i="1"/>
  <c r="K915" i="7"/>
  <c r="M915" i="7" s="1"/>
  <c r="K124" i="1"/>
  <c r="K979" i="7"/>
  <c r="M979" i="7" s="1"/>
  <c r="K132" i="1"/>
  <c r="K1043" i="7"/>
  <c r="M1043" i="7" s="1"/>
  <c r="K156" i="1"/>
  <c r="K1235" i="7"/>
  <c r="M1235" i="7" s="1"/>
  <c r="K172" i="1"/>
  <c r="K1363" i="7"/>
  <c r="M1363" i="7" s="1"/>
  <c r="K180" i="1"/>
  <c r="K1427" i="7"/>
  <c r="M1427" i="7" s="1"/>
  <c r="K188" i="1"/>
  <c r="K1491" i="7"/>
  <c r="M1491" i="7" s="1"/>
  <c r="K196" i="1"/>
  <c r="K1555" i="7"/>
  <c r="M1555" i="7" s="1"/>
  <c r="K204" i="1"/>
  <c r="K1619" i="7"/>
  <c r="M1619" i="7" s="1"/>
  <c r="K212" i="1"/>
  <c r="K1683" i="7"/>
  <c r="M1683" i="7" s="1"/>
  <c r="K220" i="1"/>
  <c r="K1747" i="7"/>
  <c r="M1747" i="7" s="1"/>
  <c r="K2595" i="7"/>
  <c r="M2595" i="7" s="1"/>
  <c r="K2531" i="7"/>
  <c r="M2531" i="7" s="1"/>
  <c r="K2467" i="7"/>
  <c r="M2467" i="7" s="1"/>
  <c r="K2339" i="7"/>
  <c r="M2339" i="7" s="1"/>
  <c r="K2147" i="7"/>
  <c r="M2147" i="7" s="1"/>
  <c r="K2083" i="7"/>
  <c r="M2083" i="7" s="1"/>
  <c r="K1955" i="7"/>
  <c r="M1955" i="7" s="1"/>
  <c r="K1827" i="7"/>
  <c r="M1827" i="7" s="1"/>
  <c r="K9" i="1"/>
  <c r="K59" i="7"/>
  <c r="M59" i="7" s="1"/>
  <c r="K25" i="1"/>
  <c r="K187" i="7"/>
  <c r="M187" i="7" s="1"/>
  <c r="K33" i="1"/>
  <c r="K251" i="7"/>
  <c r="M251" i="7" s="1"/>
  <c r="K57" i="1"/>
  <c r="K443" i="7"/>
  <c r="M443" i="7" s="1"/>
  <c r="K65" i="1"/>
  <c r="K507" i="7"/>
  <c r="M507" i="7" s="1"/>
  <c r="K7" i="1"/>
  <c r="K43" i="7"/>
  <c r="M43" i="7" s="1"/>
  <c r="K15" i="1"/>
  <c r="K107" i="7"/>
  <c r="M107" i="7" s="1"/>
  <c r="K23" i="1"/>
  <c r="K171" i="7"/>
  <c r="M171" i="7" s="1"/>
  <c r="K31" i="1"/>
  <c r="K235" i="7"/>
  <c r="M235" i="7" s="1"/>
  <c r="K47" i="1"/>
  <c r="K363" i="7"/>
  <c r="M363" i="7" s="1"/>
  <c r="K63" i="1"/>
  <c r="K491" i="7"/>
  <c r="M491" i="7" s="1"/>
  <c r="K79" i="1"/>
  <c r="K619" i="7"/>
  <c r="M619" i="7" s="1"/>
  <c r="K87" i="1"/>
  <c r="K683" i="7"/>
  <c r="M683" i="7" s="1"/>
  <c r="K103" i="1"/>
  <c r="K811" i="7"/>
  <c r="M811" i="7" s="1"/>
  <c r="K135" i="1"/>
  <c r="K1067" i="7"/>
  <c r="M1067" i="7" s="1"/>
  <c r="K143" i="1"/>
  <c r="K1131" i="7"/>
  <c r="M1131" i="7" s="1"/>
  <c r="K151" i="1"/>
  <c r="K1195" i="7"/>
  <c r="M1195" i="7" s="1"/>
  <c r="K159" i="1"/>
  <c r="K1259" i="7"/>
  <c r="M1259" i="7" s="1"/>
  <c r="K167" i="1"/>
  <c r="K1323" i="7"/>
  <c r="M1323" i="7" s="1"/>
  <c r="K175" i="1"/>
  <c r="K1387" i="7"/>
  <c r="M1387" i="7" s="1"/>
  <c r="K183" i="1"/>
  <c r="K1451" i="7"/>
  <c r="M1451" i="7" s="1"/>
  <c r="K199" i="1"/>
  <c r="K1579" i="7"/>
  <c r="M1579" i="7" s="1"/>
  <c r="K207" i="1"/>
  <c r="K1643" i="7"/>
  <c r="M1643" i="7" s="1"/>
  <c r="K1379" i="7"/>
  <c r="M1379" i="7" s="1"/>
  <c r="K1123" i="7"/>
  <c r="M1123" i="7" s="1"/>
  <c r="K867" i="7"/>
  <c r="M867" i="7" s="1"/>
  <c r="K106" i="1"/>
  <c r="K835" i="7"/>
  <c r="M835" i="7" s="1"/>
  <c r="K122" i="1"/>
  <c r="K963" i="7"/>
  <c r="M963" i="7" s="1"/>
  <c r="K170" i="1"/>
  <c r="K1347" i="7"/>
  <c r="M1347" i="7" s="1"/>
  <c r="K178" i="1"/>
  <c r="K1411" i="7"/>
  <c r="M1411" i="7" s="1"/>
  <c r="K210" i="1"/>
  <c r="K1667" i="7"/>
  <c r="M1667" i="7" s="1"/>
  <c r="K2835" i="7"/>
  <c r="M2835" i="7" s="1"/>
  <c r="K2771" i="7"/>
  <c r="M2771" i="7" s="1"/>
  <c r="K2707" i="7"/>
  <c r="M2707" i="7" s="1"/>
  <c r="K2643" i="7"/>
  <c r="M2643" i="7" s="1"/>
  <c r="K2579" i="7"/>
  <c r="M2579" i="7" s="1"/>
  <c r="K2515" i="7"/>
  <c r="M2515" i="7" s="1"/>
  <c r="K2451" i="7"/>
  <c r="M2451" i="7" s="1"/>
  <c r="K2387" i="7"/>
  <c r="M2387" i="7" s="1"/>
  <c r="K2323" i="7"/>
  <c r="M2323" i="7" s="1"/>
  <c r="K2259" i="7"/>
  <c r="M2259" i="7" s="1"/>
  <c r="K2195" i="7"/>
  <c r="M2195" i="7" s="1"/>
  <c r="K2067" i="7"/>
  <c r="M2067" i="7" s="1"/>
  <c r="K2003" i="7"/>
  <c r="M2003" i="7" s="1"/>
  <c r="K1939" i="7"/>
  <c r="M1939" i="7" s="1"/>
  <c r="K1811" i="7"/>
  <c r="M1811" i="7" s="1"/>
  <c r="K5" i="1"/>
  <c r="K27" i="7"/>
  <c r="M27" i="7" s="1"/>
  <c r="K13" i="1"/>
  <c r="K91" i="7"/>
  <c r="M91" i="7" s="1"/>
  <c r="K21" i="1"/>
  <c r="K155" i="7"/>
  <c r="M155" i="7" s="1"/>
  <c r="K29" i="1"/>
  <c r="K219" i="7"/>
  <c r="M219" i="7" s="1"/>
  <c r="K37" i="1"/>
  <c r="K283" i="7"/>
  <c r="M283" i="7" s="1"/>
  <c r="K45" i="1"/>
  <c r="K347" i="7"/>
  <c r="M347" i="7" s="1"/>
  <c r="K53" i="1"/>
  <c r="K411" i="7"/>
  <c r="M411" i="7" s="1"/>
  <c r="K61" i="1"/>
  <c r="K475" i="7"/>
  <c r="M475" i="7" s="1"/>
  <c r="K69" i="1"/>
  <c r="K539" i="7"/>
  <c r="M539" i="7" s="1"/>
  <c r="K2347" i="7"/>
  <c r="M2347" i="7" s="1"/>
  <c r="K2091" i="7"/>
  <c r="M2091" i="7" s="1"/>
  <c r="K1963" i="7"/>
  <c r="M1963" i="7" s="1"/>
  <c r="F827" i="7"/>
  <c r="I827" i="7" s="1"/>
  <c r="F763" i="7"/>
  <c r="I763" i="7" s="1"/>
  <c r="F699" i="7"/>
  <c r="I699" i="7" s="1"/>
  <c r="F635" i="7"/>
  <c r="I635" i="7" s="1"/>
  <c r="F563" i="7"/>
  <c r="I563" i="7" s="1"/>
  <c r="F499" i="7"/>
  <c r="I499" i="7" s="1"/>
  <c r="F307" i="7"/>
  <c r="I307" i="7" s="1"/>
  <c r="F243" i="7"/>
  <c r="I243" i="7" s="1"/>
  <c r="F179" i="7"/>
  <c r="I179" i="7" s="1"/>
  <c r="F115" i="7"/>
  <c r="I115" i="7" s="1"/>
  <c r="F747" i="7"/>
  <c r="I747" i="7" s="1"/>
  <c r="F555" i="7"/>
  <c r="I555" i="7" s="1"/>
  <c r="F427" i="7"/>
  <c r="I427" i="7" s="1"/>
  <c r="F299" i="7"/>
  <c r="I299" i="7" s="1"/>
  <c r="F803" i="7"/>
  <c r="I803" i="7" s="1"/>
  <c r="F675" i="7"/>
  <c r="I675" i="7" s="1"/>
  <c r="F611" i="7"/>
  <c r="I611" i="7" s="1"/>
  <c r="F547" i="7"/>
  <c r="I547" i="7" s="1"/>
  <c r="F483" i="7"/>
  <c r="I483" i="7" s="1"/>
  <c r="F419" i="7"/>
  <c r="I419" i="7" s="1"/>
  <c r="F355" i="7"/>
  <c r="I355" i="7" s="1"/>
  <c r="F291" i="7"/>
  <c r="I291" i="7" s="1"/>
  <c r="F227" i="7"/>
  <c r="I227" i="7" s="1"/>
  <c r="F163" i="7"/>
  <c r="I163" i="7" s="1"/>
  <c r="F99" i="7"/>
  <c r="I99" i="7" s="1"/>
  <c r="F35" i="7"/>
  <c r="I35" i="7" s="1"/>
  <c r="F795" i="7"/>
  <c r="I795" i="7" s="1"/>
  <c r="F731" i="7"/>
  <c r="I731" i="7" s="1"/>
  <c r="F667" i="7"/>
  <c r="I667" i="7" s="1"/>
  <c r="F603" i="7"/>
  <c r="I603" i="7" s="1"/>
  <c r="F595" i="7"/>
  <c r="I595" i="7" s="1"/>
  <c r="F531" i="7"/>
  <c r="I531" i="7" s="1"/>
  <c r="F467" i="7"/>
  <c r="I467" i="7" s="1"/>
  <c r="F339" i="7"/>
  <c r="I339" i="7" s="1"/>
  <c r="F275" i="7"/>
  <c r="I275" i="7" s="1"/>
  <c r="F211" i="7"/>
  <c r="I211" i="7" s="1"/>
  <c r="F147" i="7"/>
  <c r="I147" i="7" s="1"/>
  <c r="F83" i="7"/>
  <c r="I83" i="7" s="1"/>
  <c r="F843" i="7"/>
  <c r="I843" i="7" s="1"/>
  <c r="F651" i="7"/>
  <c r="I651" i="7" s="1"/>
  <c r="F587" i="7"/>
  <c r="I587" i="7" s="1"/>
  <c r="F459" i="7"/>
  <c r="I459" i="7" s="1"/>
  <c r="F331" i="7"/>
  <c r="I331" i="7" s="1"/>
  <c r="F203" i="7"/>
  <c r="I203" i="7" s="1"/>
  <c r="F75" i="7"/>
  <c r="I75" i="7" s="1"/>
  <c r="F771" i="7"/>
  <c r="I771" i="7" s="1"/>
  <c r="F707" i="7"/>
  <c r="I707" i="7" s="1"/>
  <c r="F643" i="7"/>
  <c r="I643" i="7" s="1"/>
  <c r="F579" i="7"/>
  <c r="I579" i="7" s="1"/>
  <c r="F515" i="7"/>
  <c r="I515" i="7" s="1"/>
  <c r="F451" i="7"/>
  <c r="I451" i="7" s="1"/>
  <c r="F387" i="7"/>
  <c r="I387" i="7" s="1"/>
  <c r="F323" i="7"/>
  <c r="I323" i="7" s="1"/>
  <c r="F259" i="7"/>
  <c r="I259" i="7" s="1"/>
  <c r="F195" i="7"/>
  <c r="I195" i="7" s="1"/>
  <c r="F131" i="7"/>
  <c r="I131" i="7" s="1"/>
  <c r="F67" i="7"/>
  <c r="I67" i="7" s="1"/>
  <c r="F3" i="7"/>
  <c r="I3" i="7" s="1"/>
  <c r="K2690" i="7"/>
  <c r="M2690" i="7" s="1"/>
  <c r="K2434" i="7"/>
  <c r="M2434" i="7" s="1"/>
  <c r="K2346" i="7"/>
  <c r="M2346" i="7" s="1"/>
  <c r="K1666" i="7"/>
  <c r="M1666" i="7" s="1"/>
  <c r="K1410" i="7"/>
  <c r="M1410" i="7" s="1"/>
  <c r="K1346" i="7"/>
  <c r="M1346" i="7" s="1"/>
  <c r="K2818" i="7"/>
  <c r="M2818" i="7" s="1"/>
  <c r="K962" i="7"/>
  <c r="M962" i="7" s="1"/>
  <c r="K2754" i="7"/>
  <c r="M2754" i="7" s="1"/>
  <c r="K834" i="7"/>
  <c r="M834" i="7" s="1"/>
  <c r="K570" i="7"/>
  <c r="M570" i="7" s="1"/>
  <c r="K506" i="7"/>
  <c r="M506" i="7" s="1"/>
  <c r="K442" i="7"/>
  <c r="M442" i="7" s="1"/>
  <c r="K378" i="7"/>
  <c r="M378" i="7" s="1"/>
  <c r="K314" i="7"/>
  <c r="M314" i="7" s="1"/>
  <c r="K250" i="7"/>
  <c r="M250" i="7" s="1"/>
  <c r="K186" i="7"/>
  <c r="M186" i="7" s="1"/>
  <c r="K122" i="7"/>
  <c r="M122" i="7" s="1"/>
  <c r="K58" i="7"/>
  <c r="M58" i="7" s="1"/>
  <c r="K2866" i="7"/>
  <c r="M2866" i="7" s="1"/>
  <c r="K2802" i="7"/>
  <c r="M2802" i="7" s="1"/>
  <c r="K2738" i="7"/>
  <c r="M2738" i="7" s="1"/>
  <c r="K2674" i="7"/>
  <c r="M2674" i="7" s="1"/>
  <c r="K2610" i="7"/>
  <c r="M2610" i="7" s="1"/>
  <c r="K2546" i="7"/>
  <c r="M2546" i="7" s="1"/>
  <c r="K2482" i="7"/>
  <c r="M2482" i="7" s="1"/>
  <c r="K2418" i="7"/>
  <c r="M2418" i="7" s="1"/>
  <c r="K2354" i="7"/>
  <c r="M2354" i="7" s="1"/>
  <c r="K2290" i="7"/>
  <c r="M2290" i="7" s="1"/>
  <c r="K2226" i="7"/>
  <c r="M2226" i="7" s="1"/>
  <c r="K2162" i="7"/>
  <c r="M2162" i="7" s="1"/>
  <c r="K2098" i="7"/>
  <c r="M2098" i="7" s="1"/>
  <c r="K2034" i="7"/>
  <c r="M2034" i="7" s="1"/>
  <c r="K1970" i="7"/>
  <c r="M1970" i="7" s="1"/>
  <c r="K1906" i="7"/>
  <c r="M1906" i="7" s="1"/>
  <c r="K1842" i="7"/>
  <c r="M1842" i="7" s="1"/>
  <c r="K1778" i="7"/>
  <c r="M1778" i="7" s="1"/>
  <c r="K1650" i="7"/>
  <c r="M1650" i="7" s="1"/>
  <c r="K1586" i="7"/>
  <c r="M1586" i="7" s="1"/>
  <c r="K1522" i="7"/>
  <c r="M1522" i="7" s="1"/>
  <c r="K1394" i="7"/>
  <c r="M1394" i="7" s="1"/>
  <c r="K1330" i="7"/>
  <c r="M1330" i="7" s="1"/>
  <c r="K1074" i="7"/>
  <c r="M1074" i="7" s="1"/>
  <c r="K1010" i="7"/>
  <c r="M1010" i="7" s="1"/>
  <c r="K946" i="7"/>
  <c r="M946" i="7" s="1"/>
  <c r="K882" i="7"/>
  <c r="M882" i="7" s="1"/>
  <c r="K818" i="7"/>
  <c r="M818" i="7" s="1"/>
  <c r="K754" i="7"/>
  <c r="M754" i="7" s="1"/>
  <c r="K690" i="7"/>
  <c r="M690" i="7" s="1"/>
  <c r="K626" i="7"/>
  <c r="M626" i="7" s="1"/>
  <c r="K434" i="7"/>
  <c r="M434" i="7" s="1"/>
  <c r="K370" i="7"/>
  <c r="M370" i="7" s="1"/>
  <c r="K50" i="7"/>
  <c r="M50" i="7" s="1"/>
  <c r="K2090" i="7"/>
  <c r="M2090" i="7" s="1"/>
  <c r="K1962" i="7"/>
  <c r="M1962" i="7" s="1"/>
  <c r="K1642" i="7"/>
  <c r="M1642" i="7" s="1"/>
  <c r="K1578" i="7"/>
  <c r="M1578" i="7" s="1"/>
  <c r="K1450" i="7"/>
  <c r="M1450" i="7" s="1"/>
  <c r="K1386" i="7"/>
  <c r="M1386" i="7" s="1"/>
  <c r="K1322" i="7"/>
  <c r="M1322" i="7" s="1"/>
  <c r="K1258" i="7"/>
  <c r="M1258" i="7" s="1"/>
  <c r="K1194" i="7"/>
  <c r="M1194" i="7" s="1"/>
  <c r="K1130" i="7"/>
  <c r="M1130" i="7" s="1"/>
  <c r="K1066" i="7"/>
  <c r="M1066" i="7" s="1"/>
  <c r="K810" i="7"/>
  <c r="M810" i="7" s="1"/>
  <c r="K682" i="7"/>
  <c r="M682" i="7" s="1"/>
  <c r="K618" i="7"/>
  <c r="M618" i="7" s="1"/>
  <c r="K490" i="7"/>
  <c r="M490" i="7" s="1"/>
  <c r="K362" i="7"/>
  <c r="M362" i="7" s="1"/>
  <c r="K234" i="7"/>
  <c r="M234" i="7" s="1"/>
  <c r="K170" i="7"/>
  <c r="M170" i="7" s="1"/>
  <c r="K106" i="7"/>
  <c r="M106" i="7" s="1"/>
  <c r="K42" i="7"/>
  <c r="M42" i="7" s="1"/>
  <c r="K2594" i="7"/>
  <c r="M2594" i="7" s="1"/>
  <c r="K2530" i="7"/>
  <c r="M2530" i="7" s="1"/>
  <c r="K2466" i="7"/>
  <c r="M2466" i="7" s="1"/>
  <c r="K2338" i="7"/>
  <c r="M2338" i="7" s="1"/>
  <c r="K2146" i="7"/>
  <c r="M2146" i="7" s="1"/>
  <c r="K2082" i="7"/>
  <c r="M2082" i="7" s="1"/>
  <c r="K1954" i="7"/>
  <c r="M1954" i="7" s="1"/>
  <c r="K1826" i="7"/>
  <c r="M1826" i="7" s="1"/>
  <c r="K1570" i="7"/>
  <c r="M1570" i="7" s="1"/>
  <c r="K1378" i="7"/>
  <c r="M1378" i="7" s="1"/>
  <c r="K1314" i="7"/>
  <c r="M1314" i="7" s="1"/>
  <c r="K1250" i="7"/>
  <c r="M1250" i="7" s="1"/>
  <c r="K1122" i="7"/>
  <c r="M1122" i="7" s="1"/>
  <c r="K994" i="7"/>
  <c r="M994" i="7" s="1"/>
  <c r="K866" i="7"/>
  <c r="M866" i="7" s="1"/>
  <c r="K738" i="7"/>
  <c r="M738" i="7" s="1"/>
  <c r="K538" i="7"/>
  <c r="M538" i="7" s="1"/>
  <c r="K474" i="7"/>
  <c r="M474" i="7" s="1"/>
  <c r="K410" i="7"/>
  <c r="M410" i="7" s="1"/>
  <c r="K346" i="7"/>
  <c r="M346" i="7" s="1"/>
  <c r="K282" i="7"/>
  <c r="M282" i="7" s="1"/>
  <c r="K218" i="7"/>
  <c r="M218" i="7" s="1"/>
  <c r="K154" i="7"/>
  <c r="M154" i="7" s="1"/>
  <c r="K90" i="7"/>
  <c r="M90" i="7" s="1"/>
  <c r="K26" i="7"/>
  <c r="M26" i="7" s="1"/>
  <c r="K2834" i="7"/>
  <c r="M2834" i="7" s="1"/>
  <c r="K2770" i="7"/>
  <c r="M2770" i="7" s="1"/>
  <c r="K2706" i="7"/>
  <c r="M2706" i="7" s="1"/>
  <c r="K2642" i="7"/>
  <c r="M2642" i="7" s="1"/>
  <c r="K2578" i="7"/>
  <c r="M2578" i="7" s="1"/>
  <c r="K2514" i="7"/>
  <c r="M2514" i="7" s="1"/>
  <c r="K2450" i="7"/>
  <c r="M2450" i="7" s="1"/>
  <c r="K2386" i="7"/>
  <c r="M2386" i="7" s="1"/>
  <c r="K2322" i="7"/>
  <c r="M2322" i="7" s="1"/>
  <c r="K2258" i="7"/>
  <c r="M2258" i="7" s="1"/>
  <c r="K2194" i="7"/>
  <c r="M2194" i="7" s="1"/>
  <c r="K2066" i="7"/>
  <c r="M2066" i="7" s="1"/>
  <c r="K2002" i="7"/>
  <c r="M2002" i="7" s="1"/>
  <c r="K1938" i="7"/>
  <c r="M1938" i="7" s="1"/>
  <c r="K1810" i="7"/>
  <c r="M1810" i="7" s="1"/>
  <c r="K1746" i="7"/>
  <c r="M1746" i="7" s="1"/>
  <c r="K1682" i="7"/>
  <c r="M1682" i="7" s="1"/>
  <c r="K1618" i="7"/>
  <c r="M1618" i="7" s="1"/>
  <c r="K1554" i="7"/>
  <c r="M1554" i="7" s="1"/>
  <c r="K1490" i="7"/>
  <c r="M1490" i="7" s="1"/>
  <c r="K1426" i="7"/>
  <c r="M1426" i="7" s="1"/>
  <c r="K1362" i="7"/>
  <c r="M1362" i="7" s="1"/>
  <c r="K1234" i="7"/>
  <c r="M1234" i="7" s="1"/>
  <c r="K1042" i="7"/>
  <c r="M1042" i="7" s="1"/>
  <c r="K978" i="7"/>
  <c r="M978" i="7" s="1"/>
  <c r="K914" i="7"/>
  <c r="M914" i="7" s="1"/>
  <c r="K850" i="7"/>
  <c r="M850" i="7" s="1"/>
  <c r="K786" i="7"/>
  <c r="M786" i="7" s="1"/>
  <c r="K722" i="7"/>
  <c r="M722" i="7" s="1"/>
  <c r="K658" i="7"/>
  <c r="M658" i="7" s="1"/>
  <c r="K402" i="7"/>
  <c r="M402" i="7" s="1"/>
  <c r="K18" i="7"/>
  <c r="M18" i="7" s="1"/>
  <c r="K2378" i="7"/>
  <c r="M2378" i="7" s="1"/>
  <c r="K2314" i="7"/>
  <c r="M2314" i="7" s="1"/>
  <c r="K2186" i="7"/>
  <c r="M2186" i="7" s="1"/>
  <c r="K2122" i="7"/>
  <c r="M2122" i="7" s="1"/>
  <c r="K2058" i="7"/>
  <c r="M2058" i="7" s="1"/>
  <c r="K1930" i="7"/>
  <c r="M1930" i="7" s="1"/>
  <c r="K1802" i="7"/>
  <c r="M1802" i="7" s="1"/>
  <c r="K1546" i="7"/>
  <c r="M1546" i="7" s="1"/>
  <c r="K1290" i="7"/>
  <c r="M1290" i="7" s="1"/>
  <c r="K1226" i="7"/>
  <c r="M1226" i="7" s="1"/>
  <c r="K1162" i="7"/>
  <c r="M1162" i="7" s="1"/>
  <c r="K1098" i="7"/>
  <c r="M1098" i="7" s="1"/>
  <c r="K1034" i="7"/>
  <c r="M1034" i="7" s="1"/>
  <c r="K970" i="7"/>
  <c r="M970" i="7" s="1"/>
  <c r="K778" i="7"/>
  <c r="M778" i="7" s="1"/>
  <c r="K714" i="7"/>
  <c r="M714" i="7" s="1"/>
  <c r="K522" i="7"/>
  <c r="M522" i="7" s="1"/>
  <c r="K394" i="7"/>
  <c r="M394" i="7" s="1"/>
  <c r="K266" i="7"/>
  <c r="M266" i="7" s="1"/>
  <c r="K138" i="7"/>
  <c r="M138" i="7" s="1"/>
  <c r="K10" i="7"/>
  <c r="M10" i="7" s="1"/>
  <c r="F2874" i="7"/>
  <c r="C2874" i="7"/>
  <c r="F858" i="7"/>
  <c r="F874" i="7"/>
  <c r="F890" i="7"/>
  <c r="F898" i="7"/>
  <c r="F906" i="7"/>
  <c r="F2842" i="7"/>
  <c r="F1298" i="7"/>
  <c r="F986" i="7"/>
  <c r="F1050" i="7"/>
  <c r="F1242" i="7"/>
  <c r="F1370" i="7"/>
  <c r="F1562" i="7"/>
  <c r="F1626" i="7"/>
  <c r="F1818" i="7"/>
  <c r="F1946" i="7"/>
  <c r="F2138" i="7"/>
  <c r="F2394" i="7"/>
  <c r="F2458" i="7"/>
  <c r="F2778" i="7"/>
  <c r="F1186" i="7"/>
  <c r="F2722" i="7"/>
  <c r="F954" i="7"/>
  <c r="F1018" i="7"/>
  <c r="F1082" i="7"/>
  <c r="F1146" i="7"/>
  <c r="F1210" i="7"/>
  <c r="F1274" i="7"/>
  <c r="F1402" i="7"/>
  <c r="F1466" i="7"/>
  <c r="F1530" i="7"/>
  <c r="F1658" i="7"/>
  <c r="F1722" i="7"/>
  <c r="F1786" i="7"/>
  <c r="F1914" i="7"/>
  <c r="F1978" i="7"/>
  <c r="F2042" i="7"/>
  <c r="F2170" i="7"/>
  <c r="F2234" i="7"/>
  <c r="F2298" i="7"/>
  <c r="F2490" i="7"/>
  <c r="F2554" i="7"/>
  <c r="F2618" i="7"/>
  <c r="F2682" i="7"/>
  <c r="F2746" i="7"/>
  <c r="F2810" i="7"/>
  <c r="F1106" i="7"/>
  <c r="F1026" i="7"/>
  <c r="F1090" i="7"/>
  <c r="F1154" i="7"/>
  <c r="F1218" i="7"/>
  <c r="F1282" i="7"/>
  <c r="F1474" i="7"/>
  <c r="F1538" i="7"/>
  <c r="F1602" i="7"/>
  <c r="F1730" i="7"/>
  <c r="F1794" i="7"/>
  <c r="F1858" i="7"/>
  <c r="F1986" i="7"/>
  <c r="F2050" i="7"/>
  <c r="F2114" i="7"/>
  <c r="F2178" i="7"/>
  <c r="F2242" i="7"/>
  <c r="F2306" i="7"/>
  <c r="F2370" i="7"/>
  <c r="F2498" i="7"/>
  <c r="F2562" i="7"/>
  <c r="F2626" i="7"/>
  <c r="F1354" i="7"/>
  <c r="F1418" i="7"/>
  <c r="F1610" i="7"/>
  <c r="F1674" i="7"/>
  <c r="F1866" i="7"/>
  <c r="F1994" i="7"/>
  <c r="F2250" i="7"/>
  <c r="F2442" i="7"/>
  <c r="F2570" i="7"/>
  <c r="F2634" i="7"/>
  <c r="F2698" i="7"/>
  <c r="F2850" i="7"/>
  <c r="F922" i="7"/>
  <c r="F1178" i="7"/>
  <c r="F1754" i="7"/>
  <c r="F2650" i="7"/>
  <c r="F1698" i="7"/>
  <c r="F2018" i="7"/>
  <c r="F2658" i="7"/>
  <c r="F938" i="7"/>
  <c r="F1002" i="7"/>
  <c r="F1514" i="7"/>
  <c r="F1706" i="7"/>
  <c r="F1770" i="7"/>
  <c r="F1834" i="7"/>
  <c r="F2026" i="7"/>
  <c r="F2218" i="7"/>
  <c r="F2282" i="7"/>
  <c r="F2410" i="7"/>
  <c r="F2474" i="7"/>
  <c r="F2538" i="7"/>
  <c r="F2602" i="7"/>
  <c r="F2666" i="7"/>
  <c r="F2730" i="7"/>
  <c r="F1170" i="7"/>
  <c r="F1114" i="7"/>
  <c r="F1306" i="7"/>
  <c r="F1498" i="7"/>
  <c r="F1882" i="7"/>
  <c r="F2074" i="7"/>
  <c r="F2202" i="7"/>
  <c r="F2330" i="7"/>
  <c r="F2586" i="7"/>
  <c r="F2714" i="7"/>
  <c r="F930" i="7"/>
  <c r="F1058" i="7"/>
  <c r="F1442" i="7"/>
  <c r="F1634" i="7"/>
  <c r="F1890" i="7"/>
  <c r="F2210" i="7"/>
  <c r="F2274" i="7"/>
  <c r="F2402" i="7"/>
  <c r="F2786" i="7"/>
  <c r="F1138" i="7"/>
  <c r="F1202" i="7"/>
  <c r="F1266" i="7"/>
  <c r="I206" i="1"/>
  <c r="K1641" i="7" s="1"/>
  <c r="M1641" i="7" s="1"/>
  <c r="I186" i="1"/>
  <c r="K1481" i="7" s="1"/>
  <c r="M1481" i="7" s="1"/>
  <c r="I261" i="1"/>
  <c r="K2081" i="7" s="1"/>
  <c r="M2081" i="7" s="1"/>
  <c r="I298" i="1"/>
  <c r="K2377" i="7" s="1"/>
  <c r="M2377" i="7" s="1"/>
  <c r="I258" i="1"/>
  <c r="K2057" i="7" s="1"/>
  <c r="M2057" i="7" s="1"/>
  <c r="I193" i="1"/>
  <c r="K1537" i="7" s="1"/>
  <c r="M1537" i="7" s="1"/>
  <c r="I290" i="1"/>
  <c r="K2313" i="7" s="1"/>
  <c r="M2313" i="7" s="1"/>
  <c r="I350" i="1"/>
  <c r="K2793" i="7" s="1"/>
  <c r="M2793" i="7" s="1"/>
  <c r="I71" i="1"/>
  <c r="K561" i="7" s="1"/>
  <c r="M561" i="7" s="1"/>
  <c r="I16" i="1"/>
  <c r="K121" i="7" s="1"/>
  <c r="M121" i="7" s="1"/>
  <c r="I171" i="1"/>
  <c r="K1361" i="7" s="1"/>
  <c r="M1361" i="7" s="1"/>
  <c r="I278" i="1"/>
  <c r="K2217" i="7" s="1"/>
  <c r="M2217" i="7" s="1"/>
  <c r="I148" i="1"/>
  <c r="K1177" i="7" s="1"/>
  <c r="M1177" i="7" s="1"/>
  <c r="I161" i="1"/>
  <c r="K1281" i="7" s="1"/>
  <c r="M1281" i="7" s="1"/>
  <c r="I358" i="1"/>
  <c r="K2857" i="7" s="1"/>
  <c r="M2857" i="7" s="1"/>
  <c r="I249" i="1"/>
  <c r="K1985" i="7" s="1"/>
  <c r="M1985" i="7" s="1"/>
  <c r="I114" i="1"/>
  <c r="K905" i="7" s="1"/>
  <c r="M905" i="7" s="1"/>
  <c r="I144" i="1"/>
  <c r="K1145" i="7" s="1"/>
  <c r="M1145" i="7" s="1"/>
  <c r="I24" i="1"/>
  <c r="K185" i="7" s="1"/>
  <c r="M185" i="7" s="1"/>
  <c r="I39" i="1"/>
  <c r="K305" i="7" s="1"/>
  <c r="M305" i="7" s="1"/>
  <c r="I157" i="1"/>
  <c r="K1249" i="7" s="1"/>
  <c r="M1249" i="7" s="1"/>
  <c r="I214" i="1"/>
  <c r="K1705" i="7" s="1"/>
  <c r="M1705" i="7" s="1"/>
  <c r="I72" i="1"/>
  <c r="K569" i="7" s="1"/>
  <c r="M569" i="7" s="1"/>
  <c r="I266" i="1"/>
  <c r="K2121" i="7" s="1"/>
  <c r="M2121" i="7" s="1"/>
  <c r="I286" i="1"/>
  <c r="K2281" i="7" s="1"/>
  <c r="M2281" i="7" s="1"/>
  <c r="I349" i="1"/>
  <c r="K2785" i="7" s="1"/>
  <c r="M2785" i="7" s="1"/>
  <c r="I20" i="1"/>
  <c r="K153" i="7" s="1"/>
  <c r="M153" i="7" s="1"/>
  <c r="I68" i="1"/>
  <c r="K537" i="7" s="1"/>
  <c r="M537" i="7" s="1"/>
  <c r="I150" i="1"/>
  <c r="K1193" i="7" s="1"/>
  <c r="M1193" i="7" s="1"/>
  <c r="I185" i="1"/>
  <c r="K1473" i="7" s="1"/>
  <c r="M1473" i="7" s="1"/>
  <c r="I197" i="1"/>
  <c r="K1569" i="7" s="1"/>
  <c r="M1569" i="7" s="1"/>
  <c r="I235" i="1"/>
  <c r="K1873" i="7" s="1"/>
  <c r="M1873" i="7" s="1"/>
  <c r="I337" i="1"/>
  <c r="K2689" i="7" s="1"/>
  <c r="M2689" i="7" s="1"/>
  <c r="I81" i="1"/>
  <c r="K641" i="7" s="1"/>
  <c r="M641" i="7" s="1"/>
  <c r="I101" i="1"/>
  <c r="K801" i="7" s="1"/>
  <c r="M801" i="7" s="1"/>
  <c r="I133" i="1"/>
  <c r="K1057" i="7" s="1"/>
  <c r="M1057" i="7" s="1"/>
  <c r="I182" i="1"/>
  <c r="K1449" i="7" s="1"/>
  <c r="M1449" i="7" s="1"/>
  <c r="I226" i="1"/>
  <c r="K1801" i="7" s="1"/>
  <c r="M1801" i="7" s="1"/>
  <c r="I269" i="1"/>
  <c r="K2145" i="7" s="1"/>
  <c r="M2145" i="7" s="1"/>
  <c r="I282" i="1"/>
  <c r="K2249" i="7" s="1"/>
  <c r="M2249" i="7" s="1"/>
  <c r="I333" i="1"/>
  <c r="K2657" i="7" s="1"/>
  <c r="M2657" i="7" s="1"/>
  <c r="I55" i="1"/>
  <c r="K433" i="7" s="1"/>
  <c r="M433" i="7" s="1"/>
  <c r="I85" i="1"/>
  <c r="K673" i="7" s="1"/>
  <c r="M673" i="7" s="1"/>
  <c r="I90" i="1"/>
  <c r="K713" i="7" s="1"/>
  <c r="M713" i="7" s="1"/>
  <c r="I97" i="1"/>
  <c r="K769" i="7" s="1"/>
  <c r="M769" i="7" s="1"/>
  <c r="I119" i="1"/>
  <c r="K945" i="7" s="1"/>
  <c r="M945" i="7" s="1"/>
  <c r="I165" i="1"/>
  <c r="K1313" i="7" s="1"/>
  <c r="M1313" i="7" s="1"/>
  <c r="I289" i="1"/>
  <c r="K2305" i="7" s="1"/>
  <c r="M2305" i="7" s="1"/>
  <c r="I293" i="1"/>
  <c r="K2337" i="7" s="1"/>
  <c r="M2337" i="7" s="1"/>
  <c r="I342" i="1"/>
  <c r="K2729" i="7" s="1"/>
  <c r="M2729" i="7" s="1"/>
  <c r="I353" i="1"/>
  <c r="K2817" i="7" s="1"/>
  <c r="M2817" i="7" s="1"/>
  <c r="I64" i="1"/>
  <c r="K505" i="7" s="1"/>
  <c r="M505" i="7" s="1"/>
  <c r="I149" i="1"/>
  <c r="K1185" i="7" s="1"/>
  <c r="M1185" i="7" s="1"/>
  <c r="I160" i="1"/>
  <c r="K1273" i="7" s="1"/>
  <c r="M1273" i="7" s="1"/>
  <c r="I164" i="1"/>
  <c r="K1305" i="7" s="1"/>
  <c r="M1305" i="7" s="1"/>
  <c r="I218" i="1"/>
  <c r="K1737" i="7" s="1"/>
  <c r="M1737" i="7" s="1"/>
  <c r="I223" i="1"/>
  <c r="K1777" i="7" s="1"/>
  <c r="M1777" i="7" s="1"/>
  <c r="I225" i="1"/>
  <c r="K1793" i="7" s="1"/>
  <c r="M1793" i="7" s="1"/>
  <c r="I241" i="1"/>
  <c r="K1921" i="7" s="1"/>
  <c r="M1921" i="7" s="1"/>
  <c r="I250" i="1"/>
  <c r="K1993" i="7" s="1"/>
  <c r="M1993" i="7" s="1"/>
  <c r="I274" i="1"/>
  <c r="K2185" i="7" s="1"/>
  <c r="M2185" i="7" s="1"/>
  <c r="I302" i="1"/>
  <c r="K2409" i="7" s="1"/>
  <c r="M2409" i="7" s="1"/>
  <c r="I323" i="1"/>
  <c r="K2577" i="7" s="1"/>
  <c r="M2577" i="7" s="1"/>
  <c r="I32" i="1"/>
  <c r="K249" i="7" s="1"/>
  <c r="M249" i="7" s="1"/>
  <c r="I36" i="1"/>
  <c r="K281" i="7" s="1"/>
  <c r="M281" i="7" s="1"/>
  <c r="I40" i="1"/>
  <c r="K313" i="7" s="1"/>
  <c r="M313" i="7" s="1"/>
  <c r="I82" i="1"/>
  <c r="K649" i="7" s="1"/>
  <c r="M649" i="7" s="1"/>
  <c r="I93" i="1"/>
  <c r="K737" i="7" s="1"/>
  <c r="M737" i="7" s="1"/>
  <c r="I203" i="1"/>
  <c r="K1617" i="7" s="1"/>
  <c r="M1617" i="7" s="1"/>
  <c r="I209" i="1"/>
  <c r="K1665" i="7" s="1"/>
  <c r="M1665" i="7" s="1"/>
  <c r="I255" i="1"/>
  <c r="K2033" i="7" s="1"/>
  <c r="M2033" i="7" s="1"/>
  <c r="I330" i="1"/>
  <c r="K2633" i="7" s="1"/>
  <c r="M2633" i="7" s="1"/>
  <c r="I345" i="1"/>
  <c r="K2753" i="7" s="1"/>
  <c r="M2753" i="7" s="1"/>
  <c r="I125" i="1"/>
  <c r="K993" i="7" s="1"/>
  <c r="M993" i="7" s="1"/>
  <c r="I134" i="1"/>
  <c r="K1065" i="7" s="1"/>
  <c r="M1065" i="7" s="1"/>
  <c r="I177" i="1"/>
  <c r="K1409" i="7" s="1"/>
  <c r="M1409" i="7" s="1"/>
  <c r="I334" i="1"/>
  <c r="K2665" i="7" s="1"/>
  <c r="M2665" i="7" s="1"/>
  <c r="I137" i="1"/>
  <c r="K1089" i="7" s="1"/>
  <c r="M1089" i="7" s="1"/>
  <c r="I257" i="1"/>
  <c r="K2049" i="7" s="1"/>
  <c r="M2049" i="7" s="1"/>
  <c r="I273" i="1"/>
  <c r="K2177" i="7" s="1"/>
  <c r="M2177" i="7" s="1"/>
  <c r="I301" i="1"/>
  <c r="K2401" i="7" s="1"/>
  <c r="M2401" i="7" s="1"/>
  <c r="I319" i="1"/>
  <c r="K2545" i="7" s="1"/>
  <c r="M2545" i="7" s="1"/>
  <c r="I339" i="1"/>
  <c r="K2705" i="7" s="1"/>
  <c r="M2705" i="7" s="1"/>
  <c r="I341" i="1"/>
  <c r="K2721" i="7" s="1"/>
  <c r="M2721" i="7" s="1"/>
  <c r="I107" i="1"/>
  <c r="K849" i="7" s="1"/>
  <c r="M849" i="7" s="1"/>
  <c r="I76" i="1"/>
  <c r="K601" i="7" s="1"/>
  <c r="M601" i="7" s="1"/>
  <c r="I141" i="1"/>
  <c r="K1121" i="7" s="1"/>
  <c r="M1121" i="7" s="1"/>
  <c r="I153" i="1"/>
  <c r="K1217" i="7" s="1"/>
  <c r="M1217" i="7" s="1"/>
  <c r="I194" i="1"/>
  <c r="K1545" i="7" s="1"/>
  <c r="M1545" i="7" s="1"/>
  <c r="I211" i="1"/>
  <c r="K1681" i="7" s="1"/>
  <c r="M1681" i="7" s="1"/>
  <c r="I234" i="1"/>
  <c r="K1865" i="7" s="1"/>
  <c r="M1865" i="7" s="1"/>
  <c r="I238" i="1"/>
  <c r="K1897" i="7" s="1"/>
  <c r="M1897" i="7" s="1"/>
  <c r="I314" i="1"/>
  <c r="K2505" i="7" s="1"/>
  <c r="M2505" i="7" s="1"/>
  <c r="I12" i="1"/>
  <c r="K89" i="7" s="1"/>
  <c r="M89" i="7" s="1"/>
  <c r="I28" i="1"/>
  <c r="K217" i="7" s="1"/>
  <c r="M217" i="7" s="1"/>
  <c r="I44" i="1"/>
  <c r="K345" i="7" s="1"/>
  <c r="M345" i="7" s="1"/>
  <c r="I60" i="1"/>
  <c r="K473" i="7" s="1"/>
  <c r="M473" i="7" s="1"/>
  <c r="I78" i="1"/>
  <c r="K617" i="7" s="1"/>
  <c r="M617" i="7" s="1"/>
  <c r="I111" i="1"/>
  <c r="K881" i="7" s="1"/>
  <c r="M881" i="7" s="1"/>
  <c r="I113" i="1"/>
  <c r="K897" i="7" s="1"/>
  <c r="M897" i="7" s="1"/>
  <c r="I117" i="1"/>
  <c r="K929" i="7" s="1"/>
  <c r="M929" i="7" s="1"/>
  <c r="I129" i="1"/>
  <c r="K1025" i="7" s="1"/>
  <c r="M1025" i="7" s="1"/>
  <c r="I307" i="1"/>
  <c r="K2449" i="7" s="1"/>
  <c r="M2449" i="7" s="1"/>
  <c r="I309" i="1"/>
  <c r="K2465" i="7" s="1"/>
  <c r="M2465" i="7" s="1"/>
  <c r="I329" i="1"/>
  <c r="K2625" i="7" s="1"/>
  <c r="M2625" i="7" s="1"/>
  <c r="I27" i="1"/>
  <c r="K209" i="7" s="1"/>
  <c r="M209" i="7" s="1"/>
  <c r="I43" i="1"/>
  <c r="K337" i="7" s="1"/>
  <c r="M337" i="7" s="1"/>
  <c r="I59" i="1"/>
  <c r="K465" i="7" s="1"/>
  <c r="M465" i="7" s="1"/>
  <c r="I140" i="1"/>
  <c r="K1113" i="7" s="1"/>
  <c r="M1113" i="7" s="1"/>
  <c r="I152" i="1"/>
  <c r="K1209" i="7" s="1"/>
  <c r="M1209" i="7" s="1"/>
  <c r="I179" i="1"/>
  <c r="K1425" i="7" s="1"/>
  <c r="M1425" i="7" s="1"/>
  <c r="I202" i="1"/>
  <c r="K1609" i="7" s="1"/>
  <c r="M1609" i="7" s="1"/>
  <c r="I215" i="1"/>
  <c r="K1713" i="7" s="1"/>
  <c r="M1713" i="7" s="1"/>
  <c r="I231" i="1"/>
  <c r="K1841" i="7" s="1"/>
  <c r="M1841" i="7" s="1"/>
  <c r="I279" i="1"/>
  <c r="K2225" i="7" s="1"/>
  <c r="M2225" i="7" s="1"/>
  <c r="I322" i="1"/>
  <c r="K2569" i="7" s="1"/>
  <c r="M2569" i="7" s="1"/>
  <c r="I357" i="1"/>
  <c r="K2849" i="7" s="1"/>
  <c r="M2849" i="7" s="1"/>
  <c r="I102" i="1"/>
  <c r="K809" i="7" s="1"/>
  <c r="M809" i="7" s="1"/>
  <c r="I191" i="1"/>
  <c r="K1521" i="7" s="1"/>
  <c r="M1521" i="7" s="1"/>
  <c r="I217" i="1"/>
  <c r="K1729" i="7" s="1"/>
  <c r="M1729" i="7" s="1"/>
  <c r="I221" i="1"/>
  <c r="K1761" i="7" s="1"/>
  <c r="M1761" i="7" s="1"/>
  <c r="I229" i="1"/>
  <c r="K1825" i="7" s="1"/>
  <c r="M1825" i="7" s="1"/>
  <c r="I281" i="1"/>
  <c r="K2241" i="7" s="1"/>
  <c r="M2241" i="7" s="1"/>
  <c r="I311" i="1"/>
  <c r="K2481" i="7" s="1"/>
  <c r="M2481" i="7" s="1"/>
  <c r="I313" i="1"/>
  <c r="K2497" i="7" s="1"/>
  <c r="M2497" i="7" s="1"/>
  <c r="I11" i="1"/>
  <c r="K81" i="7" s="1"/>
  <c r="M81" i="7" s="1"/>
  <c r="I75" i="1"/>
  <c r="K593" i="7" s="1"/>
  <c r="M593" i="7" s="1"/>
  <c r="I145" i="1"/>
  <c r="K1153" i="7" s="1"/>
  <c r="M1153" i="7" s="1"/>
  <c r="I287" i="1"/>
  <c r="K2289" i="7" s="1"/>
  <c r="M2289" i="7" s="1"/>
  <c r="I105" i="1"/>
  <c r="K833" i="7" s="1"/>
  <c r="M833" i="7" s="1"/>
  <c r="I213" i="1"/>
  <c r="K1697" i="7" s="1"/>
  <c r="M1697" i="7" s="1"/>
  <c r="I239" i="1"/>
  <c r="K1905" i="7" s="1"/>
  <c r="M1905" i="7" s="1"/>
  <c r="I315" i="1"/>
  <c r="K2513" i="7" s="1"/>
  <c r="M2513" i="7" s="1"/>
  <c r="I317" i="1"/>
  <c r="K2529" i="7" s="1"/>
  <c r="M2529" i="7" s="1"/>
  <c r="I271" i="1"/>
  <c r="K2161" i="7" s="1"/>
  <c r="M2161" i="7" s="1"/>
  <c r="I359" i="1"/>
  <c r="K2865" i="7" s="1"/>
  <c r="M2865" i="7" s="1"/>
  <c r="I184" i="1"/>
  <c r="K1465" i="7" s="1"/>
  <c r="M1465" i="7" s="1"/>
  <c r="I190" i="1"/>
  <c r="K1513" i="7" s="1"/>
  <c r="M1513" i="7" s="1"/>
  <c r="I253" i="1"/>
  <c r="K2017" i="7" s="1"/>
  <c r="M2017" i="7" s="1"/>
  <c r="I2" i="1"/>
  <c r="K9" i="7" s="1"/>
  <c r="M9" i="7" s="1"/>
  <c r="I10" i="1"/>
  <c r="K73" i="7" s="1"/>
  <c r="M73" i="7" s="1"/>
  <c r="I18" i="1"/>
  <c r="K137" i="7" s="1"/>
  <c r="M137" i="7" s="1"/>
  <c r="I30" i="1"/>
  <c r="K233" i="7" s="1"/>
  <c r="M233" i="7" s="1"/>
  <c r="I34" i="1"/>
  <c r="K265" i="7" s="1"/>
  <c r="M265" i="7" s="1"/>
  <c r="I38" i="1"/>
  <c r="K297" i="7" s="1"/>
  <c r="M297" i="7" s="1"/>
  <c r="I42" i="1"/>
  <c r="K329" i="7" s="1"/>
  <c r="M329" i="7" s="1"/>
  <c r="I46" i="1"/>
  <c r="K361" i="7" s="1"/>
  <c r="M361" i="7" s="1"/>
  <c r="I50" i="1"/>
  <c r="K393" i="7" s="1"/>
  <c r="M393" i="7" s="1"/>
  <c r="I54" i="1"/>
  <c r="K425" i="7" s="1"/>
  <c r="M425" i="7" s="1"/>
  <c r="I58" i="1"/>
  <c r="K457" i="7" s="1"/>
  <c r="M457" i="7" s="1"/>
  <c r="I62" i="1"/>
  <c r="K489" i="7" s="1"/>
  <c r="M489" i="7" s="1"/>
  <c r="I66" i="1"/>
  <c r="K521" i="7" s="1"/>
  <c r="M521" i="7" s="1"/>
  <c r="I70" i="1"/>
  <c r="K553" i="7" s="1"/>
  <c r="M553" i="7" s="1"/>
  <c r="I74" i="1"/>
  <c r="K585" i="7" s="1"/>
  <c r="M585" i="7" s="1"/>
  <c r="I95" i="1"/>
  <c r="K753" i="7" s="1"/>
  <c r="M753" i="7" s="1"/>
  <c r="I98" i="1"/>
  <c r="K777" i="7" s="1"/>
  <c r="M777" i="7" s="1"/>
  <c r="I127" i="1"/>
  <c r="K1009" i="7" s="1"/>
  <c r="M1009" i="7" s="1"/>
  <c r="I130" i="1"/>
  <c r="K1033" i="7" s="1"/>
  <c r="M1033" i="7" s="1"/>
  <c r="I201" i="1"/>
  <c r="K1601" i="7" s="1"/>
  <c r="M1601" i="7" s="1"/>
  <c r="I219" i="1"/>
  <c r="K1745" i="7" s="1"/>
  <c r="M1745" i="7" s="1"/>
  <c r="I305" i="1"/>
  <c r="K2433" i="7" s="1"/>
  <c r="M2433" i="7" s="1"/>
  <c r="I187" i="1"/>
  <c r="K1489" i="7" s="1"/>
  <c r="M1489" i="7" s="1"/>
  <c r="I6" i="1"/>
  <c r="K41" i="7" s="1"/>
  <c r="M41" i="7" s="1"/>
  <c r="I14" i="1"/>
  <c r="K105" i="7" s="1"/>
  <c r="M105" i="7" s="1"/>
  <c r="I22" i="1"/>
  <c r="K169" i="7" s="1"/>
  <c r="M169" i="7" s="1"/>
  <c r="I26" i="1"/>
  <c r="K201" i="7" s="1"/>
  <c r="M201" i="7" s="1"/>
  <c r="I83" i="1"/>
  <c r="K657" i="7" s="1"/>
  <c r="M657" i="7" s="1"/>
  <c r="I86" i="1"/>
  <c r="K681" i="7" s="1"/>
  <c r="M681" i="7" s="1"/>
  <c r="I89" i="1"/>
  <c r="K705" i="7" s="1"/>
  <c r="M705" i="7" s="1"/>
  <c r="I115" i="1"/>
  <c r="K913" i="7" s="1"/>
  <c r="M913" i="7" s="1"/>
  <c r="I118" i="1"/>
  <c r="K937" i="7" s="1"/>
  <c r="M937" i="7" s="1"/>
  <c r="I121" i="1"/>
  <c r="K961" i="7" s="1"/>
  <c r="M961" i="7" s="1"/>
  <c r="I138" i="1"/>
  <c r="K1097" i="7" s="1"/>
  <c r="M1097" i="7" s="1"/>
  <c r="I146" i="1"/>
  <c r="K1161" i="7" s="1"/>
  <c r="M1161" i="7" s="1"/>
  <c r="I154" i="1"/>
  <c r="K1225" i="7" s="1"/>
  <c r="M1225" i="7" s="1"/>
  <c r="I162" i="1"/>
  <c r="K1289" i="7" s="1"/>
  <c r="M1289" i="7" s="1"/>
  <c r="I181" i="1"/>
  <c r="K1441" i="7" s="1"/>
  <c r="M1441" i="7" s="1"/>
  <c r="I236" i="1"/>
  <c r="K1881" i="7" s="1"/>
  <c r="M1881" i="7" s="1"/>
  <c r="I242" i="1"/>
  <c r="K1929" i="7" s="1"/>
  <c r="M1929" i="7" s="1"/>
  <c r="I268" i="1"/>
  <c r="K2137" i="7" s="1"/>
  <c r="M2137" i="7" s="1"/>
  <c r="I77" i="1"/>
  <c r="K609" i="7" s="1"/>
  <c r="M609" i="7" s="1"/>
  <c r="I109" i="1"/>
  <c r="K865" i="7" s="1"/>
  <c r="M865" i="7" s="1"/>
  <c r="I189" i="1"/>
  <c r="K1505" i="7" s="1"/>
  <c r="M1505" i="7" s="1"/>
  <c r="I169" i="1"/>
  <c r="K1345" i="7" s="1"/>
  <c r="M1345" i="7" s="1"/>
  <c r="I216" i="1"/>
  <c r="K1721" i="7" s="1"/>
  <c r="M1721" i="7" s="1"/>
  <c r="I222" i="1"/>
  <c r="K1769" i="7" s="1"/>
  <c r="M1769" i="7" s="1"/>
  <c r="I233" i="1"/>
  <c r="K1857" i="7" s="1"/>
  <c r="M1857" i="7" s="1"/>
  <c r="I265" i="1"/>
  <c r="K2113" i="7" s="1"/>
  <c r="M2113" i="7" s="1"/>
  <c r="I285" i="1"/>
  <c r="K2273" i="7" s="1"/>
  <c r="M2273" i="7" s="1"/>
  <c r="I297" i="1"/>
  <c r="K2369" i="7" s="1"/>
  <c r="M2369" i="7" s="1"/>
  <c r="I321" i="1"/>
  <c r="K2561" i="7" s="1"/>
  <c r="M2561" i="7" s="1"/>
  <c r="I331" i="1"/>
  <c r="K2641" i="7" s="1"/>
  <c r="M2641" i="7" s="1"/>
  <c r="I343" i="1"/>
  <c r="K2737" i="7" s="1"/>
  <c r="M2737" i="7" s="1"/>
  <c r="I173" i="1"/>
  <c r="K1377" i="7" s="1"/>
  <c r="M1377" i="7" s="1"/>
  <c r="I205" i="1"/>
  <c r="K1633" i="7" s="1"/>
  <c r="M1633" i="7" s="1"/>
  <c r="I237" i="1"/>
  <c r="K1889" i="7" s="1"/>
  <c r="M1889" i="7" s="1"/>
  <c r="I251" i="1"/>
  <c r="K2001" i="7" s="1"/>
  <c r="M2001" i="7" s="1"/>
  <c r="I254" i="1"/>
  <c r="K2025" i="7" s="1"/>
  <c r="M2025" i="7" s="1"/>
  <c r="I283" i="1"/>
  <c r="K2257" i="7" s="1"/>
  <c r="M2257" i="7" s="1"/>
  <c r="I245" i="1"/>
  <c r="K1953" i="7" s="1"/>
  <c r="M1953" i="7" s="1"/>
  <c r="I277" i="1"/>
  <c r="K2209" i="7" s="1"/>
  <c r="M2209" i="7" s="1"/>
  <c r="I303" i="1"/>
  <c r="K2417" i="7" s="1"/>
  <c r="M2417" i="7" s="1"/>
  <c r="I325" i="1"/>
  <c r="K2593" i="7" s="1"/>
  <c r="M2593" i="7" s="1"/>
  <c r="I335" i="1"/>
  <c r="K2673" i="7" s="1"/>
  <c r="M2673" i="7" s="1"/>
  <c r="I347" i="1"/>
  <c r="K2769" i="7" s="1"/>
  <c r="M2769" i="7" s="1"/>
  <c r="I351" i="1"/>
  <c r="K2801" i="7" s="1"/>
  <c r="M2801" i="7" s="1"/>
  <c r="I327" i="1"/>
  <c r="K2609" i="7" s="1"/>
  <c r="M2609" i="7" s="1"/>
  <c r="I355" i="1"/>
  <c r="K2833" i="7" s="1"/>
  <c r="M2833" i="7" s="1"/>
  <c r="I361" i="1"/>
  <c r="K2881" i="7" s="1"/>
  <c r="M2881" i="7" s="1"/>
  <c r="F376" i="12" l="1"/>
  <c r="F377" i="12"/>
  <c r="F377" i="11"/>
  <c r="F376" i="11"/>
  <c r="F376" i="10"/>
  <c r="H376" i="10" s="1"/>
  <c r="I376" i="10" s="1"/>
  <c r="F377" i="10"/>
  <c r="H377" i="10" s="1"/>
  <c r="I377" i="10" s="1"/>
  <c r="G2852" i="7"/>
  <c r="J2852" i="7" s="1"/>
  <c r="G2850" i="7"/>
  <c r="L2850" i="7" s="1"/>
  <c r="G2857" i="7"/>
  <c r="J2857" i="7" s="1"/>
  <c r="G2855" i="7"/>
  <c r="L2855" i="7" s="1"/>
  <c r="H358" i="1"/>
  <c r="L2851" i="7"/>
  <c r="G2854" i="7"/>
  <c r="J2854" i="7" s="1"/>
  <c r="G2853" i="7"/>
  <c r="J2853" i="7" s="1"/>
  <c r="G2856" i="7"/>
  <c r="L2856" i="7" s="1"/>
  <c r="J358" i="1"/>
  <c r="E357" i="1"/>
  <c r="G2849" i="7" s="1"/>
  <c r="L2874" i="7"/>
  <c r="L2877" i="7"/>
  <c r="L2873" i="7"/>
  <c r="L2881" i="7"/>
  <c r="L2866" i="7"/>
  <c r="L2858" i="7"/>
  <c r="J2879" i="7"/>
  <c r="L2880" i="7"/>
  <c r="J2880" i="7"/>
  <c r="J2876" i="7"/>
  <c r="J2881" i="7"/>
  <c r="J2878" i="7"/>
  <c r="L2878" i="7"/>
  <c r="L2862" i="7"/>
  <c r="L2864" i="7"/>
  <c r="L2871" i="7"/>
  <c r="J2869" i="7"/>
  <c r="J2871" i="7"/>
  <c r="J2866" i="7"/>
  <c r="L2868" i="7"/>
  <c r="J2872" i="7"/>
  <c r="L2867" i="7"/>
  <c r="J2867" i="7"/>
  <c r="J2873" i="7"/>
  <c r="J2870" i="7"/>
  <c r="L2872" i="7"/>
  <c r="L2870" i="7"/>
  <c r="J2865" i="7"/>
  <c r="L2861" i="7"/>
  <c r="J2863" i="7"/>
  <c r="J2858" i="7"/>
  <c r="L2859" i="7"/>
  <c r="L2863" i="7"/>
  <c r="J2860" i="7"/>
  <c r="L2860" i="7"/>
  <c r="F1320" i="7"/>
  <c r="I1320" i="7" s="1"/>
  <c r="F1321" i="7"/>
  <c r="I1321" i="7" s="1"/>
  <c r="F376" i="7"/>
  <c r="I376" i="7" s="1"/>
  <c r="F377" i="7"/>
  <c r="I377" i="7" s="1"/>
  <c r="F2008" i="7"/>
  <c r="I2008" i="7" s="1"/>
  <c r="F2009" i="7"/>
  <c r="I2009" i="7" s="1"/>
  <c r="F1856" i="7"/>
  <c r="I1856" i="7" s="1"/>
  <c r="F1857" i="7"/>
  <c r="I1857" i="7" s="1"/>
  <c r="F1136" i="7"/>
  <c r="I1136" i="7" s="1"/>
  <c r="F1137" i="7"/>
  <c r="I1137" i="7" s="1"/>
  <c r="F1512" i="7"/>
  <c r="I1512" i="7" s="1"/>
  <c r="F1513" i="7"/>
  <c r="I1513" i="7" s="1"/>
  <c r="F1696" i="7"/>
  <c r="I1696" i="7" s="1"/>
  <c r="F1697" i="7"/>
  <c r="I1697" i="7" s="1"/>
  <c r="F2328" i="7"/>
  <c r="I2328" i="7" s="1"/>
  <c r="F2329" i="7"/>
  <c r="I2329" i="7" s="1"/>
  <c r="F544" i="7"/>
  <c r="I544" i="7" s="1"/>
  <c r="F545" i="7"/>
  <c r="I545" i="7" s="1"/>
  <c r="F2808" i="7"/>
  <c r="I2808" i="7" s="1"/>
  <c r="F2809" i="7"/>
  <c r="I2809" i="7" s="1"/>
  <c r="F2440" i="7"/>
  <c r="I2440" i="7" s="1"/>
  <c r="F2441" i="7"/>
  <c r="I2441" i="7" s="1"/>
  <c r="F1128" i="7"/>
  <c r="I1128" i="7" s="1"/>
  <c r="F1129" i="7"/>
  <c r="I1129" i="7" s="1"/>
  <c r="F624" i="7"/>
  <c r="I624" i="7" s="1"/>
  <c r="F625" i="7"/>
  <c r="I625" i="7" s="1"/>
  <c r="F952" i="7"/>
  <c r="I952" i="7" s="1"/>
  <c r="F953" i="7"/>
  <c r="I953" i="7" s="1"/>
  <c r="F1256" i="7"/>
  <c r="I1256" i="7" s="1"/>
  <c r="F1257" i="7"/>
  <c r="I1257" i="7" s="1"/>
  <c r="F1168" i="7"/>
  <c r="I1168" i="7" s="1"/>
  <c r="F1169" i="7"/>
  <c r="I1169" i="7" s="1"/>
  <c r="F1328" i="7"/>
  <c r="I1328" i="7" s="1"/>
  <c r="F1329" i="7"/>
  <c r="I1329" i="7" s="1"/>
  <c r="F480" i="7"/>
  <c r="I480" i="7" s="1"/>
  <c r="F481" i="7"/>
  <c r="I481" i="7" s="1"/>
  <c r="F1968" i="7"/>
  <c r="I1968" i="7" s="1"/>
  <c r="F1969" i="7"/>
  <c r="I1969" i="7" s="1"/>
  <c r="F128" i="7"/>
  <c r="I128" i="7" s="1"/>
  <c r="F129" i="7"/>
  <c r="I129" i="7" s="1"/>
  <c r="F2536" i="7"/>
  <c r="I2536" i="7" s="1"/>
  <c r="F2537" i="7"/>
  <c r="I2537" i="7" s="1"/>
  <c r="F440" i="7"/>
  <c r="I440" i="7" s="1"/>
  <c r="F441" i="7"/>
  <c r="I441" i="7" s="1"/>
  <c r="F760" i="7"/>
  <c r="I760" i="7" s="1"/>
  <c r="F761" i="7"/>
  <c r="I761" i="7" s="1"/>
  <c r="F1336" i="7"/>
  <c r="I1336" i="7" s="1"/>
  <c r="F1337" i="7"/>
  <c r="I1337" i="7" s="1"/>
  <c r="F272" i="7"/>
  <c r="I272" i="7" s="1"/>
  <c r="F273" i="7"/>
  <c r="I273" i="7" s="1"/>
  <c r="F1600" i="7"/>
  <c r="I1600" i="7" s="1"/>
  <c r="F1601" i="7"/>
  <c r="I1601" i="7" s="1"/>
  <c r="F1464" i="7"/>
  <c r="I1464" i="7" s="1"/>
  <c r="F1465" i="7"/>
  <c r="I1465" i="7" s="1"/>
  <c r="F2528" i="7"/>
  <c r="I2528" i="7" s="1"/>
  <c r="F2529" i="7"/>
  <c r="I2529" i="7" s="1"/>
  <c r="F1000" i="7"/>
  <c r="I1000" i="7" s="1"/>
  <c r="F1001" i="7"/>
  <c r="I1001" i="7" s="1"/>
  <c r="F2520" i="7"/>
  <c r="I2520" i="7" s="1"/>
  <c r="F2521" i="7"/>
  <c r="I2521" i="7" s="1"/>
  <c r="F416" i="7"/>
  <c r="I416" i="7" s="1"/>
  <c r="F417" i="7"/>
  <c r="I417" i="7" s="1"/>
  <c r="F2760" i="7"/>
  <c r="I2760" i="7" s="1"/>
  <c r="F2761" i="7"/>
  <c r="I2761" i="7" s="1"/>
  <c r="F1936" i="7"/>
  <c r="I1936" i="7" s="1"/>
  <c r="F1937" i="7"/>
  <c r="I1937" i="7" s="1"/>
  <c r="F1104" i="7"/>
  <c r="I1104" i="7" s="1"/>
  <c r="F1105" i="7"/>
  <c r="I1105" i="7" s="1"/>
  <c r="F496" i="7"/>
  <c r="I496" i="7" s="1"/>
  <c r="F497" i="7"/>
  <c r="I497" i="7" s="1"/>
  <c r="F664" i="7"/>
  <c r="I664" i="7" s="1"/>
  <c r="F665" i="7"/>
  <c r="I665" i="7" s="1"/>
  <c r="F352" i="7"/>
  <c r="I352" i="7" s="1"/>
  <c r="F353" i="7"/>
  <c r="I353" i="7" s="1"/>
  <c r="F400" i="7"/>
  <c r="I400" i="7" s="1"/>
  <c r="F401" i="7"/>
  <c r="I401" i="7" s="1"/>
  <c r="F2192" i="7"/>
  <c r="I2192" i="7" s="1"/>
  <c r="F2193" i="7"/>
  <c r="I2193" i="7" s="1"/>
  <c r="F2352" i="7"/>
  <c r="I2352" i="7" s="1"/>
  <c r="F2353" i="7"/>
  <c r="I2353" i="7" s="1"/>
  <c r="F48" i="7"/>
  <c r="I48" i="7" s="1"/>
  <c r="F49" i="7"/>
  <c r="I49" i="7" s="1"/>
  <c r="F2360" i="7"/>
  <c r="I2360" i="7" s="1"/>
  <c r="F2361" i="7"/>
  <c r="I2361" i="7" s="1"/>
  <c r="F2696" i="7"/>
  <c r="I2696" i="7" s="1"/>
  <c r="F2697" i="7"/>
  <c r="I2697" i="7" s="1"/>
  <c r="F824" i="7"/>
  <c r="I824" i="7" s="1"/>
  <c r="F825" i="7"/>
  <c r="I825" i="7" s="1"/>
  <c r="F2488" i="7"/>
  <c r="I2488" i="7" s="1"/>
  <c r="F2489" i="7"/>
  <c r="I2489" i="7" s="1"/>
  <c r="F1200" i="7"/>
  <c r="I1200" i="7" s="1"/>
  <c r="F1201" i="7"/>
  <c r="I1201" i="7" s="1"/>
  <c r="F2744" i="7"/>
  <c r="I2744" i="7" s="1"/>
  <c r="F2745" i="7"/>
  <c r="I2745" i="7" s="1"/>
  <c r="F2680" i="7"/>
  <c r="I2680" i="7" s="1"/>
  <c r="F2681" i="7"/>
  <c r="I2681" i="7" s="1"/>
  <c r="F2088" i="7"/>
  <c r="I2088" i="7" s="1"/>
  <c r="F2089" i="7"/>
  <c r="I2089" i="7" s="1"/>
  <c r="F1432" i="7"/>
  <c r="I1432" i="7" s="1"/>
  <c r="F1433" i="7"/>
  <c r="I1433" i="7" s="1"/>
  <c r="F1296" i="7"/>
  <c r="I1296" i="7" s="1"/>
  <c r="F1297" i="7"/>
  <c r="I1297" i="7" s="1"/>
  <c r="F2800" i="7"/>
  <c r="I2800" i="7" s="1"/>
  <c r="F2801" i="7"/>
  <c r="I2801" i="7" s="1"/>
  <c r="F632" i="7"/>
  <c r="I632" i="7" s="1"/>
  <c r="F633" i="7"/>
  <c r="I633" i="7" s="1"/>
  <c r="F728" i="7"/>
  <c r="I728" i="7" s="1"/>
  <c r="F729" i="7"/>
  <c r="I729" i="7" s="1"/>
  <c r="F1752" i="7"/>
  <c r="I1752" i="7" s="1"/>
  <c r="F1753" i="7"/>
  <c r="I1753" i="7" s="1"/>
  <c r="F2368" i="7"/>
  <c r="I2368" i="7" s="1"/>
  <c r="F2369" i="7"/>
  <c r="I2369" i="7" s="1"/>
  <c r="F1768" i="7"/>
  <c r="I1768" i="7" s="1"/>
  <c r="F1769" i="7"/>
  <c r="I1769" i="7" s="1"/>
  <c r="F1440" i="7"/>
  <c r="I1440" i="7" s="1"/>
  <c r="F1441" i="7"/>
  <c r="I1441" i="7" s="1"/>
  <c r="F1488" i="7"/>
  <c r="I1488" i="7" s="1"/>
  <c r="F1489" i="7"/>
  <c r="I1489" i="7" s="1"/>
  <c r="F976" i="7"/>
  <c r="I976" i="7" s="1"/>
  <c r="F977" i="7"/>
  <c r="I977" i="7" s="1"/>
  <c r="F2072" i="7"/>
  <c r="I2072" i="7" s="1"/>
  <c r="F2073" i="7"/>
  <c r="I2073" i="7" s="1"/>
  <c r="F2392" i="7"/>
  <c r="I2392" i="7" s="1"/>
  <c r="F2393" i="7"/>
  <c r="I2393" i="7" s="1"/>
  <c r="F288" i="7"/>
  <c r="I288" i="7" s="1"/>
  <c r="F289" i="7"/>
  <c r="I289" i="7" s="1"/>
  <c r="F2384" i="7"/>
  <c r="I2384" i="7" s="1"/>
  <c r="F2385" i="7"/>
  <c r="I2385" i="7" s="1"/>
  <c r="F1688" i="7"/>
  <c r="I1688" i="7" s="1"/>
  <c r="F1689" i="7"/>
  <c r="I1689" i="7" s="1"/>
  <c r="F368" i="7"/>
  <c r="I368" i="7" s="1"/>
  <c r="F369" i="7"/>
  <c r="I369" i="7" s="1"/>
  <c r="F2712" i="7"/>
  <c r="I2712" i="7" s="1"/>
  <c r="F2713" i="7"/>
  <c r="I2713" i="7" s="1"/>
  <c r="F176" i="7"/>
  <c r="I176" i="7" s="1"/>
  <c r="F177" i="7"/>
  <c r="I177" i="7" s="1"/>
  <c r="F2040" i="7"/>
  <c r="I2040" i="7" s="1"/>
  <c r="F2041" i="7"/>
  <c r="I2041" i="7" s="1"/>
  <c r="F1232" i="7"/>
  <c r="I1232" i="7" s="1"/>
  <c r="F1233" i="7"/>
  <c r="I1233" i="7" s="1"/>
  <c r="F224" i="7"/>
  <c r="I224" i="7" s="1"/>
  <c r="F225" i="7"/>
  <c r="I225" i="7" s="1"/>
  <c r="F2064" i="7"/>
  <c r="I2064" i="7" s="1"/>
  <c r="F2065" i="7"/>
  <c r="I2065" i="7" s="1"/>
  <c r="F2096" i="7"/>
  <c r="I2096" i="7" s="1"/>
  <c r="F2097" i="7"/>
  <c r="I2097" i="7" s="1"/>
  <c r="F784" i="7"/>
  <c r="I784" i="7" s="1"/>
  <c r="F785" i="7"/>
  <c r="I785" i="7" s="1"/>
  <c r="F96" i="7"/>
  <c r="I96" i="7" s="1"/>
  <c r="F97" i="7"/>
  <c r="I97" i="7" s="1"/>
  <c r="F576" i="7"/>
  <c r="I576" i="7" s="1"/>
  <c r="F577" i="7"/>
  <c r="I577" i="7" s="1"/>
  <c r="F1400" i="7"/>
  <c r="I1400" i="7" s="1"/>
  <c r="F1401" i="7"/>
  <c r="I1401" i="7" s="1"/>
  <c r="F2232" i="7"/>
  <c r="I2232" i="7" s="1"/>
  <c r="F2233" i="7"/>
  <c r="I2233" i="7" s="1"/>
  <c r="F1720" i="7"/>
  <c r="I1720" i="7" s="1"/>
  <c r="F1721" i="7"/>
  <c r="I1721" i="7" s="1"/>
  <c r="F1344" i="7"/>
  <c r="I1344" i="7" s="1"/>
  <c r="F1345" i="7"/>
  <c r="I1345" i="7" s="1"/>
  <c r="F2136" i="7"/>
  <c r="I2136" i="7" s="1"/>
  <c r="F2137" i="7"/>
  <c r="I2137" i="7" s="1"/>
  <c r="F2864" i="7"/>
  <c r="I2864" i="7" s="1"/>
  <c r="F2865" i="7"/>
  <c r="I2865" i="7" s="1"/>
  <c r="F2512" i="7"/>
  <c r="I2512" i="7" s="1"/>
  <c r="F2513" i="7"/>
  <c r="I2513" i="7" s="1"/>
  <c r="F840" i="7"/>
  <c r="I840" i="7" s="1"/>
  <c r="F841" i="7"/>
  <c r="I841" i="7" s="1"/>
  <c r="F2296" i="7"/>
  <c r="I2296" i="7" s="1"/>
  <c r="F2297" i="7"/>
  <c r="I2297" i="7" s="1"/>
  <c r="F160" i="7"/>
  <c r="I160" i="7" s="1"/>
  <c r="F161" i="7"/>
  <c r="I161" i="7" s="1"/>
  <c r="F2344" i="7"/>
  <c r="I2344" i="7" s="1"/>
  <c r="F2345" i="7"/>
  <c r="I2345" i="7" s="1"/>
  <c r="F1584" i="7"/>
  <c r="I1584" i="7" s="1"/>
  <c r="F1585" i="7"/>
  <c r="I1585" i="7" s="1"/>
  <c r="F1048" i="7"/>
  <c r="I1048" i="7" s="1"/>
  <c r="F1049" i="7"/>
  <c r="I1049" i="7" s="1"/>
  <c r="F240" i="7"/>
  <c r="I240" i="7" s="1"/>
  <c r="F241" i="7"/>
  <c r="I241" i="7" s="1"/>
  <c r="F2648" i="7"/>
  <c r="I2648" i="7" s="1"/>
  <c r="F2649" i="7"/>
  <c r="I2649" i="7" s="1"/>
  <c r="F448" i="7"/>
  <c r="I448" i="7" s="1"/>
  <c r="F449" i="7"/>
  <c r="I449" i="7" s="1"/>
  <c r="F1592" i="7"/>
  <c r="I1592" i="7" s="1"/>
  <c r="F1593" i="7"/>
  <c r="I1593" i="7" s="1"/>
  <c r="F1816" i="7"/>
  <c r="I1816" i="7" s="1"/>
  <c r="F1817" i="7"/>
  <c r="I1817" i="7" s="1"/>
  <c r="F64" i="7"/>
  <c r="I64" i="7" s="1"/>
  <c r="F65" i="7"/>
  <c r="I65" i="7" s="1"/>
  <c r="F1960" i="7"/>
  <c r="I1960" i="7" s="1"/>
  <c r="F1961" i="7"/>
  <c r="I1961" i="7" s="1"/>
  <c r="F1040" i="7"/>
  <c r="I1040" i="7" s="1"/>
  <c r="F1041" i="7"/>
  <c r="I1041" i="7" s="1"/>
  <c r="F56" i="7"/>
  <c r="I56" i="7" s="1"/>
  <c r="F57" i="7"/>
  <c r="I57" i="7" s="1"/>
  <c r="F2264" i="7"/>
  <c r="I2264" i="7" s="1"/>
  <c r="F2265" i="7"/>
  <c r="I2265" i="7" s="1"/>
  <c r="F1368" i="7"/>
  <c r="I1368" i="7" s="1"/>
  <c r="F1369" i="7"/>
  <c r="I1369" i="7" s="1"/>
  <c r="F1744" i="7"/>
  <c r="I1744" i="7" s="1"/>
  <c r="F1745" i="7"/>
  <c r="I1745" i="7" s="1"/>
  <c r="F2456" i="7"/>
  <c r="I2456" i="7" s="1"/>
  <c r="F2457" i="7"/>
  <c r="I2457" i="7" s="1"/>
  <c r="F688" i="7"/>
  <c r="I688" i="7" s="1"/>
  <c r="F689" i="7"/>
  <c r="I689" i="7" s="1"/>
  <c r="F920" i="7"/>
  <c r="I920" i="7" s="1"/>
  <c r="F921" i="7"/>
  <c r="I921" i="7" s="1"/>
  <c r="F1976" i="7"/>
  <c r="I1976" i="7" s="1"/>
  <c r="F1977" i="7"/>
  <c r="I1977" i="7" s="1"/>
  <c r="F1784" i="7"/>
  <c r="I1784" i="7" s="1"/>
  <c r="F1785" i="7"/>
  <c r="I1785" i="7" s="1"/>
  <c r="F2432" i="7"/>
  <c r="I2432" i="7" s="1"/>
  <c r="F2433" i="7"/>
  <c r="I2433" i="7" s="1"/>
  <c r="F1944" i="7"/>
  <c r="I1944" i="7" s="1"/>
  <c r="F1945" i="7"/>
  <c r="I1945" i="7" s="1"/>
  <c r="F2616" i="7"/>
  <c r="I2616" i="7" s="1"/>
  <c r="F2617" i="7"/>
  <c r="I2617" i="7" s="1"/>
  <c r="F112" i="7"/>
  <c r="I112" i="7" s="1"/>
  <c r="F113" i="7"/>
  <c r="I113" i="7" s="1"/>
  <c r="F888" i="7"/>
  <c r="I888" i="7" s="1"/>
  <c r="F889" i="7"/>
  <c r="I889" i="7" s="1"/>
  <c r="F1880" i="7"/>
  <c r="I1880" i="7" s="1"/>
  <c r="F1881" i="7"/>
  <c r="I1881" i="7" s="1"/>
  <c r="F1240" i="7"/>
  <c r="I1240" i="7" s="1"/>
  <c r="F1241" i="7"/>
  <c r="I1241" i="7" s="1"/>
  <c r="F1560" i="7"/>
  <c r="I1560" i="7" s="1"/>
  <c r="F1561" i="7"/>
  <c r="I1561" i="7" s="1"/>
  <c r="F2424" i="7"/>
  <c r="I2424" i="7" s="1"/>
  <c r="F2425" i="7"/>
  <c r="I2425" i="7" s="1"/>
  <c r="F2272" i="7"/>
  <c r="I2272" i="7" s="1"/>
  <c r="F2273" i="7"/>
  <c r="I2273" i="7" s="1"/>
  <c r="F1848" i="7"/>
  <c r="I1848" i="7" s="1"/>
  <c r="F1849" i="7"/>
  <c r="I1849" i="7" s="1"/>
  <c r="F32" i="7"/>
  <c r="I32" i="7" s="1"/>
  <c r="F33" i="7"/>
  <c r="I33" i="7" s="1"/>
  <c r="F1456" i="7"/>
  <c r="I1456" i="7" s="1"/>
  <c r="F1457" i="7"/>
  <c r="I1457" i="7" s="1"/>
  <c r="F16" i="7"/>
  <c r="I16" i="7" s="1"/>
  <c r="F17" i="7"/>
  <c r="I17" i="7" s="1"/>
  <c r="F1072" i="7"/>
  <c r="I1072" i="7" s="1"/>
  <c r="F1073" i="7"/>
  <c r="I1073" i="7" s="1"/>
  <c r="F24" i="7"/>
  <c r="I24" i="7" s="1"/>
  <c r="F25" i="7"/>
  <c r="I25" i="7" s="1"/>
  <c r="F2768" i="7"/>
  <c r="I2768" i="7" s="1"/>
  <c r="F2769" i="7"/>
  <c r="I2769" i="7" s="1"/>
  <c r="F1648" i="7"/>
  <c r="I1648" i="7" s="1"/>
  <c r="F1649" i="7"/>
  <c r="I1649" i="7" s="1"/>
  <c r="F1576" i="7"/>
  <c r="I1576" i="7" s="1"/>
  <c r="F1577" i="7"/>
  <c r="I1577" i="7" s="1"/>
  <c r="F1808" i="7"/>
  <c r="I1808" i="7" s="1"/>
  <c r="F1809" i="7"/>
  <c r="I1809" i="7" s="1"/>
  <c r="F1904" i="7"/>
  <c r="I1904" i="7" s="1"/>
  <c r="F1905" i="7"/>
  <c r="I1905" i="7" s="1"/>
  <c r="F720" i="7"/>
  <c r="I720" i="7" s="1"/>
  <c r="F721" i="7"/>
  <c r="I721" i="7" s="1"/>
  <c r="F1912" i="7"/>
  <c r="I1912" i="7" s="1"/>
  <c r="F1913" i="7"/>
  <c r="I1913" i="7" s="1"/>
  <c r="F2872" i="7"/>
  <c r="I2872" i="7" s="1"/>
  <c r="F2873" i="7"/>
  <c r="I2873" i="7" s="1"/>
  <c r="F2600" i="7"/>
  <c r="I2600" i="7" s="1"/>
  <c r="F2601" i="7"/>
  <c r="I2601" i="7" s="1"/>
  <c r="F1384" i="7"/>
  <c r="I1384" i="7" s="1"/>
  <c r="F1385" i="7"/>
  <c r="I1385" i="7" s="1"/>
  <c r="F984" i="7"/>
  <c r="I984" i="7" s="1"/>
  <c r="F985" i="7"/>
  <c r="I985" i="7" s="1"/>
  <c r="F2824" i="7"/>
  <c r="I2824" i="7" s="1"/>
  <c r="F2825" i="7"/>
  <c r="I2825" i="7" s="1"/>
  <c r="F2152" i="7"/>
  <c r="I2152" i="7" s="1"/>
  <c r="F2153" i="7"/>
  <c r="I2153" i="7" s="1"/>
  <c r="F192" i="7"/>
  <c r="I192" i="7" s="1"/>
  <c r="F193" i="7"/>
  <c r="I193" i="7" s="1"/>
  <c r="F1656" i="7"/>
  <c r="I1656" i="7" s="1"/>
  <c r="F1657" i="7"/>
  <c r="I1657" i="7" s="1"/>
  <c r="F856" i="7"/>
  <c r="I856" i="7" s="1"/>
  <c r="F857" i="7"/>
  <c r="I857" i="7" s="1"/>
  <c r="F872" i="7"/>
  <c r="I872" i="7" s="1"/>
  <c r="F873" i="7"/>
  <c r="I873" i="7" s="1"/>
  <c r="F2776" i="7"/>
  <c r="I2776" i="7" s="1"/>
  <c r="F2777" i="7"/>
  <c r="I2777" i="7" s="1"/>
  <c r="F2104" i="7"/>
  <c r="I2104" i="7" s="1"/>
  <c r="F2105" i="7"/>
  <c r="I2105" i="7" s="1"/>
  <c r="F528" i="7"/>
  <c r="I528" i="7" s="1"/>
  <c r="F529" i="7"/>
  <c r="I529" i="7" s="1"/>
  <c r="F256" i="7"/>
  <c r="I256" i="7" s="1"/>
  <c r="F257" i="7"/>
  <c r="I257" i="7" s="1"/>
  <c r="F320" i="7"/>
  <c r="I320" i="7" s="1"/>
  <c r="F321" i="7"/>
  <c r="I321" i="7" s="1"/>
  <c r="F1552" i="7"/>
  <c r="I1552" i="7" s="1"/>
  <c r="F1553" i="7"/>
  <c r="I1553" i="7" s="1"/>
  <c r="F1496" i="7"/>
  <c r="I1496" i="7" s="1"/>
  <c r="F1497" i="7"/>
  <c r="I1497" i="7" s="1"/>
  <c r="F744" i="7"/>
  <c r="I744" i="7" s="1"/>
  <c r="F745" i="7"/>
  <c r="I745" i="7" s="1"/>
  <c r="F2200" i="7"/>
  <c r="I2200" i="7" s="1"/>
  <c r="F2201" i="7"/>
  <c r="I2201" i="7" s="1"/>
  <c r="F1016" i="7"/>
  <c r="I1016" i="7" s="1"/>
  <c r="F1017" i="7"/>
  <c r="I1017" i="7" s="1"/>
  <c r="F2168" i="7"/>
  <c r="I2168" i="7" s="1"/>
  <c r="F2169" i="7"/>
  <c r="I2169" i="7" s="1"/>
  <c r="F384" i="7"/>
  <c r="I384" i="7" s="1"/>
  <c r="F385" i="7"/>
  <c r="I385" i="7" s="1"/>
  <c r="F1528" i="7"/>
  <c r="I1528" i="7" s="1"/>
  <c r="F1529" i="7"/>
  <c r="I1529" i="7" s="1"/>
  <c r="F1672" i="7"/>
  <c r="I1672" i="7" s="1"/>
  <c r="F1673" i="7"/>
  <c r="I1673" i="7" s="1"/>
  <c r="F816" i="7"/>
  <c r="I816" i="7" s="1"/>
  <c r="F817" i="7"/>
  <c r="I817" i="7" s="1"/>
  <c r="F1080" i="7"/>
  <c r="I1080" i="7" s="1"/>
  <c r="F1081" i="7"/>
  <c r="I1081" i="7" s="1"/>
  <c r="F2832" i="7"/>
  <c r="I2832" i="7" s="1"/>
  <c r="F2833" i="7"/>
  <c r="I2833" i="7" s="1"/>
  <c r="F2112" i="7"/>
  <c r="I2112" i="7" s="1"/>
  <c r="F2113" i="7"/>
  <c r="I2113" i="7" s="1"/>
  <c r="F1264" i="7"/>
  <c r="I1264" i="7" s="1"/>
  <c r="F1265" i="7"/>
  <c r="I1265" i="7" s="1"/>
  <c r="F1928" i="7"/>
  <c r="I1928" i="7" s="1"/>
  <c r="F1929" i="7"/>
  <c r="I1929" i="7" s="1"/>
  <c r="F2016" i="7"/>
  <c r="I2016" i="7" s="1"/>
  <c r="F2017" i="7"/>
  <c r="I2017" i="7" s="1"/>
  <c r="F2160" i="7"/>
  <c r="I2160" i="7" s="1"/>
  <c r="F2161" i="7"/>
  <c r="I2161" i="7" s="1"/>
  <c r="F1832" i="7"/>
  <c r="I1832" i="7" s="1"/>
  <c r="F1833" i="7"/>
  <c r="I1833" i="7" s="1"/>
  <c r="F696" i="7"/>
  <c r="I696" i="7" s="1"/>
  <c r="F697" i="7"/>
  <c r="I697" i="7" s="1"/>
  <c r="F792" i="7"/>
  <c r="I792" i="7" s="1"/>
  <c r="F793" i="7"/>
  <c r="I793" i="7" s="1"/>
  <c r="F2840" i="7"/>
  <c r="I2840" i="7" s="1"/>
  <c r="F2841" i="7"/>
  <c r="I2841" i="7" s="1"/>
  <c r="F2128" i="7"/>
  <c r="I2128" i="7" s="1"/>
  <c r="F2129" i="7"/>
  <c r="I2129" i="7" s="1"/>
  <c r="F1352" i="7"/>
  <c r="I1352" i="7" s="1"/>
  <c r="F1353" i="7"/>
  <c r="I1353" i="7" s="1"/>
  <c r="F968" i="7"/>
  <c r="I968" i="7" s="1"/>
  <c r="F969" i="7"/>
  <c r="I969" i="7" s="1"/>
  <c r="F1392" i="7"/>
  <c r="I1392" i="7" s="1"/>
  <c r="F1393" i="7"/>
  <c r="I1393" i="7" s="1"/>
  <c r="F144" i="7"/>
  <c r="I144" i="7" s="1"/>
  <c r="F145" i="7"/>
  <c r="I145" i="7" s="1"/>
  <c r="F2584" i="7"/>
  <c r="I2584" i="7" s="1"/>
  <c r="F2585" i="7"/>
  <c r="I2585" i="7" s="1"/>
  <c r="F1624" i="7"/>
  <c r="I1624" i="7" s="1"/>
  <c r="F1625" i="7"/>
  <c r="I1625" i="7" s="1"/>
  <c r="F1416" i="7"/>
  <c r="I1416" i="7" s="1"/>
  <c r="F1417" i="7"/>
  <c r="I1417" i="7" s="1"/>
  <c r="F512" i="7"/>
  <c r="I512" i="7" s="1"/>
  <c r="F513" i="7"/>
  <c r="I513" i="7" s="1"/>
  <c r="F2472" i="7"/>
  <c r="I2472" i="7" s="1"/>
  <c r="F2473" i="7"/>
  <c r="I2473" i="7" s="1"/>
  <c r="F408" i="7"/>
  <c r="I408" i="7" s="1"/>
  <c r="F409" i="7"/>
  <c r="I409" i="7" s="1"/>
  <c r="F2320" i="7"/>
  <c r="I2320" i="7" s="1"/>
  <c r="F2321" i="7"/>
  <c r="I2321" i="7" s="1"/>
  <c r="F2552" i="7"/>
  <c r="I2552" i="7" s="1"/>
  <c r="F2553" i="7"/>
  <c r="I2553" i="7" s="1"/>
  <c r="K79" i="7"/>
  <c r="M79" i="7" s="1"/>
  <c r="K80" i="7"/>
  <c r="M80" i="7" s="1"/>
  <c r="K207" i="7"/>
  <c r="M207" i="7" s="1"/>
  <c r="K208" i="7"/>
  <c r="M208" i="7" s="1"/>
  <c r="K103" i="7"/>
  <c r="M103" i="7" s="1"/>
  <c r="K104" i="7"/>
  <c r="M104" i="7" s="1"/>
  <c r="K1511" i="7"/>
  <c r="M1511" i="7" s="1"/>
  <c r="K1512" i="7"/>
  <c r="M1512" i="7" s="1"/>
  <c r="K671" i="7"/>
  <c r="M671" i="7" s="1"/>
  <c r="K672" i="7"/>
  <c r="M672" i="7" s="1"/>
  <c r="K2607" i="7"/>
  <c r="M2607" i="7" s="1"/>
  <c r="K2608" i="7"/>
  <c r="M2608" i="7" s="1"/>
  <c r="K2559" i="7"/>
  <c r="M2559" i="7" s="1"/>
  <c r="K2560" i="7"/>
  <c r="M2560" i="7" s="1"/>
  <c r="K863" i="7"/>
  <c r="M863" i="7" s="1"/>
  <c r="K864" i="7"/>
  <c r="M864" i="7" s="1"/>
  <c r="K1879" i="7"/>
  <c r="M1879" i="7" s="1"/>
  <c r="K1880" i="7"/>
  <c r="M1880" i="7" s="1"/>
  <c r="K935" i="7"/>
  <c r="M935" i="7" s="1"/>
  <c r="K936" i="7"/>
  <c r="M936" i="7" s="1"/>
  <c r="K39" i="7"/>
  <c r="M39" i="7" s="1"/>
  <c r="K40" i="7"/>
  <c r="M40" i="7" s="1"/>
  <c r="K1599" i="7"/>
  <c r="M1599" i="7" s="1"/>
  <c r="K1600" i="7"/>
  <c r="M1600" i="7" s="1"/>
  <c r="K519" i="7"/>
  <c r="M519" i="7" s="1"/>
  <c r="K520" i="7"/>
  <c r="M520" i="7" s="1"/>
  <c r="K263" i="7"/>
  <c r="M263" i="7" s="1"/>
  <c r="K264" i="7"/>
  <c r="M264" i="7" s="1"/>
  <c r="K2527" i="7"/>
  <c r="M2527" i="7" s="1"/>
  <c r="K2528" i="7"/>
  <c r="M2528" i="7" s="1"/>
  <c r="K2479" i="7"/>
  <c r="M2479" i="7" s="1"/>
  <c r="K2480" i="7"/>
  <c r="M2480" i="7" s="1"/>
  <c r="K2567" i="7"/>
  <c r="M2567" i="7" s="1"/>
  <c r="K2568" i="7"/>
  <c r="M2568" i="7" s="1"/>
  <c r="K1607" i="7"/>
  <c r="M1607" i="7" s="1"/>
  <c r="K1608" i="7"/>
  <c r="M1608" i="7" s="1"/>
  <c r="K2623" i="7"/>
  <c r="M2623" i="7" s="1"/>
  <c r="K2624" i="7"/>
  <c r="M2624" i="7" s="1"/>
  <c r="K615" i="7"/>
  <c r="M615" i="7" s="1"/>
  <c r="K616" i="7"/>
  <c r="M616" i="7" s="1"/>
  <c r="K1863" i="7"/>
  <c r="M1863" i="7" s="1"/>
  <c r="K1864" i="7"/>
  <c r="M1864" i="7" s="1"/>
  <c r="K2047" i="7"/>
  <c r="M2047" i="7" s="1"/>
  <c r="K2048" i="7"/>
  <c r="M2048" i="7" s="1"/>
  <c r="K991" i="7"/>
  <c r="M991" i="7" s="1"/>
  <c r="K992" i="7"/>
  <c r="M992" i="7" s="1"/>
  <c r="K279" i="7"/>
  <c r="M279" i="7" s="1"/>
  <c r="K280" i="7"/>
  <c r="M280" i="7" s="1"/>
  <c r="K1791" i="7"/>
  <c r="M1791" i="7" s="1"/>
  <c r="K1792" i="7"/>
  <c r="M1792" i="7" s="1"/>
  <c r="K2303" i="7"/>
  <c r="M2303" i="7" s="1"/>
  <c r="K2304" i="7"/>
  <c r="M2304" i="7" s="1"/>
  <c r="K2687" i="7"/>
  <c r="M2687" i="7" s="1"/>
  <c r="K2688" i="7"/>
  <c r="M2688" i="7" s="1"/>
  <c r="K2783" i="7"/>
  <c r="M2783" i="7" s="1"/>
  <c r="K2784" i="7"/>
  <c r="M2784" i="7" s="1"/>
  <c r="K1983" i="7"/>
  <c r="M1983" i="7" s="1"/>
  <c r="K1984" i="7"/>
  <c r="M1984" i="7" s="1"/>
  <c r="K1279" i="7"/>
  <c r="M1279" i="7" s="1"/>
  <c r="K1280" i="7"/>
  <c r="M1280" i="7" s="1"/>
  <c r="K2311" i="7"/>
  <c r="M2311" i="7" s="1"/>
  <c r="K2312" i="7"/>
  <c r="M2312" i="7" s="1"/>
  <c r="K1535" i="7"/>
  <c r="M1535" i="7" s="1"/>
  <c r="K1536" i="7"/>
  <c r="M1536" i="7" s="1"/>
  <c r="K2735" i="7"/>
  <c r="M2735" i="7" s="1"/>
  <c r="K2736" i="7"/>
  <c r="M2736" i="7" s="1"/>
  <c r="K1095" i="7"/>
  <c r="M1095" i="7" s="1"/>
  <c r="K1096" i="7"/>
  <c r="M1096" i="7" s="1"/>
  <c r="K2503" i="7"/>
  <c r="M2503" i="7" s="1"/>
  <c r="K2504" i="7"/>
  <c r="M2504" i="7" s="1"/>
  <c r="K1991" i="7"/>
  <c r="M1991" i="7" s="1"/>
  <c r="K1992" i="7"/>
  <c r="M1992" i="7" s="1"/>
  <c r="K551" i="7"/>
  <c r="M551" i="7" s="1"/>
  <c r="K552" i="7"/>
  <c r="M552" i="7" s="1"/>
  <c r="K847" i="7"/>
  <c r="M847" i="7" s="1"/>
  <c r="K848" i="7"/>
  <c r="M848" i="7" s="1"/>
  <c r="K1919" i="7"/>
  <c r="M1919" i="7" s="1"/>
  <c r="K1920" i="7"/>
  <c r="M1920" i="7" s="1"/>
  <c r="K1183" i="7"/>
  <c r="M1183" i="7" s="1"/>
  <c r="K1184" i="7"/>
  <c r="M1184" i="7" s="1"/>
  <c r="K2143" i="7"/>
  <c r="M2143" i="7" s="1"/>
  <c r="K2144" i="7"/>
  <c r="M2144" i="7" s="1"/>
  <c r="K2591" i="7"/>
  <c r="M2591" i="7" s="1"/>
  <c r="K2592" i="7"/>
  <c r="M2592" i="7" s="1"/>
  <c r="K2415" i="7"/>
  <c r="M2415" i="7" s="1"/>
  <c r="K2416" i="7"/>
  <c r="M2416" i="7" s="1"/>
  <c r="K1887" i="7"/>
  <c r="M1887" i="7" s="1"/>
  <c r="K1888" i="7"/>
  <c r="M1888" i="7" s="1"/>
  <c r="K2367" i="7"/>
  <c r="M2367" i="7" s="1"/>
  <c r="K2368" i="7"/>
  <c r="M2368" i="7" s="1"/>
  <c r="K1767" i="7"/>
  <c r="M1767" i="7" s="1"/>
  <c r="K1768" i="7"/>
  <c r="M1768" i="7" s="1"/>
  <c r="K1439" i="7"/>
  <c r="M1439" i="7" s="1"/>
  <c r="K1440" i="7"/>
  <c r="M1440" i="7" s="1"/>
  <c r="K911" i="7"/>
  <c r="M911" i="7" s="1"/>
  <c r="K912" i="7"/>
  <c r="M912" i="7" s="1"/>
  <c r="K1487" i="7"/>
  <c r="M1487" i="7" s="1"/>
  <c r="K1488" i="7"/>
  <c r="M1488" i="7" s="1"/>
  <c r="K487" i="7"/>
  <c r="M487" i="7" s="1"/>
  <c r="K488" i="7"/>
  <c r="M488" i="7" s="1"/>
  <c r="K231" i="7"/>
  <c r="M231" i="7" s="1"/>
  <c r="K232" i="7"/>
  <c r="M232" i="7" s="1"/>
  <c r="K2287" i="7"/>
  <c r="M2287" i="7" s="1"/>
  <c r="K2288" i="7"/>
  <c r="M2288" i="7" s="1"/>
  <c r="K2239" i="7"/>
  <c r="M2239" i="7" s="1"/>
  <c r="K2240" i="7"/>
  <c r="M2240" i="7" s="1"/>
  <c r="K1423" i="7"/>
  <c r="M1423" i="7" s="1"/>
  <c r="K1424" i="7"/>
  <c r="M1424" i="7" s="1"/>
  <c r="K2463" i="7"/>
  <c r="M2463" i="7" s="1"/>
  <c r="K2464" i="7"/>
  <c r="M2464" i="7" s="1"/>
  <c r="K471" i="7"/>
  <c r="M471" i="7" s="1"/>
  <c r="K472" i="7"/>
  <c r="M472" i="7" s="1"/>
  <c r="K1679" i="7"/>
  <c r="M1679" i="7" s="1"/>
  <c r="K1680" i="7"/>
  <c r="M1680" i="7" s="1"/>
  <c r="K2399" i="7"/>
  <c r="M2399" i="7" s="1"/>
  <c r="K2400" i="7"/>
  <c r="M2400" i="7" s="1"/>
  <c r="K735" i="7"/>
  <c r="M735" i="7" s="1"/>
  <c r="K736" i="7"/>
  <c r="M736" i="7" s="1"/>
  <c r="K247" i="7"/>
  <c r="M247" i="7" s="1"/>
  <c r="K248" i="7"/>
  <c r="M248" i="7" s="1"/>
  <c r="K1775" i="7"/>
  <c r="M1775" i="7" s="1"/>
  <c r="K1776" i="7"/>
  <c r="M1776" i="7" s="1"/>
  <c r="K1311" i="7"/>
  <c r="M1311" i="7" s="1"/>
  <c r="K1312" i="7"/>
  <c r="M1312" i="7" s="1"/>
  <c r="K431" i="7"/>
  <c r="M431" i="7" s="1"/>
  <c r="K432" i="7"/>
  <c r="M432" i="7" s="1"/>
  <c r="K1799" i="7"/>
  <c r="M1799" i="7" s="1"/>
  <c r="K1800" i="7"/>
  <c r="M1800" i="7" s="1"/>
  <c r="K1871" i="7"/>
  <c r="M1871" i="7" s="1"/>
  <c r="K1872" i="7"/>
  <c r="M1872" i="7" s="1"/>
  <c r="K1175" i="7"/>
  <c r="M1175" i="7" s="1"/>
  <c r="K1176" i="7"/>
  <c r="M1176" i="7" s="1"/>
  <c r="K1479" i="7"/>
  <c r="M1479" i="7" s="1"/>
  <c r="K1480" i="7"/>
  <c r="M1480" i="7" s="1"/>
  <c r="K1999" i="7"/>
  <c r="M1999" i="7" s="1"/>
  <c r="K2000" i="7"/>
  <c r="M2000" i="7" s="1"/>
  <c r="K2543" i="7"/>
  <c r="M2543" i="7" s="1"/>
  <c r="K2544" i="7"/>
  <c r="M2544" i="7" s="1"/>
  <c r="K1407" i="7"/>
  <c r="M1407" i="7" s="1"/>
  <c r="K1408" i="7"/>
  <c r="M1408" i="7" s="1"/>
  <c r="K1271" i="7"/>
  <c r="M1271" i="7" s="1"/>
  <c r="K1272" i="7"/>
  <c r="M1272" i="7" s="1"/>
  <c r="K711" i="7"/>
  <c r="M711" i="7" s="1"/>
  <c r="K712" i="7"/>
  <c r="M712" i="7" s="1"/>
  <c r="K2247" i="7"/>
  <c r="M2247" i="7" s="1"/>
  <c r="K2248" i="7"/>
  <c r="M2248" i="7" s="1"/>
  <c r="K535" i="7"/>
  <c r="M535" i="7" s="1"/>
  <c r="K536" i="7"/>
  <c r="M536" i="7" s="1"/>
  <c r="K567" i="7"/>
  <c r="M567" i="7" s="1"/>
  <c r="K568" i="7"/>
  <c r="M568" i="7" s="1"/>
  <c r="K1695" i="7"/>
  <c r="M1695" i="7" s="1"/>
  <c r="K1696" i="7"/>
  <c r="M1696" i="7" s="1"/>
  <c r="K2495" i="7"/>
  <c r="M2495" i="7" s="1"/>
  <c r="K2496" i="7"/>
  <c r="M2496" i="7" s="1"/>
  <c r="K879" i="7"/>
  <c r="M879" i="7" s="1"/>
  <c r="K880" i="7"/>
  <c r="M880" i="7" s="1"/>
  <c r="K1063" i="7"/>
  <c r="M1063" i="7" s="1"/>
  <c r="K1064" i="7"/>
  <c r="M1064" i="7" s="1"/>
  <c r="K2335" i="7"/>
  <c r="M2335" i="7" s="1"/>
  <c r="K2336" i="7"/>
  <c r="M2336" i="7" s="1"/>
  <c r="K2799" i="7"/>
  <c r="M2799" i="7" s="1"/>
  <c r="K2800" i="7"/>
  <c r="M2800" i="7" s="1"/>
  <c r="K1343" i="7"/>
  <c r="M1343" i="7" s="1"/>
  <c r="K1344" i="7"/>
  <c r="M1344" i="7" s="1"/>
  <c r="K607" i="7"/>
  <c r="M607" i="7" s="1"/>
  <c r="K608" i="7"/>
  <c r="M608" i="7" s="1"/>
  <c r="K455" i="7"/>
  <c r="M455" i="7" s="1"/>
  <c r="K456" i="7"/>
  <c r="M456" i="7" s="1"/>
  <c r="K1823" i="7"/>
  <c r="M1823" i="7" s="1"/>
  <c r="K1824" i="7"/>
  <c r="M1824" i="7" s="1"/>
  <c r="K2447" i="7"/>
  <c r="M2447" i="7" s="1"/>
  <c r="K2448" i="7"/>
  <c r="M2448" i="7" s="1"/>
  <c r="K1543" i="7"/>
  <c r="M1543" i="7" s="1"/>
  <c r="K1544" i="7"/>
  <c r="M1544" i="7" s="1"/>
  <c r="K1087" i="7"/>
  <c r="M1087" i="7" s="1"/>
  <c r="K1088" i="7"/>
  <c r="M1088" i="7" s="1"/>
  <c r="K2663" i="7"/>
  <c r="M2663" i="7" s="1"/>
  <c r="K2664" i="7"/>
  <c r="M2664" i="7" s="1"/>
  <c r="K2751" i="7"/>
  <c r="M2751" i="7" s="1"/>
  <c r="K2752" i="7"/>
  <c r="M2752" i="7" s="1"/>
  <c r="K1735" i="7"/>
  <c r="M1735" i="7" s="1"/>
  <c r="K1736" i="7"/>
  <c r="M1736" i="7" s="1"/>
  <c r="K1567" i="7"/>
  <c r="M1567" i="7" s="1"/>
  <c r="K1568" i="7"/>
  <c r="M1568" i="7" s="1"/>
  <c r="K167" i="7"/>
  <c r="M167" i="7" s="1"/>
  <c r="K168" i="7"/>
  <c r="M168" i="7" s="1"/>
  <c r="K1743" i="7"/>
  <c r="M1743" i="7" s="1"/>
  <c r="K1744" i="7"/>
  <c r="M1744" i="7" s="1"/>
  <c r="K583" i="7"/>
  <c r="M583" i="7" s="1"/>
  <c r="K584" i="7"/>
  <c r="M584" i="7" s="1"/>
  <c r="K327" i="7"/>
  <c r="M327" i="7" s="1"/>
  <c r="K328" i="7"/>
  <c r="M328" i="7" s="1"/>
  <c r="K807" i="7"/>
  <c r="M807" i="7" s="1"/>
  <c r="K808" i="7"/>
  <c r="M808" i="7" s="1"/>
  <c r="K1463" i="7"/>
  <c r="M1463" i="7" s="1"/>
  <c r="K1464" i="7"/>
  <c r="M1464" i="7" s="1"/>
  <c r="K1207" i="7"/>
  <c r="M1207" i="7" s="1"/>
  <c r="K1208" i="7"/>
  <c r="M1208" i="7" s="1"/>
  <c r="K343" i="7"/>
  <c r="M343" i="7" s="1"/>
  <c r="K344" i="7"/>
  <c r="M344" i="7" s="1"/>
  <c r="K647" i="7"/>
  <c r="M647" i="7" s="1"/>
  <c r="K648" i="7"/>
  <c r="M648" i="7" s="1"/>
  <c r="K2279" i="7"/>
  <c r="M2279" i="7" s="1"/>
  <c r="K2280" i="7"/>
  <c r="M2280" i="7" s="1"/>
  <c r="K2055" i="7"/>
  <c r="M2055" i="7" s="1"/>
  <c r="K2056" i="7"/>
  <c r="M2056" i="7" s="1"/>
  <c r="K1951" i="7"/>
  <c r="M1951" i="7" s="1"/>
  <c r="K1952" i="7"/>
  <c r="M1952" i="7" s="1"/>
  <c r="K1631" i="7"/>
  <c r="M1631" i="7" s="1"/>
  <c r="K1632" i="7"/>
  <c r="M1632" i="7" s="1"/>
  <c r="K2271" i="7"/>
  <c r="M2271" i="7" s="1"/>
  <c r="K2272" i="7"/>
  <c r="M2272" i="7" s="1"/>
  <c r="K1287" i="7"/>
  <c r="M1287" i="7" s="1"/>
  <c r="K1288" i="7"/>
  <c r="M1288" i="7" s="1"/>
  <c r="K679" i="7"/>
  <c r="M679" i="7" s="1"/>
  <c r="K680" i="7"/>
  <c r="M680" i="7" s="1"/>
  <c r="K2431" i="7"/>
  <c r="M2431" i="7" s="1"/>
  <c r="K2432" i="7"/>
  <c r="M2432" i="7" s="1"/>
  <c r="K1007" i="7"/>
  <c r="M1007" i="7" s="1"/>
  <c r="K1008" i="7"/>
  <c r="M1008" i="7" s="1"/>
  <c r="K423" i="7"/>
  <c r="M423" i="7" s="1"/>
  <c r="K424" i="7"/>
  <c r="M424" i="7" s="1"/>
  <c r="K71" i="7"/>
  <c r="M71" i="7" s="1"/>
  <c r="K72" i="7"/>
  <c r="M72" i="7" s="1"/>
  <c r="K831" i="7"/>
  <c r="M831" i="7" s="1"/>
  <c r="K832" i="7"/>
  <c r="M832" i="7" s="1"/>
  <c r="K1759" i="7"/>
  <c r="M1759" i="7" s="1"/>
  <c r="K1760" i="7"/>
  <c r="M1760" i="7" s="1"/>
  <c r="K2223" i="7"/>
  <c r="M2223" i="7" s="1"/>
  <c r="K2224" i="7"/>
  <c r="M2224" i="7" s="1"/>
  <c r="K1111" i="7"/>
  <c r="M1111" i="7" s="1"/>
  <c r="K1112" i="7"/>
  <c r="M1112" i="7" s="1"/>
  <c r="K215" i="7"/>
  <c r="M215" i="7" s="1"/>
  <c r="K216" i="7"/>
  <c r="M216" i="7" s="1"/>
  <c r="K1215" i="7"/>
  <c r="M1215" i="7" s="1"/>
  <c r="K1216" i="7"/>
  <c r="M1216" i="7" s="1"/>
  <c r="K2703" i="7"/>
  <c r="M2703" i="7" s="1"/>
  <c r="K2704" i="7"/>
  <c r="M2704" i="7" s="1"/>
  <c r="K2631" i="7"/>
  <c r="M2631" i="7" s="1"/>
  <c r="K2632" i="7"/>
  <c r="M2632" i="7" s="1"/>
  <c r="K2575" i="7"/>
  <c r="M2575" i="7" s="1"/>
  <c r="K2576" i="7"/>
  <c r="M2576" i="7" s="1"/>
  <c r="K503" i="7"/>
  <c r="M503" i="7" s="1"/>
  <c r="K504" i="7"/>
  <c r="M504" i="7" s="1"/>
  <c r="K943" i="7"/>
  <c r="M943" i="7" s="1"/>
  <c r="K944" i="7"/>
  <c r="M944" i="7" s="1"/>
  <c r="K1055" i="7"/>
  <c r="M1055" i="7" s="1"/>
  <c r="K1056" i="7"/>
  <c r="M1056" i="7" s="1"/>
  <c r="K1471" i="7"/>
  <c r="M1471" i="7" s="1"/>
  <c r="K1472" i="7"/>
  <c r="M1472" i="7" s="1"/>
  <c r="K2119" i="7"/>
  <c r="M2119" i="7" s="1"/>
  <c r="K2120" i="7"/>
  <c r="M2120" i="7" s="1"/>
  <c r="K1247" i="7"/>
  <c r="M1247" i="7" s="1"/>
  <c r="K1248" i="7"/>
  <c r="M1248" i="7" s="1"/>
  <c r="K1143" i="7"/>
  <c r="M1143" i="7" s="1"/>
  <c r="K1144" i="7"/>
  <c r="M1144" i="7" s="1"/>
  <c r="K1359" i="7"/>
  <c r="M1359" i="7" s="1"/>
  <c r="K1360" i="7"/>
  <c r="M1360" i="7" s="1"/>
  <c r="K2375" i="7"/>
  <c r="M2375" i="7" s="1"/>
  <c r="K2376" i="7"/>
  <c r="M2376" i="7" s="1"/>
  <c r="K2767" i="7"/>
  <c r="M2767" i="7" s="1"/>
  <c r="K2768" i="7"/>
  <c r="M2768" i="7" s="1"/>
  <c r="K1503" i="7"/>
  <c r="M1503" i="7" s="1"/>
  <c r="K1504" i="7"/>
  <c r="M1504" i="7" s="1"/>
  <c r="K895" i="7"/>
  <c r="M895" i="7" s="1"/>
  <c r="K896" i="7"/>
  <c r="M896" i="7" s="1"/>
  <c r="K639" i="7"/>
  <c r="M639" i="7" s="1"/>
  <c r="K640" i="7"/>
  <c r="M640" i="7" s="1"/>
  <c r="K2791" i="7"/>
  <c r="M2791" i="7" s="1"/>
  <c r="K2792" i="7"/>
  <c r="M2792" i="7" s="1"/>
  <c r="K295" i="7"/>
  <c r="M295" i="7" s="1"/>
  <c r="K296" i="7"/>
  <c r="M296" i="7" s="1"/>
  <c r="K703" i="7"/>
  <c r="M703" i="7" s="1"/>
  <c r="K704" i="7"/>
  <c r="M704" i="7" s="1"/>
  <c r="K2215" i="7"/>
  <c r="M2215" i="7" s="1"/>
  <c r="K2216" i="7"/>
  <c r="M2216" i="7" s="1"/>
  <c r="K2255" i="7"/>
  <c r="M2255" i="7" s="1"/>
  <c r="K2256" i="7"/>
  <c r="M2256" i="7" s="1"/>
  <c r="K1719" i="7"/>
  <c r="M1719" i="7" s="1"/>
  <c r="K1720" i="7"/>
  <c r="M1720" i="7" s="1"/>
  <c r="K775" i="7"/>
  <c r="M775" i="7" s="1"/>
  <c r="K776" i="7"/>
  <c r="M776" i="7" s="1"/>
  <c r="K7" i="7"/>
  <c r="M7" i="7" s="1"/>
  <c r="K8" i="7"/>
  <c r="M8" i="7" s="1"/>
  <c r="K2863" i="7"/>
  <c r="M2863" i="7" s="1"/>
  <c r="K2864" i="7"/>
  <c r="M2864" i="7" s="1"/>
  <c r="K1903" i="7"/>
  <c r="M1903" i="7" s="1"/>
  <c r="K1904" i="7"/>
  <c r="M1904" i="7" s="1"/>
  <c r="K1151" i="7"/>
  <c r="M1151" i="7" s="1"/>
  <c r="K1152" i="7"/>
  <c r="M1152" i="7" s="1"/>
  <c r="K1727" i="7"/>
  <c r="M1727" i="7" s="1"/>
  <c r="K1728" i="7"/>
  <c r="M1728" i="7" s="1"/>
  <c r="K463" i="7"/>
  <c r="M463" i="7" s="1"/>
  <c r="K464" i="7"/>
  <c r="M464" i="7" s="1"/>
  <c r="K87" i="7"/>
  <c r="M87" i="7" s="1"/>
  <c r="K88" i="7"/>
  <c r="M88" i="7" s="1"/>
  <c r="K1119" i="7"/>
  <c r="M1119" i="7" s="1"/>
  <c r="K1120" i="7"/>
  <c r="M1120" i="7" s="1"/>
  <c r="K2031" i="7"/>
  <c r="M2031" i="7" s="1"/>
  <c r="K2032" i="7"/>
  <c r="M2032" i="7" s="1"/>
  <c r="K2407" i="7"/>
  <c r="M2407" i="7" s="1"/>
  <c r="K2408" i="7"/>
  <c r="M2408" i="7" s="1"/>
  <c r="K2815" i="7"/>
  <c r="M2815" i="7" s="1"/>
  <c r="K2816" i="7"/>
  <c r="M2816" i="7" s="1"/>
  <c r="K1191" i="7"/>
  <c r="M1191" i="7" s="1"/>
  <c r="K1192" i="7"/>
  <c r="M1192" i="7" s="1"/>
  <c r="K303" i="7"/>
  <c r="M303" i="7" s="1"/>
  <c r="K304" i="7"/>
  <c r="M304" i="7" s="1"/>
  <c r="K2855" i="7"/>
  <c r="M2855" i="7" s="1"/>
  <c r="K2856" i="7"/>
  <c r="M2856" i="7" s="1"/>
  <c r="K119" i="7"/>
  <c r="M119" i="7" s="1"/>
  <c r="K120" i="7"/>
  <c r="M120" i="7" s="1"/>
  <c r="K2079" i="7"/>
  <c r="M2079" i="7" s="1"/>
  <c r="K2080" i="7"/>
  <c r="M2080" i="7" s="1"/>
  <c r="K1639" i="7"/>
  <c r="M1639" i="7" s="1"/>
  <c r="K1640" i="7"/>
  <c r="M1640" i="7" s="1"/>
  <c r="K1839" i="7"/>
  <c r="M1839" i="7" s="1"/>
  <c r="K1840" i="7"/>
  <c r="M1840" i="7" s="1"/>
  <c r="K1615" i="7"/>
  <c r="M1615" i="7" s="1"/>
  <c r="K1616" i="7"/>
  <c r="M1616" i="7" s="1"/>
  <c r="K2831" i="7"/>
  <c r="M2831" i="7" s="1"/>
  <c r="K2832" i="7"/>
  <c r="M2832" i="7" s="1"/>
  <c r="K2671" i="7"/>
  <c r="M2671" i="7" s="1"/>
  <c r="K2672" i="7"/>
  <c r="M2672" i="7" s="1"/>
  <c r="K2639" i="7"/>
  <c r="M2639" i="7" s="1"/>
  <c r="K2640" i="7"/>
  <c r="M2640" i="7" s="1"/>
  <c r="K1855" i="7"/>
  <c r="M1855" i="7" s="1"/>
  <c r="K1856" i="7"/>
  <c r="M1856" i="7" s="1"/>
  <c r="K959" i="7"/>
  <c r="M959" i="7" s="1"/>
  <c r="K960" i="7"/>
  <c r="M960" i="7" s="1"/>
  <c r="K2847" i="7"/>
  <c r="M2847" i="7" s="1"/>
  <c r="K2848" i="7"/>
  <c r="M2848" i="7" s="1"/>
  <c r="K1711" i="7"/>
  <c r="M1711" i="7" s="1"/>
  <c r="K1712" i="7"/>
  <c r="M1712" i="7" s="1"/>
  <c r="K1895" i="7"/>
  <c r="M1895" i="7" s="1"/>
  <c r="K1896" i="7"/>
  <c r="M1896" i="7" s="1"/>
  <c r="K311" i="7"/>
  <c r="M311" i="7" s="1"/>
  <c r="K312" i="7"/>
  <c r="M312" i="7" s="1"/>
  <c r="K151" i="7"/>
  <c r="M151" i="7" s="1"/>
  <c r="K152" i="7"/>
  <c r="M152" i="7" s="1"/>
  <c r="K2207" i="7"/>
  <c r="M2207" i="7" s="1"/>
  <c r="K2208" i="7"/>
  <c r="M2208" i="7" s="1"/>
  <c r="K1031" i="7"/>
  <c r="M1031" i="7" s="1"/>
  <c r="K1032" i="7"/>
  <c r="M1032" i="7" s="1"/>
  <c r="K135" i="7"/>
  <c r="M135" i="7" s="1"/>
  <c r="K136" i="7"/>
  <c r="M136" i="7" s="1"/>
  <c r="K2511" i="7"/>
  <c r="M2511" i="7" s="1"/>
  <c r="K2512" i="7"/>
  <c r="M2512" i="7" s="1"/>
  <c r="K2719" i="7"/>
  <c r="M2719" i="7" s="1"/>
  <c r="K2720" i="7"/>
  <c r="M2720" i="7" s="1"/>
  <c r="K1447" i="7"/>
  <c r="M1447" i="7" s="1"/>
  <c r="K1448" i="7"/>
  <c r="M1448" i="7" s="1"/>
  <c r="K1703" i="7"/>
  <c r="M1703" i="7" s="1"/>
  <c r="K1704" i="7"/>
  <c r="M1704" i="7" s="1"/>
  <c r="K2135" i="7"/>
  <c r="M2135" i="7" s="1"/>
  <c r="K2136" i="7"/>
  <c r="M2136" i="7" s="1"/>
  <c r="K1223" i="7"/>
  <c r="M1223" i="7" s="1"/>
  <c r="K1224" i="7"/>
  <c r="M1224" i="7" s="1"/>
  <c r="K655" i="7"/>
  <c r="M655" i="7" s="1"/>
  <c r="K656" i="7"/>
  <c r="M656" i="7" s="1"/>
  <c r="K391" i="7"/>
  <c r="M391" i="7" s="1"/>
  <c r="K392" i="7"/>
  <c r="M392" i="7" s="1"/>
  <c r="K2879" i="7"/>
  <c r="M2879" i="7" s="1"/>
  <c r="K2880" i="7"/>
  <c r="M2880" i="7" s="1"/>
  <c r="K2023" i="7"/>
  <c r="M2023" i="7" s="1"/>
  <c r="K2024" i="7"/>
  <c r="M2024" i="7" s="1"/>
  <c r="K1375" i="7"/>
  <c r="M1375" i="7" s="1"/>
  <c r="K1376" i="7"/>
  <c r="M1376" i="7" s="1"/>
  <c r="K2111" i="7"/>
  <c r="M2111" i="7" s="1"/>
  <c r="K2112" i="7"/>
  <c r="M2112" i="7" s="1"/>
  <c r="K1927" i="7"/>
  <c r="M1927" i="7" s="1"/>
  <c r="K1928" i="7"/>
  <c r="M1928" i="7" s="1"/>
  <c r="K1159" i="7"/>
  <c r="M1159" i="7" s="1"/>
  <c r="K1160" i="7"/>
  <c r="M1160" i="7" s="1"/>
  <c r="K199" i="7"/>
  <c r="M199" i="7" s="1"/>
  <c r="K200" i="7"/>
  <c r="M200" i="7" s="1"/>
  <c r="K751" i="7"/>
  <c r="M751" i="7" s="1"/>
  <c r="K752" i="7"/>
  <c r="M752" i="7" s="1"/>
  <c r="K359" i="7"/>
  <c r="M359" i="7" s="1"/>
  <c r="K360" i="7"/>
  <c r="M360" i="7" s="1"/>
  <c r="K2015" i="7"/>
  <c r="M2015" i="7" s="1"/>
  <c r="K2016" i="7"/>
  <c r="M2016" i="7" s="1"/>
  <c r="K2159" i="7"/>
  <c r="M2159" i="7" s="1"/>
  <c r="K2160" i="7"/>
  <c r="M2160" i="7" s="1"/>
  <c r="K591" i="7"/>
  <c r="M591" i="7" s="1"/>
  <c r="K592" i="7"/>
  <c r="M592" i="7" s="1"/>
  <c r="K1519" i="7"/>
  <c r="M1519" i="7" s="1"/>
  <c r="K1520" i="7"/>
  <c r="M1520" i="7" s="1"/>
  <c r="K335" i="7"/>
  <c r="M335" i="7" s="1"/>
  <c r="K336" i="7"/>
  <c r="M336" i="7" s="1"/>
  <c r="K1023" i="7"/>
  <c r="M1023" i="7" s="1"/>
  <c r="K1024" i="7"/>
  <c r="M1024" i="7" s="1"/>
  <c r="K927" i="7"/>
  <c r="M927" i="7" s="1"/>
  <c r="K928" i="7"/>
  <c r="M928" i="7" s="1"/>
  <c r="K599" i="7"/>
  <c r="M599" i="7" s="1"/>
  <c r="K600" i="7"/>
  <c r="M600" i="7" s="1"/>
  <c r="K2175" i="7"/>
  <c r="M2175" i="7" s="1"/>
  <c r="K2176" i="7"/>
  <c r="M2176" i="7" s="1"/>
  <c r="K1663" i="7"/>
  <c r="M1663" i="7" s="1"/>
  <c r="K1664" i="7"/>
  <c r="M1664" i="7" s="1"/>
  <c r="K2183" i="7"/>
  <c r="M2183" i="7" s="1"/>
  <c r="K2184" i="7"/>
  <c r="M2184" i="7" s="1"/>
  <c r="K1303" i="7"/>
  <c r="M1303" i="7" s="1"/>
  <c r="K1304" i="7"/>
  <c r="M1304" i="7" s="1"/>
  <c r="K2727" i="7"/>
  <c r="M2727" i="7" s="1"/>
  <c r="K2728" i="7"/>
  <c r="M2728" i="7" s="1"/>
  <c r="K767" i="7"/>
  <c r="M767" i="7" s="1"/>
  <c r="K768" i="7"/>
  <c r="M768" i="7" s="1"/>
  <c r="K2655" i="7"/>
  <c r="M2655" i="7" s="1"/>
  <c r="K2656" i="7"/>
  <c r="M2656" i="7" s="1"/>
  <c r="K799" i="7"/>
  <c r="M799" i="7" s="1"/>
  <c r="K800" i="7"/>
  <c r="M800" i="7" s="1"/>
  <c r="K183" i="7"/>
  <c r="M183" i="7" s="1"/>
  <c r="K184" i="7"/>
  <c r="M184" i="7" s="1"/>
  <c r="K903" i="7"/>
  <c r="M903" i="7" s="1"/>
  <c r="K904" i="7"/>
  <c r="M904" i="7" s="1"/>
  <c r="K559" i="7"/>
  <c r="M559" i="7" s="1"/>
  <c r="K560" i="7"/>
  <c r="M560" i="7" s="1"/>
  <c r="F2038" i="7"/>
  <c r="I2038" i="7" s="1"/>
  <c r="F2039" i="7"/>
  <c r="I2039" i="7" s="1"/>
  <c r="F222" i="7"/>
  <c r="I222" i="7" s="1"/>
  <c r="F223" i="7"/>
  <c r="I223" i="7" s="1"/>
  <c r="F2062" i="7"/>
  <c r="I2062" i="7" s="1"/>
  <c r="F2063" i="7"/>
  <c r="I2063" i="7" s="1"/>
  <c r="F2230" i="7"/>
  <c r="I2230" i="7" s="1"/>
  <c r="F2231" i="7"/>
  <c r="I2231" i="7" s="1"/>
  <c r="F1718" i="7"/>
  <c r="I1718" i="7" s="1"/>
  <c r="F1719" i="7"/>
  <c r="I1719" i="7" s="1"/>
  <c r="F1342" i="7"/>
  <c r="I1342" i="7" s="1"/>
  <c r="F1343" i="7"/>
  <c r="I1343" i="7" s="1"/>
  <c r="F2134" i="7"/>
  <c r="I2134" i="7" s="1"/>
  <c r="F2135" i="7"/>
  <c r="I2135" i="7" s="1"/>
  <c r="F2862" i="7"/>
  <c r="I2862" i="7" s="1"/>
  <c r="F2863" i="7"/>
  <c r="I2863" i="7" s="1"/>
  <c r="F2510" i="7"/>
  <c r="I2510" i="7" s="1"/>
  <c r="F2511" i="7"/>
  <c r="I2511" i="7" s="1"/>
  <c r="F838" i="7"/>
  <c r="I838" i="7" s="1"/>
  <c r="F839" i="7"/>
  <c r="I839" i="7" s="1"/>
  <c r="F2294" i="7"/>
  <c r="I2294" i="7" s="1"/>
  <c r="F2295" i="7"/>
  <c r="I2295" i="7" s="1"/>
  <c r="F158" i="7"/>
  <c r="I158" i="7" s="1"/>
  <c r="F159" i="7"/>
  <c r="I159" i="7" s="1"/>
  <c r="F2342" i="7"/>
  <c r="I2342" i="7" s="1"/>
  <c r="F2343" i="7"/>
  <c r="I2343" i="7" s="1"/>
  <c r="F1582" i="7"/>
  <c r="I1582" i="7" s="1"/>
  <c r="F1583" i="7"/>
  <c r="I1583" i="7" s="1"/>
  <c r="F1046" i="7"/>
  <c r="I1046" i="7" s="1"/>
  <c r="F1047" i="7"/>
  <c r="I1047" i="7" s="1"/>
  <c r="F238" i="7"/>
  <c r="I238" i="7" s="1"/>
  <c r="F239" i="7"/>
  <c r="I239" i="7" s="1"/>
  <c r="F2646" i="7"/>
  <c r="I2646" i="7" s="1"/>
  <c r="F2647" i="7"/>
  <c r="I2647" i="7" s="1"/>
  <c r="F446" i="7"/>
  <c r="I446" i="7" s="1"/>
  <c r="F447" i="7"/>
  <c r="I447" i="7" s="1"/>
  <c r="F1590" i="7"/>
  <c r="I1590" i="7" s="1"/>
  <c r="F1591" i="7"/>
  <c r="I1591" i="7" s="1"/>
  <c r="F1814" i="7"/>
  <c r="I1814" i="7" s="1"/>
  <c r="F1815" i="7"/>
  <c r="I1815" i="7" s="1"/>
  <c r="F62" i="7"/>
  <c r="I62" i="7" s="1"/>
  <c r="F63" i="7"/>
  <c r="I63" i="7" s="1"/>
  <c r="F1958" i="7"/>
  <c r="I1958" i="7" s="1"/>
  <c r="F1959" i="7"/>
  <c r="I1959" i="7" s="1"/>
  <c r="F1038" i="7"/>
  <c r="I1038" i="7" s="1"/>
  <c r="F1039" i="7"/>
  <c r="I1039" i="7" s="1"/>
  <c r="F54" i="7"/>
  <c r="I54" i="7" s="1"/>
  <c r="F55" i="7"/>
  <c r="I55" i="7" s="1"/>
  <c r="F1438" i="7"/>
  <c r="I1438" i="7" s="1"/>
  <c r="F1439" i="7"/>
  <c r="I1439" i="7" s="1"/>
  <c r="F2390" i="7"/>
  <c r="I2390" i="7" s="1"/>
  <c r="F2391" i="7"/>
  <c r="I2391" i="7" s="1"/>
  <c r="F1974" i="7"/>
  <c r="I1974" i="7" s="1"/>
  <c r="F1975" i="7"/>
  <c r="I1975" i="7" s="1"/>
  <c r="F1782" i="7"/>
  <c r="I1782" i="7" s="1"/>
  <c r="F1783" i="7"/>
  <c r="I1783" i="7" s="1"/>
  <c r="F2430" i="7"/>
  <c r="I2430" i="7" s="1"/>
  <c r="F2431" i="7"/>
  <c r="I2431" i="7" s="1"/>
  <c r="F742" i="7"/>
  <c r="I742" i="7" s="1"/>
  <c r="F743" i="7"/>
  <c r="I743" i="7" s="1"/>
  <c r="F1942" i="7"/>
  <c r="I1942" i="7" s="1"/>
  <c r="F1943" i="7"/>
  <c r="I1943" i="7" s="1"/>
  <c r="F1846" i="7"/>
  <c r="I1846" i="7" s="1"/>
  <c r="F1847" i="7"/>
  <c r="I1847" i="7" s="1"/>
  <c r="F30" i="7"/>
  <c r="I30" i="7" s="1"/>
  <c r="F31" i="7"/>
  <c r="I31" i="7" s="1"/>
  <c r="F2614" i="7"/>
  <c r="I2614" i="7" s="1"/>
  <c r="F2615" i="7"/>
  <c r="I2615" i="7" s="1"/>
  <c r="F2198" i="7"/>
  <c r="I2198" i="7" s="1"/>
  <c r="F2199" i="7"/>
  <c r="I2199" i="7" s="1"/>
  <c r="F1454" i="7"/>
  <c r="I1454" i="7" s="1"/>
  <c r="F1455" i="7"/>
  <c r="I1455" i="7" s="1"/>
  <c r="F1014" i="7"/>
  <c r="I1014" i="7" s="1"/>
  <c r="F1015" i="7"/>
  <c r="I1015" i="7" s="1"/>
  <c r="F110" i="7"/>
  <c r="I110" i="7" s="1"/>
  <c r="F111" i="7"/>
  <c r="I111" i="7" s="1"/>
  <c r="F2166" i="7"/>
  <c r="I2166" i="7" s="1"/>
  <c r="F2167" i="7"/>
  <c r="I2167" i="7" s="1"/>
  <c r="F382" i="7"/>
  <c r="I382" i="7" s="1"/>
  <c r="F383" i="7"/>
  <c r="I383" i="7" s="1"/>
  <c r="F1526" i="7"/>
  <c r="I1526" i="7" s="1"/>
  <c r="F1527" i="7"/>
  <c r="I1527" i="7" s="1"/>
  <c r="F1670" i="7"/>
  <c r="I1670" i="7" s="1"/>
  <c r="F1671" i="7"/>
  <c r="I1671" i="7" s="1"/>
  <c r="F886" i="7"/>
  <c r="I886" i="7" s="1"/>
  <c r="F887" i="7"/>
  <c r="I887" i="7" s="1"/>
  <c r="F14" i="7"/>
  <c r="I14" i="7" s="1"/>
  <c r="F15" i="7"/>
  <c r="I15" i="7" s="1"/>
  <c r="F814" i="7"/>
  <c r="I814" i="7" s="1"/>
  <c r="F815" i="7"/>
  <c r="I815" i="7" s="1"/>
  <c r="F1070" i="7"/>
  <c r="I1070" i="7" s="1"/>
  <c r="F1071" i="7"/>
  <c r="I1071" i="7" s="1"/>
  <c r="F1078" i="7"/>
  <c r="I1078" i="7" s="1"/>
  <c r="F1079" i="7"/>
  <c r="I1079" i="7" s="1"/>
  <c r="F22" i="7"/>
  <c r="I22" i="7" s="1"/>
  <c r="F23" i="7"/>
  <c r="I23" i="7" s="1"/>
  <c r="F2366" i="7"/>
  <c r="I2366" i="7" s="1"/>
  <c r="F2367" i="7"/>
  <c r="I2367" i="7" s="1"/>
  <c r="F94" i="7"/>
  <c r="I94" i="7" s="1"/>
  <c r="F95" i="7"/>
  <c r="I95" i="7" s="1"/>
  <c r="F2766" i="7"/>
  <c r="I2766" i="7" s="1"/>
  <c r="F2767" i="7"/>
  <c r="I2767" i="7" s="1"/>
  <c r="F1646" i="7"/>
  <c r="I1646" i="7" s="1"/>
  <c r="F1647" i="7"/>
  <c r="I1647" i="7" s="1"/>
  <c r="F1574" i="7"/>
  <c r="I1574" i="7" s="1"/>
  <c r="F1575" i="7"/>
  <c r="I1575" i="7" s="1"/>
  <c r="F1806" i="7"/>
  <c r="I1806" i="7" s="1"/>
  <c r="F1807" i="7"/>
  <c r="I1807" i="7" s="1"/>
  <c r="F1902" i="7"/>
  <c r="I1902" i="7" s="1"/>
  <c r="F1903" i="7"/>
  <c r="I1903" i="7" s="1"/>
  <c r="F718" i="7"/>
  <c r="I718" i="7" s="1"/>
  <c r="F719" i="7"/>
  <c r="I719" i="7" s="1"/>
  <c r="F1910" i="7"/>
  <c r="I1910" i="7" s="1"/>
  <c r="F1911" i="7"/>
  <c r="I1911" i="7" s="1"/>
  <c r="F2870" i="7"/>
  <c r="I2870" i="7" s="1"/>
  <c r="F2871" i="7"/>
  <c r="I2871" i="7" s="1"/>
  <c r="F2598" i="7"/>
  <c r="I2598" i="7" s="1"/>
  <c r="F2599" i="7"/>
  <c r="I2599" i="7" s="1"/>
  <c r="F1382" i="7"/>
  <c r="I1382" i="7" s="1"/>
  <c r="F1383" i="7"/>
  <c r="I1383" i="7" s="1"/>
  <c r="F982" i="7"/>
  <c r="I982" i="7" s="1"/>
  <c r="F983" i="7"/>
  <c r="I983" i="7" s="1"/>
  <c r="F2822" i="7"/>
  <c r="I2822" i="7" s="1"/>
  <c r="F2823" i="7"/>
  <c r="I2823" i="7" s="1"/>
  <c r="F2150" i="7"/>
  <c r="I2150" i="7" s="1"/>
  <c r="F2151" i="7"/>
  <c r="I2151" i="7" s="1"/>
  <c r="F190" i="7"/>
  <c r="I190" i="7" s="1"/>
  <c r="F191" i="7"/>
  <c r="I191" i="7" s="1"/>
  <c r="F1654" i="7"/>
  <c r="I1654" i="7" s="1"/>
  <c r="F1655" i="7"/>
  <c r="I1655" i="7" s="1"/>
  <c r="F854" i="7"/>
  <c r="I854" i="7" s="1"/>
  <c r="F855" i="7"/>
  <c r="I855" i="7" s="1"/>
  <c r="F870" i="7"/>
  <c r="I870" i="7" s="1"/>
  <c r="F871" i="7"/>
  <c r="I871" i="7" s="1"/>
  <c r="F2774" i="7"/>
  <c r="I2774" i="7" s="1"/>
  <c r="F2775" i="7"/>
  <c r="I2775" i="7" s="1"/>
  <c r="F2102" i="7"/>
  <c r="I2102" i="7" s="1"/>
  <c r="F2103" i="7"/>
  <c r="I2103" i="7" s="1"/>
  <c r="F526" i="7"/>
  <c r="I526" i="7" s="1"/>
  <c r="F527" i="7"/>
  <c r="I527" i="7" s="1"/>
  <c r="F254" i="7"/>
  <c r="I254" i="7" s="1"/>
  <c r="F255" i="7"/>
  <c r="I255" i="7" s="1"/>
  <c r="F286" i="7"/>
  <c r="I286" i="7" s="1"/>
  <c r="F287" i="7"/>
  <c r="I287" i="7" s="1"/>
  <c r="F2382" i="7"/>
  <c r="I2382" i="7" s="1"/>
  <c r="F2383" i="7"/>
  <c r="I2383" i="7" s="1"/>
  <c r="F1230" i="7"/>
  <c r="I1230" i="7" s="1"/>
  <c r="F1231" i="7"/>
  <c r="I1231" i="7" s="1"/>
  <c r="F782" i="7"/>
  <c r="I782" i="7" s="1"/>
  <c r="F783" i="7"/>
  <c r="I783" i="7" s="1"/>
  <c r="F2110" i="7"/>
  <c r="I2110" i="7" s="1"/>
  <c r="F2111" i="7"/>
  <c r="I2111" i="7" s="1"/>
  <c r="F1262" i="7"/>
  <c r="I1262" i="7" s="1"/>
  <c r="F1263" i="7"/>
  <c r="I1263" i="7" s="1"/>
  <c r="F1926" i="7"/>
  <c r="I1926" i="7" s="1"/>
  <c r="F1927" i="7"/>
  <c r="I1927" i="7" s="1"/>
  <c r="F2014" i="7"/>
  <c r="I2014" i="7" s="1"/>
  <c r="F2015" i="7"/>
  <c r="I2015" i="7" s="1"/>
  <c r="F2158" i="7"/>
  <c r="I2158" i="7" s="1"/>
  <c r="F2159" i="7"/>
  <c r="I2159" i="7" s="1"/>
  <c r="F1830" i="7"/>
  <c r="I1830" i="7" s="1"/>
  <c r="F1831" i="7"/>
  <c r="I1831" i="7" s="1"/>
  <c r="F694" i="7"/>
  <c r="I694" i="7" s="1"/>
  <c r="F695" i="7"/>
  <c r="I695" i="7" s="1"/>
  <c r="F790" i="7"/>
  <c r="I790" i="7" s="1"/>
  <c r="F791" i="7"/>
  <c r="I791" i="7" s="1"/>
  <c r="F2838" i="7"/>
  <c r="I2838" i="7" s="1"/>
  <c r="F2839" i="7"/>
  <c r="I2839" i="7" s="1"/>
  <c r="F2126" i="7"/>
  <c r="I2126" i="7" s="1"/>
  <c r="F2127" i="7"/>
  <c r="I2127" i="7" s="1"/>
  <c r="F1350" i="7"/>
  <c r="I1350" i="7" s="1"/>
  <c r="F1351" i="7"/>
  <c r="I1351" i="7" s="1"/>
  <c r="F966" i="7"/>
  <c r="I966" i="7" s="1"/>
  <c r="F967" i="7"/>
  <c r="I967" i="7" s="1"/>
  <c r="F1390" i="7"/>
  <c r="I1390" i="7" s="1"/>
  <c r="F1391" i="7"/>
  <c r="I1391" i="7" s="1"/>
  <c r="F142" i="7"/>
  <c r="I142" i="7" s="1"/>
  <c r="F143" i="7"/>
  <c r="I143" i="7" s="1"/>
  <c r="F2582" i="7"/>
  <c r="I2582" i="7" s="1"/>
  <c r="F2583" i="7"/>
  <c r="I2583" i="7" s="1"/>
  <c r="F1622" i="7"/>
  <c r="I1622" i="7" s="1"/>
  <c r="F1623" i="7"/>
  <c r="I1623" i="7" s="1"/>
  <c r="F1414" i="7"/>
  <c r="I1414" i="7" s="1"/>
  <c r="F1415" i="7"/>
  <c r="I1415" i="7" s="1"/>
  <c r="F510" i="7"/>
  <c r="I510" i="7" s="1"/>
  <c r="F511" i="7"/>
  <c r="I511" i="7" s="1"/>
  <c r="F2470" i="7"/>
  <c r="I2470" i="7" s="1"/>
  <c r="F2471" i="7"/>
  <c r="I2471" i="7" s="1"/>
  <c r="F406" i="7"/>
  <c r="I406" i="7" s="1"/>
  <c r="F407" i="7"/>
  <c r="I407" i="7" s="1"/>
  <c r="F2318" i="7"/>
  <c r="I2318" i="7" s="1"/>
  <c r="F2319" i="7"/>
  <c r="I2319" i="7" s="1"/>
  <c r="F2550" i="7"/>
  <c r="I2550" i="7" s="1"/>
  <c r="F2551" i="7"/>
  <c r="I2551" i="7" s="1"/>
  <c r="F1766" i="7"/>
  <c r="I1766" i="7" s="1"/>
  <c r="F1767" i="7"/>
  <c r="I1767" i="7" s="1"/>
  <c r="F974" i="7"/>
  <c r="I974" i="7" s="1"/>
  <c r="F975" i="7"/>
  <c r="I975" i="7" s="1"/>
  <c r="F366" i="7"/>
  <c r="I366" i="7" s="1"/>
  <c r="F367" i="7"/>
  <c r="I367" i="7" s="1"/>
  <c r="F2094" i="7"/>
  <c r="I2094" i="7" s="1"/>
  <c r="F2095" i="7"/>
  <c r="I2095" i="7" s="1"/>
  <c r="F1494" i="7"/>
  <c r="I1494" i="7" s="1"/>
  <c r="F1495" i="7"/>
  <c r="I1495" i="7" s="1"/>
  <c r="F2270" i="7"/>
  <c r="I2270" i="7" s="1"/>
  <c r="F2271" i="7"/>
  <c r="I2271" i="7" s="1"/>
  <c r="F2830" i="7"/>
  <c r="I2830" i="7" s="1"/>
  <c r="F2831" i="7"/>
  <c r="I2831" i="7" s="1"/>
  <c r="F2262" i="7"/>
  <c r="I2262" i="7" s="1"/>
  <c r="F2263" i="7"/>
  <c r="I2263" i="7" s="1"/>
  <c r="F1198" i="7"/>
  <c r="I1198" i="7" s="1"/>
  <c r="F1199" i="7"/>
  <c r="I1199" i="7" s="1"/>
  <c r="F1366" i="7"/>
  <c r="I1366" i="7" s="1"/>
  <c r="F1367" i="7"/>
  <c r="I1367" i="7" s="1"/>
  <c r="F1878" i="7"/>
  <c r="I1878" i="7" s="1"/>
  <c r="F1879" i="7"/>
  <c r="I1879" i="7" s="1"/>
  <c r="F1742" i="7"/>
  <c r="I1742" i="7" s="1"/>
  <c r="F1743" i="7"/>
  <c r="I1743" i="7" s="1"/>
  <c r="F1318" i="7"/>
  <c r="I1318" i="7" s="1"/>
  <c r="F1319" i="7"/>
  <c r="I1319" i="7" s="1"/>
  <c r="F2742" i="7"/>
  <c r="I2742" i="7" s="1"/>
  <c r="F2743" i="7"/>
  <c r="I2743" i="7" s="1"/>
  <c r="F2678" i="7"/>
  <c r="I2678" i="7" s="1"/>
  <c r="F2679" i="7"/>
  <c r="I2679" i="7" s="1"/>
  <c r="F758" i="7"/>
  <c r="I758" i="7" s="1"/>
  <c r="F759" i="7"/>
  <c r="I759" i="7" s="1"/>
  <c r="F2454" i="7"/>
  <c r="I2454" i="7" s="1"/>
  <c r="F2455" i="7"/>
  <c r="I2455" i="7" s="1"/>
  <c r="F2086" i="7"/>
  <c r="I2086" i="7" s="1"/>
  <c r="F2087" i="7"/>
  <c r="I2087" i="7" s="1"/>
  <c r="F1238" i="7"/>
  <c r="I1238" i="7" s="1"/>
  <c r="F1239" i="7"/>
  <c r="I1239" i="7" s="1"/>
  <c r="F686" i="7"/>
  <c r="I686" i="7" s="1"/>
  <c r="F687" i="7"/>
  <c r="I687" i="7" s="1"/>
  <c r="F1334" i="7"/>
  <c r="I1334" i="7" s="1"/>
  <c r="F1335" i="7"/>
  <c r="I1335" i="7" s="1"/>
  <c r="F1558" i="7"/>
  <c r="I1558" i="7" s="1"/>
  <c r="F1559" i="7"/>
  <c r="I1559" i="7" s="1"/>
  <c r="F1430" i="7"/>
  <c r="I1430" i="7" s="1"/>
  <c r="F1431" i="7"/>
  <c r="I1431" i="7" s="1"/>
  <c r="F574" i="7"/>
  <c r="I574" i="7" s="1"/>
  <c r="F575" i="7"/>
  <c r="I575" i="7" s="1"/>
  <c r="F318" i="7"/>
  <c r="I318" i="7" s="1"/>
  <c r="F319" i="7"/>
  <c r="I319" i="7" s="1"/>
  <c r="F1294" i="7"/>
  <c r="I1294" i="7" s="1"/>
  <c r="F1295" i="7"/>
  <c r="I1295" i="7" s="1"/>
  <c r="F270" i="7"/>
  <c r="I270" i="7" s="1"/>
  <c r="F271" i="7"/>
  <c r="I271" i="7" s="1"/>
  <c r="F1398" i="7"/>
  <c r="I1398" i="7" s="1"/>
  <c r="F1399" i="7"/>
  <c r="I1399" i="7" s="1"/>
  <c r="F2422" i="7"/>
  <c r="I2422" i="7" s="1"/>
  <c r="F2423" i="7"/>
  <c r="I2423" i="7" s="1"/>
  <c r="F1550" i="7"/>
  <c r="I1550" i="7" s="1"/>
  <c r="F1551" i="7"/>
  <c r="I1551" i="7" s="1"/>
  <c r="F374" i="7"/>
  <c r="I374" i="7" s="1"/>
  <c r="F375" i="7"/>
  <c r="I375" i="7" s="1"/>
  <c r="F918" i="7"/>
  <c r="I918" i="7" s="1"/>
  <c r="F919" i="7"/>
  <c r="I919" i="7" s="1"/>
  <c r="F1750" i="7"/>
  <c r="I1750" i="7" s="1"/>
  <c r="F1751" i="7"/>
  <c r="I1751" i="7" s="1"/>
  <c r="F1486" i="7"/>
  <c r="I1486" i="7" s="1"/>
  <c r="F1487" i="7"/>
  <c r="I1487" i="7" s="1"/>
  <c r="F174" i="7"/>
  <c r="I174" i="7" s="1"/>
  <c r="F175" i="7"/>
  <c r="I175" i="7" s="1"/>
  <c r="F2006" i="7"/>
  <c r="I2006" i="7" s="1"/>
  <c r="F2007" i="7"/>
  <c r="I2007" i="7" s="1"/>
  <c r="F1854" i="7"/>
  <c r="I1854" i="7" s="1"/>
  <c r="F1855" i="7"/>
  <c r="I1855" i="7" s="1"/>
  <c r="F1510" i="7"/>
  <c r="I1510" i="7" s="1"/>
  <c r="F1511" i="7"/>
  <c r="I1511" i="7" s="1"/>
  <c r="F2326" i="7"/>
  <c r="I2326" i="7" s="1"/>
  <c r="F2327" i="7"/>
  <c r="I2327" i="7" s="1"/>
  <c r="F542" i="7"/>
  <c r="I542" i="7" s="1"/>
  <c r="F543" i="7"/>
  <c r="I543" i="7" s="1"/>
  <c r="F2806" i="7"/>
  <c r="I2806" i="7" s="1"/>
  <c r="F2807" i="7"/>
  <c r="I2807" i="7" s="1"/>
  <c r="F2438" i="7"/>
  <c r="I2438" i="7" s="1"/>
  <c r="F2439" i="7"/>
  <c r="I2439" i="7" s="1"/>
  <c r="F1126" i="7"/>
  <c r="I1126" i="7" s="1"/>
  <c r="F1127" i="7"/>
  <c r="I1127" i="7" s="1"/>
  <c r="F622" i="7"/>
  <c r="I622" i="7" s="1"/>
  <c r="F623" i="7"/>
  <c r="I623" i="7" s="1"/>
  <c r="F950" i="7"/>
  <c r="I950" i="7" s="1"/>
  <c r="F951" i="7"/>
  <c r="I951" i="7" s="1"/>
  <c r="F1254" i="7"/>
  <c r="I1254" i="7" s="1"/>
  <c r="F1255" i="7"/>
  <c r="I1255" i="7" s="1"/>
  <c r="F1166" i="7"/>
  <c r="I1166" i="7" s="1"/>
  <c r="F1167" i="7"/>
  <c r="I1167" i="7" s="1"/>
  <c r="F1326" i="7"/>
  <c r="I1326" i="7" s="1"/>
  <c r="F1327" i="7"/>
  <c r="I1327" i="7" s="1"/>
  <c r="F478" i="7"/>
  <c r="I478" i="7" s="1"/>
  <c r="F479" i="7"/>
  <c r="I479" i="7" s="1"/>
  <c r="F1966" i="7"/>
  <c r="I1966" i="7" s="1"/>
  <c r="F1967" i="7"/>
  <c r="I1967" i="7" s="1"/>
  <c r="F126" i="7"/>
  <c r="I126" i="7" s="1"/>
  <c r="F127" i="7"/>
  <c r="I127" i="7" s="1"/>
  <c r="F2534" i="7"/>
  <c r="I2534" i="7" s="1"/>
  <c r="F2535" i="7"/>
  <c r="I2535" i="7" s="1"/>
  <c r="F438" i="7"/>
  <c r="I438" i="7" s="1"/>
  <c r="F439" i="7"/>
  <c r="I439" i="7" s="1"/>
  <c r="F2070" i="7"/>
  <c r="I2070" i="7" s="1"/>
  <c r="F2071" i="7"/>
  <c r="I2071" i="7" s="1"/>
  <c r="F1686" i="7"/>
  <c r="I1686" i="7" s="1"/>
  <c r="F1687" i="7"/>
  <c r="I1687" i="7" s="1"/>
  <c r="F2710" i="7"/>
  <c r="I2710" i="7" s="1"/>
  <c r="F2711" i="7"/>
  <c r="I2711" i="7" s="1"/>
  <c r="F1134" i="7"/>
  <c r="I1134" i="7" s="1"/>
  <c r="F1135" i="7"/>
  <c r="I1135" i="7" s="1"/>
  <c r="F1694" i="7"/>
  <c r="I1694" i="7" s="1"/>
  <c r="F1695" i="7"/>
  <c r="I1695" i="7" s="1"/>
  <c r="F2798" i="7"/>
  <c r="I2798" i="7" s="1"/>
  <c r="F2799" i="7"/>
  <c r="I2799" i="7" s="1"/>
  <c r="F630" i="7"/>
  <c r="I630" i="7" s="1"/>
  <c r="F631" i="7"/>
  <c r="I631" i="7" s="1"/>
  <c r="F726" i="7"/>
  <c r="I726" i="7" s="1"/>
  <c r="F727" i="7"/>
  <c r="I727" i="7" s="1"/>
  <c r="F1598" i="7"/>
  <c r="I1598" i="7" s="1"/>
  <c r="F1599" i="7"/>
  <c r="I1599" i="7" s="1"/>
  <c r="F1462" i="7"/>
  <c r="I1462" i="7" s="1"/>
  <c r="F1463" i="7"/>
  <c r="I1463" i="7" s="1"/>
  <c r="F2526" i="7"/>
  <c r="I2526" i="7" s="1"/>
  <c r="F2527" i="7"/>
  <c r="I2527" i="7" s="1"/>
  <c r="F998" i="7"/>
  <c r="I998" i="7" s="1"/>
  <c r="F999" i="7"/>
  <c r="I999" i="7" s="1"/>
  <c r="F2518" i="7"/>
  <c r="I2518" i="7" s="1"/>
  <c r="F2519" i="7"/>
  <c r="I2519" i="7" s="1"/>
  <c r="F414" i="7"/>
  <c r="I414" i="7" s="1"/>
  <c r="F415" i="7"/>
  <c r="I415" i="7" s="1"/>
  <c r="F2758" i="7"/>
  <c r="I2758" i="7" s="1"/>
  <c r="F2759" i="7"/>
  <c r="I2759" i="7" s="1"/>
  <c r="F1934" i="7"/>
  <c r="I1934" i="7" s="1"/>
  <c r="F1935" i="7"/>
  <c r="I1935" i="7" s="1"/>
  <c r="F1102" i="7"/>
  <c r="I1102" i="7" s="1"/>
  <c r="F1103" i="7"/>
  <c r="I1103" i="7" s="1"/>
  <c r="F494" i="7"/>
  <c r="I494" i="7" s="1"/>
  <c r="F495" i="7"/>
  <c r="I495" i="7" s="1"/>
  <c r="F662" i="7"/>
  <c r="I662" i="7" s="1"/>
  <c r="F663" i="7"/>
  <c r="I663" i="7" s="1"/>
  <c r="F350" i="7"/>
  <c r="I350" i="7" s="1"/>
  <c r="F351" i="7"/>
  <c r="I351" i="7" s="1"/>
  <c r="F398" i="7"/>
  <c r="I398" i="7" s="1"/>
  <c r="F399" i="7"/>
  <c r="I399" i="7" s="1"/>
  <c r="F2190" i="7"/>
  <c r="I2190" i="7" s="1"/>
  <c r="F2191" i="7"/>
  <c r="I2191" i="7" s="1"/>
  <c r="F2350" i="7"/>
  <c r="I2350" i="7" s="1"/>
  <c r="F2351" i="7"/>
  <c r="I2351" i="7" s="1"/>
  <c r="F46" i="7"/>
  <c r="I46" i="7" s="1"/>
  <c r="F47" i="7"/>
  <c r="I47" i="7" s="1"/>
  <c r="F2358" i="7"/>
  <c r="I2358" i="7" s="1"/>
  <c r="F2359" i="7"/>
  <c r="I2359" i="7" s="1"/>
  <c r="F2694" i="7"/>
  <c r="I2694" i="7" s="1"/>
  <c r="F2695" i="7"/>
  <c r="I2695" i="7" s="1"/>
  <c r="F822" i="7"/>
  <c r="I822" i="7" s="1"/>
  <c r="F823" i="7"/>
  <c r="I823" i="7" s="1"/>
  <c r="F2486" i="7"/>
  <c r="I2486" i="7" s="1"/>
  <c r="F2487" i="7"/>
  <c r="I2487" i="7" s="1"/>
  <c r="K2205" i="7"/>
  <c r="M2205" i="7" s="1"/>
  <c r="K2206" i="7"/>
  <c r="M2206" i="7" s="1"/>
  <c r="K1029" i="7"/>
  <c r="M1029" i="7" s="1"/>
  <c r="K1030" i="7"/>
  <c r="M1030" i="7" s="1"/>
  <c r="K1205" i="7"/>
  <c r="M1205" i="7" s="1"/>
  <c r="K1206" i="7"/>
  <c r="M1206" i="7" s="1"/>
  <c r="K2221" i="7"/>
  <c r="M2221" i="7" s="1"/>
  <c r="K2222" i="7"/>
  <c r="M2222" i="7" s="1"/>
  <c r="K2253" i="7"/>
  <c r="M2253" i="7" s="1"/>
  <c r="K2254" i="7"/>
  <c r="M2254" i="7" s="1"/>
  <c r="K1717" i="7"/>
  <c r="M1717" i="7" s="1"/>
  <c r="K1718" i="7"/>
  <c r="M1718" i="7" s="1"/>
  <c r="K2133" i="7"/>
  <c r="M2133" i="7" s="1"/>
  <c r="K2134" i="7"/>
  <c r="M2134" i="7" s="1"/>
  <c r="K1221" i="7"/>
  <c r="M1221" i="7" s="1"/>
  <c r="K1222" i="7"/>
  <c r="M1222" i="7" s="1"/>
  <c r="K653" i="7"/>
  <c r="M653" i="7" s="1"/>
  <c r="K654" i="7"/>
  <c r="M654" i="7" s="1"/>
  <c r="K773" i="7"/>
  <c r="M773" i="7" s="1"/>
  <c r="K774" i="7"/>
  <c r="M774" i="7" s="1"/>
  <c r="K389" i="7"/>
  <c r="M389" i="7" s="1"/>
  <c r="K390" i="7"/>
  <c r="M390" i="7" s="1"/>
  <c r="K5" i="7"/>
  <c r="M5" i="7" s="1"/>
  <c r="K6" i="7"/>
  <c r="M6" i="7" s="1"/>
  <c r="K2861" i="7"/>
  <c r="M2861" i="7" s="1"/>
  <c r="K2862" i="7"/>
  <c r="M2862" i="7" s="1"/>
  <c r="K1901" i="7"/>
  <c r="M1901" i="7" s="1"/>
  <c r="K1902" i="7"/>
  <c r="M1902" i="7" s="1"/>
  <c r="K1149" i="7"/>
  <c r="M1149" i="7" s="1"/>
  <c r="K1150" i="7"/>
  <c r="M1150" i="7" s="1"/>
  <c r="K1725" i="7"/>
  <c r="M1725" i="7" s="1"/>
  <c r="K1726" i="7"/>
  <c r="M1726" i="7" s="1"/>
  <c r="K461" i="7"/>
  <c r="M461" i="7" s="1"/>
  <c r="K462" i="7"/>
  <c r="M462" i="7" s="1"/>
  <c r="K85" i="7"/>
  <c r="M85" i="7" s="1"/>
  <c r="K86" i="7"/>
  <c r="M86" i="7" s="1"/>
  <c r="K1117" i="7"/>
  <c r="M1117" i="7" s="1"/>
  <c r="K1118" i="7"/>
  <c r="M1118" i="7" s="1"/>
  <c r="K2029" i="7"/>
  <c r="M2029" i="7" s="1"/>
  <c r="K2030" i="7"/>
  <c r="M2030" i="7" s="1"/>
  <c r="K2405" i="7"/>
  <c r="M2405" i="7" s="1"/>
  <c r="K2406" i="7"/>
  <c r="M2406" i="7" s="1"/>
  <c r="K2813" i="7"/>
  <c r="M2813" i="7" s="1"/>
  <c r="K2814" i="7"/>
  <c r="M2814" i="7" s="1"/>
  <c r="K1189" i="7"/>
  <c r="M1189" i="7" s="1"/>
  <c r="K1190" i="7"/>
  <c r="M1190" i="7" s="1"/>
  <c r="K301" i="7"/>
  <c r="M301" i="7" s="1"/>
  <c r="K302" i="7"/>
  <c r="M302" i="7" s="1"/>
  <c r="K2853" i="7"/>
  <c r="M2853" i="7" s="1"/>
  <c r="K2854" i="7"/>
  <c r="M2854" i="7" s="1"/>
  <c r="K117" i="7"/>
  <c r="M117" i="7" s="1"/>
  <c r="K118" i="7"/>
  <c r="M118" i="7" s="1"/>
  <c r="K2077" i="7"/>
  <c r="M2077" i="7" s="1"/>
  <c r="K2078" i="7"/>
  <c r="M2078" i="7" s="1"/>
  <c r="K1637" i="7"/>
  <c r="M1637" i="7" s="1"/>
  <c r="K1638" i="7"/>
  <c r="M1638" i="7" s="1"/>
  <c r="K2797" i="7"/>
  <c r="M2797" i="7" s="1"/>
  <c r="K2798" i="7"/>
  <c r="M2798" i="7" s="1"/>
  <c r="K1341" i="7"/>
  <c r="M1341" i="7" s="1"/>
  <c r="K1342" i="7"/>
  <c r="M1342" i="7" s="1"/>
  <c r="K341" i="7"/>
  <c r="M341" i="7" s="1"/>
  <c r="K342" i="7"/>
  <c r="M342" i="7" s="1"/>
  <c r="K1285" i="7"/>
  <c r="M1285" i="7" s="1"/>
  <c r="K1286" i="7"/>
  <c r="M1286" i="7" s="1"/>
  <c r="K677" i="7"/>
  <c r="M677" i="7" s="1"/>
  <c r="K678" i="7"/>
  <c r="M678" i="7" s="1"/>
  <c r="K1005" i="7"/>
  <c r="M1005" i="7" s="1"/>
  <c r="K1006" i="7"/>
  <c r="M1006" i="7" s="1"/>
  <c r="K69" i="7"/>
  <c r="M69" i="7" s="1"/>
  <c r="K70" i="7"/>
  <c r="M70" i="7" s="1"/>
  <c r="K829" i="7"/>
  <c r="M829" i="7" s="1"/>
  <c r="K830" i="7"/>
  <c r="M830" i="7" s="1"/>
  <c r="K749" i="7"/>
  <c r="M749" i="7" s="1"/>
  <c r="K750" i="7"/>
  <c r="M750" i="7" s="1"/>
  <c r="K357" i="7"/>
  <c r="M357" i="7" s="1"/>
  <c r="K358" i="7"/>
  <c r="M358" i="7" s="1"/>
  <c r="K2157" i="7"/>
  <c r="M2157" i="7" s="1"/>
  <c r="K2158" i="7"/>
  <c r="M2158" i="7" s="1"/>
  <c r="K589" i="7"/>
  <c r="M589" i="7" s="1"/>
  <c r="K590" i="7"/>
  <c r="M590" i="7" s="1"/>
  <c r="K1517" i="7"/>
  <c r="M1517" i="7" s="1"/>
  <c r="K1518" i="7"/>
  <c r="M1518" i="7" s="1"/>
  <c r="K333" i="7"/>
  <c r="M333" i="7" s="1"/>
  <c r="K334" i="7"/>
  <c r="M334" i="7" s="1"/>
  <c r="K1021" i="7"/>
  <c r="M1021" i="7" s="1"/>
  <c r="K1022" i="7"/>
  <c r="M1022" i="7" s="1"/>
  <c r="K925" i="7"/>
  <c r="M925" i="7" s="1"/>
  <c r="K926" i="7"/>
  <c r="M926" i="7" s="1"/>
  <c r="K597" i="7"/>
  <c r="M597" i="7" s="1"/>
  <c r="K598" i="7"/>
  <c r="M598" i="7" s="1"/>
  <c r="K2173" i="7"/>
  <c r="M2173" i="7" s="1"/>
  <c r="K2174" i="7"/>
  <c r="M2174" i="7" s="1"/>
  <c r="K1661" i="7"/>
  <c r="M1661" i="7" s="1"/>
  <c r="K1662" i="7"/>
  <c r="M1662" i="7" s="1"/>
  <c r="K2181" i="7"/>
  <c r="M2181" i="7" s="1"/>
  <c r="K2182" i="7"/>
  <c r="M2182" i="7" s="1"/>
  <c r="K1301" i="7"/>
  <c r="M1301" i="7" s="1"/>
  <c r="K1302" i="7"/>
  <c r="M1302" i="7" s="1"/>
  <c r="K2725" i="7"/>
  <c r="M2725" i="7" s="1"/>
  <c r="K2726" i="7"/>
  <c r="M2726" i="7" s="1"/>
  <c r="K765" i="7"/>
  <c r="M765" i="7" s="1"/>
  <c r="K766" i="7"/>
  <c r="M766" i="7" s="1"/>
  <c r="K2653" i="7"/>
  <c r="M2653" i="7" s="1"/>
  <c r="K2654" i="7"/>
  <c r="M2654" i="7" s="1"/>
  <c r="K797" i="7"/>
  <c r="M797" i="7" s="1"/>
  <c r="K798" i="7"/>
  <c r="M798" i="7" s="1"/>
  <c r="K181" i="7"/>
  <c r="M181" i="7" s="1"/>
  <c r="K182" i="7"/>
  <c r="M182" i="7" s="1"/>
  <c r="K901" i="7"/>
  <c r="M901" i="7" s="1"/>
  <c r="K902" i="7"/>
  <c r="M902" i="7" s="1"/>
  <c r="K557" i="7"/>
  <c r="M557" i="7" s="1"/>
  <c r="K558" i="7"/>
  <c r="M558" i="7" s="1"/>
  <c r="K453" i="7"/>
  <c r="M453" i="7" s="1"/>
  <c r="K454" i="7"/>
  <c r="M454" i="7" s="1"/>
  <c r="K133" i="7"/>
  <c r="M133" i="7" s="1"/>
  <c r="K134" i="7"/>
  <c r="M134" i="7" s="1"/>
  <c r="K1461" i="7"/>
  <c r="M1461" i="7" s="1"/>
  <c r="K1462" i="7"/>
  <c r="M1462" i="7" s="1"/>
  <c r="K2509" i="7"/>
  <c r="M2509" i="7" s="1"/>
  <c r="K2510" i="7"/>
  <c r="M2510" i="7" s="1"/>
  <c r="K1821" i="7"/>
  <c r="M1821" i="7" s="1"/>
  <c r="K1822" i="7"/>
  <c r="M1822" i="7" s="1"/>
  <c r="K1085" i="7"/>
  <c r="M1085" i="7" s="1"/>
  <c r="K1086" i="7"/>
  <c r="M1086" i="7" s="1"/>
  <c r="K645" i="7"/>
  <c r="M645" i="7" s="1"/>
  <c r="K646" i="7"/>
  <c r="M646" i="7" s="1"/>
  <c r="K1445" i="7"/>
  <c r="M1445" i="7" s="1"/>
  <c r="K1446" i="7"/>
  <c r="M1446" i="7" s="1"/>
  <c r="K1701" i="7"/>
  <c r="M1701" i="7" s="1"/>
  <c r="K1702" i="7"/>
  <c r="M1702" i="7" s="1"/>
  <c r="K1949" i="7"/>
  <c r="M1949" i="7" s="1"/>
  <c r="K1950" i="7"/>
  <c r="M1950" i="7" s="1"/>
  <c r="K2269" i="7"/>
  <c r="M2269" i="7" s="1"/>
  <c r="K2270" i="7"/>
  <c r="M2270" i="7" s="1"/>
  <c r="K2429" i="7"/>
  <c r="M2429" i="7" s="1"/>
  <c r="K2430" i="7"/>
  <c r="M2430" i="7" s="1"/>
  <c r="K2629" i="7"/>
  <c r="M2629" i="7" s="1"/>
  <c r="K2630" i="7"/>
  <c r="M2630" i="7" s="1"/>
  <c r="K1053" i="7"/>
  <c r="M1053" i="7" s="1"/>
  <c r="K1054" i="7"/>
  <c r="M1054" i="7" s="1"/>
  <c r="K1469" i="7"/>
  <c r="M1469" i="7" s="1"/>
  <c r="K1470" i="7"/>
  <c r="M1470" i="7" s="1"/>
  <c r="K2117" i="7"/>
  <c r="M2117" i="7" s="1"/>
  <c r="K2118" i="7"/>
  <c r="M2118" i="7" s="1"/>
  <c r="K1245" i="7"/>
  <c r="M1245" i="7" s="1"/>
  <c r="K1246" i="7"/>
  <c r="M1246" i="7" s="1"/>
  <c r="K1357" i="7"/>
  <c r="M1357" i="7" s="1"/>
  <c r="K1358" i="7"/>
  <c r="M1358" i="7" s="1"/>
  <c r="K2877" i="7"/>
  <c r="M2877" i="7" s="1"/>
  <c r="K2878" i="7"/>
  <c r="M2878" i="7" s="1"/>
  <c r="K1925" i="7"/>
  <c r="M1925" i="7" s="1"/>
  <c r="K1926" i="7"/>
  <c r="M1926" i="7" s="1"/>
  <c r="K1157" i="7"/>
  <c r="M1157" i="7" s="1"/>
  <c r="K1158" i="7"/>
  <c r="M1158" i="7" s="1"/>
  <c r="K197" i="7"/>
  <c r="M197" i="7" s="1"/>
  <c r="K198" i="7"/>
  <c r="M198" i="7" s="1"/>
  <c r="K2013" i="7"/>
  <c r="M2013" i="7" s="1"/>
  <c r="K2014" i="7"/>
  <c r="M2014" i="7" s="1"/>
  <c r="K2765" i="7"/>
  <c r="M2765" i="7" s="1"/>
  <c r="K2766" i="7"/>
  <c r="M2766" i="7" s="1"/>
  <c r="K1997" i="7"/>
  <c r="M1997" i="7" s="1"/>
  <c r="K1998" i="7"/>
  <c r="M1998" i="7" s="1"/>
  <c r="K2733" i="7"/>
  <c r="M2733" i="7" s="1"/>
  <c r="K2734" i="7"/>
  <c r="M2734" i="7" s="1"/>
  <c r="K1501" i="7"/>
  <c r="M1501" i="7" s="1"/>
  <c r="K1502" i="7"/>
  <c r="M1502" i="7" s="1"/>
  <c r="K1093" i="7"/>
  <c r="M1093" i="7" s="1"/>
  <c r="K1094" i="7"/>
  <c r="M1094" i="7" s="1"/>
  <c r="K165" i="7"/>
  <c r="M165" i="7" s="1"/>
  <c r="K166" i="7"/>
  <c r="M166" i="7" s="1"/>
  <c r="K1741" i="7"/>
  <c r="M1741" i="7" s="1"/>
  <c r="K1742" i="7"/>
  <c r="M1742" i="7" s="1"/>
  <c r="K581" i="7"/>
  <c r="M581" i="7" s="1"/>
  <c r="K582" i="7"/>
  <c r="M582" i="7" s="1"/>
  <c r="K325" i="7"/>
  <c r="M325" i="7" s="1"/>
  <c r="K326" i="7"/>
  <c r="M326" i="7" s="1"/>
  <c r="K77" i="7"/>
  <c r="M77" i="7" s="1"/>
  <c r="K78" i="7"/>
  <c r="M78" i="7" s="1"/>
  <c r="K805" i="7"/>
  <c r="M805" i="7" s="1"/>
  <c r="K806" i="7"/>
  <c r="M806" i="7" s="1"/>
  <c r="K1837" i="7"/>
  <c r="M1837" i="7" s="1"/>
  <c r="K1838" i="7"/>
  <c r="M1838" i="7" s="1"/>
  <c r="K205" i="7"/>
  <c r="M205" i="7" s="1"/>
  <c r="K206" i="7"/>
  <c r="M206" i="7" s="1"/>
  <c r="K893" i="7"/>
  <c r="M893" i="7" s="1"/>
  <c r="K894" i="7"/>
  <c r="M894" i="7" s="1"/>
  <c r="K2501" i="7"/>
  <c r="M2501" i="7" s="1"/>
  <c r="K2502" i="7"/>
  <c r="M2502" i="7" s="1"/>
  <c r="K2541" i="7"/>
  <c r="M2541" i="7" s="1"/>
  <c r="K2542" i="7"/>
  <c r="M2542" i="7" s="1"/>
  <c r="K1405" i="7"/>
  <c r="M1405" i="7" s="1"/>
  <c r="K1406" i="7"/>
  <c r="M1406" i="7" s="1"/>
  <c r="K1613" i="7"/>
  <c r="M1613" i="7" s="1"/>
  <c r="K1614" i="7"/>
  <c r="M1614" i="7" s="1"/>
  <c r="K1989" i="7"/>
  <c r="M1989" i="7" s="1"/>
  <c r="K1990" i="7"/>
  <c r="M1990" i="7" s="1"/>
  <c r="K1269" i="7"/>
  <c r="M1269" i="7" s="1"/>
  <c r="K1270" i="7"/>
  <c r="M1270" i="7" s="1"/>
  <c r="K709" i="7"/>
  <c r="M709" i="7" s="1"/>
  <c r="K710" i="7"/>
  <c r="M710" i="7" s="1"/>
  <c r="K2245" i="7"/>
  <c r="M2245" i="7" s="1"/>
  <c r="K2246" i="7"/>
  <c r="M2246" i="7" s="1"/>
  <c r="K637" i="7"/>
  <c r="M637" i="7" s="1"/>
  <c r="K638" i="7"/>
  <c r="M638" i="7" s="1"/>
  <c r="K533" i="7"/>
  <c r="M533" i="7" s="1"/>
  <c r="K534" i="7"/>
  <c r="M534" i="7" s="1"/>
  <c r="K565" i="7"/>
  <c r="M565" i="7" s="1"/>
  <c r="K566" i="7"/>
  <c r="M566" i="7" s="1"/>
  <c r="K2789" i="7"/>
  <c r="M2789" i="7" s="1"/>
  <c r="K2790" i="7"/>
  <c r="M2790" i="7" s="1"/>
  <c r="K605" i="7"/>
  <c r="M605" i="7" s="1"/>
  <c r="K606" i="7"/>
  <c r="M606" i="7" s="1"/>
  <c r="K2445" i="7"/>
  <c r="M2445" i="7" s="1"/>
  <c r="K2446" i="7"/>
  <c r="M2446" i="7" s="1"/>
  <c r="K1541" i="7"/>
  <c r="M1541" i="7" s="1"/>
  <c r="K1542" i="7"/>
  <c r="M1542" i="7" s="1"/>
  <c r="K2661" i="7"/>
  <c r="M2661" i="7" s="1"/>
  <c r="K2662" i="7"/>
  <c r="M2662" i="7" s="1"/>
  <c r="K1733" i="7"/>
  <c r="M1733" i="7" s="1"/>
  <c r="K1734" i="7"/>
  <c r="M1734" i="7" s="1"/>
  <c r="K1629" i="7"/>
  <c r="M1629" i="7" s="1"/>
  <c r="K1630" i="7"/>
  <c r="M1630" i="7" s="1"/>
  <c r="K1757" i="7"/>
  <c r="M1757" i="7" s="1"/>
  <c r="K1758" i="7"/>
  <c r="M1758" i="7" s="1"/>
  <c r="K2021" i="7"/>
  <c r="M2021" i="7" s="1"/>
  <c r="K2022" i="7"/>
  <c r="M2022" i="7" s="1"/>
  <c r="K1373" i="7"/>
  <c r="M1373" i="7" s="1"/>
  <c r="K1374" i="7"/>
  <c r="M1374" i="7" s="1"/>
  <c r="K2109" i="7"/>
  <c r="M2109" i="7" s="1"/>
  <c r="K2110" i="7"/>
  <c r="M2110" i="7" s="1"/>
  <c r="K2829" i="7"/>
  <c r="M2829" i="7" s="1"/>
  <c r="K2830" i="7"/>
  <c r="M2830" i="7" s="1"/>
  <c r="K2669" i="7"/>
  <c r="M2669" i="7" s="1"/>
  <c r="K2670" i="7"/>
  <c r="M2670" i="7" s="1"/>
  <c r="K2637" i="7"/>
  <c r="M2637" i="7" s="1"/>
  <c r="K2638" i="7"/>
  <c r="M2638" i="7" s="1"/>
  <c r="K1853" i="7"/>
  <c r="M1853" i="7" s="1"/>
  <c r="K1854" i="7"/>
  <c r="M1854" i="7" s="1"/>
  <c r="K957" i="7"/>
  <c r="M957" i="7" s="1"/>
  <c r="K958" i="7"/>
  <c r="M958" i="7" s="1"/>
  <c r="K101" i="7"/>
  <c r="M101" i="7" s="1"/>
  <c r="K102" i="7"/>
  <c r="M102" i="7" s="1"/>
  <c r="K549" i="7"/>
  <c r="M549" i="7" s="1"/>
  <c r="K550" i="7"/>
  <c r="M550" i="7" s="1"/>
  <c r="K293" i="7"/>
  <c r="M293" i="7" s="1"/>
  <c r="K294" i="7"/>
  <c r="M294" i="7" s="1"/>
  <c r="K1509" i="7"/>
  <c r="M1509" i="7" s="1"/>
  <c r="K1510" i="7"/>
  <c r="M1510" i="7" s="1"/>
  <c r="K1693" i="7"/>
  <c r="M1693" i="7" s="1"/>
  <c r="K1694" i="7"/>
  <c r="M1694" i="7" s="1"/>
  <c r="K2493" i="7"/>
  <c r="M2493" i="7" s="1"/>
  <c r="K2494" i="7"/>
  <c r="M2494" i="7" s="1"/>
  <c r="K2845" i="7"/>
  <c r="M2845" i="7" s="1"/>
  <c r="K2846" i="7"/>
  <c r="M2846" i="7" s="1"/>
  <c r="K1709" i="7"/>
  <c r="M1709" i="7" s="1"/>
  <c r="K1710" i="7"/>
  <c r="M1710" i="7" s="1"/>
  <c r="K877" i="7"/>
  <c r="M877" i="7" s="1"/>
  <c r="K878" i="7"/>
  <c r="M878" i="7" s="1"/>
  <c r="K1893" i="7"/>
  <c r="M1893" i="7" s="1"/>
  <c r="K1894" i="7"/>
  <c r="M1894" i="7" s="1"/>
  <c r="K845" i="7"/>
  <c r="M845" i="7" s="1"/>
  <c r="K846" i="7"/>
  <c r="M846" i="7" s="1"/>
  <c r="K1061" i="7"/>
  <c r="M1061" i="7" s="1"/>
  <c r="K1062" i="7"/>
  <c r="M1062" i="7" s="1"/>
  <c r="K309" i="7"/>
  <c r="M309" i="7" s="1"/>
  <c r="K310" i="7"/>
  <c r="M310" i="7" s="1"/>
  <c r="K1917" i="7"/>
  <c r="M1917" i="7" s="1"/>
  <c r="K1918" i="7"/>
  <c r="M1918" i="7" s="1"/>
  <c r="K1181" i="7"/>
  <c r="M1181" i="7" s="1"/>
  <c r="K1182" i="7"/>
  <c r="M1182" i="7" s="1"/>
  <c r="K2333" i="7"/>
  <c r="M2333" i="7" s="1"/>
  <c r="K2334" i="7"/>
  <c r="M2334" i="7" s="1"/>
  <c r="K669" i="7"/>
  <c r="M669" i="7" s="1"/>
  <c r="K670" i="7"/>
  <c r="M670" i="7" s="1"/>
  <c r="K2141" i="7"/>
  <c r="M2141" i="7" s="1"/>
  <c r="K2142" i="7"/>
  <c r="M2142" i="7" s="1"/>
  <c r="K149" i="7"/>
  <c r="M149" i="7" s="1"/>
  <c r="K150" i="7"/>
  <c r="M150" i="7" s="1"/>
  <c r="K2749" i="7"/>
  <c r="M2749" i="7" s="1"/>
  <c r="K2750" i="7"/>
  <c r="M2750" i="7" s="1"/>
  <c r="K1565" i="7"/>
  <c r="M1565" i="7" s="1"/>
  <c r="K1566" i="7"/>
  <c r="M1566" i="7" s="1"/>
  <c r="K2277" i="7"/>
  <c r="M2277" i="7" s="1"/>
  <c r="K2278" i="7"/>
  <c r="M2278" i="7" s="1"/>
  <c r="K2213" i="7"/>
  <c r="M2213" i="7" s="1"/>
  <c r="K2214" i="7"/>
  <c r="M2214" i="7" s="1"/>
  <c r="K421" i="7"/>
  <c r="M421" i="7" s="1"/>
  <c r="K422" i="7"/>
  <c r="M422" i="7" s="1"/>
  <c r="K1213" i="7"/>
  <c r="M1213" i="7" s="1"/>
  <c r="K1214" i="7"/>
  <c r="M1214" i="7" s="1"/>
  <c r="K2701" i="7"/>
  <c r="M2701" i="7" s="1"/>
  <c r="K2702" i="7"/>
  <c r="M2702" i="7" s="1"/>
  <c r="K2573" i="7"/>
  <c r="M2573" i="7" s="1"/>
  <c r="K2574" i="7"/>
  <c r="M2574" i="7" s="1"/>
  <c r="K501" i="7"/>
  <c r="M501" i="7" s="1"/>
  <c r="K502" i="7"/>
  <c r="M502" i="7" s="1"/>
  <c r="K941" i="7"/>
  <c r="M941" i="7" s="1"/>
  <c r="K942" i="7"/>
  <c r="M942" i="7" s="1"/>
  <c r="K2373" i="7"/>
  <c r="M2373" i="7" s="1"/>
  <c r="K2374" i="7"/>
  <c r="M2374" i="7" s="1"/>
  <c r="K2605" i="7"/>
  <c r="M2605" i="7" s="1"/>
  <c r="K2606" i="7"/>
  <c r="M2606" i="7" s="1"/>
  <c r="K2589" i="7"/>
  <c r="M2589" i="7" s="1"/>
  <c r="K2590" i="7"/>
  <c r="M2590" i="7" s="1"/>
  <c r="K2557" i="7"/>
  <c r="M2557" i="7" s="1"/>
  <c r="K2558" i="7"/>
  <c r="M2558" i="7" s="1"/>
  <c r="K861" i="7"/>
  <c r="M861" i="7" s="1"/>
  <c r="K862" i="7"/>
  <c r="M862" i="7" s="1"/>
  <c r="K1877" i="7"/>
  <c r="M1877" i="7" s="1"/>
  <c r="K1878" i="7"/>
  <c r="M1878" i="7" s="1"/>
  <c r="K933" i="7"/>
  <c r="M933" i="7" s="1"/>
  <c r="K934" i="7"/>
  <c r="M934" i="7" s="1"/>
  <c r="K37" i="7"/>
  <c r="M37" i="7" s="1"/>
  <c r="K38" i="7"/>
  <c r="M38" i="7" s="1"/>
  <c r="K1597" i="7"/>
  <c r="M1597" i="7" s="1"/>
  <c r="K1598" i="7"/>
  <c r="M1598" i="7" s="1"/>
  <c r="K517" i="7"/>
  <c r="M517" i="7" s="1"/>
  <c r="K518" i="7"/>
  <c r="M518" i="7" s="1"/>
  <c r="K261" i="7"/>
  <c r="M261" i="7" s="1"/>
  <c r="K262" i="7"/>
  <c r="M262" i="7" s="1"/>
  <c r="K2525" i="7"/>
  <c r="M2525" i="7" s="1"/>
  <c r="K2526" i="7"/>
  <c r="M2526" i="7" s="1"/>
  <c r="K2477" i="7"/>
  <c r="M2477" i="7" s="1"/>
  <c r="K2478" i="7"/>
  <c r="M2478" i="7" s="1"/>
  <c r="K2565" i="7"/>
  <c r="M2565" i="7" s="1"/>
  <c r="K2566" i="7"/>
  <c r="M2566" i="7" s="1"/>
  <c r="K1605" i="7"/>
  <c r="M1605" i="7" s="1"/>
  <c r="K1606" i="7"/>
  <c r="M1606" i="7" s="1"/>
  <c r="K2621" i="7"/>
  <c r="M2621" i="7" s="1"/>
  <c r="K2622" i="7"/>
  <c r="M2622" i="7" s="1"/>
  <c r="K613" i="7"/>
  <c r="M613" i="7" s="1"/>
  <c r="K614" i="7"/>
  <c r="M614" i="7" s="1"/>
  <c r="K1861" i="7"/>
  <c r="M1861" i="7" s="1"/>
  <c r="K1862" i="7"/>
  <c r="M1862" i="7" s="1"/>
  <c r="K2045" i="7"/>
  <c r="M2045" i="7" s="1"/>
  <c r="K2046" i="7"/>
  <c r="M2046" i="7" s="1"/>
  <c r="K989" i="7"/>
  <c r="M989" i="7" s="1"/>
  <c r="K990" i="7"/>
  <c r="M990" i="7" s="1"/>
  <c r="K277" i="7"/>
  <c r="M277" i="7" s="1"/>
  <c r="K278" i="7"/>
  <c r="M278" i="7" s="1"/>
  <c r="K1789" i="7"/>
  <c r="M1789" i="7" s="1"/>
  <c r="K1790" i="7"/>
  <c r="M1790" i="7" s="1"/>
  <c r="K2301" i="7"/>
  <c r="M2301" i="7" s="1"/>
  <c r="K2302" i="7"/>
  <c r="M2302" i="7" s="1"/>
  <c r="K2685" i="7"/>
  <c r="M2685" i="7" s="1"/>
  <c r="K2686" i="7"/>
  <c r="M2686" i="7" s="1"/>
  <c r="K2781" i="7"/>
  <c r="M2781" i="7" s="1"/>
  <c r="K2782" i="7"/>
  <c r="M2782" i="7" s="1"/>
  <c r="K1981" i="7"/>
  <c r="M1981" i="7" s="1"/>
  <c r="K1982" i="7"/>
  <c r="M1982" i="7" s="1"/>
  <c r="K1277" i="7"/>
  <c r="M1277" i="7" s="1"/>
  <c r="K1278" i="7"/>
  <c r="M1278" i="7" s="1"/>
  <c r="K2309" i="7"/>
  <c r="M2309" i="7" s="1"/>
  <c r="K2310" i="7"/>
  <c r="M2310" i="7" s="1"/>
  <c r="K1533" i="7"/>
  <c r="M1533" i="7" s="1"/>
  <c r="K1534" i="7"/>
  <c r="M1534" i="7" s="1"/>
  <c r="K701" i="7"/>
  <c r="M701" i="7" s="1"/>
  <c r="K702" i="7"/>
  <c r="M702" i="7" s="1"/>
  <c r="K2717" i="7"/>
  <c r="M2717" i="7" s="1"/>
  <c r="K2718" i="7"/>
  <c r="M2718" i="7" s="1"/>
  <c r="K2053" i="7"/>
  <c r="M2053" i="7" s="1"/>
  <c r="K2054" i="7"/>
  <c r="M2054" i="7" s="1"/>
  <c r="K1109" i="7"/>
  <c r="M1109" i="7" s="1"/>
  <c r="K1110" i="7"/>
  <c r="M1110" i="7" s="1"/>
  <c r="K213" i="7"/>
  <c r="M213" i="7" s="1"/>
  <c r="K214" i="7"/>
  <c r="M214" i="7" s="1"/>
  <c r="K1141" i="7"/>
  <c r="M1141" i="7" s="1"/>
  <c r="K1142" i="7"/>
  <c r="M1142" i="7" s="1"/>
  <c r="K2413" i="7"/>
  <c r="M2413" i="7" s="1"/>
  <c r="K2414" i="7"/>
  <c r="M2414" i="7" s="1"/>
  <c r="K1885" i="7"/>
  <c r="M1885" i="7" s="1"/>
  <c r="K1886" i="7"/>
  <c r="M1886" i="7" s="1"/>
  <c r="K2365" i="7"/>
  <c r="M2365" i="7" s="1"/>
  <c r="K2366" i="7"/>
  <c r="M2366" i="7" s="1"/>
  <c r="K1765" i="7"/>
  <c r="M1765" i="7" s="1"/>
  <c r="K1766" i="7"/>
  <c r="M1766" i="7" s="1"/>
  <c r="K1437" i="7"/>
  <c r="M1437" i="7" s="1"/>
  <c r="K1438" i="7"/>
  <c r="M1438" i="7" s="1"/>
  <c r="K909" i="7"/>
  <c r="M909" i="7" s="1"/>
  <c r="K910" i="7"/>
  <c r="M910" i="7" s="1"/>
  <c r="K1485" i="7"/>
  <c r="M1485" i="7" s="1"/>
  <c r="K1486" i="7"/>
  <c r="M1486" i="7" s="1"/>
  <c r="K485" i="7"/>
  <c r="M485" i="7" s="1"/>
  <c r="K486" i="7"/>
  <c r="M486" i="7" s="1"/>
  <c r="K229" i="7"/>
  <c r="M229" i="7" s="1"/>
  <c r="K230" i="7"/>
  <c r="M230" i="7" s="1"/>
  <c r="K2285" i="7"/>
  <c r="M2285" i="7" s="1"/>
  <c r="K2286" i="7"/>
  <c r="M2286" i="7" s="1"/>
  <c r="K2237" i="7"/>
  <c r="M2237" i="7" s="1"/>
  <c r="K2238" i="7"/>
  <c r="M2238" i="7" s="1"/>
  <c r="K1421" i="7"/>
  <c r="M1421" i="7" s="1"/>
  <c r="K1422" i="7"/>
  <c r="M1422" i="7" s="1"/>
  <c r="K2461" i="7"/>
  <c r="M2461" i="7" s="1"/>
  <c r="K2462" i="7"/>
  <c r="M2462" i="7" s="1"/>
  <c r="K469" i="7"/>
  <c r="M469" i="7" s="1"/>
  <c r="K470" i="7"/>
  <c r="M470" i="7" s="1"/>
  <c r="K1677" i="7"/>
  <c r="M1677" i="7" s="1"/>
  <c r="K1678" i="7"/>
  <c r="M1678" i="7" s="1"/>
  <c r="K2397" i="7"/>
  <c r="M2397" i="7" s="1"/>
  <c r="K2398" i="7"/>
  <c r="M2398" i="7" s="1"/>
  <c r="K733" i="7"/>
  <c r="M733" i="7" s="1"/>
  <c r="K734" i="7"/>
  <c r="M734" i="7" s="1"/>
  <c r="K245" i="7"/>
  <c r="M245" i="7" s="1"/>
  <c r="K246" i="7"/>
  <c r="M246" i="7" s="1"/>
  <c r="K1773" i="7"/>
  <c r="M1773" i="7" s="1"/>
  <c r="K1774" i="7"/>
  <c r="M1774" i="7" s="1"/>
  <c r="K1309" i="7"/>
  <c r="M1309" i="7" s="1"/>
  <c r="K1310" i="7"/>
  <c r="M1310" i="7" s="1"/>
  <c r="K429" i="7"/>
  <c r="M429" i="7" s="1"/>
  <c r="K430" i="7"/>
  <c r="M430" i="7" s="1"/>
  <c r="K1797" i="7"/>
  <c r="M1797" i="7" s="1"/>
  <c r="K1798" i="7"/>
  <c r="M1798" i="7" s="1"/>
  <c r="K1869" i="7"/>
  <c r="M1869" i="7" s="1"/>
  <c r="K1870" i="7"/>
  <c r="M1870" i="7" s="1"/>
  <c r="K1173" i="7"/>
  <c r="M1173" i="7" s="1"/>
  <c r="K1174" i="7"/>
  <c r="M1174" i="7" s="1"/>
  <c r="K1477" i="7"/>
  <c r="M1477" i="7" s="1"/>
  <c r="K1478" i="7"/>
  <c r="M1478" i="7" s="1"/>
  <c r="F2796" i="7"/>
  <c r="I2796" i="7" s="1"/>
  <c r="F2797" i="7"/>
  <c r="I2797" i="7" s="1"/>
  <c r="F628" i="7"/>
  <c r="I628" i="7" s="1"/>
  <c r="F629" i="7"/>
  <c r="I629" i="7" s="1"/>
  <c r="F996" i="7"/>
  <c r="I996" i="7" s="1"/>
  <c r="F997" i="7"/>
  <c r="I997" i="7" s="1"/>
  <c r="F2516" i="7"/>
  <c r="I2516" i="7" s="1"/>
  <c r="F2517" i="7"/>
  <c r="I2517" i="7" s="1"/>
  <c r="F412" i="7"/>
  <c r="I412" i="7" s="1"/>
  <c r="F413" i="7"/>
  <c r="I413" i="7" s="1"/>
  <c r="F1100" i="7"/>
  <c r="I1100" i="7" s="1"/>
  <c r="F1101" i="7"/>
  <c r="I1101" i="7" s="1"/>
  <c r="F2188" i="7"/>
  <c r="I2188" i="7" s="1"/>
  <c r="F2189" i="7"/>
  <c r="I2189" i="7" s="1"/>
  <c r="F2348" i="7"/>
  <c r="I2348" i="7" s="1"/>
  <c r="F2349" i="7"/>
  <c r="I2349" i="7" s="1"/>
  <c r="F2004" i="7"/>
  <c r="I2004" i="7" s="1"/>
  <c r="F2005" i="7"/>
  <c r="I2005" i="7" s="1"/>
  <c r="F1692" i="7"/>
  <c r="I1692" i="7" s="1"/>
  <c r="F1693" i="7"/>
  <c r="I1693" i="7" s="1"/>
  <c r="F2436" i="7"/>
  <c r="I2436" i="7" s="1"/>
  <c r="F2437" i="7"/>
  <c r="I2437" i="7" s="1"/>
  <c r="F1164" i="7"/>
  <c r="I1164" i="7" s="1"/>
  <c r="F1165" i="7"/>
  <c r="I1165" i="7" s="1"/>
  <c r="F476" i="7"/>
  <c r="I476" i="7" s="1"/>
  <c r="F477" i="7"/>
  <c r="I477" i="7" s="1"/>
  <c r="F124" i="7"/>
  <c r="I124" i="7" s="1"/>
  <c r="F125" i="7"/>
  <c r="I125" i="7" s="1"/>
  <c r="F436" i="7"/>
  <c r="I436" i="7" s="1"/>
  <c r="F437" i="7"/>
  <c r="I437" i="7" s="1"/>
  <c r="F492" i="7"/>
  <c r="I492" i="7" s="1"/>
  <c r="F493" i="7"/>
  <c r="I493" i="7" s="1"/>
  <c r="F1748" i="7"/>
  <c r="I1748" i="7" s="1"/>
  <c r="F1749" i="7"/>
  <c r="I1749" i="7" s="1"/>
  <c r="F2364" i="7"/>
  <c r="I2364" i="7" s="1"/>
  <c r="F2365" i="7"/>
  <c r="I2365" i="7" s="1"/>
  <c r="F1764" i="7"/>
  <c r="I1764" i="7" s="1"/>
  <c r="F1765" i="7"/>
  <c r="I1765" i="7" s="1"/>
  <c r="F1436" i="7"/>
  <c r="I1436" i="7" s="1"/>
  <c r="F1437" i="7"/>
  <c r="I1437" i="7" s="1"/>
  <c r="F1484" i="7"/>
  <c r="I1484" i="7" s="1"/>
  <c r="F1485" i="7"/>
  <c r="I1485" i="7" s="1"/>
  <c r="F972" i="7"/>
  <c r="I972" i="7" s="1"/>
  <c r="F973" i="7"/>
  <c r="I973" i="7" s="1"/>
  <c r="F2068" i="7"/>
  <c r="I2068" i="7" s="1"/>
  <c r="F2069" i="7"/>
  <c r="I2069" i="7" s="1"/>
  <c r="F2388" i="7"/>
  <c r="I2388" i="7" s="1"/>
  <c r="F2389" i="7"/>
  <c r="I2389" i="7" s="1"/>
  <c r="F284" i="7"/>
  <c r="I284" i="7" s="1"/>
  <c r="F285" i="7"/>
  <c r="I285" i="7" s="1"/>
  <c r="F2380" i="7"/>
  <c r="I2380" i="7" s="1"/>
  <c r="F2381" i="7"/>
  <c r="I2381" i="7" s="1"/>
  <c r="F1684" i="7"/>
  <c r="I1684" i="7" s="1"/>
  <c r="F1685" i="7"/>
  <c r="I1685" i="7" s="1"/>
  <c r="F364" i="7"/>
  <c r="I364" i="7" s="1"/>
  <c r="F365" i="7"/>
  <c r="I365" i="7" s="1"/>
  <c r="F2708" i="7"/>
  <c r="I2708" i="7" s="1"/>
  <c r="F2709" i="7"/>
  <c r="I2709" i="7" s="1"/>
  <c r="F172" i="7"/>
  <c r="I172" i="7" s="1"/>
  <c r="F173" i="7"/>
  <c r="I173" i="7" s="1"/>
  <c r="F2036" i="7"/>
  <c r="I2036" i="7" s="1"/>
  <c r="F2037" i="7"/>
  <c r="I2037" i="7" s="1"/>
  <c r="F1228" i="7"/>
  <c r="I1228" i="7" s="1"/>
  <c r="F1229" i="7"/>
  <c r="I1229" i="7" s="1"/>
  <c r="F220" i="7"/>
  <c r="I220" i="7" s="1"/>
  <c r="F221" i="7"/>
  <c r="I221" i="7" s="1"/>
  <c r="F2060" i="7"/>
  <c r="I2060" i="7" s="1"/>
  <c r="F2061" i="7"/>
  <c r="I2061" i="7" s="1"/>
  <c r="F2092" i="7"/>
  <c r="I2092" i="7" s="1"/>
  <c r="F2093" i="7"/>
  <c r="I2093" i="7" s="1"/>
  <c r="F780" i="7"/>
  <c r="I780" i="7" s="1"/>
  <c r="F781" i="7"/>
  <c r="I781" i="7" s="1"/>
  <c r="F92" i="7"/>
  <c r="I92" i="7" s="1"/>
  <c r="F93" i="7"/>
  <c r="I93" i="7" s="1"/>
  <c r="F2324" i="7"/>
  <c r="I2324" i="7" s="1"/>
  <c r="F2325" i="7"/>
  <c r="I2325" i="7" s="1"/>
  <c r="F1124" i="7"/>
  <c r="I1124" i="7" s="1"/>
  <c r="F1125" i="7"/>
  <c r="I1125" i="7" s="1"/>
  <c r="F1964" i="7"/>
  <c r="I1964" i="7" s="1"/>
  <c r="F1965" i="7"/>
  <c r="I1965" i="7" s="1"/>
  <c r="F2756" i="7"/>
  <c r="I2756" i="7" s="1"/>
  <c r="F2757" i="7"/>
  <c r="I2757" i="7" s="1"/>
  <c r="F660" i="7"/>
  <c r="I660" i="7" s="1"/>
  <c r="F661" i="7"/>
  <c r="I661" i="7" s="1"/>
  <c r="F2692" i="7"/>
  <c r="I2692" i="7" s="1"/>
  <c r="F2693" i="7"/>
  <c r="I2693" i="7" s="1"/>
  <c r="F2228" i="7"/>
  <c r="I2228" i="7" s="1"/>
  <c r="F2229" i="7"/>
  <c r="I2229" i="7" s="1"/>
  <c r="F1716" i="7"/>
  <c r="I1716" i="7" s="1"/>
  <c r="F1717" i="7"/>
  <c r="I1717" i="7" s="1"/>
  <c r="F2860" i="7"/>
  <c r="I2860" i="7" s="1"/>
  <c r="F2861" i="7"/>
  <c r="I2861" i="7" s="1"/>
  <c r="F2508" i="7"/>
  <c r="I2508" i="7" s="1"/>
  <c r="F2509" i="7"/>
  <c r="I2509" i="7" s="1"/>
  <c r="F836" i="7"/>
  <c r="I836" i="7" s="1"/>
  <c r="F837" i="7"/>
  <c r="I837" i="7" s="1"/>
  <c r="F2292" i="7"/>
  <c r="I2292" i="7" s="1"/>
  <c r="F2293" i="7"/>
  <c r="I2293" i="7" s="1"/>
  <c r="F156" i="7"/>
  <c r="I156" i="7" s="1"/>
  <c r="F157" i="7"/>
  <c r="I157" i="7" s="1"/>
  <c r="F2340" i="7"/>
  <c r="I2340" i="7" s="1"/>
  <c r="F2341" i="7"/>
  <c r="I2341" i="7" s="1"/>
  <c r="F1580" i="7"/>
  <c r="I1580" i="7" s="1"/>
  <c r="F1581" i="7"/>
  <c r="I1581" i="7" s="1"/>
  <c r="F1044" i="7"/>
  <c r="I1044" i="7" s="1"/>
  <c r="F1045" i="7"/>
  <c r="I1045" i="7" s="1"/>
  <c r="F236" i="7"/>
  <c r="I236" i="7" s="1"/>
  <c r="F237" i="7"/>
  <c r="I237" i="7" s="1"/>
  <c r="F2644" i="7"/>
  <c r="I2644" i="7" s="1"/>
  <c r="F2645" i="7"/>
  <c r="I2645" i="7" s="1"/>
  <c r="F444" i="7"/>
  <c r="I444" i="7" s="1"/>
  <c r="F445" i="7"/>
  <c r="I445" i="7" s="1"/>
  <c r="F1588" i="7"/>
  <c r="I1588" i="7" s="1"/>
  <c r="F1589" i="7"/>
  <c r="I1589" i="7" s="1"/>
  <c r="F1812" i="7"/>
  <c r="I1812" i="7" s="1"/>
  <c r="F1813" i="7"/>
  <c r="I1813" i="7" s="1"/>
  <c r="F60" i="7"/>
  <c r="I60" i="7" s="1"/>
  <c r="F61" i="7"/>
  <c r="I61" i="7" s="1"/>
  <c r="F1956" i="7"/>
  <c r="I1956" i="7" s="1"/>
  <c r="F1957" i="7"/>
  <c r="I1957" i="7" s="1"/>
  <c r="F1036" i="7"/>
  <c r="I1036" i="7" s="1"/>
  <c r="F1037" i="7"/>
  <c r="I1037" i="7" s="1"/>
  <c r="F52" i="7"/>
  <c r="I52" i="7" s="1"/>
  <c r="F53" i="7"/>
  <c r="I53" i="7" s="1"/>
  <c r="F1252" i="7"/>
  <c r="I1252" i="7" s="1"/>
  <c r="F1253" i="7"/>
  <c r="I1253" i="7" s="1"/>
  <c r="F1596" i="7"/>
  <c r="I1596" i="7" s="1"/>
  <c r="F1597" i="7"/>
  <c r="I1597" i="7" s="1"/>
  <c r="F1460" i="7"/>
  <c r="I1460" i="7" s="1"/>
  <c r="F1461" i="7"/>
  <c r="I1461" i="7" s="1"/>
  <c r="F1932" i="7"/>
  <c r="I1932" i="7" s="1"/>
  <c r="F1933" i="7"/>
  <c r="I1933" i="7" s="1"/>
  <c r="F44" i="7"/>
  <c r="I44" i="7" s="1"/>
  <c r="F45" i="7"/>
  <c r="I45" i="7" s="1"/>
  <c r="F2484" i="7"/>
  <c r="I2484" i="7" s="1"/>
  <c r="F2485" i="7"/>
  <c r="I2485" i="7" s="1"/>
  <c r="F1340" i="7"/>
  <c r="I1340" i="7" s="1"/>
  <c r="F1341" i="7"/>
  <c r="I1341" i="7" s="1"/>
  <c r="F2132" i="7"/>
  <c r="I2132" i="7" s="1"/>
  <c r="F2133" i="7"/>
  <c r="I2133" i="7" s="1"/>
  <c r="F1972" i="7"/>
  <c r="I1972" i="7" s="1"/>
  <c r="F1973" i="7"/>
  <c r="I1973" i="7" s="1"/>
  <c r="F1492" i="7"/>
  <c r="I1492" i="7" s="1"/>
  <c r="F1493" i="7"/>
  <c r="I1493" i="7" s="1"/>
  <c r="F2268" i="7"/>
  <c r="I2268" i="7" s="1"/>
  <c r="F2269" i="7"/>
  <c r="I2269" i="7" s="1"/>
  <c r="F1780" i="7"/>
  <c r="I1780" i="7" s="1"/>
  <c r="F1781" i="7"/>
  <c r="I1781" i="7" s="1"/>
  <c r="F2428" i="7"/>
  <c r="I2428" i="7" s="1"/>
  <c r="F2429" i="7"/>
  <c r="I2429" i="7" s="1"/>
  <c r="F740" i="7"/>
  <c r="I740" i="7" s="1"/>
  <c r="F741" i="7"/>
  <c r="I741" i="7" s="1"/>
  <c r="F1940" i="7"/>
  <c r="I1940" i="7" s="1"/>
  <c r="F1941" i="7"/>
  <c r="I1941" i="7" s="1"/>
  <c r="F1844" i="7"/>
  <c r="I1844" i="7" s="1"/>
  <c r="F1845" i="7"/>
  <c r="I1845" i="7" s="1"/>
  <c r="F28" i="7"/>
  <c r="I28" i="7" s="1"/>
  <c r="F29" i="7"/>
  <c r="I29" i="7" s="1"/>
  <c r="F2612" i="7"/>
  <c r="I2612" i="7" s="1"/>
  <c r="F2613" i="7"/>
  <c r="I2613" i="7" s="1"/>
  <c r="F2196" i="7"/>
  <c r="I2196" i="7" s="1"/>
  <c r="F2197" i="7"/>
  <c r="I2197" i="7" s="1"/>
  <c r="F1452" i="7"/>
  <c r="I1452" i="7" s="1"/>
  <c r="F1453" i="7"/>
  <c r="I1453" i="7" s="1"/>
  <c r="F1012" i="7"/>
  <c r="I1012" i="7" s="1"/>
  <c r="F1013" i="7"/>
  <c r="I1013" i="7" s="1"/>
  <c r="F108" i="7"/>
  <c r="I108" i="7" s="1"/>
  <c r="F109" i="7"/>
  <c r="I109" i="7" s="1"/>
  <c r="F2164" i="7"/>
  <c r="I2164" i="7" s="1"/>
  <c r="F2165" i="7"/>
  <c r="I2165" i="7" s="1"/>
  <c r="F380" i="7"/>
  <c r="I380" i="7" s="1"/>
  <c r="F381" i="7"/>
  <c r="I381" i="7" s="1"/>
  <c r="F1524" i="7"/>
  <c r="I1524" i="7" s="1"/>
  <c r="F1525" i="7"/>
  <c r="I1525" i="7" s="1"/>
  <c r="F1668" i="7"/>
  <c r="I1668" i="7" s="1"/>
  <c r="F1669" i="7"/>
  <c r="I1669" i="7" s="1"/>
  <c r="F884" i="7"/>
  <c r="I884" i="7" s="1"/>
  <c r="F885" i="7"/>
  <c r="I885" i="7" s="1"/>
  <c r="F12" i="7"/>
  <c r="I12" i="7" s="1"/>
  <c r="F13" i="7"/>
  <c r="I13" i="7" s="1"/>
  <c r="F812" i="7"/>
  <c r="I812" i="7" s="1"/>
  <c r="F813" i="7"/>
  <c r="I813" i="7" s="1"/>
  <c r="F1068" i="7"/>
  <c r="I1068" i="7" s="1"/>
  <c r="F1069" i="7"/>
  <c r="I1069" i="7" s="1"/>
  <c r="F1076" i="7"/>
  <c r="I1076" i="7" s="1"/>
  <c r="F1077" i="7"/>
  <c r="I1077" i="7" s="1"/>
  <c r="F20" i="7"/>
  <c r="I20" i="7" s="1"/>
  <c r="F21" i="7"/>
  <c r="I21" i="7" s="1"/>
  <c r="F1852" i="7"/>
  <c r="I1852" i="7" s="1"/>
  <c r="F1853" i="7"/>
  <c r="I1853" i="7" s="1"/>
  <c r="F1508" i="7"/>
  <c r="I1508" i="7" s="1"/>
  <c r="F1509" i="7"/>
  <c r="I1509" i="7" s="1"/>
  <c r="F620" i="7"/>
  <c r="I620" i="7" s="1"/>
  <c r="F621" i="7"/>
  <c r="I621" i="7" s="1"/>
  <c r="F1324" i="7"/>
  <c r="I1324" i="7" s="1"/>
  <c r="F1325" i="7"/>
  <c r="I1325" i="7" s="1"/>
  <c r="F2532" i="7"/>
  <c r="I2532" i="7" s="1"/>
  <c r="F2533" i="7"/>
  <c r="I2533" i="7" s="1"/>
  <c r="F348" i="7"/>
  <c r="I348" i="7" s="1"/>
  <c r="F349" i="7"/>
  <c r="I349" i="7" s="1"/>
  <c r="F820" i="7"/>
  <c r="I820" i="7" s="1"/>
  <c r="F821" i="7"/>
  <c r="I821" i="7" s="1"/>
  <c r="F2764" i="7"/>
  <c r="I2764" i="7" s="1"/>
  <c r="F2765" i="7"/>
  <c r="I2765" i="7" s="1"/>
  <c r="F1644" i="7"/>
  <c r="I1644" i="7" s="1"/>
  <c r="F1645" i="7"/>
  <c r="I1645" i="7" s="1"/>
  <c r="F1572" i="7"/>
  <c r="I1572" i="7" s="1"/>
  <c r="F1573" i="7"/>
  <c r="I1573" i="7" s="1"/>
  <c r="F1804" i="7"/>
  <c r="I1804" i="7" s="1"/>
  <c r="F1805" i="7"/>
  <c r="I1805" i="7" s="1"/>
  <c r="F1900" i="7"/>
  <c r="I1900" i="7" s="1"/>
  <c r="F1901" i="7"/>
  <c r="I1901" i="7" s="1"/>
  <c r="F716" i="7"/>
  <c r="I716" i="7" s="1"/>
  <c r="F717" i="7"/>
  <c r="I717" i="7" s="1"/>
  <c r="F1908" i="7"/>
  <c r="I1908" i="7" s="1"/>
  <c r="F1909" i="7"/>
  <c r="I1909" i="7" s="1"/>
  <c r="F2868" i="7"/>
  <c r="I2868" i="7" s="1"/>
  <c r="F2869" i="7"/>
  <c r="I2869" i="7" s="1"/>
  <c r="F2596" i="7"/>
  <c r="I2596" i="7" s="1"/>
  <c r="F2597" i="7"/>
  <c r="I2597" i="7" s="1"/>
  <c r="F1380" i="7"/>
  <c r="I1380" i="7" s="1"/>
  <c r="F1381" i="7"/>
  <c r="I1381" i="7" s="1"/>
  <c r="F980" i="7"/>
  <c r="I980" i="7" s="1"/>
  <c r="F981" i="7"/>
  <c r="I981" i="7" s="1"/>
  <c r="F2820" i="7"/>
  <c r="I2820" i="7" s="1"/>
  <c r="F2821" i="7"/>
  <c r="I2821" i="7" s="1"/>
  <c r="F2148" i="7"/>
  <c r="I2148" i="7" s="1"/>
  <c r="F2149" i="7"/>
  <c r="I2149" i="7" s="1"/>
  <c r="F188" i="7"/>
  <c r="I188" i="7" s="1"/>
  <c r="F189" i="7"/>
  <c r="I189" i="7" s="1"/>
  <c r="F1652" i="7"/>
  <c r="I1652" i="7" s="1"/>
  <c r="F1653" i="7"/>
  <c r="I1653" i="7" s="1"/>
  <c r="F852" i="7"/>
  <c r="I852" i="7" s="1"/>
  <c r="F853" i="7"/>
  <c r="I853" i="7" s="1"/>
  <c r="F868" i="7"/>
  <c r="I868" i="7" s="1"/>
  <c r="F869" i="7"/>
  <c r="I869" i="7" s="1"/>
  <c r="F2772" i="7"/>
  <c r="I2772" i="7" s="1"/>
  <c r="F2773" i="7"/>
  <c r="I2773" i="7" s="1"/>
  <c r="F2100" i="7"/>
  <c r="I2100" i="7" s="1"/>
  <c r="F2101" i="7"/>
  <c r="I2101" i="7" s="1"/>
  <c r="F524" i="7"/>
  <c r="I524" i="7" s="1"/>
  <c r="F525" i="7"/>
  <c r="I525" i="7" s="1"/>
  <c r="F252" i="7"/>
  <c r="I252" i="7" s="1"/>
  <c r="F253" i="7"/>
  <c r="I253" i="7" s="1"/>
  <c r="F540" i="7"/>
  <c r="I540" i="7" s="1"/>
  <c r="F541" i="7"/>
  <c r="I541" i="7" s="1"/>
  <c r="F2804" i="7"/>
  <c r="I2804" i="7" s="1"/>
  <c r="F2805" i="7"/>
  <c r="I2805" i="7" s="1"/>
  <c r="F948" i="7"/>
  <c r="I948" i="7" s="1"/>
  <c r="F949" i="7"/>
  <c r="I949" i="7" s="1"/>
  <c r="F724" i="7"/>
  <c r="I724" i="7" s="1"/>
  <c r="F725" i="7"/>
  <c r="I725" i="7" s="1"/>
  <c r="F2524" i="7"/>
  <c r="I2524" i="7" s="1"/>
  <c r="F2525" i="7"/>
  <c r="I2525" i="7" s="1"/>
  <c r="F396" i="7"/>
  <c r="I396" i="7" s="1"/>
  <c r="F397" i="7"/>
  <c r="I397" i="7" s="1"/>
  <c r="F2356" i="7"/>
  <c r="I2356" i="7" s="1"/>
  <c r="F2357" i="7"/>
  <c r="I2357" i="7" s="1"/>
  <c r="F2828" i="7"/>
  <c r="I2828" i="7" s="1"/>
  <c r="F2829" i="7"/>
  <c r="I2829" i="7" s="1"/>
  <c r="F2108" i="7"/>
  <c r="I2108" i="7" s="1"/>
  <c r="F2109" i="7"/>
  <c r="I2109" i="7" s="1"/>
  <c r="F1260" i="7"/>
  <c r="I1260" i="7" s="1"/>
  <c r="F1261" i="7"/>
  <c r="I1261" i="7" s="1"/>
  <c r="F1924" i="7"/>
  <c r="I1924" i="7" s="1"/>
  <c r="F1925" i="7"/>
  <c r="I1925" i="7" s="1"/>
  <c r="F2012" i="7"/>
  <c r="I2012" i="7" s="1"/>
  <c r="F2013" i="7"/>
  <c r="I2013" i="7" s="1"/>
  <c r="F2156" i="7"/>
  <c r="I2156" i="7" s="1"/>
  <c r="F2157" i="7"/>
  <c r="I2157" i="7" s="1"/>
  <c r="F1828" i="7"/>
  <c r="I1828" i="7" s="1"/>
  <c r="F1829" i="7"/>
  <c r="I1829" i="7" s="1"/>
  <c r="F692" i="7"/>
  <c r="I692" i="7" s="1"/>
  <c r="F693" i="7"/>
  <c r="I693" i="7" s="1"/>
  <c r="F788" i="7"/>
  <c r="I788" i="7" s="1"/>
  <c r="F789" i="7"/>
  <c r="I789" i="7" s="1"/>
  <c r="F2836" i="7"/>
  <c r="I2836" i="7" s="1"/>
  <c r="F2837" i="7"/>
  <c r="I2837" i="7" s="1"/>
  <c r="F2124" i="7"/>
  <c r="I2124" i="7" s="1"/>
  <c r="F2125" i="7"/>
  <c r="I2125" i="7" s="1"/>
  <c r="F1348" i="7"/>
  <c r="I1348" i="7" s="1"/>
  <c r="F1349" i="7"/>
  <c r="I1349" i="7" s="1"/>
  <c r="F964" i="7"/>
  <c r="I964" i="7" s="1"/>
  <c r="F965" i="7"/>
  <c r="I965" i="7" s="1"/>
  <c r="F1388" i="7"/>
  <c r="I1388" i="7" s="1"/>
  <c r="F1389" i="7"/>
  <c r="I1389" i="7" s="1"/>
  <c r="F140" i="7"/>
  <c r="I140" i="7" s="1"/>
  <c r="F141" i="7"/>
  <c r="I141" i="7" s="1"/>
  <c r="F2580" i="7"/>
  <c r="I2580" i="7" s="1"/>
  <c r="F2581" i="7"/>
  <c r="I2581" i="7" s="1"/>
  <c r="F1620" i="7"/>
  <c r="I1620" i="7" s="1"/>
  <c r="F1621" i="7"/>
  <c r="I1621" i="7" s="1"/>
  <c r="F1412" i="7"/>
  <c r="I1412" i="7" s="1"/>
  <c r="F1413" i="7"/>
  <c r="I1413" i="7" s="1"/>
  <c r="F508" i="7"/>
  <c r="I508" i="7" s="1"/>
  <c r="F509" i="7"/>
  <c r="I509" i="7" s="1"/>
  <c r="F2468" i="7"/>
  <c r="I2468" i="7" s="1"/>
  <c r="F2469" i="7"/>
  <c r="I2469" i="7" s="1"/>
  <c r="F404" i="7"/>
  <c r="I404" i="7" s="1"/>
  <c r="F405" i="7"/>
  <c r="I405" i="7" s="1"/>
  <c r="F2316" i="7"/>
  <c r="I2316" i="7" s="1"/>
  <c r="F2317" i="7"/>
  <c r="I2317" i="7" s="1"/>
  <c r="F2548" i="7"/>
  <c r="I2548" i="7" s="1"/>
  <c r="F2549" i="7"/>
  <c r="I2549" i="7" s="1"/>
  <c r="F1132" i="7"/>
  <c r="I1132" i="7" s="1"/>
  <c r="F1133" i="7"/>
  <c r="I1133" i="7" s="1"/>
  <c r="F2260" i="7"/>
  <c r="I2260" i="7" s="1"/>
  <c r="F2261" i="7"/>
  <c r="I2261" i="7" s="1"/>
  <c r="F1196" i="7"/>
  <c r="I1196" i="7" s="1"/>
  <c r="F1197" i="7"/>
  <c r="I1197" i="7" s="1"/>
  <c r="F1364" i="7"/>
  <c r="I1364" i="7" s="1"/>
  <c r="F1365" i="7"/>
  <c r="I1365" i="7" s="1"/>
  <c r="F1876" i="7"/>
  <c r="I1876" i="7" s="1"/>
  <c r="F1877" i="7"/>
  <c r="I1877" i="7" s="1"/>
  <c r="F1740" i="7"/>
  <c r="I1740" i="7" s="1"/>
  <c r="F1741" i="7"/>
  <c r="I1741" i="7" s="1"/>
  <c r="F1316" i="7"/>
  <c r="I1316" i="7" s="1"/>
  <c r="F1317" i="7"/>
  <c r="I1317" i="7" s="1"/>
  <c r="F2740" i="7"/>
  <c r="I2740" i="7" s="1"/>
  <c r="F2741" i="7"/>
  <c r="I2741" i="7" s="1"/>
  <c r="F2676" i="7"/>
  <c r="I2676" i="7" s="1"/>
  <c r="F2677" i="7"/>
  <c r="I2677" i="7" s="1"/>
  <c r="F756" i="7"/>
  <c r="I756" i="7" s="1"/>
  <c r="F757" i="7"/>
  <c r="I757" i="7" s="1"/>
  <c r="F2452" i="7"/>
  <c r="I2452" i="7" s="1"/>
  <c r="F2453" i="7"/>
  <c r="I2453" i="7" s="1"/>
  <c r="F2084" i="7"/>
  <c r="I2084" i="7" s="1"/>
  <c r="F2085" i="7"/>
  <c r="I2085" i="7" s="1"/>
  <c r="F1236" i="7"/>
  <c r="I1236" i="7" s="1"/>
  <c r="F1237" i="7"/>
  <c r="I1237" i="7" s="1"/>
  <c r="F684" i="7"/>
  <c r="I684" i="7" s="1"/>
  <c r="F685" i="7"/>
  <c r="I685" i="7" s="1"/>
  <c r="F1332" i="7"/>
  <c r="I1332" i="7" s="1"/>
  <c r="F1333" i="7"/>
  <c r="I1333" i="7" s="1"/>
  <c r="F1556" i="7"/>
  <c r="I1556" i="7" s="1"/>
  <c r="F1557" i="7"/>
  <c r="I1557" i="7" s="1"/>
  <c r="F1428" i="7"/>
  <c r="I1428" i="7" s="1"/>
  <c r="F1429" i="7"/>
  <c r="I1429" i="7" s="1"/>
  <c r="F572" i="7"/>
  <c r="I572" i="7" s="1"/>
  <c r="F573" i="7"/>
  <c r="I573" i="7" s="1"/>
  <c r="F316" i="7"/>
  <c r="I316" i="7" s="1"/>
  <c r="F317" i="7"/>
  <c r="I317" i="7" s="1"/>
  <c r="F1292" i="7"/>
  <c r="I1292" i="7" s="1"/>
  <c r="F1293" i="7"/>
  <c r="I1293" i="7" s="1"/>
  <c r="F268" i="7"/>
  <c r="I268" i="7" s="1"/>
  <c r="F269" i="7"/>
  <c r="I269" i="7" s="1"/>
  <c r="F1396" i="7"/>
  <c r="I1396" i="7" s="1"/>
  <c r="F1397" i="7"/>
  <c r="I1397" i="7" s="1"/>
  <c r="F2420" i="7"/>
  <c r="I2420" i="7" s="1"/>
  <c r="F2421" i="7"/>
  <c r="I2421" i="7" s="1"/>
  <c r="F1548" i="7"/>
  <c r="I1548" i="7" s="1"/>
  <c r="F1549" i="7"/>
  <c r="I1549" i="7" s="1"/>
  <c r="F372" i="7"/>
  <c r="I372" i="7" s="1"/>
  <c r="F373" i="7"/>
  <c r="I373" i="7" s="1"/>
  <c r="F916" i="7"/>
  <c r="I916" i="7" s="1"/>
  <c r="F917" i="7"/>
  <c r="I917" i="7" s="1"/>
  <c r="K1731" i="7"/>
  <c r="M1731" i="7" s="1"/>
  <c r="K1732" i="7"/>
  <c r="M1732" i="7" s="1"/>
  <c r="K1947" i="7"/>
  <c r="M1947" i="7" s="1"/>
  <c r="K1948" i="7"/>
  <c r="M1948" i="7" s="1"/>
  <c r="K1627" i="7"/>
  <c r="M1627" i="7" s="1"/>
  <c r="K1628" i="7"/>
  <c r="M1628" i="7" s="1"/>
  <c r="K2267" i="7"/>
  <c r="M2267" i="7" s="1"/>
  <c r="K2268" i="7"/>
  <c r="M2268" i="7" s="1"/>
  <c r="K1283" i="7"/>
  <c r="M1283" i="7" s="1"/>
  <c r="K1284" i="7"/>
  <c r="M1284" i="7" s="1"/>
  <c r="K675" i="7"/>
  <c r="M675" i="7" s="1"/>
  <c r="K676" i="7"/>
  <c r="M676" i="7" s="1"/>
  <c r="K2427" i="7"/>
  <c r="M2427" i="7" s="1"/>
  <c r="K2428" i="7"/>
  <c r="M2428" i="7" s="1"/>
  <c r="K1003" i="7"/>
  <c r="M1003" i="7" s="1"/>
  <c r="K1004" i="7"/>
  <c r="M1004" i="7" s="1"/>
  <c r="K419" i="7"/>
  <c r="M419" i="7" s="1"/>
  <c r="K420" i="7"/>
  <c r="M420" i="7" s="1"/>
  <c r="K67" i="7"/>
  <c r="M67" i="7" s="1"/>
  <c r="K68" i="7"/>
  <c r="M68" i="7" s="1"/>
  <c r="K827" i="7"/>
  <c r="M827" i="7" s="1"/>
  <c r="K828" i="7"/>
  <c r="M828" i="7" s="1"/>
  <c r="K1755" i="7"/>
  <c r="M1755" i="7" s="1"/>
  <c r="K1756" i="7"/>
  <c r="M1756" i="7" s="1"/>
  <c r="K2219" i="7"/>
  <c r="M2219" i="7" s="1"/>
  <c r="K2220" i="7"/>
  <c r="M2220" i="7" s="1"/>
  <c r="K1107" i="7"/>
  <c r="M1107" i="7" s="1"/>
  <c r="K1108" i="7"/>
  <c r="M1108" i="7" s="1"/>
  <c r="K211" i="7"/>
  <c r="M211" i="7" s="1"/>
  <c r="K212" i="7"/>
  <c r="M212" i="7" s="1"/>
  <c r="K1211" i="7"/>
  <c r="M1211" i="7" s="1"/>
  <c r="K1212" i="7"/>
  <c r="M1212" i="7" s="1"/>
  <c r="K2699" i="7"/>
  <c r="M2699" i="7" s="1"/>
  <c r="K2700" i="7"/>
  <c r="M2700" i="7" s="1"/>
  <c r="K2627" i="7"/>
  <c r="M2627" i="7" s="1"/>
  <c r="K2628" i="7"/>
  <c r="M2628" i="7" s="1"/>
  <c r="K2571" i="7"/>
  <c r="M2571" i="7" s="1"/>
  <c r="K2572" i="7"/>
  <c r="M2572" i="7" s="1"/>
  <c r="K499" i="7"/>
  <c r="M499" i="7" s="1"/>
  <c r="K500" i="7"/>
  <c r="M500" i="7" s="1"/>
  <c r="K939" i="7"/>
  <c r="M939" i="7" s="1"/>
  <c r="K940" i="7"/>
  <c r="M940" i="7" s="1"/>
  <c r="K1051" i="7"/>
  <c r="M1051" i="7" s="1"/>
  <c r="K1052" i="7"/>
  <c r="M1052" i="7" s="1"/>
  <c r="K1467" i="7"/>
  <c r="M1467" i="7" s="1"/>
  <c r="K1468" i="7"/>
  <c r="M1468" i="7" s="1"/>
  <c r="K2115" i="7"/>
  <c r="M2115" i="7" s="1"/>
  <c r="K2116" i="7"/>
  <c r="M2116" i="7" s="1"/>
  <c r="K1243" i="7"/>
  <c r="M1243" i="7" s="1"/>
  <c r="K1244" i="7"/>
  <c r="M1244" i="7" s="1"/>
  <c r="K1139" i="7"/>
  <c r="M1139" i="7" s="1"/>
  <c r="K1140" i="7"/>
  <c r="M1140" i="7" s="1"/>
  <c r="K1355" i="7"/>
  <c r="M1355" i="7" s="1"/>
  <c r="K1356" i="7"/>
  <c r="M1356" i="7" s="1"/>
  <c r="K2371" i="7"/>
  <c r="M2371" i="7" s="1"/>
  <c r="K2372" i="7"/>
  <c r="M2372" i="7" s="1"/>
  <c r="K2795" i="7"/>
  <c r="M2795" i="7" s="1"/>
  <c r="K2796" i="7"/>
  <c r="M2796" i="7" s="1"/>
  <c r="K2251" i="7"/>
  <c r="M2251" i="7" s="1"/>
  <c r="K2252" i="7"/>
  <c r="M2252" i="7" s="1"/>
  <c r="K1715" i="7"/>
  <c r="M1715" i="7" s="1"/>
  <c r="K1716" i="7"/>
  <c r="M1716" i="7" s="1"/>
  <c r="K2131" i="7"/>
  <c r="M2131" i="7" s="1"/>
  <c r="K2132" i="7"/>
  <c r="M2132" i="7" s="1"/>
  <c r="K1219" i="7"/>
  <c r="M1219" i="7" s="1"/>
  <c r="K1220" i="7"/>
  <c r="M1220" i="7" s="1"/>
  <c r="K651" i="7"/>
  <c r="M651" i="7" s="1"/>
  <c r="K652" i="7"/>
  <c r="M652" i="7" s="1"/>
  <c r="K771" i="7"/>
  <c r="M771" i="7" s="1"/>
  <c r="K772" i="7"/>
  <c r="M772" i="7" s="1"/>
  <c r="K387" i="7"/>
  <c r="M387" i="7" s="1"/>
  <c r="K388" i="7"/>
  <c r="M388" i="7" s="1"/>
  <c r="K2859" i="7"/>
  <c r="M2859" i="7" s="1"/>
  <c r="K2860" i="7"/>
  <c r="M2860" i="7" s="1"/>
  <c r="K1899" i="7"/>
  <c r="M1899" i="7" s="1"/>
  <c r="K1900" i="7"/>
  <c r="M1900" i="7" s="1"/>
  <c r="K1147" i="7"/>
  <c r="M1147" i="7" s="1"/>
  <c r="K1148" i="7"/>
  <c r="M1148" i="7" s="1"/>
  <c r="K1723" i="7"/>
  <c r="M1723" i="7" s="1"/>
  <c r="K1724" i="7"/>
  <c r="M1724" i="7" s="1"/>
  <c r="K459" i="7"/>
  <c r="M459" i="7" s="1"/>
  <c r="K460" i="7"/>
  <c r="M460" i="7" s="1"/>
  <c r="K83" i="7"/>
  <c r="M83" i="7" s="1"/>
  <c r="K84" i="7"/>
  <c r="M84" i="7" s="1"/>
  <c r="K1115" i="7"/>
  <c r="M1115" i="7" s="1"/>
  <c r="K1116" i="7"/>
  <c r="M1116" i="7" s="1"/>
  <c r="K2027" i="7"/>
  <c r="M2027" i="7" s="1"/>
  <c r="K2028" i="7"/>
  <c r="M2028" i="7" s="1"/>
  <c r="K2403" i="7"/>
  <c r="M2403" i="7" s="1"/>
  <c r="K2404" i="7"/>
  <c r="M2404" i="7" s="1"/>
  <c r="K2811" i="7"/>
  <c r="M2811" i="7" s="1"/>
  <c r="K2812" i="7"/>
  <c r="M2812" i="7" s="1"/>
  <c r="K1187" i="7"/>
  <c r="M1187" i="7" s="1"/>
  <c r="K1188" i="7"/>
  <c r="M1188" i="7" s="1"/>
  <c r="K299" i="7"/>
  <c r="M299" i="7" s="1"/>
  <c r="K300" i="7"/>
  <c r="M300" i="7" s="1"/>
  <c r="K2851" i="7"/>
  <c r="M2851" i="7" s="1"/>
  <c r="K2852" i="7"/>
  <c r="M2852" i="7" s="1"/>
  <c r="K115" i="7"/>
  <c r="M115" i="7" s="1"/>
  <c r="K116" i="7"/>
  <c r="M116" i="7" s="1"/>
  <c r="K2075" i="7"/>
  <c r="M2075" i="7" s="1"/>
  <c r="K2076" i="7"/>
  <c r="M2076" i="7" s="1"/>
  <c r="K1635" i="7"/>
  <c r="M1635" i="7" s="1"/>
  <c r="K1636" i="7"/>
  <c r="M1636" i="7" s="1"/>
  <c r="K131" i="7"/>
  <c r="M131" i="7" s="1"/>
  <c r="K132" i="7"/>
  <c r="M132" i="7" s="1"/>
  <c r="K643" i="7"/>
  <c r="M643" i="7" s="1"/>
  <c r="K644" i="7"/>
  <c r="M644" i="7" s="1"/>
  <c r="K2875" i="7"/>
  <c r="M2875" i="7" s="1"/>
  <c r="K2876" i="7"/>
  <c r="M2876" i="7" s="1"/>
  <c r="K747" i="7"/>
  <c r="M747" i="7" s="1"/>
  <c r="K748" i="7"/>
  <c r="M748" i="7" s="1"/>
  <c r="K355" i="7"/>
  <c r="M355" i="7" s="1"/>
  <c r="K356" i="7"/>
  <c r="M356" i="7" s="1"/>
  <c r="K2011" i="7"/>
  <c r="M2011" i="7" s="1"/>
  <c r="K2012" i="7"/>
  <c r="M2012" i="7" s="1"/>
  <c r="K2155" i="7"/>
  <c r="M2155" i="7" s="1"/>
  <c r="K2156" i="7"/>
  <c r="M2156" i="7" s="1"/>
  <c r="K587" i="7"/>
  <c r="M587" i="7" s="1"/>
  <c r="K588" i="7"/>
  <c r="M588" i="7" s="1"/>
  <c r="K1515" i="7"/>
  <c r="M1515" i="7" s="1"/>
  <c r="K1516" i="7"/>
  <c r="M1516" i="7" s="1"/>
  <c r="K331" i="7"/>
  <c r="M331" i="7" s="1"/>
  <c r="K332" i="7"/>
  <c r="M332" i="7" s="1"/>
  <c r="K1019" i="7"/>
  <c r="M1019" i="7" s="1"/>
  <c r="K1020" i="7"/>
  <c r="M1020" i="7" s="1"/>
  <c r="K923" i="7"/>
  <c r="M923" i="7" s="1"/>
  <c r="K924" i="7"/>
  <c r="M924" i="7" s="1"/>
  <c r="K595" i="7"/>
  <c r="M595" i="7" s="1"/>
  <c r="K596" i="7"/>
  <c r="M596" i="7" s="1"/>
  <c r="K2171" i="7"/>
  <c r="M2171" i="7" s="1"/>
  <c r="K2172" i="7"/>
  <c r="M2172" i="7" s="1"/>
  <c r="K1659" i="7"/>
  <c r="M1659" i="7" s="1"/>
  <c r="K1660" i="7"/>
  <c r="M1660" i="7" s="1"/>
  <c r="K2179" i="7"/>
  <c r="M2179" i="7" s="1"/>
  <c r="K2180" i="7"/>
  <c r="M2180" i="7" s="1"/>
  <c r="K1299" i="7"/>
  <c r="M1299" i="7" s="1"/>
  <c r="K1300" i="7"/>
  <c r="M1300" i="7" s="1"/>
  <c r="K2723" i="7"/>
  <c r="M2723" i="7" s="1"/>
  <c r="K2724" i="7"/>
  <c r="M2724" i="7" s="1"/>
  <c r="K763" i="7"/>
  <c r="M763" i="7" s="1"/>
  <c r="K764" i="7"/>
  <c r="M764" i="7" s="1"/>
  <c r="K2651" i="7"/>
  <c r="M2651" i="7" s="1"/>
  <c r="K2652" i="7"/>
  <c r="M2652" i="7" s="1"/>
  <c r="K795" i="7"/>
  <c r="M795" i="7" s="1"/>
  <c r="K796" i="7"/>
  <c r="M796" i="7" s="1"/>
  <c r="K179" i="7"/>
  <c r="M179" i="7" s="1"/>
  <c r="K180" i="7"/>
  <c r="M180" i="7" s="1"/>
  <c r="K899" i="7"/>
  <c r="M899" i="7" s="1"/>
  <c r="K900" i="7"/>
  <c r="M900" i="7" s="1"/>
  <c r="K555" i="7"/>
  <c r="M555" i="7" s="1"/>
  <c r="K556" i="7"/>
  <c r="M556" i="7" s="1"/>
  <c r="K339" i="7"/>
  <c r="M339" i="7" s="1"/>
  <c r="K340" i="7"/>
  <c r="M340" i="7" s="1"/>
  <c r="K1539" i="7"/>
  <c r="M1539" i="7" s="1"/>
  <c r="K1540" i="7"/>
  <c r="M1540" i="7" s="1"/>
  <c r="K2715" i="7"/>
  <c r="M2715" i="7" s="1"/>
  <c r="K2716" i="7"/>
  <c r="M2716" i="7" s="1"/>
  <c r="K1083" i="7"/>
  <c r="M1083" i="7" s="1"/>
  <c r="K1084" i="7"/>
  <c r="M1084" i="7" s="1"/>
  <c r="K1699" i="7"/>
  <c r="M1699" i="7" s="1"/>
  <c r="K1700" i="7"/>
  <c r="M1700" i="7" s="1"/>
  <c r="K2019" i="7"/>
  <c r="M2019" i="7" s="1"/>
  <c r="K2020" i="7"/>
  <c r="M2020" i="7" s="1"/>
  <c r="K1371" i="7"/>
  <c r="M1371" i="7" s="1"/>
  <c r="K1372" i="7"/>
  <c r="M1372" i="7" s="1"/>
  <c r="K2107" i="7"/>
  <c r="M2107" i="7" s="1"/>
  <c r="K2108" i="7"/>
  <c r="M2108" i="7" s="1"/>
  <c r="K1923" i="7"/>
  <c r="M1923" i="7" s="1"/>
  <c r="K1924" i="7"/>
  <c r="M1924" i="7" s="1"/>
  <c r="K1155" i="7"/>
  <c r="M1155" i="7" s="1"/>
  <c r="K1156" i="7"/>
  <c r="M1156" i="7" s="1"/>
  <c r="K195" i="7"/>
  <c r="M195" i="7" s="1"/>
  <c r="K196" i="7"/>
  <c r="M196" i="7" s="1"/>
  <c r="K2763" i="7"/>
  <c r="M2763" i="7" s="1"/>
  <c r="K2764" i="7"/>
  <c r="M2764" i="7" s="1"/>
  <c r="K1995" i="7"/>
  <c r="M1995" i="7" s="1"/>
  <c r="K1996" i="7"/>
  <c r="M1996" i="7" s="1"/>
  <c r="K2731" i="7"/>
  <c r="M2731" i="7" s="1"/>
  <c r="K2732" i="7"/>
  <c r="M2732" i="7" s="1"/>
  <c r="K1499" i="7"/>
  <c r="M1499" i="7" s="1"/>
  <c r="K1500" i="7"/>
  <c r="M1500" i="7" s="1"/>
  <c r="K1091" i="7"/>
  <c r="M1091" i="7" s="1"/>
  <c r="K1092" i="7"/>
  <c r="M1092" i="7" s="1"/>
  <c r="K163" i="7"/>
  <c r="M163" i="7" s="1"/>
  <c r="K164" i="7"/>
  <c r="M164" i="7" s="1"/>
  <c r="K1739" i="7"/>
  <c r="M1739" i="7" s="1"/>
  <c r="K1740" i="7"/>
  <c r="M1740" i="7" s="1"/>
  <c r="K579" i="7"/>
  <c r="M579" i="7" s="1"/>
  <c r="K580" i="7"/>
  <c r="M580" i="7" s="1"/>
  <c r="K323" i="7"/>
  <c r="M323" i="7" s="1"/>
  <c r="K324" i="7"/>
  <c r="M324" i="7" s="1"/>
  <c r="K75" i="7"/>
  <c r="M75" i="7" s="1"/>
  <c r="K76" i="7"/>
  <c r="M76" i="7" s="1"/>
  <c r="K803" i="7"/>
  <c r="M803" i="7" s="1"/>
  <c r="K804" i="7"/>
  <c r="M804" i="7" s="1"/>
  <c r="K1835" i="7"/>
  <c r="M1835" i="7" s="1"/>
  <c r="K1836" i="7"/>
  <c r="M1836" i="7" s="1"/>
  <c r="K203" i="7"/>
  <c r="M203" i="7" s="1"/>
  <c r="K204" i="7"/>
  <c r="M204" i="7" s="1"/>
  <c r="K891" i="7"/>
  <c r="M891" i="7" s="1"/>
  <c r="K892" i="7"/>
  <c r="M892" i="7" s="1"/>
  <c r="K2499" i="7"/>
  <c r="M2499" i="7" s="1"/>
  <c r="K2500" i="7"/>
  <c r="M2500" i="7" s="1"/>
  <c r="K2539" i="7"/>
  <c r="M2539" i="7" s="1"/>
  <c r="K2540" i="7"/>
  <c r="M2540" i="7" s="1"/>
  <c r="K1403" i="7"/>
  <c r="M1403" i="7" s="1"/>
  <c r="K1404" i="7"/>
  <c r="M1404" i="7" s="1"/>
  <c r="K1611" i="7"/>
  <c r="M1611" i="7" s="1"/>
  <c r="K1612" i="7"/>
  <c r="M1612" i="7" s="1"/>
  <c r="K1987" i="7"/>
  <c r="M1987" i="7" s="1"/>
  <c r="K1988" i="7"/>
  <c r="M1988" i="7" s="1"/>
  <c r="K1267" i="7"/>
  <c r="M1267" i="7" s="1"/>
  <c r="K1268" i="7"/>
  <c r="M1268" i="7" s="1"/>
  <c r="K707" i="7"/>
  <c r="M707" i="7" s="1"/>
  <c r="K708" i="7"/>
  <c r="M708" i="7" s="1"/>
  <c r="K2243" i="7"/>
  <c r="M2243" i="7" s="1"/>
  <c r="K2244" i="7"/>
  <c r="M2244" i="7" s="1"/>
  <c r="K635" i="7"/>
  <c r="M635" i="7" s="1"/>
  <c r="K636" i="7"/>
  <c r="M636" i="7" s="1"/>
  <c r="K531" i="7"/>
  <c r="M531" i="7" s="1"/>
  <c r="K532" i="7"/>
  <c r="M532" i="7" s="1"/>
  <c r="K563" i="7"/>
  <c r="M563" i="7" s="1"/>
  <c r="K564" i="7"/>
  <c r="M564" i="7" s="1"/>
  <c r="K2787" i="7"/>
  <c r="M2787" i="7" s="1"/>
  <c r="K2788" i="7"/>
  <c r="M2788" i="7" s="1"/>
  <c r="K2203" i="7"/>
  <c r="M2203" i="7" s="1"/>
  <c r="K2204" i="7"/>
  <c r="M2204" i="7" s="1"/>
  <c r="K1339" i="7"/>
  <c r="M1339" i="7" s="1"/>
  <c r="K1340" i="7"/>
  <c r="M1340" i="7" s="1"/>
  <c r="K1819" i="7"/>
  <c r="M1819" i="7" s="1"/>
  <c r="K1820" i="7"/>
  <c r="M1820" i="7" s="1"/>
  <c r="K2443" i="7"/>
  <c r="M2443" i="7" s="1"/>
  <c r="K2444" i="7"/>
  <c r="M2444" i="7" s="1"/>
  <c r="K2747" i="7"/>
  <c r="M2747" i="7" s="1"/>
  <c r="K2748" i="7"/>
  <c r="M2748" i="7" s="1"/>
  <c r="K1443" i="7"/>
  <c r="M1443" i="7" s="1"/>
  <c r="K1444" i="7"/>
  <c r="M1444" i="7" s="1"/>
  <c r="K2275" i="7"/>
  <c r="M2275" i="7" s="1"/>
  <c r="K2276" i="7"/>
  <c r="M2276" i="7" s="1"/>
  <c r="K2051" i="7"/>
  <c r="M2051" i="7" s="1"/>
  <c r="K2052" i="7"/>
  <c r="M2052" i="7" s="1"/>
  <c r="K2827" i="7"/>
  <c r="M2827" i="7" s="1"/>
  <c r="K2828" i="7"/>
  <c r="M2828" i="7" s="1"/>
  <c r="K2667" i="7"/>
  <c r="M2667" i="7" s="1"/>
  <c r="K2668" i="7"/>
  <c r="M2668" i="7" s="1"/>
  <c r="K1851" i="7"/>
  <c r="M1851" i="7" s="1"/>
  <c r="K1852" i="7"/>
  <c r="M1852" i="7" s="1"/>
  <c r="K547" i="7"/>
  <c r="M547" i="7" s="1"/>
  <c r="K548" i="7"/>
  <c r="M548" i="7" s="1"/>
  <c r="K291" i="7"/>
  <c r="M291" i="7" s="1"/>
  <c r="K292" i="7"/>
  <c r="M292" i="7" s="1"/>
  <c r="K1507" i="7"/>
  <c r="M1507" i="7" s="1"/>
  <c r="K1508" i="7"/>
  <c r="M1508" i="7" s="1"/>
  <c r="K2491" i="7"/>
  <c r="M2491" i="7" s="1"/>
  <c r="K2492" i="7"/>
  <c r="M2492" i="7" s="1"/>
  <c r="K2843" i="7"/>
  <c r="M2843" i="7" s="1"/>
  <c r="K2844" i="7"/>
  <c r="M2844" i="7" s="1"/>
  <c r="K1707" i="7"/>
  <c r="M1707" i="7" s="1"/>
  <c r="K1708" i="7"/>
  <c r="M1708" i="7" s="1"/>
  <c r="K875" i="7"/>
  <c r="M875" i="7" s="1"/>
  <c r="K876" i="7"/>
  <c r="M876" i="7" s="1"/>
  <c r="K1891" i="7"/>
  <c r="M1891" i="7" s="1"/>
  <c r="K1892" i="7"/>
  <c r="M1892" i="7" s="1"/>
  <c r="K843" i="7"/>
  <c r="M843" i="7" s="1"/>
  <c r="K844" i="7"/>
  <c r="M844" i="7" s="1"/>
  <c r="K1059" i="7"/>
  <c r="M1059" i="7" s="1"/>
  <c r="K1060" i="7"/>
  <c r="M1060" i="7" s="1"/>
  <c r="K307" i="7"/>
  <c r="M307" i="7" s="1"/>
  <c r="K308" i="7"/>
  <c r="M308" i="7" s="1"/>
  <c r="K1915" i="7"/>
  <c r="M1915" i="7" s="1"/>
  <c r="K1916" i="7"/>
  <c r="M1916" i="7" s="1"/>
  <c r="K1179" i="7"/>
  <c r="M1179" i="7" s="1"/>
  <c r="K1180" i="7"/>
  <c r="M1180" i="7" s="1"/>
  <c r="K2331" i="7"/>
  <c r="M2331" i="7" s="1"/>
  <c r="K2332" i="7"/>
  <c r="M2332" i="7" s="1"/>
  <c r="K667" i="7"/>
  <c r="M667" i="7" s="1"/>
  <c r="K668" i="7"/>
  <c r="M668" i="7" s="1"/>
  <c r="K2139" i="7"/>
  <c r="M2139" i="7" s="1"/>
  <c r="K2140" i="7"/>
  <c r="M2140" i="7" s="1"/>
  <c r="K147" i="7"/>
  <c r="M147" i="7" s="1"/>
  <c r="K148" i="7"/>
  <c r="M148" i="7" s="1"/>
  <c r="K603" i="7"/>
  <c r="M603" i="7" s="1"/>
  <c r="K604" i="7"/>
  <c r="M604" i="7" s="1"/>
  <c r="K1459" i="7"/>
  <c r="M1459" i="7" s="1"/>
  <c r="K1460" i="7"/>
  <c r="M1460" i="7" s="1"/>
  <c r="K2659" i="7"/>
  <c r="M2659" i="7" s="1"/>
  <c r="K2660" i="7"/>
  <c r="M2660" i="7" s="1"/>
  <c r="K1563" i="7"/>
  <c r="M1563" i="7" s="1"/>
  <c r="K1564" i="7"/>
  <c r="M1564" i="7" s="1"/>
  <c r="K2211" i="7"/>
  <c r="M2211" i="7" s="1"/>
  <c r="K2212" i="7"/>
  <c r="M2212" i="7" s="1"/>
  <c r="K2635" i="7"/>
  <c r="M2635" i="7" s="1"/>
  <c r="K2636" i="7"/>
  <c r="M2636" i="7" s="1"/>
  <c r="K955" i="7"/>
  <c r="M955" i="7" s="1"/>
  <c r="K956" i="7"/>
  <c r="M956" i="7" s="1"/>
  <c r="K99" i="7"/>
  <c r="M99" i="7" s="1"/>
  <c r="K100" i="7"/>
  <c r="M100" i="7" s="1"/>
  <c r="K1691" i="7"/>
  <c r="M1691" i="7" s="1"/>
  <c r="K1692" i="7"/>
  <c r="M1692" i="7" s="1"/>
  <c r="K2603" i="7"/>
  <c r="M2603" i="7" s="1"/>
  <c r="K2604" i="7"/>
  <c r="M2604" i="7" s="1"/>
  <c r="K2587" i="7"/>
  <c r="M2587" i="7" s="1"/>
  <c r="K2588" i="7"/>
  <c r="M2588" i="7" s="1"/>
  <c r="K2555" i="7"/>
  <c r="M2555" i="7" s="1"/>
  <c r="K2556" i="7"/>
  <c r="M2556" i="7" s="1"/>
  <c r="K859" i="7"/>
  <c r="M859" i="7" s="1"/>
  <c r="K860" i="7"/>
  <c r="M860" i="7" s="1"/>
  <c r="K1875" i="7"/>
  <c r="M1875" i="7" s="1"/>
  <c r="K1876" i="7"/>
  <c r="M1876" i="7" s="1"/>
  <c r="K931" i="7"/>
  <c r="M931" i="7" s="1"/>
  <c r="K932" i="7"/>
  <c r="M932" i="7" s="1"/>
  <c r="K35" i="7"/>
  <c r="M35" i="7" s="1"/>
  <c r="K36" i="7"/>
  <c r="M36" i="7" s="1"/>
  <c r="K1595" i="7"/>
  <c r="M1595" i="7" s="1"/>
  <c r="K1596" i="7"/>
  <c r="M1596" i="7" s="1"/>
  <c r="K515" i="7"/>
  <c r="M515" i="7" s="1"/>
  <c r="K516" i="7"/>
  <c r="M516" i="7" s="1"/>
  <c r="K259" i="7"/>
  <c r="M259" i="7" s="1"/>
  <c r="K260" i="7"/>
  <c r="M260" i="7" s="1"/>
  <c r="K2523" i="7"/>
  <c r="M2523" i="7" s="1"/>
  <c r="K2524" i="7"/>
  <c r="M2524" i="7" s="1"/>
  <c r="K2475" i="7"/>
  <c r="M2475" i="7" s="1"/>
  <c r="K2476" i="7"/>
  <c r="M2476" i="7" s="1"/>
  <c r="K2563" i="7"/>
  <c r="M2563" i="7" s="1"/>
  <c r="K2564" i="7"/>
  <c r="M2564" i="7" s="1"/>
  <c r="K1603" i="7"/>
  <c r="M1603" i="7" s="1"/>
  <c r="K1604" i="7"/>
  <c r="M1604" i="7" s="1"/>
  <c r="K2619" i="7"/>
  <c r="M2619" i="7" s="1"/>
  <c r="K2620" i="7"/>
  <c r="M2620" i="7" s="1"/>
  <c r="K611" i="7"/>
  <c r="M611" i="7" s="1"/>
  <c r="K612" i="7"/>
  <c r="M612" i="7" s="1"/>
  <c r="K1859" i="7"/>
  <c r="M1859" i="7" s="1"/>
  <c r="K1860" i="7"/>
  <c r="M1860" i="7" s="1"/>
  <c r="K2043" i="7"/>
  <c r="M2043" i="7" s="1"/>
  <c r="K2044" i="7"/>
  <c r="M2044" i="7" s="1"/>
  <c r="K987" i="7"/>
  <c r="M987" i="7" s="1"/>
  <c r="K988" i="7"/>
  <c r="M988" i="7" s="1"/>
  <c r="K275" i="7"/>
  <c r="M275" i="7" s="1"/>
  <c r="K276" i="7"/>
  <c r="M276" i="7" s="1"/>
  <c r="K1787" i="7"/>
  <c r="M1787" i="7" s="1"/>
  <c r="K1788" i="7"/>
  <c r="M1788" i="7" s="1"/>
  <c r="K2299" i="7"/>
  <c r="M2299" i="7" s="1"/>
  <c r="K2300" i="7"/>
  <c r="M2300" i="7" s="1"/>
  <c r="K2683" i="7"/>
  <c r="M2683" i="7" s="1"/>
  <c r="K2684" i="7"/>
  <c r="M2684" i="7" s="1"/>
  <c r="K2779" i="7"/>
  <c r="M2779" i="7" s="1"/>
  <c r="K2780" i="7"/>
  <c r="M2780" i="7" s="1"/>
  <c r="K1979" i="7"/>
  <c r="M1979" i="7" s="1"/>
  <c r="K1980" i="7"/>
  <c r="M1980" i="7" s="1"/>
  <c r="K1275" i="7"/>
  <c r="M1275" i="7" s="1"/>
  <c r="K1276" i="7"/>
  <c r="M1276" i="7" s="1"/>
  <c r="K2307" i="7"/>
  <c r="M2307" i="7" s="1"/>
  <c r="K2308" i="7"/>
  <c r="M2308" i="7" s="1"/>
  <c r="K1531" i="7"/>
  <c r="M1531" i="7" s="1"/>
  <c r="K1532" i="7"/>
  <c r="M1532" i="7" s="1"/>
  <c r="K699" i="7"/>
  <c r="M699" i="7" s="1"/>
  <c r="K700" i="7"/>
  <c r="M700" i="7" s="1"/>
  <c r="K1027" i="7"/>
  <c r="M1027" i="7" s="1"/>
  <c r="K1028" i="7"/>
  <c r="M1028" i="7" s="1"/>
  <c r="K451" i="7"/>
  <c r="M451" i="7" s="1"/>
  <c r="K452" i="7"/>
  <c r="M452" i="7" s="1"/>
  <c r="K2507" i="7"/>
  <c r="M2507" i="7" s="1"/>
  <c r="K2508" i="7"/>
  <c r="M2508" i="7" s="1"/>
  <c r="K1203" i="7"/>
  <c r="M1203" i="7" s="1"/>
  <c r="K1204" i="7"/>
  <c r="M1204" i="7" s="1"/>
  <c r="K2411" i="7"/>
  <c r="M2411" i="7" s="1"/>
  <c r="K2412" i="7"/>
  <c r="M2412" i="7" s="1"/>
  <c r="K1883" i="7"/>
  <c r="M1883" i="7" s="1"/>
  <c r="K1884" i="7"/>
  <c r="M1884" i="7" s="1"/>
  <c r="K2363" i="7"/>
  <c r="M2363" i="7" s="1"/>
  <c r="K2364" i="7"/>
  <c r="M2364" i="7" s="1"/>
  <c r="K1763" i="7"/>
  <c r="M1763" i="7" s="1"/>
  <c r="K1764" i="7"/>
  <c r="M1764" i="7" s="1"/>
  <c r="K1435" i="7"/>
  <c r="M1435" i="7" s="1"/>
  <c r="K1436" i="7"/>
  <c r="M1436" i="7" s="1"/>
  <c r="K907" i="7"/>
  <c r="M907" i="7" s="1"/>
  <c r="K908" i="7"/>
  <c r="M908" i="7" s="1"/>
  <c r="K1483" i="7"/>
  <c r="M1483" i="7" s="1"/>
  <c r="K1484" i="7"/>
  <c r="M1484" i="7" s="1"/>
  <c r="K483" i="7"/>
  <c r="M483" i="7" s="1"/>
  <c r="K484" i="7"/>
  <c r="M484" i="7" s="1"/>
  <c r="K227" i="7"/>
  <c r="M227" i="7" s="1"/>
  <c r="K228" i="7"/>
  <c r="M228" i="7" s="1"/>
  <c r="K2283" i="7"/>
  <c r="M2283" i="7" s="1"/>
  <c r="K2284" i="7"/>
  <c r="M2284" i="7" s="1"/>
  <c r="K2235" i="7"/>
  <c r="M2235" i="7" s="1"/>
  <c r="K2236" i="7"/>
  <c r="M2236" i="7" s="1"/>
  <c r="K1419" i="7"/>
  <c r="M1419" i="7" s="1"/>
  <c r="K1420" i="7"/>
  <c r="M1420" i="7" s="1"/>
  <c r="K2459" i="7"/>
  <c r="M2459" i="7" s="1"/>
  <c r="K2460" i="7"/>
  <c r="M2460" i="7" s="1"/>
  <c r="K467" i="7"/>
  <c r="M467" i="7" s="1"/>
  <c r="K468" i="7"/>
  <c r="M468" i="7" s="1"/>
  <c r="K1675" i="7"/>
  <c r="M1675" i="7" s="1"/>
  <c r="K1676" i="7"/>
  <c r="M1676" i="7" s="1"/>
  <c r="K2395" i="7"/>
  <c r="M2395" i="7" s="1"/>
  <c r="K2396" i="7"/>
  <c r="M2396" i="7" s="1"/>
  <c r="K731" i="7"/>
  <c r="M731" i="7" s="1"/>
  <c r="K732" i="7"/>
  <c r="M732" i="7" s="1"/>
  <c r="K243" i="7"/>
  <c r="M243" i="7" s="1"/>
  <c r="K244" i="7"/>
  <c r="M244" i="7" s="1"/>
  <c r="K1771" i="7"/>
  <c r="M1771" i="7" s="1"/>
  <c r="K1772" i="7"/>
  <c r="M1772" i="7" s="1"/>
  <c r="K1307" i="7"/>
  <c r="M1307" i="7" s="1"/>
  <c r="K1308" i="7"/>
  <c r="M1308" i="7" s="1"/>
  <c r="K427" i="7"/>
  <c r="M427" i="7" s="1"/>
  <c r="K428" i="7"/>
  <c r="M428" i="7" s="1"/>
  <c r="K1795" i="7"/>
  <c r="M1795" i="7" s="1"/>
  <c r="K1796" i="7"/>
  <c r="M1796" i="7" s="1"/>
  <c r="K1867" i="7"/>
  <c r="M1867" i="7" s="1"/>
  <c r="K1868" i="7"/>
  <c r="M1868" i="7" s="1"/>
  <c r="K1171" i="7"/>
  <c r="M1171" i="7" s="1"/>
  <c r="K1172" i="7"/>
  <c r="M1172" i="7" s="1"/>
  <c r="K1475" i="7"/>
  <c r="M1475" i="7" s="1"/>
  <c r="K1476" i="7"/>
  <c r="M1476" i="7" s="1"/>
  <c r="K3" i="7"/>
  <c r="M3" i="7" s="1"/>
  <c r="K4" i="7"/>
  <c r="M4" i="7" s="1"/>
  <c r="F2010" i="7"/>
  <c r="I2010" i="7" s="1"/>
  <c r="F2011" i="7"/>
  <c r="I2011" i="7" s="1"/>
  <c r="F2834" i="7"/>
  <c r="I2834" i="7" s="1"/>
  <c r="F2835" i="7"/>
  <c r="I2835" i="7" s="1"/>
  <c r="F138" i="7"/>
  <c r="I138" i="7" s="1"/>
  <c r="F139" i="7"/>
  <c r="I139" i="7" s="1"/>
  <c r="F2466" i="7"/>
  <c r="I2466" i="7" s="1"/>
  <c r="F2467" i="7"/>
  <c r="I2467" i="7" s="1"/>
  <c r="F1362" i="7"/>
  <c r="I1362" i="7" s="1"/>
  <c r="F1363" i="7"/>
  <c r="I1363" i="7" s="1"/>
  <c r="F2450" i="7"/>
  <c r="I2450" i="7" s="1"/>
  <c r="F2451" i="7"/>
  <c r="I2451" i="7" s="1"/>
  <c r="F1554" i="7"/>
  <c r="I1554" i="7" s="1"/>
  <c r="F1555" i="7"/>
  <c r="I1555" i="7" s="1"/>
  <c r="F314" i="7"/>
  <c r="I314" i="7" s="1"/>
  <c r="F315" i="7"/>
  <c r="I315" i="7" s="1"/>
  <c r="F1290" i="7"/>
  <c r="I1290" i="7" s="1"/>
  <c r="F1291" i="7"/>
  <c r="I1291" i="7" s="1"/>
  <c r="F914" i="7"/>
  <c r="I914" i="7" s="1"/>
  <c r="F915" i="7"/>
  <c r="I915" i="7" s="1"/>
  <c r="F2002" i="7"/>
  <c r="I2002" i="7" s="1"/>
  <c r="F2003" i="7"/>
  <c r="I2003" i="7" s="1"/>
  <c r="F1850" i="7"/>
  <c r="I1850" i="7" s="1"/>
  <c r="F1851" i="7"/>
  <c r="I1851" i="7" s="1"/>
  <c r="F1130" i="7"/>
  <c r="I1130" i="7" s="1"/>
  <c r="F1131" i="7"/>
  <c r="I1131" i="7" s="1"/>
  <c r="F1506" i="7"/>
  <c r="I1506" i="7" s="1"/>
  <c r="F1507" i="7"/>
  <c r="I1507" i="7" s="1"/>
  <c r="F1690" i="7"/>
  <c r="I1690" i="7" s="1"/>
  <c r="F1691" i="7"/>
  <c r="I1691" i="7" s="1"/>
  <c r="F2322" i="7"/>
  <c r="I2322" i="7" s="1"/>
  <c r="F2323" i="7"/>
  <c r="I2323" i="7" s="1"/>
  <c r="F538" i="7"/>
  <c r="I538" i="7" s="1"/>
  <c r="F539" i="7"/>
  <c r="I539" i="7" s="1"/>
  <c r="F2802" i="7"/>
  <c r="I2802" i="7" s="1"/>
  <c r="F2803" i="7"/>
  <c r="I2803" i="7" s="1"/>
  <c r="F2434" i="7"/>
  <c r="I2434" i="7" s="1"/>
  <c r="F2435" i="7"/>
  <c r="I2435" i="7" s="1"/>
  <c r="F1122" i="7"/>
  <c r="I1122" i="7" s="1"/>
  <c r="F1123" i="7"/>
  <c r="I1123" i="7" s="1"/>
  <c r="F618" i="7"/>
  <c r="I618" i="7" s="1"/>
  <c r="F619" i="7"/>
  <c r="I619" i="7" s="1"/>
  <c r="F946" i="7"/>
  <c r="I946" i="7" s="1"/>
  <c r="F947" i="7"/>
  <c r="I947" i="7" s="1"/>
  <c r="F1250" i="7"/>
  <c r="I1250" i="7" s="1"/>
  <c r="F1251" i="7"/>
  <c r="I1251" i="7" s="1"/>
  <c r="F1162" i="7"/>
  <c r="I1162" i="7" s="1"/>
  <c r="F1163" i="7"/>
  <c r="I1163" i="7" s="1"/>
  <c r="F1322" i="7"/>
  <c r="I1322" i="7" s="1"/>
  <c r="F1323" i="7"/>
  <c r="I1323" i="7" s="1"/>
  <c r="F474" i="7"/>
  <c r="I474" i="7" s="1"/>
  <c r="F475" i="7"/>
  <c r="I475" i="7" s="1"/>
  <c r="F1962" i="7"/>
  <c r="I1962" i="7" s="1"/>
  <c r="F1963" i="7"/>
  <c r="I1963" i="7" s="1"/>
  <c r="F122" i="7"/>
  <c r="I122" i="7" s="1"/>
  <c r="F123" i="7"/>
  <c r="I123" i="7" s="1"/>
  <c r="F2530" i="7"/>
  <c r="I2530" i="7" s="1"/>
  <c r="F2531" i="7"/>
  <c r="I2531" i="7" s="1"/>
  <c r="F434" i="7"/>
  <c r="I434" i="7" s="1"/>
  <c r="F435" i="7"/>
  <c r="I435" i="7" s="1"/>
  <c r="F2826" i="7"/>
  <c r="I2826" i="7" s="1"/>
  <c r="F2827" i="7"/>
  <c r="I2827" i="7" s="1"/>
  <c r="F2122" i="7"/>
  <c r="I2122" i="7" s="1"/>
  <c r="F2123" i="7"/>
  <c r="I2123" i="7" s="1"/>
  <c r="F402" i="7"/>
  <c r="I402" i="7" s="1"/>
  <c r="F403" i="7"/>
  <c r="I403" i="7" s="1"/>
  <c r="F570" i="7"/>
  <c r="I570" i="7" s="1"/>
  <c r="F571" i="7"/>
  <c r="I571" i="7" s="1"/>
  <c r="F2794" i="7"/>
  <c r="I2794" i="7" s="1"/>
  <c r="F2795" i="7"/>
  <c r="I2795" i="7" s="1"/>
  <c r="F626" i="7"/>
  <c r="I626" i="7" s="1"/>
  <c r="F627" i="7"/>
  <c r="I627" i="7" s="1"/>
  <c r="F722" i="7"/>
  <c r="I722" i="7" s="1"/>
  <c r="F723" i="7"/>
  <c r="I723" i="7" s="1"/>
  <c r="F1594" i="7"/>
  <c r="I1594" i="7" s="1"/>
  <c r="F1595" i="7"/>
  <c r="I1595" i="7" s="1"/>
  <c r="F1458" i="7"/>
  <c r="I1458" i="7" s="1"/>
  <c r="F1459" i="7"/>
  <c r="I1459" i="7" s="1"/>
  <c r="F2522" i="7"/>
  <c r="I2522" i="7" s="1"/>
  <c r="F2523" i="7"/>
  <c r="I2523" i="7" s="1"/>
  <c r="F994" i="7"/>
  <c r="I994" i="7" s="1"/>
  <c r="F995" i="7"/>
  <c r="I995" i="7" s="1"/>
  <c r="F2514" i="7"/>
  <c r="I2514" i="7" s="1"/>
  <c r="F2515" i="7"/>
  <c r="I2515" i="7" s="1"/>
  <c r="F410" i="7"/>
  <c r="I410" i="7" s="1"/>
  <c r="F411" i="7"/>
  <c r="I411" i="7" s="1"/>
  <c r="F2754" i="7"/>
  <c r="I2754" i="7" s="1"/>
  <c r="F2755" i="7"/>
  <c r="I2755" i="7" s="1"/>
  <c r="F1930" i="7"/>
  <c r="I1930" i="7" s="1"/>
  <c r="F1931" i="7"/>
  <c r="I1931" i="7" s="1"/>
  <c r="F1098" i="7"/>
  <c r="I1098" i="7" s="1"/>
  <c r="F1099" i="7"/>
  <c r="I1099" i="7" s="1"/>
  <c r="F490" i="7"/>
  <c r="I490" i="7" s="1"/>
  <c r="F491" i="7"/>
  <c r="I491" i="7" s="1"/>
  <c r="F658" i="7"/>
  <c r="I658" i="7" s="1"/>
  <c r="F659" i="7"/>
  <c r="I659" i="7" s="1"/>
  <c r="F346" i="7"/>
  <c r="I346" i="7" s="1"/>
  <c r="F347" i="7"/>
  <c r="I347" i="7" s="1"/>
  <c r="F394" i="7"/>
  <c r="I394" i="7" s="1"/>
  <c r="F395" i="7"/>
  <c r="I395" i="7" s="1"/>
  <c r="F2186" i="7"/>
  <c r="I2186" i="7" s="1"/>
  <c r="F2187" i="7"/>
  <c r="I2187" i="7" s="1"/>
  <c r="F2346" i="7"/>
  <c r="I2346" i="7" s="1"/>
  <c r="F2347" i="7"/>
  <c r="I2347" i="7" s="1"/>
  <c r="F42" i="7"/>
  <c r="I42" i="7" s="1"/>
  <c r="F43" i="7"/>
  <c r="I43" i="7" s="1"/>
  <c r="F2354" i="7"/>
  <c r="I2354" i="7" s="1"/>
  <c r="F2355" i="7"/>
  <c r="I2355" i="7" s="1"/>
  <c r="F2690" i="7"/>
  <c r="I2690" i="7" s="1"/>
  <c r="F2691" i="7"/>
  <c r="I2691" i="7" s="1"/>
  <c r="F818" i="7"/>
  <c r="I818" i="7" s="1"/>
  <c r="F819" i="7"/>
  <c r="I819" i="7" s="1"/>
  <c r="F2482" i="7"/>
  <c r="I2482" i="7" s="1"/>
  <c r="F2483" i="7"/>
  <c r="I2483" i="7" s="1"/>
  <c r="F2154" i="7"/>
  <c r="I2154" i="7" s="1"/>
  <c r="F2155" i="7"/>
  <c r="I2155" i="7" s="1"/>
  <c r="F1346" i="7"/>
  <c r="I1346" i="7" s="1"/>
  <c r="F1347" i="7"/>
  <c r="I1347" i="7" s="1"/>
  <c r="F1618" i="7"/>
  <c r="I1618" i="7" s="1"/>
  <c r="F1619" i="7"/>
  <c r="I1619" i="7" s="1"/>
  <c r="F1410" i="7"/>
  <c r="I1410" i="7" s="1"/>
  <c r="F1411" i="7"/>
  <c r="I1411" i="7" s="1"/>
  <c r="F2546" i="7"/>
  <c r="I2546" i="7" s="1"/>
  <c r="F2547" i="7"/>
  <c r="I2547" i="7" s="1"/>
  <c r="F1874" i="7"/>
  <c r="I1874" i="7" s="1"/>
  <c r="F1875" i="7"/>
  <c r="I1875" i="7" s="1"/>
  <c r="F2674" i="7"/>
  <c r="I2674" i="7" s="1"/>
  <c r="F2675" i="7"/>
  <c r="I2675" i="7" s="1"/>
  <c r="F1330" i="7"/>
  <c r="I1330" i="7" s="1"/>
  <c r="F1331" i="7"/>
  <c r="I1331" i="7" s="1"/>
  <c r="F1546" i="7"/>
  <c r="I1546" i="7" s="1"/>
  <c r="F1547" i="7"/>
  <c r="I1547" i="7" s="1"/>
  <c r="F1762" i="7"/>
  <c r="I1762" i="7" s="1"/>
  <c r="F1763" i="7"/>
  <c r="I1763" i="7" s="1"/>
  <c r="F2386" i="7"/>
  <c r="I2386" i="7" s="1"/>
  <c r="F2387" i="7"/>
  <c r="I2387" i="7" s="1"/>
  <c r="F1682" i="7"/>
  <c r="I1682" i="7" s="1"/>
  <c r="F1683" i="7"/>
  <c r="I1683" i="7" s="1"/>
  <c r="F218" i="7"/>
  <c r="I218" i="7" s="1"/>
  <c r="F219" i="7"/>
  <c r="I219" i="7" s="1"/>
  <c r="F778" i="7"/>
  <c r="I778" i="7" s="1"/>
  <c r="F779" i="7"/>
  <c r="I779" i="7" s="1"/>
  <c r="F1258" i="7"/>
  <c r="I1258" i="7" s="1"/>
  <c r="F1259" i="7"/>
  <c r="I1259" i="7" s="1"/>
  <c r="F690" i="7"/>
  <c r="I690" i="7" s="1"/>
  <c r="F691" i="7"/>
  <c r="I691" i="7" s="1"/>
  <c r="F506" i="7"/>
  <c r="I506" i="7" s="1"/>
  <c r="F507" i="7"/>
  <c r="I507" i="7" s="1"/>
  <c r="F2258" i="7"/>
  <c r="I2258" i="7" s="1"/>
  <c r="F2259" i="7"/>
  <c r="I2259" i="7" s="1"/>
  <c r="F754" i="7"/>
  <c r="I754" i="7" s="1"/>
  <c r="F755" i="7"/>
  <c r="I755" i="7" s="1"/>
  <c r="F1234" i="7"/>
  <c r="I1234" i="7" s="1"/>
  <c r="F1235" i="7"/>
  <c r="I1235" i="7" s="1"/>
  <c r="F1426" i="7"/>
  <c r="I1426" i="7" s="1"/>
  <c r="F1427" i="7"/>
  <c r="I1427" i="7" s="1"/>
  <c r="F1394" i="7"/>
  <c r="I1394" i="7" s="1"/>
  <c r="F1395" i="7"/>
  <c r="I1395" i="7" s="1"/>
  <c r="F1746" i="7"/>
  <c r="I1746" i="7" s="1"/>
  <c r="F1747" i="7"/>
  <c r="I1747" i="7" s="1"/>
  <c r="F1482" i="7"/>
  <c r="I1482" i="7" s="1"/>
  <c r="F1483" i="7"/>
  <c r="I1483" i="7" s="1"/>
  <c r="F970" i="7"/>
  <c r="I970" i="7" s="1"/>
  <c r="F971" i="7"/>
  <c r="I971" i="7" s="1"/>
  <c r="F282" i="7"/>
  <c r="I282" i="7" s="1"/>
  <c r="F283" i="7"/>
  <c r="I283" i="7" s="1"/>
  <c r="F362" i="7"/>
  <c r="I362" i="7" s="1"/>
  <c r="F363" i="7"/>
  <c r="I363" i="7" s="1"/>
  <c r="F2034" i="7"/>
  <c r="I2034" i="7" s="1"/>
  <c r="F2035" i="7"/>
  <c r="I2035" i="7" s="1"/>
  <c r="F2130" i="7"/>
  <c r="I2130" i="7" s="1"/>
  <c r="F2131" i="7"/>
  <c r="I2131" i="7" s="1"/>
  <c r="F2858" i="7"/>
  <c r="I2858" i="7" s="1"/>
  <c r="F2859" i="7"/>
  <c r="I2859" i="7" s="1"/>
  <c r="F2506" i="7"/>
  <c r="I2506" i="7" s="1"/>
  <c r="F2507" i="7"/>
  <c r="I2507" i="7" s="1"/>
  <c r="F834" i="7"/>
  <c r="I834" i="7" s="1"/>
  <c r="F835" i="7"/>
  <c r="I835" i="7" s="1"/>
  <c r="F2290" i="7"/>
  <c r="I2290" i="7" s="1"/>
  <c r="F2291" i="7"/>
  <c r="I2291" i="7" s="1"/>
  <c r="F154" i="7"/>
  <c r="I154" i="7" s="1"/>
  <c r="F155" i="7"/>
  <c r="I155" i="7" s="1"/>
  <c r="F2338" i="7"/>
  <c r="I2338" i="7" s="1"/>
  <c r="F2339" i="7"/>
  <c r="I2339" i="7" s="1"/>
  <c r="F1578" i="7"/>
  <c r="I1578" i="7" s="1"/>
  <c r="F1579" i="7"/>
  <c r="I1579" i="7" s="1"/>
  <c r="F1042" i="7"/>
  <c r="I1042" i="7" s="1"/>
  <c r="F1043" i="7"/>
  <c r="I1043" i="7" s="1"/>
  <c r="F234" i="7"/>
  <c r="I234" i="7" s="1"/>
  <c r="F235" i="7"/>
  <c r="I235" i="7" s="1"/>
  <c r="F2642" i="7"/>
  <c r="I2642" i="7" s="1"/>
  <c r="F2643" i="7"/>
  <c r="I2643" i="7" s="1"/>
  <c r="F442" i="7"/>
  <c r="I442" i="7" s="1"/>
  <c r="F443" i="7"/>
  <c r="I443" i="7" s="1"/>
  <c r="F1586" i="7"/>
  <c r="I1586" i="7" s="1"/>
  <c r="F1587" i="7"/>
  <c r="I1587" i="7" s="1"/>
  <c r="F1810" i="7"/>
  <c r="I1810" i="7" s="1"/>
  <c r="F1811" i="7"/>
  <c r="I1811" i="7" s="1"/>
  <c r="F58" i="7"/>
  <c r="I58" i="7" s="1"/>
  <c r="F59" i="7"/>
  <c r="I59" i="7" s="1"/>
  <c r="F1954" i="7"/>
  <c r="I1954" i="7" s="1"/>
  <c r="F1955" i="7"/>
  <c r="I1955" i="7" s="1"/>
  <c r="F1034" i="7"/>
  <c r="I1034" i="7" s="1"/>
  <c r="F1035" i="7"/>
  <c r="I1035" i="7" s="1"/>
  <c r="F50" i="7"/>
  <c r="I50" i="7" s="1"/>
  <c r="F51" i="7"/>
  <c r="I51" i="7" s="1"/>
  <c r="F1922" i="7"/>
  <c r="I1922" i="7" s="1"/>
  <c r="F1923" i="7"/>
  <c r="I1923" i="7" s="1"/>
  <c r="F1826" i="7"/>
  <c r="I1826" i="7" s="1"/>
  <c r="F1827" i="7"/>
  <c r="I1827" i="7" s="1"/>
  <c r="F1386" i="7"/>
  <c r="I1386" i="7" s="1"/>
  <c r="F1387" i="7"/>
  <c r="I1387" i="7" s="1"/>
  <c r="F1738" i="7"/>
  <c r="I1738" i="7" s="1"/>
  <c r="F1739" i="7"/>
  <c r="I1739" i="7" s="1"/>
  <c r="F2738" i="7"/>
  <c r="I2738" i="7" s="1"/>
  <c r="F2739" i="7"/>
  <c r="I2739" i="7" s="1"/>
  <c r="F682" i="7"/>
  <c r="I682" i="7" s="1"/>
  <c r="F683" i="7"/>
  <c r="I683" i="7" s="1"/>
  <c r="F2418" i="7"/>
  <c r="I2418" i="7" s="1"/>
  <c r="F2419" i="7"/>
  <c r="I2419" i="7" s="1"/>
  <c r="F1434" i="7"/>
  <c r="I1434" i="7" s="1"/>
  <c r="F1435" i="7"/>
  <c r="I1435" i="7" s="1"/>
  <c r="F2066" i="7"/>
  <c r="I2066" i="7" s="1"/>
  <c r="F2067" i="7"/>
  <c r="I2067" i="7" s="1"/>
  <c r="F2378" i="7"/>
  <c r="I2378" i="7" s="1"/>
  <c r="F2379" i="7"/>
  <c r="I2379" i="7" s="1"/>
  <c r="F2706" i="7"/>
  <c r="I2706" i="7" s="1"/>
  <c r="F2707" i="7"/>
  <c r="I2707" i="7" s="1"/>
  <c r="F170" i="7"/>
  <c r="I170" i="7" s="1"/>
  <c r="F171" i="7"/>
  <c r="I171" i="7" s="1"/>
  <c r="F2090" i="7"/>
  <c r="I2090" i="7" s="1"/>
  <c r="F2091" i="7"/>
  <c r="I2091" i="7" s="1"/>
  <c r="F1338" i="7"/>
  <c r="I1338" i="7" s="1"/>
  <c r="F1339" i="7"/>
  <c r="I1339" i="7" s="1"/>
  <c r="F1778" i="7"/>
  <c r="I1778" i="7" s="1"/>
  <c r="F1779" i="7"/>
  <c r="I1779" i="7" s="1"/>
  <c r="F26" i="7"/>
  <c r="I26" i="7" s="1"/>
  <c r="F27" i="7"/>
  <c r="I27" i="7" s="1"/>
  <c r="F2610" i="7"/>
  <c r="I2610" i="7" s="1"/>
  <c r="F2611" i="7"/>
  <c r="I2611" i="7" s="1"/>
  <c r="F2194" i="7"/>
  <c r="I2194" i="7" s="1"/>
  <c r="F2195" i="7"/>
  <c r="I2195" i="7" s="1"/>
  <c r="F1450" i="7"/>
  <c r="I1450" i="7" s="1"/>
  <c r="F1451" i="7"/>
  <c r="I1451" i="7" s="1"/>
  <c r="F1010" i="7"/>
  <c r="I1010" i="7" s="1"/>
  <c r="F1011" i="7"/>
  <c r="I1011" i="7" s="1"/>
  <c r="F106" i="7"/>
  <c r="I106" i="7" s="1"/>
  <c r="F107" i="7"/>
  <c r="I107" i="7" s="1"/>
  <c r="F2162" i="7"/>
  <c r="I2162" i="7" s="1"/>
  <c r="F2163" i="7"/>
  <c r="I2163" i="7" s="1"/>
  <c r="F378" i="7"/>
  <c r="I378" i="7" s="1"/>
  <c r="F379" i="7"/>
  <c r="I379" i="7" s="1"/>
  <c r="F1522" i="7"/>
  <c r="I1522" i="7" s="1"/>
  <c r="F1523" i="7"/>
  <c r="I1523" i="7" s="1"/>
  <c r="F1666" i="7"/>
  <c r="I1666" i="7" s="1"/>
  <c r="F1667" i="7"/>
  <c r="I1667" i="7" s="1"/>
  <c r="F882" i="7"/>
  <c r="I882" i="7" s="1"/>
  <c r="F883" i="7"/>
  <c r="I883" i="7" s="1"/>
  <c r="F10" i="7"/>
  <c r="I10" i="7" s="1"/>
  <c r="F11" i="7"/>
  <c r="I11" i="7" s="1"/>
  <c r="F810" i="7"/>
  <c r="I810" i="7" s="1"/>
  <c r="F811" i="7"/>
  <c r="I811" i="7" s="1"/>
  <c r="F1066" i="7"/>
  <c r="I1066" i="7" s="1"/>
  <c r="F1067" i="7"/>
  <c r="I1067" i="7" s="1"/>
  <c r="F1074" i="7"/>
  <c r="I1074" i="7" s="1"/>
  <c r="F1075" i="7"/>
  <c r="I1075" i="7" s="1"/>
  <c r="F18" i="7"/>
  <c r="I18" i="7" s="1"/>
  <c r="F19" i="7"/>
  <c r="I19" i="7" s="1"/>
  <c r="F2106" i="7"/>
  <c r="I2106" i="7" s="1"/>
  <c r="F2107" i="7"/>
  <c r="I2107" i="7" s="1"/>
  <c r="F786" i="7"/>
  <c r="I786" i="7" s="1"/>
  <c r="F787" i="7"/>
  <c r="I787" i="7" s="1"/>
  <c r="F962" i="7"/>
  <c r="I962" i="7" s="1"/>
  <c r="F963" i="7"/>
  <c r="I963" i="7" s="1"/>
  <c r="F2578" i="7"/>
  <c r="I2578" i="7" s="1"/>
  <c r="F2579" i="7"/>
  <c r="I2579" i="7" s="1"/>
  <c r="F2314" i="7"/>
  <c r="I2314" i="7" s="1"/>
  <c r="F2315" i="7"/>
  <c r="I2315" i="7" s="1"/>
  <c r="F1194" i="7"/>
  <c r="I1194" i="7" s="1"/>
  <c r="F1195" i="7"/>
  <c r="I1195" i="7" s="1"/>
  <c r="F1314" i="7"/>
  <c r="I1314" i="7" s="1"/>
  <c r="F1315" i="7"/>
  <c r="I1315" i="7" s="1"/>
  <c r="F2082" i="7"/>
  <c r="I2082" i="7" s="1"/>
  <c r="F2083" i="7"/>
  <c r="I2083" i="7" s="1"/>
  <c r="F266" i="7"/>
  <c r="I266" i="7" s="1"/>
  <c r="F267" i="7"/>
  <c r="I267" i="7" s="1"/>
  <c r="F370" i="7"/>
  <c r="I370" i="7" s="1"/>
  <c r="F371" i="7"/>
  <c r="I371" i="7" s="1"/>
  <c r="F2362" i="7"/>
  <c r="I2362" i="7" s="1"/>
  <c r="F2363" i="7"/>
  <c r="I2363" i="7" s="1"/>
  <c r="F1226" i="7"/>
  <c r="I1226" i="7" s="1"/>
  <c r="F1227" i="7"/>
  <c r="I1227" i="7" s="1"/>
  <c r="F2058" i="7"/>
  <c r="I2058" i="7" s="1"/>
  <c r="F2059" i="7"/>
  <c r="I2059" i="7" s="1"/>
  <c r="F90" i="7"/>
  <c r="I90" i="7" s="1"/>
  <c r="F91" i="7"/>
  <c r="I91" i="7" s="1"/>
  <c r="F2226" i="7"/>
  <c r="I2226" i="7" s="1"/>
  <c r="F2227" i="7"/>
  <c r="I2227" i="7" s="1"/>
  <c r="F1714" i="7"/>
  <c r="I1714" i="7" s="1"/>
  <c r="F1715" i="7"/>
  <c r="I1715" i="7" s="1"/>
  <c r="F1970" i="7"/>
  <c r="I1970" i="7" s="1"/>
  <c r="F1971" i="7"/>
  <c r="I1971" i="7" s="1"/>
  <c r="F1490" i="7"/>
  <c r="I1490" i="7" s="1"/>
  <c r="F1491" i="7"/>
  <c r="I1491" i="7" s="1"/>
  <c r="F2266" i="7"/>
  <c r="I2266" i="7" s="1"/>
  <c r="F2267" i="7"/>
  <c r="I2267" i="7" s="1"/>
  <c r="F2426" i="7"/>
  <c r="I2426" i="7" s="1"/>
  <c r="F2427" i="7"/>
  <c r="I2427" i="7" s="1"/>
  <c r="F738" i="7"/>
  <c r="I738" i="7" s="1"/>
  <c r="F739" i="7"/>
  <c r="I739" i="7" s="1"/>
  <c r="F1938" i="7"/>
  <c r="I1938" i="7" s="1"/>
  <c r="F1939" i="7"/>
  <c r="I1939" i="7" s="1"/>
  <c r="F1842" i="7"/>
  <c r="I1842" i="7" s="1"/>
  <c r="F1843" i="7"/>
  <c r="I1843" i="7" s="1"/>
  <c r="F2762" i="7"/>
  <c r="I2762" i="7" s="1"/>
  <c r="F2763" i="7"/>
  <c r="I2763" i="7" s="1"/>
  <c r="F1642" i="7"/>
  <c r="I1642" i="7" s="1"/>
  <c r="F1643" i="7"/>
  <c r="I1643" i="7" s="1"/>
  <c r="F1570" i="7"/>
  <c r="I1570" i="7" s="1"/>
  <c r="F1571" i="7"/>
  <c r="I1571" i="7" s="1"/>
  <c r="F1802" i="7"/>
  <c r="I1802" i="7" s="1"/>
  <c r="F1803" i="7"/>
  <c r="I1803" i="7" s="1"/>
  <c r="F1898" i="7"/>
  <c r="I1898" i="7" s="1"/>
  <c r="F1899" i="7"/>
  <c r="I1899" i="7" s="1"/>
  <c r="F714" i="7"/>
  <c r="I714" i="7" s="1"/>
  <c r="F715" i="7"/>
  <c r="I715" i="7" s="1"/>
  <c r="F1906" i="7"/>
  <c r="I1906" i="7" s="1"/>
  <c r="F1907" i="7"/>
  <c r="I1907" i="7" s="1"/>
  <c r="F2866" i="7"/>
  <c r="I2866" i="7" s="1"/>
  <c r="F2867" i="7"/>
  <c r="I2867" i="7" s="1"/>
  <c r="F2594" i="7"/>
  <c r="I2594" i="7" s="1"/>
  <c r="F2595" i="7"/>
  <c r="I2595" i="7" s="1"/>
  <c r="F1378" i="7"/>
  <c r="I1378" i="7" s="1"/>
  <c r="F1379" i="7"/>
  <c r="I1379" i="7" s="1"/>
  <c r="F978" i="7"/>
  <c r="I978" i="7" s="1"/>
  <c r="F979" i="7"/>
  <c r="I979" i="7" s="1"/>
  <c r="F2818" i="7"/>
  <c r="I2818" i="7" s="1"/>
  <c r="F2819" i="7"/>
  <c r="I2819" i="7" s="1"/>
  <c r="F2146" i="7"/>
  <c r="I2146" i="7" s="1"/>
  <c r="F2147" i="7"/>
  <c r="I2147" i="7" s="1"/>
  <c r="F186" i="7"/>
  <c r="I186" i="7" s="1"/>
  <c r="F187" i="7"/>
  <c r="I187" i="7" s="1"/>
  <c r="F1650" i="7"/>
  <c r="I1650" i="7" s="1"/>
  <c r="F1651" i="7"/>
  <c r="I1651" i="7" s="1"/>
  <c r="F850" i="7"/>
  <c r="I850" i="7" s="1"/>
  <c r="F851" i="7"/>
  <c r="I851" i="7" s="1"/>
  <c r="F866" i="7"/>
  <c r="I866" i="7" s="1"/>
  <c r="F867" i="7"/>
  <c r="I867" i="7" s="1"/>
  <c r="F2770" i="7"/>
  <c r="I2770" i="7" s="1"/>
  <c r="F2771" i="7"/>
  <c r="I2771" i="7" s="1"/>
  <c r="F2098" i="7"/>
  <c r="I2098" i="7" s="1"/>
  <c r="F2099" i="7"/>
  <c r="I2099" i="7" s="1"/>
  <c r="F522" i="7"/>
  <c r="I522" i="7" s="1"/>
  <c r="F523" i="7"/>
  <c r="I523" i="7" s="1"/>
  <c r="F250" i="7"/>
  <c r="I250" i="7" s="1"/>
  <c r="F251" i="7"/>
  <c r="I251" i="7" s="1"/>
  <c r="I1442" i="7"/>
  <c r="I2538" i="7"/>
  <c r="I1754" i="7"/>
  <c r="I2562" i="7"/>
  <c r="I2618" i="7"/>
  <c r="I1210" i="7"/>
  <c r="I874" i="7"/>
  <c r="I1202" i="7"/>
  <c r="I1882" i="7"/>
  <c r="I1706" i="7"/>
  <c r="I2250" i="7"/>
  <c r="I1986" i="7"/>
  <c r="I1218" i="7"/>
  <c r="I1914" i="7"/>
  <c r="I2458" i="7"/>
  <c r="I1242" i="7"/>
  <c r="I1138" i="7"/>
  <c r="I1058" i="7"/>
  <c r="I1498" i="7"/>
  <c r="I2474" i="7"/>
  <c r="I1514" i="7"/>
  <c r="I1178" i="7"/>
  <c r="I1994" i="7"/>
  <c r="I2498" i="7"/>
  <c r="I1858" i="7"/>
  <c r="I1154" i="7"/>
  <c r="I2554" i="7"/>
  <c r="I1786" i="7"/>
  <c r="I1146" i="7"/>
  <c r="I2394" i="7"/>
  <c r="I1050" i="7"/>
  <c r="I858" i="7"/>
  <c r="I2786" i="7"/>
  <c r="I930" i="7"/>
  <c r="I1306" i="7"/>
  <c r="I2410" i="7"/>
  <c r="I1002" i="7"/>
  <c r="I922" i="7"/>
  <c r="I1866" i="7"/>
  <c r="I2370" i="7"/>
  <c r="I1794" i="7"/>
  <c r="I1090" i="7"/>
  <c r="I2490" i="7"/>
  <c r="I1722" i="7"/>
  <c r="I1082" i="7"/>
  <c r="I2138" i="7"/>
  <c r="I986" i="7"/>
  <c r="I2402" i="7"/>
  <c r="I2714" i="7"/>
  <c r="I1114" i="7"/>
  <c r="I2282" i="7"/>
  <c r="I938" i="7"/>
  <c r="I2850" i="7"/>
  <c r="I1674" i="7"/>
  <c r="I2306" i="7"/>
  <c r="I1730" i="7"/>
  <c r="I1026" i="7"/>
  <c r="I2298" i="7"/>
  <c r="I1658" i="7"/>
  <c r="I1018" i="7"/>
  <c r="I1946" i="7"/>
  <c r="I1298" i="7"/>
  <c r="I2874" i="7"/>
  <c r="I2274" i="7"/>
  <c r="I2586" i="7"/>
  <c r="I1170" i="7"/>
  <c r="I2218" i="7"/>
  <c r="I2658" i="7"/>
  <c r="I2698" i="7"/>
  <c r="I1610" i="7"/>
  <c r="I2242" i="7"/>
  <c r="I1602" i="7"/>
  <c r="I1106" i="7"/>
  <c r="I2234" i="7"/>
  <c r="I1530" i="7"/>
  <c r="I954" i="7"/>
  <c r="I1818" i="7"/>
  <c r="I2842" i="7"/>
  <c r="I2210" i="7"/>
  <c r="I2330" i="7"/>
  <c r="I2730" i="7"/>
  <c r="I2026" i="7"/>
  <c r="I2018" i="7"/>
  <c r="I2634" i="7"/>
  <c r="I1418" i="7"/>
  <c r="I2178" i="7"/>
  <c r="I1538" i="7"/>
  <c r="I2810" i="7"/>
  <c r="I2170" i="7"/>
  <c r="I1466" i="7"/>
  <c r="I2722" i="7"/>
  <c r="I1626" i="7"/>
  <c r="I906" i="7"/>
  <c r="I1890" i="7"/>
  <c r="I2202" i="7"/>
  <c r="I2666" i="7"/>
  <c r="I1834" i="7"/>
  <c r="I1698" i="7"/>
  <c r="I2570" i="7"/>
  <c r="I1354" i="7"/>
  <c r="I2114" i="7"/>
  <c r="I1474" i="7"/>
  <c r="I2746" i="7"/>
  <c r="I2042" i="7"/>
  <c r="I1402" i="7"/>
  <c r="I1186" i="7"/>
  <c r="I1562" i="7"/>
  <c r="I898" i="7"/>
  <c r="I1266" i="7"/>
  <c r="I1634" i="7"/>
  <c r="I2074" i="7"/>
  <c r="I2602" i="7"/>
  <c r="I1770" i="7"/>
  <c r="I2650" i="7"/>
  <c r="I2442" i="7"/>
  <c r="I2626" i="7"/>
  <c r="I2050" i="7"/>
  <c r="I1282" i="7"/>
  <c r="I2682" i="7"/>
  <c r="I1978" i="7"/>
  <c r="I1274" i="7"/>
  <c r="I2778" i="7"/>
  <c r="I1370" i="7"/>
  <c r="I890" i="7"/>
  <c r="K149" i="1"/>
  <c r="K1178" i="7"/>
  <c r="M1178" i="7" s="1"/>
  <c r="K222" i="1"/>
  <c r="K1762" i="7"/>
  <c r="M1762" i="7" s="1"/>
  <c r="K130" i="1"/>
  <c r="K1026" i="7"/>
  <c r="M1026" i="7" s="1"/>
  <c r="K18" i="1"/>
  <c r="K130" i="7"/>
  <c r="M130" i="7" s="1"/>
  <c r="K315" i="1"/>
  <c r="K2506" i="7"/>
  <c r="M2506" i="7" s="1"/>
  <c r="K194" i="1"/>
  <c r="K1538" i="7"/>
  <c r="M1538" i="7" s="1"/>
  <c r="K341" i="1"/>
  <c r="K2714" i="7"/>
  <c r="M2714" i="7" s="1"/>
  <c r="K137" i="1"/>
  <c r="K1082" i="7"/>
  <c r="M1082" i="7" s="1"/>
  <c r="K345" i="1"/>
  <c r="K2746" i="7"/>
  <c r="M2746" i="7" s="1"/>
  <c r="K82" i="1"/>
  <c r="K642" i="7"/>
  <c r="M642" i="7" s="1"/>
  <c r="K28" i="1"/>
  <c r="K210" i="7"/>
  <c r="M210" i="7" s="1"/>
  <c r="K330" i="1"/>
  <c r="K2626" i="7"/>
  <c r="M2626" i="7" s="1"/>
  <c r="K323" i="1"/>
  <c r="K2570" i="7"/>
  <c r="M2570" i="7" s="1"/>
  <c r="K64" i="1"/>
  <c r="K498" i="7"/>
  <c r="M498" i="7" s="1"/>
  <c r="K119" i="1"/>
  <c r="K938" i="7"/>
  <c r="M938" i="7" s="1"/>
  <c r="K133" i="1"/>
  <c r="K1050" i="7"/>
  <c r="M1050" i="7" s="1"/>
  <c r="K185" i="1"/>
  <c r="K1466" i="7"/>
  <c r="M1466" i="7" s="1"/>
  <c r="K266" i="1"/>
  <c r="K2114" i="7"/>
  <c r="M2114" i="7" s="1"/>
  <c r="K157" i="1"/>
  <c r="K1242" i="7"/>
  <c r="M1242" i="7" s="1"/>
  <c r="K144" i="1"/>
  <c r="K1138" i="7"/>
  <c r="M1138" i="7" s="1"/>
  <c r="K171" i="1"/>
  <c r="K1354" i="7"/>
  <c r="M1354" i="7" s="1"/>
  <c r="K298" i="1"/>
  <c r="K2370" i="7"/>
  <c r="M2370" i="7" s="1"/>
  <c r="K331" i="1"/>
  <c r="K2634" i="7"/>
  <c r="M2634" i="7" s="1"/>
  <c r="K121" i="1"/>
  <c r="K954" i="7"/>
  <c r="M954" i="7" s="1"/>
  <c r="K38" i="1"/>
  <c r="K290" i="7"/>
  <c r="M290" i="7" s="1"/>
  <c r="K234" i="1"/>
  <c r="K1858" i="7"/>
  <c r="M1858" i="7" s="1"/>
  <c r="K125" i="1"/>
  <c r="K986" i="7"/>
  <c r="M986" i="7" s="1"/>
  <c r="K225" i="1"/>
  <c r="K1786" i="7"/>
  <c r="M1786" i="7" s="1"/>
  <c r="K169" i="1"/>
  <c r="K1338" i="7"/>
  <c r="M1338" i="7" s="1"/>
  <c r="K77" i="1"/>
  <c r="K602" i="7"/>
  <c r="M602" i="7" s="1"/>
  <c r="K89" i="1"/>
  <c r="K698" i="7"/>
  <c r="M698" i="7" s="1"/>
  <c r="K152" i="1"/>
  <c r="K1202" i="7"/>
  <c r="M1202" i="7" s="1"/>
  <c r="K44" i="1"/>
  <c r="K338" i="7"/>
  <c r="M338" i="7" s="1"/>
  <c r="K334" i="1"/>
  <c r="K2658" i="7"/>
  <c r="M2658" i="7" s="1"/>
  <c r="K218" i="1"/>
  <c r="K1730" i="7"/>
  <c r="M1730" i="7" s="1"/>
  <c r="K182" i="1"/>
  <c r="K1442" i="7"/>
  <c r="M1442" i="7" s="1"/>
  <c r="K197" i="1"/>
  <c r="K1562" i="7"/>
  <c r="M1562" i="7" s="1"/>
  <c r="K286" i="1"/>
  <c r="K2274" i="7"/>
  <c r="M2274" i="7" s="1"/>
  <c r="K214" i="1"/>
  <c r="K1698" i="7"/>
  <c r="M1698" i="7" s="1"/>
  <c r="K245" i="1"/>
  <c r="K1946" i="7"/>
  <c r="M1946" i="7" s="1"/>
  <c r="K285" i="1"/>
  <c r="K2266" i="7"/>
  <c r="M2266" i="7" s="1"/>
  <c r="K305" i="1"/>
  <c r="K2426" i="7"/>
  <c r="M2426" i="7" s="1"/>
  <c r="K221" i="1"/>
  <c r="K1754" i="7"/>
  <c r="M1754" i="7" s="1"/>
  <c r="K279" i="1"/>
  <c r="K2218" i="7"/>
  <c r="M2218" i="7" s="1"/>
  <c r="K140" i="1"/>
  <c r="K1106" i="7"/>
  <c r="M1106" i="7" s="1"/>
  <c r="K153" i="1"/>
  <c r="K1210" i="7"/>
  <c r="M1210" i="7" s="1"/>
  <c r="K339" i="1"/>
  <c r="K2698" i="7"/>
  <c r="M2698" i="7" s="1"/>
  <c r="K283" i="1"/>
  <c r="K2250" i="7"/>
  <c r="M2250" i="7" s="1"/>
  <c r="K216" i="1"/>
  <c r="K1714" i="7"/>
  <c r="M1714" i="7" s="1"/>
  <c r="K268" i="1"/>
  <c r="K2130" i="7"/>
  <c r="M2130" i="7" s="1"/>
  <c r="K154" i="1"/>
  <c r="K1218" i="7"/>
  <c r="M1218" i="7" s="1"/>
  <c r="K83" i="1"/>
  <c r="K650" i="7"/>
  <c r="M650" i="7" s="1"/>
  <c r="K98" i="1"/>
  <c r="K770" i="7"/>
  <c r="M770" i="7" s="1"/>
  <c r="K50" i="1"/>
  <c r="K386" i="7"/>
  <c r="M386" i="7" s="1"/>
  <c r="K359" i="1"/>
  <c r="K2858" i="7"/>
  <c r="M2858" i="7" s="1"/>
  <c r="K239" i="1"/>
  <c r="K1898" i="7"/>
  <c r="M1898" i="7" s="1"/>
  <c r="K145" i="1"/>
  <c r="K1146" i="7"/>
  <c r="M1146" i="7" s="1"/>
  <c r="K217" i="1"/>
  <c r="K1722" i="7"/>
  <c r="M1722" i="7" s="1"/>
  <c r="K59" i="1"/>
  <c r="K458" i="7"/>
  <c r="M458" i="7" s="1"/>
  <c r="K12" i="1"/>
  <c r="K82" i="7"/>
  <c r="M82" i="7" s="1"/>
  <c r="K141" i="1"/>
  <c r="K1114" i="7"/>
  <c r="M1114" i="7" s="1"/>
  <c r="K255" i="1"/>
  <c r="K2026" i="7"/>
  <c r="M2026" i="7" s="1"/>
  <c r="K302" i="1"/>
  <c r="K2402" i="7"/>
  <c r="M2402" i="7" s="1"/>
  <c r="K353" i="1"/>
  <c r="K2810" i="7"/>
  <c r="M2810" i="7" s="1"/>
  <c r="K150" i="1"/>
  <c r="K1186" i="7"/>
  <c r="M1186" i="7" s="1"/>
  <c r="K39" i="1"/>
  <c r="K298" i="7"/>
  <c r="M298" i="7" s="1"/>
  <c r="K358" i="1"/>
  <c r="K2850" i="7"/>
  <c r="M2850" i="7" s="1"/>
  <c r="K16" i="1"/>
  <c r="K114" i="7"/>
  <c r="M114" i="7" s="1"/>
  <c r="K261" i="1"/>
  <c r="K2074" i="7"/>
  <c r="M2074" i="7" s="1"/>
  <c r="K206" i="1"/>
  <c r="K1634" i="7"/>
  <c r="M1634" i="7" s="1"/>
  <c r="K355" i="1"/>
  <c r="K2826" i="7"/>
  <c r="M2826" i="7" s="1"/>
  <c r="K327" i="1"/>
  <c r="K2602" i="7"/>
  <c r="M2602" i="7" s="1"/>
  <c r="K321" i="1"/>
  <c r="K2554" i="7"/>
  <c r="M2554" i="7" s="1"/>
  <c r="K6" i="1"/>
  <c r="K34" i="7"/>
  <c r="M34" i="7" s="1"/>
  <c r="K311" i="1"/>
  <c r="K2474" i="7"/>
  <c r="M2474" i="7" s="1"/>
  <c r="K322" i="1"/>
  <c r="K2562" i="7"/>
  <c r="M2562" i="7" s="1"/>
  <c r="K329" i="1"/>
  <c r="K2618" i="7"/>
  <c r="M2618" i="7" s="1"/>
  <c r="K78" i="1"/>
  <c r="K610" i="7"/>
  <c r="M610" i="7" s="1"/>
  <c r="K36" i="1"/>
  <c r="K274" i="7"/>
  <c r="M274" i="7" s="1"/>
  <c r="K297" i="1"/>
  <c r="K2362" i="7"/>
  <c r="M2362" i="7" s="1"/>
  <c r="K181" i="1"/>
  <c r="K1434" i="7"/>
  <c r="M1434" i="7" s="1"/>
  <c r="K115" i="1"/>
  <c r="K906" i="7"/>
  <c r="M906" i="7" s="1"/>
  <c r="K187" i="1"/>
  <c r="K1482" i="7"/>
  <c r="M1482" i="7" s="1"/>
  <c r="K351" i="1"/>
  <c r="K2794" i="7"/>
  <c r="M2794" i="7" s="1"/>
  <c r="K277" i="1"/>
  <c r="K2202" i="7"/>
  <c r="M2202" i="7" s="1"/>
  <c r="K58" i="1"/>
  <c r="K450" i="7"/>
  <c r="M450" i="7" s="1"/>
  <c r="K184" i="1"/>
  <c r="K1458" i="7"/>
  <c r="M1458" i="7" s="1"/>
  <c r="K229" i="1"/>
  <c r="K1818" i="7"/>
  <c r="M1818" i="7" s="1"/>
  <c r="K307" i="1"/>
  <c r="K2442" i="7"/>
  <c r="M2442" i="7" s="1"/>
  <c r="K278" i="1"/>
  <c r="K2210" i="7"/>
  <c r="M2210" i="7" s="1"/>
  <c r="K258" i="1"/>
  <c r="K2050" i="7"/>
  <c r="M2050" i="7" s="1"/>
  <c r="K205" i="1"/>
  <c r="K1626" i="7"/>
  <c r="M1626" i="7" s="1"/>
  <c r="K162" i="1"/>
  <c r="K1282" i="7"/>
  <c r="M1282" i="7" s="1"/>
  <c r="K86" i="1"/>
  <c r="K674" i="7"/>
  <c r="M674" i="7" s="1"/>
  <c r="K127" i="1"/>
  <c r="K1002" i="7"/>
  <c r="M1002" i="7" s="1"/>
  <c r="K54" i="1"/>
  <c r="K418" i="7"/>
  <c r="M418" i="7" s="1"/>
  <c r="K10" i="1"/>
  <c r="K66" i="7"/>
  <c r="M66" i="7" s="1"/>
  <c r="K105" i="1"/>
  <c r="K826" i="7"/>
  <c r="M826" i="7" s="1"/>
  <c r="K361" i="1"/>
  <c r="K2874" i="7"/>
  <c r="M2874" i="7" s="1"/>
  <c r="K254" i="1"/>
  <c r="K2018" i="7"/>
  <c r="M2018" i="7" s="1"/>
  <c r="K173" i="1"/>
  <c r="K1370" i="7"/>
  <c r="M1370" i="7" s="1"/>
  <c r="K265" i="1"/>
  <c r="K2106" i="7"/>
  <c r="M2106" i="7" s="1"/>
  <c r="K242" i="1"/>
  <c r="K1922" i="7"/>
  <c r="M1922" i="7" s="1"/>
  <c r="K146" i="1"/>
  <c r="K1154" i="7"/>
  <c r="M1154" i="7" s="1"/>
  <c r="K26" i="1"/>
  <c r="K194" i="7"/>
  <c r="M194" i="7" s="1"/>
  <c r="K95" i="1"/>
  <c r="K746" i="7"/>
  <c r="M746" i="7" s="1"/>
  <c r="K46" i="1"/>
  <c r="K354" i="7"/>
  <c r="M354" i="7" s="1"/>
  <c r="K253" i="1"/>
  <c r="K2010" i="7"/>
  <c r="M2010" i="7" s="1"/>
  <c r="K271" i="1"/>
  <c r="K2154" i="7"/>
  <c r="M2154" i="7" s="1"/>
  <c r="K75" i="1"/>
  <c r="K586" i="7"/>
  <c r="M586" i="7" s="1"/>
  <c r="K191" i="1"/>
  <c r="K1514" i="7"/>
  <c r="M1514" i="7" s="1"/>
  <c r="K43" i="1"/>
  <c r="K330" i="7"/>
  <c r="M330" i="7" s="1"/>
  <c r="K129" i="1"/>
  <c r="K1018" i="7"/>
  <c r="M1018" i="7" s="1"/>
  <c r="K117" i="1"/>
  <c r="K922" i="7"/>
  <c r="M922" i="7" s="1"/>
  <c r="K76" i="1"/>
  <c r="K594" i="7"/>
  <c r="M594" i="7" s="1"/>
  <c r="K273" i="1"/>
  <c r="K2170" i="7"/>
  <c r="M2170" i="7" s="1"/>
  <c r="K209" i="1"/>
  <c r="K1658" i="7"/>
  <c r="M1658" i="7" s="1"/>
  <c r="K274" i="1"/>
  <c r="K2178" i="7"/>
  <c r="M2178" i="7" s="1"/>
  <c r="K164" i="1"/>
  <c r="K1298" i="7"/>
  <c r="M1298" i="7" s="1"/>
  <c r="K342" i="1"/>
  <c r="K2722" i="7"/>
  <c r="M2722" i="7" s="1"/>
  <c r="K97" i="1"/>
  <c r="K762" i="7"/>
  <c r="M762" i="7" s="1"/>
  <c r="K333" i="1"/>
  <c r="K2650" i="7"/>
  <c r="M2650" i="7" s="1"/>
  <c r="K101" i="1"/>
  <c r="K794" i="7"/>
  <c r="M794" i="7" s="1"/>
  <c r="K24" i="1"/>
  <c r="K178" i="7"/>
  <c r="M178" i="7" s="1"/>
  <c r="K114" i="1"/>
  <c r="K898" i="7"/>
  <c r="M898" i="7" s="1"/>
  <c r="K71" i="1"/>
  <c r="K554" i="7"/>
  <c r="M554" i="7" s="1"/>
  <c r="K237" i="1"/>
  <c r="K1882" i="7"/>
  <c r="M1882" i="7" s="1"/>
  <c r="K30" i="1"/>
  <c r="K226" i="7"/>
  <c r="M226" i="7" s="1"/>
  <c r="K347" i="1"/>
  <c r="K2762" i="7"/>
  <c r="M2762" i="7" s="1"/>
  <c r="K251" i="1"/>
  <c r="K1994" i="7"/>
  <c r="M1994" i="7" s="1"/>
  <c r="K343" i="1"/>
  <c r="K2730" i="7"/>
  <c r="M2730" i="7" s="1"/>
  <c r="K189" i="1"/>
  <c r="K1498" i="7"/>
  <c r="M1498" i="7" s="1"/>
  <c r="K138" i="1"/>
  <c r="K1090" i="7"/>
  <c r="M1090" i="7" s="1"/>
  <c r="K22" i="1"/>
  <c r="K162" i="7"/>
  <c r="M162" i="7" s="1"/>
  <c r="K219" i="1"/>
  <c r="K1738" i="7"/>
  <c r="M1738" i="7" s="1"/>
  <c r="K74" i="1"/>
  <c r="K578" i="7"/>
  <c r="M578" i="7" s="1"/>
  <c r="K42" i="1"/>
  <c r="K322" i="7"/>
  <c r="M322" i="7" s="1"/>
  <c r="K11" i="1"/>
  <c r="K74" i="7"/>
  <c r="M74" i="7" s="1"/>
  <c r="K102" i="1"/>
  <c r="K802" i="7"/>
  <c r="M802" i="7" s="1"/>
  <c r="K231" i="1"/>
  <c r="K1834" i="7"/>
  <c r="M1834" i="7" s="1"/>
  <c r="K27" i="1"/>
  <c r="K202" i="7"/>
  <c r="M202" i="7" s="1"/>
  <c r="K113" i="1"/>
  <c r="K890" i="7"/>
  <c r="M890" i="7" s="1"/>
  <c r="K314" i="1"/>
  <c r="K2498" i="7"/>
  <c r="M2498" i="7" s="1"/>
  <c r="K319" i="1"/>
  <c r="K2538" i="7"/>
  <c r="M2538" i="7" s="1"/>
  <c r="K177" i="1"/>
  <c r="K1402" i="7"/>
  <c r="M1402" i="7" s="1"/>
  <c r="K203" i="1"/>
  <c r="K1610" i="7"/>
  <c r="M1610" i="7" s="1"/>
  <c r="K250" i="1"/>
  <c r="K1986" i="7"/>
  <c r="M1986" i="7" s="1"/>
  <c r="K160" i="1"/>
  <c r="K1266" i="7"/>
  <c r="M1266" i="7" s="1"/>
  <c r="K90" i="1"/>
  <c r="K706" i="7"/>
  <c r="M706" i="7" s="1"/>
  <c r="K282" i="1"/>
  <c r="K2242" i="7"/>
  <c r="M2242" i="7" s="1"/>
  <c r="K81" i="1"/>
  <c r="K634" i="7"/>
  <c r="M634" i="7" s="1"/>
  <c r="K68" i="1"/>
  <c r="K530" i="7"/>
  <c r="M530" i="7" s="1"/>
  <c r="K72" i="1"/>
  <c r="K562" i="7"/>
  <c r="M562" i="7" s="1"/>
  <c r="K350" i="1"/>
  <c r="K2786" i="7"/>
  <c r="M2786" i="7" s="1"/>
  <c r="K233" i="1"/>
  <c r="K1850" i="7"/>
  <c r="M1850" i="7" s="1"/>
  <c r="K70" i="1"/>
  <c r="K546" i="7"/>
  <c r="M546" i="7" s="1"/>
  <c r="K190" i="1"/>
  <c r="K1506" i="7"/>
  <c r="M1506" i="7" s="1"/>
  <c r="K213" i="1"/>
  <c r="K1690" i="7"/>
  <c r="M1690" i="7" s="1"/>
  <c r="K313" i="1"/>
  <c r="K2490" i="7"/>
  <c r="M2490" i="7" s="1"/>
  <c r="K357" i="1"/>
  <c r="K2842" i="7"/>
  <c r="M2842" i="7" s="1"/>
  <c r="K215" i="1"/>
  <c r="K1706" i="7"/>
  <c r="M1706" i="7" s="1"/>
  <c r="K111" i="1"/>
  <c r="K874" i="7"/>
  <c r="M874" i="7" s="1"/>
  <c r="K134" i="1"/>
  <c r="K1058" i="7"/>
  <c r="M1058" i="7" s="1"/>
  <c r="K40" i="1"/>
  <c r="K306" i="7"/>
  <c r="M306" i="7" s="1"/>
  <c r="K269" i="1"/>
  <c r="K2138" i="7"/>
  <c r="M2138" i="7" s="1"/>
  <c r="K20" i="1"/>
  <c r="K146" i="7"/>
  <c r="M146" i="7" s="1"/>
  <c r="K14" i="1"/>
  <c r="K98" i="7"/>
  <c r="M98" i="7" s="1"/>
  <c r="K241" i="1"/>
  <c r="K1914" i="7"/>
  <c r="M1914" i="7" s="1"/>
  <c r="K85" i="1"/>
  <c r="K666" i="7"/>
  <c r="M666" i="7" s="1"/>
  <c r="K325" i="1"/>
  <c r="K2586" i="7"/>
  <c r="M2586" i="7" s="1"/>
  <c r="K202" i="1"/>
  <c r="K1602" i="7"/>
  <c r="M1602" i="7" s="1"/>
  <c r="K289" i="1"/>
  <c r="K2298" i="7"/>
  <c r="M2298" i="7" s="1"/>
  <c r="K337" i="1"/>
  <c r="K2682" i="7"/>
  <c r="M2682" i="7" s="1"/>
  <c r="K349" i="1"/>
  <c r="K2778" i="7"/>
  <c r="M2778" i="7" s="1"/>
  <c r="K249" i="1"/>
  <c r="K1978" i="7"/>
  <c r="M1978" i="7" s="1"/>
  <c r="K161" i="1"/>
  <c r="K1274" i="7"/>
  <c r="M1274" i="7" s="1"/>
  <c r="K290" i="1"/>
  <c r="K2306" i="7"/>
  <c r="M2306" i="7" s="1"/>
  <c r="K193" i="1"/>
  <c r="K1530" i="7"/>
  <c r="M1530" i="7" s="1"/>
  <c r="K335" i="1"/>
  <c r="K2666" i="7"/>
  <c r="M2666" i="7" s="1"/>
  <c r="K238" i="1"/>
  <c r="K1890" i="7"/>
  <c r="M1890" i="7" s="1"/>
  <c r="K107" i="1"/>
  <c r="K842" i="7"/>
  <c r="M842" i="7" s="1"/>
  <c r="K293" i="1"/>
  <c r="K2330" i="7"/>
  <c r="M2330" i="7" s="1"/>
  <c r="K109" i="1"/>
  <c r="K858" i="7"/>
  <c r="M858" i="7" s="1"/>
  <c r="K236" i="1"/>
  <c r="K1874" i="7"/>
  <c r="M1874" i="7" s="1"/>
  <c r="K118" i="1"/>
  <c r="K930" i="7"/>
  <c r="M930" i="7" s="1"/>
  <c r="K201" i="1"/>
  <c r="K1594" i="7"/>
  <c r="M1594" i="7" s="1"/>
  <c r="K66" i="1"/>
  <c r="K514" i="7"/>
  <c r="M514" i="7" s="1"/>
  <c r="K34" i="1"/>
  <c r="K258" i="7"/>
  <c r="M258" i="7" s="1"/>
  <c r="K317" i="1"/>
  <c r="K2522" i="7"/>
  <c r="M2522" i="7" s="1"/>
  <c r="K257" i="1"/>
  <c r="K2042" i="7"/>
  <c r="M2042" i="7" s="1"/>
  <c r="K303" i="1"/>
  <c r="K2410" i="7"/>
  <c r="M2410" i="7" s="1"/>
  <c r="K62" i="1"/>
  <c r="K482" i="7"/>
  <c r="M482" i="7" s="1"/>
  <c r="K287" i="1"/>
  <c r="K2282" i="7"/>
  <c r="M2282" i="7" s="1"/>
  <c r="K281" i="1"/>
  <c r="K2234" i="7"/>
  <c r="M2234" i="7" s="1"/>
  <c r="K179" i="1"/>
  <c r="K1418" i="7"/>
  <c r="M1418" i="7" s="1"/>
  <c r="K309" i="1"/>
  <c r="K2458" i="7"/>
  <c r="M2458" i="7" s="1"/>
  <c r="K60" i="1"/>
  <c r="K466" i="7"/>
  <c r="M466" i="7" s="1"/>
  <c r="K211" i="1"/>
  <c r="K1674" i="7"/>
  <c r="M1674" i="7" s="1"/>
  <c r="K301" i="1"/>
  <c r="K2394" i="7"/>
  <c r="M2394" i="7" s="1"/>
  <c r="K93" i="1"/>
  <c r="K730" i="7"/>
  <c r="M730" i="7" s="1"/>
  <c r="K32" i="1"/>
  <c r="K242" i="7"/>
  <c r="M242" i="7" s="1"/>
  <c r="K223" i="1"/>
  <c r="K1770" i="7"/>
  <c r="M1770" i="7" s="1"/>
  <c r="K165" i="1"/>
  <c r="K1306" i="7"/>
  <c r="M1306" i="7" s="1"/>
  <c r="K55" i="1"/>
  <c r="K426" i="7"/>
  <c r="M426" i="7" s="1"/>
  <c r="K226" i="1"/>
  <c r="K1794" i="7"/>
  <c r="M1794" i="7" s="1"/>
  <c r="K235" i="1"/>
  <c r="K1866" i="7"/>
  <c r="M1866" i="7" s="1"/>
  <c r="K148" i="1"/>
  <c r="K1170" i="7"/>
  <c r="M1170" i="7" s="1"/>
  <c r="K186" i="1"/>
  <c r="K1474" i="7"/>
  <c r="M1474" i="7" s="1"/>
  <c r="K2" i="1"/>
  <c r="K2" i="7"/>
  <c r="M2" i="7" s="1"/>
  <c r="G377" i="10" l="1"/>
  <c r="G376" i="10"/>
  <c r="L2857" i="7"/>
  <c r="J2856" i="7"/>
  <c r="L2852" i="7"/>
  <c r="G2846" i="7"/>
  <c r="L2846" i="7" s="1"/>
  <c r="G2844" i="7"/>
  <c r="L2844" i="7" s="1"/>
  <c r="H357" i="1"/>
  <c r="J2850" i="7"/>
  <c r="G2843" i="7"/>
  <c r="J2843" i="7" s="1"/>
  <c r="G2848" i="7"/>
  <c r="J2848" i="7" s="1"/>
  <c r="E356" i="1"/>
  <c r="G2837" i="7" s="1"/>
  <c r="J2855" i="7"/>
  <c r="L2854" i="7"/>
  <c r="G2842" i="7"/>
  <c r="J2842" i="7" s="1"/>
  <c r="G2845" i="7"/>
  <c r="J2845" i="7" s="1"/>
  <c r="L2853" i="7"/>
  <c r="G2847" i="7"/>
  <c r="L2847" i="7" s="1"/>
  <c r="J357" i="1"/>
  <c r="J2849" i="7"/>
  <c r="L2849" i="7"/>
  <c r="J2846" i="7" l="1"/>
  <c r="J2847" i="7"/>
  <c r="L2845" i="7"/>
  <c r="L2843" i="7"/>
  <c r="J2844" i="7"/>
  <c r="E355" i="1"/>
  <c r="E354" i="1" s="1"/>
  <c r="G2841" i="7"/>
  <c r="L2841" i="7" s="1"/>
  <c r="L2848" i="7"/>
  <c r="L2842" i="7"/>
  <c r="J356" i="1"/>
  <c r="G2836" i="7"/>
  <c r="J2836" i="7" s="1"/>
  <c r="G2839" i="7"/>
  <c r="J2839" i="7" s="1"/>
  <c r="G2838" i="7"/>
  <c r="J2838" i="7" s="1"/>
  <c r="H356" i="1"/>
  <c r="G2840" i="7"/>
  <c r="J2840" i="7" s="1"/>
  <c r="G2835" i="7"/>
  <c r="J2835" i="7" s="1"/>
  <c r="G2834" i="7"/>
  <c r="J2834" i="7" s="1"/>
  <c r="L2837" i="7"/>
  <c r="J2837" i="7"/>
  <c r="A375" i="9" l="1"/>
  <c r="J2841" i="7"/>
  <c r="J355" i="1"/>
  <c r="L2838" i="7"/>
  <c r="H355" i="1"/>
  <c r="A374" i="9"/>
  <c r="G2831" i="7"/>
  <c r="J2831" i="7" s="1"/>
  <c r="F375" i="8"/>
  <c r="H375" i="8" s="1"/>
  <c r="G2833" i="7"/>
  <c r="J2833" i="7" s="1"/>
  <c r="G2828" i="7"/>
  <c r="J2828" i="7" s="1"/>
  <c r="G2832" i="7"/>
  <c r="L2832" i="7" s="1"/>
  <c r="G2826" i="7"/>
  <c r="J2826" i="7" s="1"/>
  <c r="G2829" i="7"/>
  <c r="L2829" i="7" s="1"/>
  <c r="F374" i="8"/>
  <c r="H374" i="8" s="1"/>
  <c r="G2827" i="7"/>
  <c r="L2827" i="7" s="1"/>
  <c r="G2830" i="7"/>
  <c r="L2830" i="7" s="1"/>
  <c r="L2840" i="7"/>
  <c r="L2836" i="7"/>
  <c r="L2839" i="7"/>
  <c r="L2834" i="7"/>
  <c r="L2835" i="7"/>
  <c r="F373" i="8"/>
  <c r="H373" i="8" s="1"/>
  <c r="A373" i="9"/>
  <c r="E353" i="1"/>
  <c r="G2825" i="7"/>
  <c r="G2822" i="7"/>
  <c r="G2824" i="7"/>
  <c r="G2820" i="7"/>
  <c r="J354" i="1"/>
  <c r="F373" i="12" s="1"/>
  <c r="G2819" i="7"/>
  <c r="G2823" i="7"/>
  <c r="H354" i="1"/>
  <c r="G2818" i="7"/>
  <c r="G2821" i="7"/>
  <c r="F374" i="12" l="1"/>
  <c r="F375" i="12"/>
  <c r="H373" i="12"/>
  <c r="F373" i="10"/>
  <c r="H373" i="10" s="1"/>
  <c r="I373" i="10" s="1"/>
  <c r="F373" i="11"/>
  <c r="F375" i="11"/>
  <c r="F374" i="11"/>
  <c r="F375" i="10"/>
  <c r="H375" i="10" s="1"/>
  <c r="I375" i="10" s="1"/>
  <c r="F374" i="10"/>
  <c r="H374" i="10" s="1"/>
  <c r="I374" i="10" s="1"/>
  <c r="J2832" i="7"/>
  <c r="L2833" i="7"/>
  <c r="J2830" i="7"/>
  <c r="J2829" i="7"/>
  <c r="L2826" i="7"/>
  <c r="L2831" i="7"/>
  <c r="J2827" i="7"/>
  <c r="L2828" i="7"/>
  <c r="J2821" i="7"/>
  <c r="L2821" i="7"/>
  <c r="L2818" i="7"/>
  <c r="J2818" i="7"/>
  <c r="J2823" i="7"/>
  <c r="L2823" i="7"/>
  <c r="J2819" i="7"/>
  <c r="L2819" i="7"/>
  <c r="L2820" i="7"/>
  <c r="J2820" i="7"/>
  <c r="J2822" i="7"/>
  <c r="L2822" i="7"/>
  <c r="J2825" i="7"/>
  <c r="L2825" i="7"/>
  <c r="E352" i="1"/>
  <c r="G2816" i="7"/>
  <c r="G2813" i="7"/>
  <c r="G2815" i="7"/>
  <c r="G2817" i="7"/>
  <c r="G2814" i="7"/>
  <c r="J353" i="1"/>
  <c r="G2811" i="7"/>
  <c r="G2810" i="7"/>
  <c r="H353" i="1"/>
  <c r="G2812" i="7"/>
  <c r="J2824" i="7"/>
  <c r="L2824" i="7"/>
  <c r="H375" i="12" l="1"/>
  <c r="H374" i="12"/>
  <c r="G373" i="10"/>
  <c r="G374" i="10"/>
  <c r="G375" i="10"/>
  <c r="J2815" i="7"/>
  <c r="L2815" i="7"/>
  <c r="J2812" i="7"/>
  <c r="L2812" i="7"/>
  <c r="L2810" i="7"/>
  <c r="J2810" i="7"/>
  <c r="L2817" i="7"/>
  <c r="J2817" i="7"/>
  <c r="L2813" i="7"/>
  <c r="J2813" i="7"/>
  <c r="J2816" i="7"/>
  <c r="L2816" i="7"/>
  <c r="E351" i="1"/>
  <c r="G2808" i="7"/>
  <c r="G2805" i="7"/>
  <c r="G2809" i="7"/>
  <c r="G2806" i="7"/>
  <c r="G2807" i="7"/>
  <c r="H352" i="1"/>
  <c r="G2804" i="7"/>
  <c r="G2802" i="7"/>
  <c r="G2803" i="7"/>
  <c r="J352" i="1"/>
  <c r="L2811" i="7"/>
  <c r="J2811" i="7"/>
  <c r="L2814" i="7"/>
  <c r="J2814" i="7"/>
  <c r="L2809" i="7" l="1"/>
  <c r="J2809" i="7"/>
  <c r="J2805" i="7"/>
  <c r="L2805" i="7"/>
  <c r="J2808" i="7"/>
  <c r="L2808" i="7"/>
  <c r="E350" i="1"/>
  <c r="G2801" i="7"/>
  <c r="G2797" i="7"/>
  <c r="G2800" i="7"/>
  <c r="G2798" i="7"/>
  <c r="G2799" i="7"/>
  <c r="H351" i="1"/>
  <c r="J351" i="1"/>
  <c r="G2795" i="7"/>
  <c r="G2794" i="7"/>
  <c r="G2796" i="7"/>
  <c r="J2804" i="7"/>
  <c r="L2804" i="7"/>
  <c r="J2803" i="7"/>
  <c r="L2803" i="7"/>
  <c r="J2807" i="7"/>
  <c r="L2807" i="7"/>
  <c r="J2806" i="7"/>
  <c r="L2806" i="7"/>
  <c r="L2802" i="7"/>
  <c r="J2802" i="7"/>
  <c r="J2799" i="7" l="1"/>
  <c r="L2799" i="7"/>
  <c r="J2800" i="7"/>
  <c r="L2800" i="7"/>
  <c r="J2797" i="7"/>
  <c r="L2797" i="7"/>
  <c r="L2794" i="7"/>
  <c r="J2794" i="7"/>
  <c r="J2801" i="7"/>
  <c r="L2801" i="7"/>
  <c r="J2796" i="7"/>
  <c r="L2796" i="7"/>
  <c r="J2795" i="7"/>
  <c r="L2795" i="7"/>
  <c r="E349" i="1"/>
  <c r="G2792" i="7"/>
  <c r="G2789" i="7"/>
  <c r="G2790" i="7"/>
  <c r="G2793" i="7"/>
  <c r="G2791" i="7"/>
  <c r="H350" i="1"/>
  <c r="G2788" i="7"/>
  <c r="J350" i="1"/>
  <c r="G2787" i="7"/>
  <c r="G2786" i="7"/>
  <c r="J2798" i="7"/>
  <c r="L2798" i="7"/>
  <c r="L2788" i="7" l="1"/>
  <c r="J2788" i="7"/>
  <c r="J2791" i="7"/>
  <c r="L2791" i="7"/>
  <c r="L2793" i="7"/>
  <c r="J2793" i="7"/>
  <c r="J2790" i="7"/>
  <c r="L2790" i="7"/>
  <c r="L2789" i="7"/>
  <c r="J2789" i="7"/>
  <c r="J2787" i="7"/>
  <c r="L2787" i="7"/>
  <c r="J2792" i="7"/>
  <c r="L2792" i="7"/>
  <c r="L2786" i="7"/>
  <c r="J2786" i="7"/>
  <c r="E348" i="1"/>
  <c r="G2784" i="7"/>
  <c r="G2785" i="7"/>
  <c r="G2782" i="7"/>
  <c r="G2783" i="7"/>
  <c r="G2781" i="7"/>
  <c r="G2779" i="7"/>
  <c r="G2778" i="7"/>
  <c r="G2780" i="7"/>
  <c r="H349" i="1"/>
  <c r="J349" i="1"/>
  <c r="J2781" i="7" l="1"/>
  <c r="L2781" i="7"/>
  <c r="L2783" i="7"/>
  <c r="J2783" i="7"/>
  <c r="L2785" i="7"/>
  <c r="J2785" i="7"/>
  <c r="J2784" i="7"/>
  <c r="L2784" i="7"/>
  <c r="E347" i="1"/>
  <c r="G2776" i="7"/>
  <c r="G2777" i="7"/>
  <c r="G2775" i="7"/>
  <c r="G2774" i="7"/>
  <c r="G2773" i="7"/>
  <c r="G2771" i="7"/>
  <c r="G2770" i="7"/>
  <c r="G2772" i="7"/>
  <c r="H348" i="1"/>
  <c r="J348" i="1"/>
  <c r="L2778" i="7"/>
  <c r="J2778" i="7"/>
  <c r="J2782" i="7"/>
  <c r="L2782" i="7"/>
  <c r="J2780" i="7"/>
  <c r="L2780" i="7"/>
  <c r="J2779" i="7"/>
  <c r="L2779" i="7"/>
  <c r="E346" i="1" l="1"/>
  <c r="G2768" i="7"/>
  <c r="G2769" i="7"/>
  <c r="G2765" i="7"/>
  <c r="G2767" i="7"/>
  <c r="G2762" i="7"/>
  <c r="H347" i="1"/>
  <c r="G2766" i="7"/>
  <c r="J347" i="1"/>
  <c r="G2764" i="7"/>
  <c r="G2763" i="7"/>
  <c r="J2774" i="7"/>
  <c r="L2774" i="7"/>
  <c r="L2777" i="7"/>
  <c r="J2777" i="7"/>
  <c r="J2776" i="7"/>
  <c r="L2776" i="7"/>
  <c r="L2772" i="7"/>
  <c r="J2772" i="7"/>
  <c r="L2770" i="7"/>
  <c r="J2770" i="7"/>
  <c r="J2771" i="7"/>
  <c r="L2771" i="7"/>
  <c r="L2773" i="7"/>
  <c r="J2773" i="7"/>
  <c r="J2775" i="7"/>
  <c r="L2775" i="7"/>
  <c r="L2762" i="7" l="1"/>
  <c r="J2762" i="7"/>
  <c r="J2763" i="7"/>
  <c r="L2763" i="7"/>
  <c r="J2764" i="7"/>
  <c r="L2764" i="7"/>
  <c r="J2768" i="7"/>
  <c r="L2768" i="7"/>
  <c r="E345" i="1"/>
  <c r="G2761" i="7"/>
  <c r="G2760" i="7"/>
  <c r="G2758" i="7"/>
  <c r="G2756" i="7"/>
  <c r="J346" i="1"/>
  <c r="G2759" i="7"/>
  <c r="G2757" i="7"/>
  <c r="G2755" i="7"/>
  <c r="H346" i="1"/>
  <c r="G2754" i="7"/>
  <c r="J2766" i="7"/>
  <c r="L2766" i="7"/>
  <c r="J2767" i="7"/>
  <c r="L2767" i="7"/>
  <c r="J2765" i="7"/>
  <c r="L2765" i="7"/>
  <c r="L2769" i="7"/>
  <c r="J2769" i="7"/>
  <c r="L2758" i="7" l="1"/>
  <c r="J2758" i="7"/>
  <c r="J2760" i="7"/>
  <c r="L2760" i="7"/>
  <c r="E344" i="1"/>
  <c r="G2752" i="7"/>
  <c r="G2753" i="7"/>
  <c r="G2749" i="7"/>
  <c r="G2751" i="7"/>
  <c r="G2750" i="7"/>
  <c r="J345" i="1"/>
  <c r="G2747" i="7"/>
  <c r="G2746" i="7"/>
  <c r="H345" i="1"/>
  <c r="G2748" i="7"/>
  <c r="J2757" i="7"/>
  <c r="L2757" i="7"/>
  <c r="J2756" i="7"/>
  <c r="L2756" i="7"/>
  <c r="L2754" i="7"/>
  <c r="J2754" i="7"/>
  <c r="L2761" i="7"/>
  <c r="J2761" i="7"/>
  <c r="L2755" i="7"/>
  <c r="J2755" i="7"/>
  <c r="J2759" i="7"/>
  <c r="L2759" i="7"/>
  <c r="J2752" i="7" l="1"/>
  <c r="L2752" i="7"/>
  <c r="J2747" i="7"/>
  <c r="L2747" i="7"/>
  <c r="J2751" i="7"/>
  <c r="L2751" i="7"/>
  <c r="J2749" i="7"/>
  <c r="L2749" i="7"/>
  <c r="E343" i="1"/>
  <c r="G2744" i="7"/>
  <c r="G2745" i="7"/>
  <c r="G2741" i="7"/>
  <c r="G2742" i="7"/>
  <c r="G2743" i="7"/>
  <c r="H344" i="1"/>
  <c r="G2740" i="7"/>
  <c r="G2738" i="7"/>
  <c r="J344" i="1"/>
  <c r="G2739" i="7"/>
  <c r="J2750" i="7"/>
  <c r="L2750" i="7"/>
  <c r="J2748" i="7"/>
  <c r="L2748" i="7"/>
  <c r="L2753" i="7"/>
  <c r="J2753" i="7"/>
  <c r="J2746" i="7"/>
  <c r="L2746" i="7"/>
  <c r="F371" i="8" l="1"/>
  <c r="H371" i="8" s="1"/>
  <c r="F372" i="8"/>
  <c r="H372" i="8" s="1"/>
  <c r="A372" i="9"/>
  <c r="A371" i="9"/>
  <c r="L2743" i="7"/>
  <c r="J2743" i="7"/>
  <c r="J2742" i="7"/>
  <c r="L2742" i="7"/>
  <c r="J2739" i="7"/>
  <c r="L2739" i="7"/>
  <c r="L2738" i="7"/>
  <c r="J2738" i="7"/>
  <c r="E342" i="1"/>
  <c r="G2737" i="7"/>
  <c r="G2733" i="7"/>
  <c r="G2734" i="7"/>
  <c r="G2735" i="7"/>
  <c r="G2736" i="7"/>
  <c r="H343" i="1"/>
  <c r="J343" i="1"/>
  <c r="G2732" i="7"/>
  <c r="G2730" i="7"/>
  <c r="G2731" i="7"/>
  <c r="J2741" i="7"/>
  <c r="L2741" i="7"/>
  <c r="J2744" i="7"/>
  <c r="L2744" i="7"/>
  <c r="L2745" i="7"/>
  <c r="J2745" i="7"/>
  <c r="J2740" i="7"/>
  <c r="L2740" i="7"/>
  <c r="F372" i="12" l="1"/>
  <c r="F371" i="12"/>
  <c r="F372" i="11"/>
  <c r="F371" i="11"/>
  <c r="F371" i="10"/>
  <c r="H371" i="10" s="1"/>
  <c r="I371" i="10" s="1"/>
  <c r="F372" i="10"/>
  <c r="H372" i="10" s="1"/>
  <c r="I372" i="10" s="1"/>
  <c r="F370" i="8"/>
  <c r="H370" i="8" s="1"/>
  <c r="A370" i="9"/>
  <c r="L2730" i="7"/>
  <c r="J2730" i="7"/>
  <c r="J2736" i="7"/>
  <c r="L2736" i="7"/>
  <c r="J2735" i="7"/>
  <c r="L2735" i="7"/>
  <c r="J2734" i="7"/>
  <c r="L2734" i="7"/>
  <c r="L2737" i="7"/>
  <c r="J2737" i="7"/>
  <c r="J2731" i="7"/>
  <c r="L2731" i="7"/>
  <c r="L2733" i="7"/>
  <c r="J2733" i="7"/>
  <c r="L2732" i="7"/>
  <c r="J2732" i="7"/>
  <c r="E341" i="1"/>
  <c r="G2728" i="7"/>
  <c r="G2725" i="7"/>
  <c r="G2726" i="7"/>
  <c r="G2727" i="7"/>
  <c r="G2729" i="7"/>
  <c r="H342" i="1"/>
  <c r="G2724" i="7"/>
  <c r="J342" i="1"/>
  <c r="F370" i="12" s="1"/>
  <c r="G2723" i="7"/>
  <c r="G2722" i="7"/>
  <c r="H372" i="12" l="1"/>
  <c r="H370" i="12"/>
  <c r="H371" i="12"/>
  <c r="G372" i="10"/>
  <c r="G371" i="10"/>
  <c r="F370" i="10"/>
  <c r="H370" i="10" s="1"/>
  <c r="I370" i="10" s="1"/>
  <c r="F370" i="11"/>
  <c r="L2722" i="7"/>
  <c r="J2722" i="7"/>
  <c r="E340" i="1"/>
  <c r="G2720" i="7"/>
  <c r="G2721" i="7"/>
  <c r="G2718" i="7"/>
  <c r="G2719" i="7"/>
  <c r="G2717" i="7"/>
  <c r="G2715" i="7"/>
  <c r="G2714" i="7"/>
  <c r="H341" i="1"/>
  <c r="J341" i="1"/>
  <c r="G2716" i="7"/>
  <c r="L2724" i="7"/>
  <c r="J2724" i="7"/>
  <c r="L2729" i="7"/>
  <c r="J2729" i="7"/>
  <c r="J2727" i="7"/>
  <c r="L2727" i="7"/>
  <c r="J2725" i="7"/>
  <c r="L2725" i="7"/>
  <c r="J2723" i="7"/>
  <c r="L2723" i="7"/>
  <c r="J2728" i="7"/>
  <c r="L2728" i="7"/>
  <c r="J2726" i="7"/>
  <c r="L2726" i="7"/>
  <c r="G370" i="10" l="1"/>
  <c r="L2720" i="7"/>
  <c r="J2720" i="7"/>
  <c r="J2719" i="7"/>
  <c r="L2719" i="7"/>
  <c r="E339" i="1"/>
  <c r="G2712" i="7"/>
  <c r="G2713" i="7"/>
  <c r="G2711" i="7"/>
  <c r="G2710" i="7"/>
  <c r="G2709" i="7"/>
  <c r="G2707" i="7"/>
  <c r="G2706" i="7"/>
  <c r="G2708" i="7"/>
  <c r="H340" i="1"/>
  <c r="J340" i="1"/>
  <c r="L2714" i="7"/>
  <c r="J2714" i="7"/>
  <c r="J2717" i="7"/>
  <c r="L2717" i="7"/>
  <c r="J2718" i="7"/>
  <c r="L2718" i="7"/>
  <c r="J2716" i="7"/>
  <c r="L2716" i="7"/>
  <c r="L2721" i="7"/>
  <c r="J2721" i="7"/>
  <c r="J2715" i="7"/>
  <c r="L2715" i="7"/>
  <c r="F369" i="8" l="1"/>
  <c r="H369" i="8" s="1"/>
  <c r="A369" i="9"/>
  <c r="J2712" i="7"/>
  <c r="L2712" i="7"/>
  <c r="J2707" i="7"/>
  <c r="L2707" i="7"/>
  <c r="L2706" i="7"/>
  <c r="J2706" i="7"/>
  <c r="E338" i="1"/>
  <c r="G2704" i="7"/>
  <c r="G2705" i="7"/>
  <c r="G2701" i="7"/>
  <c r="G2702" i="7"/>
  <c r="G2703" i="7"/>
  <c r="G2698" i="7"/>
  <c r="H339" i="1"/>
  <c r="J339" i="1"/>
  <c r="F369" i="12" s="1"/>
  <c r="G2700" i="7"/>
  <c r="G2699" i="7"/>
  <c r="L2709" i="7"/>
  <c r="J2709" i="7"/>
  <c r="J2710" i="7"/>
  <c r="L2710" i="7"/>
  <c r="J2711" i="7"/>
  <c r="L2711" i="7"/>
  <c r="J2708" i="7"/>
  <c r="L2708" i="7"/>
  <c r="L2713" i="7"/>
  <c r="J2713" i="7"/>
  <c r="H369" i="12" l="1"/>
  <c r="F369" i="10"/>
  <c r="H369" i="10" s="1"/>
  <c r="I369" i="10" s="1"/>
  <c r="F369" i="11"/>
  <c r="F367" i="8"/>
  <c r="H367" i="8" s="1"/>
  <c r="F368" i="8"/>
  <c r="H368" i="8" s="1"/>
  <c r="A367" i="9"/>
  <c r="A368" i="9"/>
  <c r="E337" i="1"/>
  <c r="G2697" i="7"/>
  <c r="G2694" i="7"/>
  <c r="G2696" i="7"/>
  <c r="G2695" i="7"/>
  <c r="G2693" i="7"/>
  <c r="G2692" i="7"/>
  <c r="J338" i="1"/>
  <c r="G2691" i="7"/>
  <c r="G2690" i="7"/>
  <c r="H338" i="1"/>
  <c r="J2702" i="7"/>
  <c r="L2702" i="7"/>
  <c r="J2701" i="7"/>
  <c r="L2701" i="7"/>
  <c r="J2699" i="7"/>
  <c r="L2699" i="7"/>
  <c r="L2705" i="7"/>
  <c r="J2705" i="7"/>
  <c r="L2698" i="7"/>
  <c r="J2698" i="7"/>
  <c r="J2703" i="7"/>
  <c r="L2703" i="7"/>
  <c r="J2700" i="7"/>
  <c r="L2700" i="7"/>
  <c r="J2704" i="7"/>
  <c r="L2704" i="7"/>
  <c r="F368" i="12" l="1"/>
  <c r="F367" i="12"/>
  <c r="G369" i="10"/>
  <c r="F368" i="11"/>
  <c r="F367" i="11"/>
  <c r="F367" i="10"/>
  <c r="H367" i="10" s="1"/>
  <c r="I367" i="10" s="1"/>
  <c r="F368" i="10"/>
  <c r="H368" i="10" s="1"/>
  <c r="I368" i="10" s="1"/>
  <c r="L2692" i="7"/>
  <c r="J2692" i="7"/>
  <c r="J2696" i="7"/>
  <c r="L2696" i="7"/>
  <c r="L2690" i="7"/>
  <c r="J2690" i="7"/>
  <c r="L2697" i="7"/>
  <c r="J2697" i="7"/>
  <c r="L2693" i="7"/>
  <c r="J2693" i="7"/>
  <c r="J2695" i="7"/>
  <c r="L2695" i="7"/>
  <c r="L2694" i="7"/>
  <c r="J2694" i="7"/>
  <c r="L2691" i="7"/>
  <c r="J2691" i="7"/>
  <c r="E336" i="1"/>
  <c r="G2685" i="7"/>
  <c r="G2688" i="7"/>
  <c r="G2687" i="7"/>
  <c r="G2686" i="7"/>
  <c r="G2689" i="7"/>
  <c r="J337" i="1"/>
  <c r="G2683" i="7"/>
  <c r="G2682" i="7"/>
  <c r="H337" i="1"/>
  <c r="G2684" i="7"/>
  <c r="H367" i="12" l="1"/>
  <c r="H368" i="12"/>
  <c r="G368" i="10"/>
  <c r="G367" i="10"/>
  <c r="J2684" i="7"/>
  <c r="L2684" i="7"/>
  <c r="L2682" i="7"/>
  <c r="J2682" i="7"/>
  <c r="J2686" i="7"/>
  <c r="L2686" i="7"/>
  <c r="J2688" i="7"/>
  <c r="L2688" i="7"/>
  <c r="L2685" i="7"/>
  <c r="J2685" i="7"/>
  <c r="L2683" i="7"/>
  <c r="J2683" i="7"/>
  <c r="J2687" i="7"/>
  <c r="L2687" i="7"/>
  <c r="E335" i="1"/>
  <c r="G2680" i="7"/>
  <c r="G2677" i="7"/>
  <c r="G2678" i="7"/>
  <c r="G2681" i="7"/>
  <c r="G2679" i="7"/>
  <c r="H336" i="1"/>
  <c r="G2676" i="7"/>
  <c r="G2674" i="7"/>
  <c r="J336" i="1"/>
  <c r="G2675" i="7"/>
  <c r="L2689" i="7"/>
  <c r="J2689" i="7"/>
  <c r="J2676" i="7" l="1"/>
  <c r="L2676" i="7"/>
  <c r="E334" i="1"/>
  <c r="G2673" i="7"/>
  <c r="G2669" i="7"/>
  <c r="G2670" i="7"/>
  <c r="G2671" i="7"/>
  <c r="G2672" i="7"/>
  <c r="H335" i="1"/>
  <c r="J335" i="1"/>
  <c r="G2667" i="7"/>
  <c r="G2668" i="7"/>
  <c r="G2666" i="7"/>
  <c r="J2680" i="7"/>
  <c r="L2680" i="7"/>
  <c r="J2679" i="7"/>
  <c r="L2679" i="7"/>
  <c r="L2674" i="7"/>
  <c r="J2674" i="7"/>
  <c r="L2681" i="7"/>
  <c r="J2681" i="7"/>
  <c r="J2678" i="7"/>
  <c r="L2678" i="7"/>
  <c r="J2675" i="7"/>
  <c r="L2675" i="7"/>
  <c r="J2677" i="7"/>
  <c r="L2677" i="7"/>
  <c r="J2671" i="7" l="1"/>
  <c r="L2671" i="7"/>
  <c r="J2666" i="7"/>
  <c r="L2666" i="7"/>
  <c r="L2669" i="7"/>
  <c r="J2669" i="7"/>
  <c r="J2672" i="7"/>
  <c r="L2672" i="7"/>
  <c r="J2670" i="7"/>
  <c r="L2670" i="7"/>
  <c r="L2673" i="7"/>
  <c r="J2673" i="7"/>
  <c r="J2668" i="7"/>
  <c r="L2668" i="7"/>
  <c r="J2667" i="7"/>
  <c r="L2667" i="7"/>
  <c r="E333" i="1"/>
  <c r="G2664" i="7"/>
  <c r="G2661" i="7"/>
  <c r="G2662" i="7"/>
  <c r="G2663" i="7"/>
  <c r="G2665" i="7"/>
  <c r="H334" i="1"/>
  <c r="G2660" i="7"/>
  <c r="J334" i="1"/>
  <c r="G2659" i="7"/>
  <c r="G2658" i="7"/>
  <c r="J2661" i="7" l="1"/>
  <c r="L2661" i="7"/>
  <c r="J2659" i="7"/>
  <c r="L2659" i="7"/>
  <c r="J2662" i="7"/>
  <c r="L2662" i="7"/>
  <c r="L2665" i="7"/>
  <c r="J2665" i="7"/>
  <c r="J2663" i="7"/>
  <c r="L2663" i="7"/>
  <c r="L2658" i="7"/>
  <c r="J2658" i="7"/>
  <c r="J2664" i="7"/>
  <c r="L2664" i="7"/>
  <c r="E332" i="1"/>
  <c r="G2656" i="7"/>
  <c r="G2657" i="7"/>
  <c r="G2654" i="7"/>
  <c r="G2655" i="7"/>
  <c r="G2653" i="7"/>
  <c r="G2651" i="7"/>
  <c r="G2650" i="7"/>
  <c r="G2652" i="7"/>
  <c r="H333" i="1"/>
  <c r="J333" i="1"/>
  <c r="L2660" i="7"/>
  <c r="J2660" i="7"/>
  <c r="J2656" i="7" l="1"/>
  <c r="L2656" i="7"/>
  <c r="L2652" i="7"/>
  <c r="J2652" i="7"/>
  <c r="J2650" i="7"/>
  <c r="L2650" i="7"/>
  <c r="E331" i="1"/>
  <c r="G2648" i="7"/>
  <c r="G2649" i="7"/>
  <c r="G2647" i="7"/>
  <c r="G2643" i="7"/>
  <c r="G2646" i="7"/>
  <c r="G2642" i="7"/>
  <c r="G2645" i="7"/>
  <c r="G2644" i="7"/>
  <c r="H332" i="1"/>
  <c r="J332" i="1"/>
  <c r="J2651" i="7"/>
  <c r="L2651" i="7"/>
  <c r="J2653" i="7"/>
  <c r="L2653" i="7"/>
  <c r="L2655" i="7"/>
  <c r="J2655" i="7"/>
  <c r="L2654" i="7"/>
  <c r="J2654" i="7"/>
  <c r="J2657" i="7"/>
  <c r="L2657" i="7"/>
  <c r="L2644" i="7" l="1"/>
  <c r="J2644" i="7"/>
  <c r="E330" i="1"/>
  <c r="G2640" i="7"/>
  <c r="G2641" i="7"/>
  <c r="G2637" i="7"/>
  <c r="G2638" i="7"/>
  <c r="G2634" i="7"/>
  <c r="H331" i="1"/>
  <c r="J331" i="1"/>
  <c r="G2639" i="7"/>
  <c r="G2635" i="7"/>
  <c r="G2636" i="7"/>
  <c r="J2645" i="7"/>
  <c r="L2645" i="7"/>
  <c r="J2643" i="7"/>
  <c r="L2643" i="7"/>
  <c r="L2642" i="7"/>
  <c r="J2642" i="7"/>
  <c r="J2646" i="7"/>
  <c r="L2646" i="7"/>
  <c r="J2647" i="7"/>
  <c r="L2647" i="7"/>
  <c r="L2649" i="7"/>
  <c r="J2649" i="7"/>
  <c r="J2648" i="7"/>
  <c r="L2648" i="7"/>
  <c r="J2638" i="7" l="1"/>
  <c r="L2638" i="7"/>
  <c r="J2636" i="7"/>
  <c r="L2636" i="7"/>
  <c r="J2637" i="7"/>
  <c r="L2637" i="7"/>
  <c r="J2635" i="7"/>
  <c r="L2635" i="7"/>
  <c r="J2641" i="7"/>
  <c r="L2641" i="7"/>
  <c r="J2640" i="7"/>
  <c r="L2640" i="7"/>
  <c r="J2639" i="7"/>
  <c r="L2639" i="7"/>
  <c r="E329" i="1"/>
  <c r="G2633" i="7"/>
  <c r="G2632" i="7"/>
  <c r="G2630" i="7"/>
  <c r="G2631" i="7"/>
  <c r="G2629" i="7"/>
  <c r="G2628" i="7"/>
  <c r="J330" i="1"/>
  <c r="G2627" i="7"/>
  <c r="G2626" i="7"/>
  <c r="H330" i="1"/>
  <c r="L2634" i="7"/>
  <c r="J2634" i="7"/>
  <c r="L2633" i="7" l="1"/>
  <c r="J2633" i="7"/>
  <c r="J2627" i="7"/>
  <c r="L2627" i="7"/>
  <c r="E328" i="1"/>
  <c r="G2624" i="7"/>
  <c r="G2625" i="7"/>
  <c r="G2621" i="7"/>
  <c r="G2623" i="7"/>
  <c r="G2622" i="7"/>
  <c r="J329" i="1"/>
  <c r="G2619" i="7"/>
  <c r="G2618" i="7"/>
  <c r="G2620" i="7"/>
  <c r="H329" i="1"/>
  <c r="L2628" i="7"/>
  <c r="J2628" i="7"/>
  <c r="L2626" i="7"/>
  <c r="J2626" i="7"/>
  <c r="J2629" i="7"/>
  <c r="L2629" i="7"/>
  <c r="L2631" i="7"/>
  <c r="J2631" i="7"/>
  <c r="J2630" i="7"/>
  <c r="L2630" i="7"/>
  <c r="J2632" i="7"/>
  <c r="L2632" i="7"/>
  <c r="J2621" i="7" l="1"/>
  <c r="L2621" i="7"/>
  <c r="L2620" i="7"/>
  <c r="J2620" i="7"/>
  <c r="J2619" i="7"/>
  <c r="L2619" i="7"/>
  <c r="L2625" i="7"/>
  <c r="J2625" i="7"/>
  <c r="J2624" i="7"/>
  <c r="L2624" i="7"/>
  <c r="J2618" i="7"/>
  <c r="L2618" i="7"/>
  <c r="E327" i="1"/>
  <c r="G2616" i="7"/>
  <c r="G2617" i="7"/>
  <c r="G2613" i="7"/>
  <c r="G2614" i="7"/>
  <c r="G2615" i="7"/>
  <c r="H328" i="1"/>
  <c r="G2612" i="7"/>
  <c r="G2610" i="7"/>
  <c r="G2611" i="7"/>
  <c r="J328" i="1"/>
  <c r="J2622" i="7"/>
  <c r="L2622" i="7"/>
  <c r="L2623" i="7"/>
  <c r="J2623" i="7"/>
  <c r="L2611" i="7" l="1"/>
  <c r="J2611" i="7"/>
  <c r="J2615" i="7"/>
  <c r="L2615" i="7"/>
  <c r="L2616" i="7"/>
  <c r="J2616" i="7"/>
  <c r="L2610" i="7"/>
  <c r="J2610" i="7"/>
  <c r="E326" i="1"/>
  <c r="G2609" i="7"/>
  <c r="G2608" i="7"/>
  <c r="G2605" i="7"/>
  <c r="G2606" i="7"/>
  <c r="G2607" i="7"/>
  <c r="H327" i="1"/>
  <c r="J327" i="1"/>
  <c r="G2604" i="7"/>
  <c r="G2602" i="7"/>
  <c r="G2603" i="7"/>
  <c r="L2612" i="7"/>
  <c r="J2612" i="7"/>
  <c r="L2614" i="7"/>
  <c r="J2614" i="7"/>
  <c r="L2613" i="7"/>
  <c r="J2613" i="7"/>
  <c r="L2617" i="7"/>
  <c r="J2617" i="7"/>
  <c r="F364" i="8" l="1"/>
  <c r="H364" i="8" s="1"/>
  <c r="F365" i="8"/>
  <c r="H365" i="8" s="1"/>
  <c r="F366" i="8"/>
  <c r="H366" i="8" s="1"/>
  <c r="A366" i="9"/>
  <c r="A365" i="9"/>
  <c r="A364" i="9"/>
  <c r="J2606" i="7"/>
  <c r="L2606" i="7"/>
  <c r="J2603" i="7"/>
  <c r="L2603" i="7"/>
  <c r="J2608" i="7"/>
  <c r="L2608" i="7"/>
  <c r="J2605" i="7"/>
  <c r="L2605" i="7"/>
  <c r="J2607" i="7"/>
  <c r="L2607" i="7"/>
  <c r="J2602" i="7"/>
  <c r="L2602" i="7"/>
  <c r="L2609" i="7"/>
  <c r="J2609" i="7"/>
  <c r="J2604" i="7"/>
  <c r="L2604" i="7"/>
  <c r="E325" i="1"/>
  <c r="G2600" i="7"/>
  <c r="G2597" i="7"/>
  <c r="G2601" i="7"/>
  <c r="G2598" i="7"/>
  <c r="G2599" i="7"/>
  <c r="H326" i="1"/>
  <c r="G2596" i="7"/>
  <c r="J326" i="1"/>
  <c r="G2595" i="7"/>
  <c r="G2594" i="7"/>
  <c r="F364" i="12" l="1"/>
  <c r="F365" i="12"/>
  <c r="F366" i="12"/>
  <c r="F365" i="11"/>
  <c r="F364" i="11"/>
  <c r="F366" i="11"/>
  <c r="F364" i="10"/>
  <c r="H364" i="10" s="1"/>
  <c r="I364" i="10" s="1"/>
  <c r="F365" i="10"/>
  <c r="H365" i="10" s="1"/>
  <c r="I365" i="10" s="1"/>
  <c r="F366" i="10"/>
  <c r="H366" i="10" s="1"/>
  <c r="I366" i="10" s="1"/>
  <c r="J2599" i="7"/>
  <c r="L2599" i="7"/>
  <c r="J2598" i="7"/>
  <c r="L2598" i="7"/>
  <c r="E324" i="1"/>
  <c r="G2592" i="7"/>
  <c r="G2593" i="7"/>
  <c r="G2590" i="7"/>
  <c r="G2591" i="7"/>
  <c r="G2589" i="7"/>
  <c r="G2587" i="7"/>
  <c r="G2586" i="7"/>
  <c r="H325" i="1"/>
  <c r="G2588" i="7"/>
  <c r="J325" i="1"/>
  <c r="J2601" i="7"/>
  <c r="L2601" i="7"/>
  <c r="L2596" i="7"/>
  <c r="J2596" i="7"/>
  <c r="L2594" i="7"/>
  <c r="J2594" i="7"/>
  <c r="J2597" i="7"/>
  <c r="L2597" i="7"/>
  <c r="J2595" i="7"/>
  <c r="L2595" i="7"/>
  <c r="J2600" i="7"/>
  <c r="L2600" i="7"/>
  <c r="H364" i="12" l="1"/>
  <c r="H365" i="12"/>
  <c r="H366" i="12"/>
  <c r="G366" i="10"/>
  <c r="G365" i="10"/>
  <c r="G364" i="10"/>
  <c r="J2590" i="7"/>
  <c r="L2590" i="7"/>
  <c r="L2588" i="7"/>
  <c r="J2588" i="7"/>
  <c r="L2593" i="7"/>
  <c r="J2593" i="7"/>
  <c r="J2592" i="7"/>
  <c r="L2592" i="7"/>
  <c r="E323" i="1"/>
  <c r="G2584" i="7"/>
  <c r="G2585" i="7"/>
  <c r="G2583" i="7"/>
  <c r="G2582" i="7"/>
  <c r="G2579" i="7"/>
  <c r="G2578" i="7"/>
  <c r="G2580" i="7"/>
  <c r="H324" i="1"/>
  <c r="G2581" i="7"/>
  <c r="J324" i="1"/>
  <c r="J2587" i="7"/>
  <c r="L2587" i="7"/>
  <c r="L2586" i="7"/>
  <c r="J2586" i="7"/>
  <c r="J2589" i="7"/>
  <c r="L2589" i="7"/>
  <c r="L2591" i="7"/>
  <c r="J2591" i="7"/>
  <c r="E322" i="1" l="1"/>
  <c r="G2576" i="7"/>
  <c r="G2577" i="7"/>
  <c r="G2573" i="7"/>
  <c r="G2574" i="7"/>
  <c r="G2570" i="7"/>
  <c r="H323" i="1"/>
  <c r="J323" i="1"/>
  <c r="G2575" i="7"/>
  <c r="G2572" i="7"/>
  <c r="G2571" i="7"/>
  <c r="J2581" i="7"/>
  <c r="L2581" i="7"/>
  <c r="J2585" i="7"/>
  <c r="L2585" i="7"/>
  <c r="L2578" i="7"/>
  <c r="J2578" i="7"/>
  <c r="J2583" i="7"/>
  <c r="L2583" i="7"/>
  <c r="J2584" i="7"/>
  <c r="L2584" i="7"/>
  <c r="L2580" i="7"/>
  <c r="J2580" i="7"/>
  <c r="J2579" i="7"/>
  <c r="L2579" i="7"/>
  <c r="J2582" i="7"/>
  <c r="L2582" i="7"/>
  <c r="L2570" i="7" l="1"/>
  <c r="J2570" i="7"/>
  <c r="J2573" i="7"/>
  <c r="L2573" i="7"/>
  <c r="J2571" i="7"/>
  <c r="L2571" i="7"/>
  <c r="L2577" i="7"/>
  <c r="J2577" i="7"/>
  <c r="J2572" i="7"/>
  <c r="L2572" i="7"/>
  <c r="J2576" i="7"/>
  <c r="L2576" i="7"/>
  <c r="J2574" i="7"/>
  <c r="L2574" i="7"/>
  <c r="L2575" i="7"/>
  <c r="J2575" i="7"/>
  <c r="E321" i="1"/>
  <c r="G2569" i="7"/>
  <c r="G2568" i="7"/>
  <c r="G2566" i="7"/>
  <c r="G2567" i="7"/>
  <c r="G2565" i="7"/>
  <c r="G2564" i="7"/>
  <c r="J322" i="1"/>
  <c r="G2563" i="7"/>
  <c r="G2562" i="7"/>
  <c r="H322" i="1"/>
  <c r="F363" i="8" l="1"/>
  <c r="H363" i="8" s="1"/>
  <c r="A363" i="9"/>
  <c r="J2565" i="7"/>
  <c r="L2565" i="7"/>
  <c r="J2568" i="7"/>
  <c r="L2568" i="7"/>
  <c r="L2562" i="7"/>
  <c r="J2562" i="7"/>
  <c r="L2564" i="7"/>
  <c r="J2564" i="7"/>
  <c r="L2567" i="7"/>
  <c r="J2567" i="7"/>
  <c r="J2563" i="7"/>
  <c r="L2563" i="7"/>
  <c r="L2566" i="7"/>
  <c r="J2566" i="7"/>
  <c r="L2569" i="7"/>
  <c r="J2569" i="7"/>
  <c r="G2561" i="7"/>
  <c r="E320" i="1"/>
  <c r="G2557" i="7"/>
  <c r="G2559" i="7"/>
  <c r="G2558" i="7"/>
  <c r="J321" i="1"/>
  <c r="F363" i="12" s="1"/>
  <c r="G2555" i="7"/>
  <c r="G2560" i="7"/>
  <c r="G2554" i="7"/>
  <c r="H321" i="1"/>
  <c r="G2556" i="7"/>
  <c r="H363" i="12" l="1"/>
  <c r="F363" i="10"/>
  <c r="H363" i="10" s="1"/>
  <c r="I363" i="10" s="1"/>
  <c r="F363" i="11"/>
  <c r="J2560" i="7"/>
  <c r="L2560" i="7"/>
  <c r="J2555" i="7"/>
  <c r="L2555" i="7"/>
  <c r="J2557" i="7"/>
  <c r="L2557" i="7"/>
  <c r="L2558" i="7"/>
  <c r="J2558" i="7"/>
  <c r="L2559" i="7"/>
  <c r="J2559" i="7"/>
  <c r="L2556" i="7"/>
  <c r="J2556" i="7"/>
  <c r="E319" i="1"/>
  <c r="G2552" i="7"/>
  <c r="G2553" i="7"/>
  <c r="G2549" i="7"/>
  <c r="G2550" i="7"/>
  <c r="G2551" i="7"/>
  <c r="H320" i="1"/>
  <c r="G2548" i="7"/>
  <c r="G2546" i="7"/>
  <c r="G2547" i="7"/>
  <c r="J320" i="1"/>
  <c r="J2554" i="7"/>
  <c r="L2554" i="7"/>
  <c r="L2561" i="7"/>
  <c r="J2561" i="7"/>
  <c r="G363" i="10" l="1"/>
  <c r="F362" i="8"/>
  <c r="H362" i="8" s="1"/>
  <c r="A362" i="9"/>
  <c r="L2546" i="7"/>
  <c r="J2546" i="7"/>
  <c r="J2548" i="7"/>
  <c r="L2548" i="7"/>
  <c r="J2551" i="7"/>
  <c r="L2551" i="7"/>
  <c r="J2549" i="7"/>
  <c r="L2549" i="7"/>
  <c r="J2550" i="7"/>
  <c r="L2550" i="7"/>
  <c r="L2553" i="7"/>
  <c r="J2553" i="7"/>
  <c r="J2547" i="7"/>
  <c r="L2547" i="7"/>
  <c r="J2552" i="7"/>
  <c r="L2552" i="7"/>
  <c r="G2545" i="7"/>
  <c r="E318" i="1"/>
  <c r="G2541" i="7"/>
  <c r="G2542" i="7"/>
  <c r="G2543" i="7"/>
  <c r="G2544" i="7"/>
  <c r="H319" i="1"/>
  <c r="J319" i="1"/>
  <c r="F362" i="12" s="1"/>
  <c r="G2540" i="7"/>
  <c r="G2539" i="7"/>
  <c r="G2538" i="7"/>
  <c r="H362" i="12" l="1"/>
  <c r="F362" i="10"/>
  <c r="H362" i="10" s="1"/>
  <c r="I362" i="10" s="1"/>
  <c r="F362" i="11"/>
  <c r="F361" i="8"/>
  <c r="H361" i="8" s="1"/>
  <c r="A361" i="9"/>
  <c r="J2540" i="7"/>
  <c r="L2540" i="7"/>
  <c r="L2545" i="7"/>
  <c r="J2545" i="7"/>
  <c r="L2543" i="7"/>
  <c r="J2543" i="7"/>
  <c r="J2542" i="7"/>
  <c r="L2542" i="7"/>
  <c r="J2544" i="7"/>
  <c r="L2544" i="7"/>
  <c r="L2538" i="7"/>
  <c r="J2538" i="7"/>
  <c r="J2541" i="7"/>
  <c r="L2541" i="7"/>
  <c r="L2539" i="7"/>
  <c r="J2539" i="7"/>
  <c r="E317" i="1"/>
  <c r="G2536" i="7"/>
  <c r="G2533" i="7"/>
  <c r="G2534" i="7"/>
  <c r="G2535" i="7"/>
  <c r="H318" i="1"/>
  <c r="G2532" i="7"/>
  <c r="J318" i="1"/>
  <c r="F361" i="12" s="1"/>
  <c r="G2531" i="7"/>
  <c r="G2537" i="7"/>
  <c r="G2530" i="7"/>
  <c r="H361" i="12" l="1"/>
  <c r="G362" i="10"/>
  <c r="F361" i="10"/>
  <c r="H361" i="10" s="1"/>
  <c r="I361" i="10" s="1"/>
  <c r="F361" i="11"/>
  <c r="L2530" i="7"/>
  <c r="J2530" i="7"/>
  <c r="L2532" i="7"/>
  <c r="J2532" i="7"/>
  <c r="J2534" i="7"/>
  <c r="L2534" i="7"/>
  <c r="J2536" i="7"/>
  <c r="L2536" i="7"/>
  <c r="J2535" i="7"/>
  <c r="L2535" i="7"/>
  <c r="J2533" i="7"/>
  <c r="L2533" i="7"/>
  <c r="L2537" i="7"/>
  <c r="J2537" i="7"/>
  <c r="L2531" i="7"/>
  <c r="J2531" i="7"/>
  <c r="E316" i="1"/>
  <c r="G2529" i="7"/>
  <c r="G2528" i="7"/>
  <c r="G2526" i="7"/>
  <c r="G2527" i="7"/>
  <c r="G2525" i="7"/>
  <c r="G2523" i="7"/>
  <c r="G2522" i="7"/>
  <c r="G2524" i="7"/>
  <c r="H317" i="1"/>
  <c r="J317" i="1"/>
  <c r="G361" i="10" l="1"/>
  <c r="J2523" i="7"/>
  <c r="L2523" i="7"/>
  <c r="L2526" i="7"/>
  <c r="J2526" i="7"/>
  <c r="L2527" i="7"/>
  <c r="J2527" i="7"/>
  <c r="J2524" i="7"/>
  <c r="L2524" i="7"/>
  <c r="J2525" i="7"/>
  <c r="L2525" i="7"/>
  <c r="J2528" i="7"/>
  <c r="L2528" i="7"/>
  <c r="L2529" i="7"/>
  <c r="J2529" i="7"/>
  <c r="E315" i="1"/>
  <c r="G2521" i="7"/>
  <c r="G2520" i="7"/>
  <c r="G2519" i="7"/>
  <c r="G2518" i="7"/>
  <c r="G2517" i="7"/>
  <c r="G2515" i="7"/>
  <c r="G2514" i="7"/>
  <c r="G2516" i="7"/>
  <c r="H316" i="1"/>
  <c r="J316" i="1"/>
  <c r="L2522" i="7"/>
  <c r="J2522" i="7"/>
  <c r="F358" i="8" l="1"/>
  <c r="H358" i="8" s="1"/>
  <c r="F359" i="8"/>
  <c r="H359" i="8" s="1"/>
  <c r="F360" i="8"/>
  <c r="H360" i="8" s="1"/>
  <c r="A360" i="9"/>
  <c r="A359" i="9"/>
  <c r="A358" i="9"/>
  <c r="J2519" i="7"/>
  <c r="L2519" i="7"/>
  <c r="G2513" i="7"/>
  <c r="E314" i="1"/>
  <c r="G2512" i="7"/>
  <c r="G2509" i="7"/>
  <c r="G2510" i="7"/>
  <c r="G2511" i="7"/>
  <c r="G2506" i="7"/>
  <c r="H315" i="1"/>
  <c r="J315" i="1"/>
  <c r="G2507" i="7"/>
  <c r="G2508" i="7"/>
  <c r="L2521" i="7"/>
  <c r="J2521" i="7"/>
  <c r="L2514" i="7"/>
  <c r="J2514" i="7"/>
  <c r="J2515" i="7"/>
  <c r="L2515" i="7"/>
  <c r="J2518" i="7"/>
  <c r="L2518" i="7"/>
  <c r="J2520" i="7"/>
  <c r="L2520" i="7"/>
  <c r="L2516" i="7"/>
  <c r="J2516" i="7"/>
  <c r="L2517" i="7"/>
  <c r="J2517" i="7"/>
  <c r="F360" i="12" l="1"/>
  <c r="F358" i="12"/>
  <c r="F359" i="12"/>
  <c r="F360" i="11"/>
  <c r="F359" i="11"/>
  <c r="F358" i="11"/>
  <c r="F358" i="10"/>
  <c r="H358" i="10" s="1"/>
  <c r="I358" i="10" s="1"/>
  <c r="F359" i="10"/>
  <c r="H359" i="10" s="1"/>
  <c r="I359" i="10" s="1"/>
  <c r="F360" i="10"/>
  <c r="H360" i="10" s="1"/>
  <c r="I360" i="10" s="1"/>
  <c r="F357" i="8"/>
  <c r="H357" i="8" s="1"/>
  <c r="A357" i="9"/>
  <c r="J2509" i="7"/>
  <c r="L2509" i="7"/>
  <c r="J2512" i="7"/>
  <c r="L2512" i="7"/>
  <c r="L2513" i="7"/>
  <c r="J2513" i="7"/>
  <c r="J2510" i="7"/>
  <c r="L2510" i="7"/>
  <c r="J2508" i="7"/>
  <c r="L2508" i="7"/>
  <c r="J2507" i="7"/>
  <c r="L2507" i="7"/>
  <c r="G2505" i="7"/>
  <c r="E313" i="1"/>
  <c r="G2504" i="7"/>
  <c r="G2502" i="7"/>
  <c r="G2503" i="7"/>
  <c r="G2501" i="7"/>
  <c r="G2500" i="7"/>
  <c r="J314" i="1"/>
  <c r="F357" i="12" s="1"/>
  <c r="G2499" i="7"/>
  <c r="H314" i="1"/>
  <c r="G2498" i="7"/>
  <c r="L2506" i="7"/>
  <c r="J2506" i="7"/>
  <c r="L2511" i="7"/>
  <c r="J2511" i="7"/>
  <c r="H359" i="12" l="1"/>
  <c r="H357" i="12"/>
  <c r="H360" i="12"/>
  <c r="H358" i="12"/>
  <c r="G360" i="10"/>
  <c r="G359" i="10"/>
  <c r="G358" i="10"/>
  <c r="F357" i="10"/>
  <c r="H357" i="10" s="1"/>
  <c r="I357" i="10" s="1"/>
  <c r="F357" i="11"/>
  <c r="L2499" i="7"/>
  <c r="J2499" i="7"/>
  <c r="L2505" i="7"/>
  <c r="J2505" i="7"/>
  <c r="J2501" i="7"/>
  <c r="L2501" i="7"/>
  <c r="G2497" i="7"/>
  <c r="E312" i="1"/>
  <c r="G2493" i="7"/>
  <c r="G2495" i="7"/>
  <c r="G2496" i="7"/>
  <c r="J313" i="1"/>
  <c r="G2491" i="7"/>
  <c r="G2490" i="7"/>
  <c r="H313" i="1"/>
  <c r="G2494" i="7"/>
  <c r="G2492" i="7"/>
  <c r="L2502" i="7"/>
  <c r="J2502" i="7"/>
  <c r="L2500" i="7"/>
  <c r="J2500" i="7"/>
  <c r="J2503" i="7"/>
  <c r="L2503" i="7"/>
  <c r="L2498" i="7"/>
  <c r="J2498" i="7"/>
  <c r="J2504" i="7"/>
  <c r="L2504" i="7"/>
  <c r="G357" i="10" l="1"/>
  <c r="F356" i="8"/>
  <c r="H356" i="8" s="1"/>
  <c r="A356" i="9"/>
  <c r="L2494" i="7"/>
  <c r="J2494" i="7"/>
  <c r="L2491" i="7"/>
  <c r="J2491" i="7"/>
  <c r="E311" i="1"/>
  <c r="G2489" i="7"/>
  <c r="G2488" i="7"/>
  <c r="G2485" i="7"/>
  <c r="G2486" i="7"/>
  <c r="H312" i="1"/>
  <c r="G2487" i="7"/>
  <c r="G2484" i="7"/>
  <c r="G2482" i="7"/>
  <c r="G2483" i="7"/>
  <c r="J312" i="1"/>
  <c r="F356" i="12" s="1"/>
  <c r="J2496" i="7"/>
  <c r="L2496" i="7"/>
  <c r="L2490" i="7"/>
  <c r="J2490" i="7"/>
  <c r="L2497" i="7"/>
  <c r="J2497" i="7"/>
  <c r="L2495" i="7"/>
  <c r="J2495" i="7"/>
  <c r="L2492" i="7"/>
  <c r="J2492" i="7"/>
  <c r="J2493" i="7"/>
  <c r="L2493" i="7"/>
  <c r="H356" i="12" l="1"/>
  <c r="F356" i="10"/>
  <c r="H356" i="10" s="1"/>
  <c r="I356" i="10" s="1"/>
  <c r="F356" i="11"/>
  <c r="F355" i="8"/>
  <c r="H355" i="8" s="1"/>
  <c r="F354" i="8"/>
  <c r="H354" i="8" s="1"/>
  <c r="A354" i="9"/>
  <c r="A355" i="9"/>
  <c r="L2482" i="7"/>
  <c r="J2482" i="7"/>
  <c r="G2481" i="7"/>
  <c r="E310" i="1"/>
  <c r="G2477" i="7"/>
  <c r="G2478" i="7"/>
  <c r="G2480" i="7"/>
  <c r="G2479" i="7"/>
  <c r="H311" i="1"/>
  <c r="J311" i="1"/>
  <c r="G2476" i="7"/>
  <c r="G2475" i="7"/>
  <c r="G2474" i="7"/>
  <c r="L2484" i="7"/>
  <c r="J2484" i="7"/>
  <c r="J2487" i="7"/>
  <c r="L2487" i="7"/>
  <c r="L2489" i="7"/>
  <c r="J2489" i="7"/>
  <c r="J2483" i="7"/>
  <c r="L2483" i="7"/>
  <c r="L2486" i="7"/>
  <c r="J2486" i="7"/>
  <c r="J2485" i="7"/>
  <c r="L2485" i="7"/>
  <c r="L2488" i="7"/>
  <c r="J2488" i="7"/>
  <c r="F354" i="12" l="1"/>
  <c r="F355" i="12"/>
  <c r="G356" i="10"/>
  <c r="F355" i="11"/>
  <c r="F354" i="11"/>
  <c r="F355" i="10"/>
  <c r="H355" i="10" s="1"/>
  <c r="I355" i="10" s="1"/>
  <c r="F354" i="10"/>
  <c r="H354" i="10" s="1"/>
  <c r="I354" i="10" s="1"/>
  <c r="F353" i="8"/>
  <c r="H353" i="8" s="1"/>
  <c r="A353" i="9"/>
  <c r="J2478" i="7"/>
  <c r="L2478" i="7"/>
  <c r="L2480" i="7"/>
  <c r="J2480" i="7"/>
  <c r="J2477" i="7"/>
  <c r="L2477" i="7"/>
  <c r="J2475" i="7"/>
  <c r="L2475" i="7"/>
  <c r="J2476" i="7"/>
  <c r="L2476" i="7"/>
  <c r="L2481" i="7"/>
  <c r="J2481" i="7"/>
  <c r="L2474" i="7"/>
  <c r="J2474" i="7"/>
  <c r="E309" i="1"/>
  <c r="G2472" i="7"/>
  <c r="G2469" i="7"/>
  <c r="G2470" i="7"/>
  <c r="G2471" i="7"/>
  <c r="G2473" i="7"/>
  <c r="H310" i="1"/>
  <c r="G2468" i="7"/>
  <c r="J310" i="1"/>
  <c r="F353" i="12" s="1"/>
  <c r="G2467" i="7"/>
  <c r="G2466" i="7"/>
  <c r="L2479" i="7"/>
  <c r="J2479" i="7"/>
  <c r="H353" i="12" l="1"/>
  <c r="H354" i="12"/>
  <c r="H355" i="12"/>
  <c r="G354" i="10"/>
  <c r="G355" i="10"/>
  <c r="F353" i="10"/>
  <c r="H353" i="10" s="1"/>
  <c r="I353" i="10" s="1"/>
  <c r="F353" i="11"/>
  <c r="F349" i="8"/>
  <c r="H349" i="8" s="1"/>
  <c r="F350" i="8"/>
  <c r="H350" i="8" s="1"/>
  <c r="F351" i="8"/>
  <c r="H351" i="8" s="1"/>
  <c r="F352" i="8"/>
  <c r="H352" i="8" s="1"/>
  <c r="A351" i="9"/>
  <c r="A352" i="9"/>
  <c r="A350" i="9"/>
  <c r="A349" i="9"/>
  <c r="J2471" i="7"/>
  <c r="L2471" i="7"/>
  <c r="E308" i="1"/>
  <c r="G2465" i="7"/>
  <c r="G2464" i="7"/>
  <c r="G2462" i="7"/>
  <c r="G2463" i="7"/>
  <c r="G2459" i="7"/>
  <c r="G2458" i="7"/>
  <c r="G2461" i="7"/>
  <c r="H309" i="1"/>
  <c r="J309" i="1"/>
  <c r="G2460" i="7"/>
  <c r="L2468" i="7"/>
  <c r="J2468" i="7"/>
  <c r="L2466" i="7"/>
  <c r="J2466" i="7"/>
  <c r="L2473" i="7"/>
  <c r="J2473" i="7"/>
  <c r="J2470" i="7"/>
  <c r="L2470" i="7"/>
  <c r="L2469" i="7"/>
  <c r="J2469" i="7"/>
  <c r="J2467" i="7"/>
  <c r="L2467" i="7"/>
  <c r="J2472" i="7"/>
  <c r="L2472" i="7"/>
  <c r="F352" i="12" l="1"/>
  <c r="F349" i="12"/>
  <c r="F350" i="12"/>
  <c r="F351" i="12"/>
  <c r="G353" i="10"/>
  <c r="F349" i="11"/>
  <c r="F352" i="11"/>
  <c r="F351" i="11"/>
  <c r="F350" i="11"/>
  <c r="F351" i="10"/>
  <c r="H351" i="10" s="1"/>
  <c r="I351" i="10" s="1"/>
  <c r="F349" i="10"/>
  <c r="H349" i="10" s="1"/>
  <c r="I349" i="10" s="1"/>
  <c r="F352" i="10"/>
  <c r="H352" i="10" s="1"/>
  <c r="I352" i="10" s="1"/>
  <c r="F350" i="10"/>
  <c r="H350" i="10" s="1"/>
  <c r="I350" i="10" s="1"/>
  <c r="F347" i="8"/>
  <c r="H347" i="8" s="1"/>
  <c r="F348" i="8"/>
  <c r="H348" i="8" s="1"/>
  <c r="F345" i="8"/>
  <c r="H345" i="8" s="1"/>
  <c r="F346" i="8"/>
  <c r="H346" i="8" s="1"/>
  <c r="A345" i="9"/>
  <c r="A348" i="9"/>
  <c r="A346" i="9"/>
  <c r="A347" i="9"/>
  <c r="L2463" i="7"/>
  <c r="J2463" i="7"/>
  <c r="J2462" i="7"/>
  <c r="L2462" i="7"/>
  <c r="J2464" i="7"/>
  <c r="L2464" i="7"/>
  <c r="L2460" i="7"/>
  <c r="J2460" i="7"/>
  <c r="L2465" i="7"/>
  <c r="J2465" i="7"/>
  <c r="E307" i="1"/>
  <c r="G2457" i="7"/>
  <c r="G2456" i="7"/>
  <c r="G2455" i="7"/>
  <c r="G2454" i="7"/>
  <c r="G2453" i="7"/>
  <c r="G2451" i="7"/>
  <c r="G2450" i="7"/>
  <c r="G2452" i="7"/>
  <c r="H308" i="1"/>
  <c r="J308" i="1"/>
  <c r="L2458" i="7"/>
  <c r="J2458" i="7"/>
  <c r="J2459" i="7"/>
  <c r="L2459" i="7"/>
  <c r="J2461" i="7"/>
  <c r="L2461" i="7"/>
  <c r="F348" i="12" l="1"/>
  <c r="F345" i="12"/>
  <c r="F346" i="12"/>
  <c r="F347" i="12"/>
  <c r="H351" i="12"/>
  <c r="H352" i="12"/>
  <c r="H349" i="12"/>
  <c r="H350" i="12"/>
  <c r="G349" i="10"/>
  <c r="G351" i="10"/>
  <c r="G350" i="10"/>
  <c r="G352" i="10"/>
  <c r="F345" i="11"/>
  <c r="F348" i="11"/>
  <c r="F347" i="11"/>
  <c r="F346" i="11"/>
  <c r="F347" i="10"/>
  <c r="H347" i="10" s="1"/>
  <c r="I347" i="10" s="1"/>
  <c r="F348" i="10"/>
  <c r="H348" i="10" s="1"/>
  <c r="I348" i="10" s="1"/>
  <c r="F345" i="10"/>
  <c r="H345" i="10" s="1"/>
  <c r="I345" i="10" s="1"/>
  <c r="F346" i="10"/>
  <c r="H346" i="10" s="1"/>
  <c r="I346" i="10" s="1"/>
  <c r="F343" i="8"/>
  <c r="H343" i="8" s="1"/>
  <c r="F344" i="8"/>
  <c r="H344" i="8" s="1"/>
  <c r="A344" i="9"/>
  <c r="A343" i="9"/>
  <c r="G2449" i="7"/>
  <c r="E306" i="1"/>
  <c r="G2448" i="7"/>
  <c r="G2445" i="7"/>
  <c r="G2446" i="7"/>
  <c r="G2447" i="7"/>
  <c r="G2442" i="7"/>
  <c r="H307" i="1"/>
  <c r="J307" i="1"/>
  <c r="G2443" i="7"/>
  <c r="G2444" i="7"/>
  <c r="L2450" i="7"/>
  <c r="J2450" i="7"/>
  <c r="J2451" i="7"/>
  <c r="L2451" i="7"/>
  <c r="J2454" i="7"/>
  <c r="L2454" i="7"/>
  <c r="J2453" i="7"/>
  <c r="L2453" i="7"/>
  <c r="J2455" i="7"/>
  <c r="L2455" i="7"/>
  <c r="L2452" i="7"/>
  <c r="J2452" i="7"/>
  <c r="J2456" i="7"/>
  <c r="L2456" i="7"/>
  <c r="L2457" i="7"/>
  <c r="J2457" i="7"/>
  <c r="F344" i="12" l="1"/>
  <c r="F343" i="12"/>
  <c r="H345" i="12"/>
  <c r="H347" i="12"/>
  <c r="H348" i="12"/>
  <c r="H346" i="12"/>
  <c r="G346" i="10"/>
  <c r="G345" i="10"/>
  <c r="G348" i="10"/>
  <c r="G347" i="10"/>
  <c r="F344" i="11"/>
  <c r="F343" i="11"/>
  <c r="F343" i="10"/>
  <c r="H343" i="10" s="1"/>
  <c r="I343" i="10" s="1"/>
  <c r="F344" i="10"/>
  <c r="H344" i="10" s="1"/>
  <c r="I344" i="10" s="1"/>
  <c r="F342" i="8"/>
  <c r="H342" i="8" s="1"/>
  <c r="A342" i="9"/>
  <c r="J2447" i="7"/>
  <c r="L2447" i="7"/>
  <c r="L2442" i="7"/>
  <c r="J2442" i="7"/>
  <c r="J2445" i="7"/>
  <c r="L2445" i="7"/>
  <c r="J2448" i="7"/>
  <c r="L2448" i="7"/>
  <c r="L2446" i="7"/>
  <c r="J2446" i="7"/>
  <c r="J2444" i="7"/>
  <c r="L2444" i="7"/>
  <c r="J2443" i="7"/>
  <c r="L2443" i="7"/>
  <c r="G2441" i="7"/>
  <c r="E305" i="1"/>
  <c r="G2440" i="7"/>
  <c r="G2438" i="7"/>
  <c r="G2439" i="7"/>
  <c r="G2437" i="7"/>
  <c r="G2436" i="7"/>
  <c r="J306" i="1"/>
  <c r="F342" i="12" s="1"/>
  <c r="G2435" i="7"/>
  <c r="H306" i="1"/>
  <c r="G2434" i="7"/>
  <c r="J2449" i="7"/>
  <c r="L2449" i="7"/>
  <c r="H343" i="12" l="1"/>
  <c r="H344" i="12"/>
  <c r="H342" i="12"/>
  <c r="G344" i="10"/>
  <c r="G343" i="10"/>
  <c r="F342" i="10"/>
  <c r="H342" i="10" s="1"/>
  <c r="I342" i="10" s="1"/>
  <c r="F342" i="11"/>
  <c r="F339" i="8"/>
  <c r="H339" i="8" s="1"/>
  <c r="F340" i="8"/>
  <c r="H340" i="8" s="1"/>
  <c r="F341" i="8"/>
  <c r="H341" i="8" s="1"/>
  <c r="F338" i="8"/>
  <c r="H338" i="8" s="1"/>
  <c r="A341" i="9"/>
  <c r="A340" i="9"/>
  <c r="A338" i="9"/>
  <c r="A339" i="9"/>
  <c r="J2439" i="7"/>
  <c r="L2439" i="7"/>
  <c r="L2436" i="7"/>
  <c r="J2436" i="7"/>
  <c r="J2437" i="7"/>
  <c r="L2437" i="7"/>
  <c r="J2438" i="7"/>
  <c r="L2438" i="7"/>
  <c r="L2434" i="7"/>
  <c r="J2434" i="7"/>
  <c r="J2440" i="7"/>
  <c r="L2440" i="7"/>
  <c r="G2433" i="7"/>
  <c r="E304" i="1"/>
  <c r="G2432" i="7"/>
  <c r="G2429" i="7"/>
  <c r="G2431" i="7"/>
  <c r="J305" i="1"/>
  <c r="G2427" i="7"/>
  <c r="G2430" i="7"/>
  <c r="G2426" i="7"/>
  <c r="H305" i="1"/>
  <c r="G2428" i="7"/>
  <c r="L2435" i="7"/>
  <c r="J2435" i="7"/>
  <c r="J2441" i="7"/>
  <c r="L2441" i="7"/>
  <c r="F339" i="12" l="1"/>
  <c r="F340" i="12"/>
  <c r="F341" i="12"/>
  <c r="F338" i="12"/>
  <c r="G342" i="10"/>
  <c r="F341" i="11"/>
  <c r="F340" i="11"/>
  <c r="F339" i="11"/>
  <c r="F338" i="11"/>
  <c r="F339" i="10"/>
  <c r="H339" i="10" s="1"/>
  <c r="I339" i="10" s="1"/>
  <c r="F340" i="10"/>
  <c r="H340" i="10" s="1"/>
  <c r="I340" i="10" s="1"/>
  <c r="F341" i="10"/>
  <c r="H341" i="10" s="1"/>
  <c r="I341" i="10" s="1"/>
  <c r="F338" i="10"/>
  <c r="H338" i="10" s="1"/>
  <c r="I338" i="10" s="1"/>
  <c r="F335" i="8"/>
  <c r="H335" i="8" s="1"/>
  <c r="F336" i="8"/>
  <c r="H336" i="8" s="1"/>
  <c r="F337" i="8"/>
  <c r="H337" i="8" s="1"/>
  <c r="A337" i="9"/>
  <c r="A335" i="9"/>
  <c r="A336" i="9"/>
  <c r="J2427" i="7"/>
  <c r="L2427" i="7"/>
  <c r="L2426" i="7"/>
  <c r="J2426" i="7"/>
  <c r="J2430" i="7"/>
  <c r="L2430" i="7"/>
  <c r="L2431" i="7"/>
  <c r="J2431" i="7"/>
  <c r="J2429" i="7"/>
  <c r="L2429" i="7"/>
  <c r="E303" i="1"/>
  <c r="G2425" i="7"/>
  <c r="G2424" i="7"/>
  <c r="G2421" i="7"/>
  <c r="G2422" i="7"/>
  <c r="G2423" i="7"/>
  <c r="H304" i="1"/>
  <c r="G2420" i="7"/>
  <c r="G2418" i="7"/>
  <c r="J304" i="1"/>
  <c r="G2419" i="7"/>
  <c r="L2433" i="7"/>
  <c r="J2433" i="7"/>
  <c r="L2428" i="7"/>
  <c r="J2428" i="7"/>
  <c r="J2432" i="7"/>
  <c r="L2432" i="7"/>
  <c r="F335" i="12" l="1"/>
  <c r="F336" i="12"/>
  <c r="F337" i="12"/>
  <c r="H340" i="12"/>
  <c r="H338" i="12"/>
  <c r="H341" i="12"/>
  <c r="H339" i="12"/>
  <c r="G339" i="10"/>
  <c r="G340" i="10"/>
  <c r="G338" i="10"/>
  <c r="G341" i="10"/>
  <c r="F337" i="11"/>
  <c r="F336" i="11"/>
  <c r="F335" i="11"/>
  <c r="F336" i="10"/>
  <c r="H336" i="10" s="1"/>
  <c r="I336" i="10" s="1"/>
  <c r="F337" i="10"/>
  <c r="H337" i="10" s="1"/>
  <c r="I337" i="10" s="1"/>
  <c r="F335" i="10"/>
  <c r="H335" i="10" s="1"/>
  <c r="I335" i="10" s="1"/>
  <c r="L2418" i="7"/>
  <c r="J2418" i="7"/>
  <c r="G2417" i="7"/>
  <c r="G2416" i="7"/>
  <c r="E302" i="1"/>
  <c r="G2413" i="7"/>
  <c r="G2414" i="7"/>
  <c r="G2415" i="7"/>
  <c r="H303" i="1"/>
  <c r="J303" i="1"/>
  <c r="G2410" i="7"/>
  <c r="G2412" i="7"/>
  <c r="G2411" i="7"/>
  <c r="J2420" i="7"/>
  <c r="L2420" i="7"/>
  <c r="L2423" i="7"/>
  <c r="J2423" i="7"/>
  <c r="J2421" i="7"/>
  <c r="L2421" i="7"/>
  <c r="J2425" i="7"/>
  <c r="L2425" i="7"/>
  <c r="L2422" i="7"/>
  <c r="J2422" i="7"/>
  <c r="J2419" i="7"/>
  <c r="L2419" i="7"/>
  <c r="J2424" i="7"/>
  <c r="L2424" i="7"/>
  <c r="H335" i="12" l="1"/>
  <c r="H336" i="12"/>
  <c r="H337" i="12"/>
  <c r="G335" i="10"/>
  <c r="G337" i="10"/>
  <c r="G336" i="10"/>
  <c r="E301" i="1"/>
  <c r="G2409" i="7"/>
  <c r="G2408" i="7"/>
  <c r="G2405" i="7"/>
  <c r="G2406" i="7"/>
  <c r="G2407" i="7"/>
  <c r="H302" i="1"/>
  <c r="G2404" i="7"/>
  <c r="J302" i="1"/>
  <c r="G2403" i="7"/>
  <c r="G2402" i="7"/>
  <c r="J2416" i="7"/>
  <c r="L2416" i="7"/>
  <c r="J2413" i="7"/>
  <c r="L2413" i="7"/>
  <c r="L2410" i="7"/>
  <c r="J2410" i="7"/>
  <c r="L2417" i="7"/>
  <c r="J2417" i="7"/>
  <c r="L2415" i="7"/>
  <c r="J2415" i="7"/>
  <c r="J2414" i="7"/>
  <c r="L2414" i="7"/>
  <c r="J2411" i="7"/>
  <c r="L2411" i="7"/>
  <c r="J2412" i="7"/>
  <c r="L2412" i="7"/>
  <c r="J2404" i="7" l="1"/>
  <c r="L2404" i="7"/>
  <c r="J2405" i="7"/>
  <c r="L2405" i="7"/>
  <c r="J2406" i="7"/>
  <c r="L2406" i="7"/>
  <c r="J2408" i="7"/>
  <c r="L2408" i="7"/>
  <c r="J2409" i="7"/>
  <c r="L2409" i="7"/>
  <c r="J2407" i="7"/>
  <c r="L2407" i="7"/>
  <c r="L2402" i="7"/>
  <c r="J2402" i="7"/>
  <c r="J2403" i="7"/>
  <c r="L2403" i="7"/>
  <c r="E300" i="1"/>
  <c r="G2401" i="7"/>
  <c r="G2400" i="7"/>
  <c r="G2398" i="7"/>
  <c r="G2399" i="7"/>
  <c r="G2395" i="7"/>
  <c r="G2397" i="7"/>
  <c r="G2394" i="7"/>
  <c r="G2396" i="7"/>
  <c r="H301" i="1"/>
  <c r="J301" i="1"/>
  <c r="J2397" i="7" l="1"/>
  <c r="L2397" i="7"/>
  <c r="L2400" i="7"/>
  <c r="J2400" i="7"/>
  <c r="J2395" i="7"/>
  <c r="L2395" i="7"/>
  <c r="L2399" i="7"/>
  <c r="J2399" i="7"/>
  <c r="J2401" i="7"/>
  <c r="L2401" i="7"/>
  <c r="E299" i="1"/>
  <c r="G2393" i="7"/>
  <c r="G2392" i="7"/>
  <c r="G2391" i="7"/>
  <c r="G2390" i="7"/>
  <c r="G2389" i="7"/>
  <c r="G2387" i="7"/>
  <c r="G2386" i="7"/>
  <c r="G2388" i="7"/>
  <c r="H300" i="1"/>
  <c r="J300" i="1"/>
  <c r="J2398" i="7"/>
  <c r="L2398" i="7"/>
  <c r="J2396" i="7"/>
  <c r="L2396" i="7"/>
  <c r="L2394" i="7"/>
  <c r="J2394" i="7"/>
  <c r="F332" i="8" l="1"/>
  <c r="H332" i="8" s="1"/>
  <c r="F333" i="8"/>
  <c r="H333" i="8" s="1"/>
  <c r="F334" i="8"/>
  <c r="H334" i="8" s="1"/>
  <c r="A334" i="9"/>
  <c r="A333" i="9"/>
  <c r="A332" i="9"/>
  <c r="L2388" i="7"/>
  <c r="J2388" i="7"/>
  <c r="G2385" i="7"/>
  <c r="E298" i="1"/>
  <c r="G2384" i="7"/>
  <c r="G2381" i="7"/>
  <c r="G2382" i="7"/>
  <c r="G2383" i="7"/>
  <c r="G2378" i="7"/>
  <c r="H299" i="1"/>
  <c r="J299" i="1"/>
  <c r="G2379" i="7"/>
  <c r="G2380" i="7"/>
  <c r="J2392" i="7"/>
  <c r="L2392" i="7"/>
  <c r="J2393" i="7"/>
  <c r="L2393" i="7"/>
  <c r="J2387" i="7"/>
  <c r="L2387" i="7"/>
  <c r="L2386" i="7"/>
  <c r="J2386" i="7"/>
  <c r="J2389" i="7"/>
  <c r="L2389" i="7"/>
  <c r="J2390" i="7"/>
  <c r="L2390" i="7"/>
  <c r="J2391" i="7"/>
  <c r="L2391" i="7"/>
  <c r="F332" i="12" l="1"/>
  <c r="F334" i="12"/>
  <c r="F333" i="12"/>
  <c r="F333" i="11"/>
  <c r="F332" i="11"/>
  <c r="F334" i="11"/>
  <c r="F332" i="10"/>
  <c r="H332" i="10" s="1"/>
  <c r="I332" i="10" s="1"/>
  <c r="F333" i="10"/>
  <c r="H333" i="10" s="1"/>
  <c r="I333" i="10" s="1"/>
  <c r="F334" i="10"/>
  <c r="H334" i="10" s="1"/>
  <c r="I334" i="10" s="1"/>
  <c r="F331" i="8"/>
  <c r="H331" i="8" s="1"/>
  <c r="F328" i="8"/>
  <c r="H328" i="8" s="1"/>
  <c r="F329" i="8"/>
  <c r="H329" i="8" s="1"/>
  <c r="F330" i="8"/>
  <c r="H330" i="8" s="1"/>
  <c r="A329" i="9"/>
  <c r="A328" i="9"/>
  <c r="A330" i="9"/>
  <c r="A331" i="9"/>
  <c r="G2377" i="7"/>
  <c r="E297" i="1"/>
  <c r="G2374" i="7"/>
  <c r="G2375" i="7"/>
  <c r="G2373" i="7"/>
  <c r="G2372" i="7"/>
  <c r="G2376" i="7"/>
  <c r="J298" i="1"/>
  <c r="G2371" i="7"/>
  <c r="H298" i="1"/>
  <c r="G2370" i="7"/>
  <c r="J2382" i="7"/>
  <c r="L2382" i="7"/>
  <c r="J2380" i="7"/>
  <c r="L2380" i="7"/>
  <c r="L2385" i="7"/>
  <c r="J2385" i="7"/>
  <c r="J2379" i="7"/>
  <c r="L2379" i="7"/>
  <c r="J2384" i="7"/>
  <c r="L2384" i="7"/>
  <c r="J2378" i="7"/>
  <c r="L2378" i="7"/>
  <c r="J2381" i="7"/>
  <c r="L2381" i="7"/>
  <c r="J2383" i="7"/>
  <c r="L2383" i="7"/>
  <c r="F331" i="12" l="1"/>
  <c r="F328" i="12"/>
  <c r="F329" i="12"/>
  <c r="F330" i="12"/>
  <c r="H332" i="12"/>
  <c r="H333" i="12"/>
  <c r="H334" i="12"/>
  <c r="G334" i="10"/>
  <c r="G333" i="10"/>
  <c r="G332" i="10"/>
  <c r="F329" i="11"/>
  <c r="F328" i="11"/>
  <c r="F331" i="11"/>
  <c r="F330" i="11"/>
  <c r="F331" i="10"/>
  <c r="H331" i="10" s="1"/>
  <c r="I331" i="10" s="1"/>
  <c r="F328" i="10"/>
  <c r="H328" i="10" s="1"/>
  <c r="I328" i="10" s="1"/>
  <c r="F329" i="10"/>
  <c r="H329" i="10" s="1"/>
  <c r="I329" i="10" s="1"/>
  <c r="F330" i="10"/>
  <c r="H330" i="10" s="1"/>
  <c r="I330" i="10" s="1"/>
  <c r="J2376" i="7"/>
  <c r="L2376" i="7"/>
  <c r="L2372" i="7"/>
  <c r="J2372" i="7"/>
  <c r="J2373" i="7"/>
  <c r="L2373" i="7"/>
  <c r="J2375" i="7"/>
  <c r="L2375" i="7"/>
  <c r="L2370" i="7"/>
  <c r="J2370" i="7"/>
  <c r="J2374" i="7"/>
  <c r="L2374" i="7"/>
  <c r="G2369" i="7"/>
  <c r="E296" i="1"/>
  <c r="G2365" i="7"/>
  <c r="G2367" i="7"/>
  <c r="G2366" i="7"/>
  <c r="G2368" i="7"/>
  <c r="J297" i="1"/>
  <c r="G2363" i="7"/>
  <c r="G2362" i="7"/>
  <c r="G2364" i="7"/>
  <c r="H297" i="1"/>
  <c r="J2371" i="7"/>
  <c r="L2371" i="7"/>
  <c r="L2377" i="7"/>
  <c r="J2377" i="7"/>
  <c r="H330" i="12" l="1"/>
  <c r="H329" i="12"/>
  <c r="H328" i="12"/>
  <c r="H331" i="12"/>
  <c r="G330" i="10"/>
  <c r="G329" i="10"/>
  <c r="G328" i="10"/>
  <c r="G331" i="10"/>
  <c r="L2366" i="7"/>
  <c r="J2366" i="7"/>
  <c r="L2367" i="7"/>
  <c r="J2367" i="7"/>
  <c r="J2362" i="7"/>
  <c r="L2362" i="7"/>
  <c r="J2369" i="7"/>
  <c r="L2369" i="7"/>
  <c r="J2363" i="7"/>
  <c r="L2363" i="7"/>
  <c r="J2368" i="7"/>
  <c r="L2368" i="7"/>
  <c r="J2365" i="7"/>
  <c r="L2365" i="7"/>
  <c r="L2364" i="7"/>
  <c r="J2364" i="7"/>
  <c r="E295" i="1"/>
  <c r="G2361" i="7"/>
  <c r="G2360" i="7"/>
  <c r="G2357" i="7"/>
  <c r="G2358" i="7"/>
  <c r="G2359" i="7"/>
  <c r="H296" i="1"/>
  <c r="G2356" i="7"/>
  <c r="G2354" i="7"/>
  <c r="J296" i="1"/>
  <c r="G2355" i="7"/>
  <c r="F324" i="8" l="1"/>
  <c r="H324" i="8" s="1"/>
  <c r="F325" i="8"/>
  <c r="H325" i="8" s="1"/>
  <c r="F326" i="8"/>
  <c r="H326" i="8" s="1"/>
  <c r="F327" i="8"/>
  <c r="H327" i="8" s="1"/>
  <c r="A327" i="9"/>
  <c r="A326" i="9"/>
  <c r="A325" i="9"/>
  <c r="A324" i="9"/>
  <c r="J2357" i="7"/>
  <c r="L2357" i="7"/>
  <c r="L2355" i="7"/>
  <c r="J2355" i="7"/>
  <c r="J2360" i="7"/>
  <c r="L2360" i="7"/>
  <c r="J2361" i="7"/>
  <c r="L2361" i="7"/>
  <c r="J2358" i="7"/>
  <c r="L2358" i="7"/>
  <c r="L2354" i="7"/>
  <c r="J2354" i="7"/>
  <c r="G2353" i="7"/>
  <c r="G2349" i="7"/>
  <c r="E294" i="1"/>
  <c r="G2350" i="7"/>
  <c r="G2351" i="7"/>
  <c r="G2352" i="7"/>
  <c r="H295" i="1"/>
  <c r="J295" i="1"/>
  <c r="G2348" i="7"/>
  <c r="G2347" i="7"/>
  <c r="G2346" i="7"/>
  <c r="L2356" i="7"/>
  <c r="J2356" i="7"/>
  <c r="J2359" i="7"/>
  <c r="L2359" i="7"/>
  <c r="F326" i="12" l="1"/>
  <c r="F327" i="12"/>
  <c r="F324" i="12"/>
  <c r="F325" i="12"/>
  <c r="F325" i="11"/>
  <c r="F324" i="11"/>
  <c r="F327" i="11"/>
  <c r="F326" i="11"/>
  <c r="F327" i="10"/>
  <c r="H327" i="10" s="1"/>
  <c r="I327" i="10" s="1"/>
  <c r="F324" i="10"/>
  <c r="H324" i="10" s="1"/>
  <c r="I324" i="10" s="1"/>
  <c r="F325" i="10"/>
  <c r="H325" i="10" s="1"/>
  <c r="I325" i="10" s="1"/>
  <c r="F326" i="10"/>
  <c r="H326" i="10" s="1"/>
  <c r="I326" i="10" s="1"/>
  <c r="F323" i="8"/>
  <c r="H323" i="8" s="1"/>
  <c r="F322" i="8"/>
  <c r="H322" i="8" s="1"/>
  <c r="A322" i="9"/>
  <c r="A323" i="9"/>
  <c r="J2353" i="7"/>
  <c r="L2353" i="7"/>
  <c r="J2351" i="7"/>
  <c r="L2351" i="7"/>
  <c r="J2348" i="7"/>
  <c r="L2348" i="7"/>
  <c r="J2352" i="7"/>
  <c r="L2352" i="7"/>
  <c r="J2350" i="7"/>
  <c r="L2350" i="7"/>
  <c r="L2346" i="7"/>
  <c r="J2346" i="7"/>
  <c r="E293" i="1"/>
  <c r="G2345" i="7"/>
  <c r="G2344" i="7"/>
  <c r="G2341" i="7"/>
  <c r="G2342" i="7"/>
  <c r="G2343" i="7"/>
  <c r="H294" i="1"/>
  <c r="G2340" i="7"/>
  <c r="J294" i="1"/>
  <c r="G2339" i="7"/>
  <c r="G2338" i="7"/>
  <c r="J2347" i="7"/>
  <c r="L2347" i="7"/>
  <c r="J2349" i="7"/>
  <c r="L2349" i="7"/>
  <c r="F322" i="12" l="1"/>
  <c r="F323" i="12"/>
  <c r="H324" i="12"/>
  <c r="H327" i="12"/>
  <c r="H325" i="12"/>
  <c r="H326" i="12"/>
  <c r="G325" i="10"/>
  <c r="G324" i="10"/>
  <c r="G326" i="10"/>
  <c r="G327" i="10"/>
  <c r="F323" i="11"/>
  <c r="F322" i="11"/>
  <c r="F323" i="10"/>
  <c r="H323" i="10" s="1"/>
  <c r="I323" i="10" s="1"/>
  <c r="F322" i="10"/>
  <c r="H322" i="10" s="1"/>
  <c r="I322" i="10" s="1"/>
  <c r="J2343" i="7"/>
  <c r="L2343" i="7"/>
  <c r="J2342" i="7"/>
  <c r="L2342" i="7"/>
  <c r="J2341" i="7"/>
  <c r="L2341" i="7"/>
  <c r="L2338" i="7"/>
  <c r="J2338" i="7"/>
  <c r="J2344" i="7"/>
  <c r="L2344" i="7"/>
  <c r="J2339" i="7"/>
  <c r="L2339" i="7"/>
  <c r="L2345" i="7"/>
  <c r="J2345" i="7"/>
  <c r="E292" i="1"/>
  <c r="G2337" i="7"/>
  <c r="G2336" i="7"/>
  <c r="G2334" i="7"/>
  <c r="G2335" i="7"/>
  <c r="G2333" i="7"/>
  <c r="G2331" i="7"/>
  <c r="G2330" i="7"/>
  <c r="H293" i="1"/>
  <c r="G2332" i="7"/>
  <c r="J293" i="1"/>
  <c r="L2340" i="7"/>
  <c r="J2340" i="7"/>
  <c r="H322" i="12" l="1"/>
  <c r="H323" i="12"/>
  <c r="G322" i="10"/>
  <c r="G323" i="10"/>
  <c r="J2333" i="7"/>
  <c r="L2333" i="7"/>
  <c r="L2335" i="7"/>
  <c r="J2335" i="7"/>
  <c r="L2336" i="7"/>
  <c r="J2336" i="7"/>
  <c r="J2337" i="7"/>
  <c r="L2337" i="7"/>
  <c r="L2330" i="7"/>
  <c r="J2330" i="7"/>
  <c r="J2334" i="7"/>
  <c r="L2334" i="7"/>
  <c r="J2332" i="7"/>
  <c r="L2332" i="7"/>
  <c r="E291" i="1"/>
  <c r="G2329" i="7"/>
  <c r="G2328" i="7"/>
  <c r="G2327" i="7"/>
  <c r="G2326" i="7"/>
  <c r="G2325" i="7"/>
  <c r="G2323" i="7"/>
  <c r="G2322" i="7"/>
  <c r="G2324" i="7"/>
  <c r="H292" i="1"/>
  <c r="J292" i="1"/>
  <c r="J2331" i="7"/>
  <c r="L2331" i="7"/>
  <c r="F319" i="8" l="1"/>
  <c r="H319" i="8" s="1"/>
  <c r="F320" i="8"/>
  <c r="H320" i="8" s="1"/>
  <c r="F321" i="8"/>
  <c r="H321" i="8" s="1"/>
  <c r="A321" i="9"/>
  <c r="A319" i="9"/>
  <c r="A320" i="9"/>
  <c r="J2323" i="7"/>
  <c r="L2323" i="7"/>
  <c r="L2322" i="7"/>
  <c r="J2322" i="7"/>
  <c r="L2325" i="7"/>
  <c r="J2325" i="7"/>
  <c r="J2328" i="7"/>
  <c r="L2328" i="7"/>
  <c r="J2326" i="7"/>
  <c r="L2326" i="7"/>
  <c r="J2329" i="7"/>
  <c r="L2329" i="7"/>
  <c r="J2327" i="7"/>
  <c r="L2327" i="7"/>
  <c r="J2324" i="7"/>
  <c r="L2324" i="7"/>
  <c r="G2321" i="7"/>
  <c r="E290" i="1"/>
  <c r="G2320" i="7"/>
  <c r="G2317" i="7"/>
  <c r="G2319" i="7"/>
  <c r="G2314" i="7"/>
  <c r="H291" i="1"/>
  <c r="J291" i="1"/>
  <c r="G2318" i="7"/>
  <c r="G2316" i="7"/>
  <c r="G2315" i="7"/>
  <c r="F319" i="12" l="1"/>
  <c r="F320" i="12"/>
  <c r="F321" i="12"/>
  <c r="F321" i="11"/>
  <c r="F320" i="11"/>
  <c r="F319" i="11"/>
  <c r="F320" i="10"/>
  <c r="H320" i="10" s="1"/>
  <c r="I320" i="10" s="1"/>
  <c r="F321" i="10"/>
  <c r="H321" i="10" s="1"/>
  <c r="I321" i="10" s="1"/>
  <c r="F319" i="10"/>
  <c r="H319" i="10" s="1"/>
  <c r="I319" i="10" s="1"/>
  <c r="F317" i="8"/>
  <c r="H317" i="8" s="1"/>
  <c r="F318" i="8"/>
  <c r="H318" i="8" s="1"/>
  <c r="A318" i="9"/>
  <c r="A317" i="9"/>
  <c r="G2313" i="7"/>
  <c r="E289" i="1"/>
  <c r="G2310" i="7"/>
  <c r="G2312" i="7"/>
  <c r="G2311" i="7"/>
  <c r="G2309" i="7"/>
  <c r="G2308" i="7"/>
  <c r="J290" i="1"/>
  <c r="G2307" i="7"/>
  <c r="H290" i="1"/>
  <c r="G2306" i="7"/>
  <c r="L2314" i="7"/>
  <c r="J2314" i="7"/>
  <c r="J2319" i="7"/>
  <c r="L2319" i="7"/>
  <c r="J2317" i="7"/>
  <c r="L2317" i="7"/>
  <c r="J2315" i="7"/>
  <c r="L2315" i="7"/>
  <c r="J2316" i="7"/>
  <c r="L2316" i="7"/>
  <c r="L2320" i="7"/>
  <c r="J2320" i="7"/>
  <c r="J2318" i="7"/>
  <c r="L2318" i="7"/>
  <c r="L2321" i="7"/>
  <c r="J2321" i="7"/>
  <c r="F318" i="12" l="1"/>
  <c r="F317" i="12"/>
  <c r="H319" i="12"/>
  <c r="H320" i="12"/>
  <c r="H321" i="12"/>
  <c r="G321" i="10"/>
  <c r="G319" i="10"/>
  <c r="G320" i="10"/>
  <c r="F317" i="11"/>
  <c r="F318" i="11"/>
  <c r="F317" i="10"/>
  <c r="H317" i="10" s="1"/>
  <c r="I317" i="10" s="1"/>
  <c r="F318" i="10"/>
  <c r="H318" i="10" s="1"/>
  <c r="I318" i="10" s="1"/>
  <c r="L2308" i="7"/>
  <c r="J2308" i="7"/>
  <c r="J2309" i="7"/>
  <c r="L2309" i="7"/>
  <c r="L2311" i="7"/>
  <c r="J2311" i="7"/>
  <c r="J2312" i="7"/>
  <c r="L2312" i="7"/>
  <c r="L2306" i="7"/>
  <c r="J2306" i="7"/>
  <c r="J2310" i="7"/>
  <c r="L2310" i="7"/>
  <c r="G2305" i="7"/>
  <c r="E288" i="1"/>
  <c r="G2304" i="7"/>
  <c r="G2301" i="7"/>
  <c r="G2303" i="7"/>
  <c r="G2302" i="7"/>
  <c r="J289" i="1"/>
  <c r="G2299" i="7"/>
  <c r="G2298" i="7"/>
  <c r="H289" i="1"/>
  <c r="G2300" i="7"/>
  <c r="J2307" i="7"/>
  <c r="L2307" i="7"/>
  <c r="L2313" i="7"/>
  <c r="J2313" i="7"/>
  <c r="H317" i="12" l="1"/>
  <c r="H318" i="12"/>
  <c r="G318" i="10"/>
  <c r="G317" i="10"/>
  <c r="L2302" i="7"/>
  <c r="J2302" i="7"/>
  <c r="L2300" i="7"/>
  <c r="J2300" i="7"/>
  <c r="L2303" i="7"/>
  <c r="J2303" i="7"/>
  <c r="J2301" i="7"/>
  <c r="L2301" i="7"/>
  <c r="J2304" i="7"/>
  <c r="L2304" i="7"/>
  <c r="E287" i="1"/>
  <c r="G2296" i="7"/>
  <c r="G2293" i="7"/>
  <c r="G2294" i="7"/>
  <c r="G2297" i="7"/>
  <c r="G2295" i="7"/>
  <c r="H288" i="1"/>
  <c r="G2292" i="7"/>
  <c r="G2290" i="7"/>
  <c r="G2291" i="7"/>
  <c r="J288" i="1"/>
  <c r="J2298" i="7"/>
  <c r="L2298" i="7"/>
  <c r="J2305" i="7"/>
  <c r="L2305" i="7"/>
  <c r="L2299" i="7"/>
  <c r="J2299" i="7"/>
  <c r="F315" i="8" l="1"/>
  <c r="H315" i="8" s="1"/>
  <c r="F316" i="8"/>
  <c r="H316" i="8" s="1"/>
  <c r="A316" i="9"/>
  <c r="A315" i="9"/>
  <c r="J2294" i="7"/>
  <c r="L2294" i="7"/>
  <c r="J2297" i="7"/>
  <c r="L2297" i="7"/>
  <c r="J2296" i="7"/>
  <c r="L2296" i="7"/>
  <c r="J2295" i="7"/>
  <c r="L2295" i="7"/>
  <c r="J2293" i="7"/>
  <c r="L2293" i="7"/>
  <c r="G2289" i="7"/>
  <c r="E286" i="1"/>
  <c r="G2285" i="7"/>
  <c r="G2288" i="7"/>
  <c r="G2286" i="7"/>
  <c r="G2287" i="7"/>
  <c r="H287" i="1"/>
  <c r="J287" i="1"/>
  <c r="G2283" i="7"/>
  <c r="G2282" i="7"/>
  <c r="G2284" i="7"/>
  <c r="J2291" i="7"/>
  <c r="L2291" i="7"/>
  <c r="L2290" i="7"/>
  <c r="J2290" i="7"/>
  <c r="L2292" i="7"/>
  <c r="J2292" i="7"/>
  <c r="F315" i="12" l="1"/>
  <c r="F316" i="12"/>
  <c r="F316" i="11"/>
  <c r="F315" i="11"/>
  <c r="F315" i="10"/>
  <c r="H315" i="10" s="1"/>
  <c r="I315" i="10" s="1"/>
  <c r="F316" i="10"/>
  <c r="H316" i="10" s="1"/>
  <c r="I316" i="10" s="1"/>
  <c r="F312" i="8"/>
  <c r="H312" i="8" s="1"/>
  <c r="F313" i="8"/>
  <c r="H313" i="8" s="1"/>
  <c r="F314" i="8"/>
  <c r="H314" i="8" s="1"/>
  <c r="A313" i="9"/>
  <c r="A312" i="9"/>
  <c r="A314" i="9"/>
  <c r="J2286" i="7"/>
  <c r="L2286" i="7"/>
  <c r="J2282" i="7"/>
  <c r="L2282" i="7"/>
  <c r="J2288" i="7"/>
  <c r="L2288" i="7"/>
  <c r="J2284" i="7"/>
  <c r="L2284" i="7"/>
  <c r="J2285" i="7"/>
  <c r="L2285" i="7"/>
  <c r="E285" i="1"/>
  <c r="G2280" i="7"/>
  <c r="G2277" i="7"/>
  <c r="G2278" i="7"/>
  <c r="G2279" i="7"/>
  <c r="G2281" i="7"/>
  <c r="H286" i="1"/>
  <c r="G2276" i="7"/>
  <c r="J286" i="1"/>
  <c r="G2275" i="7"/>
  <c r="G2274" i="7"/>
  <c r="J2283" i="7"/>
  <c r="L2283" i="7"/>
  <c r="J2289" i="7"/>
  <c r="L2289" i="7"/>
  <c r="J2287" i="7"/>
  <c r="L2287" i="7"/>
  <c r="F314" i="12" l="1"/>
  <c r="F312" i="12"/>
  <c r="F313" i="12"/>
  <c r="H316" i="12"/>
  <c r="H315" i="12"/>
  <c r="G316" i="10"/>
  <c r="G315" i="10"/>
  <c r="F313" i="11"/>
  <c r="F312" i="11"/>
  <c r="F314" i="11"/>
  <c r="F313" i="10"/>
  <c r="H313" i="10" s="1"/>
  <c r="I313" i="10" s="1"/>
  <c r="F312" i="10"/>
  <c r="H312" i="10" s="1"/>
  <c r="I312" i="10" s="1"/>
  <c r="F314" i="10"/>
  <c r="H314" i="10" s="1"/>
  <c r="I314" i="10" s="1"/>
  <c r="E284" i="1"/>
  <c r="G2273" i="7"/>
  <c r="G2272" i="7"/>
  <c r="G2270" i="7"/>
  <c r="G2271" i="7"/>
  <c r="G2269" i="7"/>
  <c r="G2267" i="7"/>
  <c r="G2266" i="7"/>
  <c r="G2268" i="7"/>
  <c r="H285" i="1"/>
  <c r="J285" i="1"/>
  <c r="L2274" i="7"/>
  <c r="J2274" i="7"/>
  <c r="J2277" i="7"/>
  <c r="L2277" i="7"/>
  <c r="J2275" i="7"/>
  <c r="L2275" i="7"/>
  <c r="L2280" i="7"/>
  <c r="J2280" i="7"/>
  <c r="L2276" i="7"/>
  <c r="J2276" i="7"/>
  <c r="J2281" i="7"/>
  <c r="L2281" i="7"/>
  <c r="J2279" i="7"/>
  <c r="L2279" i="7"/>
  <c r="J2278" i="7"/>
  <c r="L2278" i="7"/>
  <c r="H314" i="12" l="1"/>
  <c r="H312" i="12"/>
  <c r="H313" i="12"/>
  <c r="G313" i="10"/>
  <c r="G314" i="10"/>
  <c r="G312" i="10"/>
  <c r="L2266" i="7"/>
  <c r="J2266" i="7"/>
  <c r="J2267" i="7"/>
  <c r="L2267" i="7"/>
  <c r="J2269" i="7"/>
  <c r="L2269" i="7"/>
  <c r="J2270" i="7"/>
  <c r="L2270" i="7"/>
  <c r="L2272" i="7"/>
  <c r="J2272" i="7"/>
  <c r="L2273" i="7"/>
  <c r="J2273" i="7"/>
  <c r="L2271" i="7"/>
  <c r="J2271" i="7"/>
  <c r="J2268" i="7"/>
  <c r="L2268" i="7"/>
  <c r="E283" i="1"/>
  <c r="G2265" i="7"/>
  <c r="G2264" i="7"/>
  <c r="G2263" i="7"/>
  <c r="G2262" i="7"/>
  <c r="G2261" i="7"/>
  <c r="G2259" i="7"/>
  <c r="G2258" i="7"/>
  <c r="G2260" i="7"/>
  <c r="H284" i="1"/>
  <c r="J284" i="1"/>
  <c r="F310" i="8" l="1"/>
  <c r="H310" i="8" s="1"/>
  <c r="F311" i="8"/>
  <c r="H311" i="8" s="1"/>
  <c r="A311" i="9"/>
  <c r="A310" i="9"/>
  <c r="L2262" i="7"/>
  <c r="J2262" i="7"/>
  <c r="J2263" i="7"/>
  <c r="L2263" i="7"/>
  <c r="J2265" i="7"/>
  <c r="L2265" i="7"/>
  <c r="J2261" i="7"/>
  <c r="L2261" i="7"/>
  <c r="L2260" i="7"/>
  <c r="J2260" i="7"/>
  <c r="J2264" i="7"/>
  <c r="L2264" i="7"/>
  <c r="G2257" i="7"/>
  <c r="E282" i="1"/>
  <c r="G2256" i="7"/>
  <c r="G2253" i="7"/>
  <c r="G2255" i="7"/>
  <c r="G2250" i="7"/>
  <c r="H283" i="1"/>
  <c r="J283" i="1"/>
  <c r="G2254" i="7"/>
  <c r="G2252" i="7"/>
  <c r="G2251" i="7"/>
  <c r="L2258" i="7"/>
  <c r="J2258" i="7"/>
  <c r="L2259" i="7"/>
  <c r="J2259" i="7"/>
  <c r="F310" i="12" l="1"/>
  <c r="F311" i="12"/>
  <c r="F311" i="11"/>
  <c r="F310" i="11"/>
  <c r="F310" i="10"/>
  <c r="H310" i="10" s="1"/>
  <c r="I310" i="10" s="1"/>
  <c r="F311" i="10"/>
  <c r="H311" i="10" s="1"/>
  <c r="I311" i="10" s="1"/>
  <c r="F307" i="8"/>
  <c r="H307" i="8" s="1"/>
  <c r="F308" i="8"/>
  <c r="H308" i="8" s="1"/>
  <c r="F309" i="8"/>
  <c r="H309" i="8" s="1"/>
  <c r="A309" i="9"/>
  <c r="A308" i="9"/>
  <c r="A307" i="9"/>
  <c r="G2249" i="7"/>
  <c r="E281" i="1"/>
  <c r="G2248" i="7"/>
  <c r="G2246" i="7"/>
  <c r="G2247" i="7"/>
  <c r="G2245" i="7"/>
  <c r="G2244" i="7"/>
  <c r="J282" i="1"/>
  <c r="G2243" i="7"/>
  <c r="H282" i="1"/>
  <c r="G2242" i="7"/>
  <c r="J2254" i="7"/>
  <c r="L2254" i="7"/>
  <c r="J2252" i="7"/>
  <c r="L2252" i="7"/>
  <c r="J2257" i="7"/>
  <c r="L2257" i="7"/>
  <c r="L2250" i="7"/>
  <c r="J2250" i="7"/>
  <c r="J2255" i="7"/>
  <c r="L2255" i="7"/>
  <c r="J2253" i="7"/>
  <c r="L2253" i="7"/>
  <c r="L2251" i="7"/>
  <c r="J2251" i="7"/>
  <c r="J2256" i="7"/>
  <c r="L2256" i="7"/>
  <c r="F307" i="12" l="1"/>
  <c r="F308" i="12"/>
  <c r="F309" i="12"/>
  <c r="H311" i="12"/>
  <c r="H310" i="12"/>
  <c r="G311" i="10"/>
  <c r="G310" i="10"/>
  <c r="F309" i="11"/>
  <c r="F308" i="11"/>
  <c r="F307" i="11"/>
  <c r="F307" i="10"/>
  <c r="H307" i="10" s="1"/>
  <c r="I307" i="10" s="1"/>
  <c r="F308" i="10"/>
  <c r="H308" i="10" s="1"/>
  <c r="I308" i="10" s="1"/>
  <c r="F309" i="10"/>
  <c r="H309" i="10" s="1"/>
  <c r="I309" i="10" s="1"/>
  <c r="L2243" i="7"/>
  <c r="J2243" i="7"/>
  <c r="L2249" i="7"/>
  <c r="J2249" i="7"/>
  <c r="J2244" i="7"/>
  <c r="L2244" i="7"/>
  <c r="G2241" i="7"/>
  <c r="E280" i="1"/>
  <c r="G2240" i="7"/>
  <c r="G2237" i="7"/>
  <c r="G2239" i="7"/>
  <c r="G2238" i="7"/>
  <c r="J281" i="1"/>
  <c r="G2235" i="7"/>
  <c r="G2234" i="7"/>
  <c r="H281" i="1"/>
  <c r="G2236" i="7"/>
  <c r="J2245" i="7"/>
  <c r="L2245" i="7"/>
  <c r="J2247" i="7"/>
  <c r="L2247" i="7"/>
  <c r="L2246" i="7"/>
  <c r="J2246" i="7"/>
  <c r="J2242" i="7"/>
  <c r="L2242" i="7"/>
  <c r="J2248" i="7"/>
  <c r="L2248" i="7"/>
  <c r="H308" i="12" l="1"/>
  <c r="H309" i="12"/>
  <c r="H307" i="12"/>
  <c r="G309" i="10"/>
  <c r="G307" i="10"/>
  <c r="G308" i="10"/>
  <c r="J2238" i="7"/>
  <c r="L2238" i="7"/>
  <c r="E279" i="1"/>
  <c r="G2233" i="7"/>
  <c r="G2232" i="7"/>
  <c r="G2229" i="7"/>
  <c r="G2230" i="7"/>
  <c r="G2231" i="7"/>
  <c r="H280" i="1"/>
  <c r="G2228" i="7"/>
  <c r="G2226" i="7"/>
  <c r="J280" i="1"/>
  <c r="G2227" i="7"/>
  <c r="J2241" i="7"/>
  <c r="L2241" i="7"/>
  <c r="L2234" i="7"/>
  <c r="J2234" i="7"/>
  <c r="L2235" i="7"/>
  <c r="J2235" i="7"/>
  <c r="J2239" i="7"/>
  <c r="L2239" i="7"/>
  <c r="J2237" i="7"/>
  <c r="L2237" i="7"/>
  <c r="L2236" i="7"/>
  <c r="J2236" i="7"/>
  <c r="J2240" i="7"/>
  <c r="L2240" i="7"/>
  <c r="F304" i="8" l="1"/>
  <c r="H304" i="8" s="1"/>
  <c r="F305" i="8"/>
  <c r="H305" i="8" s="1"/>
  <c r="F306" i="8"/>
  <c r="H306" i="8" s="1"/>
  <c r="A305" i="9"/>
  <c r="A304" i="9"/>
  <c r="A306" i="9"/>
  <c r="J2231" i="7"/>
  <c r="L2231" i="7"/>
  <c r="J2230" i="7"/>
  <c r="L2230" i="7"/>
  <c r="J2229" i="7"/>
  <c r="L2229" i="7"/>
  <c r="L2227" i="7"/>
  <c r="J2227" i="7"/>
  <c r="J2232" i="7"/>
  <c r="L2232" i="7"/>
  <c r="L2228" i="7"/>
  <c r="J2228" i="7"/>
  <c r="J2233" i="7"/>
  <c r="L2233" i="7"/>
  <c r="L2226" i="7"/>
  <c r="J2226" i="7"/>
  <c r="G2225" i="7"/>
  <c r="E278" i="1"/>
  <c r="G2221" i="7"/>
  <c r="G2222" i="7"/>
  <c r="G2223" i="7"/>
  <c r="G2224" i="7"/>
  <c r="H279" i="1"/>
  <c r="J279" i="1"/>
  <c r="G2220" i="7"/>
  <c r="G2218" i="7"/>
  <c r="G2219" i="7"/>
  <c r="F306" i="12" l="1"/>
  <c r="F304" i="12"/>
  <c r="F305" i="12"/>
  <c r="F305" i="11"/>
  <c r="F304" i="11"/>
  <c r="F306" i="11"/>
  <c r="F304" i="10"/>
  <c r="H304" i="10" s="1"/>
  <c r="I304" i="10" s="1"/>
  <c r="F305" i="10"/>
  <c r="H305" i="10" s="1"/>
  <c r="I305" i="10" s="1"/>
  <c r="F306" i="10"/>
  <c r="H306" i="10" s="1"/>
  <c r="I306" i="10" s="1"/>
  <c r="F302" i="8"/>
  <c r="H302" i="8" s="1"/>
  <c r="F303" i="8"/>
  <c r="H303" i="8" s="1"/>
  <c r="A303" i="9"/>
  <c r="A302" i="9"/>
  <c r="J2219" i="7"/>
  <c r="L2219" i="7"/>
  <c r="L2218" i="7"/>
  <c r="J2218" i="7"/>
  <c r="E277" i="1"/>
  <c r="G2216" i="7"/>
  <c r="G2213" i="7"/>
  <c r="G2214" i="7"/>
  <c r="G2215" i="7"/>
  <c r="G2217" i="7"/>
  <c r="H278" i="1"/>
  <c r="G2212" i="7"/>
  <c r="J278" i="1"/>
  <c r="G2211" i="7"/>
  <c r="G2210" i="7"/>
  <c r="J2223" i="7"/>
  <c r="L2223" i="7"/>
  <c r="J2221" i="7"/>
  <c r="L2221" i="7"/>
  <c r="J2220" i="7"/>
  <c r="L2220" i="7"/>
  <c r="J2225" i="7"/>
  <c r="L2225" i="7"/>
  <c r="J2222" i="7"/>
  <c r="L2222" i="7"/>
  <c r="J2224" i="7"/>
  <c r="L2224" i="7"/>
  <c r="F302" i="12" l="1"/>
  <c r="F303" i="12"/>
  <c r="H306" i="12"/>
  <c r="H304" i="12"/>
  <c r="H305" i="12"/>
  <c r="G306" i="10"/>
  <c r="G305" i="10"/>
  <c r="G304" i="10"/>
  <c r="F303" i="11"/>
  <c r="F302" i="11"/>
  <c r="F302" i="10"/>
  <c r="H302" i="10" s="1"/>
  <c r="I302" i="10" s="1"/>
  <c r="F303" i="10"/>
  <c r="H303" i="10" s="1"/>
  <c r="I303" i="10" s="1"/>
  <c r="L2212" i="7"/>
  <c r="J2212" i="7"/>
  <c r="J2217" i="7"/>
  <c r="L2217" i="7"/>
  <c r="L2210" i="7"/>
  <c r="J2210" i="7"/>
  <c r="J2213" i="7"/>
  <c r="L2213" i="7"/>
  <c r="J2211" i="7"/>
  <c r="L2211" i="7"/>
  <c r="J2216" i="7"/>
  <c r="L2216" i="7"/>
  <c r="E276" i="1"/>
  <c r="G2209" i="7"/>
  <c r="G2208" i="7"/>
  <c r="G2206" i="7"/>
  <c r="G2207" i="7"/>
  <c r="G2205" i="7"/>
  <c r="G2203" i="7"/>
  <c r="G2202" i="7"/>
  <c r="H277" i="1"/>
  <c r="J277" i="1"/>
  <c r="G2204" i="7"/>
  <c r="J2215" i="7"/>
  <c r="L2215" i="7"/>
  <c r="J2214" i="7"/>
  <c r="L2214" i="7"/>
  <c r="H303" i="12" l="1"/>
  <c r="H302" i="12"/>
  <c r="G303" i="10"/>
  <c r="G302" i="10"/>
  <c r="J2206" i="7"/>
  <c r="L2206" i="7"/>
  <c r="L2204" i="7"/>
  <c r="J2204" i="7"/>
  <c r="J2209" i="7"/>
  <c r="L2209" i="7"/>
  <c r="E275" i="1"/>
  <c r="G2201" i="7"/>
  <c r="G2200" i="7"/>
  <c r="G2199" i="7"/>
  <c r="G2198" i="7"/>
  <c r="G2197" i="7"/>
  <c r="G2195" i="7"/>
  <c r="G2194" i="7"/>
  <c r="G2196" i="7"/>
  <c r="H276" i="1"/>
  <c r="J276" i="1"/>
  <c r="L2202" i="7"/>
  <c r="J2202" i="7"/>
  <c r="J2208" i="7"/>
  <c r="L2208" i="7"/>
  <c r="L2203" i="7"/>
  <c r="J2203" i="7"/>
  <c r="J2205" i="7"/>
  <c r="L2205" i="7"/>
  <c r="J2207" i="7"/>
  <c r="L2207" i="7"/>
  <c r="L2194" i="7" l="1"/>
  <c r="J2194" i="7"/>
  <c r="L2195" i="7"/>
  <c r="J2195" i="7"/>
  <c r="J2197" i="7"/>
  <c r="L2197" i="7"/>
  <c r="J2199" i="7"/>
  <c r="L2199" i="7"/>
  <c r="J2198" i="7"/>
  <c r="L2198" i="7"/>
  <c r="J2200" i="7"/>
  <c r="L2200" i="7"/>
  <c r="L2201" i="7"/>
  <c r="J2201" i="7"/>
  <c r="J2196" i="7"/>
  <c r="L2196" i="7"/>
  <c r="G2193" i="7"/>
  <c r="E274" i="1"/>
  <c r="G2192" i="7"/>
  <c r="G2189" i="7"/>
  <c r="G2190" i="7"/>
  <c r="G2191" i="7"/>
  <c r="G2186" i="7"/>
  <c r="H275" i="1"/>
  <c r="J275" i="1"/>
  <c r="G2188" i="7"/>
  <c r="G2187" i="7"/>
  <c r="F301" i="8" l="1"/>
  <c r="H301" i="8" s="1"/>
  <c r="A301" i="9"/>
  <c r="J2187" i="7"/>
  <c r="L2187" i="7"/>
  <c r="G2185" i="7"/>
  <c r="E273" i="1"/>
  <c r="G2182" i="7"/>
  <c r="G2184" i="7"/>
  <c r="G2183" i="7"/>
  <c r="G2181" i="7"/>
  <c r="G2180" i="7"/>
  <c r="J274" i="1"/>
  <c r="F301" i="12" s="1"/>
  <c r="G2179" i="7"/>
  <c r="G2178" i="7"/>
  <c r="H274" i="1"/>
  <c r="J2191" i="7"/>
  <c r="L2191" i="7"/>
  <c r="J2188" i="7"/>
  <c r="L2188" i="7"/>
  <c r="J2190" i="7"/>
  <c r="L2190" i="7"/>
  <c r="J2189" i="7"/>
  <c r="L2189" i="7"/>
  <c r="L2192" i="7"/>
  <c r="J2192" i="7"/>
  <c r="L2193" i="7"/>
  <c r="J2193" i="7"/>
  <c r="L2186" i="7"/>
  <c r="J2186" i="7"/>
  <c r="H301" i="12" l="1"/>
  <c r="F301" i="10"/>
  <c r="H301" i="10" s="1"/>
  <c r="I301" i="10" s="1"/>
  <c r="F301" i="11"/>
  <c r="F299" i="8"/>
  <c r="H299" i="8" s="1"/>
  <c r="F300" i="8"/>
  <c r="H300" i="8" s="1"/>
  <c r="A300" i="9"/>
  <c r="A299" i="9"/>
  <c r="J2183" i="7"/>
  <c r="L2183" i="7"/>
  <c r="J2184" i="7"/>
  <c r="L2184" i="7"/>
  <c r="L2180" i="7"/>
  <c r="J2180" i="7"/>
  <c r="J2182" i="7"/>
  <c r="L2182" i="7"/>
  <c r="J2181" i="7"/>
  <c r="L2181" i="7"/>
  <c r="L2178" i="7"/>
  <c r="J2178" i="7"/>
  <c r="L2179" i="7"/>
  <c r="J2179" i="7"/>
  <c r="L2185" i="7"/>
  <c r="J2185" i="7"/>
  <c r="G2177" i="7"/>
  <c r="E272" i="1"/>
  <c r="G2173" i="7"/>
  <c r="G2176" i="7"/>
  <c r="G2175" i="7"/>
  <c r="G2174" i="7"/>
  <c r="J273" i="1"/>
  <c r="G2171" i="7"/>
  <c r="G2170" i="7"/>
  <c r="H273" i="1"/>
  <c r="G2172" i="7"/>
  <c r="F299" i="12" l="1"/>
  <c r="F300" i="12"/>
  <c r="G301" i="10"/>
  <c r="F300" i="11"/>
  <c r="F299" i="11"/>
  <c r="F299" i="10"/>
  <c r="H299" i="10" s="1"/>
  <c r="I299" i="10" s="1"/>
  <c r="F300" i="10"/>
  <c r="H300" i="10" s="1"/>
  <c r="I300" i="10" s="1"/>
  <c r="J2175" i="7"/>
  <c r="L2175" i="7"/>
  <c r="J2176" i="7"/>
  <c r="L2176" i="7"/>
  <c r="J2174" i="7"/>
  <c r="L2174" i="7"/>
  <c r="J2173" i="7"/>
  <c r="L2173" i="7"/>
  <c r="J2172" i="7"/>
  <c r="L2172" i="7"/>
  <c r="J2177" i="7"/>
  <c r="L2177" i="7"/>
  <c r="E271" i="1"/>
  <c r="G2169" i="7"/>
  <c r="G2168" i="7"/>
  <c r="G2165" i="7"/>
  <c r="G2166" i="7"/>
  <c r="G2167" i="7"/>
  <c r="H272" i="1"/>
  <c r="G2164" i="7"/>
  <c r="G2162" i="7"/>
  <c r="J272" i="1"/>
  <c r="G2163" i="7"/>
  <c r="L2170" i="7"/>
  <c r="J2170" i="7"/>
  <c r="L2171" i="7"/>
  <c r="J2171" i="7"/>
  <c r="H300" i="12" l="1"/>
  <c r="H299" i="12"/>
  <c r="G299" i="10"/>
  <c r="G300" i="10"/>
  <c r="G2161" i="7"/>
  <c r="E270" i="1"/>
  <c r="G2157" i="7"/>
  <c r="G2158" i="7"/>
  <c r="G2159" i="7"/>
  <c r="H271" i="1"/>
  <c r="J271" i="1"/>
  <c r="G2160" i="7"/>
  <c r="G2155" i="7"/>
  <c r="G2156" i="7"/>
  <c r="G2154" i="7"/>
  <c r="L2167" i="7"/>
  <c r="J2167" i="7"/>
  <c r="L2162" i="7"/>
  <c r="J2162" i="7"/>
  <c r="J2164" i="7"/>
  <c r="L2164" i="7"/>
  <c r="J2166" i="7"/>
  <c r="L2166" i="7"/>
  <c r="J2165" i="7"/>
  <c r="L2165" i="7"/>
  <c r="L2163" i="7"/>
  <c r="J2163" i="7"/>
  <c r="J2168" i="7"/>
  <c r="L2168" i="7"/>
  <c r="J2169" i="7"/>
  <c r="L2169" i="7"/>
  <c r="L2155" i="7" l="1"/>
  <c r="J2155" i="7"/>
  <c r="J2160" i="7"/>
  <c r="L2160" i="7"/>
  <c r="J2161" i="7"/>
  <c r="L2161" i="7"/>
  <c r="J2159" i="7"/>
  <c r="L2159" i="7"/>
  <c r="J2158" i="7"/>
  <c r="L2158" i="7"/>
  <c r="L2154" i="7"/>
  <c r="J2154" i="7"/>
  <c r="J2157" i="7"/>
  <c r="L2157" i="7"/>
  <c r="J2156" i="7"/>
  <c r="L2156" i="7"/>
  <c r="E269" i="1"/>
  <c r="G2153" i="7"/>
  <c r="G2152" i="7"/>
  <c r="G2149" i="7"/>
  <c r="G2150" i="7"/>
  <c r="G2151" i="7"/>
  <c r="H270" i="1"/>
  <c r="G2148" i="7"/>
  <c r="J270" i="1"/>
  <c r="G2147" i="7"/>
  <c r="G2146" i="7"/>
  <c r="J2151" i="7" l="1"/>
  <c r="L2151" i="7"/>
  <c r="J2149" i="7"/>
  <c r="L2149" i="7"/>
  <c r="L2146" i="7"/>
  <c r="J2146" i="7"/>
  <c r="J2152" i="7"/>
  <c r="L2152" i="7"/>
  <c r="J2147" i="7"/>
  <c r="L2147" i="7"/>
  <c r="J2148" i="7"/>
  <c r="L2148" i="7"/>
  <c r="J2150" i="7"/>
  <c r="L2150" i="7"/>
  <c r="L2153" i="7"/>
  <c r="J2153" i="7"/>
  <c r="E268" i="1"/>
  <c r="G2145" i="7"/>
  <c r="G2144" i="7"/>
  <c r="G2142" i="7"/>
  <c r="G2143" i="7"/>
  <c r="G2141" i="7"/>
  <c r="G2139" i="7"/>
  <c r="G2138" i="7"/>
  <c r="G2140" i="7"/>
  <c r="H269" i="1"/>
  <c r="J269" i="1"/>
  <c r="F298" i="8" l="1"/>
  <c r="H298" i="8" s="1"/>
  <c r="A298" i="9"/>
  <c r="J2139" i="7"/>
  <c r="L2139" i="7"/>
  <c r="J2143" i="7"/>
  <c r="L2143" i="7"/>
  <c r="J2141" i="7"/>
  <c r="L2141" i="7"/>
  <c r="J2142" i="7"/>
  <c r="L2142" i="7"/>
  <c r="J2144" i="7"/>
  <c r="L2144" i="7"/>
  <c r="L2145" i="7"/>
  <c r="J2145" i="7"/>
  <c r="J2140" i="7"/>
  <c r="L2140" i="7"/>
  <c r="E267" i="1"/>
  <c r="G2137" i="7"/>
  <c r="G2136" i="7"/>
  <c r="G2135" i="7"/>
  <c r="G2131" i="7"/>
  <c r="G2130" i="7"/>
  <c r="G2134" i="7"/>
  <c r="G2132" i="7"/>
  <c r="H268" i="1"/>
  <c r="J268" i="1"/>
  <c r="F298" i="12" s="1"/>
  <c r="G2133" i="7"/>
  <c r="L2138" i="7"/>
  <c r="J2138" i="7"/>
  <c r="H298" i="12" l="1"/>
  <c r="F298" i="10"/>
  <c r="H298" i="10" s="1"/>
  <c r="I298" i="10" s="1"/>
  <c r="F298" i="11"/>
  <c r="G2129" i="7"/>
  <c r="E266" i="1"/>
  <c r="G2128" i="7"/>
  <c r="G2125" i="7"/>
  <c r="G2126" i="7"/>
  <c r="G2122" i="7"/>
  <c r="H267" i="1"/>
  <c r="J267" i="1"/>
  <c r="G2123" i="7"/>
  <c r="G2124" i="7"/>
  <c r="G2127" i="7"/>
  <c r="L2134" i="7"/>
  <c r="J2134" i="7"/>
  <c r="L2130" i="7"/>
  <c r="J2130" i="7"/>
  <c r="L2131" i="7"/>
  <c r="J2131" i="7"/>
  <c r="J2135" i="7"/>
  <c r="L2135" i="7"/>
  <c r="L2132" i="7"/>
  <c r="J2132" i="7"/>
  <c r="L2133" i="7"/>
  <c r="J2133" i="7"/>
  <c r="J2136" i="7"/>
  <c r="L2136" i="7"/>
  <c r="L2137" i="7"/>
  <c r="J2137" i="7"/>
  <c r="G298" i="10" l="1"/>
  <c r="L2122" i="7"/>
  <c r="J2122" i="7"/>
  <c r="J2126" i="7"/>
  <c r="L2126" i="7"/>
  <c r="J2125" i="7"/>
  <c r="L2125" i="7"/>
  <c r="J2127" i="7"/>
  <c r="L2127" i="7"/>
  <c r="L2128" i="7"/>
  <c r="J2128" i="7"/>
  <c r="J2124" i="7"/>
  <c r="L2124" i="7"/>
  <c r="G2121" i="7"/>
  <c r="E265" i="1"/>
  <c r="G2120" i="7"/>
  <c r="G2118" i="7"/>
  <c r="G2119" i="7"/>
  <c r="G2117" i="7"/>
  <c r="G2116" i="7"/>
  <c r="J266" i="1"/>
  <c r="G2115" i="7"/>
  <c r="G2114" i="7"/>
  <c r="H266" i="1"/>
  <c r="J2123" i="7"/>
  <c r="L2123" i="7"/>
  <c r="L2129" i="7"/>
  <c r="J2129" i="7"/>
  <c r="F296" i="8" l="1"/>
  <c r="H296" i="8" s="1"/>
  <c r="F297" i="8"/>
  <c r="H297" i="8" s="1"/>
  <c r="A297" i="9"/>
  <c r="A296" i="9"/>
  <c r="L2116" i="7"/>
  <c r="J2116" i="7"/>
  <c r="J2117" i="7"/>
  <c r="L2117" i="7"/>
  <c r="J2118" i="7"/>
  <c r="L2118" i="7"/>
  <c r="L2119" i="7"/>
  <c r="J2119" i="7"/>
  <c r="J2120" i="7"/>
  <c r="L2120" i="7"/>
  <c r="L2114" i="7"/>
  <c r="J2114" i="7"/>
  <c r="G2113" i="7"/>
  <c r="E264" i="1"/>
  <c r="G2112" i="7"/>
  <c r="G2109" i="7"/>
  <c r="G2111" i="7"/>
  <c r="G2110" i="7"/>
  <c r="J265" i="1"/>
  <c r="G2107" i="7"/>
  <c r="G2106" i="7"/>
  <c r="G2108" i="7"/>
  <c r="H265" i="1"/>
  <c r="J2115" i="7"/>
  <c r="L2115" i="7"/>
  <c r="J2121" i="7"/>
  <c r="L2121" i="7"/>
  <c r="F296" i="12" l="1"/>
  <c r="F297" i="12"/>
  <c r="F297" i="11"/>
  <c r="F296" i="11"/>
  <c r="F297" i="10"/>
  <c r="H297" i="10" s="1"/>
  <c r="I297" i="10" s="1"/>
  <c r="F296" i="10"/>
  <c r="H296" i="10" s="1"/>
  <c r="I296" i="10" s="1"/>
  <c r="J2109" i="7"/>
  <c r="L2109" i="7"/>
  <c r="L2110" i="7"/>
  <c r="J2110" i="7"/>
  <c r="J2111" i="7"/>
  <c r="L2111" i="7"/>
  <c r="E263" i="1"/>
  <c r="G2105" i="7"/>
  <c r="G2104" i="7"/>
  <c r="G2101" i="7"/>
  <c r="G2102" i="7"/>
  <c r="G2103" i="7"/>
  <c r="H264" i="1"/>
  <c r="G2100" i="7"/>
  <c r="G2098" i="7"/>
  <c r="G2099" i="7"/>
  <c r="J264" i="1"/>
  <c r="J2112" i="7"/>
  <c r="L2112" i="7"/>
  <c r="J2108" i="7"/>
  <c r="L2108" i="7"/>
  <c r="L2106" i="7"/>
  <c r="J2106" i="7"/>
  <c r="J2113" i="7"/>
  <c r="L2113" i="7"/>
  <c r="J2107" i="7"/>
  <c r="L2107" i="7"/>
  <c r="H296" i="12" l="1"/>
  <c r="H297" i="12"/>
  <c r="G296" i="10"/>
  <c r="G297" i="10"/>
  <c r="L2098" i="7"/>
  <c r="J2098" i="7"/>
  <c r="G2097" i="7"/>
  <c r="E262" i="1"/>
  <c r="G2096" i="7"/>
  <c r="G2093" i="7"/>
  <c r="G2094" i="7"/>
  <c r="G2095" i="7"/>
  <c r="G2092" i="7"/>
  <c r="H263" i="1"/>
  <c r="J263" i="1"/>
  <c r="G2090" i="7"/>
  <c r="G2091" i="7"/>
  <c r="L2100" i="7"/>
  <c r="J2100" i="7"/>
  <c r="L2101" i="7"/>
  <c r="J2101" i="7"/>
  <c r="L2099" i="7"/>
  <c r="J2099" i="7"/>
  <c r="L2103" i="7"/>
  <c r="J2103" i="7"/>
  <c r="J2105" i="7"/>
  <c r="L2105" i="7"/>
  <c r="J2102" i="7"/>
  <c r="L2102" i="7"/>
  <c r="J2104" i="7"/>
  <c r="L2104" i="7"/>
  <c r="J2095" i="7" l="1"/>
  <c r="L2095" i="7"/>
  <c r="J2096" i="7"/>
  <c r="L2096" i="7"/>
  <c r="J2092" i="7"/>
  <c r="L2092" i="7"/>
  <c r="L2090" i="7"/>
  <c r="J2090" i="7"/>
  <c r="E261" i="1"/>
  <c r="G2089" i="7"/>
  <c r="G2088" i="7"/>
  <c r="G2085" i="7"/>
  <c r="G2086" i="7"/>
  <c r="G2087" i="7"/>
  <c r="H262" i="1"/>
  <c r="G2084" i="7"/>
  <c r="J262" i="1"/>
  <c r="G2083" i="7"/>
  <c r="G2082" i="7"/>
  <c r="L2094" i="7"/>
  <c r="J2094" i="7"/>
  <c r="L2093" i="7"/>
  <c r="J2093" i="7"/>
  <c r="L2091" i="7"/>
  <c r="J2091" i="7"/>
  <c r="J2097" i="7"/>
  <c r="L2097" i="7"/>
  <c r="F295" i="8" l="1"/>
  <c r="H295" i="8" s="1"/>
  <c r="A295" i="9"/>
  <c r="J2086" i="7"/>
  <c r="L2086" i="7"/>
  <c r="L2083" i="7"/>
  <c r="J2083" i="7"/>
  <c r="L2089" i="7"/>
  <c r="J2089" i="7"/>
  <c r="J2085" i="7"/>
  <c r="L2085" i="7"/>
  <c r="J2087" i="7"/>
  <c r="L2087" i="7"/>
  <c r="L2082" i="7"/>
  <c r="J2082" i="7"/>
  <c r="J2088" i="7"/>
  <c r="L2088" i="7"/>
  <c r="E260" i="1"/>
  <c r="G2081" i="7"/>
  <c r="G2080" i="7"/>
  <c r="G2078" i="7"/>
  <c r="G2079" i="7"/>
  <c r="G2077" i="7"/>
  <c r="G2075" i="7"/>
  <c r="G2074" i="7"/>
  <c r="H261" i="1"/>
  <c r="J261" i="1"/>
  <c r="F295" i="12" s="1"/>
  <c r="G2076" i="7"/>
  <c r="L2084" i="7"/>
  <c r="J2084" i="7"/>
  <c r="H295" i="12" l="1"/>
  <c r="F295" i="10"/>
  <c r="H295" i="10" s="1"/>
  <c r="I295" i="10" s="1"/>
  <c r="F295" i="11"/>
  <c r="F293" i="8"/>
  <c r="H293" i="8" s="1"/>
  <c r="F294" i="8"/>
  <c r="H294" i="8" s="1"/>
  <c r="A294" i="9"/>
  <c r="A293" i="9"/>
  <c r="J2075" i="7"/>
  <c r="L2075" i="7"/>
  <c r="J2078" i="7"/>
  <c r="L2078" i="7"/>
  <c r="E259" i="1"/>
  <c r="G2073" i="7"/>
  <c r="G2072" i="7"/>
  <c r="G2071" i="7"/>
  <c r="G2067" i="7"/>
  <c r="G2066" i="7"/>
  <c r="G2070" i="7"/>
  <c r="G2068" i="7"/>
  <c r="G2069" i="7"/>
  <c r="H260" i="1"/>
  <c r="J260" i="1"/>
  <c r="L2081" i="7"/>
  <c r="J2081" i="7"/>
  <c r="L2074" i="7"/>
  <c r="J2074" i="7"/>
  <c r="J2080" i="7"/>
  <c r="L2080" i="7"/>
  <c r="L2077" i="7"/>
  <c r="J2077" i="7"/>
  <c r="J2076" i="7"/>
  <c r="L2076" i="7"/>
  <c r="J2079" i="7"/>
  <c r="L2079" i="7"/>
  <c r="F294" i="12" l="1"/>
  <c r="F293" i="12"/>
  <c r="G295" i="10"/>
  <c r="F293" i="11"/>
  <c r="F294" i="11"/>
  <c r="F293" i="10"/>
  <c r="H293" i="10" s="1"/>
  <c r="I293" i="10" s="1"/>
  <c r="F294" i="10"/>
  <c r="H294" i="10" s="1"/>
  <c r="I294" i="10" s="1"/>
  <c r="F292" i="8"/>
  <c r="H292" i="8" s="1"/>
  <c r="A292" i="9"/>
  <c r="J2071" i="7"/>
  <c r="L2071" i="7"/>
  <c r="J2072" i="7"/>
  <c r="L2072" i="7"/>
  <c r="L2073" i="7"/>
  <c r="J2073" i="7"/>
  <c r="G2065" i="7"/>
  <c r="E258" i="1"/>
  <c r="G2064" i="7"/>
  <c r="G2061" i="7"/>
  <c r="G2062" i="7"/>
  <c r="G2058" i="7"/>
  <c r="H259" i="1"/>
  <c r="J259" i="1"/>
  <c r="F292" i="12" s="1"/>
  <c r="G2060" i="7"/>
  <c r="G2063" i="7"/>
  <c r="G2059" i="7"/>
  <c r="L2068" i="7"/>
  <c r="J2068" i="7"/>
  <c r="L2069" i="7"/>
  <c r="J2069" i="7"/>
  <c r="J2070" i="7"/>
  <c r="L2070" i="7"/>
  <c r="L2066" i="7"/>
  <c r="J2066" i="7"/>
  <c r="L2067" i="7"/>
  <c r="J2067" i="7"/>
  <c r="H292" i="12" l="1"/>
  <c r="H293" i="12"/>
  <c r="H294" i="12"/>
  <c r="G293" i="10"/>
  <c r="G294" i="10"/>
  <c r="F292" i="10"/>
  <c r="H292" i="10" s="1"/>
  <c r="I292" i="10" s="1"/>
  <c r="F292" i="11"/>
  <c r="F291" i="8"/>
  <c r="H291" i="8" s="1"/>
  <c r="A291" i="9"/>
  <c r="G2057" i="7"/>
  <c r="E257" i="1"/>
  <c r="G2056" i="7"/>
  <c r="G2054" i="7"/>
  <c r="G2055" i="7"/>
  <c r="G2053" i="7"/>
  <c r="G2052" i="7"/>
  <c r="J258" i="1"/>
  <c r="F291" i="12" s="1"/>
  <c r="G2051" i="7"/>
  <c r="G2050" i="7"/>
  <c r="H258" i="1"/>
  <c r="J2060" i="7"/>
  <c r="L2060" i="7"/>
  <c r="L2058" i="7"/>
  <c r="J2058" i="7"/>
  <c r="J2065" i="7"/>
  <c r="L2065" i="7"/>
  <c r="J2063" i="7"/>
  <c r="L2063" i="7"/>
  <c r="J2061" i="7"/>
  <c r="L2061" i="7"/>
  <c r="J2062" i="7"/>
  <c r="L2062" i="7"/>
  <c r="J2059" i="7"/>
  <c r="L2059" i="7"/>
  <c r="L2064" i="7"/>
  <c r="J2064" i="7"/>
  <c r="H291" i="12" l="1"/>
  <c r="G292" i="10"/>
  <c r="F291" i="10"/>
  <c r="H291" i="10" s="1"/>
  <c r="I291" i="10" s="1"/>
  <c r="F291" i="11"/>
  <c r="J2053" i="7"/>
  <c r="L2053" i="7"/>
  <c r="J2057" i="7"/>
  <c r="L2057" i="7"/>
  <c r="L2052" i="7"/>
  <c r="J2052" i="7"/>
  <c r="J2055" i="7"/>
  <c r="L2055" i="7"/>
  <c r="J2054" i="7"/>
  <c r="L2054" i="7"/>
  <c r="J2056" i="7"/>
  <c r="L2056" i="7"/>
  <c r="J2051" i="7"/>
  <c r="L2051" i="7"/>
  <c r="L2050" i="7"/>
  <c r="J2050" i="7"/>
  <c r="G2049" i="7"/>
  <c r="E256" i="1"/>
  <c r="G2045" i="7"/>
  <c r="G2047" i="7"/>
  <c r="G2046" i="7"/>
  <c r="G2048" i="7"/>
  <c r="J257" i="1"/>
  <c r="G2043" i="7"/>
  <c r="G2042" i="7"/>
  <c r="G2044" i="7"/>
  <c r="H257" i="1"/>
  <c r="G291" i="10" l="1"/>
  <c r="J2042" i="7"/>
  <c r="L2042" i="7"/>
  <c r="L2049" i="7"/>
  <c r="J2049" i="7"/>
  <c r="J2044" i="7"/>
  <c r="L2044" i="7"/>
  <c r="J2046" i="7"/>
  <c r="L2046" i="7"/>
  <c r="E255" i="1"/>
  <c r="G2040" i="7"/>
  <c r="G2041" i="7"/>
  <c r="G2037" i="7"/>
  <c r="G2038" i="7"/>
  <c r="G2039" i="7"/>
  <c r="H256" i="1"/>
  <c r="G2036" i="7"/>
  <c r="G2034" i="7"/>
  <c r="G2035" i="7"/>
  <c r="J256" i="1"/>
  <c r="J2047" i="7"/>
  <c r="L2047" i="7"/>
  <c r="L2043" i="7"/>
  <c r="J2043" i="7"/>
  <c r="J2048" i="7"/>
  <c r="L2048" i="7"/>
  <c r="J2045" i="7"/>
  <c r="L2045" i="7"/>
  <c r="J2036" i="7" l="1"/>
  <c r="L2036" i="7"/>
  <c r="L2039" i="7"/>
  <c r="J2039" i="7"/>
  <c r="G2033" i="7"/>
  <c r="G2029" i="7"/>
  <c r="G2030" i="7"/>
  <c r="E254" i="1"/>
  <c r="G2031" i="7"/>
  <c r="G2032" i="7"/>
  <c r="G2028" i="7"/>
  <c r="H255" i="1"/>
  <c r="J255" i="1"/>
  <c r="G2027" i="7"/>
  <c r="G2026" i="7"/>
  <c r="J2037" i="7"/>
  <c r="L2037" i="7"/>
  <c r="J2041" i="7"/>
  <c r="L2041" i="7"/>
  <c r="L2034" i="7"/>
  <c r="J2034" i="7"/>
  <c r="J2038" i="7"/>
  <c r="L2038" i="7"/>
  <c r="L2035" i="7"/>
  <c r="J2035" i="7"/>
  <c r="J2040" i="7"/>
  <c r="L2040" i="7"/>
  <c r="F290" i="8" l="1"/>
  <c r="H290" i="8" s="1"/>
  <c r="A290" i="9"/>
  <c r="J2027" i="7"/>
  <c r="L2027" i="7"/>
  <c r="E253" i="1"/>
  <c r="G2024" i="7"/>
  <c r="G2021" i="7"/>
  <c r="G2025" i="7"/>
  <c r="G2022" i="7"/>
  <c r="G2023" i="7"/>
  <c r="H254" i="1"/>
  <c r="G2020" i="7"/>
  <c r="J254" i="1"/>
  <c r="F290" i="12" s="1"/>
  <c r="G2019" i="7"/>
  <c r="G2018" i="7"/>
  <c r="J2033" i="7"/>
  <c r="L2033" i="7"/>
  <c r="J2029" i="7"/>
  <c r="L2029" i="7"/>
  <c r="L2026" i="7"/>
  <c r="J2026" i="7"/>
  <c r="J2028" i="7"/>
  <c r="L2028" i="7"/>
  <c r="J2032" i="7"/>
  <c r="L2032" i="7"/>
  <c r="J2030" i="7"/>
  <c r="L2030" i="7"/>
  <c r="J2031" i="7"/>
  <c r="L2031" i="7"/>
  <c r="H290" i="12" l="1"/>
  <c r="F290" i="10"/>
  <c r="H290" i="10" s="1"/>
  <c r="I290" i="10" s="1"/>
  <c r="F290" i="11"/>
  <c r="J2022" i="7"/>
  <c r="L2022" i="7"/>
  <c r="L2018" i="7"/>
  <c r="J2018" i="7"/>
  <c r="J2021" i="7"/>
  <c r="L2021" i="7"/>
  <c r="L2019" i="7"/>
  <c r="J2019" i="7"/>
  <c r="E252" i="1"/>
  <c r="G2017" i="7"/>
  <c r="G2016" i="7"/>
  <c r="G2014" i="7"/>
  <c r="G2015" i="7"/>
  <c r="G2013" i="7"/>
  <c r="G2012" i="7"/>
  <c r="G2011" i="7"/>
  <c r="G2010" i="7"/>
  <c r="H253" i="1"/>
  <c r="J253" i="1"/>
  <c r="J2020" i="7"/>
  <c r="L2020" i="7"/>
  <c r="J2023" i="7"/>
  <c r="L2023" i="7"/>
  <c r="J2025" i="7"/>
  <c r="L2025" i="7"/>
  <c r="J2024" i="7"/>
  <c r="L2024" i="7"/>
  <c r="G290" i="10" l="1"/>
  <c r="F288" i="8"/>
  <c r="H288" i="8" s="1"/>
  <c r="F289" i="8"/>
  <c r="H289" i="8" s="1"/>
  <c r="A289" i="9"/>
  <c r="A288" i="9"/>
  <c r="J2014" i="7"/>
  <c r="L2014" i="7"/>
  <c r="L2015" i="7"/>
  <c r="J2015" i="7"/>
  <c r="J2016" i="7"/>
  <c r="L2016" i="7"/>
  <c r="L2017" i="7"/>
  <c r="J2017" i="7"/>
  <c r="E251" i="1"/>
  <c r="G2009" i="7"/>
  <c r="G2008" i="7"/>
  <c r="G2007" i="7"/>
  <c r="G2006" i="7"/>
  <c r="G2005" i="7"/>
  <c r="G2003" i="7"/>
  <c r="G2002" i="7"/>
  <c r="G2004" i="7"/>
  <c r="H252" i="1"/>
  <c r="J252" i="1"/>
  <c r="L2013" i="7"/>
  <c r="J2013" i="7"/>
  <c r="L2010" i="7"/>
  <c r="J2010" i="7"/>
  <c r="L2011" i="7"/>
  <c r="J2011" i="7"/>
  <c r="J2012" i="7"/>
  <c r="L2012" i="7"/>
  <c r="F288" i="12" l="1"/>
  <c r="F289" i="12"/>
  <c r="F289" i="11"/>
  <c r="F288" i="11"/>
  <c r="F288" i="10"/>
  <c r="H288" i="10" s="1"/>
  <c r="I288" i="10" s="1"/>
  <c r="F289" i="10"/>
  <c r="H289" i="10" s="1"/>
  <c r="I289" i="10" s="1"/>
  <c r="G2001" i="7"/>
  <c r="E250" i="1"/>
  <c r="G2000" i="7"/>
  <c r="G1997" i="7"/>
  <c r="G1998" i="7"/>
  <c r="G1999" i="7"/>
  <c r="G1996" i="7"/>
  <c r="G1994" i="7"/>
  <c r="H251" i="1"/>
  <c r="J251" i="1"/>
  <c r="G1995" i="7"/>
  <c r="L2002" i="7"/>
  <c r="J2002" i="7"/>
  <c r="L2005" i="7"/>
  <c r="J2005" i="7"/>
  <c r="L2003" i="7"/>
  <c r="J2003" i="7"/>
  <c r="J2007" i="7"/>
  <c r="L2007" i="7"/>
  <c r="L2004" i="7"/>
  <c r="J2004" i="7"/>
  <c r="J2008" i="7"/>
  <c r="L2008" i="7"/>
  <c r="J2006" i="7"/>
  <c r="L2006" i="7"/>
  <c r="L2009" i="7"/>
  <c r="J2009" i="7"/>
  <c r="H288" i="12" l="1"/>
  <c r="H289" i="12"/>
  <c r="G289" i="10"/>
  <c r="G288" i="10"/>
  <c r="L1994" i="7"/>
  <c r="J1994" i="7"/>
  <c r="L2001" i="7"/>
  <c r="J2001" i="7"/>
  <c r="J1996" i="7"/>
  <c r="L1996" i="7"/>
  <c r="J1999" i="7"/>
  <c r="L1999" i="7"/>
  <c r="J1997" i="7"/>
  <c r="L1997" i="7"/>
  <c r="J1995" i="7"/>
  <c r="L1995" i="7"/>
  <c r="J1998" i="7"/>
  <c r="L1998" i="7"/>
  <c r="L2000" i="7"/>
  <c r="J2000" i="7"/>
  <c r="G1993" i="7"/>
  <c r="E249" i="1"/>
  <c r="G1992" i="7"/>
  <c r="G1990" i="7"/>
  <c r="G1991" i="7"/>
  <c r="G1989" i="7"/>
  <c r="G1988" i="7"/>
  <c r="J250" i="1"/>
  <c r="G1987" i="7"/>
  <c r="H250" i="1"/>
  <c r="G1986" i="7"/>
  <c r="F285" i="8" l="1"/>
  <c r="H285" i="8" s="1"/>
  <c r="F286" i="8"/>
  <c r="H286" i="8" s="1"/>
  <c r="F287" i="8"/>
  <c r="H287" i="8" s="1"/>
  <c r="A287" i="9"/>
  <c r="A286" i="9"/>
  <c r="A285" i="9"/>
  <c r="J1986" i="7"/>
  <c r="L1986" i="7"/>
  <c r="J1992" i="7"/>
  <c r="L1992" i="7"/>
  <c r="G1985" i="7"/>
  <c r="E248" i="1"/>
  <c r="G1981" i="7"/>
  <c r="G1983" i="7"/>
  <c r="G1980" i="7"/>
  <c r="J249" i="1"/>
  <c r="G1982" i="7"/>
  <c r="G1984" i="7"/>
  <c r="G1979" i="7"/>
  <c r="G1978" i="7"/>
  <c r="H249" i="1"/>
  <c r="J1987" i="7"/>
  <c r="L1987" i="7"/>
  <c r="J1993" i="7"/>
  <c r="L1993" i="7"/>
  <c r="L1988" i="7"/>
  <c r="J1988" i="7"/>
  <c r="J1990" i="7"/>
  <c r="L1990" i="7"/>
  <c r="L1989" i="7"/>
  <c r="J1989" i="7"/>
  <c r="J1991" i="7"/>
  <c r="L1991" i="7"/>
  <c r="F286" i="12" l="1"/>
  <c r="F287" i="12"/>
  <c r="F285" i="12"/>
  <c r="F285" i="11"/>
  <c r="F287" i="11"/>
  <c r="F286" i="11"/>
  <c r="F287" i="10"/>
  <c r="H287" i="10" s="1"/>
  <c r="I287" i="10" s="1"/>
  <c r="F285" i="10"/>
  <c r="H285" i="10" s="1"/>
  <c r="I285" i="10" s="1"/>
  <c r="F286" i="10"/>
  <c r="H286" i="10" s="1"/>
  <c r="I286" i="10" s="1"/>
  <c r="F284" i="8"/>
  <c r="H284" i="8" s="1"/>
  <c r="A284" i="9"/>
  <c r="J1978" i="7"/>
  <c r="L1978" i="7"/>
  <c r="E247" i="1"/>
  <c r="G1977" i="7"/>
  <c r="G1976" i="7"/>
  <c r="G1973" i="7"/>
  <c r="G1974" i="7"/>
  <c r="G1972" i="7"/>
  <c r="H248" i="1"/>
  <c r="G1975" i="7"/>
  <c r="G1970" i="7"/>
  <c r="G1971" i="7"/>
  <c r="J248" i="1"/>
  <c r="F284" i="12" s="1"/>
  <c r="J1985" i="7"/>
  <c r="L1985" i="7"/>
  <c r="J1984" i="7"/>
  <c r="L1984" i="7"/>
  <c r="J1982" i="7"/>
  <c r="L1982" i="7"/>
  <c r="J1980" i="7"/>
  <c r="L1980" i="7"/>
  <c r="J1983" i="7"/>
  <c r="L1983" i="7"/>
  <c r="J1979" i="7"/>
  <c r="L1979" i="7"/>
  <c r="L1981" i="7"/>
  <c r="J1981" i="7"/>
  <c r="H287" i="12" l="1"/>
  <c r="H285" i="12"/>
  <c r="H284" i="12"/>
  <c r="H286" i="12"/>
  <c r="G286" i="10"/>
  <c r="G285" i="10"/>
  <c r="G287" i="10"/>
  <c r="F284" i="10"/>
  <c r="H284" i="10" s="1"/>
  <c r="I284" i="10" s="1"/>
  <c r="F284" i="11"/>
  <c r="F283" i="8"/>
  <c r="H283" i="8" s="1"/>
  <c r="A283" i="9"/>
  <c r="J1972" i="7"/>
  <c r="L1972" i="7"/>
  <c r="J1973" i="7"/>
  <c r="L1973" i="7"/>
  <c r="J1974" i="7"/>
  <c r="L1974" i="7"/>
  <c r="J1977" i="7"/>
  <c r="L1977" i="7"/>
  <c r="J1976" i="7"/>
  <c r="L1976" i="7"/>
  <c r="L1971" i="7"/>
  <c r="J1971" i="7"/>
  <c r="L1970" i="7"/>
  <c r="J1970" i="7"/>
  <c r="J1975" i="7"/>
  <c r="L1975" i="7"/>
  <c r="G1969" i="7"/>
  <c r="E246" i="1"/>
  <c r="G1965" i="7"/>
  <c r="G1966" i="7"/>
  <c r="G1968" i="7"/>
  <c r="G1967" i="7"/>
  <c r="G1964" i="7"/>
  <c r="H247" i="1"/>
  <c r="J247" i="1"/>
  <c r="F283" i="12" s="1"/>
  <c r="G1963" i="7"/>
  <c r="G1962" i="7"/>
  <c r="H283" i="12" l="1"/>
  <c r="G284" i="10"/>
  <c r="F283" i="10"/>
  <c r="H283" i="10" s="1"/>
  <c r="I283" i="10" s="1"/>
  <c r="F283" i="11"/>
  <c r="F279" i="8"/>
  <c r="H279" i="8" s="1"/>
  <c r="F280" i="8"/>
  <c r="H280" i="8" s="1"/>
  <c r="F281" i="8"/>
  <c r="H281" i="8" s="1"/>
  <c r="F282" i="8"/>
  <c r="H282" i="8" s="1"/>
  <c r="A281" i="9"/>
  <c r="A279" i="9"/>
  <c r="A280" i="9"/>
  <c r="A282" i="9"/>
  <c r="J1965" i="7"/>
  <c r="L1965" i="7"/>
  <c r="L1962" i="7"/>
  <c r="J1962" i="7"/>
  <c r="J1968" i="7"/>
  <c r="L1968" i="7"/>
  <c r="E245" i="1"/>
  <c r="G1960" i="7"/>
  <c r="G1961" i="7"/>
  <c r="G1957" i="7"/>
  <c r="G1958" i="7"/>
  <c r="G1959" i="7"/>
  <c r="H246" i="1"/>
  <c r="J246" i="1"/>
  <c r="G1955" i="7"/>
  <c r="G1956" i="7"/>
  <c r="G1954" i="7"/>
  <c r="J1969" i="7"/>
  <c r="L1969" i="7"/>
  <c r="J1964" i="7"/>
  <c r="L1964" i="7"/>
  <c r="J1966" i="7"/>
  <c r="L1966" i="7"/>
  <c r="L1963" i="7"/>
  <c r="J1963" i="7"/>
  <c r="L1967" i="7"/>
  <c r="J1967" i="7"/>
  <c r="F282" i="12" l="1"/>
  <c r="F279" i="12"/>
  <c r="F280" i="12"/>
  <c r="F281" i="12"/>
  <c r="G283" i="10"/>
  <c r="F281" i="11"/>
  <c r="F280" i="11"/>
  <c r="F279" i="11"/>
  <c r="F282" i="11"/>
  <c r="F280" i="10"/>
  <c r="H280" i="10" s="1"/>
  <c r="I280" i="10" s="1"/>
  <c r="F281" i="10"/>
  <c r="H281" i="10" s="1"/>
  <c r="I281" i="10" s="1"/>
  <c r="F279" i="10"/>
  <c r="H279" i="10" s="1"/>
  <c r="I279" i="10" s="1"/>
  <c r="F282" i="10"/>
  <c r="H282" i="10" s="1"/>
  <c r="I282" i="10" s="1"/>
  <c r="F278" i="8"/>
  <c r="H278" i="8" s="1"/>
  <c r="A278" i="9"/>
  <c r="J1955" i="7"/>
  <c r="L1955" i="7"/>
  <c r="E244" i="1"/>
  <c r="G1953" i="7"/>
  <c r="G1952" i="7"/>
  <c r="G1950" i="7"/>
  <c r="G1951" i="7"/>
  <c r="G1948" i="7"/>
  <c r="G1947" i="7"/>
  <c r="G1946" i="7"/>
  <c r="G1949" i="7"/>
  <c r="H245" i="1"/>
  <c r="J245" i="1"/>
  <c r="F278" i="12" s="1"/>
  <c r="J1959" i="7"/>
  <c r="L1959" i="7"/>
  <c r="L1954" i="7"/>
  <c r="J1954" i="7"/>
  <c r="L1958" i="7"/>
  <c r="J1958" i="7"/>
  <c r="L1957" i="7"/>
  <c r="J1957" i="7"/>
  <c r="J1961" i="7"/>
  <c r="L1961" i="7"/>
  <c r="J1956" i="7"/>
  <c r="L1956" i="7"/>
  <c r="J1960" i="7"/>
  <c r="L1960" i="7"/>
  <c r="H279" i="12" l="1"/>
  <c r="H282" i="12"/>
  <c r="H280" i="12"/>
  <c r="H278" i="12"/>
  <c r="H281" i="12"/>
  <c r="G280" i="10"/>
  <c r="G281" i="10"/>
  <c r="G282" i="10"/>
  <c r="G279" i="10"/>
  <c r="F278" i="10"/>
  <c r="H278" i="10" s="1"/>
  <c r="I278" i="10" s="1"/>
  <c r="F278" i="11"/>
  <c r="F275" i="8"/>
  <c r="H275" i="8" s="1"/>
  <c r="F276" i="8"/>
  <c r="H276" i="8" s="1"/>
  <c r="F277" i="8"/>
  <c r="H277" i="8" s="1"/>
  <c r="A277" i="9"/>
  <c r="A276" i="9"/>
  <c r="A275" i="9"/>
  <c r="J1951" i="7"/>
  <c r="L1951" i="7"/>
  <c r="J1952" i="7"/>
  <c r="L1952" i="7"/>
  <c r="L1953" i="7"/>
  <c r="J1953" i="7"/>
  <c r="J1949" i="7"/>
  <c r="L1949" i="7"/>
  <c r="E243" i="1"/>
  <c r="G1945" i="7"/>
  <c r="G1944" i="7"/>
  <c r="G1943" i="7"/>
  <c r="G1942" i="7"/>
  <c r="G1941" i="7"/>
  <c r="G1939" i="7"/>
  <c r="G1938" i="7"/>
  <c r="G1940" i="7"/>
  <c r="H244" i="1"/>
  <c r="J244" i="1"/>
  <c r="J1950" i="7"/>
  <c r="L1950" i="7"/>
  <c r="L1946" i="7"/>
  <c r="J1946" i="7"/>
  <c r="L1947" i="7"/>
  <c r="J1947" i="7"/>
  <c r="J1948" i="7"/>
  <c r="L1948" i="7"/>
  <c r="F275" i="12" l="1"/>
  <c r="F276" i="12"/>
  <c r="F277" i="12"/>
  <c r="G278" i="10"/>
  <c r="F277" i="11"/>
  <c r="F276" i="11"/>
  <c r="F275" i="11"/>
  <c r="F275" i="10"/>
  <c r="H275" i="10" s="1"/>
  <c r="I275" i="10" s="1"/>
  <c r="F276" i="10"/>
  <c r="H276" i="10" s="1"/>
  <c r="I276" i="10" s="1"/>
  <c r="F277" i="10"/>
  <c r="H277" i="10" s="1"/>
  <c r="I277" i="10" s="1"/>
  <c r="F272" i="8"/>
  <c r="H272" i="8" s="1"/>
  <c r="F273" i="8"/>
  <c r="H273" i="8" s="1"/>
  <c r="F274" i="8"/>
  <c r="H274" i="8" s="1"/>
  <c r="A273" i="9"/>
  <c r="A272" i="9"/>
  <c r="A274" i="9"/>
  <c r="L1941" i="7"/>
  <c r="J1941" i="7"/>
  <c r="J1943" i="7"/>
  <c r="L1943" i="7"/>
  <c r="L1942" i="7"/>
  <c r="J1942" i="7"/>
  <c r="J1944" i="7"/>
  <c r="L1944" i="7"/>
  <c r="G1937" i="7"/>
  <c r="E242" i="1"/>
  <c r="G1936" i="7"/>
  <c r="G1933" i="7"/>
  <c r="G1932" i="7"/>
  <c r="G1934" i="7"/>
  <c r="G1935" i="7"/>
  <c r="G1930" i="7"/>
  <c r="H243" i="1"/>
  <c r="J243" i="1"/>
  <c r="G1931" i="7"/>
  <c r="L1939" i="7"/>
  <c r="J1939" i="7"/>
  <c r="L1945" i="7"/>
  <c r="J1945" i="7"/>
  <c r="J1940" i="7"/>
  <c r="L1940" i="7"/>
  <c r="L1938" i="7"/>
  <c r="J1938" i="7"/>
  <c r="F274" i="12" l="1"/>
  <c r="F272" i="12"/>
  <c r="F273" i="12"/>
  <c r="H276" i="12"/>
  <c r="H277" i="12"/>
  <c r="H275" i="12"/>
  <c r="G275" i="10"/>
  <c r="G276" i="10"/>
  <c r="G277" i="10"/>
  <c r="F273" i="11"/>
  <c r="F272" i="11"/>
  <c r="F274" i="11"/>
  <c r="F272" i="10"/>
  <c r="H272" i="10" s="1"/>
  <c r="I272" i="10" s="1"/>
  <c r="F273" i="10"/>
  <c r="H273" i="10" s="1"/>
  <c r="I273" i="10" s="1"/>
  <c r="F274" i="10"/>
  <c r="H274" i="10" s="1"/>
  <c r="I274" i="10" s="1"/>
  <c r="F270" i="8"/>
  <c r="H270" i="8" s="1"/>
  <c r="F271" i="8"/>
  <c r="H271" i="8" s="1"/>
  <c r="A271" i="9"/>
  <c r="A270" i="9"/>
  <c r="L1930" i="7"/>
  <c r="J1930" i="7"/>
  <c r="L1934" i="7"/>
  <c r="J1934" i="7"/>
  <c r="J1932" i="7"/>
  <c r="L1932" i="7"/>
  <c r="J1935" i="7"/>
  <c r="L1935" i="7"/>
  <c r="J1933" i="7"/>
  <c r="L1933" i="7"/>
  <c r="J1931" i="7"/>
  <c r="L1931" i="7"/>
  <c r="J1936" i="7"/>
  <c r="L1936" i="7"/>
  <c r="G1929" i="7"/>
  <c r="E241" i="1"/>
  <c r="G1928" i="7"/>
  <c r="G1926" i="7"/>
  <c r="G1927" i="7"/>
  <c r="G1925" i="7"/>
  <c r="J242" i="1"/>
  <c r="G1923" i="7"/>
  <c r="H242" i="1"/>
  <c r="G1924" i="7"/>
  <c r="G1922" i="7"/>
  <c r="J1937" i="7"/>
  <c r="L1937" i="7"/>
  <c r="F270" i="12" l="1"/>
  <c r="F271" i="12"/>
  <c r="H274" i="12"/>
  <c r="H272" i="12"/>
  <c r="H273" i="12"/>
  <c r="G274" i="10"/>
  <c r="G273" i="10"/>
  <c r="G272" i="10"/>
  <c r="F271" i="11"/>
  <c r="F270" i="11"/>
  <c r="F270" i="10"/>
  <c r="H270" i="10" s="1"/>
  <c r="I270" i="10" s="1"/>
  <c r="F271" i="10"/>
  <c r="H271" i="10" s="1"/>
  <c r="I271" i="10" s="1"/>
  <c r="F269" i="8"/>
  <c r="H269" i="8" s="1"/>
  <c r="A269" i="9"/>
  <c r="L1923" i="7"/>
  <c r="J1923" i="7"/>
  <c r="J1927" i="7"/>
  <c r="L1927" i="7"/>
  <c r="L1926" i="7"/>
  <c r="J1926" i="7"/>
  <c r="L1922" i="7"/>
  <c r="J1922" i="7"/>
  <c r="J1928" i="7"/>
  <c r="L1928" i="7"/>
  <c r="L1924" i="7"/>
  <c r="J1924" i="7"/>
  <c r="G1921" i="7"/>
  <c r="E240" i="1"/>
  <c r="G1920" i="7"/>
  <c r="G1917" i="7"/>
  <c r="G1919" i="7"/>
  <c r="G1916" i="7"/>
  <c r="G1918" i="7"/>
  <c r="J241" i="1"/>
  <c r="F269" i="12" s="1"/>
  <c r="G1915" i="7"/>
  <c r="G1914" i="7"/>
  <c r="H241" i="1"/>
  <c r="J1929" i="7"/>
  <c r="L1929" i="7"/>
  <c r="L1925" i="7"/>
  <c r="J1925" i="7"/>
  <c r="H271" i="12" l="1"/>
  <c r="H270" i="12"/>
  <c r="H269" i="12"/>
  <c r="G270" i="10"/>
  <c r="G271" i="10"/>
  <c r="F269" i="10"/>
  <c r="H269" i="10" s="1"/>
  <c r="I269" i="10" s="1"/>
  <c r="F269" i="11"/>
  <c r="F268" i="8"/>
  <c r="H268" i="8" s="1"/>
  <c r="A268" i="9"/>
  <c r="E239" i="1"/>
  <c r="G1913" i="7"/>
  <c r="G1912" i="7"/>
  <c r="G1909" i="7"/>
  <c r="G1910" i="7"/>
  <c r="H240" i="1"/>
  <c r="G1906" i="7"/>
  <c r="J240" i="1"/>
  <c r="F268" i="12" s="1"/>
  <c r="G1911" i="7"/>
  <c r="G1908" i="7"/>
  <c r="G1907" i="7"/>
  <c r="J1916" i="7"/>
  <c r="L1916" i="7"/>
  <c r="J1918" i="7"/>
  <c r="L1918" i="7"/>
  <c r="J1919" i="7"/>
  <c r="L1919" i="7"/>
  <c r="J1917" i="7"/>
  <c r="L1917" i="7"/>
  <c r="J1920" i="7"/>
  <c r="L1920" i="7"/>
  <c r="L1914" i="7"/>
  <c r="J1914" i="7"/>
  <c r="L1915" i="7"/>
  <c r="J1915" i="7"/>
  <c r="L1921" i="7"/>
  <c r="J1921" i="7"/>
  <c r="H268" i="12" l="1"/>
  <c r="G269" i="10"/>
  <c r="F268" i="10"/>
  <c r="H268" i="10" s="1"/>
  <c r="I268" i="10" s="1"/>
  <c r="F268" i="11"/>
  <c r="J1913" i="7"/>
  <c r="L1913" i="7"/>
  <c r="J1912" i="7"/>
  <c r="L1912" i="7"/>
  <c r="L1908" i="7"/>
  <c r="J1908" i="7"/>
  <c r="J1911" i="7"/>
  <c r="L1911" i="7"/>
  <c r="L1906" i="7"/>
  <c r="J1906" i="7"/>
  <c r="L1907" i="7"/>
  <c r="J1907" i="7"/>
  <c r="G1905" i="7"/>
  <c r="G1904" i="7"/>
  <c r="G1901" i="7"/>
  <c r="G1902" i="7"/>
  <c r="G1903" i="7"/>
  <c r="E238" i="1"/>
  <c r="G1900" i="7"/>
  <c r="H239" i="1"/>
  <c r="J239" i="1"/>
  <c r="G1898" i="7"/>
  <c r="G1899" i="7"/>
  <c r="J1910" i="7"/>
  <c r="L1910" i="7"/>
  <c r="J1909" i="7"/>
  <c r="L1909" i="7"/>
  <c r="G268" i="10" l="1"/>
  <c r="J1901" i="7"/>
  <c r="L1901" i="7"/>
  <c r="J1904" i="7"/>
  <c r="L1904" i="7"/>
  <c r="L1899" i="7"/>
  <c r="J1899" i="7"/>
  <c r="L1898" i="7"/>
  <c r="J1898" i="7"/>
  <c r="J1900" i="7"/>
  <c r="L1900" i="7"/>
  <c r="E237" i="1"/>
  <c r="G1897" i="7"/>
  <c r="G1896" i="7"/>
  <c r="G1893" i="7"/>
  <c r="G1894" i="7"/>
  <c r="G1895" i="7"/>
  <c r="H238" i="1"/>
  <c r="G1892" i="7"/>
  <c r="J238" i="1"/>
  <c r="G1891" i="7"/>
  <c r="G1890" i="7"/>
  <c r="L1905" i="7"/>
  <c r="J1905" i="7"/>
  <c r="J1903" i="7"/>
  <c r="L1903" i="7"/>
  <c r="J1902" i="7"/>
  <c r="L1902" i="7"/>
  <c r="F267" i="8" l="1"/>
  <c r="H267" i="8" s="1"/>
  <c r="F265" i="8"/>
  <c r="H265" i="8" s="1"/>
  <c r="F266" i="8"/>
  <c r="H266" i="8" s="1"/>
  <c r="A265" i="9"/>
  <c r="A266" i="9"/>
  <c r="A267" i="9"/>
  <c r="J1895" i="7"/>
  <c r="L1895" i="7"/>
  <c r="L1893" i="7"/>
  <c r="J1893" i="7"/>
  <c r="L1890" i="7"/>
  <c r="J1890" i="7"/>
  <c r="J1896" i="7"/>
  <c r="L1896" i="7"/>
  <c r="J1894" i="7"/>
  <c r="L1894" i="7"/>
  <c r="J1891" i="7"/>
  <c r="L1891" i="7"/>
  <c r="L1897" i="7"/>
  <c r="J1897" i="7"/>
  <c r="E236" i="1"/>
  <c r="G1889" i="7"/>
  <c r="G1888" i="7"/>
  <c r="G1886" i="7"/>
  <c r="G1887" i="7"/>
  <c r="G1884" i="7"/>
  <c r="G1883" i="7"/>
  <c r="G1882" i="7"/>
  <c r="H237" i="1"/>
  <c r="G1885" i="7"/>
  <c r="J237" i="1"/>
  <c r="J1892" i="7"/>
  <c r="L1892" i="7"/>
  <c r="F266" i="12" l="1"/>
  <c r="F267" i="12"/>
  <c r="F265" i="12"/>
  <c r="F265" i="11"/>
  <c r="F267" i="11"/>
  <c r="F266" i="11"/>
  <c r="F267" i="10"/>
  <c r="H267" i="10" s="1"/>
  <c r="I267" i="10" s="1"/>
  <c r="F265" i="10"/>
  <c r="H265" i="10" s="1"/>
  <c r="I265" i="10" s="1"/>
  <c r="F266" i="10"/>
  <c r="H266" i="10" s="1"/>
  <c r="I266" i="10" s="1"/>
  <c r="F262" i="8"/>
  <c r="H262" i="8" s="1"/>
  <c r="F263" i="8"/>
  <c r="H263" i="8" s="1"/>
  <c r="F264" i="8"/>
  <c r="H264" i="8" s="1"/>
  <c r="A263" i="9"/>
  <c r="A264" i="9"/>
  <c r="A262" i="9"/>
  <c r="J1889" i="7"/>
  <c r="L1889" i="7"/>
  <c r="J1883" i="7"/>
  <c r="L1883" i="7"/>
  <c r="E235" i="1"/>
  <c r="G1881" i="7"/>
  <c r="G1880" i="7"/>
  <c r="G1879" i="7"/>
  <c r="G1878" i="7"/>
  <c r="G1877" i="7"/>
  <c r="G1875" i="7"/>
  <c r="G1874" i="7"/>
  <c r="G1876" i="7"/>
  <c r="H236" i="1"/>
  <c r="J236" i="1"/>
  <c r="J1884" i="7"/>
  <c r="L1884" i="7"/>
  <c r="L1887" i="7"/>
  <c r="J1887" i="7"/>
  <c r="J1885" i="7"/>
  <c r="L1885" i="7"/>
  <c r="L1882" i="7"/>
  <c r="J1882" i="7"/>
  <c r="J1886" i="7"/>
  <c r="L1886" i="7"/>
  <c r="J1888" i="7"/>
  <c r="L1888" i="7"/>
  <c r="F262" i="12" l="1"/>
  <c r="F263" i="12"/>
  <c r="F264" i="12"/>
  <c r="H266" i="12"/>
  <c r="H265" i="12"/>
  <c r="H267" i="12"/>
  <c r="G266" i="10"/>
  <c r="G265" i="10"/>
  <c r="G267" i="10"/>
  <c r="F264" i="11"/>
  <c r="F263" i="11"/>
  <c r="F262" i="11"/>
  <c r="F263" i="10"/>
  <c r="H263" i="10" s="1"/>
  <c r="I263" i="10" s="1"/>
  <c r="F262" i="10"/>
  <c r="H262" i="10" s="1"/>
  <c r="I262" i="10" s="1"/>
  <c r="F264" i="10"/>
  <c r="H264" i="10" s="1"/>
  <c r="I264" i="10" s="1"/>
  <c r="L1881" i="7"/>
  <c r="J1881" i="7"/>
  <c r="L1876" i="7"/>
  <c r="J1876" i="7"/>
  <c r="G1873" i="7"/>
  <c r="E234" i="1"/>
  <c r="G1872" i="7"/>
  <c r="G1869" i="7"/>
  <c r="G1868" i="7"/>
  <c r="G1870" i="7"/>
  <c r="G1871" i="7"/>
  <c r="G1866" i="7"/>
  <c r="H235" i="1"/>
  <c r="J235" i="1"/>
  <c r="G1867" i="7"/>
  <c r="L1875" i="7"/>
  <c r="J1875" i="7"/>
  <c r="L1874" i="7"/>
  <c r="J1874" i="7"/>
  <c r="J1877" i="7"/>
  <c r="L1877" i="7"/>
  <c r="L1878" i="7"/>
  <c r="J1878" i="7"/>
  <c r="J1879" i="7"/>
  <c r="L1879" i="7"/>
  <c r="J1880" i="7"/>
  <c r="L1880" i="7"/>
  <c r="H263" i="12" l="1"/>
  <c r="H264" i="12"/>
  <c r="H262" i="12"/>
  <c r="G264" i="10"/>
  <c r="G263" i="10"/>
  <c r="G262" i="10"/>
  <c r="G1865" i="7"/>
  <c r="E233" i="1"/>
  <c r="G1862" i="7"/>
  <c r="G1863" i="7"/>
  <c r="G1861" i="7"/>
  <c r="G1864" i="7"/>
  <c r="G1860" i="7"/>
  <c r="J234" i="1"/>
  <c r="G1859" i="7"/>
  <c r="H234" i="1"/>
  <c r="G1858" i="7"/>
  <c r="J1873" i="7"/>
  <c r="L1873" i="7"/>
  <c r="L1866" i="7"/>
  <c r="J1866" i="7"/>
  <c r="J1871" i="7"/>
  <c r="L1871" i="7"/>
  <c r="J1870" i="7"/>
  <c r="L1870" i="7"/>
  <c r="L1868" i="7"/>
  <c r="J1868" i="7"/>
  <c r="J1869" i="7"/>
  <c r="L1869" i="7"/>
  <c r="J1867" i="7"/>
  <c r="L1867" i="7"/>
  <c r="J1872" i="7"/>
  <c r="L1872" i="7"/>
  <c r="F260" i="8" l="1"/>
  <c r="H260" i="8" s="1"/>
  <c r="F261" i="8"/>
  <c r="H261" i="8" s="1"/>
  <c r="A261" i="9"/>
  <c r="A260" i="9"/>
  <c r="L1861" i="7"/>
  <c r="J1861" i="7"/>
  <c r="J1864" i="7"/>
  <c r="L1864" i="7"/>
  <c r="J1863" i="7"/>
  <c r="L1863" i="7"/>
  <c r="L1860" i="7"/>
  <c r="J1860" i="7"/>
  <c r="J1862" i="7"/>
  <c r="L1862" i="7"/>
  <c r="L1858" i="7"/>
  <c r="J1858" i="7"/>
  <c r="G1857" i="7"/>
  <c r="E232" i="1"/>
  <c r="G1853" i="7"/>
  <c r="G1855" i="7"/>
  <c r="G1854" i="7"/>
  <c r="G1856" i="7"/>
  <c r="G1852" i="7"/>
  <c r="J233" i="1"/>
  <c r="G1851" i="7"/>
  <c r="G1850" i="7"/>
  <c r="H233" i="1"/>
  <c r="J1859" i="7"/>
  <c r="L1859" i="7"/>
  <c r="J1865" i="7"/>
  <c r="L1865" i="7"/>
  <c r="F260" i="12" l="1"/>
  <c r="F261" i="12"/>
  <c r="F261" i="11"/>
  <c r="F260" i="11"/>
  <c r="F260" i="10"/>
  <c r="H260" i="10" s="1"/>
  <c r="I260" i="10" s="1"/>
  <c r="F261" i="10"/>
  <c r="H261" i="10" s="1"/>
  <c r="I261" i="10" s="1"/>
  <c r="F259" i="8"/>
  <c r="H259" i="8" s="1"/>
  <c r="A259" i="9"/>
  <c r="L1851" i="7"/>
  <c r="J1851" i="7"/>
  <c r="J1857" i="7"/>
  <c r="L1857" i="7"/>
  <c r="J1856" i="7"/>
  <c r="L1856" i="7"/>
  <c r="J1854" i="7"/>
  <c r="L1854" i="7"/>
  <c r="L1852" i="7"/>
  <c r="J1852" i="7"/>
  <c r="J1855" i="7"/>
  <c r="L1855" i="7"/>
  <c r="J1853" i="7"/>
  <c r="L1853" i="7"/>
  <c r="L1850" i="7"/>
  <c r="J1850" i="7"/>
  <c r="E231" i="1"/>
  <c r="G1849" i="7"/>
  <c r="G1848" i="7"/>
  <c r="G1845" i="7"/>
  <c r="G1846" i="7"/>
  <c r="G1847" i="7"/>
  <c r="G1844" i="7"/>
  <c r="H232" i="1"/>
  <c r="G1842" i="7"/>
  <c r="J232" i="1"/>
  <c r="F259" i="12" s="1"/>
  <c r="G1843" i="7"/>
  <c r="H260" i="12" l="1"/>
  <c r="H259" i="12"/>
  <c r="H261" i="12"/>
  <c r="G260" i="10"/>
  <c r="G261" i="10"/>
  <c r="F259" i="10"/>
  <c r="H259" i="10" s="1"/>
  <c r="I259" i="10" s="1"/>
  <c r="F259" i="11"/>
  <c r="G1841" i="7"/>
  <c r="G1837" i="7"/>
  <c r="G1838" i="7"/>
  <c r="G1839" i="7"/>
  <c r="E230" i="1"/>
  <c r="G1840" i="7"/>
  <c r="G1836" i="7"/>
  <c r="H231" i="1"/>
  <c r="J231" i="1"/>
  <c r="G1835" i="7"/>
  <c r="G1834" i="7"/>
  <c r="J1843" i="7"/>
  <c r="L1843" i="7"/>
  <c r="J1848" i="7"/>
  <c r="L1848" i="7"/>
  <c r="J1849" i="7"/>
  <c r="L1849" i="7"/>
  <c r="L1844" i="7"/>
  <c r="J1844" i="7"/>
  <c r="L1842" i="7"/>
  <c r="J1842" i="7"/>
  <c r="L1847" i="7"/>
  <c r="J1847" i="7"/>
  <c r="J1846" i="7"/>
  <c r="L1846" i="7"/>
  <c r="J1845" i="7"/>
  <c r="L1845" i="7"/>
  <c r="G259" i="10" l="1"/>
  <c r="J1836" i="7"/>
  <c r="L1836" i="7"/>
  <c r="E229" i="1"/>
  <c r="G1833" i="7"/>
  <c r="G1832" i="7"/>
  <c r="G1829" i="7"/>
  <c r="G1830" i="7"/>
  <c r="G1831" i="7"/>
  <c r="H230" i="1"/>
  <c r="J230" i="1"/>
  <c r="G1827" i="7"/>
  <c r="G1828" i="7"/>
  <c r="G1826" i="7"/>
  <c r="L1835" i="7"/>
  <c r="J1835" i="7"/>
  <c r="J1840" i="7"/>
  <c r="L1840" i="7"/>
  <c r="L1839" i="7"/>
  <c r="J1839" i="7"/>
  <c r="L1834" i="7"/>
  <c r="J1834" i="7"/>
  <c r="J1838" i="7"/>
  <c r="L1838" i="7"/>
  <c r="L1837" i="7"/>
  <c r="J1837" i="7"/>
  <c r="L1841" i="7"/>
  <c r="J1841" i="7"/>
  <c r="F256" i="8" l="1"/>
  <c r="H256" i="8" s="1"/>
  <c r="F257" i="8"/>
  <c r="H257" i="8" s="1"/>
  <c r="F258" i="8"/>
  <c r="H258" i="8" s="1"/>
  <c r="A257" i="9"/>
  <c r="A256" i="9"/>
  <c r="A258" i="9"/>
  <c r="J1831" i="7"/>
  <c r="L1831" i="7"/>
  <c r="J1832" i="7"/>
  <c r="L1832" i="7"/>
  <c r="J1829" i="7"/>
  <c r="L1829" i="7"/>
  <c r="J1828" i="7"/>
  <c r="L1828" i="7"/>
  <c r="L1833" i="7"/>
  <c r="J1833" i="7"/>
  <c r="L1826" i="7"/>
  <c r="J1826" i="7"/>
  <c r="L1827" i="7"/>
  <c r="J1827" i="7"/>
  <c r="E228" i="1"/>
  <c r="G1825" i="7"/>
  <c r="G1824" i="7"/>
  <c r="G1822" i="7"/>
  <c r="G1823" i="7"/>
  <c r="G1821" i="7"/>
  <c r="G1820" i="7"/>
  <c r="G1819" i="7"/>
  <c r="G1818" i="7"/>
  <c r="H229" i="1"/>
  <c r="J229" i="1"/>
  <c r="J1830" i="7"/>
  <c r="L1830" i="7"/>
  <c r="F258" i="12" l="1"/>
  <c r="F256" i="12"/>
  <c r="F257" i="12"/>
  <c r="F257" i="11"/>
  <c r="F256" i="11"/>
  <c r="F258" i="11"/>
  <c r="F256" i="10"/>
  <c r="H256" i="10" s="1"/>
  <c r="I256" i="10" s="1"/>
  <c r="F257" i="10"/>
  <c r="H257" i="10" s="1"/>
  <c r="I257" i="10" s="1"/>
  <c r="F258" i="10"/>
  <c r="H258" i="10" s="1"/>
  <c r="I258" i="10" s="1"/>
  <c r="F253" i="8"/>
  <c r="H253" i="8" s="1"/>
  <c r="F254" i="8"/>
  <c r="H254" i="8" s="1"/>
  <c r="F255" i="8"/>
  <c r="H255" i="8" s="1"/>
  <c r="A255" i="9"/>
  <c r="A253" i="9"/>
  <c r="A254" i="9"/>
  <c r="L1825" i="7"/>
  <c r="J1825" i="7"/>
  <c r="J1819" i="7"/>
  <c r="L1819" i="7"/>
  <c r="J1820" i="7"/>
  <c r="L1820" i="7"/>
  <c r="J1821" i="7"/>
  <c r="L1821" i="7"/>
  <c r="L1823" i="7"/>
  <c r="J1823" i="7"/>
  <c r="J1822" i="7"/>
  <c r="L1822" i="7"/>
  <c r="L1824" i="7"/>
  <c r="J1824" i="7"/>
  <c r="L1818" i="7"/>
  <c r="J1818" i="7"/>
  <c r="E227" i="1"/>
  <c r="G1817" i="7"/>
  <c r="G1816" i="7"/>
  <c r="G1815" i="7"/>
  <c r="G1814" i="7"/>
  <c r="G1813" i="7"/>
  <c r="G1811" i="7"/>
  <c r="G1810" i="7"/>
  <c r="G1812" i="7"/>
  <c r="H228" i="1"/>
  <c r="J228" i="1"/>
  <c r="F254" i="12" l="1"/>
  <c r="F255" i="12"/>
  <c r="F253" i="12"/>
  <c r="H258" i="12"/>
  <c r="H256" i="12"/>
  <c r="H257" i="12"/>
  <c r="G258" i="10"/>
  <c r="G256" i="10"/>
  <c r="G257" i="10"/>
  <c r="F253" i="11"/>
  <c r="F255" i="11"/>
  <c r="F254" i="11"/>
  <c r="F253" i="10"/>
  <c r="H253" i="10" s="1"/>
  <c r="I253" i="10" s="1"/>
  <c r="F255" i="10"/>
  <c r="H255" i="10" s="1"/>
  <c r="I255" i="10" s="1"/>
  <c r="F254" i="10"/>
  <c r="H254" i="10" s="1"/>
  <c r="I254" i="10" s="1"/>
  <c r="J1815" i="7"/>
  <c r="L1815" i="7"/>
  <c r="L1817" i="7"/>
  <c r="J1817" i="7"/>
  <c r="G1809" i="7"/>
  <c r="E226" i="1"/>
  <c r="G1808" i="7"/>
  <c r="G1805" i="7"/>
  <c r="G1807" i="7"/>
  <c r="G1804" i="7"/>
  <c r="G1802" i="7"/>
  <c r="H227" i="1"/>
  <c r="J227" i="1"/>
  <c r="G1806" i="7"/>
  <c r="G1803" i="7"/>
  <c r="L1810" i="7"/>
  <c r="J1810" i="7"/>
  <c r="L1811" i="7"/>
  <c r="J1811" i="7"/>
  <c r="J1813" i="7"/>
  <c r="L1813" i="7"/>
  <c r="J1812" i="7"/>
  <c r="L1812" i="7"/>
  <c r="J1814" i="7"/>
  <c r="L1814" i="7"/>
  <c r="J1816" i="7"/>
  <c r="L1816" i="7"/>
  <c r="H255" i="12" l="1"/>
  <c r="H253" i="12"/>
  <c r="H254" i="12"/>
  <c r="G254" i="10"/>
  <c r="G255" i="10"/>
  <c r="G253" i="10"/>
  <c r="J1806" i="7"/>
  <c r="L1806" i="7"/>
  <c r="G1801" i="7"/>
  <c r="E225" i="1"/>
  <c r="G1798" i="7"/>
  <c r="G1800" i="7"/>
  <c r="G1799" i="7"/>
  <c r="G1797" i="7"/>
  <c r="J226" i="1"/>
  <c r="G1795" i="7"/>
  <c r="H226" i="1"/>
  <c r="G1794" i="7"/>
  <c r="G1796" i="7"/>
  <c r="J1804" i="7"/>
  <c r="L1804" i="7"/>
  <c r="J1809" i="7"/>
  <c r="L1809" i="7"/>
  <c r="L1802" i="7"/>
  <c r="J1802" i="7"/>
  <c r="J1807" i="7"/>
  <c r="L1807" i="7"/>
  <c r="L1805" i="7"/>
  <c r="J1805" i="7"/>
  <c r="J1803" i="7"/>
  <c r="L1803" i="7"/>
  <c r="J1808" i="7"/>
  <c r="L1808" i="7"/>
  <c r="F251" i="8" l="1"/>
  <c r="H251" i="8" s="1"/>
  <c r="F252" i="8"/>
  <c r="H252" i="8" s="1"/>
  <c r="A252" i="9"/>
  <c r="A251" i="9"/>
  <c r="L1799" i="7"/>
  <c r="J1799" i="7"/>
  <c r="J1798" i="7"/>
  <c r="L1798" i="7"/>
  <c r="L1794" i="7"/>
  <c r="J1794" i="7"/>
  <c r="J1800" i="7"/>
  <c r="L1800" i="7"/>
  <c r="J1801" i="7"/>
  <c r="L1801" i="7"/>
  <c r="J1795" i="7"/>
  <c r="L1795" i="7"/>
  <c r="G1793" i="7"/>
  <c r="E224" i="1"/>
  <c r="G1792" i="7"/>
  <c r="G1789" i="7"/>
  <c r="G1791" i="7"/>
  <c r="G1788" i="7"/>
  <c r="G1790" i="7"/>
  <c r="J225" i="1"/>
  <c r="G1787" i="7"/>
  <c r="G1786" i="7"/>
  <c r="H225" i="1"/>
  <c r="L1796" i="7"/>
  <c r="J1796" i="7"/>
  <c r="L1797" i="7"/>
  <c r="J1797" i="7"/>
  <c r="F251" i="12" l="1"/>
  <c r="F252" i="12"/>
  <c r="F252" i="11"/>
  <c r="F251" i="11"/>
  <c r="F251" i="10"/>
  <c r="H251" i="10" s="1"/>
  <c r="I251" i="10" s="1"/>
  <c r="F252" i="10"/>
  <c r="H252" i="10" s="1"/>
  <c r="I252" i="10" s="1"/>
  <c r="F248" i="8"/>
  <c r="H248" i="8" s="1"/>
  <c r="F249" i="8"/>
  <c r="H249" i="8" s="1"/>
  <c r="F250" i="8"/>
  <c r="H250" i="8" s="1"/>
  <c r="A249" i="9"/>
  <c r="A248" i="9"/>
  <c r="A250" i="9"/>
  <c r="E223" i="1"/>
  <c r="G1784" i="7"/>
  <c r="G1781" i="7"/>
  <c r="G1782" i="7"/>
  <c r="G1785" i="7"/>
  <c r="G1783" i="7"/>
  <c r="H224" i="1"/>
  <c r="G1778" i="7"/>
  <c r="J224" i="1"/>
  <c r="G1779" i="7"/>
  <c r="G1780" i="7"/>
  <c r="J1786" i="7"/>
  <c r="L1786" i="7"/>
  <c r="J1793" i="7"/>
  <c r="L1793" i="7"/>
  <c r="L1788" i="7"/>
  <c r="J1788" i="7"/>
  <c r="L1787" i="7"/>
  <c r="J1787" i="7"/>
  <c r="J1791" i="7"/>
  <c r="L1791" i="7"/>
  <c r="J1790" i="7"/>
  <c r="L1790" i="7"/>
  <c r="L1789" i="7"/>
  <c r="J1789" i="7"/>
  <c r="J1792" i="7"/>
  <c r="L1792" i="7"/>
  <c r="F250" i="12" l="1"/>
  <c r="F248" i="12"/>
  <c r="F249" i="12"/>
  <c r="H252" i="12"/>
  <c r="H251" i="12"/>
  <c r="G252" i="10"/>
  <c r="G251" i="10"/>
  <c r="F249" i="11"/>
  <c r="F248" i="11"/>
  <c r="F250" i="11"/>
  <c r="F249" i="10"/>
  <c r="H249" i="10" s="1"/>
  <c r="I249" i="10" s="1"/>
  <c r="F250" i="10"/>
  <c r="H250" i="10" s="1"/>
  <c r="I250" i="10" s="1"/>
  <c r="F248" i="10"/>
  <c r="H248" i="10" s="1"/>
  <c r="I248" i="10" s="1"/>
  <c r="L1778" i="7"/>
  <c r="J1778" i="7"/>
  <c r="J1783" i="7"/>
  <c r="L1783" i="7"/>
  <c r="J1785" i="7"/>
  <c r="L1785" i="7"/>
  <c r="J1782" i="7"/>
  <c r="L1782" i="7"/>
  <c r="L1781" i="7"/>
  <c r="J1781" i="7"/>
  <c r="J1780" i="7"/>
  <c r="L1780" i="7"/>
  <c r="L1779" i="7"/>
  <c r="J1779" i="7"/>
  <c r="J1784" i="7"/>
  <c r="L1784" i="7"/>
  <c r="G1777" i="7"/>
  <c r="E222" i="1"/>
  <c r="G1773" i="7"/>
  <c r="G1776" i="7"/>
  <c r="G1774" i="7"/>
  <c r="G1775" i="7"/>
  <c r="G1772" i="7"/>
  <c r="H223" i="1"/>
  <c r="J223" i="1"/>
  <c r="G1771" i="7"/>
  <c r="G1770" i="7"/>
  <c r="H250" i="12" l="1"/>
  <c r="H248" i="12"/>
  <c r="H249" i="12"/>
  <c r="G249" i="10"/>
  <c r="G248" i="10"/>
  <c r="G250" i="10"/>
  <c r="J1771" i="7"/>
  <c r="L1771" i="7"/>
  <c r="E221" i="1"/>
  <c r="G1768" i="7"/>
  <c r="G1765" i="7"/>
  <c r="G1766" i="7"/>
  <c r="G1767" i="7"/>
  <c r="G1769" i="7"/>
  <c r="H222" i="1"/>
  <c r="G1764" i="7"/>
  <c r="J222" i="1"/>
  <c r="G1763" i="7"/>
  <c r="G1762" i="7"/>
  <c r="J1777" i="7"/>
  <c r="L1777" i="7"/>
  <c r="L1772" i="7"/>
  <c r="J1772" i="7"/>
  <c r="J1775" i="7"/>
  <c r="L1775" i="7"/>
  <c r="L1774" i="7"/>
  <c r="J1774" i="7"/>
  <c r="J1776" i="7"/>
  <c r="L1776" i="7"/>
  <c r="J1770" i="7"/>
  <c r="L1770" i="7"/>
  <c r="L1773" i="7"/>
  <c r="J1773" i="7"/>
  <c r="F245" i="8" l="1"/>
  <c r="H245" i="8" s="1"/>
  <c r="F246" i="8"/>
  <c r="H246" i="8" s="1"/>
  <c r="F247" i="8"/>
  <c r="H247" i="8" s="1"/>
  <c r="A247" i="9"/>
  <c r="A245" i="9"/>
  <c r="A246" i="9"/>
  <c r="J1767" i="7"/>
  <c r="L1767" i="7"/>
  <c r="J1765" i="7"/>
  <c r="L1765" i="7"/>
  <c r="J1766" i="7"/>
  <c r="L1766" i="7"/>
  <c r="J1768" i="7"/>
  <c r="L1768" i="7"/>
  <c r="L1763" i="7"/>
  <c r="J1763" i="7"/>
  <c r="E220" i="1"/>
  <c r="G1761" i="7"/>
  <c r="G1760" i="7"/>
  <c r="G1758" i="7"/>
  <c r="G1759" i="7"/>
  <c r="G1756" i="7"/>
  <c r="G1757" i="7"/>
  <c r="G1755" i="7"/>
  <c r="G1754" i="7"/>
  <c r="H221" i="1"/>
  <c r="J221" i="1"/>
  <c r="J1764" i="7"/>
  <c r="L1764" i="7"/>
  <c r="L1762" i="7"/>
  <c r="J1762" i="7"/>
  <c r="J1769" i="7"/>
  <c r="L1769" i="7"/>
  <c r="F246" i="12" l="1"/>
  <c r="F247" i="12"/>
  <c r="F245" i="12"/>
  <c r="F245" i="11"/>
  <c r="F247" i="11"/>
  <c r="F246" i="11"/>
  <c r="F245" i="10"/>
  <c r="H245" i="10" s="1"/>
  <c r="I245" i="10" s="1"/>
  <c r="F246" i="10"/>
  <c r="H246" i="10" s="1"/>
  <c r="I246" i="10" s="1"/>
  <c r="F247" i="10"/>
  <c r="H247" i="10" s="1"/>
  <c r="I247" i="10" s="1"/>
  <c r="F243" i="8"/>
  <c r="H243" i="8" s="1"/>
  <c r="F244" i="8"/>
  <c r="H244" i="8" s="1"/>
  <c r="F241" i="8"/>
  <c r="H241" i="8" s="1"/>
  <c r="F242" i="8"/>
  <c r="H242" i="8" s="1"/>
  <c r="A241" i="9"/>
  <c r="A244" i="9"/>
  <c r="A242" i="9"/>
  <c r="A243" i="9"/>
  <c r="J1758" i="7"/>
  <c r="L1758" i="7"/>
  <c r="L1761" i="7"/>
  <c r="J1761" i="7"/>
  <c r="J1759" i="7"/>
  <c r="L1759" i="7"/>
  <c r="L1754" i="7"/>
  <c r="J1754" i="7"/>
  <c r="J1755" i="7"/>
  <c r="L1755" i="7"/>
  <c r="L1756" i="7"/>
  <c r="J1756" i="7"/>
  <c r="J1760" i="7"/>
  <c r="L1760" i="7"/>
  <c r="E219" i="1"/>
  <c r="G1753" i="7"/>
  <c r="G1752" i="7"/>
  <c r="G1751" i="7"/>
  <c r="G1750" i="7"/>
  <c r="G1749" i="7"/>
  <c r="G1747" i="7"/>
  <c r="G1746" i="7"/>
  <c r="G1748" i="7"/>
  <c r="H220" i="1"/>
  <c r="J220" i="1"/>
  <c r="J1757" i="7"/>
  <c r="L1757" i="7"/>
  <c r="F242" i="12" l="1"/>
  <c r="F243" i="12"/>
  <c r="F244" i="12"/>
  <c r="F241" i="12"/>
  <c r="H247" i="12"/>
  <c r="H245" i="12"/>
  <c r="H246" i="12"/>
  <c r="G247" i="10"/>
  <c r="G245" i="10"/>
  <c r="G246" i="10"/>
  <c r="F241" i="11"/>
  <c r="F244" i="11"/>
  <c r="F243" i="11"/>
  <c r="F242" i="11"/>
  <c r="F243" i="10"/>
  <c r="H243" i="10" s="1"/>
  <c r="I243" i="10" s="1"/>
  <c r="F244" i="10"/>
  <c r="H244" i="10" s="1"/>
  <c r="I244" i="10" s="1"/>
  <c r="F241" i="10"/>
  <c r="H241" i="10" s="1"/>
  <c r="I241" i="10" s="1"/>
  <c r="F242" i="10"/>
  <c r="H242" i="10" s="1"/>
  <c r="I242" i="10" s="1"/>
  <c r="L1751" i="7"/>
  <c r="J1751" i="7"/>
  <c r="L1748" i="7"/>
  <c r="J1748" i="7"/>
  <c r="J1752" i="7"/>
  <c r="L1752" i="7"/>
  <c r="J1746" i="7"/>
  <c r="L1746" i="7"/>
  <c r="L1747" i="7"/>
  <c r="J1747" i="7"/>
  <c r="L1753" i="7"/>
  <c r="J1753" i="7"/>
  <c r="J1749" i="7"/>
  <c r="L1749" i="7"/>
  <c r="G1745" i="7"/>
  <c r="E218" i="1"/>
  <c r="G1744" i="7"/>
  <c r="G1741" i="7"/>
  <c r="G1740" i="7"/>
  <c r="G1743" i="7"/>
  <c r="G1738" i="7"/>
  <c r="H219" i="1"/>
  <c r="J219" i="1"/>
  <c r="G1742" i="7"/>
  <c r="G1739" i="7"/>
  <c r="J1750" i="7"/>
  <c r="L1750" i="7"/>
  <c r="H244" i="12" l="1"/>
  <c r="H242" i="12"/>
  <c r="H241" i="12"/>
  <c r="H243" i="12"/>
  <c r="G242" i="10"/>
  <c r="G244" i="10"/>
  <c r="G241" i="10"/>
  <c r="G243" i="10"/>
  <c r="L1741" i="7"/>
  <c r="J1741" i="7"/>
  <c r="L1739" i="7"/>
  <c r="J1739" i="7"/>
  <c r="L1744" i="7"/>
  <c r="J1744" i="7"/>
  <c r="J1742" i="7"/>
  <c r="L1742" i="7"/>
  <c r="J1745" i="7"/>
  <c r="L1745" i="7"/>
  <c r="L1738" i="7"/>
  <c r="J1738" i="7"/>
  <c r="G1737" i="7"/>
  <c r="E217" i="1"/>
  <c r="G1736" i="7"/>
  <c r="G1734" i="7"/>
  <c r="G1735" i="7"/>
  <c r="G1733" i="7"/>
  <c r="G1732" i="7"/>
  <c r="J218" i="1"/>
  <c r="G1731" i="7"/>
  <c r="H218" i="1"/>
  <c r="G1730" i="7"/>
  <c r="J1743" i="7"/>
  <c r="L1743" i="7"/>
  <c r="J1740" i="7"/>
  <c r="L1740" i="7"/>
  <c r="J1730" i="7" l="1"/>
  <c r="L1730" i="7"/>
  <c r="J1734" i="7"/>
  <c r="L1734" i="7"/>
  <c r="J1737" i="7"/>
  <c r="L1737" i="7"/>
  <c r="J1732" i="7"/>
  <c r="L1732" i="7"/>
  <c r="G1729" i="7"/>
  <c r="E216" i="1"/>
  <c r="G1728" i="7"/>
  <c r="G1725" i="7"/>
  <c r="G1727" i="7"/>
  <c r="G1726" i="7"/>
  <c r="G1724" i="7"/>
  <c r="J217" i="1"/>
  <c r="G1723" i="7"/>
  <c r="G1722" i="7"/>
  <c r="H217" i="1"/>
  <c r="J1731" i="7"/>
  <c r="L1731" i="7"/>
  <c r="J1733" i="7"/>
  <c r="L1733" i="7"/>
  <c r="J1736" i="7"/>
  <c r="L1736" i="7"/>
  <c r="J1735" i="7"/>
  <c r="L1735" i="7"/>
  <c r="L1727" i="7" l="1"/>
  <c r="J1727" i="7"/>
  <c r="J1726" i="7"/>
  <c r="L1726" i="7"/>
  <c r="J1725" i="7"/>
  <c r="L1725" i="7"/>
  <c r="J1728" i="7"/>
  <c r="L1728" i="7"/>
  <c r="L1722" i="7"/>
  <c r="J1722" i="7"/>
  <c r="E215" i="1"/>
  <c r="G1721" i="7"/>
  <c r="G1720" i="7"/>
  <c r="G1717" i="7"/>
  <c r="G1718" i="7"/>
  <c r="G1719" i="7"/>
  <c r="G1716" i="7"/>
  <c r="H216" i="1"/>
  <c r="G1714" i="7"/>
  <c r="J216" i="1"/>
  <c r="G1715" i="7"/>
  <c r="L1724" i="7"/>
  <c r="J1724" i="7"/>
  <c r="L1723" i="7"/>
  <c r="J1723" i="7"/>
  <c r="L1729" i="7"/>
  <c r="J1729" i="7"/>
  <c r="J1719" i="7" l="1"/>
  <c r="L1719" i="7"/>
  <c r="L1715" i="7"/>
  <c r="J1715" i="7"/>
  <c r="L1714" i="7"/>
  <c r="J1714" i="7"/>
  <c r="J1718" i="7"/>
  <c r="L1718" i="7"/>
  <c r="J1721" i="7"/>
  <c r="L1721" i="7"/>
  <c r="J1717" i="7"/>
  <c r="L1717" i="7"/>
  <c r="J1720" i="7"/>
  <c r="L1720" i="7"/>
  <c r="G1713" i="7"/>
  <c r="E214" i="1"/>
  <c r="G1709" i="7"/>
  <c r="G1710" i="7"/>
  <c r="G1711" i="7"/>
  <c r="G1712" i="7"/>
  <c r="G1708" i="7"/>
  <c r="H215" i="1"/>
  <c r="J215" i="1"/>
  <c r="G1706" i="7"/>
  <c r="G1707" i="7"/>
  <c r="J1716" i="7"/>
  <c r="L1716" i="7"/>
  <c r="E213" i="1" l="1"/>
  <c r="G1704" i="7"/>
  <c r="G1701" i="7"/>
  <c r="G1702" i="7"/>
  <c r="G1703" i="7"/>
  <c r="G1705" i="7"/>
  <c r="H214" i="1"/>
  <c r="J214" i="1"/>
  <c r="G1699" i="7"/>
  <c r="G1700" i="7"/>
  <c r="G1698" i="7"/>
  <c r="L1706" i="7"/>
  <c r="J1706" i="7"/>
  <c r="L1708" i="7"/>
  <c r="J1708" i="7"/>
  <c r="L1711" i="7"/>
  <c r="J1711" i="7"/>
  <c r="J1712" i="7"/>
  <c r="L1712" i="7"/>
  <c r="J1710" i="7"/>
  <c r="L1710" i="7"/>
  <c r="J1713" i="7"/>
  <c r="L1713" i="7"/>
  <c r="J1707" i="7"/>
  <c r="L1707" i="7"/>
  <c r="J1709" i="7"/>
  <c r="L1709" i="7"/>
  <c r="F240" i="8" l="1"/>
  <c r="H240" i="8" s="1"/>
  <c r="A240" i="9"/>
  <c r="J1702" i="7"/>
  <c r="L1702" i="7"/>
  <c r="J1703" i="7"/>
  <c r="L1703" i="7"/>
  <c r="J1701" i="7"/>
  <c r="L1701" i="7"/>
  <c r="J1700" i="7"/>
  <c r="L1700" i="7"/>
  <c r="J1704" i="7"/>
  <c r="L1704" i="7"/>
  <c r="J1705" i="7"/>
  <c r="L1705" i="7"/>
  <c r="L1698" i="7"/>
  <c r="J1698" i="7"/>
  <c r="J1699" i="7"/>
  <c r="L1699" i="7"/>
  <c r="E212" i="1"/>
  <c r="G1697" i="7"/>
  <c r="G1696" i="7"/>
  <c r="G1694" i="7"/>
  <c r="G1695" i="7"/>
  <c r="G1693" i="7"/>
  <c r="G1692" i="7"/>
  <c r="G1691" i="7"/>
  <c r="G1690" i="7"/>
  <c r="H213" i="1"/>
  <c r="J213" i="1"/>
  <c r="F240" i="12" s="1"/>
  <c r="H240" i="12" l="1"/>
  <c r="F240" i="10"/>
  <c r="H240" i="10" s="1"/>
  <c r="I240" i="10" s="1"/>
  <c r="F240" i="11"/>
  <c r="F239" i="8"/>
  <c r="H239" i="8" s="1"/>
  <c r="A239" i="9"/>
  <c r="L1692" i="7"/>
  <c r="J1692" i="7"/>
  <c r="L1694" i="7"/>
  <c r="J1694" i="7"/>
  <c r="J1695" i="7"/>
  <c r="L1695" i="7"/>
  <c r="J1697" i="7"/>
  <c r="L1697" i="7"/>
  <c r="J1693" i="7"/>
  <c r="L1693" i="7"/>
  <c r="E211" i="1"/>
  <c r="G1689" i="7"/>
  <c r="G1688" i="7"/>
  <c r="G1687" i="7"/>
  <c r="G1686" i="7"/>
  <c r="G1685" i="7"/>
  <c r="G1683" i="7"/>
  <c r="G1682" i="7"/>
  <c r="G1684" i="7"/>
  <c r="H212" i="1"/>
  <c r="J212" i="1"/>
  <c r="F239" i="12" s="1"/>
  <c r="J1696" i="7"/>
  <c r="L1696" i="7"/>
  <c r="L1690" i="7"/>
  <c r="J1690" i="7"/>
  <c r="L1691" i="7"/>
  <c r="J1691" i="7"/>
  <c r="H239" i="12" l="1"/>
  <c r="G240" i="10"/>
  <c r="F239" i="10"/>
  <c r="H239" i="10" s="1"/>
  <c r="I239" i="10" s="1"/>
  <c r="F239" i="11"/>
  <c r="F237" i="8"/>
  <c r="H237" i="8" s="1"/>
  <c r="F238" i="8"/>
  <c r="H238" i="8" s="1"/>
  <c r="A237" i="9"/>
  <c r="A238" i="9"/>
  <c r="L1688" i="7"/>
  <c r="J1688" i="7"/>
  <c r="L1683" i="7"/>
  <c r="J1683" i="7"/>
  <c r="J1687" i="7"/>
  <c r="L1687" i="7"/>
  <c r="G1681" i="7"/>
  <c r="E210" i="1"/>
  <c r="G1680" i="7"/>
  <c r="G1677" i="7"/>
  <c r="G1678" i="7"/>
  <c r="G1676" i="7"/>
  <c r="G1679" i="7"/>
  <c r="G1674" i="7"/>
  <c r="H211" i="1"/>
  <c r="J211" i="1"/>
  <c r="G1675" i="7"/>
  <c r="J1685" i="7"/>
  <c r="L1685" i="7"/>
  <c r="L1689" i="7"/>
  <c r="J1689" i="7"/>
  <c r="J1684" i="7"/>
  <c r="L1684" i="7"/>
  <c r="L1682" i="7"/>
  <c r="J1682" i="7"/>
  <c r="J1686" i="7"/>
  <c r="L1686" i="7"/>
  <c r="F238" i="12" l="1"/>
  <c r="F237" i="12"/>
  <c r="G239" i="10"/>
  <c r="F237" i="11"/>
  <c r="F238" i="11"/>
  <c r="F237" i="10"/>
  <c r="H237" i="10" s="1"/>
  <c r="I237" i="10" s="1"/>
  <c r="F238" i="10"/>
  <c r="H238" i="10" s="1"/>
  <c r="I238" i="10" s="1"/>
  <c r="F235" i="8"/>
  <c r="H235" i="8" s="1"/>
  <c r="F236" i="8"/>
  <c r="H236" i="8" s="1"/>
  <c r="A236" i="9"/>
  <c r="A235" i="9"/>
  <c r="J1681" i="7"/>
  <c r="L1681" i="7"/>
  <c r="L1674" i="7"/>
  <c r="J1674" i="7"/>
  <c r="J1678" i="7"/>
  <c r="L1678" i="7"/>
  <c r="L1679" i="7"/>
  <c r="J1679" i="7"/>
  <c r="J1676" i="7"/>
  <c r="L1676" i="7"/>
  <c r="J1677" i="7"/>
  <c r="L1677" i="7"/>
  <c r="J1680" i="7"/>
  <c r="L1680" i="7"/>
  <c r="J1675" i="7"/>
  <c r="L1675" i="7"/>
  <c r="G1673" i="7"/>
  <c r="E209" i="1"/>
  <c r="G1670" i="7"/>
  <c r="G1671" i="7"/>
  <c r="G1669" i="7"/>
  <c r="G1672" i="7"/>
  <c r="G1667" i="7"/>
  <c r="H210" i="1"/>
  <c r="G1668" i="7"/>
  <c r="G1666" i="7"/>
  <c r="J210" i="1"/>
  <c r="F235" i="12" l="1"/>
  <c r="F236" i="12"/>
  <c r="H237" i="12"/>
  <c r="H238" i="12"/>
  <c r="G238" i="10"/>
  <c r="G237" i="10"/>
  <c r="F236" i="11"/>
  <c r="F235" i="11"/>
  <c r="F235" i="10"/>
  <c r="H235" i="10" s="1"/>
  <c r="I235" i="10" s="1"/>
  <c r="F236" i="10"/>
  <c r="H236" i="10" s="1"/>
  <c r="I236" i="10" s="1"/>
  <c r="L1672" i="7"/>
  <c r="J1672" i="7"/>
  <c r="J1669" i="7"/>
  <c r="L1669" i="7"/>
  <c r="J1671" i="7"/>
  <c r="L1671" i="7"/>
  <c r="J1673" i="7"/>
  <c r="L1673" i="7"/>
  <c r="L1670" i="7"/>
  <c r="J1670" i="7"/>
  <c r="G1665" i="7"/>
  <c r="E208" i="1"/>
  <c r="G1661" i="7"/>
  <c r="G1664" i="7"/>
  <c r="G1663" i="7"/>
  <c r="G1662" i="7"/>
  <c r="G1660" i="7"/>
  <c r="G1659" i="7"/>
  <c r="G1658" i="7"/>
  <c r="H209" i="1"/>
  <c r="J209" i="1"/>
  <c r="L1666" i="7"/>
  <c r="J1666" i="7"/>
  <c r="L1668" i="7"/>
  <c r="J1668" i="7"/>
  <c r="J1667" i="7"/>
  <c r="L1667" i="7"/>
  <c r="H236" i="12" l="1"/>
  <c r="H235" i="12"/>
  <c r="G236" i="10"/>
  <c r="G235" i="10"/>
  <c r="L1663" i="7"/>
  <c r="J1663" i="7"/>
  <c r="J1661" i="7"/>
  <c r="L1661" i="7"/>
  <c r="J1664" i="7"/>
  <c r="L1664" i="7"/>
  <c r="E207" i="1"/>
  <c r="G1657" i="7"/>
  <c r="G1656" i="7"/>
  <c r="G1653" i="7"/>
  <c r="G1654" i="7"/>
  <c r="G1655" i="7"/>
  <c r="H208" i="1"/>
  <c r="G1650" i="7"/>
  <c r="G1652" i="7"/>
  <c r="G1651" i="7"/>
  <c r="J208" i="1"/>
  <c r="L1658" i="7"/>
  <c r="J1658" i="7"/>
  <c r="L1665" i="7"/>
  <c r="J1665" i="7"/>
  <c r="L1659" i="7"/>
  <c r="J1659" i="7"/>
  <c r="L1660" i="7"/>
  <c r="J1660" i="7"/>
  <c r="J1662" i="7"/>
  <c r="L1662" i="7"/>
  <c r="F234" i="8" l="1"/>
  <c r="H234" i="8" s="1"/>
  <c r="A234" i="9"/>
  <c r="L1650" i="7"/>
  <c r="J1650" i="7"/>
  <c r="J1654" i="7"/>
  <c r="L1654" i="7"/>
  <c r="J1655" i="7"/>
  <c r="L1655" i="7"/>
  <c r="J1653" i="7"/>
  <c r="L1653" i="7"/>
  <c r="J1656" i="7"/>
  <c r="L1656" i="7"/>
  <c r="L1651" i="7"/>
  <c r="J1651" i="7"/>
  <c r="J1657" i="7"/>
  <c r="L1657" i="7"/>
  <c r="L1652" i="7"/>
  <c r="J1652" i="7"/>
  <c r="G1649" i="7"/>
  <c r="E206" i="1"/>
  <c r="G1645" i="7"/>
  <c r="G1646" i="7"/>
  <c r="G1647" i="7"/>
  <c r="G1644" i="7"/>
  <c r="G1648" i="7"/>
  <c r="J207" i="1"/>
  <c r="F234" i="12" s="1"/>
  <c r="G1643" i="7"/>
  <c r="G1642" i="7"/>
  <c r="H207" i="1"/>
  <c r="H234" i="12" l="1"/>
  <c r="F234" i="10"/>
  <c r="H234" i="10" s="1"/>
  <c r="I234" i="10" s="1"/>
  <c r="F234" i="11"/>
  <c r="J1645" i="7"/>
  <c r="L1645" i="7"/>
  <c r="J1649" i="7"/>
  <c r="L1649" i="7"/>
  <c r="E205" i="1"/>
  <c r="G1641" i="7"/>
  <c r="G1640" i="7"/>
  <c r="G1637" i="7"/>
  <c r="G1638" i="7"/>
  <c r="G1639" i="7"/>
  <c r="G1636" i="7"/>
  <c r="J206" i="1"/>
  <c r="G1635" i="7"/>
  <c r="H206" i="1"/>
  <c r="G1634" i="7"/>
  <c r="J1646" i="7"/>
  <c r="L1646" i="7"/>
  <c r="L1642" i="7"/>
  <c r="J1642" i="7"/>
  <c r="J1648" i="7"/>
  <c r="L1648" i="7"/>
  <c r="J1643" i="7"/>
  <c r="L1643" i="7"/>
  <c r="J1644" i="7"/>
  <c r="L1644" i="7"/>
  <c r="J1647" i="7"/>
  <c r="L1647" i="7"/>
  <c r="G234" i="10" l="1"/>
  <c r="L1634" i="7"/>
  <c r="J1634" i="7"/>
  <c r="L1640" i="7"/>
  <c r="J1640" i="7"/>
  <c r="J1641" i="7"/>
  <c r="L1641" i="7"/>
  <c r="J1635" i="7"/>
  <c r="L1635" i="7"/>
  <c r="J1638" i="7"/>
  <c r="L1638" i="7"/>
  <c r="E204" i="1"/>
  <c r="G1633" i="7"/>
  <c r="G1632" i="7"/>
  <c r="G1630" i="7"/>
  <c r="G1631" i="7"/>
  <c r="G1629" i="7"/>
  <c r="G1628" i="7"/>
  <c r="G1627" i="7"/>
  <c r="G1626" i="7"/>
  <c r="H205" i="1"/>
  <c r="J205" i="1"/>
  <c r="J1636" i="7"/>
  <c r="L1636" i="7"/>
  <c r="J1639" i="7"/>
  <c r="L1639" i="7"/>
  <c r="J1637" i="7"/>
  <c r="L1637" i="7"/>
  <c r="J1629" i="7" l="1"/>
  <c r="L1629" i="7"/>
  <c r="J1631" i="7"/>
  <c r="L1631" i="7"/>
  <c r="L1633" i="7"/>
  <c r="J1633" i="7"/>
  <c r="E203" i="1"/>
  <c r="G1625" i="7"/>
  <c r="G1624" i="7"/>
  <c r="G1623" i="7"/>
  <c r="G1619" i="7"/>
  <c r="G1621" i="7"/>
  <c r="G1618" i="7"/>
  <c r="G1622" i="7"/>
  <c r="G1620" i="7"/>
  <c r="H204" i="1"/>
  <c r="J204" i="1"/>
  <c r="J1630" i="7"/>
  <c r="L1630" i="7"/>
  <c r="J1627" i="7"/>
  <c r="L1627" i="7"/>
  <c r="J1632" i="7"/>
  <c r="L1632" i="7"/>
  <c r="J1626" i="7"/>
  <c r="L1626" i="7"/>
  <c r="L1628" i="7"/>
  <c r="J1628" i="7"/>
  <c r="F233" i="8" l="1"/>
  <c r="H233" i="8" s="1"/>
  <c r="A233" i="9"/>
  <c r="J1622" i="7"/>
  <c r="L1622" i="7"/>
  <c r="J1621" i="7"/>
  <c r="L1621" i="7"/>
  <c r="L1619" i="7"/>
  <c r="J1619" i="7"/>
  <c r="J1623" i="7"/>
  <c r="L1623" i="7"/>
  <c r="L1618" i="7"/>
  <c r="J1618" i="7"/>
  <c r="L1624" i="7"/>
  <c r="J1624" i="7"/>
  <c r="L1625" i="7"/>
  <c r="J1625" i="7"/>
  <c r="J1620" i="7"/>
  <c r="L1620" i="7"/>
  <c r="G1617" i="7"/>
  <c r="E202" i="1"/>
  <c r="G1616" i="7"/>
  <c r="G1613" i="7"/>
  <c r="G1612" i="7"/>
  <c r="G1614" i="7"/>
  <c r="G1610" i="7"/>
  <c r="G1615" i="7"/>
  <c r="H203" i="1"/>
  <c r="J203" i="1"/>
  <c r="F233" i="12" s="1"/>
  <c r="G1611" i="7"/>
  <c r="H233" i="12" l="1"/>
  <c r="F233" i="10"/>
  <c r="H233" i="10" s="1"/>
  <c r="I233" i="10" s="1"/>
  <c r="F233" i="11"/>
  <c r="J1616" i="7"/>
  <c r="L1616" i="7"/>
  <c r="J1615" i="7"/>
  <c r="L1615" i="7"/>
  <c r="J1614" i="7"/>
  <c r="L1614" i="7"/>
  <c r="J1611" i="7"/>
  <c r="L1611" i="7"/>
  <c r="G1609" i="7"/>
  <c r="E201" i="1"/>
  <c r="G1608" i="7"/>
  <c r="G1606" i="7"/>
  <c r="G1607" i="7"/>
  <c r="G1605" i="7"/>
  <c r="G1604" i="7"/>
  <c r="G1603" i="7"/>
  <c r="H202" i="1"/>
  <c r="J202" i="1"/>
  <c r="G1602" i="7"/>
  <c r="J1617" i="7"/>
  <c r="L1617" i="7"/>
  <c r="L1610" i="7"/>
  <c r="J1610" i="7"/>
  <c r="J1612" i="7"/>
  <c r="L1612" i="7"/>
  <c r="J1613" i="7"/>
  <c r="L1613" i="7"/>
  <c r="G233" i="10" l="1"/>
  <c r="F232" i="8"/>
  <c r="H232" i="8" s="1"/>
  <c r="A232" i="9"/>
  <c r="L1604" i="7"/>
  <c r="J1604" i="7"/>
  <c r="J1603" i="7"/>
  <c r="L1603" i="7"/>
  <c r="J1606" i="7"/>
  <c r="L1606" i="7"/>
  <c r="J1608" i="7"/>
  <c r="L1608" i="7"/>
  <c r="L1602" i="7"/>
  <c r="J1602" i="7"/>
  <c r="G1601" i="7"/>
  <c r="E200" i="1"/>
  <c r="G1600" i="7"/>
  <c r="G1597" i="7"/>
  <c r="G1599" i="7"/>
  <c r="G1598" i="7"/>
  <c r="G1596" i="7"/>
  <c r="G1595" i="7"/>
  <c r="G1594" i="7"/>
  <c r="H201" i="1"/>
  <c r="J201" i="1"/>
  <c r="F232" i="12" s="1"/>
  <c r="J1605" i="7"/>
  <c r="L1605" i="7"/>
  <c r="L1607" i="7"/>
  <c r="J1607" i="7"/>
  <c r="J1609" i="7"/>
  <c r="L1609" i="7"/>
  <c r="H232" i="12" l="1"/>
  <c r="F232" i="10"/>
  <c r="H232" i="10" s="1"/>
  <c r="I232" i="10" s="1"/>
  <c r="F232" i="11"/>
  <c r="F231" i="8"/>
  <c r="H231" i="8" s="1"/>
  <c r="A231" i="9"/>
  <c r="J1598" i="7"/>
  <c r="L1598" i="7"/>
  <c r="J1597" i="7"/>
  <c r="L1597" i="7"/>
  <c r="J1600" i="7"/>
  <c r="L1600" i="7"/>
  <c r="L1601" i="7"/>
  <c r="J1601" i="7"/>
  <c r="L1595" i="7"/>
  <c r="J1595" i="7"/>
  <c r="J1599" i="7"/>
  <c r="L1599" i="7"/>
  <c r="E199" i="1"/>
  <c r="G1593" i="7"/>
  <c r="G1592" i="7"/>
  <c r="G1589" i="7"/>
  <c r="G1590" i="7"/>
  <c r="G1588" i="7"/>
  <c r="G1591" i="7"/>
  <c r="H200" i="1"/>
  <c r="G1586" i="7"/>
  <c r="G1587" i="7"/>
  <c r="J200" i="1"/>
  <c r="F231" i="12" s="1"/>
  <c r="J1594" i="7"/>
  <c r="L1594" i="7"/>
  <c r="J1596" i="7"/>
  <c r="L1596" i="7"/>
  <c r="H231" i="12" l="1"/>
  <c r="G232" i="10"/>
  <c r="F231" i="10"/>
  <c r="H231" i="10" s="1"/>
  <c r="I231" i="10" s="1"/>
  <c r="F231" i="11"/>
  <c r="F230" i="8"/>
  <c r="H230" i="8" s="1"/>
  <c r="A230" i="9"/>
  <c r="J1591" i="7"/>
  <c r="L1591" i="7"/>
  <c r="L1588" i="7"/>
  <c r="J1588" i="7"/>
  <c r="J1592" i="7"/>
  <c r="L1592" i="7"/>
  <c r="J1593" i="7"/>
  <c r="L1593" i="7"/>
  <c r="L1590" i="7"/>
  <c r="J1590" i="7"/>
  <c r="J1589" i="7"/>
  <c r="L1589" i="7"/>
  <c r="L1587" i="7"/>
  <c r="J1587" i="7"/>
  <c r="L1586" i="7"/>
  <c r="J1586" i="7"/>
  <c r="G1585" i="7"/>
  <c r="E198" i="1"/>
  <c r="G1584" i="7"/>
  <c r="G1581" i="7"/>
  <c r="G1582" i="7"/>
  <c r="G1583" i="7"/>
  <c r="G1580" i="7"/>
  <c r="H199" i="1"/>
  <c r="G1578" i="7"/>
  <c r="J199" i="1"/>
  <c r="F230" i="12" s="1"/>
  <c r="G1579" i="7"/>
  <c r="H230" i="12" l="1"/>
  <c r="G231" i="10"/>
  <c r="F230" i="10"/>
  <c r="H230" i="10" s="1"/>
  <c r="I230" i="10" s="1"/>
  <c r="F230" i="11"/>
  <c r="F227" i="8"/>
  <c r="H227" i="8" s="1"/>
  <c r="F228" i="8"/>
  <c r="H228" i="8" s="1"/>
  <c r="F229" i="8"/>
  <c r="H229" i="8" s="1"/>
  <c r="F226" i="8"/>
  <c r="H226" i="8" s="1"/>
  <c r="A229" i="9"/>
  <c r="A228" i="9"/>
  <c r="A226" i="9"/>
  <c r="A227" i="9"/>
  <c r="L1579" i="7"/>
  <c r="J1579" i="7"/>
  <c r="J1584" i="7"/>
  <c r="L1584" i="7"/>
  <c r="L1578" i="7"/>
  <c r="J1578" i="7"/>
  <c r="L1583" i="7"/>
  <c r="J1583" i="7"/>
  <c r="J1582" i="7"/>
  <c r="L1582" i="7"/>
  <c r="E197" i="1"/>
  <c r="G1577" i="7"/>
  <c r="G1576" i="7"/>
  <c r="G1573" i="7"/>
  <c r="G1574" i="7"/>
  <c r="G1575" i="7"/>
  <c r="J198" i="1"/>
  <c r="G1571" i="7"/>
  <c r="G1572" i="7"/>
  <c r="G1570" i="7"/>
  <c r="H198" i="1"/>
  <c r="J1585" i="7"/>
  <c r="L1585" i="7"/>
  <c r="L1580" i="7"/>
  <c r="J1580" i="7"/>
  <c r="J1581" i="7"/>
  <c r="L1581" i="7"/>
  <c r="F226" i="12" l="1"/>
  <c r="F227" i="12"/>
  <c r="F228" i="12"/>
  <c r="F229" i="12"/>
  <c r="G230" i="10"/>
  <c r="F229" i="11"/>
  <c r="F228" i="11"/>
  <c r="F227" i="11"/>
  <c r="F226" i="11"/>
  <c r="F227" i="10"/>
  <c r="H227" i="10" s="1"/>
  <c r="I227" i="10" s="1"/>
  <c r="F228" i="10"/>
  <c r="H228" i="10" s="1"/>
  <c r="I228" i="10" s="1"/>
  <c r="F229" i="10"/>
  <c r="H229" i="10" s="1"/>
  <c r="I229" i="10" s="1"/>
  <c r="F226" i="10"/>
  <c r="H226" i="10" s="1"/>
  <c r="I226" i="10" s="1"/>
  <c r="F225" i="8"/>
  <c r="H225" i="8" s="1"/>
  <c r="A225" i="9"/>
  <c r="J1574" i="7"/>
  <c r="L1574" i="7"/>
  <c r="J1573" i="7"/>
  <c r="L1573" i="7"/>
  <c r="J1572" i="7"/>
  <c r="L1572" i="7"/>
  <c r="L1570" i="7"/>
  <c r="J1570" i="7"/>
  <c r="J1577" i="7"/>
  <c r="L1577" i="7"/>
  <c r="E196" i="1"/>
  <c r="G1569" i="7"/>
  <c r="G1568" i="7"/>
  <c r="G1566" i="7"/>
  <c r="G1567" i="7"/>
  <c r="G1563" i="7"/>
  <c r="G1565" i="7"/>
  <c r="G1564" i="7"/>
  <c r="G1562" i="7"/>
  <c r="H197" i="1"/>
  <c r="J197" i="1"/>
  <c r="F225" i="12" s="1"/>
  <c r="J1576" i="7"/>
  <c r="L1576" i="7"/>
  <c r="J1571" i="7"/>
  <c r="L1571" i="7"/>
  <c r="J1575" i="7"/>
  <c r="L1575" i="7"/>
  <c r="H229" i="12" l="1"/>
  <c r="H226" i="12"/>
  <c r="H228" i="12"/>
  <c r="H225" i="12"/>
  <c r="H227" i="12"/>
  <c r="G228" i="10"/>
  <c r="G227" i="10"/>
  <c r="G226" i="10"/>
  <c r="G229" i="10"/>
  <c r="F225" i="10"/>
  <c r="H225" i="10" s="1"/>
  <c r="I225" i="10" s="1"/>
  <c r="F225" i="11"/>
  <c r="F224" i="8"/>
  <c r="H224" i="8" s="1"/>
  <c r="A224" i="9"/>
  <c r="J1566" i="7"/>
  <c r="L1566" i="7"/>
  <c r="L1569" i="7"/>
  <c r="J1569" i="7"/>
  <c r="E195" i="1"/>
  <c r="G1561" i="7"/>
  <c r="G1560" i="7"/>
  <c r="G1559" i="7"/>
  <c r="G1556" i="7"/>
  <c r="G1557" i="7"/>
  <c r="G1555" i="7"/>
  <c r="G1554" i="7"/>
  <c r="G1558" i="7"/>
  <c r="H196" i="1"/>
  <c r="J196" i="1"/>
  <c r="F224" i="12" s="1"/>
  <c r="L1564" i="7"/>
  <c r="J1564" i="7"/>
  <c r="J1568" i="7"/>
  <c r="L1568" i="7"/>
  <c r="L1562" i="7"/>
  <c r="J1562" i="7"/>
  <c r="J1565" i="7"/>
  <c r="L1565" i="7"/>
  <c r="J1563" i="7"/>
  <c r="L1563" i="7"/>
  <c r="L1567" i="7"/>
  <c r="J1567" i="7"/>
  <c r="H224" i="12" l="1"/>
  <c r="G225" i="10"/>
  <c r="F224" i="10"/>
  <c r="H224" i="10" s="1"/>
  <c r="I224" i="10" s="1"/>
  <c r="F224" i="11"/>
  <c r="L1561" i="7"/>
  <c r="J1561" i="7"/>
  <c r="J1558" i="7"/>
  <c r="L1558" i="7"/>
  <c r="L1554" i="7"/>
  <c r="J1554" i="7"/>
  <c r="L1555" i="7"/>
  <c r="J1555" i="7"/>
  <c r="J1556" i="7"/>
  <c r="L1556" i="7"/>
  <c r="J1557" i="7"/>
  <c r="L1557" i="7"/>
  <c r="J1559" i="7"/>
  <c r="L1559" i="7"/>
  <c r="G1553" i="7"/>
  <c r="E194" i="1"/>
  <c r="G1552" i="7"/>
  <c r="G1549" i="7"/>
  <c r="G1548" i="7"/>
  <c r="G1550" i="7"/>
  <c r="G1551" i="7"/>
  <c r="G1547" i="7"/>
  <c r="G1546" i="7"/>
  <c r="H195" i="1"/>
  <c r="J195" i="1"/>
  <c r="J1560" i="7"/>
  <c r="L1560" i="7"/>
  <c r="G224" i="10" l="1"/>
  <c r="G1545" i="7"/>
  <c r="E193" i="1"/>
  <c r="G1544" i="7"/>
  <c r="G1542" i="7"/>
  <c r="G1543" i="7"/>
  <c r="G1541" i="7"/>
  <c r="G1540" i="7"/>
  <c r="G1538" i="7"/>
  <c r="H194" i="1"/>
  <c r="J194" i="1"/>
  <c r="G1539" i="7"/>
  <c r="J1553" i="7"/>
  <c r="L1553" i="7"/>
  <c r="L1549" i="7"/>
  <c r="J1549" i="7"/>
  <c r="J1552" i="7"/>
  <c r="L1552" i="7"/>
  <c r="L1546" i="7"/>
  <c r="J1546" i="7"/>
  <c r="J1547" i="7"/>
  <c r="L1547" i="7"/>
  <c r="J1551" i="7"/>
  <c r="L1551" i="7"/>
  <c r="L1550" i="7"/>
  <c r="J1550" i="7"/>
  <c r="J1548" i="7"/>
  <c r="L1548" i="7"/>
  <c r="F223" i="8" l="1"/>
  <c r="H223" i="8" s="1"/>
  <c r="A223" i="9"/>
  <c r="L1538" i="7"/>
  <c r="J1538" i="7"/>
  <c r="L1543" i="7"/>
  <c r="J1543" i="7"/>
  <c r="J1541" i="7"/>
  <c r="L1541" i="7"/>
  <c r="J1540" i="7"/>
  <c r="L1540" i="7"/>
  <c r="J1544" i="7"/>
  <c r="L1544" i="7"/>
  <c r="L1539" i="7"/>
  <c r="J1539" i="7"/>
  <c r="G1537" i="7"/>
  <c r="E192" i="1"/>
  <c r="G1533" i="7"/>
  <c r="G1535" i="7"/>
  <c r="G1534" i="7"/>
  <c r="G1536" i="7"/>
  <c r="G1532" i="7"/>
  <c r="G1531" i="7"/>
  <c r="G1530" i="7"/>
  <c r="H193" i="1"/>
  <c r="J193" i="1"/>
  <c r="F223" i="12" s="1"/>
  <c r="J1542" i="7"/>
  <c r="L1542" i="7"/>
  <c r="J1545" i="7"/>
  <c r="L1545" i="7"/>
  <c r="H223" i="12" l="1"/>
  <c r="F223" i="10"/>
  <c r="H223" i="10" s="1"/>
  <c r="I223" i="10" s="1"/>
  <c r="F223" i="11"/>
  <c r="F222" i="8"/>
  <c r="H222" i="8" s="1"/>
  <c r="A222" i="9"/>
  <c r="E191" i="1"/>
  <c r="G1528" i="7"/>
  <c r="G1525" i="7"/>
  <c r="G1526" i="7"/>
  <c r="G1527" i="7"/>
  <c r="G1524" i="7"/>
  <c r="G1522" i="7"/>
  <c r="G1529" i="7"/>
  <c r="G1523" i="7"/>
  <c r="H192" i="1"/>
  <c r="J192" i="1"/>
  <c r="F222" i="12" s="1"/>
  <c r="J1533" i="7"/>
  <c r="L1533" i="7"/>
  <c r="L1530" i="7"/>
  <c r="J1530" i="7"/>
  <c r="J1536" i="7"/>
  <c r="L1536" i="7"/>
  <c r="J1537" i="7"/>
  <c r="L1537" i="7"/>
  <c r="L1534" i="7"/>
  <c r="J1534" i="7"/>
  <c r="J1531" i="7"/>
  <c r="L1531" i="7"/>
  <c r="J1532" i="7"/>
  <c r="L1532" i="7"/>
  <c r="L1535" i="7"/>
  <c r="J1535" i="7"/>
  <c r="H222" i="12" l="1"/>
  <c r="G223" i="10"/>
  <c r="F222" i="10"/>
  <c r="H222" i="10" s="1"/>
  <c r="I222" i="10" s="1"/>
  <c r="F222" i="11"/>
  <c r="F221" i="8"/>
  <c r="H221" i="8" s="1"/>
  <c r="A221" i="9"/>
  <c r="J1529" i="7"/>
  <c r="L1529" i="7"/>
  <c r="L1524" i="7"/>
  <c r="J1524" i="7"/>
  <c r="L1522" i="7"/>
  <c r="J1522" i="7"/>
  <c r="J1527" i="7"/>
  <c r="L1527" i="7"/>
  <c r="J1526" i="7"/>
  <c r="L1526" i="7"/>
  <c r="J1525" i="7"/>
  <c r="L1525" i="7"/>
  <c r="J1528" i="7"/>
  <c r="L1528" i="7"/>
  <c r="L1523" i="7"/>
  <c r="J1523" i="7"/>
  <c r="G1521" i="7"/>
  <c r="G1517" i="7"/>
  <c r="G1518" i="7"/>
  <c r="G1519" i="7"/>
  <c r="E190" i="1"/>
  <c r="G1516" i="7"/>
  <c r="G1520" i="7"/>
  <c r="G1515" i="7"/>
  <c r="J191" i="1"/>
  <c r="F221" i="12" s="1"/>
  <c r="H191" i="1"/>
  <c r="G1514" i="7"/>
  <c r="H221" i="12" l="1"/>
  <c r="G222" i="10"/>
  <c r="F221" i="10"/>
  <c r="H221" i="10" s="1"/>
  <c r="I221" i="10" s="1"/>
  <c r="F221" i="11"/>
  <c r="F219" i="8"/>
  <c r="H219" i="8" s="1"/>
  <c r="F220" i="8"/>
  <c r="H220" i="8" s="1"/>
  <c r="F217" i="8"/>
  <c r="H217" i="8" s="1"/>
  <c r="F218" i="8"/>
  <c r="H218" i="8" s="1"/>
  <c r="A217" i="9"/>
  <c r="A220" i="9"/>
  <c r="A218" i="9"/>
  <c r="A219" i="9"/>
  <c r="L1517" i="7"/>
  <c r="J1517" i="7"/>
  <c r="J1521" i="7"/>
  <c r="L1521" i="7"/>
  <c r="J1515" i="7"/>
  <c r="L1515" i="7"/>
  <c r="J1520" i="7"/>
  <c r="L1520" i="7"/>
  <c r="L1514" i="7"/>
  <c r="J1514" i="7"/>
  <c r="J1516" i="7"/>
  <c r="L1516" i="7"/>
  <c r="E189" i="1"/>
  <c r="G1512" i="7"/>
  <c r="G1509" i="7"/>
  <c r="G1510" i="7"/>
  <c r="G1511" i="7"/>
  <c r="G1513" i="7"/>
  <c r="J190" i="1"/>
  <c r="H190" i="1"/>
  <c r="G1507" i="7"/>
  <c r="G1506" i="7"/>
  <c r="G1508" i="7"/>
  <c r="J1519" i="7"/>
  <c r="L1519" i="7"/>
  <c r="J1518" i="7"/>
  <c r="L1518" i="7"/>
  <c r="F218" i="12" l="1"/>
  <c r="F219" i="12"/>
  <c r="F220" i="12"/>
  <c r="F217" i="12"/>
  <c r="G221" i="10"/>
  <c r="F217" i="11"/>
  <c r="F220" i="11"/>
  <c r="F219" i="11"/>
  <c r="F218" i="11"/>
  <c r="F219" i="10"/>
  <c r="H219" i="10" s="1"/>
  <c r="I219" i="10" s="1"/>
  <c r="F220" i="10"/>
  <c r="H220" i="10" s="1"/>
  <c r="I220" i="10" s="1"/>
  <c r="F217" i="10"/>
  <c r="H217" i="10" s="1"/>
  <c r="I217" i="10" s="1"/>
  <c r="F218" i="10"/>
  <c r="H218" i="10" s="1"/>
  <c r="I218" i="10" s="1"/>
  <c r="F214" i="8"/>
  <c r="H214" i="8" s="1"/>
  <c r="F215" i="8"/>
  <c r="H215" i="8" s="1"/>
  <c r="F216" i="8"/>
  <c r="H216" i="8" s="1"/>
  <c r="A216" i="9"/>
  <c r="A215" i="9"/>
  <c r="A214" i="9"/>
  <c r="J1509" i="7"/>
  <c r="L1509" i="7"/>
  <c r="L1507" i="7"/>
  <c r="J1507" i="7"/>
  <c r="J1508" i="7"/>
  <c r="L1508" i="7"/>
  <c r="L1506" i="7"/>
  <c r="J1506" i="7"/>
  <c r="L1512" i="7"/>
  <c r="J1512" i="7"/>
  <c r="E188" i="1"/>
  <c r="G1505" i="7"/>
  <c r="G1504" i="7"/>
  <c r="G1502" i="7"/>
  <c r="G1503" i="7"/>
  <c r="G1501" i="7"/>
  <c r="G1499" i="7"/>
  <c r="G1500" i="7"/>
  <c r="G1498" i="7"/>
  <c r="H189" i="1"/>
  <c r="J189" i="1"/>
  <c r="J1513" i="7"/>
  <c r="L1513" i="7"/>
  <c r="J1511" i="7"/>
  <c r="L1511" i="7"/>
  <c r="J1510" i="7"/>
  <c r="L1510" i="7"/>
  <c r="F214" i="12" l="1"/>
  <c r="F215" i="12"/>
  <c r="F216" i="12"/>
  <c r="H220" i="12"/>
  <c r="H217" i="12"/>
  <c r="H218" i="12"/>
  <c r="H219" i="12"/>
  <c r="G220" i="10"/>
  <c r="G219" i="10"/>
  <c r="G218" i="10"/>
  <c r="G217" i="10"/>
  <c r="F216" i="11"/>
  <c r="F215" i="11"/>
  <c r="F214" i="11"/>
  <c r="F216" i="10"/>
  <c r="H216" i="10" s="1"/>
  <c r="I216" i="10" s="1"/>
  <c r="F215" i="10"/>
  <c r="H215" i="10" s="1"/>
  <c r="I215" i="10" s="1"/>
  <c r="F214" i="10"/>
  <c r="H214" i="10" s="1"/>
  <c r="I214" i="10" s="1"/>
  <c r="F211" i="8"/>
  <c r="H211" i="8" s="1"/>
  <c r="F212" i="8"/>
  <c r="H212" i="8" s="1"/>
  <c r="F213" i="8"/>
  <c r="H213" i="8" s="1"/>
  <c r="A213" i="9"/>
  <c r="A212" i="9"/>
  <c r="A211" i="9"/>
  <c r="L1505" i="7"/>
  <c r="J1505" i="7"/>
  <c r="L1500" i="7"/>
  <c r="J1500" i="7"/>
  <c r="J1499" i="7"/>
  <c r="L1499" i="7"/>
  <c r="J1502" i="7"/>
  <c r="L1502" i="7"/>
  <c r="L1498" i="7"/>
  <c r="J1498" i="7"/>
  <c r="E187" i="1"/>
  <c r="G1497" i="7"/>
  <c r="G1496" i="7"/>
  <c r="G1495" i="7"/>
  <c r="G1494" i="7"/>
  <c r="G1493" i="7"/>
  <c r="G1492" i="7"/>
  <c r="G1490" i="7"/>
  <c r="J188" i="1"/>
  <c r="G1491" i="7"/>
  <c r="H188" i="1"/>
  <c r="L1501" i="7"/>
  <c r="J1501" i="7"/>
  <c r="J1503" i="7"/>
  <c r="L1503" i="7"/>
  <c r="J1504" i="7"/>
  <c r="L1504" i="7"/>
  <c r="F211" i="12" l="1"/>
  <c r="F212" i="12"/>
  <c r="F213" i="12"/>
  <c r="H215" i="12"/>
  <c r="H216" i="12"/>
  <c r="H214" i="12"/>
  <c r="G214" i="10"/>
  <c r="G215" i="10"/>
  <c r="G216" i="10"/>
  <c r="F213" i="11"/>
  <c r="F212" i="11"/>
  <c r="F211" i="11"/>
  <c r="F211" i="10"/>
  <c r="H211" i="10" s="1"/>
  <c r="I211" i="10" s="1"/>
  <c r="F212" i="10"/>
  <c r="H212" i="10" s="1"/>
  <c r="I212" i="10" s="1"/>
  <c r="F213" i="10"/>
  <c r="H213" i="10" s="1"/>
  <c r="I213" i="10" s="1"/>
  <c r="F210" i="8"/>
  <c r="H210" i="8" s="1"/>
  <c r="A210" i="9"/>
  <c r="L1491" i="7"/>
  <c r="J1491" i="7"/>
  <c r="L1497" i="7"/>
  <c r="J1497" i="7"/>
  <c r="L1493" i="7"/>
  <c r="J1493" i="7"/>
  <c r="G1489" i="7"/>
  <c r="E186" i="1"/>
  <c r="G1488" i="7"/>
  <c r="G1485" i="7"/>
  <c r="G1486" i="7"/>
  <c r="G1487" i="7"/>
  <c r="G1484" i="7"/>
  <c r="G1482" i="7"/>
  <c r="H187" i="1"/>
  <c r="G1483" i="7"/>
  <c r="J187" i="1"/>
  <c r="F210" i="12" s="1"/>
  <c r="J1492" i="7"/>
  <c r="L1492" i="7"/>
  <c r="J1494" i="7"/>
  <c r="L1494" i="7"/>
  <c r="J1490" i="7"/>
  <c r="L1490" i="7"/>
  <c r="L1495" i="7"/>
  <c r="J1495" i="7"/>
  <c r="J1496" i="7"/>
  <c r="L1496" i="7"/>
  <c r="H210" i="12" l="1"/>
  <c r="H212" i="12"/>
  <c r="H211" i="12"/>
  <c r="H213" i="12"/>
  <c r="G213" i="10"/>
  <c r="G212" i="10"/>
  <c r="G211" i="10"/>
  <c r="F210" i="10"/>
  <c r="H210" i="10" s="1"/>
  <c r="I210" i="10" s="1"/>
  <c r="F210" i="11"/>
  <c r="F209" i="8"/>
  <c r="H209" i="8" s="1"/>
  <c r="A209" i="9"/>
  <c r="L1482" i="7"/>
  <c r="J1482" i="7"/>
  <c r="L1487" i="7"/>
  <c r="J1487" i="7"/>
  <c r="J1484" i="7"/>
  <c r="L1484" i="7"/>
  <c r="J1485" i="7"/>
  <c r="L1485" i="7"/>
  <c r="J1488" i="7"/>
  <c r="L1488" i="7"/>
  <c r="J1486" i="7"/>
  <c r="L1486" i="7"/>
  <c r="L1483" i="7"/>
  <c r="J1483" i="7"/>
  <c r="G1481" i="7"/>
  <c r="E185" i="1"/>
  <c r="G1480" i="7"/>
  <c r="G1478" i="7"/>
  <c r="G1479" i="7"/>
  <c r="G1477" i="7"/>
  <c r="G1475" i="7"/>
  <c r="G1476" i="7"/>
  <c r="H186" i="1"/>
  <c r="G1474" i="7"/>
  <c r="J186" i="1"/>
  <c r="F209" i="12" s="1"/>
  <c r="J1489" i="7"/>
  <c r="L1489" i="7"/>
  <c r="H209" i="12" l="1"/>
  <c r="G210" i="10"/>
  <c r="F209" i="10"/>
  <c r="H209" i="10" s="1"/>
  <c r="I209" i="10" s="1"/>
  <c r="F209" i="11"/>
  <c r="F205" i="8"/>
  <c r="H205" i="8" s="1"/>
  <c r="F206" i="8"/>
  <c r="H206" i="8" s="1"/>
  <c r="F207" i="8"/>
  <c r="H207" i="8" s="1"/>
  <c r="F208" i="8"/>
  <c r="H208" i="8" s="1"/>
  <c r="A207" i="9"/>
  <c r="A208" i="9"/>
  <c r="A205" i="9"/>
  <c r="A206" i="9"/>
  <c r="G1473" i="7"/>
  <c r="E184" i="1"/>
  <c r="G1469" i="7"/>
  <c r="G1471" i="7"/>
  <c r="G1472" i="7"/>
  <c r="G1468" i="7"/>
  <c r="G1467" i="7"/>
  <c r="G1470" i="7"/>
  <c r="G1466" i="7"/>
  <c r="J185" i="1"/>
  <c r="H185" i="1"/>
  <c r="J1481" i="7"/>
  <c r="L1481" i="7"/>
  <c r="J1477" i="7"/>
  <c r="L1477" i="7"/>
  <c r="J1475" i="7"/>
  <c r="L1475" i="7"/>
  <c r="J1478" i="7"/>
  <c r="L1478" i="7"/>
  <c r="J1474" i="7"/>
  <c r="L1474" i="7"/>
  <c r="L1476" i="7"/>
  <c r="J1476" i="7"/>
  <c r="L1479" i="7"/>
  <c r="J1479" i="7"/>
  <c r="J1480" i="7"/>
  <c r="L1480" i="7"/>
  <c r="F206" i="12" l="1"/>
  <c r="F207" i="12"/>
  <c r="F208" i="12"/>
  <c r="F205" i="12"/>
  <c r="G209" i="10"/>
  <c r="F205" i="11"/>
  <c r="F208" i="11"/>
  <c r="F207" i="11"/>
  <c r="F206" i="11"/>
  <c r="F205" i="10"/>
  <c r="H205" i="10" s="1"/>
  <c r="I205" i="10" s="1"/>
  <c r="F208" i="10"/>
  <c r="H208" i="10" s="1"/>
  <c r="I208" i="10" s="1"/>
  <c r="F206" i="10"/>
  <c r="H206" i="10" s="1"/>
  <c r="I206" i="10" s="1"/>
  <c r="F207" i="10"/>
  <c r="H207" i="10" s="1"/>
  <c r="I207" i="10" s="1"/>
  <c r="F203" i="8"/>
  <c r="H203" i="8" s="1"/>
  <c r="F204" i="8"/>
  <c r="H204" i="8" s="1"/>
  <c r="F202" i="8"/>
  <c r="H202" i="8" s="1"/>
  <c r="A204" i="9"/>
  <c r="A202" i="9"/>
  <c r="A203" i="9"/>
  <c r="J1470" i="7"/>
  <c r="L1470" i="7"/>
  <c r="J1468" i="7"/>
  <c r="L1468" i="7"/>
  <c r="L1472" i="7"/>
  <c r="J1472" i="7"/>
  <c r="L1469" i="7"/>
  <c r="J1469" i="7"/>
  <c r="L1471" i="7"/>
  <c r="J1471" i="7"/>
  <c r="E183" i="1"/>
  <c r="G1465" i="7"/>
  <c r="G1464" i="7"/>
  <c r="G1461" i="7"/>
  <c r="G1462" i="7"/>
  <c r="G1460" i="7"/>
  <c r="G1459" i="7"/>
  <c r="G1458" i="7"/>
  <c r="H184" i="1"/>
  <c r="J184" i="1"/>
  <c r="G1463" i="7"/>
  <c r="J1467" i="7"/>
  <c r="L1467" i="7"/>
  <c r="L1466" i="7"/>
  <c r="J1466" i="7"/>
  <c r="J1473" i="7"/>
  <c r="L1473" i="7"/>
  <c r="F202" i="12" l="1"/>
  <c r="F203" i="12"/>
  <c r="F204" i="12"/>
  <c r="H207" i="12"/>
  <c r="H208" i="12"/>
  <c r="H205" i="12"/>
  <c r="H206" i="12"/>
  <c r="G208" i="10"/>
  <c r="G205" i="10"/>
  <c r="G207" i="10"/>
  <c r="G206" i="10"/>
  <c r="F204" i="11"/>
  <c r="F203" i="11"/>
  <c r="F202" i="11"/>
  <c r="F203" i="10"/>
  <c r="H203" i="10" s="1"/>
  <c r="I203" i="10" s="1"/>
  <c r="F204" i="10"/>
  <c r="H204" i="10" s="1"/>
  <c r="I204" i="10" s="1"/>
  <c r="F202" i="10"/>
  <c r="H202" i="10" s="1"/>
  <c r="I202" i="10" s="1"/>
  <c r="F201" i="8"/>
  <c r="H201" i="8" s="1"/>
  <c r="A201" i="9"/>
  <c r="L1465" i="7"/>
  <c r="J1465" i="7"/>
  <c r="L1458" i="7"/>
  <c r="J1458" i="7"/>
  <c r="G1457" i="7"/>
  <c r="E182" i="1"/>
  <c r="G1453" i="7"/>
  <c r="G1454" i="7"/>
  <c r="G1456" i="7"/>
  <c r="G1455" i="7"/>
  <c r="G1452" i="7"/>
  <c r="G1451" i="7"/>
  <c r="J183" i="1"/>
  <c r="F201" i="12" s="1"/>
  <c r="G1450" i="7"/>
  <c r="H183" i="1"/>
  <c r="L1459" i="7"/>
  <c r="J1459" i="7"/>
  <c r="J1460" i="7"/>
  <c r="L1460" i="7"/>
  <c r="J1462" i="7"/>
  <c r="L1462" i="7"/>
  <c r="J1461" i="7"/>
  <c r="L1461" i="7"/>
  <c r="L1463" i="7"/>
  <c r="J1463" i="7"/>
  <c r="J1464" i="7"/>
  <c r="L1464" i="7"/>
  <c r="H204" i="12" l="1"/>
  <c r="H202" i="12"/>
  <c r="H201" i="12"/>
  <c r="H203" i="12"/>
  <c r="G202" i="10"/>
  <c r="G204" i="10"/>
  <c r="G203" i="10"/>
  <c r="F201" i="10"/>
  <c r="H201" i="10" s="1"/>
  <c r="I201" i="10" s="1"/>
  <c r="F201" i="11"/>
  <c r="F200" i="8"/>
  <c r="H200" i="8" s="1"/>
  <c r="A200" i="9"/>
  <c r="L1450" i="7"/>
  <c r="J1450" i="7"/>
  <c r="E181" i="1"/>
  <c r="G1447" i="7"/>
  <c r="G1448" i="7"/>
  <c r="G1445" i="7"/>
  <c r="G1446" i="7"/>
  <c r="G1449" i="7"/>
  <c r="G1444" i="7"/>
  <c r="G1443" i="7"/>
  <c r="H182" i="1"/>
  <c r="J182" i="1"/>
  <c r="F200" i="12" s="1"/>
  <c r="G1442" i="7"/>
  <c r="J1451" i="7"/>
  <c r="L1451" i="7"/>
  <c r="J1452" i="7"/>
  <c r="L1452" i="7"/>
  <c r="J1455" i="7"/>
  <c r="L1455" i="7"/>
  <c r="L1456" i="7"/>
  <c r="J1456" i="7"/>
  <c r="L1454" i="7"/>
  <c r="J1454" i="7"/>
  <c r="L1457" i="7"/>
  <c r="J1457" i="7"/>
  <c r="J1453" i="7"/>
  <c r="L1453" i="7"/>
  <c r="H200" i="12" l="1"/>
  <c r="G201" i="10"/>
  <c r="F200" i="10"/>
  <c r="H200" i="10" s="1"/>
  <c r="I200" i="10" s="1"/>
  <c r="F200" i="11"/>
  <c r="L1449" i="7"/>
  <c r="J1449" i="7"/>
  <c r="J1445" i="7"/>
  <c r="L1445" i="7"/>
  <c r="L1448" i="7"/>
  <c r="J1448" i="7"/>
  <c r="L1447" i="7"/>
  <c r="J1447" i="7"/>
  <c r="L1442" i="7"/>
  <c r="J1442" i="7"/>
  <c r="E180" i="1"/>
  <c r="G1441" i="7"/>
  <c r="G1439" i="7"/>
  <c r="G1440" i="7"/>
  <c r="G1438" i="7"/>
  <c r="G1435" i="7"/>
  <c r="G1436" i="7"/>
  <c r="G1434" i="7"/>
  <c r="G1437" i="7"/>
  <c r="H181" i="1"/>
  <c r="J181" i="1"/>
  <c r="J1443" i="7"/>
  <c r="L1443" i="7"/>
  <c r="J1446" i="7"/>
  <c r="L1446" i="7"/>
  <c r="J1444" i="7"/>
  <c r="L1444" i="7"/>
  <c r="G200" i="10" l="1"/>
  <c r="J1440" i="7"/>
  <c r="L1440" i="7"/>
  <c r="L1441" i="7"/>
  <c r="J1441" i="7"/>
  <c r="J1437" i="7"/>
  <c r="L1437" i="7"/>
  <c r="L1434" i="7"/>
  <c r="J1434" i="7"/>
  <c r="L1435" i="7"/>
  <c r="J1435" i="7"/>
  <c r="J1439" i="7"/>
  <c r="L1439" i="7"/>
  <c r="E179" i="1"/>
  <c r="G1433" i="7"/>
  <c r="G1431" i="7"/>
  <c r="G1432" i="7"/>
  <c r="G1428" i="7"/>
  <c r="G1430" i="7"/>
  <c r="G1429" i="7"/>
  <c r="G1426" i="7"/>
  <c r="G1427" i="7"/>
  <c r="H180" i="1"/>
  <c r="J180" i="1"/>
  <c r="L1436" i="7"/>
  <c r="J1436" i="7"/>
  <c r="J1438" i="7"/>
  <c r="L1438" i="7"/>
  <c r="F195" i="8" l="1"/>
  <c r="H195" i="8" s="1"/>
  <c r="F196" i="8"/>
  <c r="H196" i="8" s="1"/>
  <c r="F197" i="8"/>
  <c r="H197" i="8" s="1"/>
  <c r="F198" i="8"/>
  <c r="H198" i="8" s="1"/>
  <c r="F199" i="8"/>
  <c r="H199" i="8" s="1"/>
  <c r="A199" i="9"/>
  <c r="A197" i="9"/>
  <c r="A196" i="9"/>
  <c r="A195" i="9"/>
  <c r="A198" i="9"/>
  <c r="L1427" i="7"/>
  <c r="J1427" i="7"/>
  <c r="L1433" i="7"/>
  <c r="J1433" i="7"/>
  <c r="L1426" i="7"/>
  <c r="J1426" i="7"/>
  <c r="J1430" i="7"/>
  <c r="L1430" i="7"/>
  <c r="G1425" i="7"/>
  <c r="E178" i="1"/>
  <c r="G1424" i="7"/>
  <c r="G1423" i="7"/>
  <c r="G1421" i="7"/>
  <c r="G1420" i="7"/>
  <c r="G1422" i="7"/>
  <c r="G1418" i="7"/>
  <c r="H179" i="1"/>
  <c r="G1419" i="7"/>
  <c r="J179" i="1"/>
  <c r="J1429" i="7"/>
  <c r="L1429" i="7"/>
  <c r="J1428" i="7"/>
  <c r="L1428" i="7"/>
  <c r="L1431" i="7"/>
  <c r="J1431" i="7"/>
  <c r="J1432" i="7"/>
  <c r="L1432" i="7"/>
  <c r="F198" i="12" l="1"/>
  <c r="F195" i="12"/>
  <c r="F199" i="12"/>
  <c r="F196" i="12"/>
  <c r="F197" i="12"/>
  <c r="F197" i="11"/>
  <c r="F196" i="11"/>
  <c r="F199" i="11"/>
  <c r="F195" i="11"/>
  <c r="F198" i="11"/>
  <c r="F195" i="10"/>
  <c r="H195" i="10" s="1"/>
  <c r="I195" i="10" s="1"/>
  <c r="F199" i="10"/>
  <c r="H199" i="10" s="1"/>
  <c r="I199" i="10" s="1"/>
  <c r="F196" i="10"/>
  <c r="H196" i="10" s="1"/>
  <c r="I196" i="10" s="1"/>
  <c r="F197" i="10"/>
  <c r="H197" i="10" s="1"/>
  <c r="I197" i="10" s="1"/>
  <c r="F198" i="10"/>
  <c r="H198" i="10" s="1"/>
  <c r="I198" i="10" s="1"/>
  <c r="F194" i="8"/>
  <c r="H194" i="8" s="1"/>
  <c r="A194" i="9"/>
  <c r="L1421" i="7"/>
  <c r="J1421" i="7"/>
  <c r="J1424" i="7"/>
  <c r="L1424" i="7"/>
  <c r="J1420" i="7"/>
  <c r="L1420" i="7"/>
  <c r="J1419" i="7"/>
  <c r="L1419" i="7"/>
  <c r="G1417" i="7"/>
  <c r="E177" i="1"/>
  <c r="G1415" i="7"/>
  <c r="G1416" i="7"/>
  <c r="G1414" i="7"/>
  <c r="G1413" i="7"/>
  <c r="G1412" i="7"/>
  <c r="G1411" i="7"/>
  <c r="G1410" i="7"/>
  <c r="H178" i="1"/>
  <c r="J178" i="1"/>
  <c r="F194" i="12" s="1"/>
  <c r="J1422" i="7"/>
  <c r="L1422" i="7"/>
  <c r="L1423" i="7"/>
  <c r="J1423" i="7"/>
  <c r="L1425" i="7"/>
  <c r="J1425" i="7"/>
  <c r="L1418" i="7"/>
  <c r="J1418" i="7"/>
  <c r="H196" i="12" l="1"/>
  <c r="H199" i="12"/>
  <c r="H197" i="12"/>
  <c r="H194" i="12"/>
  <c r="H198" i="12"/>
  <c r="H195" i="12"/>
  <c r="G196" i="10"/>
  <c r="G199" i="10"/>
  <c r="G195" i="10"/>
  <c r="G198" i="10"/>
  <c r="G197" i="10"/>
  <c r="F194" i="10"/>
  <c r="H194" i="10" s="1"/>
  <c r="I194" i="10" s="1"/>
  <c r="F194" i="11"/>
  <c r="J1413" i="7"/>
  <c r="L1413" i="7"/>
  <c r="J1414" i="7"/>
  <c r="L1414" i="7"/>
  <c r="J1416" i="7"/>
  <c r="L1416" i="7"/>
  <c r="L1415" i="7"/>
  <c r="J1415" i="7"/>
  <c r="G1409" i="7"/>
  <c r="E176" i="1"/>
  <c r="G1407" i="7"/>
  <c r="G1408" i="7"/>
  <c r="G1405" i="7"/>
  <c r="G1404" i="7"/>
  <c r="G1403" i="7"/>
  <c r="G1406" i="7"/>
  <c r="G1402" i="7"/>
  <c r="J177" i="1"/>
  <c r="H177" i="1"/>
  <c r="L1410" i="7"/>
  <c r="J1410" i="7"/>
  <c r="J1417" i="7"/>
  <c r="L1417" i="7"/>
  <c r="L1411" i="7"/>
  <c r="J1411" i="7"/>
  <c r="L1412" i="7"/>
  <c r="J1412" i="7"/>
  <c r="G194" i="10" l="1"/>
  <c r="J1405" i="7"/>
  <c r="L1405" i="7"/>
  <c r="J1407" i="7"/>
  <c r="L1407" i="7"/>
  <c r="E175" i="1"/>
  <c r="G1401" i="7"/>
  <c r="G1400" i="7"/>
  <c r="G1399" i="7"/>
  <c r="G1397" i="7"/>
  <c r="G1398" i="7"/>
  <c r="G1396" i="7"/>
  <c r="G1395" i="7"/>
  <c r="G1394" i="7"/>
  <c r="H176" i="1"/>
  <c r="J176" i="1"/>
  <c r="J1408" i="7"/>
  <c r="L1408" i="7"/>
  <c r="L1402" i="7"/>
  <c r="J1402" i="7"/>
  <c r="L1409" i="7"/>
  <c r="J1409" i="7"/>
  <c r="J1406" i="7"/>
  <c r="L1406" i="7"/>
  <c r="L1403" i="7"/>
  <c r="J1403" i="7"/>
  <c r="J1404" i="7"/>
  <c r="L1404" i="7"/>
  <c r="F190" i="8" l="1"/>
  <c r="H190" i="8" s="1"/>
  <c r="F191" i="8"/>
  <c r="H191" i="8" s="1"/>
  <c r="F192" i="8"/>
  <c r="H192" i="8" s="1"/>
  <c r="F193" i="8"/>
  <c r="H193" i="8" s="1"/>
  <c r="A193" i="9"/>
  <c r="A191" i="9"/>
  <c r="A192" i="9"/>
  <c r="A190" i="9"/>
  <c r="L1399" i="7"/>
  <c r="J1399" i="7"/>
  <c r="L1401" i="7"/>
  <c r="J1401" i="7"/>
  <c r="J1400" i="7"/>
  <c r="L1400" i="7"/>
  <c r="G1393" i="7"/>
  <c r="G1391" i="7"/>
  <c r="G1392" i="7"/>
  <c r="G1389" i="7"/>
  <c r="G1390" i="7"/>
  <c r="G1388" i="7"/>
  <c r="E174" i="1"/>
  <c r="G1387" i="7"/>
  <c r="J175" i="1"/>
  <c r="G1386" i="7"/>
  <c r="H175" i="1"/>
  <c r="L1394" i="7"/>
  <c r="J1394" i="7"/>
  <c r="L1395" i="7"/>
  <c r="J1395" i="7"/>
  <c r="J1396" i="7"/>
  <c r="L1396" i="7"/>
  <c r="J1398" i="7"/>
  <c r="L1398" i="7"/>
  <c r="J1397" i="7"/>
  <c r="L1397" i="7"/>
  <c r="F190" i="12" l="1"/>
  <c r="F191" i="12"/>
  <c r="F192" i="12"/>
  <c r="F193" i="12"/>
  <c r="F193" i="11"/>
  <c r="F192" i="11"/>
  <c r="F191" i="11"/>
  <c r="F190" i="11"/>
  <c r="F192" i="10"/>
  <c r="H192" i="10" s="1"/>
  <c r="I192" i="10" s="1"/>
  <c r="F190" i="10"/>
  <c r="H190" i="10" s="1"/>
  <c r="I190" i="10" s="1"/>
  <c r="F193" i="10"/>
  <c r="H193" i="10" s="1"/>
  <c r="I193" i="10" s="1"/>
  <c r="F191" i="10"/>
  <c r="H191" i="10" s="1"/>
  <c r="I191" i="10" s="1"/>
  <c r="F188" i="8"/>
  <c r="H188" i="8" s="1"/>
  <c r="F189" i="8"/>
  <c r="H189" i="8" s="1"/>
  <c r="A189" i="9"/>
  <c r="A188" i="9"/>
  <c r="L1393" i="7"/>
  <c r="J1393" i="7"/>
  <c r="E173" i="1"/>
  <c r="G1385" i="7"/>
  <c r="G1383" i="7"/>
  <c r="G1384" i="7"/>
  <c r="G1381" i="7"/>
  <c r="G1382" i="7"/>
  <c r="G1380" i="7"/>
  <c r="G1379" i="7"/>
  <c r="G1378" i="7"/>
  <c r="H174" i="1"/>
  <c r="J174" i="1"/>
  <c r="J1388" i="7"/>
  <c r="L1388" i="7"/>
  <c r="J1387" i="7"/>
  <c r="L1387" i="7"/>
  <c r="L1390" i="7"/>
  <c r="J1390" i="7"/>
  <c r="J1389" i="7"/>
  <c r="L1389" i="7"/>
  <c r="J1392" i="7"/>
  <c r="L1392" i="7"/>
  <c r="L1386" i="7"/>
  <c r="J1386" i="7"/>
  <c r="J1391" i="7"/>
  <c r="L1391" i="7"/>
  <c r="F188" i="12" l="1"/>
  <c r="F189" i="12"/>
  <c r="H191" i="12"/>
  <c r="H193" i="12"/>
  <c r="H192" i="12"/>
  <c r="H190" i="12"/>
  <c r="G191" i="10"/>
  <c r="G193" i="10"/>
  <c r="G190" i="10"/>
  <c r="G192" i="10"/>
  <c r="F189" i="11"/>
  <c r="F188" i="11"/>
  <c r="F188" i="10"/>
  <c r="H188" i="10" s="1"/>
  <c r="I188" i="10" s="1"/>
  <c r="F189" i="10"/>
  <c r="H189" i="10" s="1"/>
  <c r="I189" i="10" s="1"/>
  <c r="J1381" i="7"/>
  <c r="L1381" i="7"/>
  <c r="L1384" i="7"/>
  <c r="J1384" i="7"/>
  <c r="L1383" i="7"/>
  <c r="J1383" i="7"/>
  <c r="J1385" i="7"/>
  <c r="L1385" i="7"/>
  <c r="L1378" i="7"/>
  <c r="J1378" i="7"/>
  <c r="E172" i="1"/>
  <c r="G1377" i="7"/>
  <c r="G1375" i="7"/>
  <c r="G1376" i="7"/>
  <c r="G1374" i="7"/>
  <c r="G1371" i="7"/>
  <c r="G1372" i="7"/>
  <c r="G1370" i="7"/>
  <c r="G1373" i="7"/>
  <c r="H173" i="1"/>
  <c r="J173" i="1"/>
  <c r="J1380" i="7"/>
  <c r="L1380" i="7"/>
  <c r="J1379" i="7"/>
  <c r="L1379" i="7"/>
  <c r="L1382" i="7"/>
  <c r="J1382" i="7"/>
  <c r="H189" i="12" l="1"/>
  <c r="H188" i="12"/>
  <c r="G189" i="10"/>
  <c r="G188" i="10"/>
  <c r="L1375" i="7"/>
  <c r="J1375" i="7"/>
  <c r="L1377" i="7"/>
  <c r="J1377" i="7"/>
  <c r="L1370" i="7"/>
  <c r="J1370" i="7"/>
  <c r="E171" i="1"/>
  <c r="G1369" i="7"/>
  <c r="G1367" i="7"/>
  <c r="G1368" i="7"/>
  <c r="G1366" i="7"/>
  <c r="G1365" i="7"/>
  <c r="G1364" i="7"/>
  <c r="G1362" i="7"/>
  <c r="G1363" i="7"/>
  <c r="J172" i="1"/>
  <c r="H172" i="1"/>
  <c r="L1372" i="7"/>
  <c r="J1372" i="7"/>
  <c r="J1373" i="7"/>
  <c r="L1373" i="7"/>
  <c r="J1371" i="7"/>
  <c r="L1371" i="7"/>
  <c r="J1374" i="7"/>
  <c r="L1374" i="7"/>
  <c r="J1376" i="7"/>
  <c r="L1376" i="7"/>
  <c r="F187" i="8" l="1"/>
  <c r="H187" i="8" s="1"/>
  <c r="F184" i="8"/>
  <c r="H184" i="8" s="1"/>
  <c r="F185" i="8"/>
  <c r="H185" i="8" s="1"/>
  <c r="F186" i="8"/>
  <c r="H186" i="8" s="1"/>
  <c r="A185" i="9"/>
  <c r="A184" i="9"/>
  <c r="A186" i="9"/>
  <c r="A187" i="9"/>
  <c r="L1363" i="7"/>
  <c r="J1363" i="7"/>
  <c r="J1364" i="7"/>
  <c r="L1364" i="7"/>
  <c r="J1362" i="7"/>
  <c r="L1362" i="7"/>
  <c r="J1366" i="7"/>
  <c r="L1366" i="7"/>
  <c r="L1367" i="7"/>
  <c r="J1367" i="7"/>
  <c r="G1361" i="7"/>
  <c r="E170" i="1"/>
  <c r="G1360" i="7"/>
  <c r="G1357" i="7"/>
  <c r="G1356" i="7"/>
  <c r="G1358" i="7"/>
  <c r="G1359" i="7"/>
  <c r="G1354" i="7"/>
  <c r="G1355" i="7"/>
  <c r="H171" i="1"/>
  <c r="J171" i="1"/>
  <c r="J1365" i="7"/>
  <c r="L1365" i="7"/>
  <c r="J1368" i="7"/>
  <c r="L1368" i="7"/>
  <c r="L1369" i="7"/>
  <c r="J1369" i="7"/>
  <c r="F186" i="12" l="1"/>
  <c r="F187" i="12"/>
  <c r="F184" i="12"/>
  <c r="F185" i="12"/>
  <c r="F185" i="11"/>
  <c r="F184" i="11"/>
  <c r="F187" i="11"/>
  <c r="F186" i="11"/>
  <c r="F187" i="10"/>
  <c r="H187" i="10" s="1"/>
  <c r="I187" i="10" s="1"/>
  <c r="F184" i="10"/>
  <c r="H184" i="10" s="1"/>
  <c r="I184" i="10" s="1"/>
  <c r="F185" i="10"/>
  <c r="H185" i="10" s="1"/>
  <c r="I185" i="10" s="1"/>
  <c r="F186" i="10"/>
  <c r="H186" i="10" s="1"/>
  <c r="I186" i="10" s="1"/>
  <c r="F181" i="8"/>
  <c r="H181" i="8" s="1"/>
  <c r="F182" i="8"/>
  <c r="H182" i="8" s="1"/>
  <c r="F183" i="8"/>
  <c r="H183" i="8" s="1"/>
  <c r="A183" i="9"/>
  <c r="A181" i="9"/>
  <c r="A182" i="9"/>
  <c r="L1357" i="7"/>
  <c r="J1357" i="7"/>
  <c r="L1361" i="7"/>
  <c r="J1361" i="7"/>
  <c r="L1355" i="7"/>
  <c r="J1355" i="7"/>
  <c r="J1356" i="7"/>
  <c r="L1356" i="7"/>
  <c r="J1359" i="7"/>
  <c r="L1359" i="7"/>
  <c r="L1360" i="7"/>
  <c r="J1360" i="7"/>
  <c r="G1353" i="7"/>
  <c r="E169" i="1"/>
  <c r="G1350" i="7"/>
  <c r="G1352" i="7"/>
  <c r="G1349" i="7"/>
  <c r="G1351" i="7"/>
  <c r="G1348" i="7"/>
  <c r="G1347" i="7"/>
  <c r="H170" i="1"/>
  <c r="J170" i="1"/>
  <c r="G1346" i="7"/>
  <c r="L1354" i="7"/>
  <c r="J1354" i="7"/>
  <c r="J1358" i="7"/>
  <c r="L1358" i="7"/>
  <c r="F182" i="12" l="1"/>
  <c r="F183" i="12"/>
  <c r="F181" i="12"/>
  <c r="H186" i="12"/>
  <c r="H184" i="12"/>
  <c r="H185" i="12"/>
  <c r="H187" i="12"/>
  <c r="G186" i="10"/>
  <c r="G185" i="10"/>
  <c r="G184" i="10"/>
  <c r="G187" i="10"/>
  <c r="F181" i="11"/>
  <c r="F183" i="11"/>
  <c r="F182" i="11"/>
  <c r="F181" i="10"/>
  <c r="H181" i="10" s="1"/>
  <c r="I181" i="10" s="1"/>
  <c r="F182" i="10"/>
  <c r="H182" i="10" s="1"/>
  <c r="I182" i="10" s="1"/>
  <c r="F183" i="10"/>
  <c r="H183" i="10" s="1"/>
  <c r="I183" i="10" s="1"/>
  <c r="J1347" i="7"/>
  <c r="L1347" i="7"/>
  <c r="L1351" i="7"/>
  <c r="J1351" i="7"/>
  <c r="J1352" i="7"/>
  <c r="L1352" i="7"/>
  <c r="J1349" i="7"/>
  <c r="L1349" i="7"/>
  <c r="J1346" i="7"/>
  <c r="L1346" i="7"/>
  <c r="L1348" i="7"/>
  <c r="J1348" i="7"/>
  <c r="G1345" i="7"/>
  <c r="E168" i="1"/>
  <c r="G1343" i="7"/>
  <c r="G1341" i="7"/>
  <c r="G1344" i="7"/>
  <c r="G1342" i="7"/>
  <c r="G1340" i="7"/>
  <c r="G1339" i="7"/>
  <c r="G1338" i="7"/>
  <c r="J169" i="1"/>
  <c r="H169" i="1"/>
  <c r="J1350" i="7"/>
  <c r="L1350" i="7"/>
  <c r="J1353" i="7"/>
  <c r="L1353" i="7"/>
  <c r="H183" i="12" l="1"/>
  <c r="H181" i="12"/>
  <c r="H182" i="12"/>
  <c r="G183" i="10"/>
  <c r="G182" i="10"/>
  <c r="G181" i="10"/>
  <c r="L1339" i="7"/>
  <c r="J1339" i="7"/>
  <c r="J1342" i="7"/>
  <c r="L1342" i="7"/>
  <c r="L1340" i="7"/>
  <c r="J1340" i="7"/>
  <c r="L1344" i="7"/>
  <c r="J1344" i="7"/>
  <c r="J1341" i="7"/>
  <c r="L1341" i="7"/>
  <c r="L1343" i="7"/>
  <c r="J1343" i="7"/>
  <c r="E167" i="1"/>
  <c r="G1337" i="7"/>
  <c r="G1336" i="7"/>
  <c r="G1333" i="7"/>
  <c r="G1334" i="7"/>
  <c r="G1335" i="7"/>
  <c r="G1332" i="7"/>
  <c r="G1330" i="7"/>
  <c r="H168" i="1"/>
  <c r="J168" i="1"/>
  <c r="G1331" i="7"/>
  <c r="L1338" i="7"/>
  <c r="J1338" i="7"/>
  <c r="L1345" i="7"/>
  <c r="J1345" i="7"/>
  <c r="F179" i="8" l="1"/>
  <c r="H179" i="8" s="1"/>
  <c r="F180" i="8"/>
  <c r="H180" i="8" s="1"/>
  <c r="F178" i="8"/>
  <c r="H178" i="8" s="1"/>
  <c r="A180" i="9"/>
  <c r="A178" i="9"/>
  <c r="A179" i="9"/>
  <c r="G1329" i="7"/>
  <c r="G1327" i="7"/>
  <c r="E166" i="1"/>
  <c r="G1325" i="7"/>
  <c r="G1326" i="7"/>
  <c r="G1328" i="7"/>
  <c r="G1324" i="7"/>
  <c r="J167" i="1"/>
  <c r="H167" i="1"/>
  <c r="G1323" i="7"/>
  <c r="G1322" i="7"/>
  <c r="L1335" i="7"/>
  <c r="J1335" i="7"/>
  <c r="J1332" i="7"/>
  <c r="L1332" i="7"/>
  <c r="J1333" i="7"/>
  <c r="L1333" i="7"/>
  <c r="J1331" i="7"/>
  <c r="L1331" i="7"/>
  <c r="L1330" i="7"/>
  <c r="J1330" i="7"/>
  <c r="J1334" i="7"/>
  <c r="L1334" i="7"/>
  <c r="J1336" i="7"/>
  <c r="L1336" i="7"/>
  <c r="L1337" i="7"/>
  <c r="J1337" i="7"/>
  <c r="F178" i="12" l="1"/>
  <c r="F179" i="12"/>
  <c r="F180" i="12"/>
  <c r="F180" i="11"/>
  <c r="F179" i="11"/>
  <c r="F178" i="11"/>
  <c r="F179" i="10"/>
  <c r="H179" i="10" s="1"/>
  <c r="I179" i="10" s="1"/>
  <c r="F180" i="10"/>
  <c r="H180" i="10" s="1"/>
  <c r="I180" i="10" s="1"/>
  <c r="F178" i="10"/>
  <c r="H178" i="10" s="1"/>
  <c r="I178" i="10" s="1"/>
  <c r="F174" i="8"/>
  <c r="H174" i="8" s="1"/>
  <c r="F175" i="8"/>
  <c r="H175" i="8" s="1"/>
  <c r="F176" i="8"/>
  <c r="H176" i="8" s="1"/>
  <c r="F177" i="8"/>
  <c r="H177" i="8" s="1"/>
  <c r="A177" i="9"/>
  <c r="A176" i="9"/>
  <c r="A175" i="9"/>
  <c r="A174" i="9"/>
  <c r="J1328" i="7"/>
  <c r="L1328" i="7"/>
  <c r="J1326" i="7"/>
  <c r="L1326" i="7"/>
  <c r="J1325" i="7"/>
  <c r="L1325" i="7"/>
  <c r="L1322" i="7"/>
  <c r="J1322" i="7"/>
  <c r="E165" i="1"/>
  <c r="G1321" i="7"/>
  <c r="G1319" i="7"/>
  <c r="G1320" i="7"/>
  <c r="G1317" i="7"/>
  <c r="G1318" i="7"/>
  <c r="G1315" i="7"/>
  <c r="G1316" i="7"/>
  <c r="H166" i="1"/>
  <c r="J166" i="1"/>
  <c r="G1314" i="7"/>
  <c r="L1323" i="7"/>
  <c r="J1323" i="7"/>
  <c r="J1327" i="7"/>
  <c r="L1327" i="7"/>
  <c r="L1324" i="7"/>
  <c r="J1324" i="7"/>
  <c r="L1329" i="7"/>
  <c r="J1329" i="7"/>
  <c r="F174" i="12" l="1"/>
  <c r="F175" i="12"/>
  <c r="F176" i="12"/>
  <c r="F177" i="12"/>
  <c r="H180" i="12"/>
  <c r="H178" i="12"/>
  <c r="H179" i="12"/>
  <c r="G178" i="10"/>
  <c r="G180" i="10"/>
  <c r="G179" i="10"/>
  <c r="F177" i="11"/>
  <c r="F176" i="11"/>
  <c r="F175" i="11"/>
  <c r="F174" i="11"/>
  <c r="F175" i="10"/>
  <c r="H175" i="10" s="1"/>
  <c r="I175" i="10" s="1"/>
  <c r="F174" i="10"/>
  <c r="H174" i="10" s="1"/>
  <c r="I174" i="10" s="1"/>
  <c r="F177" i="10"/>
  <c r="H177" i="10" s="1"/>
  <c r="I177" i="10" s="1"/>
  <c r="F176" i="10"/>
  <c r="H176" i="10" s="1"/>
  <c r="I176" i="10" s="1"/>
  <c r="J1318" i="7"/>
  <c r="L1318" i="7"/>
  <c r="L1320" i="7"/>
  <c r="J1320" i="7"/>
  <c r="L1319" i="7"/>
  <c r="J1319" i="7"/>
  <c r="J1317" i="7"/>
  <c r="L1317" i="7"/>
  <c r="J1321" i="7"/>
  <c r="L1321" i="7"/>
  <c r="E164" i="1"/>
  <c r="G1313" i="7"/>
  <c r="G1311" i="7"/>
  <c r="G1312" i="7"/>
  <c r="G1310" i="7"/>
  <c r="G1309" i="7"/>
  <c r="G1307" i="7"/>
  <c r="G1308" i="7"/>
  <c r="G1306" i="7"/>
  <c r="H165" i="1"/>
  <c r="J165" i="1"/>
  <c r="L1314" i="7"/>
  <c r="J1314" i="7"/>
  <c r="J1316" i="7"/>
  <c r="L1316" i="7"/>
  <c r="J1315" i="7"/>
  <c r="L1315" i="7"/>
  <c r="H175" i="12" l="1"/>
  <c r="H177" i="12"/>
  <c r="H176" i="12"/>
  <c r="H174" i="12"/>
  <c r="G176" i="10"/>
  <c r="G177" i="10"/>
  <c r="G174" i="10"/>
  <c r="G175" i="10"/>
  <c r="J1313" i="7"/>
  <c r="L1313" i="7"/>
  <c r="E163" i="1"/>
  <c r="G1305" i="7"/>
  <c r="G1303" i="7"/>
  <c r="G1304" i="7"/>
  <c r="G1302" i="7"/>
  <c r="G1301" i="7"/>
  <c r="G1300" i="7"/>
  <c r="G1299" i="7"/>
  <c r="G1298" i="7"/>
  <c r="H164" i="1"/>
  <c r="J164" i="1"/>
  <c r="L1308" i="7"/>
  <c r="J1308" i="7"/>
  <c r="J1310" i="7"/>
  <c r="L1310" i="7"/>
  <c r="J1307" i="7"/>
  <c r="L1307" i="7"/>
  <c r="J1309" i="7"/>
  <c r="L1309" i="7"/>
  <c r="J1312" i="7"/>
  <c r="L1312" i="7"/>
  <c r="L1306" i="7"/>
  <c r="J1306" i="7"/>
  <c r="L1311" i="7"/>
  <c r="J1311" i="7"/>
  <c r="F172" i="8" l="1"/>
  <c r="H172" i="8" s="1"/>
  <c r="F173" i="8"/>
  <c r="H173" i="8" s="1"/>
  <c r="A173" i="9"/>
  <c r="A172" i="9"/>
  <c r="J1302" i="7"/>
  <c r="L1302" i="7"/>
  <c r="J1304" i="7"/>
  <c r="L1304" i="7"/>
  <c r="G1297" i="7"/>
  <c r="E162" i="1"/>
  <c r="G1296" i="7"/>
  <c r="G1293" i="7"/>
  <c r="G1292" i="7"/>
  <c r="G1291" i="7"/>
  <c r="G1290" i="7"/>
  <c r="G1294" i="7"/>
  <c r="G1295" i="7"/>
  <c r="H163" i="1"/>
  <c r="J163" i="1"/>
  <c r="L1305" i="7"/>
  <c r="J1305" i="7"/>
  <c r="J1300" i="7"/>
  <c r="L1300" i="7"/>
  <c r="L1303" i="7"/>
  <c r="J1303" i="7"/>
  <c r="L1298" i="7"/>
  <c r="J1298" i="7"/>
  <c r="L1299" i="7"/>
  <c r="J1299" i="7"/>
  <c r="J1301" i="7"/>
  <c r="L1301" i="7"/>
  <c r="F172" i="12" l="1"/>
  <c r="F173" i="12"/>
  <c r="F173" i="11"/>
  <c r="F172" i="11"/>
  <c r="F172" i="10"/>
  <c r="H172" i="10" s="1"/>
  <c r="I172" i="10" s="1"/>
  <c r="F173" i="10"/>
  <c r="H173" i="10" s="1"/>
  <c r="I173" i="10" s="1"/>
  <c r="F171" i="8"/>
  <c r="H171" i="8" s="1"/>
  <c r="F169" i="8"/>
  <c r="H169" i="8" s="1"/>
  <c r="F170" i="8"/>
  <c r="H170" i="8" s="1"/>
  <c r="A169" i="9"/>
  <c r="A170" i="9"/>
  <c r="A171" i="9"/>
  <c r="J1293" i="7"/>
  <c r="L1293" i="7"/>
  <c r="J1296" i="7"/>
  <c r="L1296" i="7"/>
  <c r="L1294" i="7"/>
  <c r="J1294" i="7"/>
  <c r="L1297" i="7"/>
  <c r="J1297" i="7"/>
  <c r="L1295" i="7"/>
  <c r="J1295" i="7"/>
  <c r="L1291" i="7"/>
  <c r="J1291" i="7"/>
  <c r="G1289" i="7"/>
  <c r="E161" i="1"/>
  <c r="G1287" i="7"/>
  <c r="G1286" i="7"/>
  <c r="G1288" i="7"/>
  <c r="G1284" i="7"/>
  <c r="G1285" i="7"/>
  <c r="G1282" i="7"/>
  <c r="H162" i="1"/>
  <c r="G1283" i="7"/>
  <c r="J162" i="1"/>
  <c r="L1290" i="7"/>
  <c r="J1290" i="7"/>
  <c r="J1292" i="7"/>
  <c r="L1292" i="7"/>
  <c r="F170" i="12" l="1"/>
  <c r="F171" i="12"/>
  <c r="F169" i="12"/>
  <c r="H172" i="12"/>
  <c r="H173" i="12"/>
  <c r="G173" i="10"/>
  <c r="G172" i="10"/>
  <c r="F169" i="11"/>
  <c r="F171" i="11"/>
  <c r="F170" i="11"/>
  <c r="F171" i="10"/>
  <c r="H171" i="10" s="1"/>
  <c r="I171" i="10" s="1"/>
  <c r="F169" i="10"/>
  <c r="H169" i="10" s="1"/>
  <c r="I169" i="10" s="1"/>
  <c r="F170" i="10"/>
  <c r="H170" i="10" s="1"/>
  <c r="I170" i="10" s="1"/>
  <c r="L1282" i="7"/>
  <c r="J1282" i="7"/>
  <c r="L1288" i="7"/>
  <c r="J1288" i="7"/>
  <c r="J1284" i="7"/>
  <c r="L1284" i="7"/>
  <c r="J1285" i="7"/>
  <c r="L1285" i="7"/>
  <c r="J1286" i="7"/>
  <c r="L1286" i="7"/>
  <c r="L1287" i="7"/>
  <c r="J1287" i="7"/>
  <c r="L1283" i="7"/>
  <c r="J1283" i="7"/>
  <c r="G1281" i="7"/>
  <c r="E160" i="1"/>
  <c r="G1279" i="7"/>
  <c r="G1280" i="7"/>
  <c r="G1277" i="7"/>
  <c r="G1276" i="7"/>
  <c r="G1278" i="7"/>
  <c r="G1275" i="7"/>
  <c r="G1274" i="7"/>
  <c r="J161" i="1"/>
  <c r="H161" i="1"/>
  <c r="J1289" i="7"/>
  <c r="L1289" i="7"/>
  <c r="H170" i="12" l="1"/>
  <c r="H169" i="12"/>
  <c r="H171" i="12"/>
  <c r="G171" i="10"/>
  <c r="G170" i="10"/>
  <c r="G169" i="10"/>
  <c r="J1277" i="7"/>
  <c r="L1277" i="7"/>
  <c r="L1279" i="7"/>
  <c r="J1279" i="7"/>
  <c r="E159" i="1"/>
  <c r="G1272" i="7"/>
  <c r="G1273" i="7"/>
  <c r="G1271" i="7"/>
  <c r="G1269" i="7"/>
  <c r="G1270" i="7"/>
  <c r="G1268" i="7"/>
  <c r="G1266" i="7"/>
  <c r="G1267" i="7"/>
  <c r="H160" i="1"/>
  <c r="J160" i="1"/>
  <c r="L1274" i="7"/>
  <c r="J1274" i="7"/>
  <c r="L1281" i="7"/>
  <c r="J1281" i="7"/>
  <c r="L1280" i="7"/>
  <c r="J1280" i="7"/>
  <c r="J1275" i="7"/>
  <c r="L1275" i="7"/>
  <c r="L1278" i="7"/>
  <c r="J1278" i="7"/>
  <c r="J1276" i="7"/>
  <c r="L1276" i="7"/>
  <c r="F165" i="8" l="1"/>
  <c r="H165" i="8" s="1"/>
  <c r="F166" i="8"/>
  <c r="H166" i="8" s="1"/>
  <c r="F167" i="8"/>
  <c r="H167" i="8" s="1"/>
  <c r="F168" i="8"/>
  <c r="H168" i="8" s="1"/>
  <c r="A167" i="9"/>
  <c r="A168" i="9"/>
  <c r="A165" i="9"/>
  <c r="A166" i="9"/>
  <c r="L1271" i="7"/>
  <c r="J1271" i="7"/>
  <c r="L1273" i="7"/>
  <c r="J1273" i="7"/>
  <c r="L1267" i="7"/>
  <c r="J1267" i="7"/>
  <c r="J1268" i="7"/>
  <c r="L1268" i="7"/>
  <c r="G1265" i="7"/>
  <c r="E158" i="1"/>
  <c r="G1263" i="7"/>
  <c r="G1261" i="7"/>
  <c r="G1264" i="7"/>
  <c r="G1262" i="7"/>
  <c r="G1260" i="7"/>
  <c r="G1259" i="7"/>
  <c r="G1258" i="7"/>
  <c r="H159" i="1"/>
  <c r="J159" i="1"/>
  <c r="J1270" i="7"/>
  <c r="L1270" i="7"/>
  <c r="J1272" i="7"/>
  <c r="L1272" i="7"/>
  <c r="L1266" i="7"/>
  <c r="J1266" i="7"/>
  <c r="J1269" i="7"/>
  <c r="L1269" i="7"/>
  <c r="F166" i="12" l="1"/>
  <c r="F167" i="12"/>
  <c r="F168" i="12"/>
  <c r="F165" i="12"/>
  <c r="F165" i="11"/>
  <c r="F168" i="11"/>
  <c r="F167" i="11"/>
  <c r="F166" i="11"/>
  <c r="F165" i="10"/>
  <c r="H165" i="10" s="1"/>
  <c r="I165" i="10" s="1"/>
  <c r="F168" i="10"/>
  <c r="H168" i="10" s="1"/>
  <c r="I168" i="10" s="1"/>
  <c r="F166" i="10"/>
  <c r="H166" i="10" s="1"/>
  <c r="I166" i="10" s="1"/>
  <c r="F167" i="10"/>
  <c r="H167" i="10" s="1"/>
  <c r="I167" i="10" s="1"/>
  <c r="F163" i="8"/>
  <c r="H163" i="8" s="1"/>
  <c r="F164" i="8"/>
  <c r="H164" i="8" s="1"/>
  <c r="F162" i="8"/>
  <c r="H162" i="8" s="1"/>
  <c r="A164" i="9"/>
  <c r="A162" i="9"/>
  <c r="A163" i="9"/>
  <c r="J1264" i="7"/>
  <c r="L1264" i="7"/>
  <c r="L1263" i="7"/>
  <c r="J1263" i="7"/>
  <c r="L1265" i="7"/>
  <c r="J1265" i="7"/>
  <c r="J1261" i="7"/>
  <c r="L1261" i="7"/>
  <c r="J1259" i="7"/>
  <c r="L1259" i="7"/>
  <c r="E157" i="1"/>
  <c r="G1255" i="7"/>
  <c r="G1256" i="7"/>
  <c r="G1257" i="7"/>
  <c r="G1253" i="7"/>
  <c r="G1254" i="7"/>
  <c r="H158" i="1"/>
  <c r="J158" i="1"/>
  <c r="G1250" i="7"/>
  <c r="G1251" i="7"/>
  <c r="G1252" i="7"/>
  <c r="L1258" i="7"/>
  <c r="J1258" i="7"/>
  <c r="J1260" i="7"/>
  <c r="L1260" i="7"/>
  <c r="J1262" i="7"/>
  <c r="L1262" i="7"/>
  <c r="F162" i="12" l="1"/>
  <c r="F163" i="12"/>
  <c r="F164" i="12"/>
  <c r="H168" i="12"/>
  <c r="H167" i="12"/>
  <c r="H165" i="12"/>
  <c r="H166" i="12"/>
  <c r="G167" i="10"/>
  <c r="G166" i="10"/>
  <c r="G168" i="10"/>
  <c r="G165" i="10"/>
  <c r="F164" i="11"/>
  <c r="F163" i="11"/>
  <c r="F162" i="11"/>
  <c r="F163" i="10"/>
  <c r="H163" i="10" s="1"/>
  <c r="I163" i="10" s="1"/>
  <c r="F164" i="10"/>
  <c r="H164" i="10" s="1"/>
  <c r="I164" i="10" s="1"/>
  <c r="F162" i="10"/>
  <c r="H162" i="10" s="1"/>
  <c r="I162" i="10" s="1"/>
  <c r="L1255" i="7"/>
  <c r="J1255" i="7"/>
  <c r="L1250" i="7"/>
  <c r="J1250" i="7"/>
  <c r="E156" i="1"/>
  <c r="G1249" i="7"/>
  <c r="G1247" i="7"/>
  <c r="G1248" i="7"/>
  <c r="G1246" i="7"/>
  <c r="G1243" i="7"/>
  <c r="G1244" i="7"/>
  <c r="G1245" i="7"/>
  <c r="G1242" i="7"/>
  <c r="H157" i="1"/>
  <c r="J157" i="1"/>
  <c r="L1251" i="7"/>
  <c r="J1251" i="7"/>
  <c r="J1254" i="7"/>
  <c r="L1254" i="7"/>
  <c r="L1253" i="7"/>
  <c r="J1253" i="7"/>
  <c r="L1257" i="7"/>
  <c r="J1257" i="7"/>
  <c r="J1252" i="7"/>
  <c r="L1252" i="7"/>
  <c r="J1256" i="7"/>
  <c r="L1256" i="7"/>
  <c r="H163" i="12" l="1"/>
  <c r="H164" i="12"/>
  <c r="H162" i="12"/>
  <c r="G162" i="10"/>
  <c r="G164" i="10"/>
  <c r="G163" i="10"/>
  <c r="L1247" i="7"/>
  <c r="J1247" i="7"/>
  <c r="E155" i="1"/>
  <c r="G1241" i="7"/>
  <c r="G1239" i="7"/>
  <c r="G1240" i="7"/>
  <c r="G1236" i="7"/>
  <c r="G1238" i="7"/>
  <c r="G1237" i="7"/>
  <c r="G1234" i="7"/>
  <c r="G1235" i="7"/>
  <c r="H156" i="1"/>
  <c r="J156" i="1"/>
  <c r="L1249" i="7"/>
  <c r="J1249" i="7"/>
  <c r="J1245" i="7"/>
  <c r="L1245" i="7"/>
  <c r="L1244" i="7"/>
  <c r="J1244" i="7"/>
  <c r="L1242" i="7"/>
  <c r="J1242" i="7"/>
  <c r="J1243" i="7"/>
  <c r="L1243" i="7"/>
  <c r="J1246" i="7"/>
  <c r="L1246" i="7"/>
  <c r="J1248" i="7"/>
  <c r="L1248" i="7"/>
  <c r="J1238" i="7" l="1"/>
  <c r="L1238" i="7"/>
  <c r="J1240" i="7"/>
  <c r="L1240" i="7"/>
  <c r="L1239" i="7"/>
  <c r="J1239" i="7"/>
  <c r="J1241" i="7"/>
  <c r="L1241" i="7"/>
  <c r="J1236" i="7"/>
  <c r="L1236" i="7"/>
  <c r="G1233" i="7"/>
  <c r="E154" i="1"/>
  <c r="G1232" i="7"/>
  <c r="G1231" i="7"/>
  <c r="G1229" i="7"/>
  <c r="G1228" i="7"/>
  <c r="G1230" i="7"/>
  <c r="G1226" i="7"/>
  <c r="G1227" i="7"/>
  <c r="H155" i="1"/>
  <c r="J155" i="1"/>
  <c r="L1235" i="7"/>
  <c r="J1235" i="7"/>
  <c r="L1234" i="7"/>
  <c r="J1234" i="7"/>
  <c r="J1237" i="7"/>
  <c r="L1237" i="7"/>
  <c r="J1232" i="7" l="1"/>
  <c r="L1232" i="7"/>
  <c r="L1233" i="7"/>
  <c r="J1233" i="7"/>
  <c r="L1227" i="7"/>
  <c r="J1227" i="7"/>
  <c r="J1228" i="7"/>
  <c r="L1228" i="7"/>
  <c r="G1225" i="7"/>
  <c r="E153" i="1"/>
  <c r="G1223" i="7"/>
  <c r="G1224" i="7"/>
  <c r="G1222" i="7"/>
  <c r="G1219" i="7"/>
  <c r="G1220" i="7"/>
  <c r="G1221" i="7"/>
  <c r="G1218" i="7"/>
  <c r="H154" i="1"/>
  <c r="J154" i="1"/>
  <c r="L1226" i="7"/>
  <c r="J1226" i="7"/>
  <c r="J1230" i="7"/>
  <c r="L1230" i="7"/>
  <c r="J1229" i="7"/>
  <c r="L1229" i="7"/>
  <c r="L1231" i="7"/>
  <c r="J1231" i="7"/>
  <c r="J1221" i="7" l="1"/>
  <c r="L1221" i="7"/>
  <c r="J1224" i="7"/>
  <c r="L1224" i="7"/>
  <c r="L1219" i="7"/>
  <c r="J1219" i="7"/>
  <c r="L1220" i="7"/>
  <c r="J1220" i="7"/>
  <c r="L1223" i="7"/>
  <c r="J1223" i="7"/>
  <c r="G1217" i="7"/>
  <c r="E152" i="1"/>
  <c r="G1215" i="7"/>
  <c r="G1216" i="7"/>
  <c r="G1213" i="7"/>
  <c r="G1214" i="7"/>
  <c r="G1212" i="7"/>
  <c r="G1211" i="7"/>
  <c r="G1210" i="7"/>
  <c r="J153" i="1"/>
  <c r="H153" i="1"/>
  <c r="J1222" i="7"/>
  <c r="L1222" i="7"/>
  <c r="L1218" i="7"/>
  <c r="J1218" i="7"/>
  <c r="L1225" i="7"/>
  <c r="J1225" i="7"/>
  <c r="J1213" i="7" l="1"/>
  <c r="L1213" i="7"/>
  <c r="J1216" i="7"/>
  <c r="L1216" i="7"/>
  <c r="J1214" i="7"/>
  <c r="L1214" i="7"/>
  <c r="L1215" i="7"/>
  <c r="J1215" i="7"/>
  <c r="L1217" i="7"/>
  <c r="J1217" i="7"/>
  <c r="L1211" i="7"/>
  <c r="J1211" i="7"/>
  <c r="E151" i="1"/>
  <c r="G1209" i="7"/>
  <c r="G1208" i="7"/>
  <c r="G1205" i="7"/>
  <c r="G1206" i="7"/>
  <c r="G1207" i="7"/>
  <c r="G1204" i="7"/>
  <c r="G1203" i="7"/>
  <c r="G1202" i="7"/>
  <c r="H152" i="1"/>
  <c r="J152" i="1"/>
  <c r="L1210" i="7"/>
  <c r="J1210" i="7"/>
  <c r="J1212" i="7"/>
  <c r="L1212" i="7"/>
  <c r="J1208" i="7" l="1"/>
  <c r="L1208" i="7"/>
  <c r="L1202" i="7"/>
  <c r="J1202" i="7"/>
  <c r="L1207" i="7"/>
  <c r="J1207" i="7"/>
  <c r="L1209" i="7"/>
  <c r="J1209" i="7"/>
  <c r="L1203" i="7"/>
  <c r="J1203" i="7"/>
  <c r="J1206" i="7"/>
  <c r="L1206" i="7"/>
  <c r="G1201" i="7"/>
  <c r="E150" i="1"/>
  <c r="G1199" i="7"/>
  <c r="G1197" i="7"/>
  <c r="G1198" i="7"/>
  <c r="G1196" i="7"/>
  <c r="G1200" i="7"/>
  <c r="G1194" i="7"/>
  <c r="G1195" i="7"/>
  <c r="J151" i="1"/>
  <c r="H151" i="1"/>
  <c r="J1204" i="7"/>
  <c r="L1204" i="7"/>
  <c r="J1205" i="7"/>
  <c r="L1205" i="7"/>
  <c r="E149" i="1" l="1"/>
  <c r="G1191" i="7"/>
  <c r="G1192" i="7"/>
  <c r="G1189" i="7"/>
  <c r="G1190" i="7"/>
  <c r="G1193" i="7"/>
  <c r="G1188" i="7"/>
  <c r="G1187" i="7"/>
  <c r="H150" i="1"/>
  <c r="J150" i="1"/>
  <c r="G1186" i="7"/>
  <c r="J1200" i="7"/>
  <c r="L1200" i="7"/>
  <c r="L1199" i="7"/>
  <c r="J1199" i="7"/>
  <c r="J1195" i="7"/>
  <c r="L1195" i="7"/>
  <c r="J1196" i="7"/>
  <c r="L1196" i="7"/>
  <c r="J1197" i="7"/>
  <c r="L1197" i="7"/>
  <c r="L1201" i="7"/>
  <c r="J1201" i="7"/>
  <c r="L1194" i="7"/>
  <c r="J1194" i="7"/>
  <c r="J1198" i="7"/>
  <c r="L1198" i="7"/>
  <c r="F161" i="8" l="1"/>
  <c r="H161" i="8" s="1"/>
  <c r="A161" i="9"/>
  <c r="J1188" i="7"/>
  <c r="L1188" i="7"/>
  <c r="J1192" i="7"/>
  <c r="L1192" i="7"/>
  <c r="J1187" i="7"/>
  <c r="L1187" i="7"/>
  <c r="J1190" i="7"/>
  <c r="L1190" i="7"/>
  <c r="J1189" i="7"/>
  <c r="L1189" i="7"/>
  <c r="L1191" i="7"/>
  <c r="J1191" i="7"/>
  <c r="L1193" i="7"/>
  <c r="J1193" i="7"/>
  <c r="L1186" i="7"/>
  <c r="J1186" i="7"/>
  <c r="E148" i="1"/>
  <c r="G1185" i="7"/>
  <c r="G1183" i="7"/>
  <c r="G1184" i="7"/>
  <c r="G1182" i="7"/>
  <c r="G1179" i="7"/>
  <c r="G1181" i="7"/>
  <c r="G1180" i="7"/>
  <c r="G1178" i="7"/>
  <c r="H149" i="1"/>
  <c r="J149" i="1"/>
  <c r="F161" i="12" s="1"/>
  <c r="H161" i="12" l="1"/>
  <c r="F161" i="10"/>
  <c r="H161" i="10" s="1"/>
  <c r="I161" i="10" s="1"/>
  <c r="F161" i="11"/>
  <c r="F159" i="8"/>
  <c r="H159" i="8" s="1"/>
  <c r="F160" i="8"/>
  <c r="H160" i="8" s="1"/>
  <c r="A160" i="9"/>
  <c r="A159" i="9"/>
  <c r="J1184" i="7"/>
  <c r="L1184" i="7"/>
  <c r="J1182" i="7"/>
  <c r="L1182" i="7"/>
  <c r="L1178" i="7"/>
  <c r="J1178" i="7"/>
  <c r="L1179" i="7"/>
  <c r="J1179" i="7"/>
  <c r="L1180" i="7"/>
  <c r="J1180" i="7"/>
  <c r="L1183" i="7"/>
  <c r="J1183" i="7"/>
  <c r="L1185" i="7"/>
  <c r="J1185" i="7"/>
  <c r="E147" i="1"/>
  <c r="G1177" i="7"/>
  <c r="G1175" i="7"/>
  <c r="G1176" i="7"/>
  <c r="G1174" i="7"/>
  <c r="G1173" i="7"/>
  <c r="G1172" i="7"/>
  <c r="G1170" i="7"/>
  <c r="G1171" i="7"/>
  <c r="H148" i="1"/>
  <c r="J148" i="1"/>
  <c r="J1181" i="7"/>
  <c r="L1181" i="7"/>
  <c r="F159" i="12" l="1"/>
  <c r="F160" i="12"/>
  <c r="G161" i="10"/>
  <c r="F160" i="11"/>
  <c r="F159" i="11"/>
  <c r="F159" i="10"/>
  <c r="H159" i="10" s="1"/>
  <c r="I159" i="10" s="1"/>
  <c r="F160" i="10"/>
  <c r="H160" i="10" s="1"/>
  <c r="I160" i="10" s="1"/>
  <c r="L1171" i="7"/>
  <c r="J1171" i="7"/>
  <c r="J1172" i="7"/>
  <c r="L1172" i="7"/>
  <c r="G1169" i="7"/>
  <c r="E146" i="1"/>
  <c r="G1168" i="7"/>
  <c r="G1165" i="7"/>
  <c r="G1166" i="7"/>
  <c r="G1164" i="7"/>
  <c r="G1167" i="7"/>
  <c r="G1162" i="7"/>
  <c r="G1163" i="7"/>
  <c r="H147" i="1"/>
  <c r="J147" i="1"/>
  <c r="J1174" i="7"/>
  <c r="L1174" i="7"/>
  <c r="L1175" i="7"/>
  <c r="J1175" i="7"/>
  <c r="L1170" i="7"/>
  <c r="J1170" i="7"/>
  <c r="J1173" i="7"/>
  <c r="L1173" i="7"/>
  <c r="J1176" i="7"/>
  <c r="L1176" i="7"/>
  <c r="J1177" i="7"/>
  <c r="L1177" i="7"/>
  <c r="H160" i="12" l="1"/>
  <c r="H159" i="12"/>
  <c r="G160" i="10"/>
  <c r="G159" i="10"/>
  <c r="J1168" i="7"/>
  <c r="L1168" i="7"/>
  <c r="J1163" i="7"/>
  <c r="L1163" i="7"/>
  <c r="L1167" i="7"/>
  <c r="J1167" i="7"/>
  <c r="G1161" i="7"/>
  <c r="E145" i="1"/>
  <c r="G1159" i="7"/>
  <c r="G1158" i="7"/>
  <c r="G1157" i="7"/>
  <c r="G1160" i="7"/>
  <c r="G1156" i="7"/>
  <c r="G1155" i="7"/>
  <c r="H146" i="1"/>
  <c r="J146" i="1"/>
  <c r="G1154" i="7"/>
  <c r="J1164" i="7"/>
  <c r="L1164" i="7"/>
  <c r="L1169" i="7"/>
  <c r="J1169" i="7"/>
  <c r="L1162" i="7"/>
  <c r="J1162" i="7"/>
  <c r="J1166" i="7"/>
  <c r="L1166" i="7"/>
  <c r="J1165" i="7"/>
  <c r="L1165" i="7"/>
  <c r="L1156" i="7" l="1"/>
  <c r="J1156" i="7"/>
  <c r="J1160" i="7"/>
  <c r="L1160" i="7"/>
  <c r="J1158" i="7"/>
  <c r="L1158" i="7"/>
  <c r="L1159" i="7"/>
  <c r="J1159" i="7"/>
  <c r="G1153" i="7"/>
  <c r="E144" i="1"/>
  <c r="G1151" i="7"/>
  <c r="G1149" i="7"/>
  <c r="G1152" i="7"/>
  <c r="G1150" i="7"/>
  <c r="G1148" i="7"/>
  <c r="G1147" i="7"/>
  <c r="G1146" i="7"/>
  <c r="J145" i="1"/>
  <c r="H145" i="1"/>
  <c r="J1157" i="7"/>
  <c r="L1157" i="7"/>
  <c r="L1154" i="7"/>
  <c r="J1154" i="7"/>
  <c r="L1161" i="7"/>
  <c r="J1161" i="7"/>
  <c r="L1155" i="7"/>
  <c r="J1155" i="7"/>
  <c r="F158" i="8" l="1"/>
  <c r="H158" i="8" s="1"/>
  <c r="A158" i="9"/>
  <c r="J1152" i="7"/>
  <c r="L1152" i="7"/>
  <c r="E143" i="1"/>
  <c r="G1145" i="7"/>
  <c r="G1144" i="7"/>
  <c r="G1141" i="7"/>
  <c r="G1142" i="7"/>
  <c r="G1143" i="7"/>
  <c r="G1140" i="7"/>
  <c r="G1139" i="7"/>
  <c r="G1138" i="7"/>
  <c r="H144" i="1"/>
  <c r="J144" i="1"/>
  <c r="F158" i="12" s="1"/>
  <c r="L1153" i="7"/>
  <c r="J1153" i="7"/>
  <c r="L1151" i="7"/>
  <c r="J1151" i="7"/>
  <c r="J1149" i="7"/>
  <c r="L1149" i="7"/>
  <c r="L1146" i="7"/>
  <c r="J1146" i="7"/>
  <c r="L1147" i="7"/>
  <c r="J1147" i="7"/>
  <c r="L1148" i="7"/>
  <c r="J1148" i="7"/>
  <c r="J1150" i="7"/>
  <c r="L1150" i="7"/>
  <c r="H158" i="12" l="1"/>
  <c r="F158" i="10"/>
  <c r="H158" i="10" s="1"/>
  <c r="I158" i="10" s="1"/>
  <c r="F158" i="11"/>
  <c r="L1143" i="7"/>
  <c r="J1143" i="7"/>
  <c r="J1141" i="7"/>
  <c r="L1141" i="7"/>
  <c r="J1144" i="7"/>
  <c r="L1144" i="7"/>
  <c r="J1142" i="7"/>
  <c r="L1142" i="7"/>
  <c r="L1145" i="7"/>
  <c r="J1145" i="7"/>
  <c r="L1138" i="7"/>
  <c r="J1138" i="7"/>
  <c r="L1139" i="7"/>
  <c r="J1139" i="7"/>
  <c r="G1137" i="7"/>
  <c r="E142" i="1"/>
  <c r="G1135" i="7"/>
  <c r="G1133" i="7"/>
  <c r="G1134" i="7"/>
  <c r="G1132" i="7"/>
  <c r="G1136" i="7"/>
  <c r="G1131" i="7"/>
  <c r="J143" i="1"/>
  <c r="G1130" i="7"/>
  <c r="H143" i="1"/>
  <c r="J1140" i="7"/>
  <c r="L1140" i="7"/>
  <c r="G158" i="10" l="1"/>
  <c r="F157" i="8"/>
  <c r="H157" i="8" s="1"/>
  <c r="A157" i="9"/>
  <c r="J1136" i="7"/>
  <c r="L1136" i="7"/>
  <c r="J1132" i="7"/>
  <c r="L1132" i="7"/>
  <c r="L1135" i="7"/>
  <c r="J1135" i="7"/>
  <c r="L1131" i="7"/>
  <c r="J1131" i="7"/>
  <c r="J1134" i="7"/>
  <c r="L1134" i="7"/>
  <c r="L1130" i="7"/>
  <c r="J1130" i="7"/>
  <c r="E141" i="1"/>
  <c r="G1129" i="7"/>
  <c r="G1127" i="7"/>
  <c r="G1128" i="7"/>
  <c r="G1125" i="7"/>
  <c r="G1126" i="7"/>
  <c r="G1124" i="7"/>
  <c r="G1123" i="7"/>
  <c r="H142" i="1"/>
  <c r="J142" i="1"/>
  <c r="F157" i="12" s="1"/>
  <c r="G1122" i="7"/>
  <c r="J1133" i="7"/>
  <c r="L1133" i="7"/>
  <c r="J1137" i="7"/>
  <c r="L1137" i="7"/>
  <c r="H157" i="12" l="1"/>
  <c r="F157" i="10"/>
  <c r="H157" i="10" s="1"/>
  <c r="I157" i="10" s="1"/>
  <c r="F157" i="11"/>
  <c r="J1124" i="7"/>
  <c r="L1124" i="7"/>
  <c r="L1126" i="7"/>
  <c r="J1126" i="7"/>
  <c r="J1125" i="7"/>
  <c r="L1125" i="7"/>
  <c r="J1128" i="7"/>
  <c r="L1128" i="7"/>
  <c r="L1122" i="7"/>
  <c r="J1122" i="7"/>
  <c r="L1127" i="7"/>
  <c r="J1127" i="7"/>
  <c r="J1129" i="7"/>
  <c r="L1129" i="7"/>
  <c r="E140" i="1"/>
  <c r="G1121" i="7"/>
  <c r="G1119" i="7"/>
  <c r="G1120" i="7"/>
  <c r="G1118" i="7"/>
  <c r="G1117" i="7"/>
  <c r="G1115" i="7"/>
  <c r="G1116" i="7"/>
  <c r="G1114" i="7"/>
  <c r="H141" i="1"/>
  <c r="J141" i="1"/>
  <c r="J1123" i="7"/>
  <c r="L1123" i="7"/>
  <c r="G157" i="10" l="1"/>
  <c r="F156" i="8"/>
  <c r="H156" i="8" s="1"/>
  <c r="A156" i="9"/>
  <c r="J1118" i="7"/>
  <c r="L1118" i="7"/>
  <c r="L1119" i="7"/>
  <c r="J1119" i="7"/>
  <c r="E139" i="1"/>
  <c r="G1113" i="7"/>
  <c r="G1111" i="7"/>
  <c r="G1112" i="7"/>
  <c r="G1108" i="7"/>
  <c r="G1106" i="7"/>
  <c r="G1109" i="7"/>
  <c r="J140" i="1"/>
  <c r="F156" i="12" s="1"/>
  <c r="H140" i="1"/>
  <c r="G1110" i="7"/>
  <c r="G1107" i="7"/>
  <c r="J1120" i="7"/>
  <c r="L1120" i="7"/>
  <c r="J1121" i="7"/>
  <c r="L1121" i="7"/>
  <c r="L1114" i="7"/>
  <c r="J1114" i="7"/>
  <c r="L1116" i="7"/>
  <c r="J1116" i="7"/>
  <c r="J1115" i="7"/>
  <c r="L1115" i="7"/>
  <c r="J1117" i="7"/>
  <c r="L1117" i="7"/>
  <c r="H156" i="12" l="1"/>
  <c r="F156" i="10"/>
  <c r="H156" i="10" s="1"/>
  <c r="I156" i="10" s="1"/>
  <c r="F156" i="11"/>
  <c r="F155" i="8"/>
  <c r="H155" i="8" s="1"/>
  <c r="A155" i="9"/>
  <c r="J1112" i="7"/>
  <c r="L1112" i="7"/>
  <c r="L1107" i="7"/>
  <c r="J1107" i="7"/>
  <c r="J1110" i="7"/>
  <c r="L1110" i="7"/>
  <c r="L1109" i="7"/>
  <c r="J1109" i="7"/>
  <c r="J1111" i="7"/>
  <c r="L1111" i="7"/>
  <c r="G1105" i="7"/>
  <c r="E138" i="1"/>
  <c r="G1104" i="7"/>
  <c r="G1103" i="7"/>
  <c r="G1101" i="7"/>
  <c r="G1099" i="7"/>
  <c r="G1100" i="7"/>
  <c r="G1102" i="7"/>
  <c r="G1098" i="7"/>
  <c r="H139" i="1"/>
  <c r="J139" i="1"/>
  <c r="F155" i="12" s="1"/>
  <c r="L1106" i="7"/>
  <c r="J1106" i="7"/>
  <c r="J1113" i="7"/>
  <c r="L1113" i="7"/>
  <c r="L1108" i="7"/>
  <c r="J1108" i="7"/>
  <c r="H155" i="12" l="1"/>
  <c r="G156" i="10"/>
  <c r="F155" i="10"/>
  <c r="H155" i="10" s="1"/>
  <c r="I155" i="10" s="1"/>
  <c r="F155" i="11"/>
  <c r="F154" i="8"/>
  <c r="H154" i="8" s="1"/>
  <c r="A154" i="9"/>
  <c r="J1101" i="7"/>
  <c r="L1101" i="7"/>
  <c r="J1104" i="7"/>
  <c r="L1104" i="7"/>
  <c r="J1105" i="7"/>
  <c r="L1105" i="7"/>
  <c r="J1103" i="7"/>
  <c r="L1103" i="7"/>
  <c r="J1102" i="7"/>
  <c r="L1102" i="7"/>
  <c r="J1099" i="7"/>
  <c r="L1099" i="7"/>
  <c r="G1097" i="7"/>
  <c r="E137" i="1"/>
  <c r="G1095" i="7"/>
  <c r="G1096" i="7"/>
  <c r="G1094" i="7"/>
  <c r="G1093" i="7"/>
  <c r="G1092" i="7"/>
  <c r="G1091" i="7"/>
  <c r="G1090" i="7"/>
  <c r="H138" i="1"/>
  <c r="J138" i="1"/>
  <c r="F154" i="12" s="1"/>
  <c r="L1098" i="7"/>
  <c r="J1098" i="7"/>
  <c r="J1100" i="7"/>
  <c r="L1100" i="7"/>
  <c r="H154" i="12" l="1"/>
  <c r="G155" i="10"/>
  <c r="F154" i="10"/>
  <c r="H154" i="10" s="1"/>
  <c r="I154" i="10" s="1"/>
  <c r="F154" i="11"/>
  <c r="F153" i="8"/>
  <c r="H153" i="8" s="1"/>
  <c r="A153" i="9"/>
  <c r="J1091" i="7"/>
  <c r="L1091" i="7"/>
  <c r="J1094" i="7"/>
  <c r="L1094" i="7"/>
  <c r="L1096" i="7"/>
  <c r="J1096" i="7"/>
  <c r="J1092" i="7"/>
  <c r="L1092" i="7"/>
  <c r="J1095" i="7"/>
  <c r="L1095" i="7"/>
  <c r="G1089" i="7"/>
  <c r="E136" i="1"/>
  <c r="G1087" i="7"/>
  <c r="G1088" i="7"/>
  <c r="G1085" i="7"/>
  <c r="G1086" i="7"/>
  <c r="G1084" i="7"/>
  <c r="G1083" i="7"/>
  <c r="G1082" i="7"/>
  <c r="J137" i="1"/>
  <c r="F153" i="12" s="1"/>
  <c r="H137" i="1"/>
  <c r="J1093" i="7"/>
  <c r="L1093" i="7"/>
  <c r="L1090" i="7"/>
  <c r="J1090" i="7"/>
  <c r="J1097" i="7"/>
  <c r="L1097" i="7"/>
  <c r="H153" i="12" l="1"/>
  <c r="G154" i="10"/>
  <c r="F153" i="10"/>
  <c r="H153" i="10" s="1"/>
  <c r="I153" i="10" s="1"/>
  <c r="F153" i="11"/>
  <c r="F149" i="8"/>
  <c r="H149" i="8" s="1"/>
  <c r="F150" i="8"/>
  <c r="H150" i="8" s="1"/>
  <c r="F151" i="8"/>
  <c r="H151" i="8" s="1"/>
  <c r="F152" i="8"/>
  <c r="H152" i="8" s="1"/>
  <c r="A151" i="9"/>
  <c r="A152" i="9"/>
  <c r="A149" i="9"/>
  <c r="A150" i="9"/>
  <c r="J1089" i="7"/>
  <c r="L1089" i="7"/>
  <c r="J1084" i="7"/>
  <c r="L1084" i="7"/>
  <c r="L1082" i="7"/>
  <c r="J1082" i="7"/>
  <c r="L1083" i="7"/>
  <c r="J1083" i="7"/>
  <c r="J1086" i="7"/>
  <c r="L1086" i="7"/>
  <c r="L1088" i="7"/>
  <c r="J1088" i="7"/>
  <c r="L1085" i="7"/>
  <c r="J1085" i="7"/>
  <c r="L1087" i="7"/>
  <c r="J1087" i="7"/>
  <c r="E135" i="1"/>
  <c r="G1081" i="7"/>
  <c r="G1080" i="7"/>
  <c r="G1079" i="7"/>
  <c r="G1077" i="7"/>
  <c r="G1078" i="7"/>
  <c r="G1076" i="7"/>
  <c r="G1075" i="7"/>
  <c r="G1074" i="7"/>
  <c r="H136" i="1"/>
  <c r="J136" i="1"/>
  <c r="F150" i="12" l="1"/>
  <c r="F151" i="12"/>
  <c r="F152" i="12"/>
  <c r="F149" i="12"/>
  <c r="G153" i="10"/>
  <c r="F149" i="11"/>
  <c r="F152" i="11"/>
  <c r="F151" i="11"/>
  <c r="F150" i="11"/>
  <c r="F149" i="10"/>
  <c r="H149" i="10" s="1"/>
  <c r="I149" i="10" s="1"/>
  <c r="F150" i="10"/>
  <c r="H150" i="10" s="1"/>
  <c r="I150" i="10" s="1"/>
  <c r="F151" i="10"/>
  <c r="H151" i="10" s="1"/>
  <c r="I151" i="10" s="1"/>
  <c r="F152" i="10"/>
  <c r="H152" i="10" s="1"/>
  <c r="I152" i="10" s="1"/>
  <c r="J1078" i="7"/>
  <c r="L1078" i="7"/>
  <c r="J1079" i="7"/>
  <c r="L1079" i="7"/>
  <c r="L1080" i="7"/>
  <c r="J1080" i="7"/>
  <c r="J1081" i="7"/>
  <c r="L1081" i="7"/>
  <c r="G1073" i="7"/>
  <c r="E134" i="1"/>
  <c r="G1071" i="7"/>
  <c r="G1072" i="7"/>
  <c r="G1069" i="7"/>
  <c r="G1070" i="7"/>
  <c r="G1068" i="7"/>
  <c r="G1066" i="7"/>
  <c r="J135" i="1"/>
  <c r="H135" i="1"/>
  <c r="G1067" i="7"/>
  <c r="J1077" i="7"/>
  <c r="L1077" i="7"/>
  <c r="L1074" i="7"/>
  <c r="J1074" i="7"/>
  <c r="L1075" i="7"/>
  <c r="J1075" i="7"/>
  <c r="J1076" i="7"/>
  <c r="L1076" i="7"/>
  <c r="H152" i="12" l="1"/>
  <c r="H151" i="12"/>
  <c r="H149" i="12"/>
  <c r="H150" i="12"/>
  <c r="G150" i="10"/>
  <c r="G149" i="10"/>
  <c r="G152" i="10"/>
  <c r="G151" i="10"/>
  <c r="F148" i="8"/>
  <c r="H148" i="8" s="1"/>
  <c r="A148" i="9"/>
  <c r="J1069" i="7"/>
  <c r="L1069" i="7"/>
  <c r="L1071" i="7"/>
  <c r="J1071" i="7"/>
  <c r="E133" i="1"/>
  <c r="G1065" i="7"/>
  <c r="G1063" i="7"/>
  <c r="G1064" i="7"/>
  <c r="G1061" i="7"/>
  <c r="G1062" i="7"/>
  <c r="G1060" i="7"/>
  <c r="H134" i="1"/>
  <c r="G1058" i="7"/>
  <c r="J134" i="1"/>
  <c r="F148" i="12" s="1"/>
  <c r="G1059" i="7"/>
  <c r="L1072" i="7"/>
  <c r="J1072" i="7"/>
  <c r="J1073" i="7"/>
  <c r="L1073" i="7"/>
  <c r="L1066" i="7"/>
  <c r="J1066" i="7"/>
  <c r="J1068" i="7"/>
  <c r="L1068" i="7"/>
  <c r="L1067" i="7"/>
  <c r="J1067" i="7"/>
  <c r="J1070" i="7"/>
  <c r="L1070" i="7"/>
  <c r="H148" i="12" l="1"/>
  <c r="F148" i="10"/>
  <c r="H148" i="10" s="1"/>
  <c r="I148" i="10" s="1"/>
  <c r="F148" i="11"/>
  <c r="J1059" i="7"/>
  <c r="L1059" i="7"/>
  <c r="J1063" i="7"/>
  <c r="L1063" i="7"/>
  <c r="E132" i="1"/>
  <c r="G1057" i="7"/>
  <c r="G1055" i="7"/>
  <c r="G1056" i="7"/>
  <c r="G1054" i="7"/>
  <c r="G1051" i="7"/>
  <c r="G1053" i="7"/>
  <c r="G1052" i="7"/>
  <c r="G1050" i="7"/>
  <c r="H133" i="1"/>
  <c r="J133" i="1"/>
  <c r="J1060" i="7"/>
  <c r="L1060" i="7"/>
  <c r="J1062" i="7"/>
  <c r="L1062" i="7"/>
  <c r="J1061" i="7"/>
  <c r="L1061" i="7"/>
  <c r="J1065" i="7"/>
  <c r="L1065" i="7"/>
  <c r="L1058" i="7"/>
  <c r="J1058" i="7"/>
  <c r="L1064" i="7"/>
  <c r="J1064" i="7"/>
  <c r="G148" i="10" l="1"/>
  <c r="F147" i="8"/>
  <c r="H147" i="8" s="1"/>
  <c r="A147" i="9"/>
  <c r="J1057" i="7"/>
  <c r="L1057" i="7"/>
  <c r="L1052" i="7"/>
  <c r="J1052" i="7"/>
  <c r="J1053" i="7"/>
  <c r="L1053" i="7"/>
  <c r="J1054" i="7"/>
  <c r="L1054" i="7"/>
  <c r="L1050" i="7"/>
  <c r="J1050" i="7"/>
  <c r="E131" i="1"/>
  <c r="G1049" i="7"/>
  <c r="G1047" i="7"/>
  <c r="G1048" i="7"/>
  <c r="G1044" i="7"/>
  <c r="G1042" i="7"/>
  <c r="G1045" i="7"/>
  <c r="G1043" i="7"/>
  <c r="G1046" i="7"/>
  <c r="J132" i="1"/>
  <c r="F147" i="12" s="1"/>
  <c r="H132" i="1"/>
  <c r="J1051" i="7"/>
  <c r="L1051" i="7"/>
  <c r="L1056" i="7"/>
  <c r="J1056" i="7"/>
  <c r="J1055" i="7"/>
  <c r="L1055" i="7"/>
  <c r="H147" i="12" l="1"/>
  <c r="F147" i="10"/>
  <c r="H147" i="10" s="1"/>
  <c r="I147" i="10" s="1"/>
  <c r="F147" i="11"/>
  <c r="L1042" i="7"/>
  <c r="J1042" i="7"/>
  <c r="J1047" i="7"/>
  <c r="L1047" i="7"/>
  <c r="L1044" i="7"/>
  <c r="J1044" i="7"/>
  <c r="J1049" i="7"/>
  <c r="L1049" i="7"/>
  <c r="J1046" i="7"/>
  <c r="L1046" i="7"/>
  <c r="L1048" i="7"/>
  <c r="J1048" i="7"/>
  <c r="J1043" i="7"/>
  <c r="L1043" i="7"/>
  <c r="G1041" i="7"/>
  <c r="E130" i="1"/>
  <c r="G1040" i="7"/>
  <c r="G1039" i="7"/>
  <c r="G1037" i="7"/>
  <c r="G1035" i="7"/>
  <c r="G1036" i="7"/>
  <c r="G1038" i="7"/>
  <c r="G1034" i="7"/>
  <c r="H131" i="1"/>
  <c r="J131" i="1"/>
  <c r="J1045" i="7"/>
  <c r="L1045" i="7"/>
  <c r="G147" i="10" l="1"/>
  <c r="F146" i="8"/>
  <c r="H146" i="8" s="1"/>
  <c r="A146" i="9"/>
  <c r="L1038" i="7"/>
  <c r="J1038" i="7"/>
  <c r="J1036" i="7"/>
  <c r="L1036" i="7"/>
  <c r="L1040" i="7"/>
  <c r="J1040" i="7"/>
  <c r="L1037" i="7"/>
  <c r="J1037" i="7"/>
  <c r="G1033" i="7"/>
  <c r="E129" i="1"/>
  <c r="G1032" i="7"/>
  <c r="G1030" i="7"/>
  <c r="G1031" i="7"/>
  <c r="G1029" i="7"/>
  <c r="G1028" i="7"/>
  <c r="G1027" i="7"/>
  <c r="G1026" i="7"/>
  <c r="H130" i="1"/>
  <c r="J130" i="1"/>
  <c r="F146" i="12" s="1"/>
  <c r="J1035" i="7"/>
  <c r="L1035" i="7"/>
  <c r="J1039" i="7"/>
  <c r="L1039" i="7"/>
  <c r="J1034" i="7"/>
  <c r="L1034" i="7"/>
  <c r="J1041" i="7"/>
  <c r="L1041" i="7"/>
  <c r="H146" i="12" l="1"/>
  <c r="F146" i="10"/>
  <c r="H146" i="10" s="1"/>
  <c r="I146" i="10" s="1"/>
  <c r="F146" i="11"/>
  <c r="J1029" i="7"/>
  <c r="L1029" i="7"/>
  <c r="J1032" i="7"/>
  <c r="L1032" i="7"/>
  <c r="J1030" i="7"/>
  <c r="L1030" i="7"/>
  <c r="G1025" i="7"/>
  <c r="E128" i="1"/>
  <c r="G1023" i="7"/>
  <c r="G1021" i="7"/>
  <c r="G1022" i="7"/>
  <c r="G1020" i="7"/>
  <c r="G1019" i="7"/>
  <c r="G1018" i="7"/>
  <c r="G1024" i="7"/>
  <c r="J129" i="1"/>
  <c r="H129" i="1"/>
  <c r="J1031" i="7"/>
  <c r="L1031" i="7"/>
  <c r="J1033" i="7"/>
  <c r="L1033" i="7"/>
  <c r="L1026" i="7"/>
  <c r="J1026" i="7"/>
  <c r="J1027" i="7"/>
  <c r="L1027" i="7"/>
  <c r="J1028" i="7"/>
  <c r="L1028" i="7"/>
  <c r="G146" i="10" l="1"/>
  <c r="F144" i="8"/>
  <c r="H144" i="8" s="1"/>
  <c r="F145" i="8"/>
  <c r="H145" i="8" s="1"/>
  <c r="A145" i="9"/>
  <c r="A144" i="9"/>
  <c r="L1018" i="7"/>
  <c r="J1018" i="7"/>
  <c r="L1020" i="7"/>
  <c r="J1020" i="7"/>
  <c r="L1022" i="7"/>
  <c r="J1022" i="7"/>
  <c r="J1021" i="7"/>
  <c r="L1021" i="7"/>
  <c r="L1019" i="7"/>
  <c r="J1019" i="7"/>
  <c r="E127" i="1"/>
  <c r="G1016" i="7"/>
  <c r="G1013" i="7"/>
  <c r="G1014" i="7"/>
  <c r="G1012" i="7"/>
  <c r="G1017" i="7"/>
  <c r="G1011" i="7"/>
  <c r="G1015" i="7"/>
  <c r="G1010" i="7"/>
  <c r="H128" i="1"/>
  <c r="J128" i="1"/>
  <c r="J1023" i="7"/>
  <c r="L1023" i="7"/>
  <c r="L1024" i="7"/>
  <c r="J1024" i="7"/>
  <c r="J1025" i="7"/>
  <c r="L1025" i="7"/>
  <c r="F144" i="12" l="1"/>
  <c r="F145" i="12"/>
  <c r="F145" i="11"/>
  <c r="F144" i="11"/>
  <c r="F145" i="10"/>
  <c r="H145" i="10" s="1"/>
  <c r="I145" i="10" s="1"/>
  <c r="F144" i="10"/>
  <c r="H144" i="10" s="1"/>
  <c r="I144" i="10" s="1"/>
  <c r="F140" i="8"/>
  <c r="H140" i="8" s="1"/>
  <c r="F141" i="8"/>
  <c r="H141" i="8" s="1"/>
  <c r="F142" i="8"/>
  <c r="H142" i="8" s="1"/>
  <c r="F143" i="8"/>
  <c r="H143" i="8" s="1"/>
  <c r="A143" i="9"/>
  <c r="A141" i="9"/>
  <c r="A140" i="9"/>
  <c r="A142" i="9"/>
  <c r="J1017" i="7"/>
  <c r="L1017" i="7"/>
  <c r="J1014" i="7"/>
  <c r="L1014" i="7"/>
  <c r="J1010" i="7"/>
  <c r="L1010" i="7"/>
  <c r="L1016" i="7"/>
  <c r="J1016" i="7"/>
  <c r="J1015" i="7"/>
  <c r="L1015" i="7"/>
  <c r="J1012" i="7"/>
  <c r="L1012" i="7"/>
  <c r="J1013" i="7"/>
  <c r="L1013" i="7"/>
  <c r="G1009" i="7"/>
  <c r="G1007" i="7"/>
  <c r="E126" i="1"/>
  <c r="G1005" i="7"/>
  <c r="G1006" i="7"/>
  <c r="G1004" i="7"/>
  <c r="G1008" i="7"/>
  <c r="J127" i="1"/>
  <c r="G1003" i="7"/>
  <c r="H127" i="1"/>
  <c r="G1002" i="7"/>
  <c r="J1011" i="7"/>
  <c r="L1011" i="7"/>
  <c r="F142" i="12" l="1"/>
  <c r="F143" i="12"/>
  <c r="F140" i="12"/>
  <c r="F141" i="12"/>
  <c r="H144" i="12"/>
  <c r="H145" i="12"/>
  <c r="G144" i="10"/>
  <c r="G145" i="10"/>
  <c r="F141" i="11"/>
  <c r="F140" i="11"/>
  <c r="F143" i="11"/>
  <c r="F142" i="11"/>
  <c r="F140" i="10"/>
  <c r="H140" i="10" s="1"/>
  <c r="I140" i="10" s="1"/>
  <c r="F141" i="10"/>
  <c r="H141" i="10" s="1"/>
  <c r="I141" i="10" s="1"/>
  <c r="F143" i="10"/>
  <c r="H143" i="10" s="1"/>
  <c r="I143" i="10" s="1"/>
  <c r="F142" i="10"/>
  <c r="H142" i="10" s="1"/>
  <c r="I142" i="10" s="1"/>
  <c r="F139" i="8"/>
  <c r="H139" i="8" s="1"/>
  <c r="F136" i="8"/>
  <c r="H136" i="8" s="1"/>
  <c r="F137" i="8"/>
  <c r="H137" i="8" s="1"/>
  <c r="F138" i="8"/>
  <c r="H138" i="8" s="1"/>
  <c r="A137" i="9"/>
  <c r="A136" i="9"/>
  <c r="A138" i="9"/>
  <c r="A139" i="9"/>
  <c r="L1008" i="7"/>
  <c r="J1008" i="7"/>
  <c r="J1006" i="7"/>
  <c r="L1006" i="7"/>
  <c r="J1005" i="7"/>
  <c r="L1005" i="7"/>
  <c r="E125" i="1"/>
  <c r="G999" i="7"/>
  <c r="G1000" i="7"/>
  <c r="G997" i="7"/>
  <c r="G998" i="7"/>
  <c r="G1001" i="7"/>
  <c r="G995" i="7"/>
  <c r="H126" i="1"/>
  <c r="J126" i="1"/>
  <c r="G996" i="7"/>
  <c r="G994" i="7"/>
  <c r="L1002" i="7"/>
  <c r="J1002" i="7"/>
  <c r="L1007" i="7"/>
  <c r="J1007" i="7"/>
  <c r="J1003" i="7"/>
  <c r="L1003" i="7"/>
  <c r="J1004" i="7"/>
  <c r="L1004" i="7"/>
  <c r="J1009" i="7"/>
  <c r="L1009" i="7"/>
  <c r="F138" i="12" l="1"/>
  <c r="F139" i="12"/>
  <c r="F136" i="12"/>
  <c r="F137" i="12"/>
  <c r="H140" i="12"/>
  <c r="H143" i="12"/>
  <c r="H141" i="12"/>
  <c r="H142" i="12"/>
  <c r="G142" i="10"/>
  <c r="G143" i="10"/>
  <c r="G141" i="10"/>
  <c r="G140" i="10"/>
  <c r="F137" i="11"/>
  <c r="F136" i="11"/>
  <c r="F139" i="11"/>
  <c r="F138" i="11"/>
  <c r="F139" i="10"/>
  <c r="H139" i="10" s="1"/>
  <c r="I139" i="10" s="1"/>
  <c r="F136" i="10"/>
  <c r="H136" i="10" s="1"/>
  <c r="I136" i="10" s="1"/>
  <c r="F137" i="10"/>
  <c r="H137" i="10" s="1"/>
  <c r="I137" i="10" s="1"/>
  <c r="F138" i="10"/>
  <c r="H138" i="10" s="1"/>
  <c r="I138" i="10" s="1"/>
  <c r="J1001" i="7"/>
  <c r="L1001" i="7"/>
  <c r="J998" i="7"/>
  <c r="L998" i="7"/>
  <c r="J995" i="7"/>
  <c r="L995" i="7"/>
  <c r="J997" i="7"/>
  <c r="L997" i="7"/>
  <c r="L994" i="7"/>
  <c r="J994" i="7"/>
  <c r="J1000" i="7"/>
  <c r="L1000" i="7"/>
  <c r="J996" i="7"/>
  <c r="L996" i="7"/>
  <c r="J999" i="7"/>
  <c r="L999" i="7"/>
  <c r="E124" i="1"/>
  <c r="G993" i="7"/>
  <c r="G991" i="7"/>
  <c r="G992" i="7"/>
  <c r="G990" i="7"/>
  <c r="G989" i="7"/>
  <c r="G987" i="7"/>
  <c r="G988" i="7"/>
  <c r="G986" i="7"/>
  <c r="H125" i="1"/>
  <c r="J125" i="1"/>
  <c r="H136" i="12" l="1"/>
  <c r="H138" i="12"/>
  <c r="H137" i="12"/>
  <c r="H139" i="12"/>
  <c r="G138" i="10"/>
  <c r="G137" i="10"/>
  <c r="G136" i="10"/>
  <c r="G139" i="10"/>
  <c r="F134" i="8"/>
  <c r="H134" i="8" s="1"/>
  <c r="F135" i="8"/>
  <c r="H135" i="8" s="1"/>
  <c r="A135" i="9"/>
  <c r="A134" i="9"/>
  <c r="J991" i="7"/>
  <c r="L991" i="7"/>
  <c r="E123" i="1"/>
  <c r="G985" i="7"/>
  <c r="G983" i="7"/>
  <c r="G984" i="7"/>
  <c r="G982" i="7"/>
  <c r="G981" i="7"/>
  <c r="G980" i="7"/>
  <c r="G978" i="7"/>
  <c r="G979" i="7"/>
  <c r="H124" i="1"/>
  <c r="J124" i="1"/>
  <c r="J993" i="7"/>
  <c r="L993" i="7"/>
  <c r="J988" i="7"/>
  <c r="L988" i="7"/>
  <c r="J989" i="7"/>
  <c r="L989" i="7"/>
  <c r="J990" i="7"/>
  <c r="L990" i="7"/>
  <c r="L986" i="7"/>
  <c r="J986" i="7"/>
  <c r="L987" i="7"/>
  <c r="J987" i="7"/>
  <c r="L992" i="7"/>
  <c r="J992" i="7"/>
  <c r="F134" i="12" l="1"/>
  <c r="F135" i="12"/>
  <c r="F135" i="11"/>
  <c r="F134" i="11"/>
  <c r="F134" i="10"/>
  <c r="H134" i="10" s="1"/>
  <c r="I134" i="10" s="1"/>
  <c r="F135" i="10"/>
  <c r="H135" i="10" s="1"/>
  <c r="I135" i="10" s="1"/>
  <c r="F131" i="8"/>
  <c r="H131" i="8" s="1"/>
  <c r="F132" i="8"/>
  <c r="H132" i="8" s="1"/>
  <c r="F133" i="8"/>
  <c r="H133" i="8" s="1"/>
  <c r="F130" i="8"/>
  <c r="H130" i="8" s="1"/>
  <c r="A133" i="9"/>
  <c r="A132" i="9"/>
  <c r="A130" i="9"/>
  <c r="A131" i="9"/>
  <c r="J981" i="7"/>
  <c r="L981" i="7"/>
  <c r="L984" i="7"/>
  <c r="J984" i="7"/>
  <c r="J983" i="7"/>
  <c r="L983" i="7"/>
  <c r="J985" i="7"/>
  <c r="L985" i="7"/>
  <c r="J979" i="7"/>
  <c r="L979" i="7"/>
  <c r="J982" i="7"/>
  <c r="L982" i="7"/>
  <c r="L978" i="7"/>
  <c r="J978" i="7"/>
  <c r="G977" i="7"/>
  <c r="E122" i="1"/>
  <c r="G976" i="7"/>
  <c r="G975" i="7"/>
  <c r="G973" i="7"/>
  <c r="G974" i="7"/>
  <c r="G971" i="7"/>
  <c r="G972" i="7"/>
  <c r="G970" i="7"/>
  <c r="J123" i="1"/>
  <c r="H123" i="1"/>
  <c r="L980" i="7"/>
  <c r="J980" i="7"/>
  <c r="F130" i="12" l="1"/>
  <c r="F131" i="12"/>
  <c r="F132" i="12"/>
  <c r="F133" i="12"/>
  <c r="H134" i="12"/>
  <c r="H135" i="12"/>
  <c r="G135" i="10"/>
  <c r="G134" i="10"/>
  <c r="F133" i="11"/>
  <c r="F132" i="11"/>
  <c r="F131" i="11"/>
  <c r="F130" i="11"/>
  <c r="F131" i="10"/>
  <c r="H131" i="10" s="1"/>
  <c r="I131" i="10" s="1"/>
  <c r="F132" i="10"/>
  <c r="H132" i="10" s="1"/>
  <c r="I132" i="10" s="1"/>
  <c r="F133" i="10"/>
  <c r="H133" i="10" s="1"/>
  <c r="I133" i="10" s="1"/>
  <c r="F130" i="10"/>
  <c r="H130" i="10" s="1"/>
  <c r="I130" i="10" s="1"/>
  <c r="F126" i="8"/>
  <c r="H126" i="8" s="1"/>
  <c r="F127" i="8"/>
  <c r="H127" i="8" s="1"/>
  <c r="F128" i="8"/>
  <c r="H128" i="8" s="1"/>
  <c r="F129" i="8"/>
  <c r="H129" i="8" s="1"/>
  <c r="A129" i="9"/>
  <c r="A128" i="9"/>
  <c r="A127" i="9"/>
  <c r="A126" i="9"/>
  <c r="J971" i="7"/>
  <c r="L971" i="7"/>
  <c r="J973" i="7"/>
  <c r="L973" i="7"/>
  <c r="J972" i="7"/>
  <c r="L972" i="7"/>
  <c r="J974" i="7"/>
  <c r="L974" i="7"/>
  <c r="L976" i="7"/>
  <c r="J976" i="7"/>
  <c r="G969" i="7"/>
  <c r="E121" i="1"/>
  <c r="G968" i="7"/>
  <c r="G966" i="7"/>
  <c r="G965" i="7"/>
  <c r="G967" i="7"/>
  <c r="G963" i="7"/>
  <c r="J122" i="1"/>
  <c r="H122" i="1"/>
  <c r="G962" i="7"/>
  <c r="G964" i="7"/>
  <c r="J975" i="7"/>
  <c r="L975" i="7"/>
  <c r="L970" i="7"/>
  <c r="J970" i="7"/>
  <c r="J977" i="7"/>
  <c r="L977" i="7"/>
  <c r="F126" i="12" l="1"/>
  <c r="F127" i="12"/>
  <c r="F128" i="12"/>
  <c r="F129" i="12"/>
  <c r="H132" i="12"/>
  <c r="H131" i="12"/>
  <c r="H133" i="12"/>
  <c r="H130" i="12"/>
  <c r="G130" i="10"/>
  <c r="G133" i="10"/>
  <c r="G132" i="10"/>
  <c r="G131" i="10"/>
  <c r="F129" i="11"/>
  <c r="F128" i="11"/>
  <c r="F127" i="11"/>
  <c r="F126" i="11"/>
  <c r="F128" i="10"/>
  <c r="H128" i="10" s="1"/>
  <c r="I128" i="10" s="1"/>
  <c r="F126" i="10"/>
  <c r="H126" i="10" s="1"/>
  <c r="I126" i="10" s="1"/>
  <c r="F129" i="10"/>
  <c r="H129" i="10" s="1"/>
  <c r="I129" i="10" s="1"/>
  <c r="F127" i="10"/>
  <c r="H127" i="10" s="1"/>
  <c r="I127" i="10" s="1"/>
  <c r="J964" i="7"/>
  <c r="L964" i="7"/>
  <c r="L962" i="7"/>
  <c r="J962" i="7"/>
  <c r="J969" i="7"/>
  <c r="L969" i="7"/>
  <c r="G961" i="7"/>
  <c r="E120" i="1"/>
  <c r="G959" i="7"/>
  <c r="G957" i="7"/>
  <c r="G960" i="7"/>
  <c r="G956" i="7"/>
  <c r="G955" i="7"/>
  <c r="G958" i="7"/>
  <c r="G954" i="7"/>
  <c r="J121" i="1"/>
  <c r="H121" i="1"/>
  <c r="J963" i="7"/>
  <c r="L963" i="7"/>
  <c r="L968" i="7"/>
  <c r="J968" i="7"/>
  <c r="J965" i="7"/>
  <c r="L965" i="7"/>
  <c r="J967" i="7"/>
  <c r="L967" i="7"/>
  <c r="J966" i="7"/>
  <c r="L966" i="7"/>
  <c r="H128" i="12" l="1"/>
  <c r="H126" i="12"/>
  <c r="H127" i="12"/>
  <c r="H129" i="12"/>
  <c r="G127" i="10"/>
  <c r="G129" i="10"/>
  <c r="G126" i="10"/>
  <c r="G128" i="10"/>
  <c r="F125" i="8"/>
  <c r="H125" i="8" s="1"/>
  <c r="A125" i="9"/>
  <c r="J958" i="7"/>
  <c r="L958" i="7"/>
  <c r="L955" i="7"/>
  <c r="J955" i="7"/>
  <c r="L960" i="7"/>
  <c r="J960" i="7"/>
  <c r="J959" i="7"/>
  <c r="L959" i="7"/>
  <c r="L956" i="7"/>
  <c r="J956" i="7"/>
  <c r="L957" i="7"/>
  <c r="J957" i="7"/>
  <c r="E119" i="1"/>
  <c r="G953" i="7"/>
  <c r="G952" i="7"/>
  <c r="G949" i="7"/>
  <c r="G951" i="7"/>
  <c r="G950" i="7"/>
  <c r="G948" i="7"/>
  <c r="G946" i="7"/>
  <c r="H120" i="1"/>
  <c r="G947" i="7"/>
  <c r="J120" i="1"/>
  <c r="F125" i="12" s="1"/>
  <c r="L954" i="7"/>
  <c r="J954" i="7"/>
  <c r="J961" i="7"/>
  <c r="L961" i="7"/>
  <c r="H125" i="12" l="1"/>
  <c r="F125" i="10"/>
  <c r="H125" i="10" s="1"/>
  <c r="I125" i="10" s="1"/>
  <c r="F125" i="11"/>
  <c r="J947" i="7"/>
  <c r="L947" i="7"/>
  <c r="L946" i="7"/>
  <c r="J946" i="7"/>
  <c r="G945" i="7"/>
  <c r="G943" i="7"/>
  <c r="E118" i="1"/>
  <c r="G941" i="7"/>
  <c r="G942" i="7"/>
  <c r="G944" i="7"/>
  <c r="G940" i="7"/>
  <c r="G939" i="7"/>
  <c r="J119" i="1"/>
  <c r="G938" i="7"/>
  <c r="H119" i="1"/>
  <c r="J951" i="7"/>
  <c r="L951" i="7"/>
  <c r="L952" i="7"/>
  <c r="J952" i="7"/>
  <c r="J953" i="7"/>
  <c r="L953" i="7"/>
  <c r="J948" i="7"/>
  <c r="L948" i="7"/>
  <c r="J950" i="7"/>
  <c r="L950" i="7"/>
  <c r="J949" i="7"/>
  <c r="L949" i="7"/>
  <c r="G125" i="10" l="1"/>
  <c r="J943" i="7"/>
  <c r="L943" i="7"/>
  <c r="L938" i="7"/>
  <c r="J938" i="7"/>
  <c r="L940" i="7"/>
  <c r="J940" i="7"/>
  <c r="E117" i="1"/>
  <c r="G935" i="7"/>
  <c r="G936" i="7"/>
  <c r="G933" i="7"/>
  <c r="G934" i="7"/>
  <c r="G931" i="7"/>
  <c r="G932" i="7"/>
  <c r="G937" i="7"/>
  <c r="H118" i="1"/>
  <c r="J118" i="1"/>
  <c r="G930" i="7"/>
  <c r="J945" i="7"/>
  <c r="L945" i="7"/>
  <c r="J939" i="7"/>
  <c r="L939" i="7"/>
  <c r="J942" i="7"/>
  <c r="L942" i="7"/>
  <c r="L944" i="7"/>
  <c r="J944" i="7"/>
  <c r="J941" i="7"/>
  <c r="L941" i="7"/>
  <c r="F123" i="8" l="1"/>
  <c r="H123" i="8" s="1"/>
  <c r="F124" i="8"/>
  <c r="H124" i="8" s="1"/>
  <c r="F122" i="8"/>
  <c r="H122" i="8" s="1"/>
  <c r="A124" i="9"/>
  <c r="A122" i="9"/>
  <c r="A123" i="9"/>
  <c r="J935" i="7"/>
  <c r="L935" i="7"/>
  <c r="E116" i="1"/>
  <c r="G929" i="7"/>
  <c r="G927" i="7"/>
  <c r="G928" i="7"/>
  <c r="G926" i="7"/>
  <c r="G923" i="7"/>
  <c r="G924" i="7"/>
  <c r="G925" i="7"/>
  <c r="G922" i="7"/>
  <c r="H117" i="1"/>
  <c r="J117" i="1"/>
  <c r="L932" i="7"/>
  <c r="J932" i="7"/>
  <c r="J934" i="7"/>
  <c r="L934" i="7"/>
  <c r="J937" i="7"/>
  <c r="L937" i="7"/>
  <c r="L931" i="7"/>
  <c r="J931" i="7"/>
  <c r="L933" i="7"/>
  <c r="J933" i="7"/>
  <c r="L930" i="7"/>
  <c r="J930" i="7"/>
  <c r="L936" i="7"/>
  <c r="J936" i="7"/>
  <c r="F122" i="12" l="1"/>
  <c r="F123" i="12"/>
  <c r="F124" i="12"/>
  <c r="F124" i="11"/>
  <c r="F123" i="11"/>
  <c r="F122" i="11"/>
  <c r="F123" i="10"/>
  <c r="H123" i="10" s="1"/>
  <c r="I123" i="10" s="1"/>
  <c r="F124" i="10"/>
  <c r="H124" i="10" s="1"/>
  <c r="I124" i="10" s="1"/>
  <c r="F122" i="10"/>
  <c r="H122" i="10" s="1"/>
  <c r="I122" i="10" s="1"/>
  <c r="F119" i="8"/>
  <c r="H119" i="8" s="1"/>
  <c r="F120" i="8"/>
  <c r="H120" i="8" s="1"/>
  <c r="F121" i="8"/>
  <c r="H121" i="8" s="1"/>
  <c r="A121" i="9"/>
  <c r="A119" i="9"/>
  <c r="A120" i="9"/>
  <c r="J923" i="7"/>
  <c r="L923" i="7"/>
  <c r="L926" i="7"/>
  <c r="J926" i="7"/>
  <c r="E115" i="1"/>
  <c r="G921" i="7"/>
  <c r="G919" i="7"/>
  <c r="G920" i="7"/>
  <c r="G916" i="7"/>
  <c r="G918" i="7"/>
  <c r="G917" i="7"/>
  <c r="G915" i="7"/>
  <c r="G914" i="7"/>
  <c r="H116" i="1"/>
  <c r="J116" i="1"/>
  <c r="J929" i="7"/>
  <c r="L929" i="7"/>
  <c r="J925" i="7"/>
  <c r="L925" i="7"/>
  <c r="L928" i="7"/>
  <c r="J928" i="7"/>
  <c r="L927" i="7"/>
  <c r="J927" i="7"/>
  <c r="L922" i="7"/>
  <c r="J922" i="7"/>
  <c r="J924" i="7"/>
  <c r="L924" i="7"/>
  <c r="F119" i="12" l="1"/>
  <c r="F120" i="12"/>
  <c r="F121" i="12"/>
  <c r="H124" i="12"/>
  <c r="H123" i="12"/>
  <c r="H122" i="12"/>
  <c r="G122" i="10"/>
  <c r="G124" i="10"/>
  <c r="G123" i="10"/>
  <c r="F121" i="11"/>
  <c r="F120" i="11"/>
  <c r="F119" i="11"/>
  <c r="F119" i="10"/>
  <c r="H119" i="10" s="1"/>
  <c r="I119" i="10" s="1"/>
  <c r="F121" i="10"/>
  <c r="H121" i="10" s="1"/>
  <c r="I121" i="10" s="1"/>
  <c r="F120" i="10"/>
  <c r="H120" i="10" s="1"/>
  <c r="I120" i="10" s="1"/>
  <c r="J921" i="7"/>
  <c r="L921" i="7"/>
  <c r="L914" i="7"/>
  <c r="J914" i="7"/>
  <c r="L915" i="7"/>
  <c r="J915" i="7"/>
  <c r="G913" i="7"/>
  <c r="E114" i="1"/>
  <c r="G912" i="7"/>
  <c r="G911" i="7"/>
  <c r="G909" i="7"/>
  <c r="G907" i="7"/>
  <c r="G908" i="7"/>
  <c r="G910" i="7"/>
  <c r="G906" i="7"/>
  <c r="H115" i="1"/>
  <c r="J115" i="1"/>
  <c r="J917" i="7"/>
  <c r="L917" i="7"/>
  <c r="L916" i="7"/>
  <c r="J916" i="7"/>
  <c r="J918" i="7"/>
  <c r="L918" i="7"/>
  <c r="L920" i="7"/>
  <c r="J920" i="7"/>
  <c r="J919" i="7"/>
  <c r="L919" i="7"/>
  <c r="H120" i="12" l="1"/>
  <c r="H119" i="12"/>
  <c r="H121" i="12"/>
  <c r="G120" i="10"/>
  <c r="G121" i="10"/>
  <c r="G119" i="10"/>
  <c r="J908" i="7"/>
  <c r="L908" i="7"/>
  <c r="J909" i="7"/>
  <c r="L909" i="7"/>
  <c r="L907" i="7"/>
  <c r="J907" i="7"/>
  <c r="J912" i="7"/>
  <c r="L912" i="7"/>
  <c r="G905" i="7"/>
  <c r="E113" i="1"/>
  <c r="G903" i="7"/>
  <c r="G904" i="7"/>
  <c r="G902" i="7"/>
  <c r="G901" i="7"/>
  <c r="G900" i="7"/>
  <c r="G899" i="7"/>
  <c r="G898" i="7"/>
  <c r="J114" i="1"/>
  <c r="H114" i="1"/>
  <c r="J911" i="7"/>
  <c r="L911" i="7"/>
  <c r="L906" i="7"/>
  <c r="J906" i="7"/>
  <c r="J913" i="7"/>
  <c r="L913" i="7"/>
  <c r="J910" i="7"/>
  <c r="L910" i="7"/>
  <c r="F115" i="8" l="1"/>
  <c r="H115" i="8" s="1"/>
  <c r="F116" i="8"/>
  <c r="H116" i="8" s="1"/>
  <c r="F117" i="8"/>
  <c r="H117" i="8" s="1"/>
  <c r="F118" i="8"/>
  <c r="H118" i="8" s="1"/>
  <c r="A117" i="9"/>
  <c r="A116" i="9"/>
  <c r="A115" i="9"/>
  <c r="A118" i="9"/>
  <c r="L900" i="7"/>
  <c r="J900" i="7"/>
  <c r="J901" i="7"/>
  <c r="L901" i="7"/>
  <c r="J902" i="7"/>
  <c r="L902" i="7"/>
  <c r="L904" i="7"/>
  <c r="J904" i="7"/>
  <c r="J903" i="7"/>
  <c r="L903" i="7"/>
  <c r="G897" i="7"/>
  <c r="E112" i="1"/>
  <c r="G895" i="7"/>
  <c r="G896" i="7"/>
  <c r="G893" i="7"/>
  <c r="G892" i="7"/>
  <c r="G891" i="7"/>
  <c r="G890" i="7"/>
  <c r="J113" i="1"/>
  <c r="G894" i="7"/>
  <c r="H113" i="1"/>
  <c r="L898" i="7"/>
  <c r="J898" i="7"/>
  <c r="J905" i="7"/>
  <c r="L905" i="7"/>
  <c r="L899" i="7"/>
  <c r="J899" i="7"/>
  <c r="F118" i="12" l="1"/>
  <c r="F115" i="12"/>
  <c r="F116" i="12"/>
  <c r="F117" i="12"/>
  <c r="F117" i="11"/>
  <c r="F116" i="11"/>
  <c r="F115" i="11"/>
  <c r="F118" i="11"/>
  <c r="F115" i="10"/>
  <c r="H115" i="10" s="1"/>
  <c r="I115" i="10" s="1"/>
  <c r="F116" i="10"/>
  <c r="H116" i="10" s="1"/>
  <c r="I116" i="10" s="1"/>
  <c r="F117" i="10"/>
  <c r="H117" i="10" s="1"/>
  <c r="I117" i="10" s="1"/>
  <c r="F118" i="10"/>
  <c r="H118" i="10" s="1"/>
  <c r="I118" i="10" s="1"/>
  <c r="F111" i="8"/>
  <c r="H111" i="8" s="1"/>
  <c r="F112" i="8"/>
  <c r="H112" i="8" s="1"/>
  <c r="F113" i="8"/>
  <c r="H113" i="8" s="1"/>
  <c r="F114" i="8"/>
  <c r="H114" i="8" s="1"/>
  <c r="A113" i="9"/>
  <c r="A112" i="9"/>
  <c r="A111" i="9"/>
  <c r="A114" i="9"/>
  <c r="J893" i="7"/>
  <c r="L893" i="7"/>
  <c r="J894" i="7"/>
  <c r="L894" i="7"/>
  <c r="E111" i="1"/>
  <c r="G889" i="7"/>
  <c r="G888" i="7"/>
  <c r="G887" i="7"/>
  <c r="G885" i="7"/>
  <c r="G886" i="7"/>
  <c r="G884" i="7"/>
  <c r="G882" i="7"/>
  <c r="G883" i="7"/>
  <c r="H112" i="1"/>
  <c r="J112" i="1"/>
  <c r="J896" i="7"/>
  <c r="L896" i="7"/>
  <c r="J895" i="7"/>
  <c r="L895" i="7"/>
  <c r="J897" i="7"/>
  <c r="L897" i="7"/>
  <c r="L891" i="7"/>
  <c r="J891" i="7"/>
  <c r="L890" i="7"/>
  <c r="J890" i="7"/>
  <c r="L892" i="7"/>
  <c r="J892" i="7"/>
  <c r="F114" i="12" l="1"/>
  <c r="F111" i="12"/>
  <c r="F112" i="12"/>
  <c r="F113" i="12"/>
  <c r="H118" i="12"/>
  <c r="H116" i="12"/>
  <c r="H115" i="12"/>
  <c r="H117" i="12"/>
  <c r="G118" i="10"/>
  <c r="G117" i="10"/>
  <c r="G116" i="10"/>
  <c r="G115" i="10"/>
  <c r="F113" i="11"/>
  <c r="F112" i="11"/>
  <c r="F111" i="11"/>
  <c r="F114" i="11"/>
  <c r="F111" i="10"/>
  <c r="H111" i="10" s="1"/>
  <c r="I111" i="10" s="1"/>
  <c r="F113" i="10"/>
  <c r="H113" i="10" s="1"/>
  <c r="I113" i="10" s="1"/>
  <c r="F112" i="10"/>
  <c r="H112" i="10" s="1"/>
  <c r="I112" i="10" s="1"/>
  <c r="F114" i="10"/>
  <c r="H114" i="10" s="1"/>
  <c r="I114" i="10" s="1"/>
  <c r="L888" i="7"/>
  <c r="J888" i="7"/>
  <c r="J883" i="7"/>
  <c r="L883" i="7"/>
  <c r="G881" i="7"/>
  <c r="G879" i="7"/>
  <c r="G880" i="7"/>
  <c r="G877" i="7"/>
  <c r="E110" i="1"/>
  <c r="G878" i="7"/>
  <c r="G876" i="7"/>
  <c r="G875" i="7"/>
  <c r="J111" i="1"/>
  <c r="G874" i="7"/>
  <c r="H111" i="1"/>
  <c r="J889" i="7"/>
  <c r="L889" i="7"/>
  <c r="L882" i="7"/>
  <c r="J882" i="7"/>
  <c r="J884" i="7"/>
  <c r="L884" i="7"/>
  <c r="J885" i="7"/>
  <c r="L885" i="7"/>
  <c r="J886" i="7"/>
  <c r="L886" i="7"/>
  <c r="J887" i="7"/>
  <c r="L887" i="7"/>
  <c r="H112" i="12" l="1"/>
  <c r="H111" i="12"/>
  <c r="H113" i="12"/>
  <c r="H114" i="12"/>
  <c r="G114" i="10"/>
  <c r="G112" i="10"/>
  <c r="G113" i="10"/>
  <c r="G111" i="10"/>
  <c r="J879" i="7"/>
  <c r="L879" i="7"/>
  <c r="J881" i="7"/>
  <c r="L881" i="7"/>
  <c r="L875" i="7"/>
  <c r="J875" i="7"/>
  <c r="L874" i="7"/>
  <c r="J874" i="7"/>
  <c r="J876" i="7"/>
  <c r="L876" i="7"/>
  <c r="J878" i="7"/>
  <c r="L878" i="7"/>
  <c r="E109" i="1"/>
  <c r="G873" i="7"/>
  <c r="G871" i="7"/>
  <c r="G872" i="7"/>
  <c r="G869" i="7"/>
  <c r="G870" i="7"/>
  <c r="G868" i="7"/>
  <c r="G867" i="7"/>
  <c r="G866" i="7"/>
  <c r="H110" i="1"/>
  <c r="J110" i="1"/>
  <c r="J877" i="7"/>
  <c r="L877" i="7"/>
  <c r="L880" i="7"/>
  <c r="J880" i="7"/>
  <c r="F109" i="8" l="1"/>
  <c r="H109" i="8" s="1"/>
  <c r="F110" i="8"/>
  <c r="H110" i="8" s="1"/>
  <c r="A109" i="9"/>
  <c r="A110" i="9"/>
  <c r="E108" i="1"/>
  <c r="G865" i="7"/>
  <c r="G863" i="7"/>
  <c r="G864" i="7"/>
  <c r="G862" i="7"/>
  <c r="G859" i="7"/>
  <c r="G860" i="7"/>
  <c r="G861" i="7"/>
  <c r="G858" i="7"/>
  <c r="H109" i="1"/>
  <c r="J109" i="1"/>
  <c r="J868" i="7"/>
  <c r="L868" i="7"/>
  <c r="J867" i="7"/>
  <c r="L867" i="7"/>
  <c r="L869" i="7"/>
  <c r="J869" i="7"/>
  <c r="L866" i="7"/>
  <c r="J866" i="7"/>
  <c r="L872" i="7"/>
  <c r="J872" i="7"/>
  <c r="J870" i="7"/>
  <c r="L870" i="7"/>
  <c r="J871" i="7"/>
  <c r="L871" i="7"/>
  <c r="J873" i="7"/>
  <c r="L873" i="7"/>
  <c r="F110" i="12" l="1"/>
  <c r="F109" i="12"/>
  <c r="F109" i="11"/>
  <c r="F110" i="11"/>
  <c r="F109" i="10"/>
  <c r="H109" i="10" s="1"/>
  <c r="I109" i="10" s="1"/>
  <c r="F110" i="10"/>
  <c r="H110" i="10" s="1"/>
  <c r="I110" i="10" s="1"/>
  <c r="F107" i="8"/>
  <c r="H107" i="8" s="1"/>
  <c r="F108" i="8"/>
  <c r="H108" i="8" s="1"/>
  <c r="F106" i="8"/>
  <c r="H106" i="8" s="1"/>
  <c r="A108" i="9"/>
  <c r="A106" i="9"/>
  <c r="A107" i="9"/>
  <c r="J861" i="7"/>
  <c r="L861" i="7"/>
  <c r="J859" i="7"/>
  <c r="L859" i="7"/>
  <c r="J862" i="7"/>
  <c r="L862" i="7"/>
  <c r="L864" i="7"/>
  <c r="J864" i="7"/>
  <c r="J863" i="7"/>
  <c r="L863" i="7"/>
  <c r="J865" i="7"/>
  <c r="L865" i="7"/>
  <c r="J860" i="7"/>
  <c r="L860" i="7"/>
  <c r="L858" i="7"/>
  <c r="J858" i="7"/>
  <c r="E107" i="1"/>
  <c r="G857" i="7"/>
  <c r="G855" i="7"/>
  <c r="G856" i="7"/>
  <c r="G854" i="7"/>
  <c r="G853" i="7"/>
  <c r="G850" i="7"/>
  <c r="G852" i="7"/>
  <c r="H108" i="1"/>
  <c r="J108" i="1"/>
  <c r="G851" i="7"/>
  <c r="F106" i="12" l="1"/>
  <c r="F107" i="12"/>
  <c r="F108" i="12"/>
  <c r="H110" i="12"/>
  <c r="H109" i="12"/>
  <c r="G110" i="10"/>
  <c r="G109" i="10"/>
  <c r="F108" i="11"/>
  <c r="F107" i="11"/>
  <c r="F106" i="11"/>
  <c r="F107" i="10"/>
  <c r="H107" i="10" s="1"/>
  <c r="I107" i="10" s="1"/>
  <c r="F108" i="10"/>
  <c r="H108" i="10" s="1"/>
  <c r="I108" i="10" s="1"/>
  <c r="F106" i="10"/>
  <c r="H106" i="10" s="1"/>
  <c r="I106" i="10" s="1"/>
  <c r="G849" i="7"/>
  <c r="E106" i="1"/>
  <c r="G848" i="7"/>
  <c r="G845" i="7"/>
  <c r="G843" i="7"/>
  <c r="G846" i="7"/>
  <c r="G844" i="7"/>
  <c r="G847" i="7"/>
  <c r="G842" i="7"/>
  <c r="J107" i="1"/>
  <c r="H107" i="1"/>
  <c r="L852" i="7"/>
  <c r="J852" i="7"/>
  <c r="L850" i="7"/>
  <c r="J850" i="7"/>
  <c r="L856" i="7"/>
  <c r="J856" i="7"/>
  <c r="J853" i="7"/>
  <c r="L853" i="7"/>
  <c r="J854" i="7"/>
  <c r="L854" i="7"/>
  <c r="J851" i="7"/>
  <c r="L851" i="7"/>
  <c r="J855" i="7"/>
  <c r="L855" i="7"/>
  <c r="J857" i="7"/>
  <c r="L857" i="7"/>
  <c r="H108" i="12" l="1"/>
  <c r="H107" i="12"/>
  <c r="H106" i="12"/>
  <c r="G107" i="10"/>
  <c r="G106" i="10"/>
  <c r="G108" i="10"/>
  <c r="J847" i="7"/>
  <c r="L847" i="7"/>
  <c r="J844" i="7"/>
  <c r="L844" i="7"/>
  <c r="J846" i="7"/>
  <c r="L846" i="7"/>
  <c r="J843" i="7"/>
  <c r="L843" i="7"/>
  <c r="J845" i="7"/>
  <c r="L845" i="7"/>
  <c r="L848" i="7"/>
  <c r="J848" i="7"/>
  <c r="G841" i="7"/>
  <c r="E105" i="1"/>
  <c r="G836" i="7"/>
  <c r="G838" i="7"/>
  <c r="G840" i="7"/>
  <c r="G837" i="7"/>
  <c r="G835" i="7"/>
  <c r="J106" i="1"/>
  <c r="G839" i="7"/>
  <c r="H106" i="1"/>
  <c r="G834" i="7"/>
  <c r="L842" i="7"/>
  <c r="J842" i="7"/>
  <c r="J849" i="7"/>
  <c r="L849" i="7"/>
  <c r="F103" i="8" l="1"/>
  <c r="H103" i="8" s="1"/>
  <c r="F104" i="8"/>
  <c r="H104" i="8" s="1"/>
  <c r="F105" i="8"/>
  <c r="H105" i="8" s="1"/>
  <c r="A105" i="9"/>
  <c r="A103" i="9"/>
  <c r="A104" i="9"/>
  <c r="L834" i="7"/>
  <c r="J834" i="7"/>
  <c r="J839" i="7"/>
  <c r="L839" i="7"/>
  <c r="J836" i="7"/>
  <c r="L836" i="7"/>
  <c r="J841" i="7"/>
  <c r="L841" i="7"/>
  <c r="J835" i="7"/>
  <c r="L835" i="7"/>
  <c r="J838" i="7"/>
  <c r="L838" i="7"/>
  <c r="G833" i="7"/>
  <c r="E104" i="1"/>
  <c r="G831" i="7"/>
  <c r="G829" i="7"/>
  <c r="G832" i="7"/>
  <c r="G830" i="7"/>
  <c r="G827" i="7"/>
  <c r="G828" i="7"/>
  <c r="G826" i="7"/>
  <c r="J105" i="1"/>
  <c r="H105" i="1"/>
  <c r="L837" i="7"/>
  <c r="J837" i="7"/>
  <c r="L840" i="7"/>
  <c r="J840" i="7"/>
  <c r="F103" i="12" l="1"/>
  <c r="F104" i="12"/>
  <c r="F105" i="12"/>
  <c r="F105" i="11"/>
  <c r="F104" i="11"/>
  <c r="F103" i="11"/>
  <c r="F104" i="10"/>
  <c r="H104" i="10" s="1"/>
  <c r="I104" i="10" s="1"/>
  <c r="F105" i="10"/>
  <c r="H105" i="10" s="1"/>
  <c r="I105" i="10" s="1"/>
  <c r="F103" i="10"/>
  <c r="H103" i="10" s="1"/>
  <c r="I103" i="10" s="1"/>
  <c r="F100" i="8"/>
  <c r="H100" i="8" s="1"/>
  <c r="F101" i="8"/>
  <c r="H101" i="8" s="1"/>
  <c r="F102" i="8"/>
  <c r="H102" i="8" s="1"/>
  <c r="A101" i="9"/>
  <c r="A100" i="9"/>
  <c r="A102" i="9"/>
  <c r="L828" i="7"/>
  <c r="J828" i="7"/>
  <c r="J827" i="7"/>
  <c r="L827" i="7"/>
  <c r="L832" i="7"/>
  <c r="J832" i="7"/>
  <c r="J830" i="7"/>
  <c r="L830" i="7"/>
  <c r="J829" i="7"/>
  <c r="L829" i="7"/>
  <c r="L831" i="7"/>
  <c r="J831" i="7"/>
  <c r="E103" i="1"/>
  <c r="G825" i="7"/>
  <c r="G824" i="7"/>
  <c r="G821" i="7"/>
  <c r="G822" i="7"/>
  <c r="G823" i="7"/>
  <c r="G820" i="7"/>
  <c r="G819" i="7"/>
  <c r="G818" i="7"/>
  <c r="H104" i="1"/>
  <c r="J104" i="1"/>
  <c r="L826" i="7"/>
  <c r="J826" i="7"/>
  <c r="J833" i="7"/>
  <c r="L833" i="7"/>
  <c r="F102" i="12" l="1"/>
  <c r="F100" i="12"/>
  <c r="F101" i="12"/>
  <c r="H104" i="12"/>
  <c r="H103" i="12"/>
  <c r="H105" i="12"/>
  <c r="G103" i="10"/>
  <c r="G105" i="10"/>
  <c r="G104" i="10"/>
  <c r="F101" i="11"/>
  <c r="F100" i="11"/>
  <c r="F102" i="11"/>
  <c r="F100" i="10"/>
  <c r="H100" i="10" s="1"/>
  <c r="I100" i="10" s="1"/>
  <c r="F101" i="10"/>
  <c r="H101" i="10" s="1"/>
  <c r="I101" i="10" s="1"/>
  <c r="F102" i="10"/>
  <c r="H102" i="10" s="1"/>
  <c r="I102" i="10" s="1"/>
  <c r="J819" i="7"/>
  <c r="L819" i="7"/>
  <c r="J821" i="7"/>
  <c r="L821" i="7"/>
  <c r="L820" i="7"/>
  <c r="J820" i="7"/>
  <c r="J823" i="7"/>
  <c r="L823" i="7"/>
  <c r="L824" i="7"/>
  <c r="J824" i="7"/>
  <c r="J822" i="7"/>
  <c r="L822" i="7"/>
  <c r="J825" i="7"/>
  <c r="L825" i="7"/>
  <c r="L818" i="7"/>
  <c r="J818" i="7"/>
  <c r="G817" i="7"/>
  <c r="G815" i="7"/>
  <c r="G813" i="7"/>
  <c r="G814" i="7"/>
  <c r="E102" i="1"/>
  <c r="G816" i="7"/>
  <c r="G812" i="7"/>
  <c r="G811" i="7"/>
  <c r="H103" i="1"/>
  <c r="J103" i="1"/>
  <c r="G810" i="7"/>
  <c r="H102" i="12" l="1"/>
  <c r="H100" i="12"/>
  <c r="H101" i="12"/>
  <c r="G102" i="10"/>
  <c r="G101" i="10"/>
  <c r="G100" i="10"/>
  <c r="L815" i="7"/>
  <c r="J815" i="7"/>
  <c r="J811" i="7"/>
  <c r="L811" i="7"/>
  <c r="J816" i="7"/>
  <c r="L816" i="7"/>
  <c r="L810" i="7"/>
  <c r="J810" i="7"/>
  <c r="J812" i="7"/>
  <c r="L812" i="7"/>
  <c r="E101" i="1"/>
  <c r="G809" i="7"/>
  <c r="G807" i="7"/>
  <c r="G808" i="7"/>
  <c r="G805" i="7"/>
  <c r="G806" i="7"/>
  <c r="G804" i="7"/>
  <c r="H102" i="1"/>
  <c r="J102" i="1"/>
  <c r="G802" i="7"/>
  <c r="G803" i="7"/>
  <c r="J817" i="7"/>
  <c r="L817" i="7"/>
  <c r="J814" i="7"/>
  <c r="L814" i="7"/>
  <c r="J813" i="7"/>
  <c r="L813" i="7"/>
  <c r="F99" i="8" l="1"/>
  <c r="H99" i="8" s="1"/>
  <c r="F96" i="8"/>
  <c r="H96" i="8" s="1"/>
  <c r="F97" i="8"/>
  <c r="H97" i="8" s="1"/>
  <c r="F98" i="8"/>
  <c r="H98" i="8" s="1"/>
  <c r="A97" i="9"/>
  <c r="A96" i="9"/>
  <c r="A98" i="9"/>
  <c r="A99" i="9"/>
  <c r="L808" i="7"/>
  <c r="J808" i="7"/>
  <c r="J807" i="7"/>
  <c r="L807" i="7"/>
  <c r="L802" i="7"/>
  <c r="J802" i="7"/>
  <c r="E100" i="1"/>
  <c r="G801" i="7"/>
  <c r="G799" i="7"/>
  <c r="G800" i="7"/>
  <c r="G798" i="7"/>
  <c r="G796" i="7"/>
  <c r="G797" i="7"/>
  <c r="G795" i="7"/>
  <c r="G794" i="7"/>
  <c r="H101" i="1"/>
  <c r="J101" i="1"/>
  <c r="J809" i="7"/>
  <c r="L809" i="7"/>
  <c r="L804" i="7"/>
  <c r="J804" i="7"/>
  <c r="J806" i="7"/>
  <c r="L806" i="7"/>
  <c r="J803" i="7"/>
  <c r="L803" i="7"/>
  <c r="J805" i="7"/>
  <c r="L805" i="7"/>
  <c r="F98" i="12" l="1"/>
  <c r="F99" i="12"/>
  <c r="F96" i="12"/>
  <c r="F97" i="12"/>
  <c r="F97" i="11"/>
  <c r="F96" i="11"/>
  <c r="F99" i="11"/>
  <c r="F98" i="11"/>
  <c r="F99" i="10"/>
  <c r="H99" i="10" s="1"/>
  <c r="I99" i="10" s="1"/>
  <c r="F96" i="10"/>
  <c r="H96" i="10" s="1"/>
  <c r="I96" i="10" s="1"/>
  <c r="F97" i="10"/>
  <c r="H97" i="10" s="1"/>
  <c r="I97" i="10" s="1"/>
  <c r="F98" i="10"/>
  <c r="H98" i="10" s="1"/>
  <c r="I98" i="10" s="1"/>
  <c r="F94" i="8"/>
  <c r="H94" i="8" s="1"/>
  <c r="F95" i="8"/>
  <c r="H95" i="8" s="1"/>
  <c r="A95" i="9"/>
  <c r="A94" i="9"/>
  <c r="J795" i="7"/>
  <c r="L795" i="7"/>
  <c r="L796" i="7"/>
  <c r="J796" i="7"/>
  <c r="J798" i="7"/>
  <c r="L798" i="7"/>
  <c r="J797" i="7"/>
  <c r="L797" i="7"/>
  <c r="J800" i="7"/>
  <c r="L800" i="7"/>
  <c r="J799" i="7"/>
  <c r="L799" i="7"/>
  <c r="J801" i="7"/>
  <c r="L801" i="7"/>
  <c r="J794" i="7"/>
  <c r="L794" i="7"/>
  <c r="E99" i="1"/>
  <c r="G793" i="7"/>
  <c r="G791" i="7"/>
  <c r="G792" i="7"/>
  <c r="G790" i="7"/>
  <c r="G789" i="7"/>
  <c r="G788" i="7"/>
  <c r="G786" i="7"/>
  <c r="G787" i="7"/>
  <c r="H100" i="1"/>
  <c r="J100" i="1"/>
  <c r="F94" i="12" l="1"/>
  <c r="F95" i="12"/>
  <c r="H96" i="12"/>
  <c r="H97" i="12"/>
  <c r="H99" i="12"/>
  <c r="H98" i="12"/>
  <c r="G98" i="10"/>
  <c r="G97" i="10"/>
  <c r="G96" i="10"/>
  <c r="G99" i="10"/>
  <c r="F95" i="11"/>
  <c r="F94" i="11"/>
  <c r="F94" i="10"/>
  <c r="H94" i="10" s="1"/>
  <c r="I94" i="10" s="1"/>
  <c r="F95" i="10"/>
  <c r="H95" i="10" s="1"/>
  <c r="I95" i="10" s="1"/>
  <c r="J793" i="7"/>
  <c r="L793" i="7"/>
  <c r="J787" i="7"/>
  <c r="L787" i="7"/>
  <c r="J789" i="7"/>
  <c r="L789" i="7"/>
  <c r="G785" i="7"/>
  <c r="E98" i="1"/>
  <c r="G784" i="7"/>
  <c r="G781" i="7"/>
  <c r="G779" i="7"/>
  <c r="G783" i="7"/>
  <c r="G778" i="7"/>
  <c r="G782" i="7"/>
  <c r="G780" i="7"/>
  <c r="H99" i="1"/>
  <c r="J99" i="1"/>
  <c r="L786" i="7"/>
  <c r="J786" i="7"/>
  <c r="L788" i="7"/>
  <c r="J788" i="7"/>
  <c r="J790" i="7"/>
  <c r="L790" i="7"/>
  <c r="L792" i="7"/>
  <c r="J792" i="7"/>
  <c r="J791" i="7"/>
  <c r="L791" i="7"/>
  <c r="H94" i="12" l="1"/>
  <c r="H95" i="12"/>
  <c r="G95" i="10"/>
  <c r="G94" i="10"/>
  <c r="J782" i="7"/>
  <c r="L782" i="7"/>
  <c r="J783" i="7"/>
  <c r="L783" i="7"/>
  <c r="L778" i="7"/>
  <c r="J778" i="7"/>
  <c r="L779" i="7"/>
  <c r="J779" i="7"/>
  <c r="L781" i="7"/>
  <c r="J781" i="7"/>
  <c r="J784" i="7"/>
  <c r="L784" i="7"/>
  <c r="G777" i="7"/>
  <c r="E97" i="1"/>
  <c r="G772" i="7"/>
  <c r="G775" i="7"/>
  <c r="G774" i="7"/>
  <c r="G771" i="7"/>
  <c r="G776" i="7"/>
  <c r="G773" i="7"/>
  <c r="J98" i="1"/>
  <c r="G770" i="7"/>
  <c r="H98" i="1"/>
  <c r="L780" i="7"/>
  <c r="J780" i="7"/>
  <c r="J785" i="7"/>
  <c r="L785" i="7"/>
  <c r="F91" i="8" l="1"/>
  <c r="H91" i="8" s="1"/>
  <c r="F92" i="8"/>
  <c r="H92" i="8" s="1"/>
  <c r="F93" i="8"/>
  <c r="H93" i="8" s="1"/>
  <c r="A93" i="9"/>
  <c r="A92" i="9"/>
  <c r="A91" i="9"/>
  <c r="J775" i="7"/>
  <c r="L775" i="7"/>
  <c r="G769" i="7"/>
  <c r="E96" i="1"/>
  <c r="G767" i="7"/>
  <c r="G768" i="7"/>
  <c r="G765" i="7"/>
  <c r="G764" i="7"/>
  <c r="G766" i="7"/>
  <c r="G763" i="7"/>
  <c r="G762" i="7"/>
  <c r="J97" i="1"/>
  <c r="H97" i="1"/>
  <c r="L770" i="7"/>
  <c r="J770" i="7"/>
  <c r="J772" i="7"/>
  <c r="L772" i="7"/>
  <c r="J777" i="7"/>
  <c r="L777" i="7"/>
  <c r="L776" i="7"/>
  <c r="J776" i="7"/>
  <c r="J773" i="7"/>
  <c r="L773" i="7"/>
  <c r="J771" i="7"/>
  <c r="L771" i="7"/>
  <c r="J774" i="7"/>
  <c r="L774" i="7"/>
  <c r="F91" i="12" l="1"/>
  <c r="F92" i="12"/>
  <c r="F93" i="12"/>
  <c r="F93" i="11"/>
  <c r="F92" i="11"/>
  <c r="F91" i="11"/>
  <c r="F91" i="10"/>
  <c r="H91" i="10" s="1"/>
  <c r="I91" i="10" s="1"/>
  <c r="F92" i="10"/>
  <c r="H92" i="10" s="1"/>
  <c r="I92" i="10" s="1"/>
  <c r="F93" i="10"/>
  <c r="H93" i="10" s="1"/>
  <c r="I93" i="10" s="1"/>
  <c r="F89" i="8"/>
  <c r="H89" i="8" s="1"/>
  <c r="F90" i="8"/>
  <c r="H90" i="8" s="1"/>
  <c r="A89" i="9"/>
  <c r="A90" i="9"/>
  <c r="J764" i="7"/>
  <c r="L764" i="7"/>
  <c r="J768" i="7"/>
  <c r="L768" i="7"/>
  <c r="J765" i="7"/>
  <c r="L765" i="7"/>
  <c r="J767" i="7"/>
  <c r="L767" i="7"/>
  <c r="J769" i="7"/>
  <c r="L769" i="7"/>
  <c r="L762" i="7"/>
  <c r="J762" i="7"/>
  <c r="J763" i="7"/>
  <c r="L763" i="7"/>
  <c r="E95" i="1"/>
  <c r="G760" i="7"/>
  <c r="G759" i="7"/>
  <c r="G757" i="7"/>
  <c r="G761" i="7"/>
  <c r="G758" i="7"/>
  <c r="G754" i="7"/>
  <c r="H96" i="1"/>
  <c r="G756" i="7"/>
  <c r="J96" i="1"/>
  <c r="G755" i="7"/>
  <c r="J766" i="7"/>
  <c r="L766" i="7"/>
  <c r="F90" i="12" l="1"/>
  <c r="F89" i="12"/>
  <c r="H92" i="12"/>
  <c r="H91" i="12"/>
  <c r="H93" i="12"/>
  <c r="G93" i="10"/>
  <c r="G92" i="10"/>
  <c r="G91" i="10"/>
  <c r="F89" i="11"/>
  <c r="F90" i="11"/>
  <c r="F89" i="10"/>
  <c r="H89" i="10" s="1"/>
  <c r="I89" i="10" s="1"/>
  <c r="F90" i="10"/>
  <c r="H90" i="10" s="1"/>
  <c r="I90" i="10" s="1"/>
  <c r="J761" i="7"/>
  <c r="L761" i="7"/>
  <c r="J757" i="7"/>
  <c r="L757" i="7"/>
  <c r="J759" i="7"/>
  <c r="L759" i="7"/>
  <c r="J758" i="7"/>
  <c r="L758" i="7"/>
  <c r="L754" i="7"/>
  <c r="J754" i="7"/>
  <c r="G753" i="7"/>
  <c r="E94" i="1"/>
  <c r="G751" i="7"/>
  <c r="G749" i="7"/>
  <c r="G752" i="7"/>
  <c r="G750" i="7"/>
  <c r="G748" i="7"/>
  <c r="H95" i="1"/>
  <c r="G746" i="7"/>
  <c r="G747" i="7"/>
  <c r="J95" i="1"/>
  <c r="J755" i="7"/>
  <c r="L755" i="7"/>
  <c r="L760" i="7"/>
  <c r="J760" i="7"/>
  <c r="J756" i="7"/>
  <c r="L756" i="7"/>
  <c r="H89" i="12" l="1"/>
  <c r="H90" i="12"/>
  <c r="G90" i="10"/>
  <c r="G89" i="10"/>
  <c r="J751" i="7"/>
  <c r="L751" i="7"/>
  <c r="L747" i="7"/>
  <c r="J747" i="7"/>
  <c r="J753" i="7"/>
  <c r="L753" i="7"/>
  <c r="J748" i="7"/>
  <c r="L748" i="7"/>
  <c r="E93" i="1"/>
  <c r="G743" i="7"/>
  <c r="G744" i="7"/>
  <c r="G741" i="7"/>
  <c r="G742" i="7"/>
  <c r="G745" i="7"/>
  <c r="G740" i="7"/>
  <c r="G739" i="7"/>
  <c r="H94" i="1"/>
  <c r="J94" i="1"/>
  <c r="G738" i="7"/>
  <c r="L746" i="7"/>
  <c r="J746" i="7"/>
  <c r="J750" i="7"/>
  <c r="L750" i="7"/>
  <c r="J752" i="7"/>
  <c r="L752" i="7"/>
  <c r="J749" i="7"/>
  <c r="L749" i="7"/>
  <c r="F87" i="8" l="1"/>
  <c r="H87" i="8" s="1"/>
  <c r="F88" i="8"/>
  <c r="H88" i="8" s="1"/>
  <c r="A87" i="9"/>
  <c r="A88" i="9"/>
  <c r="J740" i="7"/>
  <c r="L740" i="7"/>
  <c r="J742" i="7"/>
  <c r="L742" i="7"/>
  <c r="J744" i="7"/>
  <c r="L744" i="7"/>
  <c r="J745" i="7"/>
  <c r="L745" i="7"/>
  <c r="J743" i="7"/>
  <c r="L743" i="7"/>
  <c r="E92" i="1"/>
  <c r="G737" i="7"/>
  <c r="G735" i="7"/>
  <c r="G736" i="7"/>
  <c r="G734" i="7"/>
  <c r="G732" i="7"/>
  <c r="G731" i="7"/>
  <c r="G733" i="7"/>
  <c r="G730" i="7"/>
  <c r="H93" i="1"/>
  <c r="J93" i="1"/>
  <c r="J741" i="7"/>
  <c r="L741" i="7"/>
  <c r="L738" i="7"/>
  <c r="J738" i="7"/>
  <c r="J739" i="7"/>
  <c r="L739" i="7"/>
  <c r="F87" i="12" l="1"/>
  <c r="F88" i="12"/>
  <c r="F88" i="11"/>
  <c r="F87" i="11"/>
  <c r="F87" i="10"/>
  <c r="H87" i="10" s="1"/>
  <c r="I87" i="10" s="1"/>
  <c r="F88" i="10"/>
  <c r="H88" i="10" s="1"/>
  <c r="I88" i="10" s="1"/>
  <c r="L736" i="7"/>
  <c r="J736" i="7"/>
  <c r="J735" i="7"/>
  <c r="L735" i="7"/>
  <c r="J737" i="7"/>
  <c r="L737" i="7"/>
  <c r="L730" i="7"/>
  <c r="J730" i="7"/>
  <c r="J733" i="7"/>
  <c r="L733" i="7"/>
  <c r="J732" i="7"/>
  <c r="L732" i="7"/>
  <c r="E91" i="1"/>
  <c r="G729" i="7"/>
  <c r="G727" i="7"/>
  <c r="G728" i="7"/>
  <c r="G724" i="7"/>
  <c r="G726" i="7"/>
  <c r="G725" i="7"/>
  <c r="G723" i="7"/>
  <c r="G722" i="7"/>
  <c r="H92" i="1"/>
  <c r="J92" i="1"/>
  <c r="L731" i="7"/>
  <c r="J731" i="7"/>
  <c r="J734" i="7"/>
  <c r="L734" i="7"/>
  <c r="H88" i="12" l="1"/>
  <c r="H87" i="12"/>
  <c r="G88" i="10"/>
  <c r="G87" i="10"/>
  <c r="F85" i="8"/>
  <c r="H85" i="8" s="1"/>
  <c r="F86" i="8"/>
  <c r="H86" i="8" s="1"/>
  <c r="A85" i="9"/>
  <c r="A86" i="9"/>
  <c r="G721" i="7"/>
  <c r="E90" i="1"/>
  <c r="G720" i="7"/>
  <c r="G719" i="7"/>
  <c r="G717" i="7"/>
  <c r="G715" i="7"/>
  <c r="G716" i="7"/>
  <c r="G714" i="7"/>
  <c r="G718" i="7"/>
  <c r="J91" i="1"/>
  <c r="H91" i="1"/>
  <c r="L722" i="7"/>
  <c r="J722" i="7"/>
  <c r="J725" i="7"/>
  <c r="L725" i="7"/>
  <c r="L724" i="7"/>
  <c r="J724" i="7"/>
  <c r="L727" i="7"/>
  <c r="J727" i="7"/>
  <c r="J723" i="7"/>
  <c r="L723" i="7"/>
  <c r="J726" i="7"/>
  <c r="L726" i="7"/>
  <c r="L728" i="7"/>
  <c r="J728" i="7"/>
  <c r="J729" i="7"/>
  <c r="L729" i="7"/>
  <c r="F86" i="12" l="1"/>
  <c r="F85" i="12"/>
  <c r="F85" i="11"/>
  <c r="F86" i="11"/>
  <c r="F85" i="10"/>
  <c r="H85" i="10" s="1"/>
  <c r="I85" i="10" s="1"/>
  <c r="F86" i="10"/>
  <c r="H86" i="10" s="1"/>
  <c r="I86" i="10" s="1"/>
  <c r="F84" i="8"/>
  <c r="H84" i="8" s="1"/>
  <c r="A84" i="9"/>
  <c r="L714" i="7"/>
  <c r="J714" i="7"/>
  <c r="J715" i="7"/>
  <c r="L715" i="7"/>
  <c r="J717" i="7"/>
  <c r="L717" i="7"/>
  <c r="J719" i="7"/>
  <c r="L719" i="7"/>
  <c r="J720" i="7"/>
  <c r="L720" i="7"/>
  <c r="G713" i="7"/>
  <c r="E89" i="1"/>
  <c r="G711" i="7"/>
  <c r="G712" i="7"/>
  <c r="G708" i="7"/>
  <c r="G710" i="7"/>
  <c r="G707" i="7"/>
  <c r="G709" i="7"/>
  <c r="G706" i="7"/>
  <c r="J90" i="1"/>
  <c r="F84" i="12" s="1"/>
  <c r="H90" i="1"/>
  <c r="L716" i="7"/>
  <c r="J716" i="7"/>
  <c r="J718" i="7"/>
  <c r="L718" i="7"/>
  <c r="J721" i="7"/>
  <c r="L721" i="7"/>
  <c r="H84" i="12" l="1"/>
  <c r="H86" i="12"/>
  <c r="H85" i="12"/>
  <c r="G86" i="10"/>
  <c r="G85" i="10"/>
  <c r="F84" i="10"/>
  <c r="H84" i="10" s="1"/>
  <c r="I84" i="10" s="1"/>
  <c r="F84" i="11"/>
  <c r="L712" i="7"/>
  <c r="J712" i="7"/>
  <c r="L711" i="7"/>
  <c r="J711" i="7"/>
  <c r="L706" i="7"/>
  <c r="J706" i="7"/>
  <c r="G705" i="7"/>
  <c r="E88" i="1"/>
  <c r="G703" i="7"/>
  <c r="G704" i="7"/>
  <c r="G701" i="7"/>
  <c r="G702" i="7"/>
  <c r="G700" i="7"/>
  <c r="G699" i="7"/>
  <c r="G698" i="7"/>
  <c r="J89" i="1"/>
  <c r="H89" i="1"/>
  <c r="J713" i="7"/>
  <c r="L713" i="7"/>
  <c r="J709" i="7"/>
  <c r="L709" i="7"/>
  <c r="L707" i="7"/>
  <c r="J707" i="7"/>
  <c r="J710" i="7"/>
  <c r="L710" i="7"/>
  <c r="L708" i="7"/>
  <c r="J708" i="7"/>
  <c r="G84" i="10" l="1"/>
  <c r="E87" i="1"/>
  <c r="G697" i="7"/>
  <c r="G696" i="7"/>
  <c r="G693" i="7"/>
  <c r="G694" i="7"/>
  <c r="G692" i="7"/>
  <c r="G695" i="7"/>
  <c r="G690" i="7"/>
  <c r="H88" i="1"/>
  <c r="G691" i="7"/>
  <c r="J88" i="1"/>
  <c r="J705" i="7"/>
  <c r="L705" i="7"/>
  <c r="J702" i="7"/>
  <c r="L702" i="7"/>
  <c r="L698" i="7"/>
  <c r="J698" i="7"/>
  <c r="J701" i="7"/>
  <c r="L701" i="7"/>
  <c r="L704" i="7"/>
  <c r="J704" i="7"/>
  <c r="L699" i="7"/>
  <c r="J699" i="7"/>
  <c r="J700" i="7"/>
  <c r="L700" i="7"/>
  <c r="L703" i="7"/>
  <c r="J703" i="7"/>
  <c r="L690" i="7" l="1"/>
  <c r="J690" i="7"/>
  <c r="J692" i="7"/>
  <c r="L692" i="7"/>
  <c r="J694" i="7"/>
  <c r="L694" i="7"/>
  <c r="J693" i="7"/>
  <c r="L693" i="7"/>
  <c r="J695" i="7"/>
  <c r="L695" i="7"/>
  <c r="L696" i="7"/>
  <c r="J696" i="7"/>
  <c r="J697" i="7"/>
  <c r="L697" i="7"/>
  <c r="L691" i="7"/>
  <c r="J691" i="7"/>
  <c r="G689" i="7"/>
  <c r="E86" i="1"/>
  <c r="G687" i="7"/>
  <c r="G685" i="7"/>
  <c r="G686" i="7"/>
  <c r="G688" i="7"/>
  <c r="G684" i="7"/>
  <c r="G683" i="7"/>
  <c r="G682" i="7"/>
  <c r="J87" i="1"/>
  <c r="H87" i="1"/>
  <c r="F83" i="8" l="1"/>
  <c r="H83" i="8" s="1"/>
  <c r="A83" i="9"/>
  <c r="L686" i="7"/>
  <c r="J686" i="7"/>
  <c r="J687" i="7"/>
  <c r="L687" i="7"/>
  <c r="J685" i="7"/>
  <c r="L685" i="7"/>
  <c r="L682" i="7"/>
  <c r="J682" i="7"/>
  <c r="J683" i="7"/>
  <c r="L683" i="7"/>
  <c r="E85" i="1"/>
  <c r="G679" i="7"/>
  <c r="G680" i="7"/>
  <c r="G677" i="7"/>
  <c r="G681" i="7"/>
  <c r="G678" i="7"/>
  <c r="G676" i="7"/>
  <c r="G675" i="7"/>
  <c r="H86" i="1"/>
  <c r="J86" i="1"/>
  <c r="F83" i="12" s="1"/>
  <c r="G674" i="7"/>
  <c r="J689" i="7"/>
  <c r="L689" i="7"/>
  <c r="L684" i="7"/>
  <c r="J684" i="7"/>
  <c r="L688" i="7"/>
  <c r="J688" i="7"/>
  <c r="H83" i="12" l="1"/>
  <c r="F83" i="10"/>
  <c r="H83" i="10" s="1"/>
  <c r="I83" i="10" s="1"/>
  <c r="F83" i="11"/>
  <c r="J678" i="7"/>
  <c r="L678" i="7"/>
  <c r="L674" i="7"/>
  <c r="J674" i="7"/>
  <c r="J681" i="7"/>
  <c r="L681" i="7"/>
  <c r="J679" i="7"/>
  <c r="L679" i="7"/>
  <c r="L680" i="7"/>
  <c r="J680" i="7"/>
  <c r="E84" i="1"/>
  <c r="G673" i="7"/>
  <c r="G671" i="7"/>
  <c r="G672" i="7"/>
  <c r="G670" i="7"/>
  <c r="G667" i="7"/>
  <c r="G669" i="7"/>
  <c r="G668" i="7"/>
  <c r="G666" i="7"/>
  <c r="H85" i="1"/>
  <c r="J85" i="1"/>
  <c r="J677" i="7"/>
  <c r="L677" i="7"/>
  <c r="L675" i="7"/>
  <c r="J675" i="7"/>
  <c r="J676" i="7"/>
  <c r="L676" i="7"/>
  <c r="G83" i="10" l="1"/>
  <c r="J670" i="7"/>
  <c r="L670" i="7"/>
  <c r="J671" i="7"/>
  <c r="L671" i="7"/>
  <c r="L666" i="7"/>
  <c r="J666" i="7"/>
  <c r="J672" i="7"/>
  <c r="L672" i="7"/>
  <c r="J673" i="7"/>
  <c r="L673" i="7"/>
  <c r="E83" i="1"/>
  <c r="G665" i="7"/>
  <c r="G663" i="7"/>
  <c r="G664" i="7"/>
  <c r="G662" i="7"/>
  <c r="G661" i="7"/>
  <c r="G660" i="7"/>
  <c r="G658" i="7"/>
  <c r="H84" i="1"/>
  <c r="G659" i="7"/>
  <c r="J84" i="1"/>
  <c r="J669" i="7"/>
  <c r="L669" i="7"/>
  <c r="J668" i="7"/>
  <c r="L668" i="7"/>
  <c r="J667" i="7"/>
  <c r="L667" i="7"/>
  <c r="G657" i="7" l="1"/>
  <c r="E82" i="1"/>
  <c r="G656" i="7"/>
  <c r="G653" i="7"/>
  <c r="G652" i="7"/>
  <c r="G651" i="7"/>
  <c r="G655" i="7"/>
  <c r="G654" i="7"/>
  <c r="G650" i="7"/>
  <c r="H83" i="1"/>
  <c r="J83" i="1"/>
  <c r="J661" i="7"/>
  <c r="L661" i="7"/>
  <c r="L658" i="7"/>
  <c r="J658" i="7"/>
  <c r="J662" i="7"/>
  <c r="L662" i="7"/>
  <c r="J664" i="7"/>
  <c r="L664" i="7"/>
  <c r="J663" i="7"/>
  <c r="L663" i="7"/>
  <c r="L660" i="7"/>
  <c r="J660" i="7"/>
  <c r="J659" i="7"/>
  <c r="L659" i="7"/>
  <c r="J665" i="7"/>
  <c r="L665" i="7"/>
  <c r="F79" i="8" l="1"/>
  <c r="H79" i="8" s="1"/>
  <c r="F80" i="8"/>
  <c r="H80" i="8" s="1"/>
  <c r="F81" i="8"/>
  <c r="H81" i="8" s="1"/>
  <c r="F82" i="8"/>
  <c r="H82" i="8" s="1"/>
  <c r="A81" i="9"/>
  <c r="A80" i="9"/>
  <c r="A79" i="9"/>
  <c r="A82" i="9"/>
  <c r="J654" i="7"/>
  <c r="L654" i="7"/>
  <c r="J651" i="7"/>
  <c r="L651" i="7"/>
  <c r="L652" i="7"/>
  <c r="J652" i="7"/>
  <c r="J655" i="7"/>
  <c r="L655" i="7"/>
  <c r="J653" i="7"/>
  <c r="L653" i="7"/>
  <c r="J656" i="7"/>
  <c r="L656" i="7"/>
  <c r="G649" i="7"/>
  <c r="E81" i="1"/>
  <c r="G644" i="7"/>
  <c r="G647" i="7"/>
  <c r="G646" i="7"/>
  <c r="G645" i="7"/>
  <c r="G648" i="7"/>
  <c r="G643" i="7"/>
  <c r="J82" i="1"/>
  <c r="H82" i="1"/>
  <c r="G642" i="7"/>
  <c r="L650" i="7"/>
  <c r="J650" i="7"/>
  <c r="J657" i="7"/>
  <c r="L657" i="7"/>
  <c r="F82" i="12" l="1"/>
  <c r="F79" i="12"/>
  <c r="F80" i="12"/>
  <c r="F81" i="12"/>
  <c r="F81" i="11"/>
  <c r="F80" i="11"/>
  <c r="F79" i="11"/>
  <c r="F82" i="11"/>
  <c r="F81" i="10"/>
  <c r="H81" i="10" s="1"/>
  <c r="I81" i="10" s="1"/>
  <c r="F82" i="10"/>
  <c r="H82" i="10" s="1"/>
  <c r="I82" i="10" s="1"/>
  <c r="F79" i="10"/>
  <c r="H79" i="10" s="1"/>
  <c r="I79" i="10" s="1"/>
  <c r="F80" i="10"/>
  <c r="H80" i="10" s="1"/>
  <c r="I80" i="10" s="1"/>
  <c r="J647" i="7"/>
  <c r="L647" i="7"/>
  <c r="L642" i="7"/>
  <c r="J642" i="7"/>
  <c r="L644" i="7"/>
  <c r="J644" i="7"/>
  <c r="J649" i="7"/>
  <c r="L649" i="7"/>
  <c r="G641" i="7"/>
  <c r="E80" i="1"/>
  <c r="G639" i="7"/>
  <c r="G637" i="7"/>
  <c r="G640" i="7"/>
  <c r="G638" i="7"/>
  <c r="G636" i="7"/>
  <c r="G635" i="7"/>
  <c r="G634" i="7"/>
  <c r="J81" i="1"/>
  <c r="H81" i="1"/>
  <c r="J645" i="7"/>
  <c r="L645" i="7"/>
  <c r="J643" i="7"/>
  <c r="L643" i="7"/>
  <c r="J648" i="7"/>
  <c r="L648" i="7"/>
  <c r="J646" i="7"/>
  <c r="L646" i="7"/>
  <c r="H80" i="12" l="1"/>
  <c r="H79" i="12"/>
  <c r="H81" i="12"/>
  <c r="H82" i="12"/>
  <c r="G80" i="10"/>
  <c r="G79" i="10"/>
  <c r="G82" i="10"/>
  <c r="G81" i="10"/>
  <c r="J638" i="7"/>
  <c r="L638" i="7"/>
  <c r="J637" i="7"/>
  <c r="L637" i="7"/>
  <c r="J639" i="7"/>
  <c r="L639" i="7"/>
  <c r="E79" i="1"/>
  <c r="G633" i="7"/>
  <c r="G632" i="7"/>
  <c r="G629" i="7"/>
  <c r="G630" i="7"/>
  <c r="G631" i="7"/>
  <c r="G628" i="7"/>
  <c r="G627" i="7"/>
  <c r="G626" i="7"/>
  <c r="H80" i="1"/>
  <c r="J80" i="1"/>
  <c r="J640" i="7"/>
  <c r="L640" i="7"/>
  <c r="J641" i="7"/>
  <c r="L641" i="7"/>
  <c r="L634" i="7"/>
  <c r="J634" i="7"/>
  <c r="L635" i="7"/>
  <c r="J635" i="7"/>
  <c r="J636" i="7"/>
  <c r="L636" i="7"/>
  <c r="J627" i="7" l="1"/>
  <c r="L627" i="7"/>
  <c r="J628" i="7"/>
  <c r="L628" i="7"/>
  <c r="J631" i="7"/>
  <c r="L631" i="7"/>
  <c r="J630" i="7"/>
  <c r="L630" i="7"/>
  <c r="J629" i="7"/>
  <c r="L629" i="7"/>
  <c r="J632" i="7"/>
  <c r="L632" i="7"/>
  <c r="J633" i="7"/>
  <c r="L633" i="7"/>
  <c r="L626" i="7"/>
  <c r="J626" i="7"/>
  <c r="G625" i="7"/>
  <c r="E78" i="1"/>
  <c r="G623" i="7"/>
  <c r="G621" i="7"/>
  <c r="G622" i="7"/>
  <c r="G620" i="7"/>
  <c r="G619" i="7"/>
  <c r="G624" i="7"/>
  <c r="H79" i="1"/>
  <c r="G618" i="7"/>
  <c r="J79" i="1"/>
  <c r="F77" i="8" l="1"/>
  <c r="H77" i="8" s="1"/>
  <c r="F78" i="8"/>
  <c r="H78" i="8" s="1"/>
  <c r="A77" i="9"/>
  <c r="A78" i="9"/>
  <c r="J625" i="7"/>
  <c r="L625" i="7"/>
  <c r="J624" i="7"/>
  <c r="L624" i="7"/>
  <c r="J619" i="7"/>
  <c r="L619" i="7"/>
  <c r="J620" i="7"/>
  <c r="L620" i="7"/>
  <c r="J622" i="7"/>
  <c r="L622" i="7"/>
  <c r="J621" i="7"/>
  <c r="L621" i="7"/>
  <c r="J623" i="7"/>
  <c r="L623" i="7"/>
  <c r="L618" i="7"/>
  <c r="J618" i="7"/>
  <c r="E77" i="1"/>
  <c r="G617" i="7"/>
  <c r="G615" i="7"/>
  <c r="G616" i="7"/>
  <c r="G613" i="7"/>
  <c r="G614" i="7"/>
  <c r="G612" i="7"/>
  <c r="G611" i="7"/>
  <c r="H78" i="1"/>
  <c r="J78" i="1"/>
  <c r="G610" i="7"/>
  <c r="F78" i="12" l="1"/>
  <c r="F77" i="12"/>
  <c r="F77" i="11"/>
  <c r="F78" i="11"/>
  <c r="F77" i="10"/>
  <c r="H77" i="10" s="1"/>
  <c r="I77" i="10" s="1"/>
  <c r="F78" i="10"/>
  <c r="H78" i="10" s="1"/>
  <c r="I78" i="10" s="1"/>
  <c r="J614" i="7"/>
  <c r="L614" i="7"/>
  <c r="J613" i="7"/>
  <c r="L613" i="7"/>
  <c r="L610" i="7"/>
  <c r="J610" i="7"/>
  <c r="J615" i="7"/>
  <c r="L615" i="7"/>
  <c r="E76" i="1"/>
  <c r="G609" i="7"/>
  <c r="G607" i="7"/>
  <c r="G608" i="7"/>
  <c r="G606" i="7"/>
  <c r="G605" i="7"/>
  <c r="G603" i="7"/>
  <c r="G604" i="7"/>
  <c r="G602" i="7"/>
  <c r="H77" i="1"/>
  <c r="J77" i="1"/>
  <c r="L616" i="7"/>
  <c r="J616" i="7"/>
  <c r="J617" i="7"/>
  <c r="L617" i="7"/>
  <c r="J611" i="7"/>
  <c r="L611" i="7"/>
  <c r="L612" i="7"/>
  <c r="J612" i="7"/>
  <c r="H78" i="12" l="1"/>
  <c r="H77" i="12"/>
  <c r="G78" i="10"/>
  <c r="G77" i="10"/>
  <c r="F76" i="8"/>
  <c r="H76" i="8" s="1"/>
  <c r="A76" i="9"/>
  <c r="J606" i="7"/>
  <c r="L606" i="7"/>
  <c r="J608" i="7"/>
  <c r="L608" i="7"/>
  <c r="J603" i="7"/>
  <c r="L603" i="7"/>
  <c r="J609" i="7"/>
  <c r="L609" i="7"/>
  <c r="J605" i="7"/>
  <c r="L605" i="7"/>
  <c r="J607" i="7"/>
  <c r="L607" i="7"/>
  <c r="J602" i="7"/>
  <c r="L602" i="7"/>
  <c r="E75" i="1"/>
  <c r="G601" i="7"/>
  <c r="G599" i="7"/>
  <c r="G600" i="7"/>
  <c r="G596" i="7"/>
  <c r="G598" i="7"/>
  <c r="G594" i="7"/>
  <c r="G597" i="7"/>
  <c r="G595" i="7"/>
  <c r="H76" i="1"/>
  <c r="J76" i="1"/>
  <c r="F76" i="12" s="1"/>
  <c r="L604" i="7"/>
  <c r="J604" i="7"/>
  <c r="H76" i="12" l="1"/>
  <c r="F76" i="10"/>
  <c r="H76" i="10" s="1"/>
  <c r="I76" i="10" s="1"/>
  <c r="F76" i="11"/>
  <c r="F75" i="8"/>
  <c r="H75" i="8" s="1"/>
  <c r="F74" i="8"/>
  <c r="H74" i="8" s="1"/>
  <c r="A74" i="9"/>
  <c r="A75" i="9"/>
  <c r="J599" i="7"/>
  <c r="L599" i="7"/>
  <c r="J601" i="7"/>
  <c r="L601" i="7"/>
  <c r="J595" i="7"/>
  <c r="L595" i="7"/>
  <c r="G593" i="7"/>
  <c r="E74" i="1"/>
  <c r="G592" i="7"/>
  <c r="G591" i="7"/>
  <c r="G589" i="7"/>
  <c r="G587" i="7"/>
  <c r="G588" i="7"/>
  <c r="G590" i="7"/>
  <c r="G586" i="7"/>
  <c r="J75" i="1"/>
  <c r="H75" i="1"/>
  <c r="J600" i="7"/>
  <c r="L600" i="7"/>
  <c r="J598" i="7"/>
  <c r="L598" i="7"/>
  <c r="J597" i="7"/>
  <c r="L597" i="7"/>
  <c r="L594" i="7"/>
  <c r="J594" i="7"/>
  <c r="L596" i="7"/>
  <c r="J596" i="7"/>
  <c r="F74" i="12" l="1"/>
  <c r="F75" i="12"/>
  <c r="G76" i="10"/>
  <c r="F75" i="11"/>
  <c r="F74" i="11"/>
  <c r="F75" i="10"/>
  <c r="H75" i="10" s="1"/>
  <c r="I75" i="10" s="1"/>
  <c r="F74" i="10"/>
  <c r="H74" i="10" s="1"/>
  <c r="I74" i="10" s="1"/>
  <c r="J589" i="7"/>
  <c r="L589" i="7"/>
  <c r="J592" i="7"/>
  <c r="L592" i="7"/>
  <c r="L588" i="7"/>
  <c r="J588" i="7"/>
  <c r="J591" i="7"/>
  <c r="L591" i="7"/>
  <c r="G585" i="7"/>
  <c r="E73" i="1"/>
  <c r="G583" i="7"/>
  <c r="G580" i="7"/>
  <c r="G584" i="7"/>
  <c r="G582" i="7"/>
  <c r="G581" i="7"/>
  <c r="G579" i="7"/>
  <c r="J74" i="1"/>
  <c r="G578" i="7"/>
  <c r="H74" i="1"/>
  <c r="J587" i="7"/>
  <c r="L587" i="7"/>
  <c r="L586" i="7"/>
  <c r="J586" i="7"/>
  <c r="J593" i="7"/>
  <c r="L593" i="7"/>
  <c r="J590" i="7"/>
  <c r="L590" i="7"/>
  <c r="H75" i="12" l="1"/>
  <c r="H74" i="12"/>
  <c r="G74" i="10"/>
  <c r="G75" i="10"/>
  <c r="J582" i="7"/>
  <c r="L582" i="7"/>
  <c r="J584" i="7"/>
  <c r="L584" i="7"/>
  <c r="L580" i="7"/>
  <c r="J580" i="7"/>
  <c r="J583" i="7"/>
  <c r="L583" i="7"/>
  <c r="L578" i="7"/>
  <c r="J578" i="7"/>
  <c r="G577" i="7"/>
  <c r="E72" i="1"/>
  <c r="G575" i="7"/>
  <c r="G576" i="7"/>
  <c r="G573" i="7"/>
  <c r="G574" i="7"/>
  <c r="G571" i="7"/>
  <c r="G570" i="7"/>
  <c r="J73" i="1"/>
  <c r="G572" i="7"/>
  <c r="H73" i="1"/>
  <c r="J585" i="7"/>
  <c r="L585" i="7"/>
  <c r="L579" i="7"/>
  <c r="J579" i="7"/>
  <c r="J581" i="7"/>
  <c r="L581" i="7"/>
  <c r="F73" i="8" l="1"/>
  <c r="H73" i="8" s="1"/>
  <c r="A73" i="9"/>
  <c r="L573" i="7"/>
  <c r="J573" i="7"/>
  <c r="J575" i="7"/>
  <c r="L575" i="7"/>
  <c r="J577" i="7"/>
  <c r="L577" i="7"/>
  <c r="E71" i="1"/>
  <c r="G569" i="7"/>
  <c r="G568" i="7"/>
  <c r="G567" i="7"/>
  <c r="G565" i="7"/>
  <c r="G566" i="7"/>
  <c r="G564" i="7"/>
  <c r="G563" i="7"/>
  <c r="G562" i="7"/>
  <c r="H72" i="1"/>
  <c r="J72" i="1"/>
  <c r="F73" i="12" s="1"/>
  <c r="J576" i="7"/>
  <c r="L576" i="7"/>
  <c r="L571" i="7"/>
  <c r="J571" i="7"/>
  <c r="L572" i="7"/>
  <c r="J572" i="7"/>
  <c r="J570" i="7"/>
  <c r="L570" i="7"/>
  <c r="J574" i="7"/>
  <c r="L574" i="7"/>
  <c r="H73" i="12" l="1"/>
  <c r="F73" i="10"/>
  <c r="H73" i="10" s="1"/>
  <c r="I73" i="10" s="1"/>
  <c r="F73" i="11"/>
  <c r="F70" i="8"/>
  <c r="H70" i="8" s="1"/>
  <c r="F71" i="8"/>
  <c r="H71" i="8" s="1"/>
  <c r="F72" i="8"/>
  <c r="H72" i="8" s="1"/>
  <c r="A72" i="9"/>
  <c r="A71" i="9"/>
  <c r="A70" i="9"/>
  <c r="L563" i="7"/>
  <c r="J563" i="7"/>
  <c r="J565" i="7"/>
  <c r="L565" i="7"/>
  <c r="J569" i="7"/>
  <c r="L569" i="7"/>
  <c r="L564" i="7"/>
  <c r="J564" i="7"/>
  <c r="J566" i="7"/>
  <c r="L566" i="7"/>
  <c r="J567" i="7"/>
  <c r="L567" i="7"/>
  <c r="J568" i="7"/>
  <c r="L568" i="7"/>
  <c r="L562" i="7"/>
  <c r="J562" i="7"/>
  <c r="G561" i="7"/>
  <c r="E70" i="1"/>
  <c r="G559" i="7"/>
  <c r="G560" i="7"/>
  <c r="G557" i="7"/>
  <c r="G558" i="7"/>
  <c r="G556" i="7"/>
  <c r="J71" i="1"/>
  <c r="H71" i="1"/>
  <c r="G554" i="7"/>
  <c r="G555" i="7"/>
  <c r="F70" i="12" l="1"/>
  <c r="F71" i="12"/>
  <c r="F72" i="12"/>
  <c r="G73" i="10"/>
  <c r="F72" i="11"/>
  <c r="F71" i="11"/>
  <c r="F70" i="11"/>
  <c r="F71" i="10"/>
  <c r="H71" i="10" s="1"/>
  <c r="I71" i="10" s="1"/>
  <c r="F70" i="10"/>
  <c r="H70" i="10" s="1"/>
  <c r="I70" i="10" s="1"/>
  <c r="F72" i="10"/>
  <c r="H72" i="10" s="1"/>
  <c r="I72" i="10" s="1"/>
  <c r="F69" i="8"/>
  <c r="H69" i="8" s="1"/>
  <c r="A69" i="9"/>
  <c r="J561" i="7"/>
  <c r="L561" i="7"/>
  <c r="J558" i="7"/>
  <c r="L558" i="7"/>
  <c r="J557" i="7"/>
  <c r="L557" i="7"/>
  <c r="J556" i="7"/>
  <c r="L556" i="7"/>
  <c r="J560" i="7"/>
  <c r="L560" i="7"/>
  <c r="J555" i="7"/>
  <c r="L555" i="7"/>
  <c r="J559" i="7"/>
  <c r="L559" i="7"/>
  <c r="L554" i="7"/>
  <c r="J554" i="7"/>
  <c r="E69" i="1"/>
  <c r="G553" i="7"/>
  <c r="G551" i="7"/>
  <c r="G552" i="7"/>
  <c r="G549" i="7"/>
  <c r="G550" i="7"/>
  <c r="G548" i="7"/>
  <c r="H70" i="1"/>
  <c r="G546" i="7"/>
  <c r="J70" i="1"/>
  <c r="F69" i="12" s="1"/>
  <c r="G547" i="7"/>
  <c r="H72" i="12" l="1"/>
  <c r="H70" i="12"/>
  <c r="H69" i="12"/>
  <c r="H71" i="12"/>
  <c r="G72" i="10"/>
  <c r="G70" i="10"/>
  <c r="G71" i="10"/>
  <c r="F69" i="10"/>
  <c r="H69" i="10" s="1"/>
  <c r="I69" i="10" s="1"/>
  <c r="F69" i="11"/>
  <c r="L552" i="7"/>
  <c r="J552" i="7"/>
  <c r="J547" i="7"/>
  <c r="L547" i="7"/>
  <c r="J553" i="7"/>
  <c r="L553" i="7"/>
  <c r="L546" i="7"/>
  <c r="J546" i="7"/>
  <c r="E68" i="1"/>
  <c r="G545" i="7"/>
  <c r="G543" i="7"/>
  <c r="G544" i="7"/>
  <c r="G542" i="7"/>
  <c r="G540" i="7"/>
  <c r="G539" i="7"/>
  <c r="G541" i="7"/>
  <c r="G538" i="7"/>
  <c r="H69" i="1"/>
  <c r="J69" i="1"/>
  <c r="J550" i="7"/>
  <c r="L550" i="7"/>
  <c r="L551" i="7"/>
  <c r="J551" i="7"/>
  <c r="L548" i="7"/>
  <c r="J548" i="7"/>
  <c r="J549" i="7"/>
  <c r="L549" i="7"/>
  <c r="G69" i="10" l="1"/>
  <c r="F68" i="8"/>
  <c r="H68" i="8" s="1"/>
  <c r="A68" i="9"/>
  <c r="L539" i="7"/>
  <c r="J539" i="7"/>
  <c r="L540" i="7"/>
  <c r="J540" i="7"/>
  <c r="J543" i="7"/>
  <c r="L543" i="7"/>
  <c r="J542" i="7"/>
  <c r="L542" i="7"/>
  <c r="J545" i="7"/>
  <c r="L545" i="7"/>
  <c r="E67" i="1"/>
  <c r="G537" i="7"/>
  <c r="G535" i="7"/>
  <c r="G536" i="7"/>
  <c r="G532" i="7"/>
  <c r="G534" i="7"/>
  <c r="G530" i="7"/>
  <c r="G531" i="7"/>
  <c r="H68" i="1"/>
  <c r="G533" i="7"/>
  <c r="J68" i="1"/>
  <c r="F68" i="12" s="1"/>
  <c r="J544" i="7"/>
  <c r="L544" i="7"/>
  <c r="L538" i="7"/>
  <c r="J538" i="7"/>
  <c r="J541" i="7"/>
  <c r="L541" i="7"/>
  <c r="H68" i="12" l="1"/>
  <c r="F68" i="10"/>
  <c r="H68" i="10" s="1"/>
  <c r="I68" i="10" s="1"/>
  <c r="F68" i="11"/>
  <c r="F67" i="8"/>
  <c r="H67" i="8" s="1"/>
  <c r="F65" i="8"/>
  <c r="H65" i="8" s="1"/>
  <c r="F66" i="8"/>
  <c r="H66" i="8" s="1"/>
  <c r="A65" i="9"/>
  <c r="A67" i="9"/>
  <c r="A66" i="9"/>
  <c r="J533" i="7"/>
  <c r="L533" i="7"/>
  <c r="J537" i="7"/>
  <c r="L537" i="7"/>
  <c r="L530" i="7"/>
  <c r="J530" i="7"/>
  <c r="J534" i="7"/>
  <c r="L534" i="7"/>
  <c r="J531" i="7"/>
  <c r="L531" i="7"/>
  <c r="L532" i="7"/>
  <c r="J532" i="7"/>
  <c r="G529" i="7"/>
  <c r="E66" i="1"/>
  <c r="G528" i="7"/>
  <c r="G527" i="7"/>
  <c r="G525" i="7"/>
  <c r="G523" i="7"/>
  <c r="G526" i="7"/>
  <c r="G522" i="7"/>
  <c r="G524" i="7"/>
  <c r="J67" i="1"/>
  <c r="H67" i="1"/>
  <c r="J536" i="7"/>
  <c r="L536" i="7"/>
  <c r="J535" i="7"/>
  <c r="L535" i="7"/>
  <c r="F66" i="12" l="1"/>
  <c r="F67" i="12"/>
  <c r="F65" i="12"/>
  <c r="G68" i="10"/>
  <c r="F65" i="11"/>
  <c r="F67" i="11"/>
  <c r="F66" i="11"/>
  <c r="F67" i="10"/>
  <c r="H67" i="10" s="1"/>
  <c r="I67" i="10" s="1"/>
  <c r="F65" i="10"/>
  <c r="H65" i="10" s="1"/>
  <c r="I65" i="10" s="1"/>
  <c r="F66" i="10"/>
  <c r="H66" i="10" s="1"/>
  <c r="I66" i="10" s="1"/>
  <c r="F64" i="8"/>
  <c r="H64" i="8" s="1"/>
  <c r="A64" i="9"/>
  <c r="J522" i="7"/>
  <c r="L522" i="7"/>
  <c r="J523" i="7"/>
  <c r="L523" i="7"/>
  <c r="J526" i="7"/>
  <c r="L526" i="7"/>
  <c r="J525" i="7"/>
  <c r="L525" i="7"/>
  <c r="J527" i="7"/>
  <c r="L527" i="7"/>
  <c r="J528" i="7"/>
  <c r="L528" i="7"/>
  <c r="G521" i="7"/>
  <c r="E65" i="1"/>
  <c r="G520" i="7"/>
  <c r="G516" i="7"/>
  <c r="G518" i="7"/>
  <c r="G517" i="7"/>
  <c r="G515" i="7"/>
  <c r="G519" i="7"/>
  <c r="G514" i="7"/>
  <c r="J66" i="1"/>
  <c r="F64" i="12" s="1"/>
  <c r="H66" i="1"/>
  <c r="J524" i="7"/>
  <c r="L524" i="7"/>
  <c r="J529" i="7"/>
  <c r="L529" i="7"/>
  <c r="H65" i="12" l="1"/>
  <c r="H64" i="12"/>
  <c r="H67" i="12"/>
  <c r="H66" i="12"/>
  <c r="G66" i="10"/>
  <c r="G65" i="10"/>
  <c r="G67" i="10"/>
  <c r="F64" i="10"/>
  <c r="H64" i="10" s="1"/>
  <c r="I64" i="10" s="1"/>
  <c r="F64" i="11"/>
  <c r="F61" i="8"/>
  <c r="H61" i="8" s="1"/>
  <c r="F62" i="8"/>
  <c r="H62" i="8" s="1"/>
  <c r="F63" i="8"/>
  <c r="H63" i="8" s="1"/>
  <c r="A63" i="9"/>
  <c r="A61" i="9"/>
  <c r="A62" i="9"/>
  <c r="L514" i="7"/>
  <c r="J514" i="7"/>
  <c r="J521" i="7"/>
  <c r="L521" i="7"/>
  <c r="J515" i="7"/>
  <c r="L515" i="7"/>
  <c r="J518" i="7"/>
  <c r="L518" i="7"/>
  <c r="J519" i="7"/>
  <c r="L519" i="7"/>
  <c r="J517" i="7"/>
  <c r="L517" i="7"/>
  <c r="J516" i="7"/>
  <c r="L516" i="7"/>
  <c r="J520" i="7"/>
  <c r="L520" i="7"/>
  <c r="G513" i="7"/>
  <c r="E64" i="1"/>
  <c r="G511" i="7"/>
  <c r="G509" i="7"/>
  <c r="G508" i="7"/>
  <c r="G510" i="7"/>
  <c r="G512" i="7"/>
  <c r="G507" i="7"/>
  <c r="G506" i="7"/>
  <c r="J65" i="1"/>
  <c r="H65" i="1"/>
  <c r="F62" i="12" l="1"/>
  <c r="F63" i="12"/>
  <c r="F61" i="12"/>
  <c r="G64" i="10"/>
  <c r="F61" i="11"/>
  <c r="F63" i="11"/>
  <c r="F62" i="11"/>
  <c r="F61" i="10"/>
  <c r="H61" i="10" s="1"/>
  <c r="I61" i="10" s="1"/>
  <c r="F62" i="10"/>
  <c r="H62" i="10" s="1"/>
  <c r="I62" i="10" s="1"/>
  <c r="F63" i="10"/>
  <c r="H63" i="10" s="1"/>
  <c r="I63" i="10" s="1"/>
  <c r="F59" i="8"/>
  <c r="H59" i="8" s="1"/>
  <c r="F60" i="8"/>
  <c r="H60" i="8" s="1"/>
  <c r="A60" i="9"/>
  <c r="A59" i="9"/>
  <c r="J510" i="7"/>
  <c r="L510" i="7"/>
  <c r="J509" i="7"/>
  <c r="L509" i="7"/>
  <c r="J511" i="7"/>
  <c r="L511" i="7"/>
  <c r="E63" i="1"/>
  <c r="G504" i="7"/>
  <c r="G505" i="7"/>
  <c r="G501" i="7"/>
  <c r="G502" i="7"/>
  <c r="G503" i="7"/>
  <c r="G499" i="7"/>
  <c r="G500" i="7"/>
  <c r="G498" i="7"/>
  <c r="H64" i="1"/>
  <c r="J64" i="1"/>
  <c r="J508" i="7"/>
  <c r="L508" i="7"/>
  <c r="J506" i="7"/>
  <c r="L506" i="7"/>
  <c r="J507" i="7"/>
  <c r="L507" i="7"/>
  <c r="J513" i="7"/>
  <c r="L513" i="7"/>
  <c r="J512" i="7"/>
  <c r="L512" i="7"/>
  <c r="F59" i="12" l="1"/>
  <c r="F60" i="12"/>
  <c r="H63" i="12"/>
  <c r="H62" i="12"/>
  <c r="H61" i="12"/>
  <c r="G63" i="10"/>
  <c r="G62" i="10"/>
  <c r="G61" i="10"/>
  <c r="F60" i="11"/>
  <c r="F59" i="11"/>
  <c r="F59" i="10"/>
  <c r="H59" i="10" s="1"/>
  <c r="I59" i="10" s="1"/>
  <c r="F60" i="10"/>
  <c r="H60" i="10" s="1"/>
  <c r="I60" i="10" s="1"/>
  <c r="F57" i="8"/>
  <c r="H57" i="8" s="1"/>
  <c r="F58" i="8"/>
  <c r="H58" i="8" s="1"/>
  <c r="A57" i="9"/>
  <c r="A58" i="9"/>
  <c r="J500" i="7"/>
  <c r="L500" i="7"/>
  <c r="L499" i="7"/>
  <c r="J499" i="7"/>
  <c r="J502" i="7"/>
  <c r="L502" i="7"/>
  <c r="J501" i="7"/>
  <c r="L501" i="7"/>
  <c r="J503" i="7"/>
  <c r="L503" i="7"/>
  <c r="J505" i="7"/>
  <c r="L505" i="7"/>
  <c r="J504" i="7"/>
  <c r="L504" i="7"/>
  <c r="L498" i="7"/>
  <c r="J498" i="7"/>
  <c r="G497" i="7"/>
  <c r="G495" i="7"/>
  <c r="G493" i="7"/>
  <c r="G494" i="7"/>
  <c r="G496" i="7"/>
  <c r="E62" i="1"/>
  <c r="G492" i="7"/>
  <c r="H63" i="1"/>
  <c r="G491" i="7"/>
  <c r="J63" i="1"/>
  <c r="G490" i="7"/>
  <c r="F58" i="12" l="1"/>
  <c r="F57" i="12"/>
  <c r="H59" i="12"/>
  <c r="H60" i="12"/>
  <c r="G60" i="10"/>
  <c r="G59" i="10"/>
  <c r="F57" i="11"/>
  <c r="F58" i="11"/>
  <c r="F57" i="10"/>
  <c r="H57" i="10" s="1"/>
  <c r="I57" i="10" s="1"/>
  <c r="F58" i="10"/>
  <c r="H58" i="10" s="1"/>
  <c r="I58" i="10" s="1"/>
  <c r="F55" i="8"/>
  <c r="H55" i="8" s="1"/>
  <c r="F56" i="8"/>
  <c r="H56" i="8" s="1"/>
  <c r="A56" i="9"/>
  <c r="A55" i="9"/>
  <c r="J497" i="7"/>
  <c r="L497" i="7"/>
  <c r="L491" i="7"/>
  <c r="J491" i="7"/>
  <c r="E61" i="1"/>
  <c r="G487" i="7"/>
  <c r="G488" i="7"/>
  <c r="G485" i="7"/>
  <c r="G486" i="7"/>
  <c r="G484" i="7"/>
  <c r="G489" i="7"/>
  <c r="G483" i="7"/>
  <c r="H62" i="1"/>
  <c r="J62" i="1"/>
  <c r="G482" i="7"/>
  <c r="J494" i="7"/>
  <c r="L494" i="7"/>
  <c r="L490" i="7"/>
  <c r="J490" i="7"/>
  <c r="L492" i="7"/>
  <c r="J492" i="7"/>
  <c r="J496" i="7"/>
  <c r="L496" i="7"/>
  <c r="L493" i="7"/>
  <c r="J493" i="7"/>
  <c r="J495" i="7"/>
  <c r="L495" i="7"/>
  <c r="F55" i="12" l="1"/>
  <c r="F56" i="12"/>
  <c r="H57" i="12"/>
  <c r="H58" i="12"/>
  <c r="G58" i="10"/>
  <c r="G57" i="10"/>
  <c r="F56" i="11"/>
  <c r="F55" i="11"/>
  <c r="F55" i="10"/>
  <c r="H55" i="10" s="1"/>
  <c r="I55" i="10" s="1"/>
  <c r="F56" i="10"/>
  <c r="H56" i="10" s="1"/>
  <c r="I56" i="10" s="1"/>
  <c r="F52" i="8"/>
  <c r="H52" i="8" s="1"/>
  <c r="F53" i="8"/>
  <c r="H53" i="8" s="1"/>
  <c r="F54" i="8"/>
  <c r="H54" i="8" s="1"/>
  <c r="A53" i="9"/>
  <c r="A52" i="9"/>
  <c r="A54" i="9"/>
  <c r="J488" i="7"/>
  <c r="L488" i="7"/>
  <c r="E60" i="1"/>
  <c r="G481" i="7"/>
  <c r="G479" i="7"/>
  <c r="G480" i="7"/>
  <c r="G478" i="7"/>
  <c r="G477" i="7"/>
  <c r="G476" i="7"/>
  <c r="G475" i="7"/>
  <c r="G474" i="7"/>
  <c r="H61" i="1"/>
  <c r="J61" i="1"/>
  <c r="L482" i="7"/>
  <c r="J482" i="7"/>
  <c r="J489" i="7"/>
  <c r="L489" i="7"/>
  <c r="J483" i="7"/>
  <c r="L483" i="7"/>
  <c r="L484" i="7"/>
  <c r="J484" i="7"/>
  <c r="J486" i="7"/>
  <c r="L486" i="7"/>
  <c r="J487" i="7"/>
  <c r="L487" i="7"/>
  <c r="J485" i="7"/>
  <c r="L485" i="7"/>
  <c r="F54" i="12" l="1"/>
  <c r="F52" i="12"/>
  <c r="F53" i="12"/>
  <c r="H55" i="12"/>
  <c r="H56" i="12"/>
  <c r="G56" i="10"/>
  <c r="G55" i="10"/>
  <c r="F53" i="11"/>
  <c r="F52" i="11"/>
  <c r="F54" i="11"/>
  <c r="F52" i="10"/>
  <c r="H52" i="10" s="1"/>
  <c r="I52" i="10" s="1"/>
  <c r="F53" i="10"/>
  <c r="H53" i="10" s="1"/>
  <c r="I53" i="10" s="1"/>
  <c r="F54" i="10"/>
  <c r="H54" i="10" s="1"/>
  <c r="I54" i="10" s="1"/>
  <c r="F51" i="8"/>
  <c r="H51" i="8" s="1"/>
  <c r="F50" i="8"/>
  <c r="H50" i="8" s="1"/>
  <c r="A51" i="9"/>
  <c r="A50" i="9"/>
  <c r="J478" i="7"/>
  <c r="L478" i="7"/>
  <c r="J479" i="7"/>
  <c r="L479" i="7"/>
  <c r="J481" i="7"/>
  <c r="L481" i="7"/>
  <c r="L474" i="7"/>
  <c r="J474" i="7"/>
  <c r="E59" i="1"/>
  <c r="G473" i="7"/>
  <c r="G471" i="7"/>
  <c r="G472" i="7"/>
  <c r="G468" i="7"/>
  <c r="G470" i="7"/>
  <c r="G469" i="7"/>
  <c r="G466" i="7"/>
  <c r="G467" i="7"/>
  <c r="H60" i="1"/>
  <c r="J60" i="1"/>
  <c r="J480" i="7"/>
  <c r="L480" i="7"/>
  <c r="L475" i="7"/>
  <c r="J475" i="7"/>
  <c r="L476" i="7"/>
  <c r="J476" i="7"/>
  <c r="J477" i="7"/>
  <c r="L477" i="7"/>
  <c r="F50" i="12" l="1"/>
  <c r="F51" i="12"/>
  <c r="H52" i="12"/>
  <c r="H54" i="12"/>
  <c r="H53" i="12"/>
  <c r="G52" i="10"/>
  <c r="G54" i="10"/>
  <c r="G53" i="10"/>
  <c r="F51" i="11"/>
  <c r="F50" i="11"/>
  <c r="F51" i="10"/>
  <c r="H51" i="10" s="1"/>
  <c r="I51" i="10" s="1"/>
  <c r="F50" i="10"/>
  <c r="H50" i="10" s="1"/>
  <c r="I50" i="10" s="1"/>
  <c r="J471" i="7"/>
  <c r="L471" i="7"/>
  <c r="J473" i="7"/>
  <c r="L473" i="7"/>
  <c r="G465" i="7"/>
  <c r="E58" i="1"/>
  <c r="G464" i="7"/>
  <c r="G463" i="7"/>
  <c r="G461" i="7"/>
  <c r="G462" i="7"/>
  <c r="G459" i="7"/>
  <c r="G460" i="7"/>
  <c r="G458" i="7"/>
  <c r="H59" i="1"/>
  <c r="J59" i="1"/>
  <c r="J467" i="7"/>
  <c r="L467" i="7"/>
  <c r="J466" i="7"/>
  <c r="L466" i="7"/>
  <c r="J469" i="7"/>
  <c r="L469" i="7"/>
  <c r="J470" i="7"/>
  <c r="L470" i="7"/>
  <c r="J472" i="7"/>
  <c r="L472" i="7"/>
  <c r="L468" i="7"/>
  <c r="J468" i="7"/>
  <c r="H51" i="12" l="1"/>
  <c r="H50" i="12"/>
  <c r="G50" i="10"/>
  <c r="G51" i="10"/>
  <c r="F48" i="8"/>
  <c r="H48" i="8" s="1"/>
  <c r="F49" i="8"/>
  <c r="H49" i="8" s="1"/>
  <c r="A49" i="9"/>
  <c r="A48" i="9"/>
  <c r="G457" i="7"/>
  <c r="E57" i="1"/>
  <c r="G452" i="7"/>
  <c r="G456" i="7"/>
  <c r="G454" i="7"/>
  <c r="G453" i="7"/>
  <c r="G455" i="7"/>
  <c r="H58" i="1"/>
  <c r="J58" i="1"/>
  <c r="G451" i="7"/>
  <c r="G450" i="7"/>
  <c r="L465" i="7"/>
  <c r="J465" i="7"/>
  <c r="L460" i="7"/>
  <c r="J460" i="7"/>
  <c r="J459" i="7"/>
  <c r="L459" i="7"/>
  <c r="J462" i="7"/>
  <c r="L462" i="7"/>
  <c r="J461" i="7"/>
  <c r="L461" i="7"/>
  <c r="J463" i="7"/>
  <c r="L463" i="7"/>
  <c r="L458" i="7"/>
  <c r="J458" i="7"/>
  <c r="L464" i="7"/>
  <c r="J464" i="7"/>
  <c r="F48" i="12" l="1"/>
  <c r="F49" i="12"/>
  <c r="F49" i="11"/>
  <c r="F48" i="11"/>
  <c r="F48" i="10"/>
  <c r="H48" i="10" s="1"/>
  <c r="I48" i="10" s="1"/>
  <c r="F49" i="10"/>
  <c r="H49" i="10" s="1"/>
  <c r="I49" i="10" s="1"/>
  <c r="J453" i="7"/>
  <c r="L453" i="7"/>
  <c r="J454" i="7"/>
  <c r="L454" i="7"/>
  <c r="J456" i="7"/>
  <c r="L456" i="7"/>
  <c r="L452" i="7"/>
  <c r="J452" i="7"/>
  <c r="J451" i="7"/>
  <c r="L451" i="7"/>
  <c r="G449" i="7"/>
  <c r="E56" i="1"/>
  <c r="G447" i="7"/>
  <c r="G445" i="7"/>
  <c r="G448" i="7"/>
  <c r="G444" i="7"/>
  <c r="G443" i="7"/>
  <c r="G442" i="7"/>
  <c r="J57" i="1"/>
  <c r="G446" i="7"/>
  <c r="H57" i="1"/>
  <c r="J455" i="7"/>
  <c r="L455" i="7"/>
  <c r="L450" i="7"/>
  <c r="J450" i="7"/>
  <c r="J457" i="7"/>
  <c r="L457" i="7"/>
  <c r="H48" i="12" l="1"/>
  <c r="H49" i="12"/>
  <c r="G49" i="10"/>
  <c r="G48" i="10"/>
  <c r="J445" i="7"/>
  <c r="L445" i="7"/>
  <c r="J447" i="7"/>
  <c r="L447" i="7"/>
  <c r="J446" i="7"/>
  <c r="L446" i="7"/>
  <c r="J448" i="7"/>
  <c r="L448" i="7"/>
  <c r="E55" i="1"/>
  <c r="G441" i="7"/>
  <c r="G440" i="7"/>
  <c r="G437" i="7"/>
  <c r="G439" i="7"/>
  <c r="G438" i="7"/>
  <c r="G436" i="7"/>
  <c r="G434" i="7"/>
  <c r="H56" i="1"/>
  <c r="G435" i="7"/>
  <c r="J56" i="1"/>
  <c r="L449" i="7"/>
  <c r="J449" i="7"/>
  <c r="L442" i="7"/>
  <c r="J442" i="7"/>
  <c r="J444" i="7"/>
  <c r="L444" i="7"/>
  <c r="L443" i="7"/>
  <c r="J443" i="7"/>
  <c r="J439" i="7" l="1"/>
  <c r="L439" i="7"/>
  <c r="J437" i="7"/>
  <c r="L437" i="7"/>
  <c r="J441" i="7"/>
  <c r="L441" i="7"/>
  <c r="L435" i="7"/>
  <c r="J435" i="7"/>
  <c r="G433" i="7"/>
  <c r="G431" i="7"/>
  <c r="E54" i="1"/>
  <c r="G429" i="7"/>
  <c r="G430" i="7"/>
  <c r="G432" i="7"/>
  <c r="G427" i="7"/>
  <c r="G428" i="7"/>
  <c r="J55" i="1"/>
  <c r="H55" i="1"/>
  <c r="G426" i="7"/>
  <c r="L434" i="7"/>
  <c r="J434" i="7"/>
  <c r="J436" i="7"/>
  <c r="L436" i="7"/>
  <c r="J440" i="7"/>
  <c r="L440" i="7"/>
  <c r="J438" i="7"/>
  <c r="L438" i="7"/>
  <c r="F46" i="8" l="1"/>
  <c r="H46" i="8" s="1"/>
  <c r="F47" i="8"/>
  <c r="H47" i="8" s="1"/>
  <c r="A47" i="9"/>
  <c r="A46" i="9"/>
  <c r="J430" i="7"/>
  <c r="L430" i="7"/>
  <c r="E53" i="1"/>
  <c r="G423" i="7"/>
  <c r="G424" i="7"/>
  <c r="G421" i="7"/>
  <c r="G422" i="7"/>
  <c r="G420" i="7"/>
  <c r="G425" i="7"/>
  <c r="G419" i="7"/>
  <c r="H54" i="1"/>
  <c r="J54" i="1"/>
  <c r="G418" i="7"/>
  <c r="J433" i="7"/>
  <c r="L433" i="7"/>
  <c r="J429" i="7"/>
  <c r="L429" i="7"/>
  <c r="L426" i="7"/>
  <c r="J426" i="7"/>
  <c r="J431" i="7"/>
  <c r="L431" i="7"/>
  <c r="L428" i="7"/>
  <c r="J428" i="7"/>
  <c r="J427" i="7"/>
  <c r="L427" i="7"/>
  <c r="L432" i="7"/>
  <c r="J432" i="7"/>
  <c r="F46" i="12" l="1"/>
  <c r="F47" i="12"/>
  <c r="F47" i="11"/>
  <c r="F46" i="11"/>
  <c r="F46" i="10"/>
  <c r="H46" i="10" s="1"/>
  <c r="I46" i="10" s="1"/>
  <c r="F47" i="10"/>
  <c r="H47" i="10" s="1"/>
  <c r="I47" i="10" s="1"/>
  <c r="J420" i="7"/>
  <c r="L420" i="7"/>
  <c r="J421" i="7"/>
  <c r="L421" i="7"/>
  <c r="J424" i="7"/>
  <c r="L424" i="7"/>
  <c r="J423" i="7"/>
  <c r="L423" i="7"/>
  <c r="L418" i="7"/>
  <c r="J418" i="7"/>
  <c r="E52" i="1"/>
  <c r="G417" i="7"/>
  <c r="G415" i="7"/>
  <c r="G416" i="7"/>
  <c r="G414" i="7"/>
  <c r="G411" i="7"/>
  <c r="G410" i="7"/>
  <c r="G413" i="7"/>
  <c r="H53" i="1"/>
  <c r="J53" i="1"/>
  <c r="G412" i="7"/>
  <c r="L419" i="7"/>
  <c r="J419" i="7"/>
  <c r="J422" i="7"/>
  <c r="L422" i="7"/>
  <c r="J425" i="7"/>
  <c r="L425" i="7"/>
  <c r="H47" i="12" l="1"/>
  <c r="H46" i="12"/>
  <c r="G47" i="10"/>
  <c r="G46" i="10"/>
  <c r="L414" i="7"/>
  <c r="J414" i="7"/>
  <c r="J415" i="7"/>
  <c r="L415" i="7"/>
  <c r="L412" i="7"/>
  <c r="J412" i="7"/>
  <c r="J417" i="7"/>
  <c r="L417" i="7"/>
  <c r="J413" i="7"/>
  <c r="L413" i="7"/>
  <c r="E51" i="1"/>
  <c r="G409" i="7"/>
  <c r="G407" i="7"/>
  <c r="G408" i="7"/>
  <c r="G404" i="7"/>
  <c r="G406" i="7"/>
  <c r="G405" i="7"/>
  <c r="G403" i="7"/>
  <c r="G402" i="7"/>
  <c r="H52" i="1"/>
  <c r="J52" i="1"/>
  <c r="L410" i="7"/>
  <c r="J410" i="7"/>
  <c r="J416" i="7"/>
  <c r="L416" i="7"/>
  <c r="L411" i="7"/>
  <c r="J411" i="7"/>
  <c r="F44" i="8" l="1"/>
  <c r="H44" i="8" s="1"/>
  <c r="F45" i="8"/>
  <c r="H45" i="8" s="1"/>
  <c r="A45" i="9"/>
  <c r="A44" i="9"/>
  <c r="J407" i="7"/>
  <c r="L407" i="7"/>
  <c r="J409" i="7"/>
  <c r="L409" i="7"/>
  <c r="L402" i="7"/>
  <c r="J402" i="7"/>
  <c r="G401" i="7"/>
  <c r="E50" i="1"/>
  <c r="G400" i="7"/>
  <c r="G399" i="7"/>
  <c r="G397" i="7"/>
  <c r="G396" i="7"/>
  <c r="G395" i="7"/>
  <c r="G398" i="7"/>
  <c r="G394" i="7"/>
  <c r="H51" i="1"/>
  <c r="J51" i="1"/>
  <c r="L403" i="7"/>
  <c r="J403" i="7"/>
  <c r="J405" i="7"/>
  <c r="L405" i="7"/>
  <c r="J406" i="7"/>
  <c r="L406" i="7"/>
  <c r="L404" i="7"/>
  <c r="J404" i="7"/>
  <c r="J408" i="7"/>
  <c r="L408" i="7"/>
  <c r="F44" i="12" l="1"/>
  <c r="F45" i="12"/>
  <c r="F45" i="11"/>
  <c r="F44" i="11"/>
  <c r="F44" i="10"/>
  <c r="H44" i="10" s="1"/>
  <c r="I44" i="10" s="1"/>
  <c r="F45" i="10"/>
  <c r="H45" i="10" s="1"/>
  <c r="I45" i="10" s="1"/>
  <c r="F43" i="8"/>
  <c r="H43" i="8" s="1"/>
  <c r="A43" i="9"/>
  <c r="J397" i="7"/>
  <c r="L397" i="7"/>
  <c r="L396" i="7"/>
  <c r="J396" i="7"/>
  <c r="J399" i="7"/>
  <c r="L399" i="7"/>
  <c r="J400" i="7"/>
  <c r="L400" i="7"/>
  <c r="G393" i="7"/>
  <c r="E49" i="1"/>
  <c r="G391" i="7"/>
  <c r="G392" i="7"/>
  <c r="G388" i="7"/>
  <c r="G390" i="7"/>
  <c r="G389" i="7"/>
  <c r="G387" i="7"/>
  <c r="G386" i="7"/>
  <c r="J50" i="1"/>
  <c r="F43" i="12" s="1"/>
  <c r="H50" i="1"/>
  <c r="L394" i="7"/>
  <c r="J394" i="7"/>
  <c r="J401" i="7"/>
  <c r="L401" i="7"/>
  <c r="J395" i="7"/>
  <c r="L395" i="7"/>
  <c r="J398" i="7"/>
  <c r="L398" i="7"/>
  <c r="H43" i="12" l="1"/>
  <c r="H44" i="12"/>
  <c r="H45" i="12"/>
  <c r="G45" i="10"/>
  <c r="G44" i="10"/>
  <c r="F43" i="10"/>
  <c r="H43" i="10" s="1"/>
  <c r="I43" i="10" s="1"/>
  <c r="F43" i="11"/>
  <c r="F42" i="8"/>
  <c r="H42" i="8" s="1"/>
  <c r="A42" i="9"/>
  <c r="J390" i="7"/>
  <c r="L390" i="7"/>
  <c r="J392" i="7"/>
  <c r="L392" i="7"/>
  <c r="J389" i="7"/>
  <c r="L389" i="7"/>
  <c r="L388" i="7"/>
  <c r="J388" i="7"/>
  <c r="J391" i="7"/>
  <c r="L391" i="7"/>
  <c r="L386" i="7"/>
  <c r="J386" i="7"/>
  <c r="G385" i="7"/>
  <c r="E48" i="1"/>
  <c r="G383" i="7"/>
  <c r="G384" i="7"/>
  <c r="G381" i="7"/>
  <c r="G380" i="7"/>
  <c r="G379" i="7"/>
  <c r="G382" i="7"/>
  <c r="G378" i="7"/>
  <c r="J49" i="1"/>
  <c r="F42" i="12" s="1"/>
  <c r="H49" i="1"/>
  <c r="J393" i="7"/>
  <c r="L393" i="7"/>
  <c r="J387" i="7"/>
  <c r="L387" i="7"/>
  <c r="H42" i="12" l="1"/>
  <c r="G43" i="10"/>
  <c r="F42" i="10"/>
  <c r="H42" i="10" s="1"/>
  <c r="I42" i="10" s="1"/>
  <c r="F42" i="11"/>
  <c r="F41" i="8"/>
  <c r="H41" i="8" s="1"/>
  <c r="A41" i="9"/>
  <c r="E47" i="1"/>
  <c r="G377" i="7"/>
  <c r="G376" i="7"/>
  <c r="G375" i="7"/>
  <c r="G373" i="7"/>
  <c r="G374" i="7"/>
  <c r="G372" i="7"/>
  <c r="G370" i="7"/>
  <c r="G371" i="7"/>
  <c r="H48" i="1"/>
  <c r="J48" i="1"/>
  <c r="F41" i="12" s="1"/>
  <c r="J382" i="7"/>
  <c r="L382" i="7"/>
  <c r="L378" i="7"/>
  <c r="J378" i="7"/>
  <c r="L379" i="7"/>
  <c r="J379" i="7"/>
  <c r="J381" i="7"/>
  <c r="L381" i="7"/>
  <c r="L383" i="7"/>
  <c r="J383" i="7"/>
  <c r="J385" i="7"/>
  <c r="L385" i="7"/>
  <c r="J380" i="7"/>
  <c r="L380" i="7"/>
  <c r="J384" i="7"/>
  <c r="L384" i="7"/>
  <c r="H41" i="12" l="1"/>
  <c r="G42" i="10"/>
  <c r="F41" i="10"/>
  <c r="H41" i="10" s="1"/>
  <c r="I41" i="10" s="1"/>
  <c r="F41" i="11"/>
  <c r="J370" i="7"/>
  <c r="L370" i="7"/>
  <c r="L372" i="7"/>
  <c r="J372" i="7"/>
  <c r="J374" i="7"/>
  <c r="L374" i="7"/>
  <c r="J373" i="7"/>
  <c r="L373" i="7"/>
  <c r="J375" i="7"/>
  <c r="L375" i="7"/>
  <c r="J376" i="7"/>
  <c r="L376" i="7"/>
  <c r="J377" i="7"/>
  <c r="L377" i="7"/>
  <c r="L371" i="7"/>
  <c r="J371" i="7"/>
  <c r="G369" i="7"/>
  <c r="G367" i="7"/>
  <c r="G368" i="7"/>
  <c r="G365" i="7"/>
  <c r="G366" i="7"/>
  <c r="E46" i="1"/>
  <c r="G364" i="7"/>
  <c r="G363" i="7"/>
  <c r="J47" i="1"/>
  <c r="G362" i="7"/>
  <c r="H47" i="1"/>
  <c r="G41" i="10" l="1"/>
  <c r="F40" i="8"/>
  <c r="H40" i="8" s="1"/>
  <c r="A40" i="9"/>
  <c r="J367" i="7"/>
  <c r="L367" i="7"/>
  <c r="J363" i="7"/>
  <c r="L363" i="7"/>
  <c r="J364" i="7"/>
  <c r="L364" i="7"/>
  <c r="L362" i="7"/>
  <c r="J362" i="7"/>
  <c r="J369" i="7"/>
  <c r="L369" i="7"/>
  <c r="E45" i="1"/>
  <c r="G361" i="7"/>
  <c r="G359" i="7"/>
  <c r="G360" i="7"/>
  <c r="G357" i="7"/>
  <c r="G358" i="7"/>
  <c r="G356" i="7"/>
  <c r="G354" i="7"/>
  <c r="H46" i="1"/>
  <c r="G355" i="7"/>
  <c r="J46" i="1"/>
  <c r="F40" i="12" s="1"/>
  <c r="J366" i="7"/>
  <c r="L366" i="7"/>
  <c r="J365" i="7"/>
  <c r="L365" i="7"/>
  <c r="J368" i="7"/>
  <c r="L368" i="7"/>
  <c r="H40" i="12" l="1"/>
  <c r="F40" i="10"/>
  <c r="H40" i="10" s="1"/>
  <c r="I40" i="10" s="1"/>
  <c r="F40" i="11"/>
  <c r="J358" i="7"/>
  <c r="L358" i="7"/>
  <c r="J357" i="7"/>
  <c r="L357" i="7"/>
  <c r="J361" i="7"/>
  <c r="L361" i="7"/>
  <c r="J355" i="7"/>
  <c r="L355" i="7"/>
  <c r="L354" i="7"/>
  <c r="J354" i="7"/>
  <c r="L360" i="7"/>
  <c r="J360" i="7"/>
  <c r="J359" i="7"/>
  <c r="L359" i="7"/>
  <c r="E44" i="1"/>
  <c r="G353" i="7"/>
  <c r="G351" i="7"/>
  <c r="G352" i="7"/>
  <c r="G350" i="7"/>
  <c r="G347" i="7"/>
  <c r="G348" i="7"/>
  <c r="G349" i="7"/>
  <c r="G346" i="7"/>
  <c r="H45" i="1"/>
  <c r="J45" i="1"/>
  <c r="J356" i="7"/>
  <c r="L356" i="7"/>
  <c r="G40" i="10" l="1"/>
  <c r="E43" i="1"/>
  <c r="G345" i="7"/>
  <c r="G343" i="7"/>
  <c r="G344" i="7"/>
  <c r="G342" i="7"/>
  <c r="G341" i="7"/>
  <c r="G338" i="7"/>
  <c r="G340" i="7"/>
  <c r="G339" i="7"/>
  <c r="J44" i="1"/>
  <c r="H44" i="1"/>
  <c r="J349" i="7"/>
  <c r="L349" i="7"/>
  <c r="J347" i="7"/>
  <c r="L347" i="7"/>
  <c r="J352" i="7"/>
  <c r="L352" i="7"/>
  <c r="J351" i="7"/>
  <c r="L351" i="7"/>
  <c r="L346" i="7"/>
  <c r="J346" i="7"/>
  <c r="J348" i="7"/>
  <c r="L348" i="7"/>
  <c r="J350" i="7"/>
  <c r="L350" i="7"/>
  <c r="L353" i="7"/>
  <c r="J353" i="7"/>
  <c r="F39" i="8" l="1"/>
  <c r="H39" i="8" s="1"/>
  <c r="A39" i="9"/>
  <c r="J340" i="7"/>
  <c r="L340" i="7"/>
  <c r="J342" i="7"/>
  <c r="L342" i="7"/>
  <c r="J344" i="7"/>
  <c r="L344" i="7"/>
  <c r="J341" i="7"/>
  <c r="L341" i="7"/>
  <c r="J343" i="7"/>
  <c r="L343" i="7"/>
  <c r="J345" i="7"/>
  <c r="L345" i="7"/>
  <c r="L338" i="7"/>
  <c r="J338" i="7"/>
  <c r="J339" i="7"/>
  <c r="L339" i="7"/>
  <c r="G337" i="7"/>
  <c r="E42" i="1"/>
  <c r="G336" i="7"/>
  <c r="G333" i="7"/>
  <c r="G331" i="7"/>
  <c r="G334" i="7"/>
  <c r="G332" i="7"/>
  <c r="G330" i="7"/>
  <c r="G335" i="7"/>
  <c r="J43" i="1"/>
  <c r="F39" i="12" s="1"/>
  <c r="H43" i="1"/>
  <c r="H39" i="12" l="1"/>
  <c r="F39" i="10"/>
  <c r="H39" i="10" s="1"/>
  <c r="I39" i="10" s="1"/>
  <c r="F39" i="11"/>
  <c r="F38" i="8"/>
  <c r="H38" i="8" s="1"/>
  <c r="A38" i="9"/>
  <c r="J336" i="7"/>
  <c r="L336" i="7"/>
  <c r="G329" i="7"/>
  <c r="E41" i="1"/>
  <c r="G324" i="7"/>
  <c r="G326" i="7"/>
  <c r="G328" i="7"/>
  <c r="G325" i="7"/>
  <c r="G327" i="7"/>
  <c r="G323" i="7"/>
  <c r="J42" i="1"/>
  <c r="F38" i="12" s="1"/>
  <c r="H42" i="1"/>
  <c r="G322" i="7"/>
  <c r="L330" i="7"/>
  <c r="J330" i="7"/>
  <c r="J335" i="7"/>
  <c r="L335" i="7"/>
  <c r="L332" i="7"/>
  <c r="J332" i="7"/>
  <c r="L337" i="7"/>
  <c r="J337" i="7"/>
  <c r="J334" i="7"/>
  <c r="L334" i="7"/>
  <c r="L331" i="7"/>
  <c r="J331" i="7"/>
  <c r="J333" i="7"/>
  <c r="L333" i="7"/>
  <c r="H38" i="12" l="1"/>
  <c r="G39" i="10"/>
  <c r="F38" i="10"/>
  <c r="H38" i="10" s="1"/>
  <c r="I38" i="10" s="1"/>
  <c r="F38" i="11"/>
  <c r="F37" i="8"/>
  <c r="H37" i="8" s="1"/>
  <c r="A37" i="9"/>
  <c r="J325" i="7"/>
  <c r="L325" i="7"/>
  <c r="J326" i="7"/>
  <c r="L326" i="7"/>
  <c r="J329" i="7"/>
  <c r="L329" i="7"/>
  <c r="J324" i="7"/>
  <c r="L324" i="7"/>
  <c r="J323" i="7"/>
  <c r="L323" i="7"/>
  <c r="J328" i="7"/>
  <c r="L328" i="7"/>
  <c r="L322" i="7"/>
  <c r="J322" i="7"/>
  <c r="G321" i="7"/>
  <c r="E40" i="1"/>
  <c r="G319" i="7"/>
  <c r="G317" i="7"/>
  <c r="G318" i="7"/>
  <c r="G315" i="7"/>
  <c r="G316" i="7"/>
  <c r="G314" i="7"/>
  <c r="J41" i="1"/>
  <c r="F37" i="12" s="1"/>
  <c r="H41" i="1"/>
  <c r="G320" i="7"/>
  <c r="L327" i="7"/>
  <c r="J327" i="7"/>
  <c r="H37" i="12" l="1"/>
  <c r="G38" i="10"/>
  <c r="F37" i="10"/>
  <c r="H37" i="10" s="1"/>
  <c r="I37" i="10" s="1"/>
  <c r="F37" i="11"/>
  <c r="J321" i="7"/>
  <c r="L321" i="7"/>
  <c r="J314" i="7"/>
  <c r="L314" i="7"/>
  <c r="J317" i="7"/>
  <c r="L317" i="7"/>
  <c r="J318" i="7"/>
  <c r="L318" i="7"/>
  <c r="J319" i="7"/>
  <c r="L319" i="7"/>
  <c r="L316" i="7"/>
  <c r="J316" i="7"/>
  <c r="J315" i="7"/>
  <c r="L315" i="7"/>
  <c r="J320" i="7"/>
  <c r="L320" i="7"/>
  <c r="E39" i="1"/>
  <c r="G313" i="7"/>
  <c r="G312" i="7"/>
  <c r="G309" i="7"/>
  <c r="G310" i="7"/>
  <c r="G311" i="7"/>
  <c r="G308" i="7"/>
  <c r="G307" i="7"/>
  <c r="G306" i="7"/>
  <c r="H40" i="1"/>
  <c r="J40" i="1"/>
  <c r="G37" i="10" l="1"/>
  <c r="L306" i="7"/>
  <c r="J306" i="7"/>
  <c r="G305" i="7"/>
  <c r="G303" i="7"/>
  <c r="G301" i="7"/>
  <c r="G302" i="7"/>
  <c r="G304" i="7"/>
  <c r="G300" i="7"/>
  <c r="E38" i="1"/>
  <c r="G299" i="7"/>
  <c r="H39" i="1"/>
  <c r="G298" i="7"/>
  <c r="J39" i="1"/>
  <c r="L307" i="7"/>
  <c r="J307" i="7"/>
  <c r="L308" i="7"/>
  <c r="J308" i="7"/>
  <c r="J311" i="7"/>
  <c r="L311" i="7"/>
  <c r="J313" i="7"/>
  <c r="L313" i="7"/>
  <c r="J310" i="7"/>
  <c r="L310" i="7"/>
  <c r="J309" i="7"/>
  <c r="L309" i="7"/>
  <c r="J312" i="7"/>
  <c r="L312" i="7"/>
  <c r="F35" i="8" l="1"/>
  <c r="H35" i="8" s="1"/>
  <c r="F36" i="8"/>
  <c r="H36" i="8" s="1"/>
  <c r="F34" i="8"/>
  <c r="H34" i="8" s="1"/>
  <c r="A36" i="9"/>
  <c r="A35" i="9"/>
  <c r="A34" i="9"/>
  <c r="J304" i="7"/>
  <c r="L304" i="7"/>
  <c r="J301" i="7"/>
  <c r="L301" i="7"/>
  <c r="J300" i="7"/>
  <c r="L300" i="7"/>
  <c r="J303" i="7"/>
  <c r="L303" i="7"/>
  <c r="J305" i="7"/>
  <c r="L305" i="7"/>
  <c r="J302" i="7"/>
  <c r="L302" i="7"/>
  <c r="J298" i="7"/>
  <c r="L298" i="7"/>
  <c r="J299" i="7"/>
  <c r="L299" i="7"/>
  <c r="E37" i="1"/>
  <c r="G297" i="7"/>
  <c r="G295" i="7"/>
  <c r="G296" i="7"/>
  <c r="G293" i="7"/>
  <c r="G294" i="7"/>
  <c r="G292" i="7"/>
  <c r="H38" i="1"/>
  <c r="J38" i="1"/>
  <c r="G290" i="7"/>
  <c r="G291" i="7"/>
  <c r="F34" i="12" l="1"/>
  <c r="F35" i="12"/>
  <c r="F36" i="12"/>
  <c r="F36" i="11"/>
  <c r="F35" i="11"/>
  <c r="F34" i="11"/>
  <c r="F35" i="10"/>
  <c r="H35" i="10" s="1"/>
  <c r="I35" i="10" s="1"/>
  <c r="F36" i="10"/>
  <c r="H36" i="10" s="1"/>
  <c r="I36" i="10" s="1"/>
  <c r="F34" i="10"/>
  <c r="H34" i="10" s="1"/>
  <c r="I34" i="10" s="1"/>
  <c r="F33" i="8"/>
  <c r="H33" i="8" s="1"/>
  <c r="A33" i="9"/>
  <c r="J291" i="7"/>
  <c r="L291" i="7"/>
  <c r="J294" i="7"/>
  <c r="L294" i="7"/>
  <c r="L295" i="7"/>
  <c r="J295" i="7"/>
  <c r="J293" i="7"/>
  <c r="L293" i="7"/>
  <c r="J297" i="7"/>
  <c r="L297" i="7"/>
  <c r="L292" i="7"/>
  <c r="J292" i="7"/>
  <c r="L296" i="7"/>
  <c r="J296" i="7"/>
  <c r="L290" i="7"/>
  <c r="J290" i="7"/>
  <c r="E36" i="1"/>
  <c r="G289" i="7"/>
  <c r="G287" i="7"/>
  <c r="G288" i="7"/>
  <c r="G286" i="7"/>
  <c r="G284" i="7"/>
  <c r="G285" i="7"/>
  <c r="G283" i="7"/>
  <c r="G282" i="7"/>
  <c r="H37" i="1"/>
  <c r="J37" i="1"/>
  <c r="F33" i="12" s="1"/>
  <c r="H36" i="12" l="1"/>
  <c r="H35" i="12"/>
  <c r="H33" i="12"/>
  <c r="H34" i="12"/>
  <c r="G34" i="10"/>
  <c r="G36" i="10"/>
  <c r="G35" i="10"/>
  <c r="F33" i="10"/>
  <c r="H33" i="10" s="1"/>
  <c r="I33" i="10" s="1"/>
  <c r="F33" i="11"/>
  <c r="J287" i="7"/>
  <c r="L287" i="7"/>
  <c r="L282" i="7"/>
  <c r="J282" i="7"/>
  <c r="E35" i="1"/>
  <c r="G281" i="7"/>
  <c r="G279" i="7"/>
  <c r="G280" i="7"/>
  <c r="G278" i="7"/>
  <c r="G277" i="7"/>
  <c r="G276" i="7"/>
  <c r="G274" i="7"/>
  <c r="G275" i="7"/>
  <c r="J36" i="1"/>
  <c r="H36" i="1"/>
  <c r="J283" i="7"/>
  <c r="L283" i="7"/>
  <c r="L284" i="7"/>
  <c r="J284" i="7"/>
  <c r="J285" i="7"/>
  <c r="L285" i="7"/>
  <c r="J286" i="7"/>
  <c r="L286" i="7"/>
  <c r="J289" i="7"/>
  <c r="L289" i="7"/>
  <c r="J288" i="7"/>
  <c r="L288" i="7"/>
  <c r="G33" i="10" l="1"/>
  <c r="F31" i="8"/>
  <c r="H31" i="8" s="1"/>
  <c r="F32" i="8"/>
  <c r="H32" i="8" s="1"/>
  <c r="A31" i="9"/>
  <c r="A32" i="9"/>
  <c r="J281" i="7"/>
  <c r="L281" i="7"/>
  <c r="G273" i="7"/>
  <c r="E34" i="1"/>
  <c r="G272" i="7"/>
  <c r="G269" i="7"/>
  <c r="G267" i="7"/>
  <c r="G271" i="7"/>
  <c r="G268" i="7"/>
  <c r="G266" i="7"/>
  <c r="G270" i="7"/>
  <c r="H35" i="1"/>
  <c r="J35" i="1"/>
  <c r="J276" i="7"/>
  <c r="L276" i="7"/>
  <c r="J279" i="7"/>
  <c r="L279" i="7"/>
  <c r="J277" i="7"/>
  <c r="L277" i="7"/>
  <c r="J278" i="7"/>
  <c r="L278" i="7"/>
  <c r="J275" i="7"/>
  <c r="L275" i="7"/>
  <c r="L274" i="7"/>
  <c r="J274" i="7"/>
  <c r="J280" i="7"/>
  <c r="L280" i="7"/>
  <c r="F31" i="12" l="1"/>
  <c r="F32" i="12"/>
  <c r="F32" i="11"/>
  <c r="F31" i="11"/>
  <c r="F32" i="10"/>
  <c r="H32" i="10" s="1"/>
  <c r="I32" i="10" s="1"/>
  <c r="F31" i="10"/>
  <c r="H31" i="10" s="1"/>
  <c r="I31" i="10" s="1"/>
  <c r="J269" i="7"/>
  <c r="L269" i="7"/>
  <c r="G265" i="7"/>
  <c r="E33" i="1"/>
  <c r="G260" i="7"/>
  <c r="G263" i="7"/>
  <c r="G262" i="7"/>
  <c r="G264" i="7"/>
  <c r="G261" i="7"/>
  <c r="G259" i="7"/>
  <c r="J34" i="1"/>
  <c r="H34" i="1"/>
  <c r="G258" i="7"/>
  <c r="J270" i="7"/>
  <c r="L270" i="7"/>
  <c r="L273" i="7"/>
  <c r="J273" i="7"/>
  <c r="L266" i="7"/>
  <c r="J266" i="7"/>
  <c r="J272" i="7"/>
  <c r="L272" i="7"/>
  <c r="J267" i="7"/>
  <c r="L267" i="7"/>
  <c r="L268" i="7"/>
  <c r="J268" i="7"/>
  <c r="J271" i="7"/>
  <c r="L271" i="7"/>
  <c r="H31" i="12" l="1"/>
  <c r="H32" i="12"/>
  <c r="G31" i="10"/>
  <c r="G32" i="10"/>
  <c r="J264" i="7"/>
  <c r="L264" i="7"/>
  <c r="J263" i="7"/>
  <c r="L263" i="7"/>
  <c r="J260" i="7"/>
  <c r="L260" i="7"/>
  <c r="J265" i="7"/>
  <c r="L265" i="7"/>
  <c r="G257" i="7"/>
  <c r="E32" i="1"/>
  <c r="G255" i="7"/>
  <c r="G252" i="7"/>
  <c r="G256" i="7"/>
  <c r="G253" i="7"/>
  <c r="G254" i="7"/>
  <c r="G251" i="7"/>
  <c r="G250" i="7"/>
  <c r="J33" i="1"/>
  <c r="H33" i="1"/>
  <c r="J262" i="7"/>
  <c r="L262" i="7"/>
  <c r="L258" i="7"/>
  <c r="J258" i="7"/>
  <c r="J259" i="7"/>
  <c r="L259" i="7"/>
  <c r="J261" i="7"/>
  <c r="L261" i="7"/>
  <c r="J251" i="7" l="1"/>
  <c r="L251" i="7"/>
  <c r="J254" i="7"/>
  <c r="L254" i="7"/>
  <c r="J253" i="7"/>
  <c r="L253" i="7"/>
  <c r="J255" i="7"/>
  <c r="L255" i="7"/>
  <c r="J256" i="7"/>
  <c r="L256" i="7"/>
  <c r="J252" i="7"/>
  <c r="L252" i="7"/>
  <c r="E31" i="1"/>
  <c r="G248" i="7"/>
  <c r="G247" i="7"/>
  <c r="G245" i="7"/>
  <c r="G246" i="7"/>
  <c r="G249" i="7"/>
  <c r="G244" i="7"/>
  <c r="G242" i="7"/>
  <c r="H32" i="1"/>
  <c r="J32" i="1"/>
  <c r="G243" i="7"/>
  <c r="L250" i="7"/>
  <c r="J250" i="7"/>
  <c r="J257" i="7"/>
  <c r="L257" i="7"/>
  <c r="F29" i="8" l="1"/>
  <c r="H29" i="8" s="1"/>
  <c r="F30" i="8"/>
  <c r="H30" i="8" s="1"/>
  <c r="A29" i="9"/>
  <c r="A30" i="9"/>
  <c r="J243" i="7"/>
  <c r="L243" i="7"/>
  <c r="L242" i="7"/>
  <c r="J242" i="7"/>
  <c r="J247" i="7"/>
  <c r="L247" i="7"/>
  <c r="G241" i="7"/>
  <c r="E30" i="1"/>
  <c r="G239" i="7"/>
  <c r="G237" i="7"/>
  <c r="G240" i="7"/>
  <c r="G238" i="7"/>
  <c r="G236" i="7"/>
  <c r="H31" i="1"/>
  <c r="J31" i="1"/>
  <c r="G234" i="7"/>
  <c r="G235" i="7"/>
  <c r="J245" i="7"/>
  <c r="L245" i="7"/>
  <c r="J248" i="7"/>
  <c r="L248" i="7"/>
  <c r="J244" i="7"/>
  <c r="L244" i="7"/>
  <c r="J249" i="7"/>
  <c r="L249" i="7"/>
  <c r="J246" i="7"/>
  <c r="L246" i="7"/>
  <c r="F30" i="12" l="1"/>
  <c r="F29" i="12"/>
  <c r="F29" i="11"/>
  <c r="F30" i="11"/>
  <c r="F29" i="10"/>
  <c r="H29" i="10" s="1"/>
  <c r="I29" i="10" s="1"/>
  <c r="F30" i="10"/>
  <c r="H30" i="10" s="1"/>
  <c r="I30" i="10" s="1"/>
  <c r="F28" i="8"/>
  <c r="H28" i="8" s="1"/>
  <c r="A28" i="9"/>
  <c r="J234" i="7"/>
  <c r="L234" i="7"/>
  <c r="J238" i="7"/>
  <c r="L238" i="7"/>
  <c r="E29" i="1"/>
  <c r="G231" i="7"/>
  <c r="G232" i="7"/>
  <c r="G229" i="7"/>
  <c r="G230" i="7"/>
  <c r="G228" i="7"/>
  <c r="G233" i="7"/>
  <c r="G227" i="7"/>
  <c r="H30" i="1"/>
  <c r="J30" i="1"/>
  <c r="F28" i="12" s="1"/>
  <c r="G226" i="7"/>
  <c r="J241" i="7"/>
  <c r="L241" i="7"/>
  <c r="J236" i="7"/>
  <c r="L236" i="7"/>
  <c r="J240" i="7"/>
  <c r="L240" i="7"/>
  <c r="L237" i="7"/>
  <c r="J237" i="7"/>
  <c r="L235" i="7"/>
  <c r="J235" i="7"/>
  <c r="L239" i="7"/>
  <c r="J239" i="7"/>
  <c r="H28" i="12" l="1"/>
  <c r="H30" i="12"/>
  <c r="H29" i="12"/>
  <c r="G30" i="10"/>
  <c r="G29" i="10"/>
  <c r="F28" i="10"/>
  <c r="H28" i="10" s="1"/>
  <c r="I28" i="10" s="1"/>
  <c r="F28" i="11"/>
  <c r="J232" i="7"/>
  <c r="L232" i="7"/>
  <c r="L226" i="7"/>
  <c r="J226" i="7"/>
  <c r="J229" i="7"/>
  <c r="L229" i="7"/>
  <c r="J231" i="7"/>
  <c r="L231" i="7"/>
  <c r="J227" i="7"/>
  <c r="L227" i="7"/>
  <c r="E28" i="1"/>
  <c r="G225" i="7"/>
  <c r="G223" i="7"/>
  <c r="G224" i="7"/>
  <c r="G222" i="7"/>
  <c r="G220" i="7"/>
  <c r="G219" i="7"/>
  <c r="G221" i="7"/>
  <c r="G218" i="7"/>
  <c r="H29" i="1"/>
  <c r="J29" i="1"/>
  <c r="J233" i="7"/>
  <c r="L233" i="7"/>
  <c r="L228" i="7"/>
  <c r="J228" i="7"/>
  <c r="J230" i="7"/>
  <c r="L230" i="7"/>
  <c r="G28" i="10" l="1"/>
  <c r="J224" i="7"/>
  <c r="L224" i="7"/>
  <c r="E27" i="1"/>
  <c r="G217" i="7"/>
  <c r="G215" i="7"/>
  <c r="G216" i="7"/>
  <c r="G212" i="7"/>
  <c r="G214" i="7"/>
  <c r="G213" i="7"/>
  <c r="G211" i="7"/>
  <c r="G210" i="7"/>
  <c r="H28" i="1"/>
  <c r="J28" i="1"/>
  <c r="J222" i="7"/>
  <c r="L222" i="7"/>
  <c r="J221" i="7"/>
  <c r="L221" i="7"/>
  <c r="J223" i="7"/>
  <c r="L223" i="7"/>
  <c r="J225" i="7"/>
  <c r="L225" i="7"/>
  <c r="J219" i="7"/>
  <c r="L219" i="7"/>
  <c r="L218" i="7"/>
  <c r="J218" i="7"/>
  <c r="L220" i="7"/>
  <c r="J220" i="7"/>
  <c r="J212" i="7" l="1"/>
  <c r="L212" i="7"/>
  <c r="J214" i="7"/>
  <c r="L214" i="7"/>
  <c r="J215" i="7"/>
  <c r="L215" i="7"/>
  <c r="L210" i="7"/>
  <c r="J210" i="7"/>
  <c r="J216" i="7"/>
  <c r="L216" i="7"/>
  <c r="J217" i="7"/>
  <c r="L217" i="7"/>
  <c r="G209" i="7"/>
  <c r="E26" i="1"/>
  <c r="G208" i="7"/>
  <c r="G207" i="7"/>
  <c r="G205" i="7"/>
  <c r="G203" i="7"/>
  <c r="G204" i="7"/>
  <c r="G202" i="7"/>
  <c r="J27" i="1"/>
  <c r="H27" i="1"/>
  <c r="G206" i="7"/>
  <c r="J211" i="7"/>
  <c r="L211" i="7"/>
  <c r="J213" i="7"/>
  <c r="L213" i="7"/>
  <c r="F27" i="8" l="1"/>
  <c r="H27" i="8" s="1"/>
  <c r="A27" i="9"/>
  <c r="L209" i="7"/>
  <c r="J209" i="7"/>
  <c r="J203" i="7"/>
  <c r="L203" i="7"/>
  <c r="J206" i="7"/>
  <c r="L206" i="7"/>
  <c r="L202" i="7"/>
  <c r="J202" i="7"/>
  <c r="J205" i="7"/>
  <c r="L205" i="7"/>
  <c r="G201" i="7"/>
  <c r="E25" i="1"/>
  <c r="G199" i="7"/>
  <c r="G200" i="7"/>
  <c r="G196" i="7"/>
  <c r="G198" i="7"/>
  <c r="G197" i="7"/>
  <c r="G195" i="7"/>
  <c r="G194" i="7"/>
  <c r="H26" i="1"/>
  <c r="J26" i="1"/>
  <c r="F27" i="12" s="1"/>
  <c r="L204" i="7"/>
  <c r="J204" i="7"/>
  <c r="J207" i="7"/>
  <c r="L207" i="7"/>
  <c r="L208" i="7"/>
  <c r="J208" i="7"/>
  <c r="H27" i="12" l="1"/>
  <c r="F27" i="10"/>
  <c r="H27" i="10" s="1"/>
  <c r="I27" i="10" s="1"/>
  <c r="F27" i="11"/>
  <c r="J196" i="7"/>
  <c r="L196" i="7"/>
  <c r="J199" i="7"/>
  <c r="L199" i="7"/>
  <c r="L194" i="7"/>
  <c r="J194" i="7"/>
  <c r="J200" i="7"/>
  <c r="L200" i="7"/>
  <c r="G193" i="7"/>
  <c r="E24" i="1"/>
  <c r="G191" i="7"/>
  <c r="G192" i="7"/>
  <c r="G188" i="7"/>
  <c r="G189" i="7"/>
  <c r="G190" i="7"/>
  <c r="G187" i="7"/>
  <c r="G186" i="7"/>
  <c r="J25" i="1"/>
  <c r="H25" i="1"/>
  <c r="J198" i="7"/>
  <c r="L198" i="7"/>
  <c r="J201" i="7"/>
  <c r="L201" i="7"/>
  <c r="J195" i="7"/>
  <c r="L195" i="7"/>
  <c r="J197" i="7"/>
  <c r="L197" i="7"/>
  <c r="G27" i="10" l="1"/>
  <c r="J187" i="7"/>
  <c r="L187" i="7"/>
  <c r="J192" i="7"/>
  <c r="L192" i="7"/>
  <c r="L189" i="7"/>
  <c r="J189" i="7"/>
  <c r="E23" i="1"/>
  <c r="G185" i="7"/>
  <c r="G184" i="7"/>
  <c r="G181" i="7"/>
  <c r="G182" i="7"/>
  <c r="G183" i="7"/>
  <c r="G180" i="7"/>
  <c r="G178" i="7"/>
  <c r="H24" i="1"/>
  <c r="J24" i="1"/>
  <c r="G179" i="7"/>
  <c r="J190" i="7"/>
  <c r="L190" i="7"/>
  <c r="J188" i="7"/>
  <c r="L188" i="7"/>
  <c r="J191" i="7"/>
  <c r="L191" i="7"/>
  <c r="J186" i="7"/>
  <c r="L186" i="7"/>
  <c r="J193" i="7"/>
  <c r="L193" i="7"/>
  <c r="G177" i="7" l="1"/>
  <c r="E22" i="1"/>
  <c r="G175" i="7"/>
  <c r="G173" i="7"/>
  <c r="G174" i="7"/>
  <c r="G172" i="7"/>
  <c r="G176" i="7"/>
  <c r="G171" i="7"/>
  <c r="G170" i="7"/>
  <c r="J23" i="1"/>
  <c r="H23" i="1"/>
  <c r="L178" i="7"/>
  <c r="J178" i="7"/>
  <c r="J180" i="7"/>
  <c r="L180" i="7"/>
  <c r="J183" i="7"/>
  <c r="L183" i="7"/>
  <c r="J182" i="7"/>
  <c r="L182" i="7"/>
  <c r="L179" i="7"/>
  <c r="J179" i="7"/>
  <c r="J181" i="7"/>
  <c r="L181" i="7"/>
  <c r="J184" i="7"/>
  <c r="L184" i="7"/>
  <c r="J185" i="7"/>
  <c r="L185" i="7"/>
  <c r="F25" i="8" l="1"/>
  <c r="H25" i="8" s="1"/>
  <c r="F26" i="8"/>
  <c r="H26" i="8" s="1"/>
  <c r="A25" i="9"/>
  <c r="A26" i="9"/>
  <c r="J176" i="7"/>
  <c r="L176" i="7"/>
  <c r="L171" i="7"/>
  <c r="J171" i="7"/>
  <c r="J174" i="7"/>
  <c r="L174" i="7"/>
  <c r="J173" i="7"/>
  <c r="L173" i="7"/>
  <c r="L172" i="7"/>
  <c r="J172" i="7"/>
  <c r="J175" i="7"/>
  <c r="L175" i="7"/>
  <c r="E21" i="1"/>
  <c r="G167" i="7"/>
  <c r="G168" i="7"/>
  <c r="G165" i="7"/>
  <c r="G166" i="7"/>
  <c r="G164" i="7"/>
  <c r="G169" i="7"/>
  <c r="G163" i="7"/>
  <c r="H22" i="1"/>
  <c r="J22" i="1"/>
  <c r="G162" i="7"/>
  <c r="L170" i="7"/>
  <c r="J170" i="7"/>
  <c r="J177" i="7"/>
  <c r="L177" i="7"/>
  <c r="F26" i="12" l="1"/>
  <c r="F25" i="12"/>
  <c r="F25" i="11"/>
  <c r="F26" i="11"/>
  <c r="F25" i="10"/>
  <c r="H25" i="10" s="1"/>
  <c r="I25" i="10" s="1"/>
  <c r="F26" i="10"/>
  <c r="H26" i="10" s="1"/>
  <c r="I26" i="10" s="1"/>
  <c r="L162" i="7"/>
  <c r="J162" i="7"/>
  <c r="J165" i="7"/>
  <c r="L165" i="7"/>
  <c r="J167" i="7"/>
  <c r="L167" i="7"/>
  <c r="J168" i="7"/>
  <c r="L168" i="7"/>
  <c r="L169" i="7"/>
  <c r="J169" i="7"/>
  <c r="E20" i="1"/>
  <c r="G161" i="7"/>
  <c r="G159" i="7"/>
  <c r="G160" i="7"/>
  <c r="G158" i="7"/>
  <c r="G156" i="7"/>
  <c r="G155" i="7"/>
  <c r="G157" i="7"/>
  <c r="G154" i="7"/>
  <c r="H21" i="1"/>
  <c r="J21" i="1"/>
  <c r="J163" i="7"/>
  <c r="L163" i="7"/>
  <c r="L164" i="7"/>
  <c r="J164" i="7"/>
  <c r="J166" i="7"/>
  <c r="L166" i="7"/>
  <c r="H25" i="12" l="1"/>
  <c r="H26" i="12"/>
  <c r="G26" i="10"/>
  <c r="G25" i="10"/>
  <c r="J160" i="7"/>
  <c r="L160" i="7"/>
  <c r="J158" i="7"/>
  <c r="L158" i="7"/>
  <c r="J159" i="7"/>
  <c r="L159" i="7"/>
  <c r="L154" i="7"/>
  <c r="J154" i="7"/>
  <c r="J161" i="7"/>
  <c r="L161" i="7"/>
  <c r="E19" i="1"/>
  <c r="G153" i="7"/>
  <c r="G151" i="7"/>
  <c r="G152" i="7"/>
  <c r="G150" i="7"/>
  <c r="G149" i="7"/>
  <c r="G146" i="7"/>
  <c r="G148" i="7"/>
  <c r="G147" i="7"/>
  <c r="J20" i="1"/>
  <c r="H20" i="1"/>
  <c r="J157" i="7"/>
  <c r="L157" i="7"/>
  <c r="J155" i="7"/>
  <c r="L155" i="7"/>
  <c r="L156" i="7"/>
  <c r="J156" i="7"/>
  <c r="L147" i="7" l="1"/>
  <c r="J147" i="7"/>
  <c r="G145" i="7"/>
  <c r="E18" i="1"/>
  <c r="G144" i="7"/>
  <c r="G141" i="7"/>
  <c r="G143" i="7"/>
  <c r="G139" i="7"/>
  <c r="G142" i="7"/>
  <c r="G140" i="7"/>
  <c r="G138" i="7"/>
  <c r="H19" i="1"/>
  <c r="J19" i="1"/>
  <c r="L148" i="7"/>
  <c r="J148" i="7"/>
  <c r="J149" i="7"/>
  <c r="L149" i="7"/>
  <c r="J146" i="7"/>
  <c r="L146" i="7"/>
  <c r="J152" i="7"/>
  <c r="L152" i="7"/>
  <c r="J151" i="7"/>
  <c r="L151" i="7"/>
  <c r="J150" i="7"/>
  <c r="L150" i="7"/>
  <c r="J153" i="7"/>
  <c r="L153" i="7"/>
  <c r="F24" i="8" l="1"/>
  <c r="H24" i="8" s="1"/>
  <c r="A24" i="9"/>
  <c r="J143" i="7"/>
  <c r="L143" i="7"/>
  <c r="J144" i="7"/>
  <c r="L144" i="7"/>
  <c r="G137" i="7"/>
  <c r="E17" i="1"/>
  <c r="G132" i="7"/>
  <c r="G135" i="7"/>
  <c r="G134" i="7"/>
  <c r="G133" i="7"/>
  <c r="G136" i="7"/>
  <c r="J18" i="1"/>
  <c r="F24" i="12" s="1"/>
  <c r="G131" i="7"/>
  <c r="H18" i="1"/>
  <c r="G130" i="7"/>
  <c r="J145" i="7"/>
  <c r="L145" i="7"/>
  <c r="L138" i="7"/>
  <c r="J138" i="7"/>
  <c r="L140" i="7"/>
  <c r="J140" i="7"/>
  <c r="J141" i="7"/>
  <c r="L141" i="7"/>
  <c r="J142" i="7"/>
  <c r="L142" i="7"/>
  <c r="J139" i="7"/>
  <c r="L139" i="7"/>
  <c r="H24" i="12" l="1"/>
  <c r="F24" i="10"/>
  <c r="H24" i="10" s="1"/>
  <c r="I24" i="10" s="1"/>
  <c r="F24" i="11"/>
  <c r="F23" i="8"/>
  <c r="H23" i="8" s="1"/>
  <c r="A23" i="9"/>
  <c r="L135" i="7"/>
  <c r="J135" i="7"/>
  <c r="L130" i="7"/>
  <c r="J130" i="7"/>
  <c r="J131" i="7"/>
  <c r="L131" i="7"/>
  <c r="J132" i="7"/>
  <c r="L132" i="7"/>
  <c r="G129" i="7"/>
  <c r="E16" i="1"/>
  <c r="G127" i="7"/>
  <c r="G124" i="7"/>
  <c r="G125" i="7"/>
  <c r="G128" i="7"/>
  <c r="G126" i="7"/>
  <c r="G123" i="7"/>
  <c r="G122" i="7"/>
  <c r="J17" i="1"/>
  <c r="F23" i="12" s="1"/>
  <c r="H17" i="1"/>
  <c r="J137" i="7"/>
  <c r="L137" i="7"/>
  <c r="J136" i="7"/>
  <c r="L136" i="7"/>
  <c r="J133" i="7"/>
  <c r="L133" i="7"/>
  <c r="J134" i="7"/>
  <c r="L134" i="7"/>
  <c r="H23" i="12" l="1"/>
  <c r="G24" i="10"/>
  <c r="F23" i="10"/>
  <c r="H23" i="10" s="1"/>
  <c r="I23" i="10" s="1"/>
  <c r="F23" i="11"/>
  <c r="F22" i="8"/>
  <c r="H22" i="8" s="1"/>
  <c r="A22" i="9"/>
  <c r="J126" i="7"/>
  <c r="L126" i="7"/>
  <c r="L127" i="7"/>
  <c r="J127" i="7"/>
  <c r="L123" i="7"/>
  <c r="J123" i="7"/>
  <c r="J125" i="7"/>
  <c r="L125" i="7"/>
  <c r="J128" i="7"/>
  <c r="L128" i="7"/>
  <c r="J124" i="7"/>
  <c r="L124" i="7"/>
  <c r="E15" i="1"/>
  <c r="G121" i="7"/>
  <c r="G120" i="7"/>
  <c r="G117" i="7"/>
  <c r="G118" i="7"/>
  <c r="G116" i="7"/>
  <c r="G119" i="7"/>
  <c r="G115" i="7"/>
  <c r="G114" i="7"/>
  <c r="H16" i="1"/>
  <c r="J16" i="1"/>
  <c r="F22" i="12" s="1"/>
  <c r="L122" i="7"/>
  <c r="J122" i="7"/>
  <c r="J129" i="7"/>
  <c r="L129" i="7"/>
  <c r="H22" i="12" l="1"/>
  <c r="G23" i="10"/>
  <c r="F22" i="10"/>
  <c r="H22" i="10" s="1"/>
  <c r="I22" i="10" s="1"/>
  <c r="F22" i="11"/>
  <c r="F20" i="8"/>
  <c r="H20" i="8" s="1"/>
  <c r="F21" i="8"/>
  <c r="H21" i="8" s="1"/>
  <c r="A21" i="9"/>
  <c r="A20" i="9"/>
  <c r="J115" i="7"/>
  <c r="L115" i="7"/>
  <c r="J118" i="7"/>
  <c r="L118" i="7"/>
  <c r="L119" i="7"/>
  <c r="J119" i="7"/>
  <c r="J116" i="7"/>
  <c r="L116" i="7"/>
  <c r="L120" i="7"/>
  <c r="J120" i="7"/>
  <c r="J121" i="7"/>
  <c r="L121" i="7"/>
  <c r="J117" i="7"/>
  <c r="L117" i="7"/>
  <c r="L114" i="7"/>
  <c r="J114" i="7"/>
  <c r="G113" i="7"/>
  <c r="E14" i="1"/>
  <c r="G111" i="7"/>
  <c r="G109" i="7"/>
  <c r="G110" i="7"/>
  <c r="G112" i="7"/>
  <c r="G108" i="7"/>
  <c r="G107" i="7"/>
  <c r="H15" i="1"/>
  <c r="G106" i="7"/>
  <c r="J15" i="1"/>
  <c r="F20" i="12" l="1"/>
  <c r="F21" i="12"/>
  <c r="G22" i="10"/>
  <c r="F21" i="11"/>
  <c r="F20" i="11"/>
  <c r="F20" i="10"/>
  <c r="H20" i="10" s="1"/>
  <c r="I20" i="10" s="1"/>
  <c r="F21" i="10"/>
  <c r="H21" i="10" s="1"/>
  <c r="I21" i="10" s="1"/>
  <c r="F19" i="8"/>
  <c r="H19" i="8" s="1"/>
  <c r="A19" i="9"/>
  <c r="J113" i="7"/>
  <c r="L113" i="7"/>
  <c r="L108" i="7"/>
  <c r="J108" i="7"/>
  <c r="J110" i="7"/>
  <c r="L110" i="7"/>
  <c r="L109" i="7"/>
  <c r="J109" i="7"/>
  <c r="L107" i="7"/>
  <c r="J107" i="7"/>
  <c r="J112" i="7"/>
  <c r="L112" i="7"/>
  <c r="L111" i="7"/>
  <c r="J111" i="7"/>
  <c r="L106" i="7"/>
  <c r="J106" i="7"/>
  <c r="E13" i="1"/>
  <c r="G105" i="7"/>
  <c r="G103" i="7"/>
  <c r="G104" i="7"/>
  <c r="G101" i="7"/>
  <c r="G102" i="7"/>
  <c r="G100" i="7"/>
  <c r="G99" i="7"/>
  <c r="H14" i="1"/>
  <c r="J14" i="1"/>
  <c r="F19" i="12" s="1"/>
  <c r="G98" i="7"/>
  <c r="H19" i="12" l="1"/>
  <c r="H20" i="12"/>
  <c r="H21" i="12"/>
  <c r="G21" i="10"/>
  <c r="G20" i="10"/>
  <c r="F19" i="10"/>
  <c r="H19" i="10" s="1"/>
  <c r="I19" i="10" s="1"/>
  <c r="F19" i="11"/>
  <c r="F18" i="8"/>
  <c r="H18" i="8" s="1"/>
  <c r="A18" i="9"/>
  <c r="J101" i="7"/>
  <c r="L101" i="7"/>
  <c r="L98" i="7"/>
  <c r="J98" i="7"/>
  <c r="J104" i="7"/>
  <c r="L104" i="7"/>
  <c r="J105" i="7"/>
  <c r="L105" i="7"/>
  <c r="J103" i="7"/>
  <c r="L103" i="7"/>
  <c r="E12" i="1"/>
  <c r="G97" i="7"/>
  <c r="G95" i="7"/>
  <c r="G96" i="7"/>
  <c r="G94" i="7"/>
  <c r="G92" i="7"/>
  <c r="G93" i="7"/>
  <c r="G91" i="7"/>
  <c r="G90" i="7"/>
  <c r="H13" i="1"/>
  <c r="J13" i="1"/>
  <c r="F18" i="12" s="1"/>
  <c r="J99" i="7"/>
  <c r="L99" i="7"/>
  <c r="L100" i="7"/>
  <c r="J100" i="7"/>
  <c r="J102" i="7"/>
  <c r="L102" i="7"/>
  <c r="H18" i="12" l="1"/>
  <c r="G19" i="10"/>
  <c r="F18" i="10"/>
  <c r="H18" i="10" s="1"/>
  <c r="I18" i="10" s="1"/>
  <c r="F18" i="11"/>
  <c r="F17" i="8"/>
  <c r="H17" i="8" s="1"/>
  <c r="A17" i="9"/>
  <c r="J94" i="7"/>
  <c r="L94" i="7"/>
  <c r="L90" i="7"/>
  <c r="J90" i="7"/>
  <c r="J95" i="7"/>
  <c r="L95" i="7"/>
  <c r="J97" i="7"/>
  <c r="L97" i="7"/>
  <c r="J91" i="7"/>
  <c r="L91" i="7"/>
  <c r="J93" i="7"/>
  <c r="L93" i="7"/>
  <c r="J96" i="7"/>
  <c r="L96" i="7"/>
  <c r="E11" i="1"/>
  <c r="G89" i="7"/>
  <c r="G87" i="7"/>
  <c r="G88" i="7"/>
  <c r="G84" i="7"/>
  <c r="G82" i="7"/>
  <c r="G86" i="7"/>
  <c r="G83" i="7"/>
  <c r="J12" i="1"/>
  <c r="F17" i="12" s="1"/>
  <c r="G85" i="7"/>
  <c r="H12" i="1"/>
  <c r="L92" i="7"/>
  <c r="J92" i="7"/>
  <c r="H17" i="12" l="1"/>
  <c r="G18" i="10"/>
  <c r="F17" i="10"/>
  <c r="H17" i="10" s="1"/>
  <c r="I17" i="10" s="1"/>
  <c r="F17" i="11"/>
  <c r="F16" i="8"/>
  <c r="H16" i="8" s="1"/>
  <c r="A16" i="9"/>
  <c r="L89" i="7"/>
  <c r="J89" i="7"/>
  <c r="J88" i="7"/>
  <c r="L88" i="7"/>
  <c r="J85" i="7"/>
  <c r="L85" i="7"/>
  <c r="J83" i="7"/>
  <c r="L83" i="7"/>
  <c r="L87" i="7"/>
  <c r="J87" i="7"/>
  <c r="G81" i="7"/>
  <c r="E10" i="1"/>
  <c r="G80" i="7"/>
  <c r="G79" i="7"/>
  <c r="G77" i="7"/>
  <c r="G75" i="7"/>
  <c r="G76" i="7"/>
  <c r="G78" i="7"/>
  <c r="G74" i="7"/>
  <c r="J11" i="1"/>
  <c r="F16" i="12" s="1"/>
  <c r="H11" i="1"/>
  <c r="J86" i="7"/>
  <c r="L86" i="7"/>
  <c r="L82" i="7"/>
  <c r="J82" i="7"/>
  <c r="L84" i="7"/>
  <c r="J84" i="7"/>
  <c r="H16" i="12" l="1"/>
  <c r="G17" i="10"/>
  <c r="F16" i="10"/>
  <c r="H16" i="10" s="1"/>
  <c r="I16" i="10" s="1"/>
  <c r="F16" i="11"/>
  <c r="F14" i="8"/>
  <c r="H14" i="8" s="1"/>
  <c r="F15" i="8"/>
  <c r="H15" i="8" s="1"/>
  <c r="A15" i="9"/>
  <c r="A14" i="9"/>
  <c r="L74" i="7"/>
  <c r="J74" i="7"/>
  <c r="J81" i="7"/>
  <c r="L81" i="7"/>
  <c r="J78" i="7"/>
  <c r="L78" i="7"/>
  <c r="L76" i="7"/>
  <c r="J76" i="7"/>
  <c r="J75" i="7"/>
  <c r="L75" i="7"/>
  <c r="J77" i="7"/>
  <c r="L77" i="7"/>
  <c r="G73" i="7"/>
  <c r="E9" i="1"/>
  <c r="G71" i="7"/>
  <c r="G68" i="7"/>
  <c r="G72" i="7"/>
  <c r="G70" i="7"/>
  <c r="G69" i="7"/>
  <c r="G67" i="7"/>
  <c r="J10" i="1"/>
  <c r="G66" i="7"/>
  <c r="H10" i="1"/>
  <c r="J79" i="7"/>
  <c r="L79" i="7"/>
  <c r="J80" i="7"/>
  <c r="L80" i="7"/>
  <c r="F14" i="12" l="1"/>
  <c r="F15" i="12"/>
  <c r="G16" i="10"/>
  <c r="F15" i="11"/>
  <c r="F14" i="11"/>
  <c r="F15" i="10"/>
  <c r="H15" i="10" s="1"/>
  <c r="I15" i="10" s="1"/>
  <c r="F14" i="10"/>
  <c r="H14" i="10" s="1"/>
  <c r="I14" i="10" s="1"/>
  <c r="F13" i="8"/>
  <c r="H13" i="8" s="1"/>
  <c r="A13" i="9"/>
  <c r="L66" i="7"/>
  <c r="J66" i="7"/>
  <c r="J71" i="7"/>
  <c r="L71" i="7"/>
  <c r="J73" i="7"/>
  <c r="L73" i="7"/>
  <c r="L67" i="7"/>
  <c r="J67" i="7"/>
  <c r="G65" i="7"/>
  <c r="E8" i="1"/>
  <c r="G63" i="7"/>
  <c r="G60" i="7"/>
  <c r="G64" i="7"/>
  <c r="G61" i="7"/>
  <c r="G62" i="7"/>
  <c r="G59" i="7"/>
  <c r="G58" i="7"/>
  <c r="J9" i="1"/>
  <c r="F13" i="12" s="1"/>
  <c r="H9" i="1"/>
  <c r="J69" i="7"/>
  <c r="L69" i="7"/>
  <c r="J70" i="7"/>
  <c r="L70" i="7"/>
  <c r="J72" i="7"/>
  <c r="L72" i="7"/>
  <c r="J68" i="7"/>
  <c r="L68" i="7"/>
  <c r="H13" i="12" l="1"/>
  <c r="H15" i="12"/>
  <c r="H14" i="12"/>
  <c r="G14" i="10"/>
  <c r="G15" i="10"/>
  <c r="F13" i="10"/>
  <c r="H13" i="10" s="1"/>
  <c r="I13" i="10" s="1"/>
  <c r="F13" i="11"/>
  <c r="J64" i="7"/>
  <c r="L64" i="7"/>
  <c r="J61" i="7"/>
  <c r="L61" i="7"/>
  <c r="E7" i="1"/>
  <c r="G57" i="7"/>
  <c r="G56" i="7"/>
  <c r="G55" i="7"/>
  <c r="G53" i="7"/>
  <c r="G54" i="7"/>
  <c r="G52" i="7"/>
  <c r="G51" i="7"/>
  <c r="G50" i="7"/>
  <c r="H8" i="1"/>
  <c r="J8" i="1"/>
  <c r="L58" i="7"/>
  <c r="J58" i="7"/>
  <c r="J60" i="7"/>
  <c r="L60" i="7"/>
  <c r="J63" i="7"/>
  <c r="L63" i="7"/>
  <c r="J65" i="7"/>
  <c r="L65" i="7"/>
  <c r="L59" i="7"/>
  <c r="J59" i="7"/>
  <c r="J62" i="7"/>
  <c r="L62" i="7"/>
  <c r="G13" i="10" l="1"/>
  <c r="J56" i="7"/>
  <c r="L56" i="7"/>
  <c r="L50" i="7"/>
  <c r="J50" i="7"/>
  <c r="L51" i="7"/>
  <c r="J51" i="7"/>
  <c r="J57" i="7"/>
  <c r="L57" i="7"/>
  <c r="J52" i="7"/>
  <c r="L52" i="7"/>
  <c r="J54" i="7"/>
  <c r="L54" i="7"/>
  <c r="J53" i="7"/>
  <c r="L53" i="7"/>
  <c r="G49" i="7"/>
  <c r="E6" i="1"/>
  <c r="G47" i="7"/>
  <c r="G48" i="7"/>
  <c r="G45" i="7"/>
  <c r="G46" i="7"/>
  <c r="G44" i="7"/>
  <c r="G43" i="7"/>
  <c r="H7" i="1"/>
  <c r="J7" i="1"/>
  <c r="G42" i="7"/>
  <c r="L55" i="7"/>
  <c r="J55" i="7"/>
  <c r="F11" i="8" l="1"/>
  <c r="H11" i="8" s="1"/>
  <c r="F12" i="8"/>
  <c r="H12" i="8" s="1"/>
  <c r="A12" i="9"/>
  <c r="A11" i="9"/>
  <c r="L47" i="7"/>
  <c r="J47" i="7"/>
  <c r="J49" i="7"/>
  <c r="L49" i="7"/>
  <c r="L42" i="7"/>
  <c r="J42" i="7"/>
  <c r="J43" i="7"/>
  <c r="L43" i="7"/>
  <c r="J44" i="7"/>
  <c r="L44" i="7"/>
  <c r="J48" i="7"/>
  <c r="L48" i="7"/>
  <c r="J46" i="7"/>
  <c r="L46" i="7"/>
  <c r="E5" i="1"/>
  <c r="G41" i="7"/>
  <c r="G39" i="7"/>
  <c r="G40" i="7"/>
  <c r="G37" i="7"/>
  <c r="G38" i="7"/>
  <c r="G36" i="7"/>
  <c r="H6" i="1"/>
  <c r="G34" i="7"/>
  <c r="J6" i="1"/>
  <c r="G35" i="7"/>
  <c r="J45" i="7"/>
  <c r="L45" i="7"/>
  <c r="F11" i="12" l="1"/>
  <c r="F12" i="12"/>
  <c r="F12" i="11"/>
  <c r="F11" i="11"/>
  <c r="F11" i="10"/>
  <c r="H11" i="10" s="1"/>
  <c r="I11" i="10" s="1"/>
  <c r="F12" i="10"/>
  <c r="H12" i="10" s="1"/>
  <c r="I12" i="10" s="1"/>
  <c r="F8" i="8"/>
  <c r="H8" i="8" s="1"/>
  <c r="F9" i="8"/>
  <c r="H9" i="8" s="1"/>
  <c r="F10" i="8"/>
  <c r="H10" i="8" s="1"/>
  <c r="A9" i="9"/>
  <c r="A8" i="9"/>
  <c r="A10" i="9"/>
  <c r="L34" i="7"/>
  <c r="J34" i="7"/>
  <c r="J41" i="7"/>
  <c r="L41" i="7"/>
  <c r="L36" i="7"/>
  <c r="J36" i="7"/>
  <c r="J37" i="7"/>
  <c r="L37" i="7"/>
  <c r="E4" i="1"/>
  <c r="G33" i="7"/>
  <c r="G31" i="7"/>
  <c r="G32" i="7"/>
  <c r="G30" i="7"/>
  <c r="G28" i="7"/>
  <c r="G27" i="7"/>
  <c r="G29" i="7"/>
  <c r="G26" i="7"/>
  <c r="H5" i="1"/>
  <c r="J5" i="1"/>
  <c r="J40" i="7"/>
  <c r="L40" i="7"/>
  <c r="J38" i="7"/>
  <c r="L38" i="7"/>
  <c r="J35" i="7"/>
  <c r="L35" i="7"/>
  <c r="L39" i="7"/>
  <c r="J39" i="7"/>
  <c r="F10" i="12" l="1"/>
  <c r="F8" i="12"/>
  <c r="F9" i="12"/>
  <c r="H12" i="12"/>
  <c r="H11" i="12"/>
  <c r="G12" i="10"/>
  <c r="G11" i="10"/>
  <c r="F9" i="11"/>
  <c r="F8" i="11"/>
  <c r="F10" i="11"/>
  <c r="F8" i="10"/>
  <c r="H8" i="10" s="1"/>
  <c r="I8" i="10" s="1"/>
  <c r="F9" i="10"/>
  <c r="H9" i="10" s="1"/>
  <c r="I9" i="10" s="1"/>
  <c r="F10" i="10"/>
  <c r="H10" i="10" s="1"/>
  <c r="I10" i="10" s="1"/>
  <c r="F5" i="8"/>
  <c r="H5" i="8" s="1"/>
  <c r="F6" i="8"/>
  <c r="H6" i="8" s="1"/>
  <c r="F7" i="8"/>
  <c r="H7" i="8" s="1"/>
  <c r="A7" i="9"/>
  <c r="A5" i="9"/>
  <c r="A6" i="9"/>
  <c r="J30" i="7"/>
  <c r="L30" i="7"/>
  <c r="J32" i="7"/>
  <c r="L32" i="7"/>
  <c r="L31" i="7"/>
  <c r="J31" i="7"/>
  <c r="L26" i="7"/>
  <c r="J26" i="7"/>
  <c r="E3" i="1"/>
  <c r="G25" i="7"/>
  <c r="G23" i="7"/>
  <c r="G24" i="7"/>
  <c r="G18" i="7"/>
  <c r="G22" i="7"/>
  <c r="G19" i="7"/>
  <c r="G21" i="7"/>
  <c r="H4" i="1"/>
  <c r="G20" i="7"/>
  <c r="J4" i="1"/>
  <c r="J29" i="7"/>
  <c r="L29" i="7"/>
  <c r="J33" i="7"/>
  <c r="L33" i="7"/>
  <c r="L27" i="7"/>
  <c r="J27" i="7"/>
  <c r="J28" i="7"/>
  <c r="L28" i="7"/>
  <c r="F6" i="12" l="1"/>
  <c r="F7" i="12"/>
  <c r="F5" i="12"/>
  <c r="H9" i="12"/>
  <c r="H8" i="12"/>
  <c r="H10" i="12"/>
  <c r="G10" i="10"/>
  <c r="G8" i="10"/>
  <c r="G9" i="10"/>
  <c r="F5" i="11"/>
  <c r="F7" i="11"/>
  <c r="F6" i="11"/>
  <c r="F5" i="10"/>
  <c r="H5" i="10" s="1"/>
  <c r="I5" i="10" s="1"/>
  <c r="F6" i="10"/>
  <c r="H6" i="10" s="1"/>
  <c r="I6" i="10" s="1"/>
  <c r="F7" i="10"/>
  <c r="H7" i="10" s="1"/>
  <c r="I7" i="10" s="1"/>
  <c r="F4" i="8"/>
  <c r="H4" i="8" s="1"/>
  <c r="A4" i="9"/>
  <c r="J24" i="7"/>
  <c r="L24" i="7"/>
  <c r="J20" i="7"/>
  <c r="L20" i="7"/>
  <c r="J25" i="7"/>
  <c r="L25" i="7"/>
  <c r="G17" i="7"/>
  <c r="E2" i="1"/>
  <c r="G16" i="7"/>
  <c r="G15" i="7"/>
  <c r="G13" i="7"/>
  <c r="G11" i="7"/>
  <c r="G14" i="7"/>
  <c r="G12" i="7"/>
  <c r="G10" i="7"/>
  <c r="H3" i="1"/>
  <c r="J3" i="1"/>
  <c r="F4" i="12" s="1"/>
  <c r="L21" i="7"/>
  <c r="J21" i="7"/>
  <c r="J19" i="7"/>
  <c r="L19" i="7"/>
  <c r="J22" i="7"/>
  <c r="L22" i="7"/>
  <c r="J23" i="7"/>
  <c r="L23" i="7"/>
  <c r="L18" i="7"/>
  <c r="J18" i="7"/>
  <c r="H4" i="12" l="1"/>
  <c r="H7" i="12"/>
  <c r="H6" i="12"/>
  <c r="H5" i="12"/>
  <c r="G7" i="10"/>
  <c r="G6" i="10"/>
  <c r="G5" i="10"/>
  <c r="F4" i="10"/>
  <c r="H4" i="10" s="1"/>
  <c r="I4" i="10" s="1"/>
  <c r="F4" i="11"/>
  <c r="F2" i="8"/>
  <c r="H2" i="8" s="1"/>
  <c r="F3" i="8"/>
  <c r="H3" i="8" s="1"/>
  <c r="A3" i="9"/>
  <c r="A2" i="9"/>
  <c r="J14" i="7"/>
  <c r="L14" i="7"/>
  <c r="J11" i="7"/>
  <c r="L11" i="7"/>
  <c r="J13" i="7"/>
  <c r="L13" i="7"/>
  <c r="J15" i="7"/>
  <c r="L15" i="7"/>
  <c r="J16" i="7"/>
  <c r="L16" i="7"/>
  <c r="G9" i="7"/>
  <c r="G8" i="7"/>
  <c r="G6" i="7"/>
  <c r="G5" i="7"/>
  <c r="G7" i="7"/>
  <c r="G3" i="7"/>
  <c r="G2" i="7"/>
  <c r="J2" i="1"/>
  <c r="H2" i="1"/>
  <c r="G4" i="7"/>
  <c r="L10" i="7"/>
  <c r="J10" i="7"/>
  <c r="J17" i="7"/>
  <c r="L17" i="7"/>
  <c r="J12" i="7"/>
  <c r="L12" i="7"/>
  <c r="F2" i="12" l="1"/>
  <c r="F3" i="12"/>
  <c r="G4" i="10"/>
  <c r="F3" i="11"/>
  <c r="F2" i="11"/>
  <c r="F2" i="10"/>
  <c r="H2" i="10" s="1"/>
  <c r="I2" i="10" s="1"/>
  <c r="F3" i="10"/>
  <c r="H3" i="10" s="1"/>
  <c r="I3" i="10" s="1"/>
  <c r="J6" i="7"/>
  <c r="L6" i="7"/>
  <c r="J7" i="7"/>
  <c r="L7" i="7"/>
  <c r="J8" i="7"/>
  <c r="L8" i="7"/>
  <c r="J3" i="7"/>
  <c r="L3" i="7"/>
  <c r="J5" i="7"/>
  <c r="L5" i="7"/>
  <c r="J9" i="7"/>
  <c r="L9" i="7"/>
  <c r="J4" i="7"/>
  <c r="L4" i="7"/>
  <c r="L2" i="7"/>
  <c r="J2" i="7"/>
  <c r="H3" i="12" l="1"/>
  <c r="H2" i="12"/>
  <c r="G3" i="10"/>
  <c r="G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<sst xmlns="http://schemas.openxmlformats.org/spreadsheetml/2006/main" count="8677" uniqueCount="661">
  <si>
    <t>InspectionLot</t>
  </si>
  <si>
    <t>Plant</t>
  </si>
  <si>
    <t>InspType</t>
  </si>
  <si>
    <t>ObjectNumber</t>
  </si>
  <si>
    <t>LotCreated</t>
  </si>
  <si>
    <t>LotCreationTime</t>
  </si>
  <si>
    <t>CreatedBy</t>
  </si>
  <si>
    <t>StartDate</t>
  </si>
  <si>
    <t>StartTime</t>
  </si>
  <si>
    <t>EndDate</t>
  </si>
  <si>
    <t>EndTime</t>
  </si>
  <si>
    <t>TasklistType</t>
  </si>
  <si>
    <t>ProcessOrder</t>
  </si>
  <si>
    <t>Product</t>
  </si>
  <si>
    <t>ProductDescription</t>
  </si>
  <si>
    <t>Batch</t>
  </si>
  <si>
    <t>QL040000003101</t>
  </si>
  <si>
    <t>TP397880</t>
  </si>
  <si>
    <t>Q</t>
  </si>
  <si>
    <t>FG0001SEG</t>
  </si>
  <si>
    <t>QL040000003102</t>
  </si>
  <si>
    <t>YA284176</t>
  </si>
  <si>
    <t>FG2020US1</t>
  </si>
  <si>
    <t>QL040000003103</t>
  </si>
  <si>
    <t>ZK384180</t>
  </si>
  <si>
    <t>QL040000003104</t>
  </si>
  <si>
    <t>QL040000003105</t>
  </si>
  <si>
    <t>FG0003SEG</t>
  </si>
  <si>
    <t>QL040000003106</t>
  </si>
  <si>
    <t>QL040000003107</t>
  </si>
  <si>
    <t>AB406550</t>
  </si>
  <si>
    <t>FG00UDI4</t>
  </si>
  <si>
    <t>QL040000003108</t>
  </si>
  <si>
    <t>QL040000003109</t>
  </si>
  <si>
    <t>FG0002SEG</t>
  </si>
  <si>
    <t>QL040000003110</t>
  </si>
  <si>
    <t>GC197258</t>
  </si>
  <si>
    <t>QL040000003111</t>
  </si>
  <si>
    <t>QL040000003112</t>
  </si>
  <si>
    <t>TG509538</t>
  </si>
  <si>
    <t>QL040000003113</t>
  </si>
  <si>
    <t>QL040000003114</t>
  </si>
  <si>
    <t>QL040000003115</t>
  </si>
  <si>
    <t>QL040000003116</t>
  </si>
  <si>
    <t>QL040000003117</t>
  </si>
  <si>
    <t>QL040000003118</t>
  </si>
  <si>
    <t>QL040000003119</t>
  </si>
  <si>
    <t>QL040000003120</t>
  </si>
  <si>
    <t>QL040000003121</t>
  </si>
  <si>
    <t>QL040000003122</t>
  </si>
  <si>
    <t>QL040000003123</t>
  </si>
  <si>
    <t>QL040000003124</t>
  </si>
  <si>
    <t>QL040000003125</t>
  </si>
  <si>
    <t>QL040000003126</t>
  </si>
  <si>
    <t>QL040000003127</t>
  </si>
  <si>
    <t>QL040000003128</t>
  </si>
  <si>
    <t>QL040000003129</t>
  </si>
  <si>
    <t>QL040000003130</t>
  </si>
  <si>
    <t>QL040000003131</t>
  </si>
  <si>
    <t>QL040000003132</t>
  </si>
  <si>
    <t>QL040000003133</t>
  </si>
  <si>
    <t>QL040000003134</t>
  </si>
  <si>
    <t>QL040000003135</t>
  </si>
  <si>
    <t>QL040000003136</t>
  </si>
  <si>
    <t>QL040000003137</t>
  </si>
  <si>
    <t>QL040000003138</t>
  </si>
  <si>
    <t>QL040000003139</t>
  </si>
  <si>
    <t>QL040000003140</t>
  </si>
  <si>
    <t>QL040000003141</t>
  </si>
  <si>
    <t>QL040000003142</t>
  </si>
  <si>
    <t>QL040000003143</t>
  </si>
  <si>
    <t>QL040000003144</t>
  </si>
  <si>
    <t>QL040000003145</t>
  </si>
  <si>
    <t>QL040000003146</t>
  </si>
  <si>
    <t>QL040000003147</t>
  </si>
  <si>
    <t>QL040000003148</t>
  </si>
  <si>
    <t>QL040000003149</t>
  </si>
  <si>
    <t>QL040000003150</t>
  </si>
  <si>
    <t>QL040000003151</t>
  </si>
  <si>
    <t>QL040000003152</t>
  </si>
  <si>
    <t>QL040000003153</t>
  </si>
  <si>
    <t>QL040000003154</t>
  </si>
  <si>
    <t>QL040000003155</t>
  </si>
  <si>
    <t>QL040000003156</t>
  </si>
  <si>
    <t>QL040000003157</t>
  </si>
  <si>
    <t>QL040000003158</t>
  </si>
  <si>
    <t>QL040000003159</t>
  </si>
  <si>
    <t>QL040000003160</t>
  </si>
  <si>
    <t>QL040000003161</t>
  </si>
  <si>
    <t>QL040000003162</t>
  </si>
  <si>
    <t>QL040000003163</t>
  </si>
  <si>
    <t>QL040000003164</t>
  </si>
  <si>
    <t>QL040000003165</t>
  </si>
  <si>
    <t>QL040000003166</t>
  </si>
  <si>
    <t>QL040000003167</t>
  </si>
  <si>
    <t>QL040000003168</t>
  </si>
  <si>
    <t>QL040000003169</t>
  </si>
  <si>
    <t>QL040000003170</t>
  </si>
  <si>
    <t>QL040000003171</t>
  </si>
  <si>
    <t>QL040000003172</t>
  </si>
  <si>
    <t>QL040000003173</t>
  </si>
  <si>
    <t>QL040000003174</t>
  </si>
  <si>
    <t>QL040000003175</t>
  </si>
  <si>
    <t>QL040000003176</t>
  </si>
  <si>
    <t>QL040000003177</t>
  </si>
  <si>
    <t>QL040000003178</t>
  </si>
  <si>
    <t>QL040000003179</t>
  </si>
  <si>
    <t>QL040000003180</t>
  </si>
  <si>
    <t>QL040000003181</t>
  </si>
  <si>
    <t>QL040000003182</t>
  </si>
  <si>
    <t>QL040000003183</t>
  </si>
  <si>
    <t>QL040000003184</t>
  </si>
  <si>
    <t>QL040000003185</t>
  </si>
  <si>
    <t>QL040000003186</t>
  </si>
  <si>
    <t>QL040000003187</t>
  </si>
  <si>
    <t>QL040000003188</t>
  </si>
  <si>
    <t>QL040000003189</t>
  </si>
  <si>
    <t>QL040000003190</t>
  </si>
  <si>
    <t>QL040000003191</t>
  </si>
  <si>
    <t>QL040000003192</t>
  </si>
  <si>
    <t>QL040000003193</t>
  </si>
  <si>
    <t>QL040000003194</t>
  </si>
  <si>
    <t>QL040000003195</t>
  </si>
  <si>
    <t>QL040000003196</t>
  </si>
  <si>
    <t>QL040000003197</t>
  </si>
  <si>
    <t>QL040000003198</t>
  </si>
  <si>
    <t>QL040000003199</t>
  </si>
  <si>
    <t>QL040000003200</t>
  </si>
  <si>
    <t>QL040000003201</t>
  </si>
  <si>
    <t>QL040000003202</t>
  </si>
  <si>
    <t>QL040000003203</t>
  </si>
  <si>
    <t>QL040000003204</t>
  </si>
  <si>
    <t>QL040000003205</t>
  </si>
  <si>
    <t>QL040000003206</t>
  </si>
  <si>
    <t>QL040000003207</t>
  </si>
  <si>
    <t>QL040000003208</t>
  </si>
  <si>
    <t>QL040000003209</t>
  </si>
  <si>
    <t>QL040000003210</t>
  </si>
  <si>
    <t>QL040000003211</t>
  </si>
  <si>
    <t>QL040000003212</t>
  </si>
  <si>
    <t>QL040000003213</t>
  </si>
  <si>
    <t>QL040000003214</t>
  </si>
  <si>
    <t>QL040000003215</t>
  </si>
  <si>
    <t>QL040000003216</t>
  </si>
  <si>
    <t>QL040000003217</t>
  </si>
  <si>
    <t>QL040000003218</t>
  </si>
  <si>
    <t>QL040000003219</t>
  </si>
  <si>
    <t>QL040000003220</t>
  </si>
  <si>
    <t>QL040000003221</t>
  </si>
  <si>
    <t>QL040000003222</t>
  </si>
  <si>
    <t>QL040000003223</t>
  </si>
  <si>
    <t>QL040000003224</t>
  </si>
  <si>
    <t>QL040000003225</t>
  </si>
  <si>
    <t>QL040000003226</t>
  </si>
  <si>
    <t>QL040000003227</t>
  </si>
  <si>
    <t>QL040000003228</t>
  </si>
  <si>
    <t>QL040000003229</t>
  </si>
  <si>
    <t>QL040000003230</t>
  </si>
  <si>
    <t>QL040000003231</t>
  </si>
  <si>
    <t>QL040000003232</t>
  </si>
  <si>
    <t>QL040000003233</t>
  </si>
  <si>
    <t>QL040000003234</t>
  </si>
  <si>
    <t>QL040000003235</t>
  </si>
  <si>
    <t>QL040000003236</t>
  </si>
  <si>
    <t>QL040000003237</t>
  </si>
  <si>
    <t>QL040000003238</t>
  </si>
  <si>
    <t>QL040000003239</t>
  </si>
  <si>
    <t>QL040000003240</t>
  </si>
  <si>
    <t>QL040000003241</t>
  </si>
  <si>
    <t>QL040000003242</t>
  </si>
  <si>
    <t>QL040000003243</t>
  </si>
  <si>
    <t>QL040000003244</t>
  </si>
  <si>
    <t>QL040000003245</t>
  </si>
  <si>
    <t>QL040000003246</t>
  </si>
  <si>
    <t>QL040000003247</t>
  </si>
  <si>
    <t>QL040000003248</t>
  </si>
  <si>
    <t>QL040000003249</t>
  </si>
  <si>
    <t>QL040000003250</t>
  </si>
  <si>
    <t>QL040000003251</t>
  </si>
  <si>
    <t>QL040000003252</t>
  </si>
  <si>
    <t>QL040000003253</t>
  </si>
  <si>
    <t>QL040000003254</t>
  </si>
  <si>
    <t>QL040000003255</t>
  </si>
  <si>
    <t>QL040000003256</t>
  </si>
  <si>
    <t>QL040000003257</t>
  </si>
  <si>
    <t>QL040000003258</t>
  </si>
  <si>
    <t>QL040000003259</t>
  </si>
  <si>
    <t>QL040000003260</t>
  </si>
  <si>
    <t>QL040000003261</t>
  </si>
  <si>
    <t>QL040000003262</t>
  </si>
  <si>
    <t>QL040000003263</t>
  </si>
  <si>
    <t>QL040000003264</t>
  </si>
  <si>
    <t>QL040000003265</t>
  </si>
  <si>
    <t>QL040000003266</t>
  </si>
  <si>
    <t>QL040000003267</t>
  </si>
  <si>
    <t>QL040000003268</t>
  </si>
  <si>
    <t>QL040000003269</t>
  </si>
  <si>
    <t>QL040000003270</t>
  </si>
  <si>
    <t>QL040000003271</t>
  </si>
  <si>
    <t>QL040000003272</t>
  </si>
  <si>
    <t>QL040000003273</t>
  </si>
  <si>
    <t>QL040000003274</t>
  </si>
  <si>
    <t>QL040000003275</t>
  </si>
  <si>
    <t>QL040000003276</t>
  </si>
  <si>
    <t>QL040000003277</t>
  </si>
  <si>
    <t>QL040000003278</t>
  </si>
  <si>
    <t>QL040000003279</t>
  </si>
  <si>
    <t>QL040000003280</t>
  </si>
  <si>
    <t>QL040000003281</t>
  </si>
  <si>
    <t>QL040000003282</t>
  </si>
  <si>
    <t>QL040000003283</t>
  </si>
  <si>
    <t>QL040000003284</t>
  </si>
  <si>
    <t>QL040000003285</t>
  </si>
  <si>
    <t>QL040000003286</t>
  </si>
  <si>
    <t>QL040000003287</t>
  </si>
  <si>
    <t>QL040000003288</t>
  </si>
  <si>
    <t>QL040000003289</t>
  </si>
  <si>
    <t>QL040000003290</t>
  </si>
  <si>
    <t>QL040000003291</t>
  </si>
  <si>
    <t>QL040000003292</t>
  </si>
  <si>
    <t>QL040000003293</t>
  </si>
  <si>
    <t>QL040000003294</t>
  </si>
  <si>
    <t>QL040000003295</t>
  </si>
  <si>
    <t>QL040000003296</t>
  </si>
  <si>
    <t>QL040000003297</t>
  </si>
  <si>
    <t>QL040000003298</t>
  </si>
  <si>
    <t>QL040000003299</t>
  </si>
  <si>
    <t>QL040000003300</t>
  </si>
  <si>
    <t>QL040000003301</t>
  </si>
  <si>
    <t>QL040000003302</t>
  </si>
  <si>
    <t>QL040000003303</t>
  </si>
  <si>
    <t>QL040000003304</t>
  </si>
  <si>
    <t>QL040000003305</t>
  </si>
  <si>
    <t>QL040000003306</t>
  </si>
  <si>
    <t>QL040000003307</t>
  </si>
  <si>
    <t>QL040000003308</t>
  </si>
  <si>
    <t>QL040000003309</t>
  </si>
  <si>
    <t>QL040000003310</t>
  </si>
  <si>
    <t>QL040000003311</t>
  </si>
  <si>
    <t>QL040000003312</t>
  </si>
  <si>
    <t>QL040000003313</t>
  </si>
  <si>
    <t>QL040000003314</t>
  </si>
  <si>
    <t>QL040000003315</t>
  </si>
  <si>
    <t>QL040000003316</t>
  </si>
  <si>
    <t>QL040000003317</t>
  </si>
  <si>
    <t>QL040000003318</t>
  </si>
  <si>
    <t>QL040000003319</t>
  </si>
  <si>
    <t>QL040000003320</t>
  </si>
  <si>
    <t>QL040000003321</t>
  </si>
  <si>
    <t>QL040000003322</t>
  </si>
  <si>
    <t>QL040000003323</t>
  </si>
  <si>
    <t>QL040000003324</t>
  </si>
  <si>
    <t>QL040000003325</t>
  </si>
  <si>
    <t>QL040000003326</t>
  </si>
  <si>
    <t>QL040000003327</t>
  </si>
  <si>
    <t>QL040000003328</t>
  </si>
  <si>
    <t>QL040000003329</t>
  </si>
  <si>
    <t>QL040000003330</t>
  </si>
  <si>
    <t>QL040000003331</t>
  </si>
  <si>
    <t>QL040000003332</t>
  </si>
  <si>
    <t>QL040000003333</t>
  </si>
  <si>
    <t>QL040000003334</t>
  </si>
  <si>
    <t>QL040000003335</t>
  </si>
  <si>
    <t>QL040000003336</t>
  </si>
  <si>
    <t>QL040000003337</t>
  </si>
  <si>
    <t>QL040000003338</t>
  </si>
  <si>
    <t>QL040000003339</t>
  </si>
  <si>
    <t>QL040000003340</t>
  </si>
  <si>
    <t>QL040000003341</t>
  </si>
  <si>
    <t>QL040000003342</t>
  </si>
  <si>
    <t>QL040000003343</t>
  </si>
  <si>
    <t>QL040000003344</t>
  </si>
  <si>
    <t>QL040000003345</t>
  </si>
  <si>
    <t>QL040000003346</t>
  </si>
  <si>
    <t>QL040000003347</t>
  </si>
  <si>
    <t>QL040000003348</t>
  </si>
  <si>
    <t>QL040000003349</t>
  </si>
  <si>
    <t>QL040000003350</t>
  </si>
  <si>
    <t>QL040000003351</t>
  </si>
  <si>
    <t>QL040000003352</t>
  </si>
  <si>
    <t>QL040000003353</t>
  </si>
  <si>
    <t>QL040000003354</t>
  </si>
  <si>
    <t>QL040000003355</t>
  </si>
  <si>
    <t>QL040000003356</t>
  </si>
  <si>
    <t>QL040000003357</t>
  </si>
  <si>
    <t>QL040000003358</t>
  </si>
  <si>
    <t>QL040000003359</t>
  </si>
  <si>
    <t>QL040000003360</t>
  </si>
  <si>
    <t>QL040000003361</t>
  </si>
  <si>
    <t>QL040000003362</t>
  </si>
  <si>
    <t>QL040000003363</t>
  </si>
  <si>
    <t>QL040000003364</t>
  </si>
  <si>
    <t>QL040000003365</t>
  </si>
  <si>
    <t>QL040000003366</t>
  </si>
  <si>
    <t>QL040000003367</t>
  </si>
  <si>
    <t>QL040000003368</t>
  </si>
  <si>
    <t>QL040000003369</t>
  </si>
  <si>
    <t>QL040000003370</t>
  </si>
  <si>
    <t>QL040000003371</t>
  </si>
  <si>
    <t>QL040000003372</t>
  </si>
  <si>
    <t>QL040000003373</t>
  </si>
  <si>
    <t>QL040000003374</t>
  </si>
  <si>
    <t>QL040000003375</t>
  </si>
  <si>
    <t>QL040000003376</t>
  </si>
  <si>
    <t>QL040000003377</t>
  </si>
  <si>
    <t>QL040000003378</t>
  </si>
  <si>
    <t>QL040000003379</t>
  </si>
  <si>
    <t>QL040000003380</t>
  </si>
  <si>
    <t>QL040000003381</t>
  </si>
  <si>
    <t>QL040000003382</t>
  </si>
  <si>
    <t>QL040000003383</t>
  </si>
  <si>
    <t>QL040000003384</t>
  </si>
  <si>
    <t>QL040000003385</t>
  </si>
  <si>
    <t>QL040000003386</t>
  </si>
  <si>
    <t>QL040000003387</t>
  </si>
  <si>
    <t>QL040000003388</t>
  </si>
  <si>
    <t>QL040000003389</t>
  </si>
  <si>
    <t>QL040000003390</t>
  </si>
  <si>
    <t>QL040000003391</t>
  </si>
  <si>
    <t>QL040000003392</t>
  </si>
  <si>
    <t>QL040000003393</t>
  </si>
  <si>
    <t>QL040000003394</t>
  </si>
  <si>
    <t>QL040000003395</t>
  </si>
  <si>
    <t>QL040000003396</t>
  </si>
  <si>
    <t>QL040000003397</t>
  </si>
  <si>
    <t>QL040000003398</t>
  </si>
  <si>
    <t>QL040000003399</t>
  </si>
  <si>
    <t>QL040000003400</t>
  </si>
  <si>
    <t>QL040000003401</t>
  </si>
  <si>
    <t>QL040000003402</t>
  </si>
  <si>
    <t>QL040000003403</t>
  </si>
  <si>
    <t>QL040000003404</t>
  </si>
  <si>
    <t>QL040000003405</t>
  </si>
  <si>
    <t>QL040000003406</t>
  </si>
  <si>
    <t>QL040000003407</t>
  </si>
  <si>
    <t>QL040000003408</t>
  </si>
  <si>
    <t>QL040000003409</t>
  </si>
  <si>
    <t>QL040000003410</t>
  </si>
  <si>
    <t>QL040000003411</t>
  </si>
  <si>
    <t>QL040000003412</t>
  </si>
  <si>
    <t>QL040000003413</t>
  </si>
  <si>
    <t>QL040000003414</t>
  </si>
  <si>
    <t>QL040000003415</t>
  </si>
  <si>
    <t>QL040000003416</t>
  </si>
  <si>
    <t>QL040000003417</t>
  </si>
  <si>
    <t>QL040000003418</t>
  </si>
  <si>
    <t>QL040000003419</t>
  </si>
  <si>
    <t>QL040000003420</t>
  </si>
  <si>
    <t>QL040000003421</t>
  </si>
  <si>
    <t>QL040000003422</t>
  </si>
  <si>
    <t>QL040000003423</t>
  </si>
  <si>
    <t>QL040000003424</t>
  </si>
  <si>
    <t>QL040000003425</t>
  </si>
  <si>
    <t>QL040000003426</t>
  </si>
  <si>
    <t>QL040000003427</t>
  </si>
  <si>
    <t>QL040000003428</t>
  </si>
  <si>
    <t>QL040000003429</t>
  </si>
  <si>
    <t>QL040000003430</t>
  </si>
  <si>
    <t>QL040000003431</t>
  </si>
  <si>
    <t>QL040000003432</t>
  </si>
  <si>
    <t>QL040000003433</t>
  </si>
  <si>
    <t>QL040000003434</t>
  </si>
  <si>
    <t>QL040000003435</t>
  </si>
  <si>
    <t>QL040000003436</t>
  </si>
  <si>
    <t>QL040000003437</t>
  </si>
  <si>
    <t>QL040000003438</t>
  </si>
  <si>
    <t>QL040000003439</t>
  </si>
  <si>
    <t>QL040000003440</t>
  </si>
  <si>
    <t>QL040000003441</t>
  </si>
  <si>
    <t>QL040000003442</t>
  </si>
  <si>
    <t>QL040000003443</t>
  </si>
  <si>
    <t>QL040000003444</t>
  </si>
  <si>
    <t>QL040000003445</t>
  </si>
  <si>
    <t>QL040000003446</t>
  </si>
  <si>
    <t>QL040000003447</t>
  </si>
  <si>
    <t>QL040000003448</t>
  </si>
  <si>
    <t>QL040000003449</t>
  </si>
  <si>
    <t>QL040000003450</t>
  </si>
  <si>
    <t>QL040000003451</t>
  </si>
  <si>
    <t>QL040000003452</t>
  </si>
  <si>
    <t>QL040000003453</t>
  </si>
  <si>
    <t>QL040000003454</t>
  </si>
  <si>
    <t>QL040000003455</t>
  </si>
  <si>
    <t>QL040000003456</t>
  </si>
  <si>
    <t>QL040000003457</t>
  </si>
  <si>
    <t>QL040000003458</t>
  </si>
  <si>
    <t>QL040000003459</t>
  </si>
  <si>
    <t>QL040000003460</t>
  </si>
  <si>
    <t>NodeNo</t>
  </si>
  <si>
    <t>CharacteristicCode</t>
  </si>
  <si>
    <t>CharacteristicDesc</t>
  </si>
  <si>
    <t xml:space="preserve">CreatedBy </t>
  </si>
  <si>
    <t>CreatedOn</t>
  </si>
  <si>
    <t>Valuation</t>
  </si>
  <si>
    <t xml:space="preserve">Inspector </t>
  </si>
  <si>
    <t>Qualitative</t>
  </si>
  <si>
    <t>Quantative</t>
  </si>
  <si>
    <t>MinValue</t>
  </si>
  <si>
    <t>MaxValue</t>
  </si>
  <si>
    <t>Potency</t>
  </si>
  <si>
    <t>PH Level</t>
  </si>
  <si>
    <t>Appearance</t>
  </si>
  <si>
    <t>Complies</t>
  </si>
  <si>
    <t>Impurities</t>
  </si>
  <si>
    <t>Dissolution Rate - 15 Mins</t>
  </si>
  <si>
    <t>Dissolution Rate - 30 Mins</t>
  </si>
  <si>
    <t>Dissolution Rate - 40 Mins</t>
  </si>
  <si>
    <t>Process Temp</t>
  </si>
  <si>
    <t>Inspection Lot</t>
  </si>
  <si>
    <t>Node No</t>
  </si>
  <si>
    <t>Product Description</t>
  </si>
  <si>
    <t>Characteristic code</t>
  </si>
  <si>
    <t>Characteristic Desc</t>
  </si>
  <si>
    <t xml:space="preserve">Created by </t>
  </si>
  <si>
    <t>Created On</t>
  </si>
  <si>
    <t>Min Value</t>
  </si>
  <si>
    <t>Max Value</t>
  </si>
  <si>
    <t xml:space="preserve">Ibuprofen Tables (100 MG) </t>
  </si>
  <si>
    <t>A</t>
  </si>
  <si>
    <t> </t>
  </si>
  <si>
    <t>Apperance</t>
  </si>
  <si>
    <t>TG509539</t>
  </si>
  <si>
    <t>impurities</t>
  </si>
  <si>
    <t>TG509540</t>
  </si>
  <si>
    <t>Dissolution Rate (15 Mins)</t>
  </si>
  <si>
    <t>TG509541</t>
  </si>
  <si>
    <t>Dissolution Rate (30 Mins)</t>
  </si>
  <si>
    <t>Dissolution Rate (40 Mins)</t>
  </si>
  <si>
    <t>TG509542</t>
  </si>
  <si>
    <t>Metformin Tablets (100 MG)</t>
  </si>
  <si>
    <t>R</t>
  </si>
  <si>
    <t>Metformin Tablets (200 MG)</t>
  </si>
  <si>
    <t xml:space="preserve">Ibuprofen Tables (250 MG) </t>
  </si>
  <si>
    <t>Metformin Tablets (500 MG)</t>
  </si>
  <si>
    <t>NotificationID</t>
  </si>
  <si>
    <t xml:space="preserve">Plant </t>
  </si>
  <si>
    <t>DeviationValue</t>
  </si>
  <si>
    <t>DefectCreatedDate</t>
  </si>
  <si>
    <t>ItemText</t>
  </si>
  <si>
    <t>ResolutionCreatedDate</t>
  </si>
  <si>
    <t>TaskText</t>
  </si>
  <si>
    <t>Potency slightly below target</t>
  </si>
  <si>
    <t>Increase concentration by 0.5%</t>
  </si>
  <si>
    <t>pH significantly outside range</t>
  </si>
  <si>
    <t>Reject batch, find root cause</t>
  </si>
  <si>
    <t>Impurity level exceeds specification</t>
  </si>
  <si>
    <t>Investigate impurity source</t>
  </si>
  <si>
    <t>Dissolution slightly below target</t>
  </si>
  <si>
    <t>Revise criteria if needed</t>
  </si>
  <si>
    <t>Dissolution significantly below target</t>
  </si>
  <si>
    <t>Reject batch, check coating</t>
  </si>
  <si>
    <t>Potency near target</t>
  </si>
  <si>
    <t>Increase monitoring by 10%</t>
  </si>
  <si>
    <t>Process temp slightly below target</t>
  </si>
  <si>
    <t>Within range, no action</t>
  </si>
  <si>
    <t>pH trending acidic after filtration</t>
  </si>
  <si>
    <t>Review filter performance</t>
  </si>
  <si>
    <t>pH slightly below desired range</t>
  </si>
  <si>
    <t>Extend mixing by 5-10%</t>
  </si>
  <si>
    <t>Impurity significantly exceeds limit</t>
  </si>
  <si>
    <t>Reject batch, find cause</t>
  </si>
  <si>
    <t>Dissolution near target</t>
  </si>
  <si>
    <t>Optimize blending by 5%</t>
  </si>
  <si>
    <t>pH trending outside range</t>
  </si>
  <si>
    <t>Investigate pH deviation cause</t>
  </si>
  <si>
    <t>Dissolution slightly above target</t>
  </si>
  <si>
    <t>Process temp significantly below target</t>
  </si>
  <si>
    <t>Increase heating by 5-10%</t>
  </si>
  <si>
    <t>Potency exceeds target range</t>
  </si>
  <si>
    <t>Reduce active ingredient by 1%</t>
  </si>
  <si>
    <t>Dissolution significantly above target</t>
  </si>
  <si>
    <t>Check excipient compatibility</t>
  </si>
  <si>
    <t>Potency out of spec</t>
  </si>
  <si>
    <t>Improve formulation</t>
  </si>
  <si>
    <t>PH Level out of range</t>
  </si>
  <si>
    <t>Training for operators</t>
  </si>
  <si>
    <t>Impurities out of limit</t>
  </si>
  <si>
    <t>Supplier evaluation</t>
  </si>
  <si>
    <t>Dissolution rate low - 15 mins</t>
  </si>
  <si>
    <t>Increase agitation</t>
  </si>
  <si>
    <t>Dissolution rate low - 30 mins</t>
  </si>
  <si>
    <t>Update production SOP</t>
  </si>
  <si>
    <t>Additional testing</t>
  </si>
  <si>
    <t>Process temp out of range</t>
  </si>
  <si>
    <t>Equipment calibration</t>
  </si>
  <si>
    <t>PH monitoring</t>
  </si>
  <si>
    <t>Dissolution rate low - 40 mins</t>
  </si>
  <si>
    <t>Equipment maintenance</t>
  </si>
  <si>
    <t>Increase surface area</t>
  </si>
  <si>
    <t>Preventive maintenance</t>
  </si>
  <si>
    <t>Optimize granulation</t>
  </si>
  <si>
    <t>Reduce particle size</t>
  </si>
  <si>
    <t>Raw material control</t>
  </si>
  <si>
    <t>Improve purification</t>
  </si>
  <si>
    <t>Temperature control</t>
  </si>
  <si>
    <t>Optimize compression</t>
  </si>
  <si>
    <t>Adjust formulation</t>
  </si>
  <si>
    <t>Increase disintegrant</t>
  </si>
  <si>
    <t>Dissolution rate high - 15 mins</t>
  </si>
  <si>
    <t>Increase particle size</t>
  </si>
  <si>
    <t>Decrease agitation</t>
  </si>
  <si>
    <t>Dissolution rate high - 30 mins</t>
  </si>
  <si>
    <t>Dissolution rate high - 40 mins</t>
  </si>
  <si>
    <t>Ibuprofen Tablets (100 MG)</t>
  </si>
  <si>
    <t>Aspirin Tablets (500 MG)</t>
  </si>
  <si>
    <t>Notification ID</t>
  </si>
  <si>
    <t>Batch Number</t>
  </si>
  <si>
    <t>Material</t>
  </si>
  <si>
    <t>Reason for Defect</t>
  </si>
  <si>
    <t>Date</t>
  </si>
  <si>
    <t>Deviation Value</t>
  </si>
  <si>
    <t>0000002755</t>
  </si>
  <si>
    <t>Ibuprofen Tablets (Old Formula)</t>
  </si>
  <si>
    <t>Incorrect media pH</t>
  </si>
  <si>
    <t>Potency failure</t>
  </si>
  <si>
    <t>0000002767</t>
  </si>
  <si>
    <t>Instrument malfunction (DISS-007)</t>
  </si>
  <si>
    <t>0000002779</t>
  </si>
  <si>
    <t>Insufficient drug substance</t>
  </si>
  <si>
    <t>0000002791</t>
  </si>
  <si>
    <t>Ibuprofen Tablets (New Formula)</t>
  </si>
  <si>
    <t>Media composition (potential pH issue)</t>
  </si>
  <si>
    <t>0000002803</t>
  </si>
  <si>
    <t>Inconsistent sample weighing</t>
  </si>
  <si>
    <t>0000002815</t>
  </si>
  <si>
    <t>0000002827</t>
  </si>
  <si>
    <t>Dissolution media temperature deviation</t>
  </si>
  <si>
    <t>0000002839</t>
  </si>
  <si>
    <t>Outdated calibration standards</t>
  </si>
  <si>
    <t>0000002851</t>
  </si>
  <si>
    <t>Missing data point during testing</t>
  </si>
  <si>
    <t>None</t>
  </si>
  <si>
    <t>0000002863</t>
  </si>
  <si>
    <t>0000002875</t>
  </si>
  <si>
    <t>Operator error during sample preparation</t>
  </si>
  <si>
    <t>0000002887</t>
  </si>
  <si>
    <t>Equipment malfunction (different equipment)</t>
  </si>
  <si>
    <t>0000002899</t>
  </si>
  <si>
    <t>0000002911</t>
  </si>
  <si>
    <t>0000002923</t>
  </si>
  <si>
    <t>0000002935</t>
  </si>
  <si>
    <t>DefectReason</t>
  </si>
  <si>
    <t>OOSDesc</t>
  </si>
  <si>
    <t>CAPAImplemented</t>
  </si>
  <si>
    <t>Reason for OOS</t>
  </si>
  <si>
    <t>CAPA Implemented</t>
  </si>
  <si>
    <t>Subsequent OOS Events</t>
  </si>
  <si>
    <t>BATCH-ABC123</t>
  </si>
  <si>
    <t>Media composition (pH)</t>
  </si>
  <si>
    <t>Increased frequency of media pH meter calibration</t>
  </si>
  <si>
    <t>No OOS events in next 3 batches</t>
  </si>
  <si>
    <t>BATCH-DEF456</t>
  </si>
  <si>
    <t>Implemented new digital weighing scale and training for operators</t>
  </si>
  <si>
    <t>No OOS events related to weighing in next 5 batches</t>
  </si>
  <si>
    <t>BATCH-GHI789</t>
  </si>
  <si>
    <t>Missing data point</t>
  </si>
  <si>
    <t>Improved data recording procedures and redundancy checks</t>
  </si>
  <si>
    <t>No missing data points in next 10 batches</t>
  </si>
  <si>
    <t>BATCH-IBU-000123</t>
  </si>
  <si>
    <t>Investigation of media source and stricter quality control measures</t>
  </si>
  <si>
    <t>Data pending on effectiveness</t>
  </si>
  <si>
    <t>BATCH-JKL987</t>
  </si>
  <si>
    <t>Implemented new digital weighing scale and training for operators (same CAPA as QMEL-00002)</t>
  </si>
  <si>
    <t>OOS event due to different reason (media pH) in the next batch</t>
  </si>
  <si>
    <t>BATCH-MNO345</t>
  </si>
  <si>
    <t>Preventive maintenance on dissolution testing apparatus</t>
  </si>
  <si>
    <t>No OOS events related to temperature in next 8 batches</t>
  </si>
  <si>
    <t>BATCH-PQR123</t>
  </si>
  <si>
    <t>Established a system for regular calibration standard checks and replacements</t>
  </si>
  <si>
    <t>No OOS events due to outdated standards in next 12 batches</t>
  </si>
  <si>
    <t>BATCH-STU567</t>
  </si>
  <si>
    <t>Instrument malfunction</t>
  </si>
  <si>
    <t>Scheduled maintenance and repair for the specific dissolution instrument</t>
  </si>
  <si>
    <t>Instrument malfunction OOS event in a batch 2 months later</t>
  </si>
  <si>
    <t>BATCH-VWX890</t>
  </si>
  <si>
    <t>Retraining program for sample preparation procedures</t>
  </si>
  <si>
    <t>No OOS events due to operator error in next 4 batches</t>
  </si>
  <si>
    <t>BATCH-YZ1234</t>
  </si>
  <si>
    <t>Designated specific, validated equipment for Ibuprofen tablet dissolution testing</t>
  </si>
  <si>
    <t>No OOS events due to equipment malfunction in next 6 batches</t>
  </si>
  <si>
    <t>S.No.</t>
  </si>
  <si>
    <t>Table Name</t>
  </si>
  <si>
    <t>Column Name</t>
  </si>
  <si>
    <t>CAPA Analysis</t>
  </si>
  <si>
    <t>Predictive Assessment</t>
  </si>
  <si>
    <t>RCA</t>
  </si>
  <si>
    <t>General Data Analysis</t>
  </si>
  <si>
    <t>QALS - Inspection Lot Record</t>
  </si>
  <si>
    <t>Yes</t>
  </si>
  <si>
    <t>No</t>
  </si>
  <si>
    <t>QAMR - Characteristic Recording</t>
  </si>
  <si>
    <t>no</t>
  </si>
  <si>
    <t>CAPA</t>
  </si>
  <si>
    <t>Data Retrieval</t>
  </si>
  <si>
    <t>please show me the inspected batches with detailed analysis for the past 2 days</t>
  </si>
  <si>
    <t>Share the results for the dissolution test performed on Batch 4087? Provide detailed analysis as well</t>
  </si>
  <si>
    <t>provide the inspection history for Aspirin 500mg batches that were manufactured within the past week</t>
  </si>
  <si>
    <t>Predictive Assesment</t>
  </si>
  <si>
    <t>Predict potential quality issues based on trends in potency, pH level, dissolution rate, and temperature for Metaformin Tablets (100MG)?</t>
  </si>
  <si>
    <t>Identify the most significant factors influencing Ibuprofen 100 MG quality among the given parameters?</t>
  </si>
  <si>
    <t>Recommend specific process adjustments or corrective actions to mitigate potential risks based on the predicted quality issues for Asprin100 MG?</t>
  </si>
  <si>
    <t>Given a predicted quality issue in ibuprofen tablet(200MG), what specific process adjustments or corrections actions could be implemented to mitigate the risk?</t>
  </si>
  <si>
    <t>Develop a risk assessment model that can prioritize potential quality issues in Metformin 500MG based on their severity and likelihood of occurrence?</t>
  </si>
  <si>
    <t>Generate an RCA report for a quality deviation detected in Batch number 4003, where the impurity level exceeded the specification limit. Identify potential root cause and recommend corrective actions.</t>
  </si>
  <si>
    <t>Conduct a Root cause Analysis for the deviation in the temperature parameter during the production of Metaformin Tablets(500mg). Determine the impact on product quality and recommend corrective actions.</t>
  </si>
  <si>
    <t>Perform a Root cause Analysis for the customer complaint received on July 10th,2024, regarding product Metaformin Tablets experiencing a dissolution rate below the specified limit. Determine the root cause and suggest preventive measures.</t>
  </si>
  <si>
    <t>Generate a Root Cause Analysis (RCA) report for the batch 4025, which failed quality inspection due to temperature deviation.</t>
  </si>
  <si>
    <t>Assess the effectiveness of the corrective action plan (CAPA) implemented for Batch 4012</t>
  </si>
  <si>
    <t>Evaluate the effectiveness of the CAPA actions taken to address Potency levels in Batch 4012?</t>
  </si>
  <si>
    <t>Trend</t>
  </si>
  <si>
    <t>Analyze trends in the defect rate for the PH level of all inspected batches over the past 3 weeks?</t>
  </si>
  <si>
    <t>Identify any trends in the impurity levels for Ibuprofen Tablets(100mg) over the past two months?</t>
  </si>
  <si>
    <t>SAP Table</t>
  </si>
  <si>
    <t>SAP Field</t>
  </si>
  <si>
    <t>QALS</t>
  </si>
  <si>
    <t>PRUEFLOS</t>
  </si>
  <si>
    <t>WERKS</t>
  </si>
  <si>
    <t>OBJNR</t>
  </si>
  <si>
    <t>PLNTY</t>
  </si>
  <si>
    <t>AUFNR</t>
  </si>
  <si>
    <t>MARA</t>
  </si>
  <si>
    <t>MAKTX</t>
  </si>
  <si>
    <t>CHARG</t>
  </si>
  <si>
    <t>QMNUM</t>
  </si>
  <si>
    <t>QALS, MARA</t>
  </si>
  <si>
    <t>QAMR</t>
  </si>
  <si>
    <t>QMEL</t>
  </si>
  <si>
    <t>MERKNR</t>
  </si>
  <si>
    <t>QAMR/PLPO</t>
  </si>
  <si>
    <t>MERKBEZ</t>
  </si>
  <si>
    <t xml:space="preserve"> QAMR</t>
  </si>
  <si>
    <t>MINWERT</t>
  </si>
  <si>
    <t>MAXWERT</t>
  </si>
  <si>
    <t>ART</t>
  </si>
  <si>
    <t>VORGLFNR</t>
  </si>
  <si>
    <t>PASTRTERM</t>
  </si>
  <si>
    <t>PAENDTERM</t>
  </si>
  <si>
    <t>ERSTELLER</t>
  </si>
  <si>
    <t>ENSTEHDAT</t>
  </si>
  <si>
    <t>ENTSTEZEIT</t>
  </si>
  <si>
    <t>SELMATNR</t>
  </si>
  <si>
    <t>MBEWERTG</t>
  </si>
  <si>
    <t>PRUEFER</t>
  </si>
  <si>
    <t>ERSTELLDAT</t>
  </si>
  <si>
    <t>PRUEFDATUV</t>
  </si>
  <si>
    <t>PRUEFDATUB</t>
  </si>
  <si>
    <t>PRUEFZEITV</t>
  </si>
  <si>
    <t>QAMKR</t>
  </si>
  <si>
    <t>PRUEFZEITB</t>
  </si>
  <si>
    <t>PASTRZEIT</t>
  </si>
  <si>
    <t>PAENDZEIT</t>
  </si>
  <si>
    <t>VIQMEL</t>
  </si>
  <si>
    <t>MATXT</t>
  </si>
  <si>
    <t>QMSM</t>
  </si>
  <si>
    <t>ERLDAT</t>
  </si>
  <si>
    <t>ERDAT</t>
  </si>
  <si>
    <t>VSTEUERKZ</t>
  </si>
  <si>
    <t>PLMKB</t>
  </si>
  <si>
    <t>FEKNZ</t>
  </si>
  <si>
    <t>FETXT</t>
  </si>
  <si>
    <t>QMFE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</si>
</sst>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14" fontId="0" fillId="0" borderId="1" xfId="0" applyNumberFormat="1" applyBorder="1"/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0" fillId="0" borderId="0" xfId="0" quotePrefix="1"/>
    <xf numFmtId="0" fontId="1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4" fillId="3" borderId="1" xfId="0" applyFont="1" applyFill="1" applyBorder="1"/>
    <xf numFmtId="14" fontId="4" fillId="0" borderId="1" xfId="0" applyNumberFormat="1" applyFont="1" applyBorder="1"/>
    <xf numFmtId="21" fontId="4" fillId="0" borderId="1" xfId="0" applyNumberFormat="1" applyFont="1" applyBorder="1"/>
    <xf numFmtId="0" fontId="4" fillId="2" borderId="1" xfId="0" applyFont="1" applyFill="1" applyBorder="1"/>
    <xf numFmtId="21" fontId="4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21" fontId="0" fillId="0" borderId="1" xfId="0" applyNumberFormat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21" fontId="0" fillId="2" borderId="1" xfId="0" applyNumberForma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21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0" fillId="0" borderId="0" xfId="0" applyNumberFormat="1"/>
    <xf numFmtId="0" fontId="5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vertical="center"/>
    </xf>
    <xf numFmtId="164" fontId="5" fillId="0" borderId="1" xfId="0" applyNumberFormat="1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0" xfId="0" applyNumberFormat="1"/>
    <xf numFmtId="164" fontId="5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4" fillId="6" borderId="1" xfId="0" applyFont="1" applyFill="1" applyBorder="1"/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0" borderId="0" xfId="0" applyAlignment="1">
      <alignment readingOrder="1"/>
    </xf>
    <xf numFmtId="0" fontId="6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6F6B-E755-44D6-AD20-6C0A8EC1FC50}">
  <dimension ref="A1:P361"/>
  <sheetViews>
    <sheetView topLeftCell="D1" zoomScaleNormal="100" workbookViewId="0">
      <pane ySplit="1" topLeftCell="A2" activePane="bottomLeft" state="frozen"/>
      <selection pane="bottomLeft" activeCell="P2" sqref="P2:P15"/>
    </sheetView>
  </sheetViews>
  <sheetFormatPr defaultRowHeight="14.5" x14ac:dyDescent="0.35"/>
  <cols>
    <col min="1" max="1" width="12.54296875" bestFit="1" customWidth="1"/>
    <col min="2" max="2" width="5.1796875" bestFit="1" customWidth="1"/>
    <col min="3" max="3" width="9.453125" bestFit="1" customWidth="1"/>
    <col min="4" max="4" width="15.1796875" bestFit="1" customWidth="1"/>
    <col min="5" max="5" width="10.54296875" bestFit="1" customWidth="1"/>
    <col min="6" max="6" width="15.54296875" bestFit="1" customWidth="1"/>
    <col min="7" max="7" width="9.81640625" bestFit="1" customWidth="1"/>
    <col min="8" max="8" width="11.453125" style="57" bestFit="1" customWidth="1"/>
    <col min="9" max="9" width="9.26953125" bestFit="1" customWidth="1"/>
    <col min="10" max="10" width="11.453125" style="57" bestFit="1" customWidth="1"/>
    <col min="11" max="11" width="8.54296875" bestFit="1" customWidth="1"/>
    <col min="12" max="12" width="11.81640625" bestFit="1" customWidth="1"/>
    <col min="13" max="13" width="12.54296875" bestFit="1" customWidth="1"/>
    <col min="14" max="14" width="10.1796875" style="51" bestFit="1" customWidth="1"/>
    <col min="15" max="15" width="24.7265625" bestFit="1" customWidth="1"/>
    <col min="16" max="16" width="5.54296875" bestFit="1" customWidth="1"/>
  </cols>
  <sheetData>
    <row r="1" spans="1:16" x14ac:dyDescent="0.35">
      <c r="A1" s="35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54" t="s">
        <v>7</v>
      </c>
      <c r="I1" s="47" t="s">
        <v>8</v>
      </c>
      <c r="J1" s="54" t="s">
        <v>9</v>
      </c>
      <c r="K1" s="47" t="s">
        <v>10</v>
      </c>
      <c r="L1" s="47" t="s">
        <v>11</v>
      </c>
      <c r="M1" s="47" t="s">
        <v>12</v>
      </c>
      <c r="N1" s="48" t="s">
        <v>13</v>
      </c>
      <c r="O1" s="47" t="s">
        <v>14</v>
      </c>
      <c r="P1" s="47" t="s">
        <v>15</v>
      </c>
    </row>
    <row r="2" spans="1:16" x14ac:dyDescent="0.35">
      <c r="A2" s="11">
        <v>40000002501</v>
      </c>
      <c r="B2" s="18">
        <v>1010</v>
      </c>
      <c r="C2" s="19">
        <v>4</v>
      </c>
      <c r="D2" s="2" t="s">
        <v>16</v>
      </c>
      <c r="E2" s="6">
        <f t="shared" ref="E2" ca="1" si="0">E3</f>
        <v>45870</v>
      </c>
      <c r="F2" s="15">
        <f ca="1">TIME(RANDBETWEEN(12,22), RANDBETWEEN(0,59), RANDBETWEEN(0,59))</f>
        <v>0.69314814814814818</v>
      </c>
      <c r="G2" s="18" t="s">
        <v>17</v>
      </c>
      <c r="H2" s="55">
        <f t="shared" ref="H2:H65" ca="1" si="1">E2</f>
        <v>45870</v>
      </c>
      <c r="I2" s="20">
        <f t="shared" ref="I2:I65" ca="1" si="2">F2</f>
        <v>0.69314814814814818</v>
      </c>
      <c r="J2" s="55">
        <f t="shared" ref="J2:J65" ca="1" si="3">E2</f>
        <v>45870</v>
      </c>
      <c r="K2" s="20">
        <f t="shared" ref="K2:K65" ca="1" si="4">I2+TIME(1,RANDBETWEEN(25,50),RANDBETWEEN(0,59))</f>
        <v>0.76893518518518522</v>
      </c>
      <c r="L2" s="19" t="s">
        <v>18</v>
      </c>
      <c r="M2" s="18">
        <v>1004511</v>
      </c>
      <c r="N2" s="49" t="s">
        <v>19</v>
      </c>
      <c r="O2" s="11" t="str" cm="1">
        <f t="array" ref="O2">_xlfn.IFS(N2="FG2020US1", "Ibuprofen Tablets (100 MG)", N2="FG0001SEG", "Metformin Tablets (100 MG)", N2="FG0002SEG", "Metformin Tablets (200 MG)", N2="FG0003SEG", "Metformin Tablets (500 MG)", N2="FG00UDI4", "Aspirin Tablets (500 MG)")</f>
        <v>Metformin Tablets (100 MG)</v>
      </c>
      <c r="P2" s="11">
        <v>4001</v>
      </c>
    </row>
    <row r="3" spans="1:16" x14ac:dyDescent="0.35">
      <c r="A3" s="11">
        <v>40000002502</v>
      </c>
      <c r="B3" s="18">
        <v>1010</v>
      </c>
      <c r="C3" s="19">
        <v>4</v>
      </c>
      <c r="D3" s="2" t="s">
        <v>20</v>
      </c>
      <c r="E3" s="6">
        <f t="shared" ref="E3" ca="1" si="5">E4-1</f>
        <v>45870</v>
      </c>
      <c r="F3" s="15">
        <f ca="1">TIME(RANDBETWEEN(0,10), RANDBETWEEN(0,59), RANDBETWEEN(0,59))</f>
        <v>9.8055555555555562E-2</v>
      </c>
      <c r="G3" s="18" t="s">
        <v>21</v>
      </c>
      <c r="H3" s="55">
        <f t="shared" ca="1" si="1"/>
        <v>45870</v>
      </c>
      <c r="I3" s="20">
        <f t="shared" ca="1" si="2"/>
        <v>9.8055555555555562E-2</v>
      </c>
      <c r="J3" s="55">
        <f t="shared" ca="1" si="3"/>
        <v>45870</v>
      </c>
      <c r="K3" s="20">
        <f t="shared" ca="1" si="4"/>
        <v>0.15883101851851852</v>
      </c>
      <c r="L3" s="19" t="s">
        <v>18</v>
      </c>
      <c r="M3" s="18">
        <v>1004512</v>
      </c>
      <c r="N3" s="49" t="s">
        <v>22</v>
      </c>
      <c r="O3" s="11" t="str" cm="1">
        <f t="array" ref="O3">_xlfn.IFS(N3="FG2020US1", "Ibuprofen Tablets (100 MG)", N3="FG0001SEG", "Metformin Tablets (100 MG)", N3="FG0002SEG", "Metformin Tablets (200 MG)", N3="FG0003SEG", "Metformin Tablets (500 MG)", N3="FG00UDI4", "Aspirin Tablets (500 MG)")</f>
        <v>Ibuprofen Tablets (100 MG)</v>
      </c>
      <c r="P3" s="11">
        <v>4002</v>
      </c>
    </row>
    <row r="4" spans="1:16" x14ac:dyDescent="0.35">
      <c r="A4" s="11">
        <v>40000002503</v>
      </c>
      <c r="B4" s="18">
        <v>1010</v>
      </c>
      <c r="C4" s="19">
        <v>4</v>
      </c>
      <c r="D4" s="2" t="s">
        <v>23</v>
      </c>
      <c r="E4" s="6">
        <f t="shared" ref="E4" ca="1" si="6">E5</f>
        <v>45871</v>
      </c>
      <c r="F4" s="15">
        <f ca="1">TIME(RANDBETWEEN(12,22), RANDBETWEEN(0,59), RANDBETWEEN(0,59))</f>
        <v>0.90376157407407409</v>
      </c>
      <c r="G4" s="18" t="s">
        <v>24</v>
      </c>
      <c r="H4" s="55">
        <f t="shared" ca="1" si="1"/>
        <v>45871</v>
      </c>
      <c r="I4" s="20">
        <f t="shared" ca="1" si="2"/>
        <v>0.90376157407407409</v>
      </c>
      <c r="J4" s="55">
        <f t="shared" ca="1" si="3"/>
        <v>45871</v>
      </c>
      <c r="K4" s="20">
        <f t="shared" ca="1" si="4"/>
        <v>0.97219907407407413</v>
      </c>
      <c r="L4" s="19" t="s">
        <v>18</v>
      </c>
      <c r="M4" s="18">
        <v>1004513</v>
      </c>
      <c r="N4" s="49" t="s">
        <v>19</v>
      </c>
      <c r="O4" s="11" t="str" cm="1">
        <f t="array" ref="O4">_xlfn.IFS(N4="FG2020US1", "Ibuprofen Tablets (100 MG)", N4="FG0001SEG", "Metformin Tablets (100 MG)", N4="FG0002SEG", "Metformin Tablets (200 MG)", N4="FG0003SEG", "Metformin Tablets (500 MG)", N4="FG00UDI4", "Aspirin Tablets (500 MG)")</f>
        <v>Metformin Tablets (100 MG)</v>
      </c>
      <c r="P4" s="11">
        <v>4003</v>
      </c>
    </row>
    <row r="5" spans="1:16" x14ac:dyDescent="0.35">
      <c r="A5" s="11">
        <v>40000002504</v>
      </c>
      <c r="B5" s="18">
        <v>1010</v>
      </c>
      <c r="C5" s="19">
        <v>4</v>
      </c>
      <c r="D5" s="2" t="s">
        <v>25</v>
      </c>
      <c r="E5" s="6">
        <f t="shared" ref="E5" ca="1" si="7">E6-1</f>
        <v>45871</v>
      </c>
      <c r="F5" s="15">
        <f ca="1">TIME(RANDBETWEEN(0,10), RANDBETWEEN(0,59), RANDBETWEEN(0,59))</f>
        <v>9.8969907407407409E-2</v>
      </c>
      <c r="G5" s="18" t="s">
        <v>21</v>
      </c>
      <c r="H5" s="55">
        <f t="shared" ca="1" si="1"/>
        <v>45871</v>
      </c>
      <c r="I5" s="20">
        <f t="shared" ca="1" si="2"/>
        <v>9.8969907407407409E-2</v>
      </c>
      <c r="J5" s="55">
        <f t="shared" ca="1" si="3"/>
        <v>45871</v>
      </c>
      <c r="K5" s="20">
        <f t="shared" ca="1" si="4"/>
        <v>0.16030092592592593</v>
      </c>
      <c r="L5" s="19" t="s">
        <v>18</v>
      </c>
      <c r="M5" s="18">
        <v>1004514</v>
      </c>
      <c r="N5" s="49" t="s">
        <v>19</v>
      </c>
      <c r="O5" s="11" t="str" cm="1">
        <f t="array" ref="O5">_xlfn.IFS(N5="FG2020US1", "Ibuprofen Tablets (100 MG)", N5="FG0001SEG", "Metformin Tablets (100 MG)", N5="FG0002SEG", "Metformin Tablets (200 MG)", N5="FG0003SEG", "Metformin Tablets (500 MG)", N5="FG00UDI4", "Aspirin Tablets (500 MG)")</f>
        <v>Metformin Tablets (100 MG)</v>
      </c>
      <c r="P5" s="11">
        <v>4004</v>
      </c>
    </row>
    <row r="6" spans="1:16" x14ac:dyDescent="0.35">
      <c r="A6" s="11">
        <v>40000002505</v>
      </c>
      <c r="B6" s="18">
        <v>1010</v>
      </c>
      <c r="C6" s="19">
        <v>4</v>
      </c>
      <c r="D6" s="2" t="s">
        <v>26</v>
      </c>
      <c r="E6" s="6">
        <f t="shared" ref="E6" ca="1" si="8">E7</f>
        <v>45872</v>
      </c>
      <c r="F6" s="15">
        <f ca="1">TIME(RANDBETWEEN(12,22), RANDBETWEEN(0,59), RANDBETWEEN(0,59))</f>
        <v>0.5482407407407407</v>
      </c>
      <c r="G6" s="18" t="s">
        <v>17</v>
      </c>
      <c r="H6" s="55">
        <f t="shared" ca="1" si="1"/>
        <v>45872</v>
      </c>
      <c r="I6" s="20">
        <f t="shared" ca="1" si="2"/>
        <v>0.5482407407407407</v>
      </c>
      <c r="J6" s="55">
        <f t="shared" ca="1" si="3"/>
        <v>45872</v>
      </c>
      <c r="K6" s="20">
        <f t="shared" ca="1" si="4"/>
        <v>0.61037037037037034</v>
      </c>
      <c r="L6" s="19" t="s">
        <v>18</v>
      </c>
      <c r="M6" s="18">
        <v>1004515</v>
      </c>
      <c r="N6" s="49" t="s">
        <v>27</v>
      </c>
      <c r="O6" s="11" t="str" cm="1">
        <f t="array" ref="O6">_xlfn.IFS(N6="FG2020US1", "Ibuprofen Tablets (100 MG)", N6="FG0001SEG", "Metformin Tablets (100 MG)", N6="FG0002SEG", "Metformin Tablets (200 MG)", N6="FG0003SEG", "Metformin Tablets (500 MG)", N6="FG00UDI4", "Aspirin Tablets (500 MG)")</f>
        <v>Metformin Tablets (500 MG)</v>
      </c>
      <c r="P6" s="11">
        <v>4005</v>
      </c>
    </row>
    <row r="7" spans="1:16" x14ac:dyDescent="0.35">
      <c r="A7" s="11">
        <v>40000002506</v>
      </c>
      <c r="B7" s="18">
        <v>1010</v>
      </c>
      <c r="C7" s="19">
        <v>4</v>
      </c>
      <c r="D7" s="2" t="s">
        <v>28</v>
      </c>
      <c r="E7" s="6">
        <f t="shared" ref="E7" ca="1" si="9">E8-1</f>
        <v>45872</v>
      </c>
      <c r="F7" s="15">
        <f ca="1">TIME(RANDBETWEEN(0,10), RANDBETWEEN(0,59), RANDBETWEEN(0,59))</f>
        <v>0.1491550925925926</v>
      </c>
      <c r="G7" s="18" t="s">
        <v>21</v>
      </c>
      <c r="H7" s="55">
        <f t="shared" ca="1" si="1"/>
        <v>45872</v>
      </c>
      <c r="I7" s="20">
        <f t="shared" ca="1" si="2"/>
        <v>0.1491550925925926</v>
      </c>
      <c r="J7" s="55">
        <f t="shared" ca="1" si="3"/>
        <v>45872</v>
      </c>
      <c r="K7" s="20">
        <f t="shared" ca="1" si="4"/>
        <v>0.22229166666666667</v>
      </c>
      <c r="L7" s="19" t="s">
        <v>18</v>
      </c>
      <c r="M7" s="18">
        <v>1004516</v>
      </c>
      <c r="N7" s="49" t="s">
        <v>27</v>
      </c>
      <c r="O7" s="11" t="str" cm="1">
        <f t="array" ref="O7">_xlfn.IFS(N7="FG2020US1", "Ibuprofen Tablets (100 MG)", N7="FG0001SEG", "Metformin Tablets (100 MG)", N7="FG0002SEG", "Metformin Tablets (200 MG)", N7="FG0003SEG", "Metformin Tablets (500 MG)", N7="FG00UDI4", "Aspirin Tablets (500 MG)")</f>
        <v>Metformin Tablets (500 MG)</v>
      </c>
      <c r="P7" s="11">
        <v>4006</v>
      </c>
    </row>
    <row r="8" spans="1:16" x14ac:dyDescent="0.35">
      <c r="A8" s="11">
        <v>40000002507</v>
      </c>
      <c r="B8" s="18">
        <v>1010</v>
      </c>
      <c r="C8" s="19">
        <v>4</v>
      </c>
      <c r="D8" s="2" t="s">
        <v>29</v>
      </c>
      <c r="E8" s="6">
        <f t="shared" ref="E8" ca="1" si="10">E9</f>
        <v>45873</v>
      </c>
      <c r="F8" s="15">
        <f ca="1">TIME(RANDBETWEEN(12,22), RANDBETWEEN(0,59), RANDBETWEEN(0,59))</f>
        <v>0.75422453703703707</v>
      </c>
      <c r="G8" s="18" t="s">
        <v>30</v>
      </c>
      <c r="H8" s="55">
        <f t="shared" ca="1" si="1"/>
        <v>45873</v>
      </c>
      <c r="I8" s="20">
        <f t="shared" ca="1" si="2"/>
        <v>0.75422453703703707</v>
      </c>
      <c r="J8" s="55">
        <f t="shared" ca="1" si="3"/>
        <v>45873</v>
      </c>
      <c r="K8" s="20">
        <f t="shared" ca="1" si="4"/>
        <v>0.81810185185185191</v>
      </c>
      <c r="L8" s="19" t="s">
        <v>18</v>
      </c>
      <c r="M8" s="18">
        <v>1004517</v>
      </c>
      <c r="N8" s="49" t="s">
        <v>31</v>
      </c>
      <c r="O8" s="11" t="str" cm="1">
        <f t="array" ref="O8">_xlfn.IFS(N8="FG2020US1", "Ibuprofen Tablets (100 MG)", N8="FG0001SEG", "Metformin Tablets (100 MG)", N8="FG0002SEG", "Metformin Tablets (200 MG)", N8="FG0003SEG", "Metformin Tablets (500 MG)", N8="FG00UDI4", "Aspirin Tablets (500 MG)")</f>
        <v>Aspirin Tablets (500 MG)</v>
      </c>
      <c r="P8" s="11">
        <v>4007</v>
      </c>
    </row>
    <row r="9" spans="1:16" x14ac:dyDescent="0.35">
      <c r="A9" s="11">
        <v>40000002508</v>
      </c>
      <c r="B9" s="18">
        <v>1010</v>
      </c>
      <c r="C9" s="19">
        <v>4</v>
      </c>
      <c r="D9" s="2" t="s">
        <v>32</v>
      </c>
      <c r="E9" s="6">
        <f t="shared" ref="E9" ca="1" si="11">E10-1</f>
        <v>45873</v>
      </c>
      <c r="F9" s="15">
        <f ca="1">TIME(RANDBETWEEN(0,10), RANDBETWEEN(0,59), RANDBETWEEN(0,59))</f>
        <v>4.2106481481481481E-2</v>
      </c>
      <c r="G9" s="18" t="s">
        <v>21</v>
      </c>
      <c r="H9" s="55">
        <f t="shared" ca="1" si="1"/>
        <v>45873</v>
      </c>
      <c r="I9" s="20">
        <f t="shared" ca="1" si="2"/>
        <v>4.2106481481481481E-2</v>
      </c>
      <c r="J9" s="55">
        <f t="shared" ca="1" si="3"/>
        <v>45873</v>
      </c>
      <c r="K9" s="20">
        <f t="shared" ca="1" si="4"/>
        <v>0.11483796296296296</v>
      </c>
      <c r="L9" s="19" t="s">
        <v>18</v>
      </c>
      <c r="M9" s="18">
        <v>1004518</v>
      </c>
      <c r="N9" s="49" t="s">
        <v>27</v>
      </c>
      <c r="O9" s="11" t="str" cm="1">
        <f t="array" ref="O9">_xlfn.IFS(N9="FG2020US1", "Ibuprofen Tablets (100 MG)", N9="FG0001SEG", "Metformin Tablets (100 MG)", N9="FG0002SEG", "Metformin Tablets (200 MG)", N9="FG0003SEG", "Metformin Tablets (500 MG)", N9="FG00UDI4", "Aspirin Tablets (500 MG)")</f>
        <v>Metformin Tablets (500 MG)</v>
      </c>
      <c r="P9" s="11">
        <v>4008</v>
      </c>
    </row>
    <row r="10" spans="1:16" x14ac:dyDescent="0.35">
      <c r="A10" s="11">
        <v>40000002509</v>
      </c>
      <c r="B10" s="18">
        <v>1010</v>
      </c>
      <c r="C10" s="19">
        <v>4</v>
      </c>
      <c r="D10" s="2" t="s">
        <v>33</v>
      </c>
      <c r="E10" s="6">
        <f t="shared" ref="E10" ca="1" si="12">E11</f>
        <v>45874</v>
      </c>
      <c r="F10" s="15">
        <f ca="1">TIME(RANDBETWEEN(12,22), RANDBETWEEN(0,59), RANDBETWEEN(0,59))</f>
        <v>0.5250231481481481</v>
      </c>
      <c r="G10" s="18" t="s">
        <v>24</v>
      </c>
      <c r="H10" s="55">
        <f t="shared" ca="1" si="1"/>
        <v>45874</v>
      </c>
      <c r="I10" s="20">
        <f t="shared" ca="1" si="2"/>
        <v>0.5250231481481481</v>
      </c>
      <c r="J10" s="55">
        <f t="shared" ca="1" si="3"/>
        <v>45874</v>
      </c>
      <c r="K10" s="20">
        <f t="shared" ca="1" si="4"/>
        <v>0.58457175925925919</v>
      </c>
      <c r="L10" s="19" t="s">
        <v>18</v>
      </c>
      <c r="M10" s="18">
        <v>1004519</v>
      </c>
      <c r="N10" s="49" t="s">
        <v>34</v>
      </c>
      <c r="O10" s="11" t="str" cm="1">
        <f t="array" ref="O10">_xlfn.IFS(N10="FG2020US1", "Ibuprofen Tablets (100 MG)", N10="FG0001SEG", "Metformin Tablets (100 MG)", N10="FG0002SEG", "Metformin Tablets (200 MG)", N10="FG0003SEG", "Metformin Tablets (500 MG)", N10="FG00UDI4", "Aspirin Tablets (500 MG)")</f>
        <v>Metformin Tablets (200 MG)</v>
      </c>
      <c r="P10" s="11">
        <v>4009</v>
      </c>
    </row>
    <row r="11" spans="1:16" x14ac:dyDescent="0.35">
      <c r="A11" s="11">
        <v>40000002510</v>
      </c>
      <c r="B11" s="18">
        <v>1010</v>
      </c>
      <c r="C11" s="19">
        <v>4</v>
      </c>
      <c r="D11" s="2" t="s">
        <v>35</v>
      </c>
      <c r="E11" s="6">
        <f t="shared" ref="E11" ca="1" si="13">E12-1</f>
        <v>45874</v>
      </c>
      <c r="F11" s="15">
        <f ca="1">TIME(RANDBETWEEN(0,10), RANDBETWEEN(0,59), RANDBETWEEN(0,59))</f>
        <v>0.21421296296296297</v>
      </c>
      <c r="G11" s="18" t="s">
        <v>36</v>
      </c>
      <c r="H11" s="55">
        <f t="shared" ca="1" si="1"/>
        <v>45874</v>
      </c>
      <c r="I11" s="20">
        <f t="shared" ca="1" si="2"/>
        <v>0.21421296296296297</v>
      </c>
      <c r="J11" s="55">
        <f t="shared" ca="1" si="3"/>
        <v>45874</v>
      </c>
      <c r="K11" s="20">
        <f t="shared" ca="1" si="4"/>
        <v>0.28644675925925928</v>
      </c>
      <c r="L11" s="19" t="s">
        <v>18</v>
      </c>
      <c r="M11" s="18">
        <v>1004520</v>
      </c>
      <c r="N11" s="49" t="s">
        <v>19</v>
      </c>
      <c r="O11" s="11" t="str" cm="1">
        <f t="array" ref="O11">_xlfn.IFS(N11="FG2020US1", "Ibuprofen Tablets (100 MG)", N11="FG0001SEG", "Metformin Tablets (100 MG)", N11="FG0002SEG", "Metformin Tablets (200 MG)", N11="FG0003SEG", "Metformin Tablets (500 MG)", N11="FG00UDI4", "Aspirin Tablets (500 MG)")</f>
        <v>Metformin Tablets (100 MG)</v>
      </c>
      <c r="P11" s="11">
        <v>4010</v>
      </c>
    </row>
    <row r="12" spans="1:16" x14ac:dyDescent="0.35">
      <c r="A12" s="11">
        <v>40000002511</v>
      </c>
      <c r="B12" s="18">
        <v>1010</v>
      </c>
      <c r="C12" s="19">
        <v>4</v>
      </c>
      <c r="D12" s="2" t="s">
        <v>37</v>
      </c>
      <c r="E12" s="6">
        <f t="shared" ref="E12" ca="1" si="14">E13</f>
        <v>45875</v>
      </c>
      <c r="F12" s="15">
        <f ca="1">TIME(RANDBETWEEN(12,22), RANDBETWEEN(0,59), RANDBETWEEN(0,59))</f>
        <v>0.8372222222222222</v>
      </c>
      <c r="G12" s="18" t="s">
        <v>17</v>
      </c>
      <c r="H12" s="55">
        <f t="shared" ca="1" si="1"/>
        <v>45875</v>
      </c>
      <c r="I12" s="20">
        <f t="shared" ca="1" si="2"/>
        <v>0.8372222222222222</v>
      </c>
      <c r="J12" s="55">
        <f t="shared" ca="1" si="3"/>
        <v>45875</v>
      </c>
      <c r="K12" s="20">
        <f t="shared" ca="1" si="4"/>
        <v>0.89800925925925923</v>
      </c>
      <c r="L12" s="19" t="s">
        <v>18</v>
      </c>
      <c r="M12" s="18">
        <v>1004521</v>
      </c>
      <c r="N12" s="49" t="s">
        <v>22</v>
      </c>
      <c r="O12" s="11" t="str" cm="1">
        <f t="array" ref="O12">_xlfn.IFS(N12="FG2020US1", "Ibuprofen Tablets (100 MG)", N12="FG0001SEG", "Metformin Tablets (100 MG)", N12="FG0002SEG", "Metformin Tablets (200 MG)", N12="FG0003SEG", "Metformin Tablets (500 MG)", N12="FG00UDI4", "Aspirin Tablets (500 MG)")</f>
        <v>Ibuprofen Tablets (100 MG)</v>
      </c>
      <c r="P12" s="11">
        <v>4011</v>
      </c>
    </row>
    <row r="13" spans="1:16" x14ac:dyDescent="0.35">
      <c r="A13" s="11">
        <v>40000002512</v>
      </c>
      <c r="B13" s="18">
        <v>1010</v>
      </c>
      <c r="C13" s="19">
        <v>4</v>
      </c>
      <c r="D13" s="2" t="s">
        <v>38</v>
      </c>
      <c r="E13" s="6">
        <f t="shared" ref="E13" ca="1" si="15">E14-1</f>
        <v>45875</v>
      </c>
      <c r="F13" s="15">
        <f ca="1">TIME(RANDBETWEEN(0,10), RANDBETWEEN(0,59), RANDBETWEEN(0,59))</f>
        <v>0.105625</v>
      </c>
      <c r="G13" s="18" t="s">
        <v>39</v>
      </c>
      <c r="H13" s="55">
        <f t="shared" ca="1" si="1"/>
        <v>45875</v>
      </c>
      <c r="I13" s="20">
        <f t="shared" ca="1" si="2"/>
        <v>0.105625</v>
      </c>
      <c r="J13" s="55">
        <f t="shared" ca="1" si="3"/>
        <v>45875</v>
      </c>
      <c r="K13" s="20">
        <f t="shared" ca="1" si="4"/>
        <v>0.17284722222222221</v>
      </c>
      <c r="L13" s="19" t="s">
        <v>18</v>
      </c>
      <c r="M13" s="18">
        <v>1004522</v>
      </c>
      <c r="N13" s="49" t="s">
        <v>19</v>
      </c>
      <c r="O13" s="11" t="str" cm="1">
        <f t="array" ref="O13">_xlfn.IFS(N13="FG2020US1", "Ibuprofen Tablets (100 MG)", N13="FG0001SEG", "Metformin Tablets (100 MG)", N13="FG0002SEG", "Metformin Tablets (200 MG)", N13="FG0003SEG", "Metformin Tablets (500 MG)", N13="FG00UDI4", "Aspirin Tablets (500 MG)")</f>
        <v>Metformin Tablets (100 MG)</v>
      </c>
      <c r="P13" s="11">
        <v>4012</v>
      </c>
    </row>
    <row r="14" spans="1:16" x14ac:dyDescent="0.35">
      <c r="A14" s="11">
        <v>40000002513</v>
      </c>
      <c r="B14" s="18">
        <v>1010</v>
      </c>
      <c r="C14" s="19">
        <v>4</v>
      </c>
      <c r="D14" s="2" t="s">
        <v>40</v>
      </c>
      <c r="E14" s="6">
        <f t="shared" ref="E14" ca="1" si="16">E15</f>
        <v>45876</v>
      </c>
      <c r="F14" s="15">
        <f ca="1">TIME(RANDBETWEEN(12,22), RANDBETWEEN(0,59), RANDBETWEEN(0,59))</f>
        <v>0.76216435185185183</v>
      </c>
      <c r="G14" s="18" t="s">
        <v>24</v>
      </c>
      <c r="H14" s="55">
        <f t="shared" ca="1" si="1"/>
        <v>45876</v>
      </c>
      <c r="I14" s="20">
        <f t="shared" ca="1" si="2"/>
        <v>0.76216435185185183</v>
      </c>
      <c r="J14" s="55">
        <f t="shared" ca="1" si="3"/>
        <v>45876</v>
      </c>
      <c r="K14" s="20">
        <f t="shared" ca="1" si="4"/>
        <v>0.82128472222222215</v>
      </c>
      <c r="L14" s="19" t="s">
        <v>18</v>
      </c>
      <c r="M14" s="18">
        <v>1004523</v>
      </c>
      <c r="N14" s="49" t="s">
        <v>27</v>
      </c>
      <c r="O14" s="11" t="str" cm="1">
        <f t="array" ref="O14">_xlfn.IFS(N14="FG2020US1", "Ibuprofen Tablets (100 MG)", N14="FG0001SEG", "Metformin Tablets (100 MG)", N14="FG0002SEG", "Metformin Tablets (200 MG)", N14="FG0003SEG", "Metformin Tablets (500 MG)", N14="FG00UDI4", "Aspirin Tablets (500 MG)")</f>
        <v>Metformin Tablets (500 MG)</v>
      </c>
      <c r="P14" s="11">
        <v>4013</v>
      </c>
    </row>
    <row r="15" spans="1:16" x14ac:dyDescent="0.35">
      <c r="A15" s="11">
        <v>40000002514</v>
      </c>
      <c r="B15" s="18">
        <v>1010</v>
      </c>
      <c r="C15" s="19">
        <v>4</v>
      </c>
      <c r="D15" s="2" t="s">
        <v>41</v>
      </c>
      <c r="E15" s="6">
        <f t="shared" ref="E15" ca="1" si="17">E16-1</f>
        <v>45876</v>
      </c>
      <c r="F15" s="15">
        <f ca="1">TIME(RANDBETWEEN(0,10), RANDBETWEEN(0,59), RANDBETWEEN(0,59))</f>
        <v>0.16636574074074073</v>
      </c>
      <c r="G15" s="18" t="s">
        <v>21</v>
      </c>
      <c r="H15" s="55">
        <f t="shared" ca="1" si="1"/>
        <v>45876</v>
      </c>
      <c r="I15" s="20">
        <f t="shared" ca="1" si="2"/>
        <v>0.16636574074074073</v>
      </c>
      <c r="J15" s="55">
        <f t="shared" ca="1" si="3"/>
        <v>45876</v>
      </c>
      <c r="K15" s="20">
        <f t="shared" ca="1" si="4"/>
        <v>0.23636574074074074</v>
      </c>
      <c r="L15" s="19" t="s">
        <v>18</v>
      </c>
      <c r="M15" s="18">
        <v>1004524</v>
      </c>
      <c r="N15" s="49" t="s">
        <v>22</v>
      </c>
      <c r="O15" s="11" t="str" cm="1">
        <f t="array" ref="O15">_xlfn.IFS(N15="FG2020US1", "Ibuprofen Tablets (100 MG)", N15="FG0001SEG", "Metformin Tablets (100 MG)", N15="FG0002SEG", "Metformin Tablets (200 MG)", N15="FG0003SEG", "Metformin Tablets (500 MG)", N15="FG00UDI4", "Aspirin Tablets (500 MG)")</f>
        <v>Ibuprofen Tablets (100 MG)</v>
      </c>
      <c r="P15" s="11">
        <v>4014</v>
      </c>
    </row>
    <row r="16" spans="1:16" x14ac:dyDescent="0.35">
      <c r="A16" s="11">
        <v>40000002515</v>
      </c>
      <c r="B16" s="18">
        <v>1010</v>
      </c>
      <c r="C16" s="19">
        <v>4</v>
      </c>
      <c r="D16" s="2" t="s">
        <v>42</v>
      </c>
      <c r="E16" s="6">
        <f t="shared" ref="E16" ca="1" si="18">E17</f>
        <v>45877</v>
      </c>
      <c r="F16" s="15">
        <f ca="1">TIME(RANDBETWEEN(12,22), RANDBETWEEN(0,59), RANDBETWEEN(0,59))</f>
        <v>0.91776620370370365</v>
      </c>
      <c r="G16" s="18" t="s">
        <v>17</v>
      </c>
      <c r="H16" s="55">
        <f t="shared" ca="1" si="1"/>
        <v>45877</v>
      </c>
      <c r="I16" s="20">
        <f t="shared" ca="1" si="2"/>
        <v>0.91776620370370365</v>
      </c>
      <c r="J16" s="55">
        <f t="shared" ca="1" si="3"/>
        <v>45877</v>
      </c>
      <c r="K16" s="20">
        <f t="shared" ca="1" si="4"/>
        <v>0.99177083333333327</v>
      </c>
      <c r="L16" s="19" t="s">
        <v>18</v>
      </c>
      <c r="M16" s="18">
        <v>1004525</v>
      </c>
      <c r="N16" s="49" t="s">
        <v>22</v>
      </c>
      <c r="O16" s="11" t="str" cm="1">
        <f t="array" ref="O16">_xlfn.IFS(N16="FG2020US1", "Ibuprofen Tablets (100 MG)", N16="FG0001SEG", "Metformin Tablets (100 MG)", N16="FG0002SEG", "Metformin Tablets (200 MG)", N16="FG0003SEG", "Metformin Tablets (500 MG)", N16="FG00UDI4", "Aspirin Tablets (500 MG)")</f>
        <v>Ibuprofen Tablets (100 MG)</v>
      </c>
      <c r="P16" s="11">
        <v>4015</v>
      </c>
    </row>
    <row r="17" spans="1:16" x14ac:dyDescent="0.35">
      <c r="A17" s="11">
        <v>40000002516</v>
      </c>
      <c r="B17" s="18">
        <v>1010</v>
      </c>
      <c r="C17" s="19">
        <v>4</v>
      </c>
      <c r="D17" s="2" t="s">
        <v>43</v>
      </c>
      <c r="E17" s="6">
        <f t="shared" ref="E17" ca="1" si="19">E18-1</f>
        <v>45877</v>
      </c>
      <c r="F17" s="15">
        <f ca="1">TIME(RANDBETWEEN(0,10), RANDBETWEEN(0,59), RANDBETWEEN(0,59))</f>
        <v>6.9143518518518521E-2</v>
      </c>
      <c r="G17" s="18" t="s">
        <v>21</v>
      </c>
      <c r="H17" s="55">
        <f t="shared" ca="1" si="1"/>
        <v>45877</v>
      </c>
      <c r="I17" s="20">
        <f t="shared" ca="1" si="2"/>
        <v>6.9143518518518521E-2</v>
      </c>
      <c r="J17" s="55">
        <f t="shared" ca="1" si="3"/>
        <v>45877</v>
      </c>
      <c r="K17" s="20">
        <f t="shared" ca="1" si="4"/>
        <v>0.14555555555555555</v>
      </c>
      <c r="L17" s="19" t="s">
        <v>18</v>
      </c>
      <c r="M17" s="18">
        <v>1004526</v>
      </c>
      <c r="N17" s="49" t="s">
        <v>34</v>
      </c>
      <c r="O17" s="11" t="str" cm="1">
        <f t="array" ref="O17">_xlfn.IFS(N17="FG2020US1", "Ibuprofen Tablets (100 MG)", N17="FG0001SEG", "Metformin Tablets (100 MG)", N17="FG0002SEG", "Metformin Tablets (200 MG)", N17="FG0003SEG", "Metformin Tablets (500 MG)", N17="FG00UDI4", "Aspirin Tablets (500 MG)")</f>
        <v>Metformin Tablets (200 MG)</v>
      </c>
      <c r="P17" s="11">
        <v>4016</v>
      </c>
    </row>
    <row r="18" spans="1:16" x14ac:dyDescent="0.35">
      <c r="A18" s="11">
        <v>40000002517</v>
      </c>
      <c r="B18" s="18">
        <v>1010</v>
      </c>
      <c r="C18" s="19">
        <v>4</v>
      </c>
      <c r="D18" s="2" t="s">
        <v>44</v>
      </c>
      <c r="E18" s="6">
        <f t="shared" ref="E18" ca="1" si="20">E19</f>
        <v>45878</v>
      </c>
      <c r="F18" s="15">
        <f ca="1">TIME(RANDBETWEEN(12,22), RANDBETWEEN(0,59), RANDBETWEEN(0,59))</f>
        <v>0.70297453703703705</v>
      </c>
      <c r="G18" s="18" t="s">
        <v>24</v>
      </c>
      <c r="H18" s="55">
        <f t="shared" ca="1" si="1"/>
        <v>45878</v>
      </c>
      <c r="I18" s="20">
        <f t="shared" ca="1" si="2"/>
        <v>0.70297453703703705</v>
      </c>
      <c r="J18" s="55">
        <f t="shared" ca="1" si="3"/>
        <v>45878</v>
      </c>
      <c r="K18" s="20">
        <f t="shared" ca="1" si="4"/>
        <v>0.76347222222222222</v>
      </c>
      <c r="L18" s="19" t="s">
        <v>18</v>
      </c>
      <c r="M18" s="18">
        <v>1004527</v>
      </c>
      <c r="N18" s="49" t="s">
        <v>34</v>
      </c>
      <c r="O18" s="11" t="str" cm="1">
        <f t="array" ref="O18">_xlfn.IFS(N18="FG2020US1", "Ibuprofen Tablets (100 MG)", N18="FG0001SEG", "Metformin Tablets (100 MG)", N18="FG0002SEG", "Metformin Tablets (200 MG)", N18="FG0003SEG", "Metformin Tablets (500 MG)", N18="FG00UDI4", "Aspirin Tablets (500 MG)")</f>
        <v>Metformin Tablets (200 MG)</v>
      </c>
      <c r="P18" s="11">
        <v>4017</v>
      </c>
    </row>
    <row r="19" spans="1:16" x14ac:dyDescent="0.35">
      <c r="A19" s="11">
        <v>40000002518</v>
      </c>
      <c r="B19" s="18">
        <v>1010</v>
      </c>
      <c r="C19" s="19">
        <v>4</v>
      </c>
      <c r="D19" s="2" t="s">
        <v>45</v>
      </c>
      <c r="E19" s="6">
        <f t="shared" ref="E19" ca="1" si="21">E20-1</f>
        <v>45878</v>
      </c>
      <c r="F19" s="15">
        <f ca="1">TIME(RANDBETWEEN(0,10), RANDBETWEEN(0,59), RANDBETWEEN(0,59))</f>
        <v>0.17247685185185185</v>
      </c>
      <c r="G19" s="18" t="s">
        <v>21</v>
      </c>
      <c r="H19" s="55">
        <f t="shared" ca="1" si="1"/>
        <v>45878</v>
      </c>
      <c r="I19" s="20">
        <f t="shared" ca="1" si="2"/>
        <v>0.17247685185185185</v>
      </c>
      <c r="J19" s="55">
        <f t="shared" ca="1" si="3"/>
        <v>45878</v>
      </c>
      <c r="K19" s="20">
        <f t="shared" ca="1" si="4"/>
        <v>0.24465277777777777</v>
      </c>
      <c r="L19" s="19" t="s">
        <v>18</v>
      </c>
      <c r="M19" s="18">
        <v>1004528</v>
      </c>
      <c r="N19" s="49" t="s">
        <v>22</v>
      </c>
      <c r="O19" s="11" t="str" cm="1">
        <f t="array" ref="O19">_xlfn.IFS(N19="FG2020US1", "Ibuprofen Tablets (100 MG)", N19="FG0001SEG", "Metformin Tablets (100 MG)", N19="FG0002SEG", "Metformin Tablets (200 MG)", N19="FG0003SEG", "Metformin Tablets (500 MG)", N19="FG00UDI4", "Aspirin Tablets (500 MG)")</f>
        <v>Ibuprofen Tablets (100 MG)</v>
      </c>
      <c r="P19" s="11">
        <v>4018</v>
      </c>
    </row>
    <row r="20" spans="1:16" x14ac:dyDescent="0.35">
      <c r="A20" s="11">
        <v>40000002519</v>
      </c>
      <c r="B20" s="18">
        <v>1010</v>
      </c>
      <c r="C20" s="19">
        <v>4</v>
      </c>
      <c r="D20" s="2" t="s">
        <v>46</v>
      </c>
      <c r="E20" s="6">
        <f t="shared" ref="E20" ca="1" si="22">E21</f>
        <v>45879</v>
      </c>
      <c r="F20" s="15">
        <f ca="1">TIME(RANDBETWEEN(12,22), RANDBETWEEN(0,59), RANDBETWEEN(0,59))</f>
        <v>0.72340277777777773</v>
      </c>
      <c r="G20" s="18" t="s">
        <v>17</v>
      </c>
      <c r="H20" s="55">
        <f t="shared" ca="1" si="1"/>
        <v>45879</v>
      </c>
      <c r="I20" s="20">
        <f t="shared" ca="1" si="2"/>
        <v>0.72340277777777773</v>
      </c>
      <c r="J20" s="55">
        <f t="shared" ca="1" si="3"/>
        <v>45879</v>
      </c>
      <c r="K20" s="20">
        <f t="shared" ca="1" si="4"/>
        <v>0.78714120370370366</v>
      </c>
      <c r="L20" s="19" t="s">
        <v>18</v>
      </c>
      <c r="M20" s="18">
        <v>1004529</v>
      </c>
      <c r="N20" s="49" t="s">
        <v>31</v>
      </c>
      <c r="O20" s="11" t="str" cm="1">
        <f t="array" ref="O20">_xlfn.IFS(N20="FG2020US1", "Ibuprofen Tablets (100 MG)", N20="FG0001SEG", "Metformin Tablets (100 MG)", N20="FG0002SEG", "Metformin Tablets (200 MG)", N20="FG0003SEG", "Metformin Tablets (500 MG)", N20="FG00UDI4", "Aspirin Tablets (500 MG)")</f>
        <v>Aspirin Tablets (500 MG)</v>
      </c>
      <c r="P20" s="11">
        <v>4019</v>
      </c>
    </row>
    <row r="21" spans="1:16" x14ac:dyDescent="0.35">
      <c r="A21" s="11">
        <v>40000002520</v>
      </c>
      <c r="B21" s="18">
        <v>1010</v>
      </c>
      <c r="C21" s="19">
        <v>4</v>
      </c>
      <c r="D21" s="2" t="s">
        <v>47</v>
      </c>
      <c r="E21" s="6">
        <f t="shared" ref="E21" ca="1" si="23">E22-1</f>
        <v>45879</v>
      </c>
      <c r="F21" s="15">
        <f ca="1">TIME(RANDBETWEEN(0,10), RANDBETWEEN(0,59), RANDBETWEEN(0,59))</f>
        <v>0.3782638888888889</v>
      </c>
      <c r="G21" s="18" t="s">
        <v>36</v>
      </c>
      <c r="H21" s="55">
        <f t="shared" ca="1" si="1"/>
        <v>45879</v>
      </c>
      <c r="I21" s="20">
        <f t="shared" ca="1" si="2"/>
        <v>0.3782638888888889</v>
      </c>
      <c r="J21" s="55">
        <f t="shared" ca="1" si="3"/>
        <v>45879</v>
      </c>
      <c r="K21" s="20">
        <f t="shared" ca="1" si="4"/>
        <v>0.45524305555555555</v>
      </c>
      <c r="L21" s="19" t="s">
        <v>18</v>
      </c>
      <c r="M21" s="18">
        <v>1004530</v>
      </c>
      <c r="N21" s="49" t="s">
        <v>19</v>
      </c>
      <c r="O21" s="11" t="str" cm="1">
        <f t="array" ref="O21">_xlfn.IFS(N21="FG2020US1", "Ibuprofen Tablets (100 MG)", N21="FG0001SEG", "Metformin Tablets (100 MG)", N21="FG0002SEG", "Metformin Tablets (200 MG)", N21="FG0003SEG", "Metformin Tablets (500 MG)", N21="FG00UDI4", "Aspirin Tablets (500 MG)")</f>
        <v>Metformin Tablets (100 MG)</v>
      </c>
      <c r="P21" s="11">
        <v>4020</v>
      </c>
    </row>
    <row r="22" spans="1:16" x14ac:dyDescent="0.35">
      <c r="A22" s="11">
        <v>40000002521</v>
      </c>
      <c r="B22" s="18">
        <v>1010</v>
      </c>
      <c r="C22" s="19">
        <v>4</v>
      </c>
      <c r="D22" s="2" t="s">
        <v>48</v>
      </c>
      <c r="E22" s="6">
        <f t="shared" ref="E22" ca="1" si="24">E23</f>
        <v>45880</v>
      </c>
      <c r="F22" s="15">
        <f ca="1">TIME(RANDBETWEEN(12,22), RANDBETWEEN(0,59), RANDBETWEEN(0,59))</f>
        <v>0.78569444444444447</v>
      </c>
      <c r="G22" s="18" t="s">
        <v>24</v>
      </c>
      <c r="H22" s="55">
        <f t="shared" ca="1" si="1"/>
        <v>45880</v>
      </c>
      <c r="I22" s="20">
        <f t="shared" ca="1" si="2"/>
        <v>0.78569444444444447</v>
      </c>
      <c r="J22" s="55">
        <f t="shared" ca="1" si="3"/>
        <v>45880</v>
      </c>
      <c r="K22" s="20">
        <f t="shared" ca="1" si="4"/>
        <v>0.85378472222222224</v>
      </c>
      <c r="L22" s="19" t="s">
        <v>18</v>
      </c>
      <c r="M22" s="18">
        <v>1004531</v>
      </c>
      <c r="N22" s="49" t="s">
        <v>22</v>
      </c>
      <c r="O22" s="11" t="str" cm="1">
        <f t="array" ref="O22">_xlfn.IFS(N22="FG2020US1", "Ibuprofen Tablets (100 MG)", N22="FG0001SEG", "Metformin Tablets (100 MG)", N22="FG0002SEG", "Metformin Tablets (200 MG)", N22="FG0003SEG", "Metformin Tablets (500 MG)", N22="FG00UDI4", "Aspirin Tablets (500 MG)")</f>
        <v>Ibuprofen Tablets (100 MG)</v>
      </c>
      <c r="P22" s="11">
        <v>4021</v>
      </c>
    </row>
    <row r="23" spans="1:16" x14ac:dyDescent="0.35">
      <c r="A23" s="11">
        <v>40000002522</v>
      </c>
      <c r="B23" s="18">
        <v>1010</v>
      </c>
      <c r="C23" s="19">
        <v>4</v>
      </c>
      <c r="D23" s="2" t="s">
        <v>49</v>
      </c>
      <c r="E23" s="6">
        <f t="shared" ref="E23" ca="1" si="25">E24-1</f>
        <v>45880</v>
      </c>
      <c r="F23" s="15">
        <f ca="1">TIME(RANDBETWEEN(0,10), RANDBETWEEN(0,59), RANDBETWEEN(0,59))</f>
        <v>0.39339120370370373</v>
      </c>
      <c r="G23" s="18" t="s">
        <v>21</v>
      </c>
      <c r="H23" s="55">
        <f t="shared" ca="1" si="1"/>
        <v>45880</v>
      </c>
      <c r="I23" s="20">
        <f t="shared" ca="1" si="2"/>
        <v>0.39339120370370373</v>
      </c>
      <c r="J23" s="55">
        <f t="shared" ca="1" si="3"/>
        <v>45880</v>
      </c>
      <c r="K23" s="20">
        <f t="shared" ca="1" si="4"/>
        <v>0.46545138888888893</v>
      </c>
      <c r="L23" s="19" t="s">
        <v>18</v>
      </c>
      <c r="M23" s="18">
        <v>1004532</v>
      </c>
      <c r="N23" s="49" t="s">
        <v>22</v>
      </c>
      <c r="O23" s="11" t="str" cm="1">
        <f t="array" ref="O23">_xlfn.IFS(N23="FG2020US1", "Ibuprofen Tablets (100 MG)", N23="FG0001SEG", "Metformin Tablets (100 MG)", N23="FG0002SEG", "Metformin Tablets (200 MG)", N23="FG0003SEG", "Metformin Tablets (500 MG)", N23="FG00UDI4", "Aspirin Tablets (500 MG)")</f>
        <v>Ibuprofen Tablets (100 MG)</v>
      </c>
      <c r="P23" s="11">
        <v>4022</v>
      </c>
    </row>
    <row r="24" spans="1:16" x14ac:dyDescent="0.35">
      <c r="A24" s="11">
        <v>40000002523</v>
      </c>
      <c r="B24" s="18">
        <v>1010</v>
      </c>
      <c r="C24" s="19">
        <v>4</v>
      </c>
      <c r="D24" s="2" t="s">
        <v>50</v>
      </c>
      <c r="E24" s="6">
        <f t="shared" ref="E24" ca="1" si="26">E25</f>
        <v>45881</v>
      </c>
      <c r="F24" s="15">
        <f ca="1">TIME(RANDBETWEEN(12,22), RANDBETWEEN(0,59), RANDBETWEEN(0,59))</f>
        <v>0.54584490740740743</v>
      </c>
      <c r="G24" s="18" t="s">
        <v>24</v>
      </c>
      <c r="H24" s="55">
        <f t="shared" ca="1" si="1"/>
        <v>45881</v>
      </c>
      <c r="I24" s="20">
        <f t="shared" ca="1" si="2"/>
        <v>0.54584490740740743</v>
      </c>
      <c r="J24" s="55">
        <f t="shared" ca="1" si="3"/>
        <v>45881</v>
      </c>
      <c r="K24" s="20">
        <f t="shared" ca="1" si="4"/>
        <v>0.60946759259259264</v>
      </c>
      <c r="L24" s="19" t="s">
        <v>18</v>
      </c>
      <c r="M24" s="18">
        <v>1004533</v>
      </c>
      <c r="N24" s="49" t="s">
        <v>27</v>
      </c>
      <c r="O24" s="11" t="str" cm="1">
        <f t="array" ref="O24">_xlfn.IFS(N24="FG2020US1", "Ibuprofen Tablets (100 MG)", N24="FG0001SEG", "Metformin Tablets (100 MG)", N24="FG0002SEG", "Metformin Tablets (200 MG)", N24="FG0003SEG", "Metformin Tablets (500 MG)", N24="FG00UDI4", "Aspirin Tablets (500 MG)")</f>
        <v>Metformin Tablets (500 MG)</v>
      </c>
      <c r="P24" s="11">
        <v>4023</v>
      </c>
    </row>
    <row r="25" spans="1:16" x14ac:dyDescent="0.35">
      <c r="A25" s="11">
        <v>40000002524</v>
      </c>
      <c r="B25" s="18">
        <v>1010</v>
      </c>
      <c r="C25" s="19">
        <v>4</v>
      </c>
      <c r="D25" s="2" t="s">
        <v>51</v>
      </c>
      <c r="E25" s="6">
        <f t="shared" ref="E25" ca="1" si="27">E26-1</f>
        <v>45881</v>
      </c>
      <c r="F25" s="15">
        <f ca="1">TIME(RANDBETWEEN(0,10), RANDBETWEEN(0,59), RANDBETWEEN(0,59))</f>
        <v>0.42277777777777775</v>
      </c>
      <c r="G25" s="18" t="s">
        <v>36</v>
      </c>
      <c r="H25" s="55">
        <f t="shared" ca="1" si="1"/>
        <v>45881</v>
      </c>
      <c r="I25" s="20">
        <f t="shared" ca="1" si="2"/>
        <v>0.42277777777777775</v>
      </c>
      <c r="J25" s="55">
        <f t="shared" ca="1" si="3"/>
        <v>45881</v>
      </c>
      <c r="K25" s="20">
        <f t="shared" ca="1" si="4"/>
        <v>0.48745370370370367</v>
      </c>
      <c r="L25" s="19" t="s">
        <v>18</v>
      </c>
      <c r="M25" s="18">
        <v>1004534</v>
      </c>
      <c r="N25" s="49" t="s">
        <v>27</v>
      </c>
      <c r="O25" s="11" t="str" cm="1">
        <f t="array" ref="O25">_xlfn.IFS(N25="FG2020US1", "Ibuprofen Tablets (100 MG)", N25="FG0001SEG", "Metformin Tablets (100 MG)", N25="FG0002SEG", "Metformin Tablets (200 MG)", N25="FG0003SEG", "Metformin Tablets (500 MG)", N25="FG00UDI4", "Aspirin Tablets (500 MG)")</f>
        <v>Metformin Tablets (500 MG)</v>
      </c>
      <c r="P25" s="11">
        <v>4024</v>
      </c>
    </row>
    <row r="26" spans="1:16" x14ac:dyDescent="0.35">
      <c r="A26" s="11">
        <v>40000002525</v>
      </c>
      <c r="B26" s="18">
        <v>1010</v>
      </c>
      <c r="C26" s="19">
        <v>4</v>
      </c>
      <c r="D26" s="2" t="s">
        <v>52</v>
      </c>
      <c r="E26" s="6">
        <f t="shared" ref="E26" ca="1" si="28">E27</f>
        <v>45882</v>
      </c>
      <c r="F26" s="15">
        <f ca="1">TIME(RANDBETWEEN(12,22), RANDBETWEEN(0,59), RANDBETWEEN(0,59))</f>
        <v>0.91469907407407403</v>
      </c>
      <c r="G26" s="18" t="s">
        <v>30</v>
      </c>
      <c r="H26" s="55">
        <f t="shared" ca="1" si="1"/>
        <v>45882</v>
      </c>
      <c r="I26" s="20">
        <f t="shared" ca="1" si="2"/>
        <v>0.91469907407407403</v>
      </c>
      <c r="J26" s="55">
        <f t="shared" ca="1" si="3"/>
        <v>45882</v>
      </c>
      <c r="K26" s="20">
        <f t="shared" ca="1" si="4"/>
        <v>0.9885300925925925</v>
      </c>
      <c r="L26" s="19" t="s">
        <v>18</v>
      </c>
      <c r="M26" s="18">
        <v>1004535</v>
      </c>
      <c r="N26" s="49" t="s">
        <v>22</v>
      </c>
      <c r="O26" s="11" t="str" cm="1">
        <f t="array" ref="O26">_xlfn.IFS(N26="FG2020US1", "Ibuprofen Tablets (100 MG)", N26="FG0001SEG", "Metformin Tablets (100 MG)", N26="FG0002SEG", "Metformin Tablets (200 MG)", N26="FG0003SEG", "Metformin Tablets (500 MG)", N26="FG00UDI4", "Aspirin Tablets (500 MG)")</f>
        <v>Ibuprofen Tablets (100 MG)</v>
      </c>
      <c r="P26" s="11">
        <v>4025</v>
      </c>
    </row>
    <row r="27" spans="1:16" x14ac:dyDescent="0.35">
      <c r="A27" s="11">
        <v>40000002526</v>
      </c>
      <c r="B27" s="18">
        <v>1010</v>
      </c>
      <c r="C27" s="19">
        <v>4</v>
      </c>
      <c r="D27" s="2" t="s">
        <v>53</v>
      </c>
      <c r="E27" s="6">
        <f t="shared" ref="E27" ca="1" si="29">E28-1</f>
        <v>45882</v>
      </c>
      <c r="F27" s="15">
        <f ca="1">TIME(RANDBETWEEN(0,10), RANDBETWEEN(0,59), RANDBETWEEN(0,59))</f>
        <v>0.1955324074074074</v>
      </c>
      <c r="G27" s="18" t="s">
        <v>39</v>
      </c>
      <c r="H27" s="55">
        <f t="shared" ca="1" si="1"/>
        <v>45882</v>
      </c>
      <c r="I27" s="20">
        <f t="shared" ca="1" si="2"/>
        <v>0.1955324074074074</v>
      </c>
      <c r="J27" s="55">
        <f t="shared" ca="1" si="3"/>
        <v>45882</v>
      </c>
      <c r="K27" s="20">
        <f t="shared" ca="1" si="4"/>
        <v>0.27128472222222222</v>
      </c>
      <c r="L27" s="19" t="s">
        <v>18</v>
      </c>
      <c r="M27" s="18">
        <v>1004536</v>
      </c>
      <c r="N27" s="49" t="s">
        <v>27</v>
      </c>
      <c r="O27" s="11" t="str" cm="1">
        <f t="array" ref="O27">_xlfn.IFS(N27="FG2020US1", "Ibuprofen Tablets (100 MG)", N27="FG0001SEG", "Metformin Tablets (100 MG)", N27="FG0002SEG", "Metformin Tablets (200 MG)", N27="FG0003SEG", "Metformin Tablets (500 MG)", N27="FG00UDI4", "Aspirin Tablets (500 MG)")</f>
        <v>Metformin Tablets (500 MG)</v>
      </c>
      <c r="P27" s="11">
        <v>4026</v>
      </c>
    </row>
    <row r="28" spans="1:16" x14ac:dyDescent="0.35">
      <c r="A28" s="11">
        <v>40000002527</v>
      </c>
      <c r="B28" s="18">
        <v>1010</v>
      </c>
      <c r="C28" s="19">
        <v>4</v>
      </c>
      <c r="D28" s="2" t="s">
        <v>54</v>
      </c>
      <c r="E28" s="6">
        <f t="shared" ref="E28" ca="1" si="30">E29</f>
        <v>45883</v>
      </c>
      <c r="F28" s="15">
        <f ca="1">TIME(RANDBETWEEN(12,22), RANDBETWEEN(0,59), RANDBETWEEN(0,59))</f>
        <v>0.77383101851851854</v>
      </c>
      <c r="G28" s="18" t="s">
        <v>17</v>
      </c>
      <c r="H28" s="55">
        <f t="shared" ca="1" si="1"/>
        <v>45883</v>
      </c>
      <c r="I28" s="20">
        <f t="shared" ca="1" si="2"/>
        <v>0.77383101851851854</v>
      </c>
      <c r="J28" s="55">
        <f t="shared" ca="1" si="3"/>
        <v>45883</v>
      </c>
      <c r="K28" s="20">
        <f t="shared" ca="1" si="4"/>
        <v>0.84259259259259256</v>
      </c>
      <c r="L28" s="19" t="s">
        <v>18</v>
      </c>
      <c r="M28" s="18">
        <v>1004537</v>
      </c>
      <c r="N28" s="49" t="s">
        <v>22</v>
      </c>
      <c r="O28" s="11" t="str" cm="1">
        <f t="array" ref="O28">_xlfn.IFS(N28="FG2020US1", "Ibuprofen Tablets (100 MG)", N28="FG0001SEG", "Metformin Tablets (100 MG)", N28="FG0002SEG", "Metformin Tablets (200 MG)", N28="FG0003SEG", "Metformin Tablets (500 MG)", N28="FG00UDI4", "Aspirin Tablets (500 MG)")</f>
        <v>Ibuprofen Tablets (100 MG)</v>
      </c>
      <c r="P28" s="11">
        <v>4027</v>
      </c>
    </row>
    <row r="29" spans="1:16" x14ac:dyDescent="0.35">
      <c r="A29" s="11">
        <v>40000002528</v>
      </c>
      <c r="B29" s="18">
        <v>1010</v>
      </c>
      <c r="C29" s="19">
        <v>4</v>
      </c>
      <c r="D29" s="2" t="s">
        <v>55</v>
      </c>
      <c r="E29" s="6">
        <f t="shared" ref="E29" ca="1" si="31">E30-1</f>
        <v>45883</v>
      </c>
      <c r="F29" s="15">
        <f ca="1">TIME(RANDBETWEEN(0,10), RANDBETWEEN(0,59), RANDBETWEEN(0,59))</f>
        <v>0.25623842592592594</v>
      </c>
      <c r="G29" s="18" t="s">
        <v>21</v>
      </c>
      <c r="H29" s="55">
        <f t="shared" ca="1" si="1"/>
        <v>45883</v>
      </c>
      <c r="I29" s="20">
        <f t="shared" ca="1" si="2"/>
        <v>0.25623842592592594</v>
      </c>
      <c r="J29" s="55">
        <f t="shared" ca="1" si="3"/>
        <v>45883</v>
      </c>
      <c r="K29" s="20">
        <f t="shared" ca="1" si="4"/>
        <v>0.3228125</v>
      </c>
      <c r="L29" s="19" t="s">
        <v>18</v>
      </c>
      <c r="M29" s="18">
        <v>1004538</v>
      </c>
      <c r="N29" s="49" t="s">
        <v>19</v>
      </c>
      <c r="O29" s="11" t="str" cm="1">
        <f t="array" ref="O29">_xlfn.IFS(N29="FG2020US1", "Ibuprofen Tablets (100 MG)", N29="FG0001SEG", "Metformin Tablets (100 MG)", N29="FG0002SEG", "Metformin Tablets (200 MG)", N29="FG0003SEG", "Metformin Tablets (500 MG)", N29="FG00UDI4", "Aspirin Tablets (500 MG)")</f>
        <v>Metformin Tablets (100 MG)</v>
      </c>
      <c r="P29" s="11">
        <v>4028</v>
      </c>
    </row>
    <row r="30" spans="1:16" x14ac:dyDescent="0.35">
      <c r="A30" s="11">
        <v>40000002529</v>
      </c>
      <c r="B30" s="18">
        <v>1010</v>
      </c>
      <c r="C30" s="19">
        <v>4</v>
      </c>
      <c r="D30" s="2" t="s">
        <v>56</v>
      </c>
      <c r="E30" s="6">
        <f t="shared" ref="E30" ca="1" si="32">E31</f>
        <v>45884</v>
      </c>
      <c r="F30" s="15">
        <f ca="1">TIME(RANDBETWEEN(12,22), RANDBETWEEN(0,59), RANDBETWEEN(0,59))</f>
        <v>0.53420138888888891</v>
      </c>
      <c r="G30" s="18" t="s">
        <v>30</v>
      </c>
      <c r="H30" s="55">
        <f t="shared" ca="1" si="1"/>
        <v>45884</v>
      </c>
      <c r="I30" s="20">
        <f t="shared" ca="1" si="2"/>
        <v>0.53420138888888891</v>
      </c>
      <c r="J30" s="55">
        <f t="shared" ca="1" si="3"/>
        <v>45884</v>
      </c>
      <c r="K30" s="20">
        <f t="shared" ca="1" si="4"/>
        <v>0.60662037037037042</v>
      </c>
      <c r="L30" s="19" t="s">
        <v>18</v>
      </c>
      <c r="M30" s="18">
        <v>1004539</v>
      </c>
      <c r="N30" s="49" t="s">
        <v>19</v>
      </c>
      <c r="O30" s="11" t="str" cm="1">
        <f t="array" ref="O30">_xlfn.IFS(N30="FG2020US1", "Ibuprofen Tablets (100 MG)", N30="FG0001SEG", "Metformin Tablets (100 MG)", N30="FG0002SEG", "Metformin Tablets (200 MG)", N30="FG0003SEG", "Metformin Tablets (500 MG)", N30="FG00UDI4", "Aspirin Tablets (500 MG)")</f>
        <v>Metformin Tablets (100 MG)</v>
      </c>
      <c r="P30" s="11">
        <v>4029</v>
      </c>
    </row>
    <row r="31" spans="1:16" x14ac:dyDescent="0.35">
      <c r="A31" s="11">
        <v>40000002530</v>
      </c>
      <c r="B31" s="18">
        <v>1010</v>
      </c>
      <c r="C31" s="19">
        <v>4</v>
      </c>
      <c r="D31" s="2" t="s">
        <v>57</v>
      </c>
      <c r="E31" s="6">
        <f t="shared" ref="E31" ca="1" si="33">E32-1</f>
        <v>45884</v>
      </c>
      <c r="F31" s="15">
        <f ca="1">TIME(RANDBETWEEN(0,10), RANDBETWEEN(0,59), RANDBETWEEN(0,59))</f>
        <v>0.28056712962962965</v>
      </c>
      <c r="G31" s="18" t="s">
        <v>36</v>
      </c>
      <c r="H31" s="55">
        <f t="shared" ca="1" si="1"/>
        <v>45884</v>
      </c>
      <c r="I31" s="20">
        <f t="shared" ca="1" si="2"/>
        <v>0.28056712962962965</v>
      </c>
      <c r="J31" s="55">
        <f t="shared" ca="1" si="3"/>
        <v>45884</v>
      </c>
      <c r="K31" s="20">
        <f t="shared" ca="1" si="4"/>
        <v>0.35686342592592596</v>
      </c>
      <c r="L31" s="19" t="s">
        <v>18</v>
      </c>
      <c r="M31" s="18">
        <v>1004540</v>
      </c>
      <c r="N31" s="49" t="s">
        <v>31</v>
      </c>
      <c r="O31" s="11" t="str" cm="1">
        <f t="array" ref="O31">_xlfn.IFS(N31="FG2020US1", "Ibuprofen Tablets (100 MG)", N31="FG0001SEG", "Metformin Tablets (100 MG)", N31="FG0002SEG", "Metformin Tablets (200 MG)", N31="FG0003SEG", "Metformin Tablets (500 MG)", N31="FG00UDI4", "Aspirin Tablets (500 MG)")</f>
        <v>Aspirin Tablets (500 MG)</v>
      </c>
      <c r="P31" s="11">
        <v>4030</v>
      </c>
    </row>
    <row r="32" spans="1:16" x14ac:dyDescent="0.35">
      <c r="A32" s="11">
        <v>40000002531</v>
      </c>
      <c r="B32" s="18">
        <v>1010</v>
      </c>
      <c r="C32" s="19">
        <v>4</v>
      </c>
      <c r="D32" s="2" t="s">
        <v>58</v>
      </c>
      <c r="E32" s="6">
        <f t="shared" ref="E32" ca="1" si="34">E33</f>
        <v>45885</v>
      </c>
      <c r="F32" s="15">
        <f ca="1">TIME(RANDBETWEEN(12,22), RANDBETWEEN(0,59), RANDBETWEEN(0,59))</f>
        <v>0.57795138888888886</v>
      </c>
      <c r="G32" s="18" t="s">
        <v>17</v>
      </c>
      <c r="H32" s="55">
        <f t="shared" ca="1" si="1"/>
        <v>45885</v>
      </c>
      <c r="I32" s="20">
        <f t="shared" ca="1" si="2"/>
        <v>0.57795138888888886</v>
      </c>
      <c r="J32" s="55">
        <f t="shared" ca="1" si="3"/>
        <v>45885</v>
      </c>
      <c r="K32" s="20">
        <f t="shared" ca="1" si="4"/>
        <v>0.65026620370370369</v>
      </c>
      <c r="L32" s="19" t="s">
        <v>18</v>
      </c>
      <c r="M32" s="18">
        <v>1004541</v>
      </c>
      <c r="N32" s="49" t="s">
        <v>34</v>
      </c>
      <c r="O32" s="11" t="str" cm="1">
        <f t="array" ref="O32">_xlfn.IFS(N32="FG2020US1", "Ibuprofen Tablets (100 MG)", N32="FG0001SEG", "Metformin Tablets (100 MG)", N32="FG0002SEG", "Metformin Tablets (200 MG)", N32="FG0003SEG", "Metformin Tablets (500 MG)", N32="FG00UDI4", "Aspirin Tablets (500 MG)")</f>
        <v>Metformin Tablets (200 MG)</v>
      </c>
      <c r="P32" s="11">
        <v>4031</v>
      </c>
    </row>
    <row r="33" spans="1:16" x14ac:dyDescent="0.35">
      <c r="A33" s="11">
        <v>40000002532</v>
      </c>
      <c r="B33" s="18">
        <v>1010</v>
      </c>
      <c r="C33" s="19">
        <v>4</v>
      </c>
      <c r="D33" s="2" t="s">
        <v>59</v>
      </c>
      <c r="E33" s="6">
        <f t="shared" ref="E33" ca="1" si="35">E34-1</f>
        <v>45885</v>
      </c>
      <c r="F33" s="15">
        <f ca="1">TIME(RANDBETWEEN(0,10), RANDBETWEEN(0,59), RANDBETWEEN(0,59))</f>
        <v>0.16503472222222224</v>
      </c>
      <c r="G33" s="18" t="s">
        <v>36</v>
      </c>
      <c r="H33" s="55">
        <f t="shared" ca="1" si="1"/>
        <v>45885</v>
      </c>
      <c r="I33" s="20">
        <f t="shared" ca="1" si="2"/>
        <v>0.16503472222222224</v>
      </c>
      <c r="J33" s="55">
        <f t="shared" ca="1" si="3"/>
        <v>45885</v>
      </c>
      <c r="K33" s="20">
        <f t="shared" ca="1" si="4"/>
        <v>0.22746527777777781</v>
      </c>
      <c r="L33" s="19" t="s">
        <v>18</v>
      </c>
      <c r="M33" s="18">
        <v>1004542</v>
      </c>
      <c r="N33" s="49" t="s">
        <v>34</v>
      </c>
      <c r="O33" s="11" t="str" cm="1">
        <f t="array" ref="O33">_xlfn.IFS(N33="FG2020US1", "Ibuprofen Tablets (100 MG)", N33="FG0001SEG", "Metformin Tablets (100 MG)", N33="FG0002SEG", "Metformin Tablets (200 MG)", N33="FG0003SEG", "Metformin Tablets (500 MG)", N33="FG00UDI4", "Aspirin Tablets (500 MG)")</f>
        <v>Metformin Tablets (200 MG)</v>
      </c>
      <c r="P33" s="11">
        <v>4032</v>
      </c>
    </row>
    <row r="34" spans="1:16" x14ac:dyDescent="0.35">
      <c r="A34" s="11">
        <v>40000002533</v>
      </c>
      <c r="B34" s="18">
        <v>1010</v>
      </c>
      <c r="C34" s="19">
        <v>4</v>
      </c>
      <c r="D34" s="2" t="s">
        <v>60</v>
      </c>
      <c r="E34" s="6">
        <f t="shared" ref="E34" ca="1" si="36">E35</f>
        <v>45886</v>
      </c>
      <c r="F34" s="15">
        <f ca="1">TIME(RANDBETWEEN(12,22), RANDBETWEEN(0,59), RANDBETWEEN(0,59))</f>
        <v>0.6206828703703704</v>
      </c>
      <c r="G34" s="18" t="s">
        <v>30</v>
      </c>
      <c r="H34" s="55">
        <f t="shared" ca="1" si="1"/>
        <v>45886</v>
      </c>
      <c r="I34" s="20">
        <f t="shared" ca="1" si="2"/>
        <v>0.6206828703703704</v>
      </c>
      <c r="J34" s="55">
        <f t="shared" ca="1" si="3"/>
        <v>45886</v>
      </c>
      <c r="K34" s="20">
        <f t="shared" ca="1" si="4"/>
        <v>0.68756944444444446</v>
      </c>
      <c r="L34" s="19" t="s">
        <v>18</v>
      </c>
      <c r="M34" s="18">
        <v>1004543</v>
      </c>
      <c r="N34" s="49" t="s">
        <v>27</v>
      </c>
      <c r="O34" s="11" t="str" cm="1">
        <f t="array" ref="O34">_xlfn.IFS(N34="FG2020US1", "Ibuprofen Tablets (100 MG)", N34="FG0001SEG", "Metformin Tablets (100 MG)", N34="FG0002SEG", "Metformin Tablets (200 MG)", N34="FG0003SEG", "Metformin Tablets (500 MG)", N34="FG00UDI4", "Aspirin Tablets (500 MG)")</f>
        <v>Metformin Tablets (500 MG)</v>
      </c>
      <c r="P34" s="11">
        <v>4033</v>
      </c>
    </row>
    <row r="35" spans="1:16" x14ac:dyDescent="0.35">
      <c r="A35" s="11">
        <v>40000002534</v>
      </c>
      <c r="B35" s="18">
        <v>1010</v>
      </c>
      <c r="C35" s="19">
        <v>4</v>
      </c>
      <c r="D35" s="2" t="s">
        <v>61</v>
      </c>
      <c r="E35" s="6">
        <f t="shared" ref="E35" ca="1" si="37">E36-1</f>
        <v>45886</v>
      </c>
      <c r="F35" s="15">
        <f ca="1">TIME(RANDBETWEEN(0,10), RANDBETWEEN(0,59), RANDBETWEEN(0,59))</f>
        <v>5.2638888888888888E-2</v>
      </c>
      <c r="G35" s="18" t="s">
        <v>21</v>
      </c>
      <c r="H35" s="55">
        <f t="shared" ca="1" si="1"/>
        <v>45886</v>
      </c>
      <c r="I35" s="20">
        <f t="shared" ca="1" si="2"/>
        <v>5.2638888888888888E-2</v>
      </c>
      <c r="J35" s="55">
        <f t="shared" ca="1" si="3"/>
        <v>45886</v>
      </c>
      <c r="K35" s="20">
        <f t="shared" ca="1" si="4"/>
        <v>0.12405092592592593</v>
      </c>
      <c r="L35" s="19" t="s">
        <v>18</v>
      </c>
      <c r="M35" s="18">
        <v>1004544</v>
      </c>
      <c r="N35" s="49" t="s">
        <v>34</v>
      </c>
      <c r="O35" s="11" t="str" cm="1">
        <f t="array" ref="O35">_xlfn.IFS(N35="FG2020US1", "Ibuprofen Tablets (100 MG)", N35="FG0001SEG", "Metformin Tablets (100 MG)", N35="FG0002SEG", "Metformin Tablets (200 MG)", N35="FG0003SEG", "Metformin Tablets (500 MG)", N35="FG00UDI4", "Aspirin Tablets (500 MG)")</f>
        <v>Metformin Tablets (200 MG)</v>
      </c>
      <c r="P35" s="11">
        <v>4034</v>
      </c>
    </row>
    <row r="36" spans="1:16" x14ac:dyDescent="0.35">
      <c r="A36" s="11">
        <v>40000002535</v>
      </c>
      <c r="B36" s="18">
        <v>1010</v>
      </c>
      <c r="C36" s="19">
        <v>4</v>
      </c>
      <c r="D36" s="2" t="s">
        <v>62</v>
      </c>
      <c r="E36" s="6">
        <f t="shared" ref="E36" ca="1" si="38">E37</f>
        <v>45887</v>
      </c>
      <c r="F36" s="15">
        <f ca="1">TIME(RANDBETWEEN(12,22), RANDBETWEEN(0,59), RANDBETWEEN(0,59))</f>
        <v>0.85609953703703701</v>
      </c>
      <c r="G36" s="18" t="s">
        <v>30</v>
      </c>
      <c r="H36" s="55">
        <f t="shared" ca="1" si="1"/>
        <v>45887</v>
      </c>
      <c r="I36" s="20">
        <f t="shared" ca="1" si="2"/>
        <v>0.85609953703703701</v>
      </c>
      <c r="J36" s="55">
        <f t="shared" ca="1" si="3"/>
        <v>45887</v>
      </c>
      <c r="K36" s="20">
        <f t="shared" ca="1" si="4"/>
        <v>0.91865740740740742</v>
      </c>
      <c r="L36" s="19" t="s">
        <v>18</v>
      </c>
      <c r="M36" s="18">
        <v>1004545</v>
      </c>
      <c r="N36" s="49" t="s">
        <v>19</v>
      </c>
      <c r="O36" s="11" t="str" cm="1">
        <f t="array" ref="O36">_xlfn.IFS(N36="FG2020US1", "Ibuprofen Tablets (100 MG)", N36="FG0001SEG", "Metformin Tablets (100 MG)", N36="FG0002SEG", "Metformin Tablets (200 MG)", N36="FG0003SEG", "Metformin Tablets (500 MG)", N36="FG00UDI4", "Aspirin Tablets (500 MG)")</f>
        <v>Metformin Tablets (100 MG)</v>
      </c>
      <c r="P36" s="11">
        <v>4035</v>
      </c>
    </row>
    <row r="37" spans="1:16" x14ac:dyDescent="0.35">
      <c r="A37" s="11">
        <v>40000002536</v>
      </c>
      <c r="B37" s="18">
        <v>1010</v>
      </c>
      <c r="C37" s="19">
        <v>4</v>
      </c>
      <c r="D37" s="2" t="s">
        <v>63</v>
      </c>
      <c r="E37" s="6">
        <f t="shared" ref="E37" ca="1" si="39">E38-1</f>
        <v>45887</v>
      </c>
      <c r="F37" s="15">
        <f ca="1">TIME(RANDBETWEEN(0,10), RANDBETWEEN(0,59), RANDBETWEEN(0,59))</f>
        <v>0.22001157407407407</v>
      </c>
      <c r="G37" s="18" t="s">
        <v>39</v>
      </c>
      <c r="H37" s="55">
        <f t="shared" ca="1" si="1"/>
        <v>45887</v>
      </c>
      <c r="I37" s="20">
        <f t="shared" ca="1" si="2"/>
        <v>0.22001157407407407</v>
      </c>
      <c r="J37" s="55">
        <f t="shared" ca="1" si="3"/>
        <v>45887</v>
      </c>
      <c r="K37" s="20">
        <f t="shared" ca="1" si="4"/>
        <v>0.29577546296296298</v>
      </c>
      <c r="L37" s="19" t="s">
        <v>18</v>
      </c>
      <c r="M37" s="18">
        <v>1004546</v>
      </c>
      <c r="N37" s="49" t="s">
        <v>27</v>
      </c>
      <c r="O37" s="11" t="str" cm="1">
        <f t="array" ref="O37">_xlfn.IFS(N37="FG2020US1", "Ibuprofen Tablets (100 MG)", N37="FG0001SEG", "Metformin Tablets (100 MG)", N37="FG0002SEG", "Metformin Tablets (200 MG)", N37="FG0003SEG", "Metformin Tablets (500 MG)", N37="FG00UDI4", "Aspirin Tablets (500 MG)")</f>
        <v>Metformin Tablets (500 MG)</v>
      </c>
      <c r="P37" s="11">
        <v>4036</v>
      </c>
    </row>
    <row r="38" spans="1:16" x14ac:dyDescent="0.35">
      <c r="A38" s="11">
        <v>40000002537</v>
      </c>
      <c r="B38" s="18">
        <v>1010</v>
      </c>
      <c r="C38" s="19">
        <v>4</v>
      </c>
      <c r="D38" s="2" t="s">
        <v>64</v>
      </c>
      <c r="E38" s="6">
        <f t="shared" ref="E38" ca="1" si="40">E39</f>
        <v>45888</v>
      </c>
      <c r="F38" s="15">
        <f ca="1">TIME(RANDBETWEEN(12,22), RANDBETWEEN(0,59), RANDBETWEEN(0,59))</f>
        <v>0.74059027777777775</v>
      </c>
      <c r="G38" s="18" t="s">
        <v>17</v>
      </c>
      <c r="H38" s="55">
        <f t="shared" ca="1" si="1"/>
        <v>45888</v>
      </c>
      <c r="I38" s="20">
        <f t="shared" ca="1" si="2"/>
        <v>0.74059027777777775</v>
      </c>
      <c r="J38" s="55">
        <f t="shared" ca="1" si="3"/>
        <v>45888</v>
      </c>
      <c r="K38" s="20">
        <f t="shared" ca="1" si="4"/>
        <v>0.81429398148148147</v>
      </c>
      <c r="L38" s="19" t="s">
        <v>18</v>
      </c>
      <c r="M38" s="18">
        <v>1004547</v>
      </c>
      <c r="N38" s="49" t="s">
        <v>22</v>
      </c>
      <c r="O38" s="11" t="str" cm="1">
        <f t="array" ref="O38">_xlfn.IFS(N38="FG2020US1", "Ibuprofen Tablets (100 MG)", N38="FG0001SEG", "Metformin Tablets (100 MG)", N38="FG0002SEG", "Metformin Tablets (200 MG)", N38="FG0003SEG", "Metformin Tablets (500 MG)", N38="FG00UDI4", "Aspirin Tablets (500 MG)")</f>
        <v>Ibuprofen Tablets (100 MG)</v>
      </c>
      <c r="P38" s="11">
        <v>4037</v>
      </c>
    </row>
    <row r="39" spans="1:16" x14ac:dyDescent="0.35">
      <c r="A39" s="11">
        <v>40000002538</v>
      </c>
      <c r="B39" s="18">
        <v>1010</v>
      </c>
      <c r="C39" s="19">
        <v>4</v>
      </c>
      <c r="D39" s="2" t="s">
        <v>65</v>
      </c>
      <c r="E39" s="6">
        <f t="shared" ref="E39" ca="1" si="41">E40-1</f>
        <v>45888</v>
      </c>
      <c r="F39" s="15">
        <f ca="1">TIME(RANDBETWEEN(0,10), RANDBETWEEN(0,59), RANDBETWEEN(0,59))</f>
        <v>3.6307870370370372E-2</v>
      </c>
      <c r="G39" s="18" t="s">
        <v>36</v>
      </c>
      <c r="H39" s="55">
        <f t="shared" ca="1" si="1"/>
        <v>45888</v>
      </c>
      <c r="I39" s="20">
        <f t="shared" ca="1" si="2"/>
        <v>3.6307870370370372E-2</v>
      </c>
      <c r="J39" s="55">
        <f t="shared" ca="1" si="3"/>
        <v>45888</v>
      </c>
      <c r="K39" s="20">
        <f t="shared" ca="1" si="4"/>
        <v>0.10803240740740741</v>
      </c>
      <c r="L39" s="19" t="s">
        <v>18</v>
      </c>
      <c r="M39" s="18">
        <v>1004548</v>
      </c>
      <c r="N39" s="49" t="s">
        <v>31</v>
      </c>
      <c r="O39" s="11" t="str" cm="1">
        <f t="array" ref="O39">_xlfn.IFS(N39="FG2020US1", "Ibuprofen Tablets (100 MG)", N39="FG0001SEG", "Metformin Tablets (100 MG)", N39="FG0002SEG", "Metformin Tablets (200 MG)", N39="FG0003SEG", "Metformin Tablets (500 MG)", N39="FG00UDI4", "Aspirin Tablets (500 MG)")</f>
        <v>Aspirin Tablets (500 MG)</v>
      </c>
      <c r="P39" s="11">
        <v>4038</v>
      </c>
    </row>
    <row r="40" spans="1:16" x14ac:dyDescent="0.35">
      <c r="A40" s="11">
        <v>40000002539</v>
      </c>
      <c r="B40" s="18">
        <v>1010</v>
      </c>
      <c r="C40" s="19">
        <v>4</v>
      </c>
      <c r="D40" s="2" t="s">
        <v>66</v>
      </c>
      <c r="E40" s="6">
        <f t="shared" ref="E40" ca="1" si="42">E41</f>
        <v>45889</v>
      </c>
      <c r="F40" s="15">
        <f ca="1">TIME(RANDBETWEEN(12,22), RANDBETWEEN(0,59), RANDBETWEEN(0,59))</f>
        <v>0.62072916666666667</v>
      </c>
      <c r="G40" s="18" t="s">
        <v>24</v>
      </c>
      <c r="H40" s="55">
        <f t="shared" ca="1" si="1"/>
        <v>45889</v>
      </c>
      <c r="I40" s="20">
        <f t="shared" ca="1" si="2"/>
        <v>0.62072916666666667</v>
      </c>
      <c r="J40" s="55">
        <f t="shared" ca="1" si="3"/>
        <v>45889</v>
      </c>
      <c r="K40" s="20">
        <f t="shared" ca="1" si="4"/>
        <v>0.68393518518518515</v>
      </c>
      <c r="L40" s="19" t="s">
        <v>18</v>
      </c>
      <c r="M40" s="18">
        <v>1004549</v>
      </c>
      <c r="N40" s="49" t="s">
        <v>22</v>
      </c>
      <c r="O40" s="11" t="str" cm="1">
        <f t="array" ref="O40">_xlfn.IFS(N40="FG2020US1", "Ibuprofen Tablets (100 MG)", N40="FG0001SEG", "Metformin Tablets (100 MG)", N40="FG0002SEG", "Metformin Tablets (200 MG)", N40="FG0003SEG", "Metformin Tablets (500 MG)", N40="FG00UDI4", "Aspirin Tablets (500 MG)")</f>
        <v>Ibuprofen Tablets (100 MG)</v>
      </c>
      <c r="P40" s="11">
        <v>4039</v>
      </c>
    </row>
    <row r="41" spans="1:16" x14ac:dyDescent="0.35">
      <c r="A41" s="11">
        <v>40000002540</v>
      </c>
      <c r="B41" s="18">
        <v>1010</v>
      </c>
      <c r="C41" s="19">
        <v>4</v>
      </c>
      <c r="D41" s="2" t="s">
        <v>67</v>
      </c>
      <c r="E41" s="6">
        <f t="shared" ref="E41" ca="1" si="43">E42-1</f>
        <v>45889</v>
      </c>
      <c r="F41" s="15">
        <f ca="1">TIME(RANDBETWEEN(0,10), RANDBETWEEN(0,59), RANDBETWEEN(0,59))</f>
        <v>0.34909722222222223</v>
      </c>
      <c r="G41" s="18" t="s">
        <v>36</v>
      </c>
      <c r="H41" s="55">
        <f t="shared" ca="1" si="1"/>
        <v>45889</v>
      </c>
      <c r="I41" s="20">
        <f t="shared" ca="1" si="2"/>
        <v>0.34909722222222223</v>
      </c>
      <c r="J41" s="55">
        <f t="shared" ca="1" si="3"/>
        <v>45889</v>
      </c>
      <c r="K41" s="20">
        <f t="shared" ca="1" si="4"/>
        <v>0.41318287037037038</v>
      </c>
      <c r="L41" s="19" t="s">
        <v>18</v>
      </c>
      <c r="M41" s="18">
        <v>1004550</v>
      </c>
      <c r="N41" s="49" t="s">
        <v>34</v>
      </c>
      <c r="O41" s="11" t="str" cm="1">
        <f t="array" ref="O41">_xlfn.IFS(N41="FG2020US1", "Ibuprofen Tablets (100 MG)", N41="FG0001SEG", "Metformin Tablets (100 MG)", N41="FG0002SEG", "Metformin Tablets (200 MG)", N41="FG0003SEG", "Metformin Tablets (500 MG)", N41="FG00UDI4", "Aspirin Tablets (500 MG)")</f>
        <v>Metformin Tablets (200 MG)</v>
      </c>
      <c r="P41" s="11">
        <v>4040</v>
      </c>
    </row>
    <row r="42" spans="1:16" x14ac:dyDescent="0.35">
      <c r="A42" s="11">
        <v>40000002541</v>
      </c>
      <c r="B42" s="18">
        <v>1010</v>
      </c>
      <c r="C42" s="19">
        <v>4</v>
      </c>
      <c r="D42" s="2" t="s">
        <v>68</v>
      </c>
      <c r="E42" s="6">
        <f t="shared" ref="E42" ca="1" si="44">E43</f>
        <v>45890</v>
      </c>
      <c r="F42" s="15">
        <f ca="1">TIME(RANDBETWEEN(12,22), RANDBETWEEN(0,59), RANDBETWEEN(0,59))</f>
        <v>0.51862268518518517</v>
      </c>
      <c r="G42" s="18" t="s">
        <v>24</v>
      </c>
      <c r="H42" s="55">
        <f t="shared" ca="1" si="1"/>
        <v>45890</v>
      </c>
      <c r="I42" s="20">
        <f t="shared" ca="1" si="2"/>
        <v>0.51862268518518517</v>
      </c>
      <c r="J42" s="55">
        <f t="shared" ca="1" si="3"/>
        <v>45890</v>
      </c>
      <c r="K42" s="20">
        <f t="shared" ca="1" si="4"/>
        <v>0.58861111111111108</v>
      </c>
      <c r="L42" s="19" t="s">
        <v>18</v>
      </c>
      <c r="M42" s="18">
        <v>1004551</v>
      </c>
      <c r="N42" s="49" t="s">
        <v>19</v>
      </c>
      <c r="O42" s="11" t="str" cm="1">
        <f t="array" ref="O42">_xlfn.IFS(N42="FG2020US1", "Ibuprofen Tablets (100 MG)", N42="FG0001SEG", "Metformin Tablets (100 MG)", N42="FG0002SEG", "Metformin Tablets (200 MG)", N42="FG0003SEG", "Metformin Tablets (500 MG)", N42="FG00UDI4", "Aspirin Tablets (500 MG)")</f>
        <v>Metformin Tablets (100 MG)</v>
      </c>
      <c r="P42" s="11">
        <v>4041</v>
      </c>
    </row>
    <row r="43" spans="1:16" x14ac:dyDescent="0.35">
      <c r="A43" s="11">
        <v>40000002542</v>
      </c>
      <c r="B43" s="18">
        <v>1010</v>
      </c>
      <c r="C43" s="19">
        <v>4</v>
      </c>
      <c r="D43" s="2" t="s">
        <v>69</v>
      </c>
      <c r="E43" s="6">
        <f t="shared" ref="E43" ca="1" si="45">E44-1</f>
        <v>45890</v>
      </c>
      <c r="F43" s="15">
        <f ca="1">TIME(RANDBETWEEN(0,10), RANDBETWEEN(0,59), RANDBETWEEN(0,59))</f>
        <v>9.0405092592592592E-2</v>
      </c>
      <c r="G43" s="18" t="s">
        <v>39</v>
      </c>
      <c r="H43" s="55">
        <f t="shared" ca="1" si="1"/>
        <v>45890</v>
      </c>
      <c r="I43" s="20">
        <f t="shared" ca="1" si="2"/>
        <v>9.0405092592592592E-2</v>
      </c>
      <c r="J43" s="55">
        <f t="shared" ca="1" si="3"/>
        <v>45890</v>
      </c>
      <c r="K43" s="20">
        <f t="shared" ca="1" si="4"/>
        <v>0.15392361111111111</v>
      </c>
      <c r="L43" s="19" t="s">
        <v>18</v>
      </c>
      <c r="M43" s="18">
        <v>1004552</v>
      </c>
      <c r="N43" s="49" t="s">
        <v>27</v>
      </c>
      <c r="O43" s="11" t="str" cm="1">
        <f t="array" ref="O43">_xlfn.IFS(N43="FG2020US1", "Ibuprofen Tablets (100 MG)", N43="FG0001SEG", "Metformin Tablets (100 MG)", N43="FG0002SEG", "Metformin Tablets (200 MG)", N43="FG0003SEG", "Metformin Tablets (500 MG)", N43="FG00UDI4", "Aspirin Tablets (500 MG)")</f>
        <v>Metformin Tablets (500 MG)</v>
      </c>
      <c r="P43" s="11">
        <v>4042</v>
      </c>
    </row>
    <row r="44" spans="1:16" x14ac:dyDescent="0.35">
      <c r="A44" s="11">
        <v>40000002543</v>
      </c>
      <c r="B44" s="18">
        <v>1010</v>
      </c>
      <c r="C44" s="19">
        <v>4</v>
      </c>
      <c r="D44" s="2" t="s">
        <v>70</v>
      </c>
      <c r="E44" s="6">
        <f t="shared" ref="E44" ca="1" si="46">E45</f>
        <v>45891</v>
      </c>
      <c r="F44" s="15">
        <f ca="1">TIME(RANDBETWEEN(12,22), RANDBETWEEN(0,59), RANDBETWEEN(0,59))</f>
        <v>0.5753935185185185</v>
      </c>
      <c r="G44" s="18" t="s">
        <v>17</v>
      </c>
      <c r="H44" s="55">
        <f t="shared" ca="1" si="1"/>
        <v>45891</v>
      </c>
      <c r="I44" s="20">
        <f t="shared" ca="1" si="2"/>
        <v>0.5753935185185185</v>
      </c>
      <c r="J44" s="55">
        <f t="shared" ca="1" si="3"/>
        <v>45891</v>
      </c>
      <c r="K44" s="20">
        <f t="shared" ca="1" si="4"/>
        <v>0.65093749999999995</v>
      </c>
      <c r="L44" s="19" t="s">
        <v>18</v>
      </c>
      <c r="M44" s="18">
        <v>1004553</v>
      </c>
      <c r="N44" s="49" t="s">
        <v>19</v>
      </c>
      <c r="O44" s="11" t="str" cm="1">
        <f t="array" ref="O44">_xlfn.IFS(N44="FG2020US1", "Ibuprofen Tablets (100 MG)", N44="FG0001SEG", "Metformin Tablets (100 MG)", N44="FG0002SEG", "Metformin Tablets (200 MG)", N44="FG0003SEG", "Metformin Tablets (500 MG)", N44="FG00UDI4", "Aspirin Tablets (500 MG)")</f>
        <v>Metformin Tablets (100 MG)</v>
      </c>
      <c r="P44" s="11">
        <v>4043</v>
      </c>
    </row>
    <row r="45" spans="1:16" x14ac:dyDescent="0.35">
      <c r="A45" s="11">
        <v>40000002544</v>
      </c>
      <c r="B45" s="18">
        <v>1010</v>
      </c>
      <c r="C45" s="19">
        <v>4</v>
      </c>
      <c r="D45" s="2" t="s">
        <v>71</v>
      </c>
      <c r="E45" s="6">
        <f t="shared" ref="E45" ca="1" si="47">E46-1</f>
        <v>45891</v>
      </c>
      <c r="F45" s="15">
        <f ca="1">TIME(RANDBETWEEN(0,10), RANDBETWEEN(0,59), RANDBETWEEN(0,59))</f>
        <v>0.29206018518518517</v>
      </c>
      <c r="G45" s="18" t="s">
        <v>36</v>
      </c>
      <c r="H45" s="55">
        <f t="shared" ca="1" si="1"/>
        <v>45891</v>
      </c>
      <c r="I45" s="20">
        <f t="shared" ca="1" si="2"/>
        <v>0.29206018518518517</v>
      </c>
      <c r="J45" s="55">
        <f t="shared" ca="1" si="3"/>
        <v>45891</v>
      </c>
      <c r="K45" s="20">
        <f t="shared" ca="1" si="4"/>
        <v>0.35613425925925923</v>
      </c>
      <c r="L45" s="19" t="s">
        <v>18</v>
      </c>
      <c r="M45" s="18">
        <v>1004554</v>
      </c>
      <c r="N45" s="49" t="s">
        <v>22</v>
      </c>
      <c r="O45" s="11" t="str" cm="1">
        <f t="array" ref="O45">_xlfn.IFS(N45="FG2020US1", "Ibuprofen Tablets (100 MG)", N45="FG0001SEG", "Metformin Tablets (100 MG)", N45="FG0002SEG", "Metformin Tablets (200 MG)", N45="FG0003SEG", "Metformin Tablets (500 MG)", N45="FG00UDI4", "Aspirin Tablets (500 MG)")</f>
        <v>Ibuprofen Tablets (100 MG)</v>
      </c>
      <c r="P45" s="11">
        <v>4044</v>
      </c>
    </row>
    <row r="46" spans="1:16" x14ac:dyDescent="0.35">
      <c r="A46" s="11">
        <v>40000002545</v>
      </c>
      <c r="B46" s="18">
        <v>1010</v>
      </c>
      <c r="C46" s="19">
        <v>4</v>
      </c>
      <c r="D46" s="2" t="s">
        <v>72</v>
      </c>
      <c r="E46" s="6">
        <f t="shared" ref="E46" ca="1" si="48">E47</f>
        <v>45892</v>
      </c>
      <c r="F46" s="15">
        <f ca="1">TIME(RANDBETWEEN(12,22), RANDBETWEEN(0,59), RANDBETWEEN(0,59))</f>
        <v>0.54116898148148151</v>
      </c>
      <c r="G46" s="18" t="s">
        <v>17</v>
      </c>
      <c r="H46" s="55">
        <f t="shared" ca="1" si="1"/>
        <v>45892</v>
      </c>
      <c r="I46" s="20">
        <f t="shared" ca="1" si="2"/>
        <v>0.54116898148148151</v>
      </c>
      <c r="J46" s="55">
        <f t="shared" ca="1" si="3"/>
        <v>45892</v>
      </c>
      <c r="K46" s="20">
        <f t="shared" ca="1" si="4"/>
        <v>0.60099537037037043</v>
      </c>
      <c r="L46" s="19" t="s">
        <v>18</v>
      </c>
      <c r="M46" s="18">
        <v>1004555</v>
      </c>
      <c r="N46" s="49" t="s">
        <v>34</v>
      </c>
      <c r="O46" s="11" t="str" cm="1">
        <f t="array" ref="O46">_xlfn.IFS(N46="FG2020US1", "Ibuprofen Tablets (100 MG)", N46="FG0001SEG", "Metformin Tablets (100 MG)", N46="FG0002SEG", "Metformin Tablets (200 MG)", N46="FG0003SEG", "Metformin Tablets (500 MG)", N46="FG00UDI4", "Aspirin Tablets (500 MG)")</f>
        <v>Metformin Tablets (200 MG)</v>
      </c>
      <c r="P46" s="11">
        <v>4045</v>
      </c>
    </row>
    <row r="47" spans="1:16" x14ac:dyDescent="0.35">
      <c r="A47" s="11">
        <v>40000002546</v>
      </c>
      <c r="B47" s="18">
        <v>1010</v>
      </c>
      <c r="C47" s="19">
        <v>4</v>
      </c>
      <c r="D47" s="2" t="s">
        <v>73</v>
      </c>
      <c r="E47" s="6">
        <f t="shared" ref="E47" ca="1" si="49">E48-1</f>
        <v>45892</v>
      </c>
      <c r="F47" s="15">
        <f ca="1">TIME(RANDBETWEEN(0,10), RANDBETWEEN(0,59), RANDBETWEEN(0,59))</f>
        <v>3.9027777777777779E-2</v>
      </c>
      <c r="G47" s="18" t="s">
        <v>21</v>
      </c>
      <c r="H47" s="55">
        <f t="shared" ca="1" si="1"/>
        <v>45892</v>
      </c>
      <c r="I47" s="20">
        <f t="shared" ca="1" si="2"/>
        <v>3.9027777777777779E-2</v>
      </c>
      <c r="J47" s="55">
        <f t="shared" ca="1" si="3"/>
        <v>45892</v>
      </c>
      <c r="K47" s="20">
        <f t="shared" ca="1" si="4"/>
        <v>0.10869212962962962</v>
      </c>
      <c r="L47" s="19" t="s">
        <v>18</v>
      </c>
      <c r="M47" s="18">
        <v>1004556</v>
      </c>
      <c r="N47" s="49" t="s">
        <v>27</v>
      </c>
      <c r="O47" s="11" t="str" cm="1">
        <f t="array" ref="O47">_xlfn.IFS(N47="FG2020US1", "Ibuprofen Tablets (100 MG)", N47="FG0001SEG", "Metformin Tablets (100 MG)", N47="FG0002SEG", "Metformin Tablets (200 MG)", N47="FG0003SEG", "Metformin Tablets (500 MG)", N47="FG00UDI4", "Aspirin Tablets (500 MG)")</f>
        <v>Metformin Tablets (500 MG)</v>
      </c>
      <c r="P47" s="11">
        <v>4046</v>
      </c>
    </row>
    <row r="48" spans="1:16" x14ac:dyDescent="0.35">
      <c r="A48" s="11">
        <v>40000002547</v>
      </c>
      <c r="B48" s="18">
        <v>1010</v>
      </c>
      <c r="C48" s="19">
        <v>4</v>
      </c>
      <c r="D48" s="2" t="s">
        <v>74</v>
      </c>
      <c r="E48" s="6">
        <f t="shared" ref="E48" ca="1" si="50">E49</f>
        <v>45893</v>
      </c>
      <c r="F48" s="15">
        <f ca="1">TIME(RANDBETWEEN(12,22), RANDBETWEEN(0,59), RANDBETWEEN(0,59))</f>
        <v>0.77115740740740746</v>
      </c>
      <c r="G48" s="18" t="s">
        <v>30</v>
      </c>
      <c r="H48" s="55">
        <f t="shared" ca="1" si="1"/>
        <v>45893</v>
      </c>
      <c r="I48" s="20">
        <f t="shared" ca="1" si="2"/>
        <v>0.77115740740740746</v>
      </c>
      <c r="J48" s="55">
        <f t="shared" ca="1" si="3"/>
        <v>45893</v>
      </c>
      <c r="K48" s="20">
        <f t="shared" ca="1" si="4"/>
        <v>0.84675925925925932</v>
      </c>
      <c r="L48" s="19" t="s">
        <v>18</v>
      </c>
      <c r="M48" s="18">
        <v>1004557</v>
      </c>
      <c r="N48" s="49" t="s">
        <v>31</v>
      </c>
      <c r="O48" s="11" t="str" cm="1">
        <f t="array" ref="O48">_xlfn.IFS(N48="FG2020US1", "Ibuprofen Tablets (100 MG)", N48="FG0001SEG", "Metformin Tablets (100 MG)", N48="FG0002SEG", "Metformin Tablets (200 MG)", N48="FG0003SEG", "Metformin Tablets (500 MG)", N48="FG00UDI4", "Aspirin Tablets (500 MG)")</f>
        <v>Aspirin Tablets (500 MG)</v>
      </c>
      <c r="P48" s="11">
        <v>4047</v>
      </c>
    </row>
    <row r="49" spans="1:16" x14ac:dyDescent="0.35">
      <c r="A49" s="11">
        <v>40000002548</v>
      </c>
      <c r="B49" s="18">
        <v>1010</v>
      </c>
      <c r="C49" s="19">
        <v>4</v>
      </c>
      <c r="D49" s="2" t="s">
        <v>75</v>
      </c>
      <c r="E49" s="6">
        <f t="shared" ref="E49" ca="1" si="51">E50-1</f>
        <v>45893</v>
      </c>
      <c r="F49" s="15">
        <f ca="1">TIME(RANDBETWEEN(0,10), RANDBETWEEN(0,59), RANDBETWEEN(0,59))</f>
        <v>0.20364583333333333</v>
      </c>
      <c r="G49" s="18" t="s">
        <v>36</v>
      </c>
      <c r="H49" s="55">
        <f t="shared" ca="1" si="1"/>
        <v>45893</v>
      </c>
      <c r="I49" s="20">
        <f t="shared" ca="1" si="2"/>
        <v>0.20364583333333333</v>
      </c>
      <c r="J49" s="55">
        <f t="shared" ca="1" si="3"/>
        <v>45893</v>
      </c>
      <c r="K49" s="20">
        <f t="shared" ca="1" si="4"/>
        <v>0.26381944444444444</v>
      </c>
      <c r="L49" s="19" t="s">
        <v>18</v>
      </c>
      <c r="M49" s="18">
        <v>1004558</v>
      </c>
      <c r="N49" s="49" t="s">
        <v>22</v>
      </c>
      <c r="O49" s="11" t="str" cm="1">
        <f t="array" ref="O49">_xlfn.IFS(N49="FG2020US1", "Ibuprofen Tablets (100 MG)", N49="FG0001SEG", "Metformin Tablets (100 MG)", N49="FG0002SEG", "Metformin Tablets (200 MG)", N49="FG0003SEG", "Metformin Tablets (500 MG)", N49="FG00UDI4", "Aspirin Tablets (500 MG)")</f>
        <v>Ibuprofen Tablets (100 MG)</v>
      </c>
      <c r="P49" s="11">
        <v>4048</v>
      </c>
    </row>
    <row r="50" spans="1:16" x14ac:dyDescent="0.35">
      <c r="A50" s="11">
        <v>40000002549</v>
      </c>
      <c r="B50" s="18">
        <v>1010</v>
      </c>
      <c r="C50" s="19">
        <v>4</v>
      </c>
      <c r="D50" s="2" t="s">
        <v>76</v>
      </c>
      <c r="E50" s="6">
        <f t="shared" ref="E50" ca="1" si="52">E51</f>
        <v>45894</v>
      </c>
      <c r="F50" s="15">
        <f ca="1">TIME(RANDBETWEEN(12,22), RANDBETWEEN(0,59), RANDBETWEEN(0,59))</f>
        <v>0.80862268518518521</v>
      </c>
      <c r="G50" s="18" t="s">
        <v>17</v>
      </c>
      <c r="H50" s="55">
        <f t="shared" ca="1" si="1"/>
        <v>45894</v>
      </c>
      <c r="I50" s="20">
        <f t="shared" ca="1" si="2"/>
        <v>0.80862268518518521</v>
      </c>
      <c r="J50" s="55">
        <f t="shared" ca="1" si="3"/>
        <v>45894</v>
      </c>
      <c r="K50" s="20">
        <f t="shared" ca="1" si="4"/>
        <v>0.87067129629629636</v>
      </c>
      <c r="L50" s="19" t="s">
        <v>18</v>
      </c>
      <c r="M50" s="18">
        <v>1004559</v>
      </c>
      <c r="N50" s="49" t="s">
        <v>34</v>
      </c>
      <c r="O50" s="11" t="str" cm="1">
        <f t="array" ref="O50">_xlfn.IFS(N50="FG2020US1", "Ibuprofen Tablets (100 MG)", N50="FG0001SEG", "Metformin Tablets (100 MG)", N50="FG0002SEG", "Metformin Tablets (200 MG)", N50="FG0003SEG", "Metformin Tablets (500 MG)", N50="FG00UDI4", "Aspirin Tablets (500 MG)")</f>
        <v>Metformin Tablets (200 MG)</v>
      </c>
      <c r="P50" s="11">
        <v>4049</v>
      </c>
    </row>
    <row r="51" spans="1:16" x14ac:dyDescent="0.35">
      <c r="A51" s="11">
        <v>40000002550</v>
      </c>
      <c r="B51" s="18">
        <v>1010</v>
      </c>
      <c r="C51" s="19">
        <v>4</v>
      </c>
      <c r="D51" s="2" t="s">
        <v>77</v>
      </c>
      <c r="E51" s="6">
        <f t="shared" ref="E51" ca="1" si="53">E52-1</f>
        <v>45894</v>
      </c>
      <c r="F51" s="15">
        <f ca="1">TIME(RANDBETWEEN(0,10), RANDBETWEEN(0,59), RANDBETWEEN(0,59))</f>
        <v>0.14810185185185185</v>
      </c>
      <c r="G51" s="18" t="s">
        <v>36</v>
      </c>
      <c r="H51" s="55">
        <f t="shared" ca="1" si="1"/>
        <v>45894</v>
      </c>
      <c r="I51" s="20">
        <f t="shared" ca="1" si="2"/>
        <v>0.14810185185185185</v>
      </c>
      <c r="J51" s="55">
        <f t="shared" ca="1" si="3"/>
        <v>45894</v>
      </c>
      <c r="K51" s="20">
        <f t="shared" ca="1" si="4"/>
        <v>0.21666666666666667</v>
      </c>
      <c r="L51" s="19" t="s">
        <v>18</v>
      </c>
      <c r="M51" s="18">
        <v>1004560</v>
      </c>
      <c r="N51" s="49" t="s">
        <v>19</v>
      </c>
      <c r="O51" s="11" t="str" cm="1">
        <f t="array" ref="O51">_xlfn.IFS(N51="FG2020US1", "Ibuprofen Tablets (100 MG)", N51="FG0001SEG", "Metformin Tablets (100 MG)", N51="FG0002SEG", "Metformin Tablets (200 MG)", N51="FG0003SEG", "Metformin Tablets (500 MG)", N51="FG00UDI4", "Aspirin Tablets (500 MG)")</f>
        <v>Metformin Tablets (100 MG)</v>
      </c>
      <c r="P51" s="11">
        <v>4050</v>
      </c>
    </row>
    <row r="52" spans="1:16" x14ac:dyDescent="0.35">
      <c r="A52" s="11">
        <v>40000002551</v>
      </c>
      <c r="B52" s="18">
        <v>1010</v>
      </c>
      <c r="C52" s="19">
        <v>4</v>
      </c>
      <c r="D52" s="2" t="s">
        <v>78</v>
      </c>
      <c r="E52" s="6">
        <f t="shared" ref="E52" ca="1" si="54">E53</f>
        <v>45895</v>
      </c>
      <c r="F52" s="15">
        <f ca="1">TIME(RANDBETWEEN(12,22), RANDBETWEEN(0,59), RANDBETWEEN(0,59))</f>
        <v>0.82490740740740742</v>
      </c>
      <c r="G52" s="18" t="s">
        <v>17</v>
      </c>
      <c r="H52" s="55">
        <f t="shared" ca="1" si="1"/>
        <v>45895</v>
      </c>
      <c r="I52" s="20">
        <f t="shared" ca="1" si="2"/>
        <v>0.82490740740740742</v>
      </c>
      <c r="J52" s="55">
        <f t="shared" ca="1" si="3"/>
        <v>45895</v>
      </c>
      <c r="K52" s="20">
        <f t="shared" ca="1" si="4"/>
        <v>0.89828703703703705</v>
      </c>
      <c r="L52" s="19" t="s">
        <v>18</v>
      </c>
      <c r="M52" s="18">
        <v>1004561</v>
      </c>
      <c r="N52" s="49" t="s">
        <v>19</v>
      </c>
      <c r="O52" s="11" t="str" cm="1">
        <f t="array" ref="O52">_xlfn.IFS(N52="FG2020US1", "Ibuprofen Tablets (100 MG)", N52="FG0001SEG", "Metformin Tablets (100 MG)", N52="FG0002SEG", "Metformin Tablets (200 MG)", N52="FG0003SEG", "Metformin Tablets (500 MG)", N52="FG00UDI4", "Aspirin Tablets (500 MG)")</f>
        <v>Metformin Tablets (100 MG)</v>
      </c>
      <c r="P52" s="11">
        <v>4051</v>
      </c>
    </row>
    <row r="53" spans="1:16" x14ac:dyDescent="0.35">
      <c r="A53" s="11">
        <v>40000002552</v>
      </c>
      <c r="B53" s="18">
        <v>1010</v>
      </c>
      <c r="C53" s="19">
        <v>4</v>
      </c>
      <c r="D53" s="2" t="s">
        <v>79</v>
      </c>
      <c r="E53" s="6">
        <f t="shared" ref="E53" ca="1" si="55">E54-1</f>
        <v>45895</v>
      </c>
      <c r="F53" s="15">
        <f ca="1">TIME(RANDBETWEEN(0,10), RANDBETWEEN(0,59), RANDBETWEEN(0,59))</f>
        <v>1.7951388888888888E-2</v>
      </c>
      <c r="G53" s="18" t="s">
        <v>21</v>
      </c>
      <c r="H53" s="55">
        <f t="shared" ca="1" si="1"/>
        <v>45895</v>
      </c>
      <c r="I53" s="20">
        <f t="shared" ca="1" si="2"/>
        <v>1.7951388888888888E-2</v>
      </c>
      <c r="J53" s="55">
        <f t="shared" ca="1" si="3"/>
        <v>45895</v>
      </c>
      <c r="K53" s="20">
        <f t="shared" ca="1" si="4"/>
        <v>8.4108796296296293E-2</v>
      </c>
      <c r="L53" s="19" t="s">
        <v>18</v>
      </c>
      <c r="M53" s="18">
        <v>1004562</v>
      </c>
      <c r="N53" s="49" t="s">
        <v>22</v>
      </c>
      <c r="O53" s="11" t="str" cm="1">
        <f t="array" ref="O53">_xlfn.IFS(N53="FG2020US1", "Ibuprofen Tablets (100 MG)", N53="FG0001SEG", "Metformin Tablets (100 MG)", N53="FG0002SEG", "Metformin Tablets (200 MG)", N53="FG0003SEG", "Metformin Tablets (500 MG)", N53="FG00UDI4", "Aspirin Tablets (500 MG)")</f>
        <v>Ibuprofen Tablets (100 MG)</v>
      </c>
      <c r="P53" s="11">
        <v>4052</v>
      </c>
    </row>
    <row r="54" spans="1:16" x14ac:dyDescent="0.35">
      <c r="A54" s="11">
        <v>40000002553</v>
      </c>
      <c r="B54" s="18">
        <v>1010</v>
      </c>
      <c r="C54" s="19">
        <v>4</v>
      </c>
      <c r="D54" s="2" t="s">
        <v>80</v>
      </c>
      <c r="E54" s="6">
        <f t="shared" ref="E54" ca="1" si="56">E55</f>
        <v>45896</v>
      </c>
      <c r="F54" s="15">
        <f ca="1">TIME(RANDBETWEEN(12,22), RANDBETWEEN(0,59), RANDBETWEEN(0,59))</f>
        <v>0.81084490740740744</v>
      </c>
      <c r="G54" s="18" t="s">
        <v>30</v>
      </c>
      <c r="H54" s="55">
        <f t="shared" ca="1" si="1"/>
        <v>45896</v>
      </c>
      <c r="I54" s="20">
        <f t="shared" ca="1" si="2"/>
        <v>0.81084490740740744</v>
      </c>
      <c r="J54" s="55">
        <f t="shared" ca="1" si="3"/>
        <v>45896</v>
      </c>
      <c r="K54" s="20">
        <f t="shared" ca="1" si="4"/>
        <v>0.87630787037037039</v>
      </c>
      <c r="L54" s="19" t="s">
        <v>18</v>
      </c>
      <c r="M54" s="18">
        <v>1004563</v>
      </c>
      <c r="N54" s="49" t="s">
        <v>31</v>
      </c>
      <c r="O54" s="11" t="str" cm="1">
        <f t="array" ref="O54">_xlfn.IFS(N54="FG2020US1", "Ibuprofen Tablets (100 MG)", N54="FG0001SEG", "Metformin Tablets (100 MG)", N54="FG0002SEG", "Metformin Tablets (200 MG)", N54="FG0003SEG", "Metformin Tablets (500 MG)", N54="FG00UDI4", "Aspirin Tablets (500 MG)")</f>
        <v>Aspirin Tablets (500 MG)</v>
      </c>
      <c r="P54" s="11">
        <v>4053</v>
      </c>
    </row>
    <row r="55" spans="1:16" x14ac:dyDescent="0.35">
      <c r="A55" s="11">
        <v>40000002554</v>
      </c>
      <c r="B55" s="18">
        <v>1010</v>
      </c>
      <c r="C55" s="19">
        <v>4</v>
      </c>
      <c r="D55" s="2" t="s">
        <v>81</v>
      </c>
      <c r="E55" s="6">
        <f t="shared" ref="E55" ca="1" si="57">E56-1</f>
        <v>45896</v>
      </c>
      <c r="F55" s="15">
        <f ca="1">TIME(RANDBETWEEN(0,10), RANDBETWEEN(0,59), RANDBETWEEN(0,59))</f>
        <v>9.1562500000000005E-2</v>
      </c>
      <c r="G55" s="18" t="s">
        <v>39</v>
      </c>
      <c r="H55" s="55">
        <f t="shared" ca="1" si="1"/>
        <v>45896</v>
      </c>
      <c r="I55" s="20">
        <f t="shared" ca="1" si="2"/>
        <v>9.1562500000000005E-2</v>
      </c>
      <c r="J55" s="55">
        <f t="shared" ca="1" si="3"/>
        <v>45896</v>
      </c>
      <c r="K55" s="20">
        <f t="shared" ca="1" si="4"/>
        <v>0.15931712962962963</v>
      </c>
      <c r="L55" s="19" t="s">
        <v>18</v>
      </c>
      <c r="M55" s="18">
        <v>1004564</v>
      </c>
      <c r="N55" s="49" t="s">
        <v>22</v>
      </c>
      <c r="O55" s="11" t="str" cm="1">
        <f t="array" ref="O55">_xlfn.IFS(N55="FG2020US1", "Ibuprofen Tablets (100 MG)", N55="FG0001SEG", "Metformin Tablets (100 MG)", N55="FG0002SEG", "Metformin Tablets (200 MG)", N55="FG0003SEG", "Metformin Tablets (500 MG)", N55="FG00UDI4", "Aspirin Tablets (500 MG)")</f>
        <v>Ibuprofen Tablets (100 MG)</v>
      </c>
      <c r="P55" s="11">
        <v>4054</v>
      </c>
    </row>
    <row r="56" spans="1:16" x14ac:dyDescent="0.35">
      <c r="A56" s="11">
        <v>40000002555</v>
      </c>
      <c r="B56" s="18">
        <v>1010</v>
      </c>
      <c r="C56" s="19">
        <v>4</v>
      </c>
      <c r="D56" s="2" t="s">
        <v>82</v>
      </c>
      <c r="E56" s="6">
        <f t="shared" ref="E56" ca="1" si="58">E57</f>
        <v>45897</v>
      </c>
      <c r="F56" s="15">
        <f ca="1">TIME(RANDBETWEEN(12,22), RANDBETWEEN(0,59), RANDBETWEEN(0,59))</f>
        <v>0.84998842592592594</v>
      </c>
      <c r="G56" s="18" t="s">
        <v>17</v>
      </c>
      <c r="H56" s="55">
        <f t="shared" ca="1" si="1"/>
        <v>45897</v>
      </c>
      <c r="I56" s="20">
        <f t="shared" ca="1" si="2"/>
        <v>0.84998842592592594</v>
      </c>
      <c r="J56" s="55">
        <f t="shared" ca="1" si="3"/>
        <v>45897</v>
      </c>
      <c r="K56" s="20">
        <f t="shared" ca="1" si="4"/>
        <v>0.92677083333333332</v>
      </c>
      <c r="L56" s="19" t="s">
        <v>18</v>
      </c>
      <c r="M56" s="18">
        <v>1004565</v>
      </c>
      <c r="N56" s="49" t="s">
        <v>31</v>
      </c>
      <c r="O56" s="11" t="str" cm="1">
        <f t="array" ref="O56">_xlfn.IFS(N56="FG2020US1", "Ibuprofen Tablets (100 MG)", N56="FG0001SEG", "Metformin Tablets (100 MG)", N56="FG0002SEG", "Metformin Tablets (200 MG)", N56="FG0003SEG", "Metformin Tablets (500 MG)", N56="FG00UDI4", "Aspirin Tablets (500 MG)")</f>
        <v>Aspirin Tablets (500 MG)</v>
      </c>
      <c r="P56" s="11">
        <v>4055</v>
      </c>
    </row>
    <row r="57" spans="1:16" x14ac:dyDescent="0.35">
      <c r="A57" s="11">
        <v>40000002556</v>
      </c>
      <c r="B57" s="18">
        <v>1010</v>
      </c>
      <c r="C57" s="19">
        <v>4</v>
      </c>
      <c r="D57" s="2" t="s">
        <v>83</v>
      </c>
      <c r="E57" s="6">
        <f t="shared" ref="E57" ca="1" si="59">E58-1</f>
        <v>45897</v>
      </c>
      <c r="F57" s="15">
        <f ca="1">TIME(RANDBETWEEN(0,10), RANDBETWEEN(0,59), RANDBETWEEN(0,59))</f>
        <v>2.5034722222222222E-2</v>
      </c>
      <c r="G57" s="18" t="s">
        <v>39</v>
      </c>
      <c r="H57" s="55">
        <f t="shared" ca="1" si="1"/>
        <v>45897</v>
      </c>
      <c r="I57" s="20">
        <f t="shared" ca="1" si="2"/>
        <v>2.5034722222222222E-2</v>
      </c>
      <c r="J57" s="55">
        <f t="shared" ca="1" si="3"/>
        <v>45897</v>
      </c>
      <c r="K57" s="20">
        <f t="shared" ca="1" si="4"/>
        <v>8.7256944444444443E-2</v>
      </c>
      <c r="L57" s="19" t="s">
        <v>18</v>
      </c>
      <c r="M57" s="18">
        <v>1004566</v>
      </c>
      <c r="N57" s="49" t="s">
        <v>19</v>
      </c>
      <c r="O57" s="11" t="str" cm="1">
        <f t="array" ref="O57">_xlfn.IFS(N57="FG2020US1", "Ibuprofen Tablets (100 MG)", N57="FG0001SEG", "Metformin Tablets (100 MG)", N57="FG0002SEG", "Metformin Tablets (200 MG)", N57="FG0003SEG", "Metformin Tablets (500 MG)", N57="FG00UDI4", "Aspirin Tablets (500 MG)")</f>
        <v>Metformin Tablets (100 MG)</v>
      </c>
      <c r="P57" s="11">
        <v>4056</v>
      </c>
    </row>
    <row r="58" spans="1:16" x14ac:dyDescent="0.35">
      <c r="A58" s="11">
        <v>40000002557</v>
      </c>
      <c r="B58" s="18">
        <v>1010</v>
      </c>
      <c r="C58" s="19">
        <v>4</v>
      </c>
      <c r="D58" s="2" t="s">
        <v>84</v>
      </c>
      <c r="E58" s="6">
        <f t="shared" ref="E58" ca="1" si="60">E59</f>
        <v>45898</v>
      </c>
      <c r="F58" s="15">
        <f ca="1">TIME(RANDBETWEEN(12,22), RANDBETWEEN(0,59), RANDBETWEEN(0,59))</f>
        <v>0.88435185185185183</v>
      </c>
      <c r="G58" s="18" t="s">
        <v>17</v>
      </c>
      <c r="H58" s="55">
        <f t="shared" ca="1" si="1"/>
        <v>45898</v>
      </c>
      <c r="I58" s="20">
        <f t="shared" ca="1" si="2"/>
        <v>0.88435185185185183</v>
      </c>
      <c r="J58" s="55">
        <f t="shared" ca="1" si="3"/>
        <v>45898</v>
      </c>
      <c r="K58" s="20">
        <f t="shared" ca="1" si="4"/>
        <v>0.9497106481481481</v>
      </c>
      <c r="L58" s="19" t="s">
        <v>18</v>
      </c>
      <c r="M58" s="18">
        <v>1004567</v>
      </c>
      <c r="N58" s="49" t="s">
        <v>19</v>
      </c>
      <c r="O58" s="11" t="str" cm="1">
        <f t="array" ref="O58">_xlfn.IFS(N58="FG2020US1", "Ibuprofen Tablets (100 MG)", N58="FG0001SEG", "Metformin Tablets (100 MG)", N58="FG0002SEG", "Metformin Tablets (200 MG)", N58="FG0003SEG", "Metformin Tablets (500 MG)", N58="FG00UDI4", "Aspirin Tablets (500 MG)")</f>
        <v>Metformin Tablets (100 MG)</v>
      </c>
      <c r="P58" s="11">
        <v>4057</v>
      </c>
    </row>
    <row r="59" spans="1:16" x14ac:dyDescent="0.35">
      <c r="A59" s="11">
        <v>40000002558</v>
      </c>
      <c r="B59" s="18">
        <v>1010</v>
      </c>
      <c r="C59" s="19">
        <v>4</v>
      </c>
      <c r="D59" s="2" t="s">
        <v>85</v>
      </c>
      <c r="E59" s="6">
        <f t="shared" ref="E59" ca="1" si="61">E60-1</f>
        <v>45898</v>
      </c>
      <c r="F59" s="15">
        <f ca="1">TIME(RANDBETWEEN(0,10), RANDBETWEEN(0,59), RANDBETWEEN(0,59))</f>
        <v>0.13703703703703704</v>
      </c>
      <c r="G59" s="18" t="s">
        <v>39</v>
      </c>
      <c r="H59" s="55">
        <f t="shared" ca="1" si="1"/>
        <v>45898</v>
      </c>
      <c r="I59" s="20">
        <f t="shared" ca="1" si="2"/>
        <v>0.13703703703703704</v>
      </c>
      <c r="J59" s="55">
        <f t="shared" ca="1" si="3"/>
        <v>45898</v>
      </c>
      <c r="K59" s="20">
        <f t="shared" ca="1" si="4"/>
        <v>0.20133101851851853</v>
      </c>
      <c r="L59" s="19" t="s">
        <v>18</v>
      </c>
      <c r="M59" s="18">
        <v>1004568</v>
      </c>
      <c r="N59" s="49" t="s">
        <v>34</v>
      </c>
      <c r="O59" s="11" t="str" cm="1">
        <f t="array" ref="O59">_xlfn.IFS(N59="FG2020US1", "Ibuprofen Tablets (100 MG)", N59="FG0001SEG", "Metformin Tablets (100 MG)", N59="FG0002SEG", "Metformin Tablets (200 MG)", N59="FG0003SEG", "Metformin Tablets (500 MG)", N59="FG00UDI4", "Aspirin Tablets (500 MG)")</f>
        <v>Metformin Tablets (200 MG)</v>
      </c>
      <c r="P59" s="11">
        <v>4058</v>
      </c>
    </row>
    <row r="60" spans="1:16" x14ac:dyDescent="0.35">
      <c r="A60" s="11">
        <v>40000002559</v>
      </c>
      <c r="B60" s="18">
        <v>1010</v>
      </c>
      <c r="C60" s="19">
        <v>4</v>
      </c>
      <c r="D60" s="2" t="s">
        <v>86</v>
      </c>
      <c r="E60" s="6">
        <f t="shared" ref="E60" ca="1" si="62">E61</f>
        <v>45899</v>
      </c>
      <c r="F60" s="15">
        <f ca="1">TIME(RANDBETWEEN(12,22), RANDBETWEEN(0,59), RANDBETWEEN(0,59))</f>
        <v>0.64738425925925924</v>
      </c>
      <c r="G60" s="18" t="s">
        <v>17</v>
      </c>
      <c r="H60" s="55">
        <f t="shared" ca="1" si="1"/>
        <v>45899</v>
      </c>
      <c r="I60" s="20">
        <f t="shared" ca="1" si="2"/>
        <v>0.64738425925925924</v>
      </c>
      <c r="J60" s="55">
        <f t="shared" ca="1" si="3"/>
        <v>45899</v>
      </c>
      <c r="K60" s="20">
        <f t="shared" ca="1" si="4"/>
        <v>0.71995370370370371</v>
      </c>
      <c r="L60" s="19" t="s">
        <v>18</v>
      </c>
      <c r="M60" s="18">
        <v>1004569</v>
      </c>
      <c r="N60" s="49" t="s">
        <v>31</v>
      </c>
      <c r="O60" s="11" t="str" cm="1">
        <f t="array" ref="O60">_xlfn.IFS(N60="FG2020US1", "Ibuprofen Tablets (100 MG)", N60="FG0001SEG", "Metformin Tablets (100 MG)", N60="FG0002SEG", "Metformin Tablets (200 MG)", N60="FG0003SEG", "Metformin Tablets (500 MG)", N60="FG00UDI4", "Aspirin Tablets (500 MG)")</f>
        <v>Aspirin Tablets (500 MG)</v>
      </c>
      <c r="P60" s="11">
        <v>4059</v>
      </c>
    </row>
    <row r="61" spans="1:16" x14ac:dyDescent="0.35">
      <c r="A61" s="11">
        <v>40000002560</v>
      </c>
      <c r="B61" s="18">
        <v>1010</v>
      </c>
      <c r="C61" s="19">
        <v>4</v>
      </c>
      <c r="D61" s="2" t="s">
        <v>87</v>
      </c>
      <c r="E61" s="6">
        <f t="shared" ref="E61" ca="1" si="63">E62-1</f>
        <v>45899</v>
      </c>
      <c r="F61" s="15">
        <f ca="1">TIME(RANDBETWEEN(0,10), RANDBETWEEN(0,59), RANDBETWEEN(0,59))</f>
        <v>0.18555555555555556</v>
      </c>
      <c r="G61" s="18" t="s">
        <v>21</v>
      </c>
      <c r="H61" s="55">
        <f t="shared" ca="1" si="1"/>
        <v>45899</v>
      </c>
      <c r="I61" s="20">
        <f t="shared" ca="1" si="2"/>
        <v>0.18555555555555556</v>
      </c>
      <c r="J61" s="55">
        <f t="shared" ca="1" si="3"/>
        <v>45899</v>
      </c>
      <c r="K61" s="20">
        <f t="shared" ca="1" si="4"/>
        <v>0.25961805555555556</v>
      </c>
      <c r="L61" s="19" t="s">
        <v>18</v>
      </c>
      <c r="M61" s="18">
        <v>1004570</v>
      </c>
      <c r="N61" s="49" t="s">
        <v>27</v>
      </c>
      <c r="O61" s="11" t="str" cm="1">
        <f t="array" ref="O61">_xlfn.IFS(N61="FG2020US1", "Ibuprofen Tablets (100 MG)", N61="FG0001SEG", "Metformin Tablets (100 MG)", N61="FG0002SEG", "Metformin Tablets (200 MG)", N61="FG0003SEG", "Metformin Tablets (500 MG)", N61="FG00UDI4", "Aspirin Tablets (500 MG)")</f>
        <v>Metformin Tablets (500 MG)</v>
      </c>
      <c r="P61" s="11">
        <v>4060</v>
      </c>
    </row>
    <row r="62" spans="1:16" x14ac:dyDescent="0.35">
      <c r="A62" s="11">
        <v>40000002561</v>
      </c>
      <c r="B62" s="18">
        <v>1010</v>
      </c>
      <c r="C62" s="19">
        <v>4</v>
      </c>
      <c r="D62" s="2" t="s">
        <v>88</v>
      </c>
      <c r="E62" s="6">
        <f t="shared" ref="E62" ca="1" si="64">E63</f>
        <v>45900</v>
      </c>
      <c r="F62" s="15">
        <f ca="1">TIME(RANDBETWEEN(12,22), RANDBETWEEN(0,59), RANDBETWEEN(0,59))</f>
        <v>0.94119212962962961</v>
      </c>
      <c r="G62" s="18" t="s">
        <v>24</v>
      </c>
      <c r="H62" s="55">
        <f t="shared" ca="1" si="1"/>
        <v>45900</v>
      </c>
      <c r="I62" s="20">
        <f t="shared" ca="1" si="2"/>
        <v>0.94119212962962961</v>
      </c>
      <c r="J62" s="55">
        <f t="shared" ca="1" si="3"/>
        <v>45900</v>
      </c>
      <c r="K62" s="20">
        <f t="shared" ca="1" si="4"/>
        <v>1.017650462962963</v>
      </c>
      <c r="L62" s="19" t="s">
        <v>18</v>
      </c>
      <c r="M62" s="18">
        <v>1004571</v>
      </c>
      <c r="N62" s="49" t="s">
        <v>19</v>
      </c>
      <c r="O62" s="11" t="str" cm="1">
        <f t="array" ref="O62">_xlfn.IFS(N62="FG2020US1", "Ibuprofen Tablets (100 MG)", N62="FG0001SEG", "Metformin Tablets (100 MG)", N62="FG0002SEG", "Metformin Tablets (200 MG)", N62="FG0003SEG", "Metformin Tablets (500 MG)", N62="FG00UDI4", "Aspirin Tablets (500 MG)")</f>
        <v>Metformin Tablets (100 MG)</v>
      </c>
      <c r="P62" s="11">
        <v>4061</v>
      </c>
    </row>
    <row r="63" spans="1:16" x14ac:dyDescent="0.35">
      <c r="A63" s="11">
        <v>40000002562</v>
      </c>
      <c r="B63" s="18">
        <v>1010</v>
      </c>
      <c r="C63" s="19">
        <v>4</v>
      </c>
      <c r="D63" s="2" t="s">
        <v>89</v>
      </c>
      <c r="E63" s="6">
        <f t="shared" ref="E63" ca="1" si="65">E64-1</f>
        <v>45900</v>
      </c>
      <c r="F63" s="15">
        <f ca="1">TIME(RANDBETWEEN(0,10), RANDBETWEEN(0,59), RANDBETWEEN(0,59))</f>
        <v>0.17807870370370371</v>
      </c>
      <c r="G63" s="18" t="s">
        <v>36</v>
      </c>
      <c r="H63" s="55">
        <f t="shared" ca="1" si="1"/>
        <v>45900</v>
      </c>
      <c r="I63" s="20">
        <f t="shared" ca="1" si="2"/>
        <v>0.17807870370370371</v>
      </c>
      <c r="J63" s="55">
        <f t="shared" ca="1" si="3"/>
        <v>45900</v>
      </c>
      <c r="K63" s="20">
        <f t="shared" ca="1" si="4"/>
        <v>0.23916666666666667</v>
      </c>
      <c r="L63" s="19" t="s">
        <v>18</v>
      </c>
      <c r="M63" s="18">
        <v>1004572</v>
      </c>
      <c r="N63" s="49" t="s">
        <v>27</v>
      </c>
      <c r="O63" s="11" t="str" cm="1">
        <f t="array" ref="O63">_xlfn.IFS(N63="FG2020US1", "Ibuprofen Tablets (100 MG)", N63="FG0001SEG", "Metformin Tablets (100 MG)", N63="FG0002SEG", "Metformin Tablets (200 MG)", N63="FG0003SEG", "Metformin Tablets (500 MG)", N63="FG00UDI4", "Aspirin Tablets (500 MG)")</f>
        <v>Metformin Tablets (500 MG)</v>
      </c>
      <c r="P63" s="11">
        <v>4062</v>
      </c>
    </row>
    <row r="64" spans="1:16" x14ac:dyDescent="0.35">
      <c r="A64" s="11">
        <v>40000002563</v>
      </c>
      <c r="B64" s="18">
        <v>1010</v>
      </c>
      <c r="C64" s="19">
        <v>4</v>
      </c>
      <c r="D64" s="2" t="s">
        <v>90</v>
      </c>
      <c r="E64" s="6">
        <f t="shared" ref="E64" ca="1" si="66">E65</f>
        <v>45901</v>
      </c>
      <c r="F64" s="15">
        <f ca="1">TIME(RANDBETWEEN(12,22), RANDBETWEEN(0,59), RANDBETWEEN(0,59))</f>
        <v>0.55445601851851856</v>
      </c>
      <c r="G64" s="18" t="s">
        <v>24</v>
      </c>
      <c r="H64" s="55">
        <f t="shared" ca="1" si="1"/>
        <v>45901</v>
      </c>
      <c r="I64" s="20">
        <f t="shared" ca="1" si="2"/>
        <v>0.55445601851851856</v>
      </c>
      <c r="J64" s="55">
        <f t="shared" ca="1" si="3"/>
        <v>45901</v>
      </c>
      <c r="K64" s="20">
        <f t="shared" ca="1" si="4"/>
        <v>0.62539351851851854</v>
      </c>
      <c r="L64" s="19" t="s">
        <v>18</v>
      </c>
      <c r="M64" s="18">
        <v>1004573</v>
      </c>
      <c r="N64" s="49" t="s">
        <v>19</v>
      </c>
      <c r="O64" s="11" t="str" cm="1">
        <f t="array" ref="O64">_xlfn.IFS(N64="FG2020US1", "Ibuprofen Tablets (100 MG)", N64="FG0001SEG", "Metformin Tablets (100 MG)", N64="FG0002SEG", "Metformin Tablets (200 MG)", N64="FG0003SEG", "Metformin Tablets (500 MG)", N64="FG00UDI4", "Aspirin Tablets (500 MG)")</f>
        <v>Metformin Tablets (100 MG)</v>
      </c>
      <c r="P64" s="11">
        <v>4063</v>
      </c>
    </row>
    <row r="65" spans="1:16" x14ac:dyDescent="0.35">
      <c r="A65" s="11">
        <v>40000002564</v>
      </c>
      <c r="B65" s="18">
        <v>1010</v>
      </c>
      <c r="C65" s="19">
        <v>4</v>
      </c>
      <c r="D65" s="2" t="s">
        <v>91</v>
      </c>
      <c r="E65" s="6">
        <f t="shared" ref="E65" ca="1" si="67">E66-1</f>
        <v>45901</v>
      </c>
      <c r="F65" s="15">
        <f ca="1">TIME(RANDBETWEEN(0,10), RANDBETWEEN(0,59), RANDBETWEEN(0,59))</f>
        <v>0.15074074074074073</v>
      </c>
      <c r="G65" s="18" t="s">
        <v>21</v>
      </c>
      <c r="H65" s="55">
        <f t="shared" ca="1" si="1"/>
        <v>45901</v>
      </c>
      <c r="I65" s="20">
        <f t="shared" ca="1" si="2"/>
        <v>0.15074074074074073</v>
      </c>
      <c r="J65" s="55">
        <f t="shared" ca="1" si="3"/>
        <v>45901</v>
      </c>
      <c r="K65" s="20">
        <f t="shared" ca="1" si="4"/>
        <v>0.22037037037037036</v>
      </c>
      <c r="L65" s="19" t="s">
        <v>18</v>
      </c>
      <c r="M65" s="18">
        <v>1004574</v>
      </c>
      <c r="N65" s="49" t="s">
        <v>31</v>
      </c>
      <c r="O65" s="11" t="str" cm="1">
        <f t="array" ref="O65">_xlfn.IFS(N65="FG2020US1", "Ibuprofen Tablets (100 MG)", N65="FG0001SEG", "Metformin Tablets (100 MG)", N65="FG0002SEG", "Metformin Tablets (200 MG)", N65="FG0003SEG", "Metformin Tablets (500 MG)", N65="FG00UDI4", "Aspirin Tablets (500 MG)")</f>
        <v>Aspirin Tablets (500 MG)</v>
      </c>
      <c r="P65" s="11">
        <v>4064</v>
      </c>
    </row>
    <row r="66" spans="1:16" x14ac:dyDescent="0.35">
      <c r="A66" s="11">
        <v>40000002565</v>
      </c>
      <c r="B66" s="18">
        <v>1010</v>
      </c>
      <c r="C66" s="19">
        <v>4</v>
      </c>
      <c r="D66" s="2" t="s">
        <v>92</v>
      </c>
      <c r="E66" s="6">
        <f t="shared" ref="E66" ca="1" si="68">E67</f>
        <v>45902</v>
      </c>
      <c r="F66" s="15">
        <f ca="1">TIME(RANDBETWEEN(12,22), RANDBETWEEN(0,59), RANDBETWEEN(0,59))</f>
        <v>0.73388888888888892</v>
      </c>
      <c r="G66" s="18" t="s">
        <v>17</v>
      </c>
      <c r="H66" s="55">
        <f t="shared" ref="H66:H129" ca="1" si="69">E66</f>
        <v>45902</v>
      </c>
      <c r="I66" s="20">
        <f t="shared" ref="I66:I129" ca="1" si="70">F66</f>
        <v>0.73388888888888892</v>
      </c>
      <c r="J66" s="55">
        <f t="shared" ref="J66:J129" ca="1" si="71">E66</f>
        <v>45902</v>
      </c>
      <c r="K66" s="20">
        <f t="shared" ref="K66:K129" ca="1" si="72">I66+TIME(1,RANDBETWEEN(25,50),RANDBETWEEN(0,59))</f>
        <v>0.80336805555555557</v>
      </c>
      <c r="L66" s="19" t="s">
        <v>18</v>
      </c>
      <c r="M66" s="18">
        <v>1004575</v>
      </c>
      <c r="N66" s="49" t="s">
        <v>27</v>
      </c>
      <c r="O66" s="11" t="str" cm="1">
        <f t="array" ref="O66">_xlfn.IFS(N66="FG2020US1", "Ibuprofen Tablets (100 MG)", N66="FG0001SEG", "Metformin Tablets (100 MG)", N66="FG0002SEG", "Metformin Tablets (200 MG)", N66="FG0003SEG", "Metformin Tablets (500 MG)", N66="FG00UDI4", "Aspirin Tablets (500 MG)")</f>
        <v>Metformin Tablets (500 MG)</v>
      </c>
      <c r="P66" s="11">
        <v>4065</v>
      </c>
    </row>
    <row r="67" spans="1:16" x14ac:dyDescent="0.35">
      <c r="A67" s="11">
        <v>40000002566</v>
      </c>
      <c r="B67" s="18">
        <v>1010</v>
      </c>
      <c r="C67" s="19">
        <v>4</v>
      </c>
      <c r="D67" s="2" t="s">
        <v>93</v>
      </c>
      <c r="E67" s="6">
        <f t="shared" ref="E67" ca="1" si="73">E68-1</f>
        <v>45902</v>
      </c>
      <c r="F67" s="15">
        <f ca="1">TIME(RANDBETWEEN(0,10), RANDBETWEEN(0,59), RANDBETWEEN(0,59))</f>
        <v>9.3113425925925933E-2</v>
      </c>
      <c r="G67" s="18" t="s">
        <v>36</v>
      </c>
      <c r="H67" s="55">
        <f t="shared" ca="1" si="69"/>
        <v>45902</v>
      </c>
      <c r="I67" s="20">
        <f t="shared" ca="1" si="70"/>
        <v>9.3113425925925933E-2</v>
      </c>
      <c r="J67" s="55">
        <f t="shared" ca="1" si="71"/>
        <v>45902</v>
      </c>
      <c r="K67" s="20">
        <f t="shared" ca="1" si="72"/>
        <v>0.15504629629629629</v>
      </c>
      <c r="L67" s="19" t="s">
        <v>18</v>
      </c>
      <c r="M67" s="18">
        <v>1004576</v>
      </c>
      <c r="N67" s="49" t="s">
        <v>31</v>
      </c>
      <c r="O67" s="11" t="str" cm="1">
        <f t="array" ref="O67">_xlfn.IFS(N67="FG2020US1", "Ibuprofen Tablets (100 MG)", N67="FG0001SEG", "Metformin Tablets (100 MG)", N67="FG0002SEG", "Metformin Tablets (200 MG)", N67="FG0003SEG", "Metformin Tablets (500 MG)", N67="FG00UDI4", "Aspirin Tablets (500 MG)")</f>
        <v>Aspirin Tablets (500 MG)</v>
      </c>
      <c r="P67" s="11">
        <v>4066</v>
      </c>
    </row>
    <row r="68" spans="1:16" x14ac:dyDescent="0.35">
      <c r="A68" s="11">
        <v>40000002567</v>
      </c>
      <c r="B68" s="18">
        <v>1010</v>
      </c>
      <c r="C68" s="19">
        <v>4</v>
      </c>
      <c r="D68" s="2" t="s">
        <v>94</v>
      </c>
      <c r="E68" s="6">
        <f t="shared" ref="E68" ca="1" si="74">E69</f>
        <v>45903</v>
      </c>
      <c r="F68" s="15">
        <f ca="1">TIME(RANDBETWEEN(12,22), RANDBETWEEN(0,59), RANDBETWEEN(0,59))</f>
        <v>0.52923611111111113</v>
      </c>
      <c r="G68" s="18" t="s">
        <v>30</v>
      </c>
      <c r="H68" s="55">
        <f t="shared" ca="1" si="69"/>
        <v>45903</v>
      </c>
      <c r="I68" s="20">
        <f t="shared" ca="1" si="70"/>
        <v>0.52923611111111113</v>
      </c>
      <c r="J68" s="55">
        <f t="shared" ca="1" si="71"/>
        <v>45903</v>
      </c>
      <c r="K68" s="20">
        <f t="shared" ca="1" si="72"/>
        <v>0.60255787037037034</v>
      </c>
      <c r="L68" s="19" t="s">
        <v>18</v>
      </c>
      <c r="M68" s="18">
        <v>1004577</v>
      </c>
      <c r="N68" s="49" t="s">
        <v>27</v>
      </c>
      <c r="O68" s="11" t="str" cm="1">
        <f t="array" ref="O68">_xlfn.IFS(N68="FG2020US1", "Ibuprofen Tablets (100 MG)", N68="FG0001SEG", "Metformin Tablets (100 MG)", N68="FG0002SEG", "Metformin Tablets (200 MG)", N68="FG0003SEG", "Metformin Tablets (500 MG)", N68="FG00UDI4", "Aspirin Tablets (500 MG)")</f>
        <v>Metformin Tablets (500 MG)</v>
      </c>
      <c r="P68" s="11">
        <v>4067</v>
      </c>
    </row>
    <row r="69" spans="1:16" x14ac:dyDescent="0.35">
      <c r="A69" s="11">
        <v>40000002568</v>
      </c>
      <c r="B69" s="18">
        <v>1010</v>
      </c>
      <c r="C69" s="19">
        <v>4</v>
      </c>
      <c r="D69" s="2" t="s">
        <v>95</v>
      </c>
      <c r="E69" s="6">
        <f t="shared" ref="E69" ca="1" si="75">E70-1</f>
        <v>45903</v>
      </c>
      <c r="F69" s="15">
        <f ca="1">TIME(RANDBETWEEN(0,10), RANDBETWEEN(0,59), RANDBETWEEN(0,59))</f>
        <v>0.17251157407407408</v>
      </c>
      <c r="G69" s="18" t="s">
        <v>21</v>
      </c>
      <c r="H69" s="55">
        <f t="shared" ca="1" si="69"/>
        <v>45903</v>
      </c>
      <c r="I69" s="20">
        <f t="shared" ca="1" si="70"/>
        <v>0.17251157407407408</v>
      </c>
      <c r="J69" s="55">
        <f t="shared" ca="1" si="71"/>
        <v>45903</v>
      </c>
      <c r="K69" s="20">
        <f t="shared" ca="1" si="72"/>
        <v>0.24497685185185186</v>
      </c>
      <c r="L69" s="19" t="s">
        <v>18</v>
      </c>
      <c r="M69" s="18">
        <v>1004578</v>
      </c>
      <c r="N69" s="49" t="s">
        <v>31</v>
      </c>
      <c r="O69" s="11" t="str" cm="1">
        <f t="array" ref="O69">_xlfn.IFS(N69="FG2020US1", "Ibuprofen Tablets (100 MG)", N69="FG0001SEG", "Metformin Tablets (100 MG)", N69="FG0002SEG", "Metformin Tablets (200 MG)", N69="FG0003SEG", "Metformin Tablets (500 MG)", N69="FG00UDI4", "Aspirin Tablets (500 MG)")</f>
        <v>Aspirin Tablets (500 MG)</v>
      </c>
      <c r="P69" s="11">
        <v>4068</v>
      </c>
    </row>
    <row r="70" spans="1:16" x14ac:dyDescent="0.35">
      <c r="A70" s="11">
        <v>40000002569</v>
      </c>
      <c r="B70" s="18">
        <v>1010</v>
      </c>
      <c r="C70" s="19">
        <v>4</v>
      </c>
      <c r="D70" s="2" t="s">
        <v>96</v>
      </c>
      <c r="E70" s="6">
        <f t="shared" ref="E70" ca="1" si="76">E71</f>
        <v>45904</v>
      </c>
      <c r="F70" s="15">
        <f ca="1">TIME(RANDBETWEEN(12,22), RANDBETWEEN(0,59), RANDBETWEEN(0,59))</f>
        <v>0.55642361111111116</v>
      </c>
      <c r="G70" s="18" t="s">
        <v>17</v>
      </c>
      <c r="H70" s="55">
        <f t="shared" ca="1" si="69"/>
        <v>45904</v>
      </c>
      <c r="I70" s="20">
        <f t="shared" ca="1" si="70"/>
        <v>0.55642361111111116</v>
      </c>
      <c r="J70" s="55">
        <f t="shared" ca="1" si="71"/>
        <v>45904</v>
      </c>
      <c r="K70" s="20">
        <f t="shared" ca="1" si="72"/>
        <v>0.6253819444444445</v>
      </c>
      <c r="L70" s="19" t="s">
        <v>18</v>
      </c>
      <c r="M70" s="18">
        <v>1004579</v>
      </c>
      <c r="N70" s="49" t="s">
        <v>34</v>
      </c>
      <c r="O70" s="11" t="str" cm="1">
        <f t="array" ref="O70">_xlfn.IFS(N70="FG2020US1", "Ibuprofen Tablets (100 MG)", N70="FG0001SEG", "Metformin Tablets (100 MG)", N70="FG0002SEG", "Metformin Tablets (200 MG)", N70="FG0003SEG", "Metformin Tablets (500 MG)", N70="FG00UDI4", "Aspirin Tablets (500 MG)")</f>
        <v>Metformin Tablets (200 MG)</v>
      </c>
      <c r="P70" s="11">
        <v>4069</v>
      </c>
    </row>
    <row r="71" spans="1:16" x14ac:dyDescent="0.35">
      <c r="A71" s="11">
        <v>40000002570</v>
      </c>
      <c r="B71" s="18">
        <v>1010</v>
      </c>
      <c r="C71" s="19">
        <v>4</v>
      </c>
      <c r="D71" s="2" t="s">
        <v>97</v>
      </c>
      <c r="E71" s="6">
        <f t="shared" ref="E71" ca="1" si="77">E72-1</f>
        <v>45904</v>
      </c>
      <c r="F71" s="15">
        <f ca="1">TIME(RANDBETWEEN(0,10), RANDBETWEEN(0,59), RANDBETWEEN(0,59))</f>
        <v>0.39502314814814815</v>
      </c>
      <c r="G71" s="18" t="s">
        <v>36</v>
      </c>
      <c r="H71" s="55">
        <f t="shared" ca="1" si="69"/>
        <v>45904</v>
      </c>
      <c r="I71" s="20">
        <f t="shared" ca="1" si="70"/>
        <v>0.39502314814814815</v>
      </c>
      <c r="J71" s="55">
        <f t="shared" ca="1" si="71"/>
        <v>45904</v>
      </c>
      <c r="K71" s="20">
        <f t="shared" ca="1" si="72"/>
        <v>0.45805555555555555</v>
      </c>
      <c r="L71" s="19" t="s">
        <v>18</v>
      </c>
      <c r="M71" s="18">
        <v>1004580</v>
      </c>
      <c r="N71" s="49" t="s">
        <v>19</v>
      </c>
      <c r="O71" s="11" t="str" cm="1">
        <f t="array" ref="O71">_xlfn.IFS(N71="FG2020US1", "Ibuprofen Tablets (100 MG)", N71="FG0001SEG", "Metformin Tablets (100 MG)", N71="FG0002SEG", "Metformin Tablets (200 MG)", N71="FG0003SEG", "Metformin Tablets (500 MG)", N71="FG00UDI4", "Aspirin Tablets (500 MG)")</f>
        <v>Metformin Tablets (100 MG)</v>
      </c>
      <c r="P71" s="11">
        <v>4070</v>
      </c>
    </row>
    <row r="72" spans="1:16" x14ac:dyDescent="0.35">
      <c r="A72" s="11">
        <v>40000002571</v>
      </c>
      <c r="B72" s="18">
        <v>1010</v>
      </c>
      <c r="C72" s="19">
        <v>4</v>
      </c>
      <c r="D72" s="2" t="s">
        <v>98</v>
      </c>
      <c r="E72" s="6">
        <f t="shared" ref="E72" ca="1" si="78">E73</f>
        <v>45905</v>
      </c>
      <c r="F72" s="15">
        <f ca="1">TIME(RANDBETWEEN(12,22), RANDBETWEEN(0,59), RANDBETWEEN(0,59))</f>
        <v>0.60326388888888893</v>
      </c>
      <c r="G72" s="18" t="s">
        <v>17</v>
      </c>
      <c r="H72" s="55">
        <f t="shared" ca="1" si="69"/>
        <v>45905</v>
      </c>
      <c r="I72" s="20">
        <f t="shared" ca="1" si="70"/>
        <v>0.60326388888888893</v>
      </c>
      <c r="J72" s="55">
        <f t="shared" ca="1" si="71"/>
        <v>45905</v>
      </c>
      <c r="K72" s="20">
        <f t="shared" ca="1" si="72"/>
        <v>0.66743055555555564</v>
      </c>
      <c r="L72" s="19" t="s">
        <v>18</v>
      </c>
      <c r="M72" s="18">
        <v>1004581</v>
      </c>
      <c r="N72" s="49" t="s">
        <v>19</v>
      </c>
      <c r="O72" s="11" t="str" cm="1">
        <f t="array" ref="O72">_xlfn.IFS(N72="FG2020US1", "Ibuprofen Tablets (100 MG)", N72="FG0001SEG", "Metformin Tablets (100 MG)", N72="FG0002SEG", "Metformin Tablets (200 MG)", N72="FG0003SEG", "Metformin Tablets (500 MG)", N72="FG00UDI4", "Aspirin Tablets (500 MG)")</f>
        <v>Metformin Tablets (100 MG)</v>
      </c>
      <c r="P72" s="11">
        <v>4071</v>
      </c>
    </row>
    <row r="73" spans="1:16" x14ac:dyDescent="0.35">
      <c r="A73" s="11">
        <v>40000002572</v>
      </c>
      <c r="B73" s="18">
        <v>1010</v>
      </c>
      <c r="C73" s="19">
        <v>4</v>
      </c>
      <c r="D73" s="2" t="s">
        <v>99</v>
      </c>
      <c r="E73" s="6">
        <f t="shared" ref="E73" ca="1" si="79">E74-1</f>
        <v>45905</v>
      </c>
      <c r="F73" s="15">
        <f ca="1">TIME(RANDBETWEEN(0,10), RANDBETWEEN(0,59), RANDBETWEEN(0,59))</f>
        <v>0.30318287037037039</v>
      </c>
      <c r="G73" s="18" t="s">
        <v>36</v>
      </c>
      <c r="H73" s="55">
        <f t="shared" ca="1" si="69"/>
        <v>45905</v>
      </c>
      <c r="I73" s="20">
        <f t="shared" ca="1" si="70"/>
        <v>0.30318287037037039</v>
      </c>
      <c r="J73" s="55">
        <f t="shared" ca="1" si="71"/>
        <v>45905</v>
      </c>
      <c r="K73" s="20">
        <f t="shared" ca="1" si="72"/>
        <v>0.3767476851851852</v>
      </c>
      <c r="L73" s="19" t="s">
        <v>18</v>
      </c>
      <c r="M73" s="18">
        <v>1004582</v>
      </c>
      <c r="N73" s="49" t="s">
        <v>31</v>
      </c>
      <c r="O73" s="11" t="str" cm="1">
        <f t="array" ref="O73">_xlfn.IFS(N73="FG2020US1", "Ibuprofen Tablets (100 MG)", N73="FG0001SEG", "Metformin Tablets (100 MG)", N73="FG0002SEG", "Metformin Tablets (200 MG)", N73="FG0003SEG", "Metformin Tablets (500 MG)", N73="FG00UDI4", "Aspirin Tablets (500 MG)")</f>
        <v>Aspirin Tablets (500 MG)</v>
      </c>
      <c r="P73" s="11">
        <v>4072</v>
      </c>
    </row>
    <row r="74" spans="1:16" x14ac:dyDescent="0.35">
      <c r="A74" s="11">
        <v>40000002573</v>
      </c>
      <c r="B74" s="18">
        <v>1010</v>
      </c>
      <c r="C74" s="19">
        <v>4</v>
      </c>
      <c r="D74" s="2" t="s">
        <v>100</v>
      </c>
      <c r="E74" s="6">
        <f t="shared" ref="E74" ca="1" si="80">E75</f>
        <v>45906</v>
      </c>
      <c r="F74" s="15">
        <f ca="1">TIME(RANDBETWEEN(12,22), RANDBETWEEN(0,59), RANDBETWEEN(0,59))</f>
        <v>0.57326388888888891</v>
      </c>
      <c r="G74" s="18" t="s">
        <v>24</v>
      </c>
      <c r="H74" s="55">
        <f t="shared" ca="1" si="69"/>
        <v>45906</v>
      </c>
      <c r="I74" s="20">
        <f t="shared" ca="1" si="70"/>
        <v>0.57326388888888891</v>
      </c>
      <c r="J74" s="55">
        <f t="shared" ca="1" si="71"/>
        <v>45906</v>
      </c>
      <c r="K74" s="20">
        <f t="shared" ca="1" si="72"/>
        <v>0.63472222222222219</v>
      </c>
      <c r="L74" s="19" t="s">
        <v>18</v>
      </c>
      <c r="M74" s="18">
        <v>1004583</v>
      </c>
      <c r="N74" s="49" t="s">
        <v>34</v>
      </c>
      <c r="O74" s="11" t="str" cm="1">
        <f t="array" ref="O74">_xlfn.IFS(N74="FG2020US1", "Ibuprofen Tablets (100 MG)", N74="FG0001SEG", "Metformin Tablets (100 MG)", N74="FG0002SEG", "Metformin Tablets (200 MG)", N74="FG0003SEG", "Metformin Tablets (500 MG)", N74="FG00UDI4", "Aspirin Tablets (500 MG)")</f>
        <v>Metformin Tablets (200 MG)</v>
      </c>
      <c r="P74" s="11">
        <v>4073</v>
      </c>
    </row>
    <row r="75" spans="1:16" x14ac:dyDescent="0.35">
      <c r="A75" s="11">
        <v>40000002574</v>
      </c>
      <c r="B75" s="18">
        <v>1010</v>
      </c>
      <c r="C75" s="19">
        <v>4</v>
      </c>
      <c r="D75" s="2" t="s">
        <v>101</v>
      </c>
      <c r="E75" s="6">
        <f t="shared" ref="E75" ca="1" si="81">E76-1</f>
        <v>45906</v>
      </c>
      <c r="F75" s="15">
        <f ca="1">TIME(RANDBETWEEN(0,10), RANDBETWEEN(0,59), RANDBETWEEN(0,59))</f>
        <v>0.20640046296296297</v>
      </c>
      <c r="G75" s="18" t="s">
        <v>39</v>
      </c>
      <c r="H75" s="55">
        <f t="shared" ca="1" si="69"/>
        <v>45906</v>
      </c>
      <c r="I75" s="20">
        <f t="shared" ca="1" si="70"/>
        <v>0.20640046296296297</v>
      </c>
      <c r="J75" s="55">
        <f t="shared" ca="1" si="71"/>
        <v>45906</v>
      </c>
      <c r="K75" s="20">
        <f t="shared" ca="1" si="72"/>
        <v>0.27306712962962965</v>
      </c>
      <c r="L75" s="19" t="s">
        <v>18</v>
      </c>
      <c r="M75" s="18">
        <v>1004584</v>
      </c>
      <c r="N75" s="49" t="s">
        <v>27</v>
      </c>
      <c r="O75" s="11" t="str" cm="1">
        <f t="array" ref="O75">_xlfn.IFS(N75="FG2020US1", "Ibuprofen Tablets (100 MG)", N75="FG0001SEG", "Metformin Tablets (100 MG)", N75="FG0002SEG", "Metformin Tablets (200 MG)", N75="FG0003SEG", "Metformin Tablets (500 MG)", N75="FG00UDI4", "Aspirin Tablets (500 MG)")</f>
        <v>Metformin Tablets (500 MG)</v>
      </c>
      <c r="P75" s="11">
        <v>4074</v>
      </c>
    </row>
    <row r="76" spans="1:16" x14ac:dyDescent="0.35">
      <c r="A76" s="11">
        <v>40000002575</v>
      </c>
      <c r="B76" s="18">
        <v>1010</v>
      </c>
      <c r="C76" s="19">
        <v>4</v>
      </c>
      <c r="D76" s="2" t="s">
        <v>102</v>
      </c>
      <c r="E76" s="6">
        <f t="shared" ref="E76" ca="1" si="82">E77</f>
        <v>45907</v>
      </c>
      <c r="F76" s="15">
        <f ca="1">TIME(RANDBETWEEN(12,22), RANDBETWEEN(0,59), RANDBETWEEN(0,59))</f>
        <v>0.92383101851851857</v>
      </c>
      <c r="G76" s="18" t="s">
        <v>30</v>
      </c>
      <c r="H76" s="55">
        <f t="shared" ca="1" si="69"/>
        <v>45907</v>
      </c>
      <c r="I76" s="20">
        <f t="shared" ca="1" si="70"/>
        <v>0.92383101851851857</v>
      </c>
      <c r="J76" s="55">
        <f t="shared" ca="1" si="71"/>
        <v>45907</v>
      </c>
      <c r="K76" s="20">
        <f t="shared" ca="1" si="72"/>
        <v>0.99716435185185193</v>
      </c>
      <c r="L76" s="19" t="s">
        <v>18</v>
      </c>
      <c r="M76" s="18">
        <v>1004585</v>
      </c>
      <c r="N76" s="49" t="s">
        <v>19</v>
      </c>
      <c r="O76" s="11" t="str" cm="1">
        <f t="array" ref="O76">_xlfn.IFS(N76="FG2020US1", "Ibuprofen Tablets (100 MG)", N76="FG0001SEG", "Metformin Tablets (100 MG)", N76="FG0002SEG", "Metformin Tablets (200 MG)", N76="FG0003SEG", "Metformin Tablets (500 MG)", N76="FG00UDI4", "Aspirin Tablets (500 MG)")</f>
        <v>Metformin Tablets (100 MG)</v>
      </c>
      <c r="P76" s="11">
        <v>4075</v>
      </c>
    </row>
    <row r="77" spans="1:16" x14ac:dyDescent="0.35">
      <c r="A77" s="11">
        <v>40000002576</v>
      </c>
      <c r="B77" s="18">
        <v>1010</v>
      </c>
      <c r="C77" s="19">
        <v>4</v>
      </c>
      <c r="D77" s="2" t="s">
        <v>103</v>
      </c>
      <c r="E77" s="6">
        <f t="shared" ref="E77" ca="1" si="83">E78-1</f>
        <v>45907</v>
      </c>
      <c r="F77" s="15">
        <f ca="1">TIME(RANDBETWEEN(0,10), RANDBETWEEN(0,59), RANDBETWEEN(0,59))</f>
        <v>8.6458333333333331E-2</v>
      </c>
      <c r="G77" s="18" t="s">
        <v>39</v>
      </c>
      <c r="H77" s="55">
        <f t="shared" ca="1" si="69"/>
        <v>45907</v>
      </c>
      <c r="I77" s="20">
        <f t="shared" ca="1" si="70"/>
        <v>8.6458333333333331E-2</v>
      </c>
      <c r="J77" s="55">
        <f t="shared" ca="1" si="71"/>
        <v>45907</v>
      </c>
      <c r="K77" s="20">
        <f t="shared" ca="1" si="72"/>
        <v>0.14957175925925925</v>
      </c>
      <c r="L77" s="19" t="s">
        <v>18</v>
      </c>
      <c r="M77" s="18">
        <v>1004586</v>
      </c>
      <c r="N77" s="49" t="s">
        <v>31</v>
      </c>
      <c r="O77" s="11" t="str" cm="1">
        <f t="array" ref="O77">_xlfn.IFS(N77="FG2020US1", "Ibuprofen Tablets (100 MG)", N77="FG0001SEG", "Metformin Tablets (100 MG)", N77="FG0002SEG", "Metformin Tablets (200 MG)", N77="FG0003SEG", "Metformin Tablets (500 MG)", N77="FG00UDI4", "Aspirin Tablets (500 MG)")</f>
        <v>Aspirin Tablets (500 MG)</v>
      </c>
      <c r="P77" s="11">
        <v>4076</v>
      </c>
    </row>
    <row r="78" spans="1:16" x14ac:dyDescent="0.35">
      <c r="A78" s="11">
        <v>40000002577</v>
      </c>
      <c r="B78" s="18">
        <v>1010</v>
      </c>
      <c r="C78" s="19">
        <v>4</v>
      </c>
      <c r="D78" s="2" t="s">
        <v>104</v>
      </c>
      <c r="E78" s="6">
        <f t="shared" ref="E78" ca="1" si="84">E79</f>
        <v>45908</v>
      </c>
      <c r="F78" s="15">
        <f ca="1">TIME(RANDBETWEEN(12,22), RANDBETWEEN(0,59), RANDBETWEEN(0,59))</f>
        <v>0.77253472222222219</v>
      </c>
      <c r="G78" s="18" t="s">
        <v>24</v>
      </c>
      <c r="H78" s="55">
        <f t="shared" ca="1" si="69"/>
        <v>45908</v>
      </c>
      <c r="I78" s="20">
        <f t="shared" ca="1" si="70"/>
        <v>0.77253472222222219</v>
      </c>
      <c r="J78" s="55">
        <f t="shared" ca="1" si="71"/>
        <v>45908</v>
      </c>
      <c r="K78" s="20">
        <f t="shared" ca="1" si="72"/>
        <v>0.83701388888888884</v>
      </c>
      <c r="L78" s="19" t="s">
        <v>18</v>
      </c>
      <c r="M78" s="18">
        <v>1004587</v>
      </c>
      <c r="N78" s="49" t="s">
        <v>34</v>
      </c>
      <c r="O78" s="11" t="str" cm="1">
        <f t="array" ref="O78">_xlfn.IFS(N78="FG2020US1", "Ibuprofen Tablets (100 MG)", N78="FG0001SEG", "Metformin Tablets (100 MG)", N78="FG0002SEG", "Metformin Tablets (200 MG)", N78="FG0003SEG", "Metformin Tablets (500 MG)", N78="FG00UDI4", "Aspirin Tablets (500 MG)")</f>
        <v>Metformin Tablets (200 MG)</v>
      </c>
      <c r="P78" s="11">
        <v>4077</v>
      </c>
    </row>
    <row r="79" spans="1:16" x14ac:dyDescent="0.35">
      <c r="A79" s="11">
        <v>40000002578</v>
      </c>
      <c r="B79" s="18">
        <v>1010</v>
      </c>
      <c r="C79" s="19">
        <v>4</v>
      </c>
      <c r="D79" s="2" t="s">
        <v>105</v>
      </c>
      <c r="E79" s="6">
        <f t="shared" ref="E79" ca="1" si="85">E80-1</f>
        <v>45908</v>
      </c>
      <c r="F79" s="15">
        <f ca="1">TIME(RANDBETWEEN(0,10), RANDBETWEEN(0,59), RANDBETWEEN(0,59))</f>
        <v>0.21364583333333334</v>
      </c>
      <c r="G79" s="18" t="s">
        <v>39</v>
      </c>
      <c r="H79" s="55">
        <f t="shared" ca="1" si="69"/>
        <v>45908</v>
      </c>
      <c r="I79" s="20">
        <f t="shared" ca="1" si="70"/>
        <v>0.21364583333333334</v>
      </c>
      <c r="J79" s="55">
        <f t="shared" ca="1" si="71"/>
        <v>45908</v>
      </c>
      <c r="K79" s="20">
        <f t="shared" ca="1" si="72"/>
        <v>0.2857291666666667</v>
      </c>
      <c r="L79" s="19" t="s">
        <v>18</v>
      </c>
      <c r="M79" s="18">
        <v>1004588</v>
      </c>
      <c r="N79" s="49" t="s">
        <v>19</v>
      </c>
      <c r="O79" s="11" t="str" cm="1">
        <f t="array" ref="O79">_xlfn.IFS(N79="FG2020US1", "Ibuprofen Tablets (100 MG)", N79="FG0001SEG", "Metformin Tablets (100 MG)", N79="FG0002SEG", "Metformin Tablets (200 MG)", N79="FG0003SEG", "Metformin Tablets (500 MG)", N79="FG00UDI4", "Aspirin Tablets (500 MG)")</f>
        <v>Metformin Tablets (100 MG)</v>
      </c>
      <c r="P79" s="11">
        <v>4078</v>
      </c>
    </row>
    <row r="80" spans="1:16" x14ac:dyDescent="0.35">
      <c r="A80" s="11">
        <v>40000002579</v>
      </c>
      <c r="B80" s="18">
        <v>1010</v>
      </c>
      <c r="C80" s="19">
        <v>4</v>
      </c>
      <c r="D80" s="2" t="s">
        <v>106</v>
      </c>
      <c r="E80" s="6">
        <f t="shared" ref="E80" ca="1" si="86">E81</f>
        <v>45909</v>
      </c>
      <c r="F80" s="15">
        <f ca="1">TIME(RANDBETWEEN(12,22), RANDBETWEEN(0,59), RANDBETWEEN(0,59))</f>
        <v>0.6348611111111111</v>
      </c>
      <c r="G80" s="18" t="s">
        <v>30</v>
      </c>
      <c r="H80" s="55">
        <f t="shared" ca="1" si="69"/>
        <v>45909</v>
      </c>
      <c r="I80" s="20">
        <f t="shared" ca="1" si="70"/>
        <v>0.6348611111111111</v>
      </c>
      <c r="J80" s="55">
        <f t="shared" ca="1" si="71"/>
        <v>45909</v>
      </c>
      <c r="K80" s="20">
        <f t="shared" ca="1" si="72"/>
        <v>0.6945486111111111</v>
      </c>
      <c r="L80" s="19" t="s">
        <v>18</v>
      </c>
      <c r="M80" s="18">
        <v>1004589</v>
      </c>
      <c r="N80" s="49" t="s">
        <v>34</v>
      </c>
      <c r="O80" s="11" t="str" cm="1">
        <f t="array" ref="O80">_xlfn.IFS(N80="FG2020US1", "Ibuprofen Tablets (100 MG)", N80="FG0001SEG", "Metformin Tablets (100 MG)", N80="FG0002SEG", "Metformin Tablets (200 MG)", N80="FG0003SEG", "Metformin Tablets (500 MG)", N80="FG00UDI4", "Aspirin Tablets (500 MG)")</f>
        <v>Metformin Tablets (200 MG)</v>
      </c>
      <c r="P80" s="11">
        <v>4079</v>
      </c>
    </row>
    <row r="81" spans="1:16" x14ac:dyDescent="0.35">
      <c r="A81" s="11">
        <v>40000002580</v>
      </c>
      <c r="B81" s="18">
        <v>1010</v>
      </c>
      <c r="C81" s="19">
        <v>4</v>
      </c>
      <c r="D81" s="2" t="s">
        <v>107</v>
      </c>
      <c r="E81" s="6">
        <f t="shared" ref="E81" ca="1" si="87">E82-1</f>
        <v>45909</v>
      </c>
      <c r="F81" s="15">
        <f ca="1">TIME(RANDBETWEEN(0,10), RANDBETWEEN(0,59), RANDBETWEEN(0,59))</f>
        <v>4.3738425925925924E-2</v>
      </c>
      <c r="G81" s="18" t="s">
        <v>36</v>
      </c>
      <c r="H81" s="55">
        <f t="shared" ca="1" si="69"/>
        <v>45909</v>
      </c>
      <c r="I81" s="20">
        <f t="shared" ca="1" si="70"/>
        <v>4.3738425925925924E-2</v>
      </c>
      <c r="J81" s="55">
        <f t="shared" ca="1" si="71"/>
        <v>45909</v>
      </c>
      <c r="K81" s="20">
        <f t="shared" ca="1" si="72"/>
        <v>0.11928240740740739</v>
      </c>
      <c r="L81" s="19" t="s">
        <v>18</v>
      </c>
      <c r="M81" s="18">
        <v>1004590</v>
      </c>
      <c r="N81" s="49" t="s">
        <v>27</v>
      </c>
      <c r="O81" s="11" t="str" cm="1">
        <f t="array" ref="O81">_xlfn.IFS(N81="FG2020US1", "Ibuprofen Tablets (100 MG)", N81="FG0001SEG", "Metformin Tablets (100 MG)", N81="FG0002SEG", "Metformin Tablets (200 MG)", N81="FG0003SEG", "Metformin Tablets (500 MG)", N81="FG00UDI4", "Aspirin Tablets (500 MG)")</f>
        <v>Metformin Tablets (500 MG)</v>
      </c>
      <c r="P81" s="11">
        <v>4080</v>
      </c>
    </row>
    <row r="82" spans="1:16" x14ac:dyDescent="0.35">
      <c r="A82" s="11">
        <v>40000002581</v>
      </c>
      <c r="B82" s="18">
        <v>1010</v>
      </c>
      <c r="C82" s="19">
        <v>4</v>
      </c>
      <c r="D82" s="2" t="s">
        <v>108</v>
      </c>
      <c r="E82" s="6">
        <f t="shared" ref="E82" ca="1" si="88">E83</f>
        <v>45910</v>
      </c>
      <c r="F82" s="15">
        <f ca="1">TIME(RANDBETWEEN(12,22), RANDBETWEEN(0,59), RANDBETWEEN(0,59))</f>
        <v>0.63848379629629626</v>
      </c>
      <c r="G82" s="18" t="s">
        <v>17</v>
      </c>
      <c r="H82" s="55">
        <f t="shared" ca="1" si="69"/>
        <v>45910</v>
      </c>
      <c r="I82" s="20">
        <f t="shared" ca="1" si="70"/>
        <v>0.63848379629629626</v>
      </c>
      <c r="J82" s="55">
        <f t="shared" ca="1" si="71"/>
        <v>45910</v>
      </c>
      <c r="K82" s="20">
        <f t="shared" ca="1" si="72"/>
        <v>0.70761574074074074</v>
      </c>
      <c r="L82" s="19" t="s">
        <v>18</v>
      </c>
      <c r="M82" s="18">
        <v>1004591</v>
      </c>
      <c r="N82" s="49" t="s">
        <v>22</v>
      </c>
      <c r="O82" s="11" t="str" cm="1">
        <f t="array" ref="O82">_xlfn.IFS(N82="FG2020US1", "Ibuprofen Tablets (100 MG)", N82="FG0001SEG", "Metformin Tablets (100 MG)", N82="FG0002SEG", "Metformin Tablets (200 MG)", N82="FG0003SEG", "Metformin Tablets (500 MG)", N82="FG00UDI4", "Aspirin Tablets (500 MG)")</f>
        <v>Ibuprofen Tablets (100 MG)</v>
      </c>
      <c r="P82" s="11">
        <v>4081</v>
      </c>
    </row>
    <row r="83" spans="1:16" x14ac:dyDescent="0.35">
      <c r="A83" s="11">
        <v>40000002582</v>
      </c>
      <c r="B83" s="18">
        <v>1010</v>
      </c>
      <c r="C83" s="19">
        <v>4</v>
      </c>
      <c r="D83" s="2" t="s">
        <v>109</v>
      </c>
      <c r="E83" s="6">
        <f t="shared" ref="E83" ca="1" si="89">E84-1</f>
        <v>45910</v>
      </c>
      <c r="F83" s="15">
        <f ca="1">TIME(RANDBETWEEN(0,10), RANDBETWEEN(0,59), RANDBETWEEN(0,59))</f>
        <v>0.35917824074074073</v>
      </c>
      <c r="G83" s="18" t="s">
        <v>36</v>
      </c>
      <c r="H83" s="55">
        <f t="shared" ca="1" si="69"/>
        <v>45910</v>
      </c>
      <c r="I83" s="20">
        <f t="shared" ca="1" si="70"/>
        <v>0.35917824074074073</v>
      </c>
      <c r="J83" s="55">
        <f t="shared" ca="1" si="71"/>
        <v>45910</v>
      </c>
      <c r="K83" s="20">
        <f t="shared" ca="1" si="72"/>
        <v>0.4211111111111111</v>
      </c>
      <c r="L83" s="19" t="s">
        <v>18</v>
      </c>
      <c r="M83" s="18">
        <v>1004592</v>
      </c>
      <c r="N83" s="49" t="s">
        <v>19</v>
      </c>
      <c r="O83" s="11" t="str" cm="1">
        <f t="array" ref="O83">_xlfn.IFS(N83="FG2020US1", "Ibuprofen Tablets (100 MG)", N83="FG0001SEG", "Metformin Tablets (100 MG)", N83="FG0002SEG", "Metformin Tablets (200 MG)", N83="FG0003SEG", "Metformin Tablets (500 MG)", N83="FG00UDI4", "Aspirin Tablets (500 MG)")</f>
        <v>Metformin Tablets (100 MG)</v>
      </c>
      <c r="P83" s="11">
        <v>4082</v>
      </c>
    </row>
    <row r="84" spans="1:16" x14ac:dyDescent="0.35">
      <c r="A84" s="11">
        <v>40000002583</v>
      </c>
      <c r="B84" s="18">
        <v>1010</v>
      </c>
      <c r="C84" s="19">
        <v>4</v>
      </c>
      <c r="D84" s="2" t="s">
        <v>110</v>
      </c>
      <c r="E84" s="6">
        <f t="shared" ref="E84" ca="1" si="90">E85</f>
        <v>45911</v>
      </c>
      <c r="F84" s="15">
        <f ca="1">TIME(RANDBETWEEN(12,22), RANDBETWEEN(0,59), RANDBETWEEN(0,59))</f>
        <v>0.51527777777777772</v>
      </c>
      <c r="G84" s="18" t="s">
        <v>24</v>
      </c>
      <c r="H84" s="55">
        <f t="shared" ca="1" si="69"/>
        <v>45911</v>
      </c>
      <c r="I84" s="20">
        <f t="shared" ca="1" si="70"/>
        <v>0.51527777777777772</v>
      </c>
      <c r="J84" s="55">
        <f t="shared" ca="1" si="71"/>
        <v>45911</v>
      </c>
      <c r="K84" s="20">
        <f t="shared" ca="1" si="72"/>
        <v>0.58943287037037029</v>
      </c>
      <c r="L84" s="19" t="s">
        <v>18</v>
      </c>
      <c r="M84" s="18">
        <v>1004593</v>
      </c>
      <c r="N84" s="49" t="s">
        <v>34</v>
      </c>
      <c r="O84" s="11" t="str" cm="1">
        <f t="array" ref="O84">_xlfn.IFS(N84="FG2020US1", "Ibuprofen Tablets (100 MG)", N84="FG0001SEG", "Metformin Tablets (100 MG)", N84="FG0002SEG", "Metformin Tablets (200 MG)", N84="FG0003SEG", "Metformin Tablets (500 MG)", N84="FG00UDI4", "Aspirin Tablets (500 MG)")</f>
        <v>Metformin Tablets (200 MG)</v>
      </c>
      <c r="P84" s="11">
        <v>4083</v>
      </c>
    </row>
    <row r="85" spans="1:16" x14ac:dyDescent="0.35">
      <c r="A85" s="11">
        <v>40000002584</v>
      </c>
      <c r="B85" s="18">
        <v>1010</v>
      </c>
      <c r="C85" s="19">
        <v>4</v>
      </c>
      <c r="D85" s="2" t="s">
        <v>111</v>
      </c>
      <c r="E85" s="6">
        <f t="shared" ref="E85" ca="1" si="91">E86-1</f>
        <v>45911</v>
      </c>
      <c r="F85" s="15">
        <f ca="1">TIME(RANDBETWEEN(0,10), RANDBETWEEN(0,59), RANDBETWEEN(0,59))</f>
        <v>0.17471064814814816</v>
      </c>
      <c r="G85" s="18" t="s">
        <v>21</v>
      </c>
      <c r="H85" s="55">
        <f t="shared" ca="1" si="69"/>
        <v>45911</v>
      </c>
      <c r="I85" s="20">
        <f t="shared" ca="1" si="70"/>
        <v>0.17471064814814816</v>
      </c>
      <c r="J85" s="55">
        <f t="shared" ca="1" si="71"/>
        <v>45911</v>
      </c>
      <c r="K85" s="20">
        <f t="shared" ca="1" si="72"/>
        <v>0.24431712962962965</v>
      </c>
      <c r="L85" s="19" t="s">
        <v>18</v>
      </c>
      <c r="M85" s="18">
        <v>1004594</v>
      </c>
      <c r="N85" s="49" t="s">
        <v>22</v>
      </c>
      <c r="O85" s="11" t="str" cm="1">
        <f t="array" ref="O85">_xlfn.IFS(N85="FG2020US1", "Ibuprofen Tablets (100 MG)", N85="FG0001SEG", "Metformin Tablets (100 MG)", N85="FG0002SEG", "Metformin Tablets (200 MG)", N85="FG0003SEG", "Metformin Tablets (500 MG)", N85="FG00UDI4", "Aspirin Tablets (500 MG)")</f>
        <v>Ibuprofen Tablets (100 MG)</v>
      </c>
      <c r="P85" s="11">
        <v>4084</v>
      </c>
    </row>
    <row r="86" spans="1:16" x14ac:dyDescent="0.35">
      <c r="A86" s="11">
        <v>40000002585</v>
      </c>
      <c r="B86" s="18">
        <v>1010</v>
      </c>
      <c r="C86" s="19">
        <v>4</v>
      </c>
      <c r="D86" s="2" t="s">
        <v>112</v>
      </c>
      <c r="E86" s="6">
        <f t="shared" ref="E86" ca="1" si="92">E87</f>
        <v>45912</v>
      </c>
      <c r="F86" s="15">
        <f ca="1">TIME(RANDBETWEEN(12,22), RANDBETWEEN(0,59), RANDBETWEEN(0,59))</f>
        <v>0.58859953703703705</v>
      </c>
      <c r="G86" s="18" t="s">
        <v>30</v>
      </c>
      <c r="H86" s="55">
        <f t="shared" ca="1" si="69"/>
        <v>45912</v>
      </c>
      <c r="I86" s="20">
        <f t="shared" ca="1" si="70"/>
        <v>0.58859953703703705</v>
      </c>
      <c r="J86" s="55">
        <f t="shared" ca="1" si="71"/>
        <v>45912</v>
      </c>
      <c r="K86" s="20">
        <f t="shared" ca="1" si="72"/>
        <v>0.65504629629629629</v>
      </c>
      <c r="L86" s="19" t="s">
        <v>18</v>
      </c>
      <c r="M86" s="18">
        <v>1004595</v>
      </c>
      <c r="N86" s="49" t="s">
        <v>22</v>
      </c>
      <c r="O86" s="11" t="str" cm="1">
        <f t="array" ref="O86">_xlfn.IFS(N86="FG2020US1", "Ibuprofen Tablets (100 MG)", N86="FG0001SEG", "Metformin Tablets (100 MG)", N86="FG0002SEG", "Metformin Tablets (200 MG)", N86="FG0003SEG", "Metformin Tablets (500 MG)", N86="FG00UDI4", "Aspirin Tablets (500 MG)")</f>
        <v>Ibuprofen Tablets (100 MG)</v>
      </c>
      <c r="P86" s="11">
        <v>4085</v>
      </c>
    </row>
    <row r="87" spans="1:16" x14ac:dyDescent="0.35">
      <c r="A87" s="11">
        <v>40000002586</v>
      </c>
      <c r="B87" s="18">
        <v>1010</v>
      </c>
      <c r="C87" s="19">
        <v>4</v>
      </c>
      <c r="D87" s="2" t="s">
        <v>113</v>
      </c>
      <c r="E87" s="6">
        <f t="shared" ref="E87" ca="1" si="93">E88-1</f>
        <v>45912</v>
      </c>
      <c r="F87" s="15">
        <f ca="1">TIME(RANDBETWEEN(0,10), RANDBETWEEN(0,59), RANDBETWEEN(0,59))</f>
        <v>0.18231481481481482</v>
      </c>
      <c r="G87" s="18" t="s">
        <v>21</v>
      </c>
      <c r="H87" s="55">
        <f t="shared" ca="1" si="69"/>
        <v>45912</v>
      </c>
      <c r="I87" s="20">
        <f t="shared" ca="1" si="70"/>
        <v>0.18231481481481482</v>
      </c>
      <c r="J87" s="55">
        <f t="shared" ca="1" si="71"/>
        <v>45912</v>
      </c>
      <c r="K87" s="20">
        <f t="shared" ca="1" si="72"/>
        <v>0.25320601851851854</v>
      </c>
      <c r="L87" s="19" t="s">
        <v>18</v>
      </c>
      <c r="M87" s="18">
        <v>1004596</v>
      </c>
      <c r="N87" s="49" t="s">
        <v>27</v>
      </c>
      <c r="O87" s="11" t="str" cm="1">
        <f t="array" ref="O87">_xlfn.IFS(N87="FG2020US1", "Ibuprofen Tablets (100 MG)", N87="FG0001SEG", "Metformin Tablets (100 MG)", N87="FG0002SEG", "Metformin Tablets (200 MG)", N87="FG0003SEG", "Metformin Tablets (500 MG)", N87="FG00UDI4", "Aspirin Tablets (500 MG)")</f>
        <v>Metformin Tablets (500 MG)</v>
      </c>
      <c r="P87" s="11">
        <v>4086</v>
      </c>
    </row>
    <row r="88" spans="1:16" x14ac:dyDescent="0.35">
      <c r="A88" s="11">
        <v>40000002587</v>
      </c>
      <c r="B88" s="18">
        <v>1010</v>
      </c>
      <c r="C88" s="19">
        <v>4</v>
      </c>
      <c r="D88" s="2" t="s">
        <v>114</v>
      </c>
      <c r="E88" s="6">
        <f t="shared" ref="E88" ca="1" si="94">E89</f>
        <v>45913</v>
      </c>
      <c r="F88" s="15">
        <f ca="1">TIME(RANDBETWEEN(12,22), RANDBETWEEN(0,59), RANDBETWEEN(0,59))</f>
        <v>0.55945601851851856</v>
      </c>
      <c r="G88" s="18" t="s">
        <v>30</v>
      </c>
      <c r="H88" s="55">
        <f t="shared" ca="1" si="69"/>
        <v>45913</v>
      </c>
      <c r="I88" s="20">
        <f t="shared" ca="1" si="70"/>
        <v>0.55945601851851856</v>
      </c>
      <c r="J88" s="55">
        <f t="shared" ca="1" si="71"/>
        <v>45913</v>
      </c>
      <c r="K88" s="20">
        <f t="shared" ca="1" si="72"/>
        <v>0.63559027777777777</v>
      </c>
      <c r="L88" s="19" t="s">
        <v>18</v>
      </c>
      <c r="M88" s="18">
        <v>1004597</v>
      </c>
      <c r="N88" s="49" t="s">
        <v>31</v>
      </c>
      <c r="O88" s="11" t="str" cm="1">
        <f t="array" ref="O88">_xlfn.IFS(N88="FG2020US1", "Ibuprofen Tablets (100 MG)", N88="FG0001SEG", "Metformin Tablets (100 MG)", N88="FG0002SEG", "Metformin Tablets (200 MG)", N88="FG0003SEG", "Metformin Tablets (500 MG)", N88="FG00UDI4", "Aspirin Tablets (500 MG)")</f>
        <v>Aspirin Tablets (500 MG)</v>
      </c>
      <c r="P88" s="11">
        <v>4087</v>
      </c>
    </row>
    <row r="89" spans="1:16" x14ac:dyDescent="0.35">
      <c r="A89" s="11">
        <v>40000002588</v>
      </c>
      <c r="B89" s="18">
        <v>1010</v>
      </c>
      <c r="C89" s="19">
        <v>4</v>
      </c>
      <c r="D89" s="2" t="s">
        <v>115</v>
      </c>
      <c r="E89" s="6">
        <f t="shared" ref="E89" ca="1" si="95">E90-1</f>
        <v>45913</v>
      </c>
      <c r="F89" s="15">
        <f ca="1">TIME(RANDBETWEEN(0,10), RANDBETWEEN(0,59), RANDBETWEEN(0,59))</f>
        <v>0.21681712962962962</v>
      </c>
      <c r="G89" s="18" t="s">
        <v>21</v>
      </c>
      <c r="H89" s="55">
        <f t="shared" ca="1" si="69"/>
        <v>45913</v>
      </c>
      <c r="I89" s="20">
        <f t="shared" ca="1" si="70"/>
        <v>0.21681712962962962</v>
      </c>
      <c r="J89" s="55">
        <f t="shared" ca="1" si="71"/>
        <v>45913</v>
      </c>
      <c r="K89" s="20">
        <f t="shared" ca="1" si="72"/>
        <v>0.27997685185185184</v>
      </c>
      <c r="L89" s="19" t="s">
        <v>18</v>
      </c>
      <c r="M89" s="18">
        <v>1004598</v>
      </c>
      <c r="N89" s="49" t="s">
        <v>27</v>
      </c>
      <c r="O89" s="11" t="str" cm="1">
        <f t="array" ref="O89">_xlfn.IFS(N89="FG2020US1", "Ibuprofen Tablets (100 MG)", N89="FG0001SEG", "Metformin Tablets (100 MG)", N89="FG0002SEG", "Metformin Tablets (200 MG)", N89="FG0003SEG", "Metformin Tablets (500 MG)", N89="FG00UDI4", "Aspirin Tablets (500 MG)")</f>
        <v>Metformin Tablets (500 MG)</v>
      </c>
      <c r="P89" s="11">
        <v>4088</v>
      </c>
    </row>
    <row r="90" spans="1:16" x14ac:dyDescent="0.35">
      <c r="A90" s="11">
        <v>40000002589</v>
      </c>
      <c r="B90" s="18">
        <v>1010</v>
      </c>
      <c r="C90" s="19">
        <v>4</v>
      </c>
      <c r="D90" s="2" t="s">
        <v>116</v>
      </c>
      <c r="E90" s="6">
        <f t="shared" ref="E90" ca="1" si="96">E91</f>
        <v>45914</v>
      </c>
      <c r="F90" s="15">
        <f ca="1">TIME(RANDBETWEEN(12,22), RANDBETWEEN(0,59), RANDBETWEEN(0,59))</f>
        <v>0.8784953703703704</v>
      </c>
      <c r="G90" s="18" t="s">
        <v>17</v>
      </c>
      <c r="H90" s="55">
        <f t="shared" ca="1" si="69"/>
        <v>45914</v>
      </c>
      <c r="I90" s="20">
        <f t="shared" ca="1" si="70"/>
        <v>0.8784953703703704</v>
      </c>
      <c r="J90" s="55">
        <f t="shared" ca="1" si="71"/>
        <v>45914</v>
      </c>
      <c r="K90" s="20">
        <f t="shared" ca="1" si="72"/>
        <v>0.95231481481481484</v>
      </c>
      <c r="L90" s="19" t="s">
        <v>18</v>
      </c>
      <c r="M90" s="18">
        <v>1004599</v>
      </c>
      <c r="N90" s="49" t="s">
        <v>31</v>
      </c>
      <c r="O90" s="11" t="str" cm="1">
        <f t="array" ref="O90">_xlfn.IFS(N90="FG2020US1", "Ibuprofen Tablets (100 MG)", N90="FG0001SEG", "Metformin Tablets (100 MG)", N90="FG0002SEG", "Metformin Tablets (200 MG)", N90="FG0003SEG", "Metformin Tablets (500 MG)", N90="FG00UDI4", "Aspirin Tablets (500 MG)")</f>
        <v>Aspirin Tablets (500 MG)</v>
      </c>
      <c r="P90" s="11">
        <v>4089</v>
      </c>
    </row>
    <row r="91" spans="1:16" x14ac:dyDescent="0.35">
      <c r="A91" s="11">
        <v>40000002590</v>
      </c>
      <c r="B91" s="18">
        <v>1010</v>
      </c>
      <c r="C91" s="19">
        <v>4</v>
      </c>
      <c r="D91" s="2" t="s">
        <v>117</v>
      </c>
      <c r="E91" s="6">
        <f t="shared" ref="E91" ca="1" si="97">E92-1</f>
        <v>45914</v>
      </c>
      <c r="F91" s="15">
        <f ca="1">TIME(RANDBETWEEN(0,10), RANDBETWEEN(0,59), RANDBETWEEN(0,59))</f>
        <v>8.5844907407407411E-2</v>
      </c>
      <c r="G91" s="18" t="s">
        <v>39</v>
      </c>
      <c r="H91" s="55">
        <f t="shared" ca="1" si="69"/>
        <v>45914</v>
      </c>
      <c r="I91" s="20">
        <f t="shared" ca="1" si="70"/>
        <v>8.5844907407407411E-2</v>
      </c>
      <c r="J91" s="55">
        <f t="shared" ca="1" si="71"/>
        <v>45914</v>
      </c>
      <c r="K91" s="20">
        <f t="shared" ca="1" si="72"/>
        <v>0.15083333333333332</v>
      </c>
      <c r="L91" s="19" t="s">
        <v>18</v>
      </c>
      <c r="M91" s="18">
        <v>1004600</v>
      </c>
      <c r="N91" s="49" t="s">
        <v>19</v>
      </c>
      <c r="O91" s="11" t="str" cm="1">
        <f t="array" ref="O91">_xlfn.IFS(N91="FG2020US1", "Ibuprofen Tablets (100 MG)", N91="FG0001SEG", "Metformin Tablets (100 MG)", N91="FG0002SEG", "Metformin Tablets (200 MG)", N91="FG0003SEG", "Metformin Tablets (500 MG)", N91="FG00UDI4", "Aspirin Tablets (500 MG)")</f>
        <v>Metformin Tablets (100 MG)</v>
      </c>
      <c r="P91" s="11">
        <v>4090</v>
      </c>
    </row>
    <row r="92" spans="1:16" x14ac:dyDescent="0.35">
      <c r="A92" s="11">
        <v>40000002591</v>
      </c>
      <c r="B92" s="18">
        <v>1010</v>
      </c>
      <c r="C92" s="19">
        <v>4</v>
      </c>
      <c r="D92" s="2" t="s">
        <v>118</v>
      </c>
      <c r="E92" s="6">
        <f t="shared" ref="E92" ca="1" si="98">E93</f>
        <v>45915</v>
      </c>
      <c r="F92" s="15">
        <f ca="1">TIME(RANDBETWEEN(12,22), RANDBETWEEN(0,59), RANDBETWEEN(0,59))</f>
        <v>0.52410879629629625</v>
      </c>
      <c r="G92" s="18" t="s">
        <v>24</v>
      </c>
      <c r="H92" s="55">
        <f t="shared" ca="1" si="69"/>
        <v>45915</v>
      </c>
      <c r="I92" s="20">
        <f t="shared" ca="1" si="70"/>
        <v>0.52410879629629625</v>
      </c>
      <c r="J92" s="55">
        <f t="shared" ca="1" si="71"/>
        <v>45915</v>
      </c>
      <c r="K92" s="20">
        <f t="shared" ca="1" si="72"/>
        <v>0.59011574074074069</v>
      </c>
      <c r="L92" s="19" t="s">
        <v>18</v>
      </c>
      <c r="M92" s="18">
        <v>1004601</v>
      </c>
      <c r="N92" s="49" t="s">
        <v>31</v>
      </c>
      <c r="O92" s="11" t="str" cm="1">
        <f t="array" ref="O92">_xlfn.IFS(N92="FG2020US1", "Ibuprofen Tablets (100 MG)", N92="FG0001SEG", "Metformin Tablets (100 MG)", N92="FG0002SEG", "Metformin Tablets (200 MG)", N92="FG0003SEG", "Metformin Tablets (500 MG)", N92="FG00UDI4", "Aspirin Tablets (500 MG)")</f>
        <v>Aspirin Tablets (500 MG)</v>
      </c>
      <c r="P92" s="11">
        <v>4091</v>
      </c>
    </row>
    <row r="93" spans="1:16" x14ac:dyDescent="0.35">
      <c r="A93" s="11">
        <v>40000002592</v>
      </c>
      <c r="B93" s="18">
        <v>1010</v>
      </c>
      <c r="C93" s="19">
        <v>4</v>
      </c>
      <c r="D93" s="2" t="s">
        <v>119</v>
      </c>
      <c r="E93" s="6">
        <f t="shared" ref="E93" ca="1" si="99">E94-1</f>
        <v>45915</v>
      </c>
      <c r="F93" s="15">
        <f ca="1">TIME(RANDBETWEEN(0,10), RANDBETWEEN(0,59), RANDBETWEEN(0,59))</f>
        <v>0.43228009259259259</v>
      </c>
      <c r="G93" s="18" t="s">
        <v>39</v>
      </c>
      <c r="H93" s="55">
        <f t="shared" ca="1" si="69"/>
        <v>45915</v>
      </c>
      <c r="I93" s="20">
        <f t="shared" ca="1" si="70"/>
        <v>0.43228009259259259</v>
      </c>
      <c r="J93" s="55">
        <f t="shared" ca="1" si="71"/>
        <v>45915</v>
      </c>
      <c r="K93" s="20">
        <f t="shared" ca="1" si="72"/>
        <v>0.49585648148148148</v>
      </c>
      <c r="L93" s="19" t="s">
        <v>18</v>
      </c>
      <c r="M93" s="18">
        <v>1004602</v>
      </c>
      <c r="N93" s="49" t="s">
        <v>34</v>
      </c>
      <c r="O93" s="11" t="str" cm="1">
        <f t="array" ref="O93">_xlfn.IFS(N93="FG2020US1", "Ibuprofen Tablets (100 MG)", N93="FG0001SEG", "Metformin Tablets (100 MG)", N93="FG0002SEG", "Metformin Tablets (200 MG)", N93="FG0003SEG", "Metformin Tablets (500 MG)", N93="FG00UDI4", "Aspirin Tablets (500 MG)")</f>
        <v>Metformin Tablets (200 MG)</v>
      </c>
      <c r="P93" s="11">
        <v>4092</v>
      </c>
    </row>
    <row r="94" spans="1:16" x14ac:dyDescent="0.35">
      <c r="A94" s="11">
        <v>40000002593</v>
      </c>
      <c r="B94" s="18">
        <v>1010</v>
      </c>
      <c r="C94" s="19">
        <v>4</v>
      </c>
      <c r="D94" s="2" t="s">
        <v>120</v>
      </c>
      <c r="E94" s="6">
        <f t="shared" ref="E94" ca="1" si="100">E95</f>
        <v>45916</v>
      </c>
      <c r="F94" s="15">
        <f ca="1">TIME(RANDBETWEEN(12,22), RANDBETWEEN(0,59), RANDBETWEEN(0,59))</f>
        <v>0.87511574074074072</v>
      </c>
      <c r="G94" s="18" t="s">
        <v>17</v>
      </c>
      <c r="H94" s="55">
        <f t="shared" ca="1" si="69"/>
        <v>45916</v>
      </c>
      <c r="I94" s="20">
        <f t="shared" ca="1" si="70"/>
        <v>0.87511574074074072</v>
      </c>
      <c r="J94" s="55">
        <f t="shared" ca="1" si="71"/>
        <v>45916</v>
      </c>
      <c r="K94" s="20">
        <f t="shared" ca="1" si="72"/>
        <v>0.9425</v>
      </c>
      <c r="L94" s="19" t="s">
        <v>18</v>
      </c>
      <c r="M94" s="18">
        <v>1004603</v>
      </c>
      <c r="N94" s="49" t="s">
        <v>27</v>
      </c>
      <c r="O94" s="11" t="str" cm="1">
        <f t="array" ref="O94">_xlfn.IFS(N94="FG2020US1", "Ibuprofen Tablets (100 MG)", N94="FG0001SEG", "Metformin Tablets (100 MG)", N94="FG0002SEG", "Metformin Tablets (200 MG)", N94="FG0003SEG", "Metformin Tablets (500 MG)", N94="FG00UDI4", "Aspirin Tablets (500 MG)")</f>
        <v>Metformin Tablets (500 MG)</v>
      </c>
      <c r="P94" s="11">
        <v>4093</v>
      </c>
    </row>
    <row r="95" spans="1:16" x14ac:dyDescent="0.35">
      <c r="A95" s="11">
        <v>40000002594</v>
      </c>
      <c r="B95" s="18">
        <v>1010</v>
      </c>
      <c r="C95" s="19">
        <v>4</v>
      </c>
      <c r="D95" s="2" t="s">
        <v>121</v>
      </c>
      <c r="E95" s="6">
        <f t="shared" ref="E95" ca="1" si="101">E96-1</f>
        <v>45916</v>
      </c>
      <c r="F95" s="15">
        <f ca="1">TIME(RANDBETWEEN(0,10), RANDBETWEEN(0,59), RANDBETWEEN(0,59))</f>
        <v>0.45229166666666665</v>
      </c>
      <c r="G95" s="18" t="s">
        <v>21</v>
      </c>
      <c r="H95" s="55">
        <f t="shared" ca="1" si="69"/>
        <v>45916</v>
      </c>
      <c r="I95" s="20">
        <f t="shared" ca="1" si="70"/>
        <v>0.45229166666666665</v>
      </c>
      <c r="J95" s="55">
        <f t="shared" ca="1" si="71"/>
        <v>45916</v>
      </c>
      <c r="K95" s="20">
        <f t="shared" ca="1" si="72"/>
        <v>0.52026620370370369</v>
      </c>
      <c r="L95" s="19" t="s">
        <v>18</v>
      </c>
      <c r="M95" s="18">
        <v>1004604</v>
      </c>
      <c r="N95" s="49" t="s">
        <v>22</v>
      </c>
      <c r="O95" s="11" t="str" cm="1">
        <f t="array" ref="O95">_xlfn.IFS(N95="FG2020US1", "Ibuprofen Tablets (100 MG)", N95="FG0001SEG", "Metformin Tablets (100 MG)", N95="FG0002SEG", "Metformin Tablets (200 MG)", N95="FG0003SEG", "Metformin Tablets (500 MG)", N95="FG00UDI4", "Aspirin Tablets (500 MG)")</f>
        <v>Ibuprofen Tablets (100 MG)</v>
      </c>
      <c r="P95" s="11">
        <v>4094</v>
      </c>
    </row>
    <row r="96" spans="1:16" x14ac:dyDescent="0.35">
      <c r="A96" s="11">
        <v>40000002595</v>
      </c>
      <c r="B96" s="18">
        <v>1010</v>
      </c>
      <c r="C96" s="19">
        <v>4</v>
      </c>
      <c r="D96" s="2" t="s">
        <v>122</v>
      </c>
      <c r="E96" s="6">
        <f t="shared" ref="E96" ca="1" si="102">E97</f>
        <v>45917</v>
      </c>
      <c r="F96" s="15">
        <f ca="1">TIME(RANDBETWEEN(12,22), RANDBETWEEN(0,59), RANDBETWEEN(0,59))</f>
        <v>0.60950231481481476</v>
      </c>
      <c r="G96" s="18" t="s">
        <v>30</v>
      </c>
      <c r="H96" s="55">
        <f t="shared" ca="1" si="69"/>
        <v>45917</v>
      </c>
      <c r="I96" s="20">
        <f t="shared" ca="1" si="70"/>
        <v>0.60950231481481476</v>
      </c>
      <c r="J96" s="55">
        <f t="shared" ca="1" si="71"/>
        <v>45917</v>
      </c>
      <c r="K96" s="20">
        <f t="shared" ca="1" si="72"/>
        <v>0.67640046296296297</v>
      </c>
      <c r="L96" s="19" t="s">
        <v>18</v>
      </c>
      <c r="M96" s="18">
        <v>1004605</v>
      </c>
      <c r="N96" s="49" t="s">
        <v>34</v>
      </c>
      <c r="O96" s="11" t="str" cm="1">
        <f t="array" ref="O96">_xlfn.IFS(N96="FG2020US1", "Ibuprofen Tablets (100 MG)", N96="FG0001SEG", "Metformin Tablets (100 MG)", N96="FG0002SEG", "Metformin Tablets (200 MG)", N96="FG0003SEG", "Metformin Tablets (500 MG)", N96="FG00UDI4", "Aspirin Tablets (500 MG)")</f>
        <v>Metformin Tablets (200 MG)</v>
      </c>
      <c r="P96" s="11">
        <v>4095</v>
      </c>
    </row>
    <row r="97" spans="1:16" x14ac:dyDescent="0.35">
      <c r="A97" s="11">
        <v>40000002596</v>
      </c>
      <c r="B97" s="18">
        <v>1010</v>
      </c>
      <c r="C97" s="19">
        <v>4</v>
      </c>
      <c r="D97" s="2" t="s">
        <v>123</v>
      </c>
      <c r="E97" s="6">
        <f t="shared" ref="E97" ca="1" si="103">E98-1</f>
        <v>45917</v>
      </c>
      <c r="F97" s="15">
        <f ca="1">TIME(RANDBETWEEN(0,10), RANDBETWEEN(0,59), RANDBETWEEN(0,59))</f>
        <v>0.24616898148148147</v>
      </c>
      <c r="G97" s="18" t="s">
        <v>36</v>
      </c>
      <c r="H97" s="55">
        <f t="shared" ca="1" si="69"/>
        <v>45917</v>
      </c>
      <c r="I97" s="20">
        <f t="shared" ca="1" si="70"/>
        <v>0.24616898148148147</v>
      </c>
      <c r="J97" s="55">
        <f t="shared" ca="1" si="71"/>
        <v>45917</v>
      </c>
      <c r="K97" s="20">
        <f t="shared" ca="1" si="72"/>
        <v>0.30666666666666664</v>
      </c>
      <c r="L97" s="19" t="s">
        <v>18</v>
      </c>
      <c r="M97" s="18">
        <v>1004606</v>
      </c>
      <c r="N97" s="49" t="s">
        <v>22</v>
      </c>
      <c r="O97" s="11" t="str" cm="1">
        <f t="array" ref="O97">_xlfn.IFS(N97="FG2020US1", "Ibuprofen Tablets (100 MG)", N97="FG0001SEG", "Metformin Tablets (100 MG)", N97="FG0002SEG", "Metformin Tablets (200 MG)", N97="FG0003SEG", "Metformin Tablets (500 MG)", N97="FG00UDI4", "Aspirin Tablets (500 MG)")</f>
        <v>Ibuprofen Tablets (100 MG)</v>
      </c>
      <c r="P97" s="11">
        <v>4096</v>
      </c>
    </row>
    <row r="98" spans="1:16" x14ac:dyDescent="0.35">
      <c r="A98" s="11">
        <v>40000002597</v>
      </c>
      <c r="B98" s="18">
        <v>1010</v>
      </c>
      <c r="C98" s="19">
        <v>4</v>
      </c>
      <c r="D98" s="2" t="s">
        <v>124</v>
      </c>
      <c r="E98" s="6">
        <f t="shared" ref="E98" ca="1" si="104">E99</f>
        <v>45918</v>
      </c>
      <c r="F98" s="15">
        <f ca="1">TIME(RANDBETWEEN(12,22), RANDBETWEEN(0,59), RANDBETWEEN(0,59))</f>
        <v>0.72611111111111115</v>
      </c>
      <c r="G98" s="18" t="s">
        <v>17</v>
      </c>
      <c r="H98" s="55">
        <f t="shared" ca="1" si="69"/>
        <v>45918</v>
      </c>
      <c r="I98" s="20">
        <f t="shared" ca="1" si="70"/>
        <v>0.72611111111111115</v>
      </c>
      <c r="J98" s="55">
        <f t="shared" ca="1" si="71"/>
        <v>45918</v>
      </c>
      <c r="K98" s="20">
        <f t="shared" ca="1" si="72"/>
        <v>0.78812500000000008</v>
      </c>
      <c r="L98" s="19" t="s">
        <v>18</v>
      </c>
      <c r="M98" s="18">
        <v>1004607</v>
      </c>
      <c r="N98" s="49" t="s">
        <v>34</v>
      </c>
      <c r="O98" s="11" t="str" cm="1">
        <f t="array" ref="O98">_xlfn.IFS(N98="FG2020US1", "Ibuprofen Tablets (100 MG)", N98="FG0001SEG", "Metformin Tablets (100 MG)", N98="FG0002SEG", "Metformin Tablets (200 MG)", N98="FG0003SEG", "Metformin Tablets (500 MG)", N98="FG00UDI4", "Aspirin Tablets (500 MG)")</f>
        <v>Metformin Tablets (200 MG)</v>
      </c>
      <c r="P98" s="11">
        <v>4097</v>
      </c>
    </row>
    <row r="99" spans="1:16" x14ac:dyDescent="0.35">
      <c r="A99" s="11">
        <v>40000002598</v>
      </c>
      <c r="B99" s="18">
        <v>1010</v>
      </c>
      <c r="C99" s="19">
        <v>4</v>
      </c>
      <c r="D99" s="2" t="s">
        <v>125</v>
      </c>
      <c r="E99" s="6">
        <f t="shared" ref="E99" ca="1" si="105">E100-1</f>
        <v>45918</v>
      </c>
      <c r="F99" s="15">
        <f ca="1">TIME(RANDBETWEEN(0,10), RANDBETWEEN(0,59), RANDBETWEEN(0,59))</f>
        <v>0.24635416666666668</v>
      </c>
      <c r="G99" s="18" t="s">
        <v>39</v>
      </c>
      <c r="H99" s="55">
        <f t="shared" ca="1" si="69"/>
        <v>45918</v>
      </c>
      <c r="I99" s="20">
        <f t="shared" ca="1" si="70"/>
        <v>0.24635416666666668</v>
      </c>
      <c r="J99" s="55">
        <f t="shared" ca="1" si="71"/>
        <v>45918</v>
      </c>
      <c r="K99" s="20">
        <f t="shared" ca="1" si="72"/>
        <v>0.31336805555555558</v>
      </c>
      <c r="L99" s="19" t="s">
        <v>18</v>
      </c>
      <c r="M99" s="18">
        <v>1004608</v>
      </c>
      <c r="N99" s="49" t="s">
        <v>27</v>
      </c>
      <c r="O99" s="11" t="str" cm="1">
        <f t="array" ref="O99">_xlfn.IFS(N99="FG2020US1", "Ibuprofen Tablets (100 MG)", N99="FG0001SEG", "Metformin Tablets (100 MG)", N99="FG0002SEG", "Metformin Tablets (200 MG)", N99="FG0003SEG", "Metformin Tablets (500 MG)", N99="FG00UDI4", "Aspirin Tablets (500 MG)")</f>
        <v>Metformin Tablets (500 MG)</v>
      </c>
      <c r="P99" s="11">
        <v>4098</v>
      </c>
    </row>
    <row r="100" spans="1:16" x14ac:dyDescent="0.35">
      <c r="A100" s="11">
        <v>40000002599</v>
      </c>
      <c r="B100" s="18">
        <v>1010</v>
      </c>
      <c r="C100" s="19">
        <v>4</v>
      </c>
      <c r="D100" s="2" t="s">
        <v>126</v>
      </c>
      <c r="E100" s="6">
        <f t="shared" ref="E100" ca="1" si="106">E101</f>
        <v>45919</v>
      </c>
      <c r="F100" s="15">
        <f ca="1">TIME(RANDBETWEEN(12,22), RANDBETWEEN(0,59), RANDBETWEEN(0,59))</f>
        <v>0.52453703703703702</v>
      </c>
      <c r="G100" s="18" t="s">
        <v>24</v>
      </c>
      <c r="H100" s="55">
        <f t="shared" ca="1" si="69"/>
        <v>45919</v>
      </c>
      <c r="I100" s="20">
        <f t="shared" ca="1" si="70"/>
        <v>0.52453703703703702</v>
      </c>
      <c r="J100" s="55">
        <f t="shared" ca="1" si="71"/>
        <v>45919</v>
      </c>
      <c r="K100" s="20">
        <f t="shared" ca="1" si="72"/>
        <v>0.60124999999999995</v>
      </c>
      <c r="L100" s="19" t="s">
        <v>18</v>
      </c>
      <c r="M100" s="18">
        <v>1004609</v>
      </c>
      <c r="N100" s="49" t="s">
        <v>19</v>
      </c>
      <c r="O100" s="11" t="str" cm="1">
        <f t="array" ref="O100">_xlfn.IFS(N100="FG2020US1", "Ibuprofen Tablets (100 MG)", N100="FG0001SEG", "Metformin Tablets (100 MG)", N100="FG0002SEG", "Metformin Tablets (200 MG)", N100="FG0003SEG", "Metformin Tablets (500 MG)", N100="FG00UDI4", "Aspirin Tablets (500 MG)")</f>
        <v>Metformin Tablets (100 MG)</v>
      </c>
      <c r="P100" s="11">
        <v>4099</v>
      </c>
    </row>
    <row r="101" spans="1:16" x14ac:dyDescent="0.35">
      <c r="A101" s="11">
        <v>40000002600</v>
      </c>
      <c r="B101" s="18">
        <v>1010</v>
      </c>
      <c r="C101" s="19">
        <v>4</v>
      </c>
      <c r="D101" s="2" t="s">
        <v>127</v>
      </c>
      <c r="E101" s="6">
        <f t="shared" ref="E101" ca="1" si="107">E102-1</f>
        <v>45919</v>
      </c>
      <c r="F101" s="15">
        <f ca="1">TIME(RANDBETWEEN(0,10), RANDBETWEEN(0,59), RANDBETWEEN(0,59))</f>
        <v>0.18148148148148149</v>
      </c>
      <c r="G101" s="18" t="s">
        <v>39</v>
      </c>
      <c r="H101" s="55">
        <f t="shared" ca="1" si="69"/>
        <v>45919</v>
      </c>
      <c r="I101" s="20">
        <f t="shared" ca="1" si="70"/>
        <v>0.18148148148148149</v>
      </c>
      <c r="J101" s="55">
        <f t="shared" ca="1" si="71"/>
        <v>45919</v>
      </c>
      <c r="K101" s="20">
        <f t="shared" ca="1" si="72"/>
        <v>0.24194444444444446</v>
      </c>
      <c r="L101" s="19" t="s">
        <v>18</v>
      </c>
      <c r="M101" s="18">
        <v>1004610</v>
      </c>
      <c r="N101" s="49" t="s">
        <v>31</v>
      </c>
      <c r="O101" s="11" t="str" cm="1">
        <f t="array" ref="O101">_xlfn.IFS(N101="FG2020US1", "Ibuprofen Tablets (100 MG)", N101="FG0001SEG", "Metformin Tablets (100 MG)", N101="FG0002SEG", "Metformin Tablets (200 MG)", N101="FG0003SEG", "Metformin Tablets (500 MG)", N101="FG00UDI4", "Aspirin Tablets (500 MG)")</f>
        <v>Aspirin Tablets (500 MG)</v>
      </c>
      <c r="P101" s="11">
        <v>4100</v>
      </c>
    </row>
    <row r="102" spans="1:16" x14ac:dyDescent="0.35">
      <c r="A102" s="11">
        <v>40000002601</v>
      </c>
      <c r="B102" s="18">
        <v>1010</v>
      </c>
      <c r="C102" s="19">
        <v>4</v>
      </c>
      <c r="D102" s="2" t="s">
        <v>128</v>
      </c>
      <c r="E102" s="6">
        <f t="shared" ref="E102" ca="1" si="108">E103</f>
        <v>45920</v>
      </c>
      <c r="F102" s="15">
        <f ca="1">TIME(RANDBETWEEN(12,22), RANDBETWEEN(0,59), RANDBETWEEN(0,59))</f>
        <v>0.79421296296296295</v>
      </c>
      <c r="G102" s="18" t="s">
        <v>24</v>
      </c>
      <c r="H102" s="55">
        <f t="shared" ca="1" si="69"/>
        <v>45920</v>
      </c>
      <c r="I102" s="20">
        <f t="shared" ca="1" si="70"/>
        <v>0.79421296296296295</v>
      </c>
      <c r="J102" s="55">
        <f t="shared" ca="1" si="71"/>
        <v>45920</v>
      </c>
      <c r="K102" s="20">
        <f t="shared" ca="1" si="72"/>
        <v>0.8606018518518519</v>
      </c>
      <c r="L102" s="19" t="s">
        <v>18</v>
      </c>
      <c r="M102" s="18">
        <v>1004611</v>
      </c>
      <c r="N102" s="49" t="s">
        <v>22</v>
      </c>
      <c r="O102" s="11" t="str" cm="1">
        <f t="array" ref="O102">_xlfn.IFS(N102="FG2020US1", "Ibuprofen Tablets (100 MG)", N102="FG0001SEG", "Metformin Tablets (100 MG)", N102="FG0002SEG", "Metformin Tablets (200 MG)", N102="FG0003SEG", "Metformin Tablets (500 MG)", N102="FG00UDI4", "Aspirin Tablets (500 MG)")</f>
        <v>Ibuprofen Tablets (100 MG)</v>
      </c>
      <c r="P102" s="11">
        <v>4101</v>
      </c>
    </row>
    <row r="103" spans="1:16" x14ac:dyDescent="0.35">
      <c r="A103" s="11">
        <v>40000002602</v>
      </c>
      <c r="B103" s="18">
        <v>1010</v>
      </c>
      <c r="C103" s="19">
        <v>4</v>
      </c>
      <c r="D103" s="2" t="s">
        <v>129</v>
      </c>
      <c r="E103" s="6">
        <f t="shared" ref="E103" ca="1" si="109">E104-1</f>
        <v>45920</v>
      </c>
      <c r="F103" s="15">
        <f ca="1">TIME(RANDBETWEEN(0,10), RANDBETWEEN(0,59), RANDBETWEEN(0,59))</f>
        <v>1.8969907407407408E-2</v>
      </c>
      <c r="G103" s="18" t="s">
        <v>39</v>
      </c>
      <c r="H103" s="55">
        <f t="shared" ca="1" si="69"/>
        <v>45920</v>
      </c>
      <c r="I103" s="20">
        <f t="shared" ca="1" si="70"/>
        <v>1.8969907407407408E-2</v>
      </c>
      <c r="J103" s="55">
        <f t="shared" ca="1" si="71"/>
        <v>45920</v>
      </c>
      <c r="K103" s="20">
        <f t="shared" ca="1" si="72"/>
        <v>9.5335648148148142E-2</v>
      </c>
      <c r="L103" s="19" t="s">
        <v>18</v>
      </c>
      <c r="M103" s="18">
        <v>1004612</v>
      </c>
      <c r="N103" s="49" t="s">
        <v>27</v>
      </c>
      <c r="O103" s="11" t="str" cm="1">
        <f t="array" ref="O103">_xlfn.IFS(N103="FG2020US1", "Ibuprofen Tablets (100 MG)", N103="FG0001SEG", "Metformin Tablets (100 MG)", N103="FG0002SEG", "Metformin Tablets (200 MG)", N103="FG0003SEG", "Metformin Tablets (500 MG)", N103="FG00UDI4", "Aspirin Tablets (500 MG)")</f>
        <v>Metformin Tablets (500 MG)</v>
      </c>
      <c r="P103" s="11">
        <v>4102</v>
      </c>
    </row>
    <row r="104" spans="1:16" x14ac:dyDescent="0.35">
      <c r="A104" s="11">
        <v>40000002603</v>
      </c>
      <c r="B104" s="18">
        <v>1010</v>
      </c>
      <c r="C104" s="19">
        <v>4</v>
      </c>
      <c r="D104" s="2" t="s">
        <v>130</v>
      </c>
      <c r="E104" s="6">
        <f t="shared" ref="E104" ca="1" si="110">E105</f>
        <v>45921</v>
      </c>
      <c r="F104" s="15">
        <f ca="1">TIME(RANDBETWEEN(12,22), RANDBETWEEN(0,59), RANDBETWEEN(0,59))</f>
        <v>0.63592592592592589</v>
      </c>
      <c r="G104" s="18" t="s">
        <v>24</v>
      </c>
      <c r="H104" s="55">
        <f t="shared" ca="1" si="69"/>
        <v>45921</v>
      </c>
      <c r="I104" s="20">
        <f t="shared" ca="1" si="70"/>
        <v>0.63592592592592589</v>
      </c>
      <c r="J104" s="55">
        <f t="shared" ca="1" si="71"/>
        <v>45921</v>
      </c>
      <c r="K104" s="20">
        <f t="shared" ca="1" si="72"/>
        <v>0.70395833333333324</v>
      </c>
      <c r="L104" s="19" t="s">
        <v>18</v>
      </c>
      <c r="M104" s="18">
        <v>1004613</v>
      </c>
      <c r="N104" s="49" t="s">
        <v>22</v>
      </c>
      <c r="O104" s="11" t="str" cm="1">
        <f t="array" ref="O104">_xlfn.IFS(N104="FG2020US1", "Ibuprofen Tablets (100 MG)", N104="FG0001SEG", "Metformin Tablets (100 MG)", N104="FG0002SEG", "Metformin Tablets (200 MG)", N104="FG0003SEG", "Metformin Tablets (500 MG)", N104="FG00UDI4", "Aspirin Tablets (500 MG)")</f>
        <v>Ibuprofen Tablets (100 MG)</v>
      </c>
      <c r="P104" s="11">
        <v>4103</v>
      </c>
    </row>
    <row r="105" spans="1:16" x14ac:dyDescent="0.35">
      <c r="A105" s="11">
        <v>40000002604</v>
      </c>
      <c r="B105" s="18">
        <v>1010</v>
      </c>
      <c r="C105" s="19">
        <v>4</v>
      </c>
      <c r="D105" s="2" t="s">
        <v>131</v>
      </c>
      <c r="E105" s="6">
        <f t="shared" ref="E105" ca="1" si="111">E106-1</f>
        <v>45921</v>
      </c>
      <c r="F105" s="15">
        <f ca="1">TIME(RANDBETWEEN(0,10), RANDBETWEEN(0,59), RANDBETWEEN(0,59))</f>
        <v>0.38481481481481483</v>
      </c>
      <c r="G105" s="18" t="s">
        <v>39</v>
      </c>
      <c r="H105" s="55">
        <f t="shared" ca="1" si="69"/>
        <v>45921</v>
      </c>
      <c r="I105" s="20">
        <f t="shared" ca="1" si="70"/>
        <v>0.38481481481481483</v>
      </c>
      <c r="J105" s="55">
        <f t="shared" ca="1" si="71"/>
        <v>45921</v>
      </c>
      <c r="K105" s="20">
        <f t="shared" ca="1" si="72"/>
        <v>0.44542824074074078</v>
      </c>
      <c r="L105" s="19" t="s">
        <v>18</v>
      </c>
      <c r="M105" s="18">
        <v>1004614</v>
      </c>
      <c r="N105" s="49" t="s">
        <v>22</v>
      </c>
      <c r="O105" s="11" t="str" cm="1">
        <f t="array" ref="O105">_xlfn.IFS(N105="FG2020US1", "Ibuprofen Tablets (100 MG)", N105="FG0001SEG", "Metformin Tablets (100 MG)", N105="FG0002SEG", "Metformin Tablets (200 MG)", N105="FG0003SEG", "Metformin Tablets (500 MG)", N105="FG00UDI4", "Aspirin Tablets (500 MG)")</f>
        <v>Ibuprofen Tablets (100 MG)</v>
      </c>
      <c r="P105" s="11">
        <v>4104</v>
      </c>
    </row>
    <row r="106" spans="1:16" x14ac:dyDescent="0.35">
      <c r="A106" s="11">
        <v>40000002605</v>
      </c>
      <c r="B106" s="18">
        <v>1010</v>
      </c>
      <c r="C106" s="19">
        <v>4</v>
      </c>
      <c r="D106" s="2" t="s">
        <v>132</v>
      </c>
      <c r="E106" s="6">
        <f t="shared" ref="E106" ca="1" si="112">E107</f>
        <v>45922</v>
      </c>
      <c r="F106" s="15">
        <f ca="1">TIME(RANDBETWEEN(12,22), RANDBETWEEN(0,59), RANDBETWEEN(0,59))</f>
        <v>0.74822916666666661</v>
      </c>
      <c r="G106" s="18" t="s">
        <v>24</v>
      </c>
      <c r="H106" s="55">
        <f t="shared" ca="1" si="69"/>
        <v>45922</v>
      </c>
      <c r="I106" s="20">
        <f t="shared" ca="1" si="70"/>
        <v>0.74822916666666661</v>
      </c>
      <c r="J106" s="55">
        <f t="shared" ca="1" si="71"/>
        <v>45922</v>
      </c>
      <c r="K106" s="20">
        <f t="shared" ca="1" si="72"/>
        <v>0.82362268518518511</v>
      </c>
      <c r="L106" s="19" t="s">
        <v>18</v>
      </c>
      <c r="M106" s="18">
        <v>1004615</v>
      </c>
      <c r="N106" s="49" t="s">
        <v>22</v>
      </c>
      <c r="O106" s="11" t="str" cm="1">
        <f t="array" ref="O106">_xlfn.IFS(N106="FG2020US1", "Ibuprofen Tablets (100 MG)", N106="FG0001SEG", "Metformin Tablets (100 MG)", N106="FG0002SEG", "Metformin Tablets (200 MG)", N106="FG0003SEG", "Metformin Tablets (500 MG)", N106="FG00UDI4", "Aspirin Tablets (500 MG)")</f>
        <v>Ibuprofen Tablets (100 MG)</v>
      </c>
      <c r="P106" s="11">
        <v>4105</v>
      </c>
    </row>
    <row r="107" spans="1:16" x14ac:dyDescent="0.35">
      <c r="A107" s="11">
        <v>40000002606</v>
      </c>
      <c r="B107" s="18">
        <v>1010</v>
      </c>
      <c r="C107" s="19">
        <v>4</v>
      </c>
      <c r="D107" s="2" t="s">
        <v>133</v>
      </c>
      <c r="E107" s="6">
        <f t="shared" ref="E107" ca="1" si="113">E108-1</f>
        <v>45922</v>
      </c>
      <c r="F107" s="15">
        <f ca="1">TIME(RANDBETWEEN(0,10), RANDBETWEEN(0,59), RANDBETWEEN(0,59))</f>
        <v>0.18283564814814815</v>
      </c>
      <c r="G107" s="18" t="s">
        <v>39</v>
      </c>
      <c r="H107" s="55">
        <f t="shared" ca="1" si="69"/>
        <v>45922</v>
      </c>
      <c r="I107" s="20">
        <f t="shared" ca="1" si="70"/>
        <v>0.18283564814814815</v>
      </c>
      <c r="J107" s="55">
        <f t="shared" ca="1" si="71"/>
        <v>45922</v>
      </c>
      <c r="K107" s="20">
        <f t="shared" ca="1" si="72"/>
        <v>0.25762731481481482</v>
      </c>
      <c r="L107" s="19" t="s">
        <v>18</v>
      </c>
      <c r="M107" s="18">
        <v>1004616</v>
      </c>
      <c r="N107" s="49" t="s">
        <v>34</v>
      </c>
      <c r="O107" s="11" t="str" cm="1">
        <f t="array" ref="O107">_xlfn.IFS(N107="FG2020US1", "Ibuprofen Tablets (100 MG)", N107="FG0001SEG", "Metformin Tablets (100 MG)", N107="FG0002SEG", "Metformin Tablets (200 MG)", N107="FG0003SEG", "Metformin Tablets (500 MG)", N107="FG00UDI4", "Aspirin Tablets (500 MG)")</f>
        <v>Metformin Tablets (200 MG)</v>
      </c>
      <c r="P107" s="11">
        <v>4106</v>
      </c>
    </row>
    <row r="108" spans="1:16" x14ac:dyDescent="0.35">
      <c r="A108" s="11">
        <v>40000002607</v>
      </c>
      <c r="B108" s="18">
        <v>1010</v>
      </c>
      <c r="C108" s="19">
        <v>4</v>
      </c>
      <c r="D108" s="2" t="s">
        <v>134</v>
      </c>
      <c r="E108" s="6">
        <f t="shared" ref="E108" ca="1" si="114">E109</f>
        <v>45923</v>
      </c>
      <c r="F108" s="15">
        <f ca="1">TIME(RANDBETWEEN(12,22), RANDBETWEEN(0,59), RANDBETWEEN(0,59))</f>
        <v>0.85097222222222224</v>
      </c>
      <c r="G108" s="18" t="s">
        <v>17</v>
      </c>
      <c r="H108" s="55">
        <f t="shared" ca="1" si="69"/>
        <v>45923</v>
      </c>
      <c r="I108" s="20">
        <f t="shared" ca="1" si="70"/>
        <v>0.85097222222222224</v>
      </c>
      <c r="J108" s="55">
        <f t="shared" ca="1" si="71"/>
        <v>45923</v>
      </c>
      <c r="K108" s="20">
        <f t="shared" ca="1" si="72"/>
        <v>0.92385416666666664</v>
      </c>
      <c r="L108" s="19" t="s">
        <v>18</v>
      </c>
      <c r="M108" s="18">
        <v>1004617</v>
      </c>
      <c r="N108" s="49" t="s">
        <v>27</v>
      </c>
      <c r="O108" s="11" t="str" cm="1">
        <f t="array" ref="O108">_xlfn.IFS(N108="FG2020US1", "Ibuprofen Tablets (100 MG)", N108="FG0001SEG", "Metformin Tablets (100 MG)", N108="FG0002SEG", "Metformin Tablets (200 MG)", N108="FG0003SEG", "Metformin Tablets (500 MG)", N108="FG00UDI4", "Aspirin Tablets (500 MG)")</f>
        <v>Metformin Tablets (500 MG)</v>
      </c>
      <c r="P108" s="11">
        <v>4107</v>
      </c>
    </row>
    <row r="109" spans="1:16" x14ac:dyDescent="0.35">
      <c r="A109" s="11">
        <v>40000002608</v>
      </c>
      <c r="B109" s="18">
        <v>1010</v>
      </c>
      <c r="C109" s="19">
        <v>4</v>
      </c>
      <c r="D109" s="2" t="s">
        <v>135</v>
      </c>
      <c r="E109" s="6">
        <f t="shared" ref="E109" ca="1" si="115">E110-1</f>
        <v>45923</v>
      </c>
      <c r="F109" s="15">
        <f ca="1">TIME(RANDBETWEEN(0,10), RANDBETWEEN(0,59), RANDBETWEEN(0,59))</f>
        <v>0.16950231481481481</v>
      </c>
      <c r="G109" s="18" t="s">
        <v>39</v>
      </c>
      <c r="H109" s="55">
        <f t="shared" ca="1" si="69"/>
        <v>45923</v>
      </c>
      <c r="I109" s="20">
        <f t="shared" ca="1" si="70"/>
        <v>0.16950231481481481</v>
      </c>
      <c r="J109" s="55">
        <f t="shared" ca="1" si="71"/>
        <v>45923</v>
      </c>
      <c r="K109" s="20">
        <f t="shared" ca="1" si="72"/>
        <v>0.23065972222222222</v>
      </c>
      <c r="L109" s="19" t="s">
        <v>18</v>
      </c>
      <c r="M109" s="18">
        <v>1004618</v>
      </c>
      <c r="N109" s="49" t="s">
        <v>34</v>
      </c>
      <c r="O109" s="11" t="str" cm="1">
        <f t="array" ref="O109">_xlfn.IFS(N109="FG2020US1", "Ibuprofen Tablets (100 MG)", N109="FG0001SEG", "Metformin Tablets (100 MG)", N109="FG0002SEG", "Metformin Tablets (200 MG)", N109="FG0003SEG", "Metformin Tablets (500 MG)", N109="FG00UDI4", "Aspirin Tablets (500 MG)")</f>
        <v>Metformin Tablets (200 MG)</v>
      </c>
      <c r="P109" s="11">
        <v>4108</v>
      </c>
    </row>
    <row r="110" spans="1:16" x14ac:dyDescent="0.35">
      <c r="A110" s="11">
        <v>40000002609</v>
      </c>
      <c r="B110" s="18">
        <v>1010</v>
      </c>
      <c r="C110" s="19">
        <v>4</v>
      </c>
      <c r="D110" s="2" t="s">
        <v>136</v>
      </c>
      <c r="E110" s="6">
        <f t="shared" ref="E110" ca="1" si="116">E111</f>
        <v>45924</v>
      </c>
      <c r="F110" s="15">
        <f ca="1">TIME(RANDBETWEEN(12,22), RANDBETWEEN(0,59), RANDBETWEEN(0,59))</f>
        <v>0.62785879629629626</v>
      </c>
      <c r="G110" s="18" t="s">
        <v>24</v>
      </c>
      <c r="H110" s="55">
        <f t="shared" ca="1" si="69"/>
        <v>45924</v>
      </c>
      <c r="I110" s="20">
        <f t="shared" ca="1" si="70"/>
        <v>0.62785879629629626</v>
      </c>
      <c r="J110" s="55">
        <f t="shared" ca="1" si="71"/>
        <v>45924</v>
      </c>
      <c r="K110" s="20">
        <f t="shared" ca="1" si="72"/>
        <v>0.69461805555555556</v>
      </c>
      <c r="L110" s="19" t="s">
        <v>18</v>
      </c>
      <c r="M110" s="18">
        <v>1004619</v>
      </c>
      <c r="N110" s="49" t="s">
        <v>27</v>
      </c>
      <c r="O110" s="11" t="str" cm="1">
        <f t="array" ref="O110">_xlfn.IFS(N110="FG2020US1", "Ibuprofen Tablets (100 MG)", N110="FG0001SEG", "Metformin Tablets (100 MG)", N110="FG0002SEG", "Metformin Tablets (200 MG)", N110="FG0003SEG", "Metformin Tablets (500 MG)", N110="FG00UDI4", "Aspirin Tablets (500 MG)")</f>
        <v>Metformin Tablets (500 MG)</v>
      </c>
      <c r="P110" s="11">
        <v>4109</v>
      </c>
    </row>
    <row r="111" spans="1:16" x14ac:dyDescent="0.35">
      <c r="A111" s="11">
        <v>40000002610</v>
      </c>
      <c r="B111" s="18">
        <v>1010</v>
      </c>
      <c r="C111" s="19">
        <v>4</v>
      </c>
      <c r="D111" s="2" t="s">
        <v>137</v>
      </c>
      <c r="E111" s="6">
        <f t="shared" ref="E111" ca="1" si="117">E112-1</f>
        <v>45924</v>
      </c>
      <c r="F111" s="15">
        <f ca="1">TIME(RANDBETWEEN(0,10), RANDBETWEEN(0,59), RANDBETWEEN(0,59))</f>
        <v>0.1570138888888889</v>
      </c>
      <c r="G111" s="18" t="s">
        <v>39</v>
      </c>
      <c r="H111" s="55">
        <f t="shared" ca="1" si="69"/>
        <v>45924</v>
      </c>
      <c r="I111" s="20">
        <f t="shared" ca="1" si="70"/>
        <v>0.1570138888888889</v>
      </c>
      <c r="J111" s="55">
        <f t="shared" ca="1" si="71"/>
        <v>45924</v>
      </c>
      <c r="K111" s="20">
        <f t="shared" ca="1" si="72"/>
        <v>0.21673611111111113</v>
      </c>
      <c r="L111" s="19" t="s">
        <v>18</v>
      </c>
      <c r="M111" s="18">
        <v>1004620</v>
      </c>
      <c r="N111" s="49" t="s">
        <v>31</v>
      </c>
      <c r="O111" s="11" t="str" cm="1">
        <f t="array" ref="O111">_xlfn.IFS(N111="FG2020US1", "Ibuprofen Tablets (100 MG)", N111="FG0001SEG", "Metformin Tablets (100 MG)", N111="FG0002SEG", "Metformin Tablets (200 MG)", N111="FG0003SEG", "Metformin Tablets (500 MG)", N111="FG00UDI4", "Aspirin Tablets (500 MG)")</f>
        <v>Aspirin Tablets (500 MG)</v>
      </c>
      <c r="P111" s="11">
        <v>4110</v>
      </c>
    </row>
    <row r="112" spans="1:16" x14ac:dyDescent="0.35">
      <c r="A112" s="11">
        <v>40000002611</v>
      </c>
      <c r="B112" s="18">
        <v>1010</v>
      </c>
      <c r="C112" s="19">
        <v>4</v>
      </c>
      <c r="D112" s="2" t="s">
        <v>138</v>
      </c>
      <c r="E112" s="6">
        <f t="shared" ref="E112" ca="1" si="118">E113</f>
        <v>45925</v>
      </c>
      <c r="F112" s="15">
        <f ca="1">TIME(RANDBETWEEN(12,22), RANDBETWEEN(0,59), RANDBETWEEN(0,59))</f>
        <v>0.64107638888888885</v>
      </c>
      <c r="G112" s="18" t="s">
        <v>17</v>
      </c>
      <c r="H112" s="55">
        <f t="shared" ca="1" si="69"/>
        <v>45925</v>
      </c>
      <c r="I112" s="20">
        <f t="shared" ca="1" si="70"/>
        <v>0.64107638888888885</v>
      </c>
      <c r="J112" s="55">
        <f t="shared" ca="1" si="71"/>
        <v>45925</v>
      </c>
      <c r="K112" s="20">
        <f t="shared" ca="1" si="72"/>
        <v>0.70351851851851843</v>
      </c>
      <c r="L112" s="19" t="s">
        <v>18</v>
      </c>
      <c r="M112" s="18">
        <v>1004621</v>
      </c>
      <c r="N112" s="49" t="s">
        <v>19</v>
      </c>
      <c r="O112" s="11" t="str" cm="1">
        <f t="array" ref="O112">_xlfn.IFS(N112="FG2020US1", "Ibuprofen Tablets (100 MG)", N112="FG0001SEG", "Metformin Tablets (100 MG)", N112="FG0002SEG", "Metformin Tablets (200 MG)", N112="FG0003SEG", "Metformin Tablets (500 MG)", N112="FG00UDI4", "Aspirin Tablets (500 MG)")</f>
        <v>Metformin Tablets (100 MG)</v>
      </c>
      <c r="P112" s="11">
        <v>4111</v>
      </c>
    </row>
    <row r="113" spans="1:16" x14ac:dyDescent="0.35">
      <c r="A113" s="11">
        <v>40000002612</v>
      </c>
      <c r="B113" s="18">
        <v>1010</v>
      </c>
      <c r="C113" s="19">
        <v>4</v>
      </c>
      <c r="D113" s="2" t="s">
        <v>139</v>
      </c>
      <c r="E113" s="6">
        <f t="shared" ref="E113" ca="1" si="119">E114-1</f>
        <v>45925</v>
      </c>
      <c r="F113" s="15">
        <f ca="1">TIME(RANDBETWEEN(0,10), RANDBETWEEN(0,59), RANDBETWEEN(0,59))</f>
        <v>9.8298611111111114E-2</v>
      </c>
      <c r="G113" s="18" t="s">
        <v>21</v>
      </c>
      <c r="H113" s="55">
        <f t="shared" ca="1" si="69"/>
        <v>45925</v>
      </c>
      <c r="I113" s="20">
        <f t="shared" ca="1" si="70"/>
        <v>9.8298611111111114E-2</v>
      </c>
      <c r="J113" s="55">
        <f t="shared" ca="1" si="71"/>
        <v>45925</v>
      </c>
      <c r="K113" s="20">
        <f t="shared" ca="1" si="72"/>
        <v>0.16006944444444443</v>
      </c>
      <c r="L113" s="19" t="s">
        <v>18</v>
      </c>
      <c r="M113" s="18">
        <v>1004622</v>
      </c>
      <c r="N113" s="49" t="s">
        <v>22</v>
      </c>
      <c r="O113" s="11" t="str" cm="1">
        <f t="array" ref="O113">_xlfn.IFS(N113="FG2020US1", "Ibuprofen Tablets (100 MG)", N113="FG0001SEG", "Metformin Tablets (100 MG)", N113="FG0002SEG", "Metformin Tablets (200 MG)", N113="FG0003SEG", "Metformin Tablets (500 MG)", N113="FG00UDI4", "Aspirin Tablets (500 MG)")</f>
        <v>Ibuprofen Tablets (100 MG)</v>
      </c>
      <c r="P113" s="11">
        <v>4112</v>
      </c>
    </row>
    <row r="114" spans="1:16" x14ac:dyDescent="0.35">
      <c r="A114" s="11">
        <v>40000002613</v>
      </c>
      <c r="B114" s="18">
        <v>1010</v>
      </c>
      <c r="C114" s="19">
        <v>4</v>
      </c>
      <c r="D114" s="2" t="s">
        <v>140</v>
      </c>
      <c r="E114" s="6">
        <f t="shared" ref="E114" ca="1" si="120">E115</f>
        <v>45926</v>
      </c>
      <c r="F114" s="15">
        <f ca="1">TIME(RANDBETWEEN(12,22), RANDBETWEEN(0,59), RANDBETWEEN(0,59))</f>
        <v>0.79491898148148143</v>
      </c>
      <c r="G114" s="18" t="s">
        <v>30</v>
      </c>
      <c r="H114" s="55">
        <f t="shared" ca="1" si="69"/>
        <v>45926</v>
      </c>
      <c r="I114" s="20">
        <f t="shared" ca="1" si="70"/>
        <v>0.79491898148148143</v>
      </c>
      <c r="J114" s="55">
        <f t="shared" ca="1" si="71"/>
        <v>45926</v>
      </c>
      <c r="K114" s="20">
        <f t="shared" ca="1" si="72"/>
        <v>0.86726851851851849</v>
      </c>
      <c r="L114" s="19" t="s">
        <v>18</v>
      </c>
      <c r="M114" s="18">
        <v>1004623</v>
      </c>
      <c r="N114" s="49" t="s">
        <v>27</v>
      </c>
      <c r="O114" s="11" t="str" cm="1">
        <f t="array" ref="O114">_xlfn.IFS(N114="FG2020US1", "Ibuprofen Tablets (100 MG)", N114="FG0001SEG", "Metformin Tablets (100 MG)", N114="FG0002SEG", "Metformin Tablets (200 MG)", N114="FG0003SEG", "Metformin Tablets (500 MG)", N114="FG00UDI4", "Aspirin Tablets (500 MG)")</f>
        <v>Metformin Tablets (500 MG)</v>
      </c>
      <c r="P114" s="11">
        <v>4113</v>
      </c>
    </row>
    <row r="115" spans="1:16" x14ac:dyDescent="0.35">
      <c r="A115" s="11">
        <v>40000002614</v>
      </c>
      <c r="B115" s="18">
        <v>1010</v>
      </c>
      <c r="C115" s="19">
        <v>4</v>
      </c>
      <c r="D115" s="2" t="s">
        <v>141</v>
      </c>
      <c r="E115" s="6">
        <f t="shared" ref="E115" ca="1" si="121">E116-1</f>
        <v>45926</v>
      </c>
      <c r="F115" s="15">
        <f ca="1">TIME(RANDBETWEEN(0,10), RANDBETWEEN(0,59), RANDBETWEEN(0,59))</f>
        <v>1.6423611111111111E-2</v>
      </c>
      <c r="G115" s="18" t="s">
        <v>21</v>
      </c>
      <c r="H115" s="55">
        <f t="shared" ca="1" si="69"/>
        <v>45926</v>
      </c>
      <c r="I115" s="20">
        <f t="shared" ca="1" si="70"/>
        <v>1.6423611111111111E-2</v>
      </c>
      <c r="J115" s="55">
        <f t="shared" ca="1" si="71"/>
        <v>45926</v>
      </c>
      <c r="K115" s="20">
        <f t="shared" ca="1" si="72"/>
        <v>8.7581018518518516E-2</v>
      </c>
      <c r="L115" s="19" t="s">
        <v>18</v>
      </c>
      <c r="M115" s="18">
        <v>1004624</v>
      </c>
      <c r="N115" s="49" t="s">
        <v>19</v>
      </c>
      <c r="O115" s="11" t="str" cm="1">
        <f t="array" ref="O115">_xlfn.IFS(N115="FG2020US1", "Ibuprofen Tablets (100 MG)", N115="FG0001SEG", "Metformin Tablets (100 MG)", N115="FG0002SEG", "Metformin Tablets (200 MG)", N115="FG0003SEG", "Metformin Tablets (500 MG)", N115="FG00UDI4", "Aspirin Tablets (500 MG)")</f>
        <v>Metformin Tablets (100 MG)</v>
      </c>
      <c r="P115" s="11">
        <v>4114</v>
      </c>
    </row>
    <row r="116" spans="1:16" x14ac:dyDescent="0.35">
      <c r="A116" s="11">
        <v>40000002615</v>
      </c>
      <c r="B116" s="18">
        <v>1010</v>
      </c>
      <c r="C116" s="19">
        <v>4</v>
      </c>
      <c r="D116" s="2" t="s">
        <v>142</v>
      </c>
      <c r="E116" s="6">
        <f t="shared" ref="E116" ca="1" si="122">E117</f>
        <v>45927</v>
      </c>
      <c r="F116" s="15">
        <f ca="1">TIME(RANDBETWEEN(12,22), RANDBETWEEN(0,59), RANDBETWEEN(0,59))</f>
        <v>0.90839120370370374</v>
      </c>
      <c r="G116" s="18" t="s">
        <v>30</v>
      </c>
      <c r="H116" s="55">
        <f t="shared" ca="1" si="69"/>
        <v>45927</v>
      </c>
      <c r="I116" s="20">
        <f t="shared" ca="1" si="70"/>
        <v>0.90839120370370374</v>
      </c>
      <c r="J116" s="55">
        <f t="shared" ca="1" si="71"/>
        <v>45927</v>
      </c>
      <c r="K116" s="20">
        <f t="shared" ca="1" si="72"/>
        <v>0.97089120370370374</v>
      </c>
      <c r="L116" s="19" t="s">
        <v>18</v>
      </c>
      <c r="M116" s="18">
        <v>1004625</v>
      </c>
      <c r="N116" s="49" t="s">
        <v>22</v>
      </c>
      <c r="O116" s="11" t="str" cm="1">
        <f t="array" ref="O116">_xlfn.IFS(N116="FG2020US1", "Ibuprofen Tablets (100 MG)", N116="FG0001SEG", "Metformin Tablets (100 MG)", N116="FG0002SEG", "Metformin Tablets (200 MG)", N116="FG0003SEG", "Metformin Tablets (500 MG)", N116="FG00UDI4", "Aspirin Tablets (500 MG)")</f>
        <v>Ibuprofen Tablets (100 MG)</v>
      </c>
      <c r="P116" s="11">
        <v>4115</v>
      </c>
    </row>
    <row r="117" spans="1:16" x14ac:dyDescent="0.35">
      <c r="A117" s="11">
        <v>40000002616</v>
      </c>
      <c r="B117" s="18">
        <v>1010</v>
      </c>
      <c r="C117" s="19">
        <v>4</v>
      </c>
      <c r="D117" s="2" t="s">
        <v>143</v>
      </c>
      <c r="E117" s="6">
        <f t="shared" ref="E117" ca="1" si="123">E118-1</f>
        <v>45927</v>
      </c>
      <c r="F117" s="15">
        <f ca="1">TIME(RANDBETWEEN(0,10), RANDBETWEEN(0,59), RANDBETWEEN(0,59))</f>
        <v>0.39479166666666665</v>
      </c>
      <c r="G117" s="18" t="s">
        <v>39</v>
      </c>
      <c r="H117" s="55">
        <f t="shared" ca="1" si="69"/>
        <v>45927</v>
      </c>
      <c r="I117" s="20">
        <f t="shared" ca="1" si="70"/>
        <v>0.39479166666666665</v>
      </c>
      <c r="J117" s="55">
        <f t="shared" ca="1" si="71"/>
        <v>45927</v>
      </c>
      <c r="K117" s="20">
        <f t="shared" ca="1" si="72"/>
        <v>0.46010416666666665</v>
      </c>
      <c r="L117" s="19" t="s">
        <v>18</v>
      </c>
      <c r="M117" s="18">
        <v>1004626</v>
      </c>
      <c r="N117" s="49" t="s">
        <v>19</v>
      </c>
      <c r="O117" s="11" t="str" cm="1">
        <f t="array" ref="O117">_xlfn.IFS(N117="FG2020US1", "Ibuprofen Tablets (100 MG)", N117="FG0001SEG", "Metformin Tablets (100 MG)", N117="FG0002SEG", "Metformin Tablets (200 MG)", N117="FG0003SEG", "Metformin Tablets (500 MG)", N117="FG00UDI4", "Aspirin Tablets (500 MG)")</f>
        <v>Metformin Tablets (100 MG)</v>
      </c>
      <c r="P117" s="11">
        <v>4116</v>
      </c>
    </row>
    <row r="118" spans="1:16" x14ac:dyDescent="0.35">
      <c r="A118" s="11">
        <v>40000002617</v>
      </c>
      <c r="B118" s="18">
        <v>1010</v>
      </c>
      <c r="C118" s="19">
        <v>4</v>
      </c>
      <c r="D118" s="2" t="s">
        <v>144</v>
      </c>
      <c r="E118" s="6">
        <f t="shared" ref="E118" ca="1" si="124">E119</f>
        <v>45928</v>
      </c>
      <c r="F118" s="15">
        <f ca="1">TIME(RANDBETWEEN(12,22), RANDBETWEEN(0,59), RANDBETWEEN(0,59))</f>
        <v>0.65550925925925929</v>
      </c>
      <c r="G118" s="18" t="s">
        <v>17</v>
      </c>
      <c r="H118" s="55">
        <f t="shared" ca="1" si="69"/>
        <v>45928</v>
      </c>
      <c r="I118" s="20">
        <f t="shared" ca="1" si="70"/>
        <v>0.65550925925925929</v>
      </c>
      <c r="J118" s="55">
        <f t="shared" ca="1" si="71"/>
        <v>45928</v>
      </c>
      <c r="K118" s="20">
        <f t="shared" ca="1" si="72"/>
        <v>0.73185185185185186</v>
      </c>
      <c r="L118" s="19" t="s">
        <v>18</v>
      </c>
      <c r="M118" s="18">
        <v>1004627</v>
      </c>
      <c r="N118" s="49" t="s">
        <v>27</v>
      </c>
      <c r="O118" s="11" t="str" cm="1">
        <f t="array" ref="O118">_xlfn.IFS(N118="FG2020US1", "Ibuprofen Tablets (100 MG)", N118="FG0001SEG", "Metformin Tablets (100 MG)", N118="FG0002SEG", "Metformin Tablets (200 MG)", N118="FG0003SEG", "Metformin Tablets (500 MG)", N118="FG00UDI4", "Aspirin Tablets (500 MG)")</f>
        <v>Metformin Tablets (500 MG)</v>
      </c>
      <c r="P118" s="11">
        <v>4117</v>
      </c>
    </row>
    <row r="119" spans="1:16" x14ac:dyDescent="0.35">
      <c r="A119" s="11">
        <v>40000002618</v>
      </c>
      <c r="B119" s="18">
        <v>1010</v>
      </c>
      <c r="C119" s="19">
        <v>4</v>
      </c>
      <c r="D119" s="2" t="s">
        <v>145</v>
      </c>
      <c r="E119" s="6">
        <f t="shared" ref="E119" ca="1" si="125">E120-1</f>
        <v>45928</v>
      </c>
      <c r="F119" s="15">
        <f ca="1">TIME(RANDBETWEEN(0,10), RANDBETWEEN(0,59), RANDBETWEEN(0,59))</f>
        <v>0.33932870370370372</v>
      </c>
      <c r="G119" s="18" t="s">
        <v>21</v>
      </c>
      <c r="H119" s="55">
        <f t="shared" ca="1" si="69"/>
        <v>45928</v>
      </c>
      <c r="I119" s="20">
        <f t="shared" ca="1" si="70"/>
        <v>0.33932870370370372</v>
      </c>
      <c r="J119" s="55">
        <f t="shared" ca="1" si="71"/>
        <v>45928</v>
      </c>
      <c r="K119" s="20">
        <f t="shared" ca="1" si="72"/>
        <v>0.40765046296296298</v>
      </c>
      <c r="L119" s="19" t="s">
        <v>18</v>
      </c>
      <c r="M119" s="18">
        <v>1004628</v>
      </c>
      <c r="N119" s="49" t="s">
        <v>34</v>
      </c>
      <c r="O119" s="11" t="str" cm="1">
        <f t="array" ref="O119">_xlfn.IFS(N119="FG2020US1", "Ibuprofen Tablets (100 MG)", N119="FG0001SEG", "Metformin Tablets (100 MG)", N119="FG0002SEG", "Metformin Tablets (200 MG)", N119="FG0003SEG", "Metformin Tablets (500 MG)", N119="FG00UDI4", "Aspirin Tablets (500 MG)")</f>
        <v>Metformin Tablets (200 MG)</v>
      </c>
      <c r="P119" s="11">
        <v>4118</v>
      </c>
    </row>
    <row r="120" spans="1:16" x14ac:dyDescent="0.35">
      <c r="A120" s="11">
        <v>40000002619</v>
      </c>
      <c r="B120" s="18">
        <v>1010</v>
      </c>
      <c r="C120" s="19">
        <v>4</v>
      </c>
      <c r="D120" s="2" t="s">
        <v>146</v>
      </c>
      <c r="E120" s="6">
        <f t="shared" ref="E120" ca="1" si="126">E121</f>
        <v>45929</v>
      </c>
      <c r="F120" s="15">
        <f ca="1">TIME(RANDBETWEEN(12,22), RANDBETWEEN(0,59), RANDBETWEEN(0,59))</f>
        <v>0.67122685185185182</v>
      </c>
      <c r="G120" s="18" t="s">
        <v>24</v>
      </c>
      <c r="H120" s="55">
        <f t="shared" ca="1" si="69"/>
        <v>45929</v>
      </c>
      <c r="I120" s="20">
        <f t="shared" ca="1" si="70"/>
        <v>0.67122685185185182</v>
      </c>
      <c r="J120" s="55">
        <f t="shared" ca="1" si="71"/>
        <v>45929</v>
      </c>
      <c r="K120" s="20">
        <f t="shared" ca="1" si="72"/>
        <v>0.73141203703703705</v>
      </c>
      <c r="L120" s="19" t="s">
        <v>18</v>
      </c>
      <c r="M120" s="18">
        <v>1004629</v>
      </c>
      <c r="N120" s="49" t="s">
        <v>22</v>
      </c>
      <c r="O120" s="11" t="str" cm="1">
        <f t="array" ref="O120">_xlfn.IFS(N120="FG2020US1", "Ibuprofen Tablets (100 MG)", N120="FG0001SEG", "Metformin Tablets (100 MG)", N120="FG0002SEG", "Metformin Tablets (200 MG)", N120="FG0003SEG", "Metformin Tablets (500 MG)", N120="FG00UDI4", "Aspirin Tablets (500 MG)")</f>
        <v>Ibuprofen Tablets (100 MG)</v>
      </c>
      <c r="P120" s="11">
        <v>4119</v>
      </c>
    </row>
    <row r="121" spans="1:16" x14ac:dyDescent="0.35">
      <c r="A121" s="11">
        <v>40000002620</v>
      </c>
      <c r="B121" s="18">
        <v>1010</v>
      </c>
      <c r="C121" s="19">
        <v>4</v>
      </c>
      <c r="D121" s="2" t="s">
        <v>147</v>
      </c>
      <c r="E121" s="6">
        <f t="shared" ref="E121" ca="1" si="127">E122-1</f>
        <v>45929</v>
      </c>
      <c r="F121" s="15">
        <f ca="1">TIME(RANDBETWEEN(0,10), RANDBETWEEN(0,59), RANDBETWEEN(0,59))</f>
        <v>0.45594907407407409</v>
      </c>
      <c r="G121" s="18" t="s">
        <v>36</v>
      </c>
      <c r="H121" s="55">
        <f t="shared" ca="1" si="69"/>
        <v>45929</v>
      </c>
      <c r="I121" s="20">
        <f t="shared" ca="1" si="70"/>
        <v>0.45594907407407409</v>
      </c>
      <c r="J121" s="55">
        <f t="shared" ca="1" si="71"/>
        <v>45929</v>
      </c>
      <c r="K121" s="20">
        <f t="shared" ca="1" si="72"/>
        <v>0.52053240740740747</v>
      </c>
      <c r="L121" s="19" t="s">
        <v>18</v>
      </c>
      <c r="M121" s="18">
        <v>1004630</v>
      </c>
      <c r="N121" s="49" t="s">
        <v>27</v>
      </c>
      <c r="O121" s="11" t="str" cm="1">
        <f t="array" ref="O121">_xlfn.IFS(N121="FG2020US1", "Ibuprofen Tablets (100 MG)", N121="FG0001SEG", "Metformin Tablets (100 MG)", N121="FG0002SEG", "Metformin Tablets (200 MG)", N121="FG0003SEG", "Metformin Tablets (500 MG)", N121="FG00UDI4", "Aspirin Tablets (500 MG)")</f>
        <v>Metformin Tablets (500 MG)</v>
      </c>
      <c r="P121" s="11">
        <v>4120</v>
      </c>
    </row>
    <row r="122" spans="1:16" x14ac:dyDescent="0.35">
      <c r="A122" s="11">
        <v>40000002621</v>
      </c>
      <c r="B122" s="18">
        <v>1010</v>
      </c>
      <c r="C122" s="19">
        <v>4</v>
      </c>
      <c r="D122" s="2" t="s">
        <v>148</v>
      </c>
      <c r="E122" s="6">
        <f t="shared" ref="E122" ca="1" si="128">E123</f>
        <v>45930</v>
      </c>
      <c r="F122" s="15">
        <f ca="1">TIME(RANDBETWEEN(12,22), RANDBETWEEN(0,59), RANDBETWEEN(0,59))</f>
        <v>0.86495370370370372</v>
      </c>
      <c r="G122" s="18" t="s">
        <v>17</v>
      </c>
      <c r="H122" s="55">
        <f t="shared" ca="1" si="69"/>
        <v>45930</v>
      </c>
      <c r="I122" s="20">
        <f t="shared" ca="1" si="70"/>
        <v>0.86495370370370372</v>
      </c>
      <c r="J122" s="55">
        <f t="shared" ca="1" si="71"/>
        <v>45930</v>
      </c>
      <c r="K122" s="20">
        <f t="shared" ca="1" si="72"/>
        <v>0.93612268518518515</v>
      </c>
      <c r="L122" s="19" t="s">
        <v>18</v>
      </c>
      <c r="M122" s="18">
        <v>1004631</v>
      </c>
      <c r="N122" s="49" t="s">
        <v>31</v>
      </c>
      <c r="O122" s="11" t="str" cm="1">
        <f t="array" ref="O122">_xlfn.IFS(N122="FG2020US1", "Ibuprofen Tablets (100 MG)", N122="FG0001SEG", "Metformin Tablets (100 MG)", N122="FG0002SEG", "Metformin Tablets (200 MG)", N122="FG0003SEG", "Metformin Tablets (500 MG)", N122="FG00UDI4", "Aspirin Tablets (500 MG)")</f>
        <v>Aspirin Tablets (500 MG)</v>
      </c>
      <c r="P122" s="11">
        <v>4121</v>
      </c>
    </row>
    <row r="123" spans="1:16" x14ac:dyDescent="0.35">
      <c r="A123" s="11">
        <v>40000002622</v>
      </c>
      <c r="B123" s="18">
        <v>1010</v>
      </c>
      <c r="C123" s="19">
        <v>4</v>
      </c>
      <c r="D123" s="2" t="s">
        <v>149</v>
      </c>
      <c r="E123" s="6">
        <f t="shared" ref="E123" ca="1" si="129">E124-1</f>
        <v>45930</v>
      </c>
      <c r="F123" s="15">
        <f ca="1">TIME(RANDBETWEEN(0,10), RANDBETWEEN(0,59), RANDBETWEEN(0,59))</f>
        <v>0.1215625</v>
      </c>
      <c r="G123" s="18" t="s">
        <v>21</v>
      </c>
      <c r="H123" s="55">
        <f t="shared" ca="1" si="69"/>
        <v>45930</v>
      </c>
      <c r="I123" s="20">
        <f t="shared" ca="1" si="70"/>
        <v>0.1215625</v>
      </c>
      <c r="J123" s="55">
        <f t="shared" ca="1" si="71"/>
        <v>45930</v>
      </c>
      <c r="K123" s="20">
        <f t="shared" ca="1" si="72"/>
        <v>0.18155092592592592</v>
      </c>
      <c r="L123" s="19" t="s">
        <v>18</v>
      </c>
      <c r="M123" s="18">
        <v>1004632</v>
      </c>
      <c r="N123" s="49" t="s">
        <v>19</v>
      </c>
      <c r="O123" s="11" t="str" cm="1">
        <f t="array" ref="O123">_xlfn.IFS(N123="FG2020US1", "Ibuprofen Tablets (100 MG)", N123="FG0001SEG", "Metformin Tablets (100 MG)", N123="FG0002SEG", "Metformin Tablets (200 MG)", N123="FG0003SEG", "Metformin Tablets (500 MG)", N123="FG00UDI4", "Aspirin Tablets (500 MG)")</f>
        <v>Metformin Tablets (100 MG)</v>
      </c>
      <c r="P123" s="11">
        <v>4122</v>
      </c>
    </row>
    <row r="124" spans="1:16" x14ac:dyDescent="0.35">
      <c r="A124" s="11">
        <v>40000002623</v>
      </c>
      <c r="B124" s="18">
        <v>1010</v>
      </c>
      <c r="C124" s="19">
        <v>4</v>
      </c>
      <c r="D124" s="2" t="s">
        <v>150</v>
      </c>
      <c r="E124" s="6">
        <f t="shared" ref="E124" ca="1" si="130">E125</f>
        <v>45931</v>
      </c>
      <c r="F124" s="15">
        <f ca="1">TIME(RANDBETWEEN(12,22), RANDBETWEEN(0,59), RANDBETWEEN(0,59))</f>
        <v>0.63078703703703709</v>
      </c>
      <c r="G124" s="18" t="s">
        <v>24</v>
      </c>
      <c r="H124" s="55">
        <f t="shared" ca="1" si="69"/>
        <v>45931</v>
      </c>
      <c r="I124" s="20">
        <f t="shared" ca="1" si="70"/>
        <v>0.63078703703703709</v>
      </c>
      <c r="J124" s="55">
        <f t="shared" ca="1" si="71"/>
        <v>45931</v>
      </c>
      <c r="K124" s="20">
        <f t="shared" ca="1" si="72"/>
        <v>0.69875000000000009</v>
      </c>
      <c r="L124" s="19" t="s">
        <v>18</v>
      </c>
      <c r="M124" s="18">
        <v>1004633</v>
      </c>
      <c r="N124" s="49" t="s">
        <v>34</v>
      </c>
      <c r="O124" s="11" t="str" cm="1">
        <f t="array" ref="O124">_xlfn.IFS(N124="FG2020US1", "Ibuprofen Tablets (100 MG)", N124="FG0001SEG", "Metformin Tablets (100 MG)", N124="FG0002SEG", "Metformin Tablets (200 MG)", N124="FG0003SEG", "Metformin Tablets (500 MG)", N124="FG00UDI4", "Aspirin Tablets (500 MG)")</f>
        <v>Metformin Tablets (200 MG)</v>
      </c>
      <c r="P124" s="11">
        <v>4123</v>
      </c>
    </row>
    <row r="125" spans="1:16" x14ac:dyDescent="0.35">
      <c r="A125" s="11">
        <v>40000002624</v>
      </c>
      <c r="B125" s="18">
        <v>1010</v>
      </c>
      <c r="C125" s="19">
        <v>4</v>
      </c>
      <c r="D125" s="2" t="s">
        <v>151</v>
      </c>
      <c r="E125" s="6">
        <f t="shared" ref="E125" ca="1" si="131">E126-1</f>
        <v>45931</v>
      </c>
      <c r="F125" s="15">
        <f ca="1">TIME(RANDBETWEEN(0,10), RANDBETWEEN(0,59), RANDBETWEEN(0,59))</f>
        <v>0.14028935185185185</v>
      </c>
      <c r="G125" s="18" t="s">
        <v>39</v>
      </c>
      <c r="H125" s="55">
        <f t="shared" ca="1" si="69"/>
        <v>45931</v>
      </c>
      <c r="I125" s="20">
        <f t="shared" ca="1" si="70"/>
        <v>0.14028935185185185</v>
      </c>
      <c r="J125" s="55">
        <f t="shared" ca="1" si="71"/>
        <v>45931</v>
      </c>
      <c r="K125" s="20">
        <f t="shared" ca="1" si="72"/>
        <v>0.20435185185185184</v>
      </c>
      <c r="L125" s="19" t="s">
        <v>18</v>
      </c>
      <c r="M125" s="18">
        <v>1004634</v>
      </c>
      <c r="N125" s="49" t="s">
        <v>22</v>
      </c>
      <c r="O125" s="11" t="str" cm="1">
        <f t="array" ref="O125">_xlfn.IFS(N125="FG2020US1", "Ibuprofen Tablets (100 MG)", N125="FG0001SEG", "Metformin Tablets (100 MG)", N125="FG0002SEG", "Metformin Tablets (200 MG)", N125="FG0003SEG", "Metformin Tablets (500 MG)", N125="FG00UDI4", "Aspirin Tablets (500 MG)")</f>
        <v>Ibuprofen Tablets (100 MG)</v>
      </c>
      <c r="P125" s="11">
        <v>4124</v>
      </c>
    </row>
    <row r="126" spans="1:16" x14ac:dyDescent="0.35">
      <c r="A126" s="11">
        <v>40000002625</v>
      </c>
      <c r="B126" s="18">
        <v>1010</v>
      </c>
      <c r="C126" s="19">
        <v>4</v>
      </c>
      <c r="D126" s="2" t="s">
        <v>152</v>
      </c>
      <c r="E126" s="6">
        <f t="shared" ref="E126" ca="1" si="132">E127</f>
        <v>45932</v>
      </c>
      <c r="F126" s="15">
        <f ca="1">TIME(RANDBETWEEN(12,22), RANDBETWEEN(0,59), RANDBETWEEN(0,59))</f>
        <v>0.61891203703703701</v>
      </c>
      <c r="G126" s="18" t="s">
        <v>17</v>
      </c>
      <c r="H126" s="55">
        <f t="shared" ca="1" si="69"/>
        <v>45932</v>
      </c>
      <c r="I126" s="20">
        <f t="shared" ca="1" si="70"/>
        <v>0.61891203703703701</v>
      </c>
      <c r="J126" s="55">
        <f t="shared" ca="1" si="71"/>
        <v>45932</v>
      </c>
      <c r="K126" s="20">
        <f t="shared" ca="1" si="72"/>
        <v>0.68027777777777776</v>
      </c>
      <c r="L126" s="19" t="s">
        <v>18</v>
      </c>
      <c r="M126" s="18">
        <v>1004635</v>
      </c>
      <c r="N126" s="49" t="s">
        <v>31</v>
      </c>
      <c r="O126" s="11" t="str" cm="1">
        <f t="array" ref="O126">_xlfn.IFS(N126="FG2020US1", "Ibuprofen Tablets (100 MG)", N126="FG0001SEG", "Metformin Tablets (100 MG)", N126="FG0002SEG", "Metformin Tablets (200 MG)", N126="FG0003SEG", "Metformin Tablets (500 MG)", N126="FG00UDI4", "Aspirin Tablets (500 MG)")</f>
        <v>Aspirin Tablets (500 MG)</v>
      </c>
      <c r="P126" s="11">
        <v>4125</v>
      </c>
    </row>
    <row r="127" spans="1:16" x14ac:dyDescent="0.35">
      <c r="A127" s="11">
        <v>40000002626</v>
      </c>
      <c r="B127" s="18">
        <v>1010</v>
      </c>
      <c r="C127" s="19">
        <v>4</v>
      </c>
      <c r="D127" s="2" t="s">
        <v>153</v>
      </c>
      <c r="E127" s="6">
        <f t="shared" ref="E127" ca="1" si="133">E128-1</f>
        <v>45932</v>
      </c>
      <c r="F127" s="15">
        <f ca="1">TIME(RANDBETWEEN(0,10), RANDBETWEEN(0,59), RANDBETWEEN(0,59))</f>
        <v>0.21236111111111111</v>
      </c>
      <c r="G127" s="18" t="s">
        <v>36</v>
      </c>
      <c r="H127" s="55">
        <f t="shared" ca="1" si="69"/>
        <v>45932</v>
      </c>
      <c r="I127" s="20">
        <f t="shared" ca="1" si="70"/>
        <v>0.21236111111111111</v>
      </c>
      <c r="J127" s="55">
        <f t="shared" ca="1" si="71"/>
        <v>45932</v>
      </c>
      <c r="K127" s="20">
        <f t="shared" ca="1" si="72"/>
        <v>0.27431712962962962</v>
      </c>
      <c r="L127" s="19" t="s">
        <v>18</v>
      </c>
      <c r="M127" s="18">
        <v>1004636</v>
      </c>
      <c r="N127" s="49" t="s">
        <v>19</v>
      </c>
      <c r="O127" s="11" t="str" cm="1">
        <f t="array" ref="O127">_xlfn.IFS(N127="FG2020US1", "Ibuprofen Tablets (100 MG)", N127="FG0001SEG", "Metformin Tablets (100 MG)", N127="FG0002SEG", "Metformin Tablets (200 MG)", N127="FG0003SEG", "Metformin Tablets (500 MG)", N127="FG00UDI4", "Aspirin Tablets (500 MG)")</f>
        <v>Metformin Tablets (100 MG)</v>
      </c>
      <c r="P127" s="11">
        <v>4126</v>
      </c>
    </row>
    <row r="128" spans="1:16" x14ac:dyDescent="0.35">
      <c r="A128" s="11">
        <v>40000002627</v>
      </c>
      <c r="B128" s="18">
        <v>1010</v>
      </c>
      <c r="C128" s="19">
        <v>4</v>
      </c>
      <c r="D128" s="2" t="s">
        <v>154</v>
      </c>
      <c r="E128" s="6">
        <f t="shared" ref="E128" ca="1" si="134">E129</f>
        <v>45933</v>
      </c>
      <c r="F128" s="15">
        <f ca="1">TIME(RANDBETWEEN(12,22), RANDBETWEEN(0,59), RANDBETWEEN(0,59))</f>
        <v>0.65635416666666668</v>
      </c>
      <c r="G128" s="18" t="s">
        <v>24</v>
      </c>
      <c r="H128" s="55">
        <f t="shared" ca="1" si="69"/>
        <v>45933</v>
      </c>
      <c r="I128" s="20">
        <f t="shared" ca="1" si="70"/>
        <v>0.65635416666666668</v>
      </c>
      <c r="J128" s="55">
        <f t="shared" ca="1" si="71"/>
        <v>45933</v>
      </c>
      <c r="K128" s="20">
        <f t="shared" ca="1" si="72"/>
        <v>0.72920138888888886</v>
      </c>
      <c r="L128" s="19" t="s">
        <v>18</v>
      </c>
      <c r="M128" s="18">
        <v>1004637</v>
      </c>
      <c r="N128" s="49" t="s">
        <v>31</v>
      </c>
      <c r="O128" s="11" t="str" cm="1">
        <f t="array" ref="O128">_xlfn.IFS(N128="FG2020US1", "Ibuprofen Tablets (100 MG)", N128="FG0001SEG", "Metformin Tablets (100 MG)", N128="FG0002SEG", "Metformin Tablets (200 MG)", N128="FG0003SEG", "Metformin Tablets (500 MG)", N128="FG00UDI4", "Aspirin Tablets (500 MG)")</f>
        <v>Aspirin Tablets (500 MG)</v>
      </c>
      <c r="P128" s="11">
        <v>4127</v>
      </c>
    </row>
    <row r="129" spans="1:16" x14ac:dyDescent="0.35">
      <c r="A129" s="11">
        <v>40000002628</v>
      </c>
      <c r="B129" s="18">
        <v>1010</v>
      </c>
      <c r="C129" s="19">
        <v>4</v>
      </c>
      <c r="D129" s="2" t="s">
        <v>155</v>
      </c>
      <c r="E129" s="6">
        <f t="shared" ref="E129" ca="1" si="135">E130-1</f>
        <v>45933</v>
      </c>
      <c r="F129" s="15">
        <f ca="1">TIME(RANDBETWEEN(0,10), RANDBETWEEN(0,59), RANDBETWEEN(0,59))</f>
        <v>0.18671296296296297</v>
      </c>
      <c r="G129" s="18" t="s">
        <v>21</v>
      </c>
      <c r="H129" s="55">
        <f t="shared" ca="1" si="69"/>
        <v>45933</v>
      </c>
      <c r="I129" s="20">
        <f t="shared" ca="1" si="70"/>
        <v>0.18671296296296297</v>
      </c>
      <c r="J129" s="55">
        <f t="shared" ca="1" si="71"/>
        <v>45933</v>
      </c>
      <c r="K129" s="20">
        <f t="shared" ca="1" si="72"/>
        <v>0.26276620370370374</v>
      </c>
      <c r="L129" s="19" t="s">
        <v>18</v>
      </c>
      <c r="M129" s="18">
        <v>1004638</v>
      </c>
      <c r="N129" s="49" t="s">
        <v>27</v>
      </c>
      <c r="O129" s="11" t="str" cm="1">
        <f t="array" ref="O129">_xlfn.IFS(N129="FG2020US1", "Ibuprofen Tablets (100 MG)", N129="FG0001SEG", "Metformin Tablets (100 MG)", N129="FG0002SEG", "Metformin Tablets (200 MG)", N129="FG0003SEG", "Metformin Tablets (500 MG)", N129="FG00UDI4", "Aspirin Tablets (500 MG)")</f>
        <v>Metformin Tablets (500 MG)</v>
      </c>
      <c r="P129" s="11">
        <v>4128</v>
      </c>
    </row>
    <row r="130" spans="1:16" x14ac:dyDescent="0.35">
      <c r="A130" s="11">
        <v>40000002629</v>
      </c>
      <c r="B130" s="18">
        <v>1010</v>
      </c>
      <c r="C130" s="19">
        <v>4</v>
      </c>
      <c r="D130" s="2" t="s">
        <v>156</v>
      </c>
      <c r="E130" s="6">
        <f t="shared" ref="E130" ca="1" si="136">E131</f>
        <v>45934</v>
      </c>
      <c r="F130" s="15">
        <f ca="1">TIME(RANDBETWEEN(12,22), RANDBETWEEN(0,59), RANDBETWEEN(0,59))</f>
        <v>0.63506944444444446</v>
      </c>
      <c r="G130" s="18" t="s">
        <v>24</v>
      </c>
      <c r="H130" s="55">
        <f t="shared" ref="H130:H193" ca="1" si="137">E130</f>
        <v>45934</v>
      </c>
      <c r="I130" s="20">
        <f t="shared" ref="I130:I193" ca="1" si="138">F130</f>
        <v>0.63506944444444446</v>
      </c>
      <c r="J130" s="55">
        <f t="shared" ref="J130:J193" ca="1" si="139">E130</f>
        <v>45934</v>
      </c>
      <c r="K130" s="20">
        <f t="shared" ref="K130:K193" ca="1" si="140">I130+TIME(1,RANDBETWEEN(25,50),RANDBETWEEN(0,59))</f>
        <v>0.70052083333333337</v>
      </c>
      <c r="L130" s="19" t="s">
        <v>18</v>
      </c>
      <c r="M130" s="18">
        <v>1004639</v>
      </c>
      <c r="N130" s="49" t="s">
        <v>19</v>
      </c>
      <c r="O130" s="11" t="str" cm="1">
        <f t="array" ref="O130">_xlfn.IFS(N130="FG2020US1", "Ibuprofen Tablets (100 MG)", N130="FG0001SEG", "Metformin Tablets (100 MG)", N130="FG0002SEG", "Metformin Tablets (200 MG)", N130="FG0003SEG", "Metformin Tablets (500 MG)", N130="FG00UDI4", "Aspirin Tablets (500 MG)")</f>
        <v>Metformin Tablets (100 MG)</v>
      </c>
      <c r="P130" s="11">
        <v>4129</v>
      </c>
    </row>
    <row r="131" spans="1:16" x14ac:dyDescent="0.35">
      <c r="A131" s="11">
        <v>40000002630</v>
      </c>
      <c r="B131" s="18">
        <v>1010</v>
      </c>
      <c r="C131" s="19">
        <v>4</v>
      </c>
      <c r="D131" s="2" t="s">
        <v>157</v>
      </c>
      <c r="E131" s="6">
        <f t="shared" ref="E131" ca="1" si="141">E132-1</f>
        <v>45934</v>
      </c>
      <c r="F131" s="15">
        <f ca="1">TIME(RANDBETWEEN(0,10), RANDBETWEEN(0,59), RANDBETWEEN(0,59))</f>
        <v>7.3067129629629635E-2</v>
      </c>
      <c r="G131" s="18" t="s">
        <v>39</v>
      </c>
      <c r="H131" s="55">
        <f t="shared" ca="1" si="137"/>
        <v>45934</v>
      </c>
      <c r="I131" s="20">
        <f t="shared" ca="1" si="138"/>
        <v>7.3067129629629635E-2</v>
      </c>
      <c r="J131" s="55">
        <f t="shared" ca="1" si="139"/>
        <v>45934</v>
      </c>
      <c r="K131" s="20">
        <f t="shared" ca="1" si="140"/>
        <v>0.13244212962962965</v>
      </c>
      <c r="L131" s="19" t="s">
        <v>18</v>
      </c>
      <c r="M131" s="18">
        <v>1004640</v>
      </c>
      <c r="N131" s="49" t="s">
        <v>31</v>
      </c>
      <c r="O131" s="11" t="str" cm="1">
        <f t="array" ref="O131">_xlfn.IFS(N131="FG2020US1", "Ibuprofen Tablets (100 MG)", N131="FG0001SEG", "Metformin Tablets (100 MG)", N131="FG0002SEG", "Metformin Tablets (200 MG)", N131="FG0003SEG", "Metformin Tablets (500 MG)", N131="FG00UDI4", "Aspirin Tablets (500 MG)")</f>
        <v>Aspirin Tablets (500 MG)</v>
      </c>
      <c r="P131" s="11">
        <v>4130</v>
      </c>
    </row>
    <row r="132" spans="1:16" x14ac:dyDescent="0.35">
      <c r="A132" s="11">
        <v>40000002631</v>
      </c>
      <c r="B132" s="18">
        <v>1010</v>
      </c>
      <c r="C132" s="19">
        <v>4</v>
      </c>
      <c r="D132" s="2" t="s">
        <v>158</v>
      </c>
      <c r="E132" s="6">
        <f t="shared" ref="E132" ca="1" si="142">E133</f>
        <v>45935</v>
      </c>
      <c r="F132" s="15">
        <f ca="1">TIME(RANDBETWEEN(12,22), RANDBETWEEN(0,59), RANDBETWEEN(0,59))</f>
        <v>0.69877314814814817</v>
      </c>
      <c r="G132" s="18" t="s">
        <v>30</v>
      </c>
      <c r="H132" s="55">
        <f t="shared" ca="1" si="137"/>
        <v>45935</v>
      </c>
      <c r="I132" s="20">
        <f t="shared" ca="1" si="138"/>
        <v>0.69877314814814817</v>
      </c>
      <c r="J132" s="55">
        <f t="shared" ca="1" si="139"/>
        <v>45935</v>
      </c>
      <c r="K132" s="20">
        <f t="shared" ca="1" si="140"/>
        <v>0.75927083333333334</v>
      </c>
      <c r="L132" s="19" t="s">
        <v>18</v>
      </c>
      <c r="M132" s="18">
        <v>1004641</v>
      </c>
      <c r="N132" s="49" t="s">
        <v>27</v>
      </c>
      <c r="O132" s="11" t="str" cm="1">
        <f t="array" ref="O132">_xlfn.IFS(N132="FG2020US1", "Ibuprofen Tablets (100 MG)", N132="FG0001SEG", "Metformin Tablets (100 MG)", N132="FG0002SEG", "Metformin Tablets (200 MG)", N132="FG0003SEG", "Metformin Tablets (500 MG)", N132="FG00UDI4", "Aspirin Tablets (500 MG)")</f>
        <v>Metformin Tablets (500 MG)</v>
      </c>
      <c r="P132" s="11">
        <v>4131</v>
      </c>
    </row>
    <row r="133" spans="1:16" x14ac:dyDescent="0.35">
      <c r="A133" s="11">
        <v>40000002632</v>
      </c>
      <c r="B133" s="18">
        <v>1010</v>
      </c>
      <c r="C133" s="19">
        <v>4</v>
      </c>
      <c r="D133" s="2" t="s">
        <v>159</v>
      </c>
      <c r="E133" s="6">
        <f t="shared" ref="E133" ca="1" si="143">E134-1</f>
        <v>45935</v>
      </c>
      <c r="F133" s="15">
        <f ca="1">TIME(RANDBETWEEN(0,10), RANDBETWEEN(0,59), RANDBETWEEN(0,59))</f>
        <v>0.3394212962962963</v>
      </c>
      <c r="G133" s="18" t="s">
        <v>39</v>
      </c>
      <c r="H133" s="55">
        <f t="shared" ca="1" si="137"/>
        <v>45935</v>
      </c>
      <c r="I133" s="20">
        <f t="shared" ca="1" si="138"/>
        <v>0.3394212962962963</v>
      </c>
      <c r="J133" s="55">
        <f t="shared" ca="1" si="139"/>
        <v>45935</v>
      </c>
      <c r="K133" s="20">
        <f t="shared" ca="1" si="140"/>
        <v>0.40604166666666669</v>
      </c>
      <c r="L133" s="19" t="s">
        <v>18</v>
      </c>
      <c r="M133" s="18">
        <v>1004642</v>
      </c>
      <c r="N133" s="49" t="s">
        <v>31</v>
      </c>
      <c r="O133" s="11" t="str" cm="1">
        <f t="array" ref="O133">_xlfn.IFS(N133="FG2020US1", "Ibuprofen Tablets (100 MG)", N133="FG0001SEG", "Metformin Tablets (100 MG)", N133="FG0002SEG", "Metformin Tablets (200 MG)", N133="FG0003SEG", "Metformin Tablets (500 MG)", N133="FG00UDI4", "Aspirin Tablets (500 MG)")</f>
        <v>Aspirin Tablets (500 MG)</v>
      </c>
      <c r="P133" s="11">
        <v>4132</v>
      </c>
    </row>
    <row r="134" spans="1:16" x14ac:dyDescent="0.35">
      <c r="A134" s="11">
        <v>40000002633</v>
      </c>
      <c r="B134" s="18">
        <v>1010</v>
      </c>
      <c r="C134" s="19">
        <v>4</v>
      </c>
      <c r="D134" s="2" t="s">
        <v>160</v>
      </c>
      <c r="E134" s="6">
        <f t="shared" ref="E134" ca="1" si="144">E135</f>
        <v>45936</v>
      </c>
      <c r="F134" s="15">
        <f ca="1">TIME(RANDBETWEEN(12,22), RANDBETWEEN(0,59), RANDBETWEEN(0,59))</f>
        <v>0.54385416666666664</v>
      </c>
      <c r="G134" s="18" t="s">
        <v>17</v>
      </c>
      <c r="H134" s="55">
        <f t="shared" ca="1" si="137"/>
        <v>45936</v>
      </c>
      <c r="I134" s="20">
        <f t="shared" ca="1" si="138"/>
        <v>0.54385416666666664</v>
      </c>
      <c r="J134" s="55">
        <f t="shared" ca="1" si="139"/>
        <v>45936</v>
      </c>
      <c r="K134" s="20">
        <f t="shared" ca="1" si="140"/>
        <v>0.60701388888888885</v>
      </c>
      <c r="L134" s="19" t="s">
        <v>18</v>
      </c>
      <c r="M134" s="18">
        <v>1004643</v>
      </c>
      <c r="N134" s="49" t="s">
        <v>19</v>
      </c>
      <c r="O134" s="11" t="str" cm="1">
        <f t="array" ref="O134">_xlfn.IFS(N134="FG2020US1", "Ibuprofen Tablets (100 MG)", N134="FG0001SEG", "Metformin Tablets (100 MG)", N134="FG0002SEG", "Metformin Tablets (200 MG)", N134="FG0003SEG", "Metformin Tablets (500 MG)", N134="FG00UDI4", "Aspirin Tablets (500 MG)")</f>
        <v>Metformin Tablets (100 MG)</v>
      </c>
      <c r="P134" s="11">
        <v>4133</v>
      </c>
    </row>
    <row r="135" spans="1:16" x14ac:dyDescent="0.35">
      <c r="A135" s="11">
        <v>40000002634</v>
      </c>
      <c r="B135" s="18">
        <v>1010</v>
      </c>
      <c r="C135" s="19">
        <v>4</v>
      </c>
      <c r="D135" s="2" t="s">
        <v>161</v>
      </c>
      <c r="E135" s="6">
        <f t="shared" ref="E135" ca="1" si="145">E136-1</f>
        <v>45936</v>
      </c>
      <c r="F135" s="15">
        <f ca="1">TIME(RANDBETWEEN(0,10), RANDBETWEEN(0,59), RANDBETWEEN(0,59))</f>
        <v>0.37385416666666665</v>
      </c>
      <c r="G135" s="18" t="s">
        <v>39</v>
      </c>
      <c r="H135" s="55">
        <f t="shared" ca="1" si="137"/>
        <v>45936</v>
      </c>
      <c r="I135" s="20">
        <f t="shared" ca="1" si="138"/>
        <v>0.37385416666666665</v>
      </c>
      <c r="J135" s="55">
        <f t="shared" ca="1" si="139"/>
        <v>45936</v>
      </c>
      <c r="K135" s="20">
        <f t="shared" ca="1" si="140"/>
        <v>0.44392361111111112</v>
      </c>
      <c r="L135" s="19" t="s">
        <v>18</v>
      </c>
      <c r="M135" s="18">
        <v>1004644</v>
      </c>
      <c r="N135" s="49" t="s">
        <v>34</v>
      </c>
      <c r="O135" s="11" t="str" cm="1">
        <f t="array" ref="O135">_xlfn.IFS(N135="FG2020US1", "Ibuprofen Tablets (100 MG)", N135="FG0001SEG", "Metformin Tablets (100 MG)", N135="FG0002SEG", "Metformin Tablets (200 MG)", N135="FG0003SEG", "Metformin Tablets (500 MG)", N135="FG00UDI4", "Aspirin Tablets (500 MG)")</f>
        <v>Metformin Tablets (200 MG)</v>
      </c>
      <c r="P135" s="11">
        <v>4134</v>
      </c>
    </row>
    <row r="136" spans="1:16" x14ac:dyDescent="0.35">
      <c r="A136" s="11">
        <v>40000002635</v>
      </c>
      <c r="B136" s="18">
        <v>1010</v>
      </c>
      <c r="C136" s="19">
        <v>4</v>
      </c>
      <c r="D136" s="2" t="s">
        <v>162</v>
      </c>
      <c r="E136" s="6">
        <f t="shared" ref="E136" ca="1" si="146">E137</f>
        <v>45937</v>
      </c>
      <c r="F136" s="15">
        <f ca="1">TIME(RANDBETWEEN(12,22), RANDBETWEEN(0,59), RANDBETWEEN(0,59))</f>
        <v>0.67380787037037038</v>
      </c>
      <c r="G136" s="18" t="s">
        <v>24</v>
      </c>
      <c r="H136" s="55">
        <f t="shared" ca="1" si="137"/>
        <v>45937</v>
      </c>
      <c r="I136" s="20">
        <f t="shared" ca="1" si="138"/>
        <v>0.67380787037037038</v>
      </c>
      <c r="J136" s="55">
        <f t="shared" ca="1" si="139"/>
        <v>45937</v>
      </c>
      <c r="K136" s="20">
        <f t="shared" ca="1" si="140"/>
        <v>0.74250000000000005</v>
      </c>
      <c r="L136" s="19" t="s">
        <v>18</v>
      </c>
      <c r="M136" s="18">
        <v>1004645</v>
      </c>
      <c r="N136" s="49" t="s">
        <v>22</v>
      </c>
      <c r="O136" s="11" t="str" cm="1">
        <f t="array" ref="O136">_xlfn.IFS(N136="FG2020US1", "Ibuprofen Tablets (100 MG)", N136="FG0001SEG", "Metformin Tablets (100 MG)", N136="FG0002SEG", "Metformin Tablets (200 MG)", N136="FG0003SEG", "Metformin Tablets (500 MG)", N136="FG00UDI4", "Aspirin Tablets (500 MG)")</f>
        <v>Ibuprofen Tablets (100 MG)</v>
      </c>
      <c r="P136" s="11">
        <v>4135</v>
      </c>
    </row>
    <row r="137" spans="1:16" x14ac:dyDescent="0.35">
      <c r="A137" s="11">
        <v>40000002636</v>
      </c>
      <c r="B137" s="18">
        <v>1010</v>
      </c>
      <c r="C137" s="19">
        <v>4</v>
      </c>
      <c r="D137" s="2" t="s">
        <v>163</v>
      </c>
      <c r="E137" s="6">
        <f t="shared" ref="E137" ca="1" si="147">E138-1</f>
        <v>45937</v>
      </c>
      <c r="F137" s="15">
        <f ca="1">TIME(RANDBETWEEN(0,10), RANDBETWEEN(0,59), RANDBETWEEN(0,59))</f>
        <v>0.26775462962962965</v>
      </c>
      <c r="G137" s="18" t="s">
        <v>39</v>
      </c>
      <c r="H137" s="55">
        <f t="shared" ca="1" si="137"/>
        <v>45937</v>
      </c>
      <c r="I137" s="20">
        <f t="shared" ca="1" si="138"/>
        <v>0.26775462962962965</v>
      </c>
      <c r="J137" s="55">
        <f t="shared" ca="1" si="139"/>
        <v>45937</v>
      </c>
      <c r="K137" s="20">
        <f t="shared" ca="1" si="140"/>
        <v>0.33101851851851855</v>
      </c>
      <c r="L137" s="19" t="s">
        <v>18</v>
      </c>
      <c r="M137" s="18">
        <v>1004646</v>
      </c>
      <c r="N137" s="49" t="s">
        <v>34</v>
      </c>
      <c r="O137" s="11" t="str" cm="1">
        <f t="array" ref="O137">_xlfn.IFS(N137="FG2020US1", "Ibuprofen Tablets (100 MG)", N137="FG0001SEG", "Metformin Tablets (100 MG)", N137="FG0002SEG", "Metformin Tablets (200 MG)", N137="FG0003SEG", "Metformin Tablets (500 MG)", N137="FG00UDI4", "Aspirin Tablets (500 MG)")</f>
        <v>Metformin Tablets (200 MG)</v>
      </c>
      <c r="P137" s="11">
        <v>4136</v>
      </c>
    </row>
    <row r="138" spans="1:16" x14ac:dyDescent="0.35">
      <c r="A138" s="11">
        <v>40000002637</v>
      </c>
      <c r="B138" s="18">
        <v>1010</v>
      </c>
      <c r="C138" s="19">
        <v>4</v>
      </c>
      <c r="D138" s="2" t="s">
        <v>164</v>
      </c>
      <c r="E138" s="6">
        <f t="shared" ref="E138" ca="1" si="148">E139</f>
        <v>45938</v>
      </c>
      <c r="F138" s="15">
        <f ca="1">TIME(RANDBETWEEN(12,22), RANDBETWEEN(0,59), RANDBETWEEN(0,59))</f>
        <v>0.60315972222222225</v>
      </c>
      <c r="G138" s="18" t="s">
        <v>24</v>
      </c>
      <c r="H138" s="55">
        <f t="shared" ca="1" si="137"/>
        <v>45938</v>
      </c>
      <c r="I138" s="20">
        <f t="shared" ca="1" si="138"/>
        <v>0.60315972222222225</v>
      </c>
      <c r="J138" s="55">
        <f t="shared" ca="1" si="139"/>
        <v>45938</v>
      </c>
      <c r="K138" s="20">
        <f t="shared" ca="1" si="140"/>
        <v>0.66309027777777785</v>
      </c>
      <c r="L138" s="19" t="s">
        <v>18</v>
      </c>
      <c r="M138" s="18">
        <v>1004647</v>
      </c>
      <c r="N138" s="49" t="s">
        <v>19</v>
      </c>
      <c r="O138" s="11" t="str" cm="1">
        <f t="array" ref="O138">_xlfn.IFS(N138="FG2020US1", "Ibuprofen Tablets (100 MG)", N138="FG0001SEG", "Metformin Tablets (100 MG)", N138="FG0002SEG", "Metformin Tablets (200 MG)", N138="FG0003SEG", "Metformin Tablets (500 MG)", N138="FG00UDI4", "Aspirin Tablets (500 MG)")</f>
        <v>Metformin Tablets (100 MG)</v>
      </c>
      <c r="P138" s="11">
        <v>4137</v>
      </c>
    </row>
    <row r="139" spans="1:16" x14ac:dyDescent="0.35">
      <c r="A139" s="11">
        <v>40000002638</v>
      </c>
      <c r="B139" s="18">
        <v>1010</v>
      </c>
      <c r="C139" s="19">
        <v>4</v>
      </c>
      <c r="D139" s="2" t="s">
        <v>165</v>
      </c>
      <c r="E139" s="6">
        <f t="shared" ref="E139" ca="1" si="149">E140-1</f>
        <v>45938</v>
      </c>
      <c r="F139" s="15">
        <f ca="1">TIME(RANDBETWEEN(0,10), RANDBETWEEN(0,59), RANDBETWEEN(0,59))</f>
        <v>0.3896412037037037</v>
      </c>
      <c r="G139" s="18" t="s">
        <v>21</v>
      </c>
      <c r="H139" s="55">
        <f t="shared" ca="1" si="137"/>
        <v>45938</v>
      </c>
      <c r="I139" s="20">
        <f t="shared" ca="1" si="138"/>
        <v>0.3896412037037037</v>
      </c>
      <c r="J139" s="55">
        <f t="shared" ca="1" si="139"/>
        <v>45938</v>
      </c>
      <c r="K139" s="20">
        <f t="shared" ca="1" si="140"/>
        <v>0.46134259259259258</v>
      </c>
      <c r="L139" s="19" t="s">
        <v>18</v>
      </c>
      <c r="M139" s="18">
        <v>1004648</v>
      </c>
      <c r="N139" s="49" t="s">
        <v>22</v>
      </c>
      <c r="O139" s="11" t="str" cm="1">
        <f t="array" ref="O139">_xlfn.IFS(N139="FG2020US1", "Ibuprofen Tablets (100 MG)", N139="FG0001SEG", "Metformin Tablets (100 MG)", N139="FG0002SEG", "Metformin Tablets (200 MG)", N139="FG0003SEG", "Metformin Tablets (500 MG)", N139="FG00UDI4", "Aspirin Tablets (500 MG)")</f>
        <v>Ibuprofen Tablets (100 MG)</v>
      </c>
      <c r="P139" s="11">
        <v>4138</v>
      </c>
    </row>
    <row r="140" spans="1:16" x14ac:dyDescent="0.35">
      <c r="A140" s="11">
        <v>40000002639</v>
      </c>
      <c r="B140" s="18">
        <v>1010</v>
      </c>
      <c r="C140" s="19">
        <v>4</v>
      </c>
      <c r="D140" s="2" t="s">
        <v>166</v>
      </c>
      <c r="E140" s="6">
        <f t="shared" ref="E140" ca="1" si="150">E141</f>
        <v>45939</v>
      </c>
      <c r="F140" s="15">
        <f ca="1">TIME(RANDBETWEEN(12,22), RANDBETWEEN(0,59), RANDBETWEEN(0,59))</f>
        <v>0.75574074074074071</v>
      </c>
      <c r="G140" s="18" t="s">
        <v>24</v>
      </c>
      <c r="H140" s="55">
        <f t="shared" ca="1" si="137"/>
        <v>45939</v>
      </c>
      <c r="I140" s="20">
        <f t="shared" ca="1" si="138"/>
        <v>0.75574074074074071</v>
      </c>
      <c r="J140" s="55">
        <f t="shared" ca="1" si="139"/>
        <v>45939</v>
      </c>
      <c r="K140" s="20">
        <f t="shared" ca="1" si="140"/>
        <v>0.81606481481481474</v>
      </c>
      <c r="L140" s="19" t="s">
        <v>18</v>
      </c>
      <c r="M140" s="18">
        <v>1004649</v>
      </c>
      <c r="N140" s="49" t="s">
        <v>22</v>
      </c>
      <c r="O140" s="11" t="str" cm="1">
        <f t="array" ref="O140">_xlfn.IFS(N140="FG2020US1", "Ibuprofen Tablets (100 MG)", N140="FG0001SEG", "Metformin Tablets (100 MG)", N140="FG0002SEG", "Metformin Tablets (200 MG)", N140="FG0003SEG", "Metformin Tablets (500 MG)", N140="FG00UDI4", "Aspirin Tablets (500 MG)")</f>
        <v>Ibuprofen Tablets (100 MG)</v>
      </c>
      <c r="P140" s="11">
        <v>4139</v>
      </c>
    </row>
    <row r="141" spans="1:16" x14ac:dyDescent="0.35">
      <c r="A141" s="11">
        <v>40000002640</v>
      </c>
      <c r="B141" s="18">
        <v>1010</v>
      </c>
      <c r="C141" s="19">
        <v>4</v>
      </c>
      <c r="D141" s="2" t="s">
        <v>167</v>
      </c>
      <c r="E141" s="6">
        <f t="shared" ref="E141" ca="1" si="151">E142-1</f>
        <v>45939</v>
      </c>
      <c r="F141" s="15">
        <f ca="1">TIME(RANDBETWEEN(0,10), RANDBETWEEN(0,59), RANDBETWEEN(0,59))</f>
        <v>5.3530092592592594E-2</v>
      </c>
      <c r="G141" s="18" t="s">
        <v>36</v>
      </c>
      <c r="H141" s="55">
        <f t="shared" ca="1" si="137"/>
        <v>45939</v>
      </c>
      <c r="I141" s="20">
        <f t="shared" ca="1" si="138"/>
        <v>5.3530092592592594E-2</v>
      </c>
      <c r="J141" s="55">
        <f t="shared" ca="1" si="139"/>
        <v>45939</v>
      </c>
      <c r="K141" s="20">
        <f t="shared" ca="1" si="140"/>
        <v>0.11454861111111111</v>
      </c>
      <c r="L141" s="19" t="s">
        <v>18</v>
      </c>
      <c r="M141" s="18">
        <v>1004650</v>
      </c>
      <c r="N141" s="49" t="s">
        <v>27</v>
      </c>
      <c r="O141" s="11" t="str" cm="1">
        <f t="array" ref="O141">_xlfn.IFS(N141="FG2020US1", "Ibuprofen Tablets (100 MG)", N141="FG0001SEG", "Metformin Tablets (100 MG)", N141="FG0002SEG", "Metformin Tablets (200 MG)", N141="FG0003SEG", "Metformin Tablets (500 MG)", N141="FG00UDI4", "Aspirin Tablets (500 MG)")</f>
        <v>Metformin Tablets (500 MG)</v>
      </c>
      <c r="P141" s="11">
        <v>4140</v>
      </c>
    </row>
    <row r="142" spans="1:16" x14ac:dyDescent="0.35">
      <c r="A142" s="11">
        <v>40000002641</v>
      </c>
      <c r="B142" s="18">
        <v>1010</v>
      </c>
      <c r="C142" s="19">
        <v>4</v>
      </c>
      <c r="D142" s="2" t="s">
        <v>168</v>
      </c>
      <c r="E142" s="6">
        <f t="shared" ref="E142" ca="1" si="152">E143</f>
        <v>45940</v>
      </c>
      <c r="F142" s="15">
        <f ca="1">TIME(RANDBETWEEN(12,22), RANDBETWEEN(0,59), RANDBETWEEN(0,59))</f>
        <v>0.66524305555555552</v>
      </c>
      <c r="G142" s="18" t="s">
        <v>30</v>
      </c>
      <c r="H142" s="55">
        <f t="shared" ca="1" si="137"/>
        <v>45940</v>
      </c>
      <c r="I142" s="20">
        <f t="shared" ca="1" si="138"/>
        <v>0.66524305555555552</v>
      </c>
      <c r="J142" s="55">
        <f t="shared" ca="1" si="139"/>
        <v>45940</v>
      </c>
      <c r="K142" s="20">
        <f t="shared" ca="1" si="140"/>
        <v>0.73401620370370368</v>
      </c>
      <c r="L142" s="19" t="s">
        <v>18</v>
      </c>
      <c r="M142" s="18">
        <v>1004651</v>
      </c>
      <c r="N142" s="49" t="s">
        <v>34</v>
      </c>
      <c r="O142" s="11" t="str" cm="1">
        <f t="array" ref="O142">_xlfn.IFS(N142="FG2020US1", "Ibuprofen Tablets (100 MG)", N142="FG0001SEG", "Metformin Tablets (100 MG)", N142="FG0002SEG", "Metformin Tablets (200 MG)", N142="FG0003SEG", "Metformin Tablets (500 MG)", N142="FG00UDI4", "Aspirin Tablets (500 MG)")</f>
        <v>Metformin Tablets (200 MG)</v>
      </c>
      <c r="P142" s="11">
        <v>4141</v>
      </c>
    </row>
    <row r="143" spans="1:16" x14ac:dyDescent="0.35">
      <c r="A143" s="11">
        <v>40000002642</v>
      </c>
      <c r="B143" s="18">
        <v>1010</v>
      </c>
      <c r="C143" s="19">
        <v>4</v>
      </c>
      <c r="D143" s="2" t="s">
        <v>169</v>
      </c>
      <c r="E143" s="6">
        <f t="shared" ref="E143" ca="1" si="153">E144-1</f>
        <v>45940</v>
      </c>
      <c r="F143" s="15">
        <f ca="1">TIME(RANDBETWEEN(0,10), RANDBETWEEN(0,59), RANDBETWEEN(0,59))</f>
        <v>0.43525462962962963</v>
      </c>
      <c r="G143" s="18" t="s">
        <v>21</v>
      </c>
      <c r="H143" s="55">
        <f t="shared" ca="1" si="137"/>
        <v>45940</v>
      </c>
      <c r="I143" s="20">
        <f t="shared" ca="1" si="138"/>
        <v>0.43525462962962963</v>
      </c>
      <c r="J143" s="55">
        <f t="shared" ca="1" si="139"/>
        <v>45940</v>
      </c>
      <c r="K143" s="20">
        <f t="shared" ca="1" si="140"/>
        <v>0.50869212962962962</v>
      </c>
      <c r="L143" s="19" t="s">
        <v>18</v>
      </c>
      <c r="M143" s="18">
        <v>1004652</v>
      </c>
      <c r="N143" s="49" t="s">
        <v>19</v>
      </c>
      <c r="O143" s="11" t="str" cm="1">
        <f t="array" ref="O143">_xlfn.IFS(N143="FG2020US1", "Ibuprofen Tablets (100 MG)", N143="FG0001SEG", "Metformin Tablets (100 MG)", N143="FG0002SEG", "Metformin Tablets (200 MG)", N143="FG0003SEG", "Metformin Tablets (500 MG)", N143="FG00UDI4", "Aspirin Tablets (500 MG)")</f>
        <v>Metformin Tablets (100 MG)</v>
      </c>
      <c r="P143" s="11">
        <v>4142</v>
      </c>
    </row>
    <row r="144" spans="1:16" x14ac:dyDescent="0.35">
      <c r="A144" s="11">
        <v>40000002643</v>
      </c>
      <c r="B144" s="18">
        <v>1010</v>
      </c>
      <c r="C144" s="19">
        <v>4</v>
      </c>
      <c r="D144" s="2" t="s">
        <v>170</v>
      </c>
      <c r="E144" s="6">
        <f t="shared" ref="E144" ca="1" si="154">E145</f>
        <v>45941</v>
      </c>
      <c r="F144" s="15">
        <f ca="1">TIME(RANDBETWEEN(12,22), RANDBETWEEN(0,59), RANDBETWEEN(0,59))</f>
        <v>0.80561342592592589</v>
      </c>
      <c r="G144" s="18" t="s">
        <v>17</v>
      </c>
      <c r="H144" s="55">
        <f t="shared" ca="1" si="137"/>
        <v>45941</v>
      </c>
      <c r="I144" s="20">
        <f t="shared" ca="1" si="138"/>
        <v>0.80561342592592589</v>
      </c>
      <c r="J144" s="55">
        <f t="shared" ca="1" si="139"/>
        <v>45941</v>
      </c>
      <c r="K144" s="20">
        <f t="shared" ca="1" si="140"/>
        <v>0.87465277777777772</v>
      </c>
      <c r="L144" s="19" t="s">
        <v>18</v>
      </c>
      <c r="M144" s="18">
        <v>1004653</v>
      </c>
      <c r="N144" s="49" t="s">
        <v>27</v>
      </c>
      <c r="O144" s="11" t="str" cm="1">
        <f t="array" ref="O144">_xlfn.IFS(N144="FG2020US1", "Ibuprofen Tablets (100 MG)", N144="FG0001SEG", "Metformin Tablets (100 MG)", N144="FG0002SEG", "Metformin Tablets (200 MG)", N144="FG0003SEG", "Metformin Tablets (500 MG)", N144="FG00UDI4", "Aspirin Tablets (500 MG)")</f>
        <v>Metformin Tablets (500 MG)</v>
      </c>
      <c r="P144" s="11">
        <v>4143</v>
      </c>
    </row>
    <row r="145" spans="1:16" x14ac:dyDescent="0.35">
      <c r="A145" s="11">
        <v>40000002644</v>
      </c>
      <c r="B145" s="18">
        <v>1010</v>
      </c>
      <c r="C145" s="19">
        <v>4</v>
      </c>
      <c r="D145" s="2" t="s">
        <v>171</v>
      </c>
      <c r="E145" s="6">
        <f t="shared" ref="E145" ca="1" si="155">E146-1</f>
        <v>45941</v>
      </c>
      <c r="F145" s="15">
        <f ca="1">TIME(RANDBETWEEN(0,10), RANDBETWEEN(0,59), RANDBETWEEN(0,59))</f>
        <v>3.0752314814814816E-2</v>
      </c>
      <c r="G145" s="18" t="s">
        <v>21</v>
      </c>
      <c r="H145" s="55">
        <f t="shared" ca="1" si="137"/>
        <v>45941</v>
      </c>
      <c r="I145" s="20">
        <f t="shared" ca="1" si="138"/>
        <v>3.0752314814814816E-2</v>
      </c>
      <c r="J145" s="55">
        <f t="shared" ca="1" si="139"/>
        <v>45941</v>
      </c>
      <c r="K145" s="20">
        <f t="shared" ca="1" si="140"/>
        <v>9.1006944444444446E-2</v>
      </c>
      <c r="L145" s="19" t="s">
        <v>18</v>
      </c>
      <c r="M145" s="18">
        <v>1004654</v>
      </c>
      <c r="N145" s="49" t="s">
        <v>19</v>
      </c>
      <c r="O145" s="11" t="str" cm="1">
        <f t="array" ref="O145">_xlfn.IFS(N145="FG2020US1", "Ibuprofen Tablets (100 MG)", N145="FG0001SEG", "Metformin Tablets (100 MG)", N145="FG0002SEG", "Metformin Tablets (200 MG)", N145="FG0003SEG", "Metformin Tablets (500 MG)", N145="FG00UDI4", "Aspirin Tablets (500 MG)")</f>
        <v>Metformin Tablets (100 MG)</v>
      </c>
      <c r="P145" s="11">
        <v>4144</v>
      </c>
    </row>
    <row r="146" spans="1:16" x14ac:dyDescent="0.35">
      <c r="A146" s="11">
        <v>40000002645</v>
      </c>
      <c r="B146" s="18">
        <v>1010</v>
      </c>
      <c r="C146" s="19">
        <v>4</v>
      </c>
      <c r="D146" s="2" t="s">
        <v>172</v>
      </c>
      <c r="E146" s="6">
        <f t="shared" ref="E146" ca="1" si="156">E147</f>
        <v>45942</v>
      </c>
      <c r="F146" s="15">
        <f ca="1">TIME(RANDBETWEEN(12,22), RANDBETWEEN(0,59), RANDBETWEEN(0,59))</f>
        <v>0.63020833333333337</v>
      </c>
      <c r="G146" s="18" t="s">
        <v>30</v>
      </c>
      <c r="H146" s="55">
        <f t="shared" ca="1" si="137"/>
        <v>45942</v>
      </c>
      <c r="I146" s="20">
        <f t="shared" ca="1" si="138"/>
        <v>0.63020833333333337</v>
      </c>
      <c r="J146" s="55">
        <f t="shared" ca="1" si="139"/>
        <v>45942</v>
      </c>
      <c r="K146" s="20">
        <f t="shared" ca="1" si="140"/>
        <v>0.69817129629629637</v>
      </c>
      <c r="L146" s="19" t="s">
        <v>18</v>
      </c>
      <c r="M146" s="18">
        <v>1004655</v>
      </c>
      <c r="N146" s="49" t="s">
        <v>31</v>
      </c>
      <c r="O146" s="11" t="str" cm="1">
        <f t="array" ref="O146">_xlfn.IFS(N146="FG2020US1", "Ibuprofen Tablets (100 MG)", N146="FG0001SEG", "Metformin Tablets (100 MG)", N146="FG0002SEG", "Metformin Tablets (200 MG)", N146="FG0003SEG", "Metformin Tablets (500 MG)", N146="FG00UDI4", "Aspirin Tablets (500 MG)")</f>
        <v>Aspirin Tablets (500 MG)</v>
      </c>
      <c r="P146" s="11">
        <v>4145</v>
      </c>
    </row>
    <row r="147" spans="1:16" x14ac:dyDescent="0.35">
      <c r="A147" s="11">
        <v>40000002646</v>
      </c>
      <c r="B147" s="18">
        <v>1010</v>
      </c>
      <c r="C147" s="19">
        <v>4</v>
      </c>
      <c r="D147" s="2" t="s">
        <v>173</v>
      </c>
      <c r="E147" s="6">
        <f t="shared" ref="E147" ca="1" si="157">E148-1</f>
        <v>45942</v>
      </c>
      <c r="F147" s="15">
        <f ca="1">TIME(RANDBETWEEN(0,10), RANDBETWEEN(0,59), RANDBETWEEN(0,59))</f>
        <v>0.41030092592592593</v>
      </c>
      <c r="G147" s="18" t="s">
        <v>36</v>
      </c>
      <c r="H147" s="55">
        <f t="shared" ca="1" si="137"/>
        <v>45942</v>
      </c>
      <c r="I147" s="20">
        <f t="shared" ca="1" si="138"/>
        <v>0.41030092592592593</v>
      </c>
      <c r="J147" s="55">
        <f t="shared" ca="1" si="139"/>
        <v>45942</v>
      </c>
      <c r="K147" s="20">
        <f t="shared" ca="1" si="140"/>
        <v>0.47296296296296297</v>
      </c>
      <c r="L147" s="19" t="s">
        <v>18</v>
      </c>
      <c r="M147" s="18">
        <v>1004656</v>
      </c>
      <c r="N147" s="49" t="s">
        <v>34</v>
      </c>
      <c r="O147" s="11" t="str" cm="1">
        <f t="array" ref="O147">_xlfn.IFS(N147="FG2020US1", "Ibuprofen Tablets (100 MG)", N147="FG0001SEG", "Metformin Tablets (100 MG)", N147="FG0002SEG", "Metformin Tablets (200 MG)", N147="FG0003SEG", "Metformin Tablets (500 MG)", N147="FG00UDI4", "Aspirin Tablets (500 MG)")</f>
        <v>Metformin Tablets (200 MG)</v>
      </c>
      <c r="P147" s="11">
        <v>4146</v>
      </c>
    </row>
    <row r="148" spans="1:16" x14ac:dyDescent="0.35">
      <c r="A148" s="11">
        <v>40000002647</v>
      </c>
      <c r="B148" s="18">
        <v>1010</v>
      </c>
      <c r="C148" s="19">
        <v>4</v>
      </c>
      <c r="D148" s="2" t="s">
        <v>174</v>
      </c>
      <c r="E148" s="6">
        <f t="shared" ref="E148" ca="1" si="158">E149</f>
        <v>45943</v>
      </c>
      <c r="F148" s="15">
        <f ca="1">TIME(RANDBETWEEN(12,22), RANDBETWEEN(0,59), RANDBETWEEN(0,59))</f>
        <v>0.74167824074074074</v>
      </c>
      <c r="G148" s="18" t="s">
        <v>17</v>
      </c>
      <c r="H148" s="55">
        <f t="shared" ca="1" si="137"/>
        <v>45943</v>
      </c>
      <c r="I148" s="20">
        <f t="shared" ca="1" si="138"/>
        <v>0.74167824074074074</v>
      </c>
      <c r="J148" s="55">
        <f t="shared" ca="1" si="139"/>
        <v>45943</v>
      </c>
      <c r="K148" s="20">
        <f t="shared" ca="1" si="140"/>
        <v>0.81768518518518518</v>
      </c>
      <c r="L148" s="19" t="s">
        <v>18</v>
      </c>
      <c r="M148" s="18">
        <v>1004657</v>
      </c>
      <c r="N148" s="49" t="s">
        <v>31</v>
      </c>
      <c r="O148" s="11" t="str" cm="1">
        <f t="array" ref="O148">_xlfn.IFS(N148="FG2020US1", "Ibuprofen Tablets (100 MG)", N148="FG0001SEG", "Metformin Tablets (100 MG)", N148="FG0002SEG", "Metformin Tablets (200 MG)", N148="FG0003SEG", "Metformin Tablets (500 MG)", N148="FG00UDI4", "Aspirin Tablets (500 MG)")</f>
        <v>Aspirin Tablets (500 MG)</v>
      </c>
      <c r="P148" s="11">
        <v>4147</v>
      </c>
    </row>
    <row r="149" spans="1:16" x14ac:dyDescent="0.35">
      <c r="A149" s="11">
        <v>40000002648</v>
      </c>
      <c r="B149" s="18">
        <v>1010</v>
      </c>
      <c r="C149" s="19">
        <v>4</v>
      </c>
      <c r="D149" s="2" t="s">
        <v>175</v>
      </c>
      <c r="E149" s="6">
        <f t="shared" ref="E149" ca="1" si="159">E150-1</f>
        <v>45943</v>
      </c>
      <c r="F149" s="15">
        <f ca="1">TIME(RANDBETWEEN(0,10), RANDBETWEEN(0,59), RANDBETWEEN(0,59))</f>
        <v>0.29216435185185186</v>
      </c>
      <c r="G149" s="18" t="s">
        <v>21</v>
      </c>
      <c r="H149" s="55">
        <f t="shared" ca="1" si="137"/>
        <v>45943</v>
      </c>
      <c r="I149" s="20">
        <f t="shared" ca="1" si="138"/>
        <v>0.29216435185185186</v>
      </c>
      <c r="J149" s="55">
        <f t="shared" ca="1" si="139"/>
        <v>45943</v>
      </c>
      <c r="K149" s="20">
        <f t="shared" ca="1" si="140"/>
        <v>0.36388888888888887</v>
      </c>
      <c r="L149" s="19" t="s">
        <v>18</v>
      </c>
      <c r="M149" s="18">
        <v>1004658</v>
      </c>
      <c r="N149" s="49" t="s">
        <v>34</v>
      </c>
      <c r="O149" s="11" t="str" cm="1">
        <f t="array" ref="O149">_xlfn.IFS(N149="FG2020US1", "Ibuprofen Tablets (100 MG)", N149="FG0001SEG", "Metformin Tablets (100 MG)", N149="FG0002SEG", "Metformin Tablets (200 MG)", N149="FG0003SEG", "Metformin Tablets (500 MG)", N149="FG00UDI4", "Aspirin Tablets (500 MG)")</f>
        <v>Metformin Tablets (200 MG)</v>
      </c>
      <c r="P149" s="11">
        <v>4148</v>
      </c>
    </row>
    <row r="150" spans="1:16" x14ac:dyDescent="0.35">
      <c r="A150" s="11">
        <v>40000002649</v>
      </c>
      <c r="B150" s="18">
        <v>1010</v>
      </c>
      <c r="C150" s="19">
        <v>4</v>
      </c>
      <c r="D150" s="2" t="s">
        <v>176</v>
      </c>
      <c r="E150" s="6">
        <f t="shared" ref="E150" ca="1" si="160">E151</f>
        <v>45944</v>
      </c>
      <c r="F150" s="15">
        <f ca="1">TIME(RANDBETWEEN(12,22), RANDBETWEEN(0,59), RANDBETWEEN(0,59))</f>
        <v>0.78611111111111109</v>
      </c>
      <c r="G150" s="18" t="s">
        <v>30</v>
      </c>
      <c r="H150" s="55">
        <f t="shared" ca="1" si="137"/>
        <v>45944</v>
      </c>
      <c r="I150" s="20">
        <f t="shared" ca="1" si="138"/>
        <v>0.78611111111111109</v>
      </c>
      <c r="J150" s="55">
        <f t="shared" ca="1" si="139"/>
        <v>45944</v>
      </c>
      <c r="K150" s="20">
        <f t="shared" ca="1" si="140"/>
        <v>0.84788194444444442</v>
      </c>
      <c r="L150" s="19" t="s">
        <v>18</v>
      </c>
      <c r="M150" s="18">
        <v>1004659</v>
      </c>
      <c r="N150" s="49" t="s">
        <v>19</v>
      </c>
      <c r="O150" s="11" t="str" cm="1">
        <f t="array" ref="O150">_xlfn.IFS(N150="FG2020US1", "Ibuprofen Tablets (100 MG)", N150="FG0001SEG", "Metformin Tablets (100 MG)", N150="FG0002SEG", "Metformin Tablets (200 MG)", N150="FG0003SEG", "Metformin Tablets (500 MG)", N150="FG00UDI4", "Aspirin Tablets (500 MG)")</f>
        <v>Metformin Tablets (100 MG)</v>
      </c>
      <c r="P150" s="11">
        <v>4149</v>
      </c>
    </row>
    <row r="151" spans="1:16" x14ac:dyDescent="0.35">
      <c r="A151" s="11">
        <v>40000002650</v>
      </c>
      <c r="B151" s="18">
        <v>1010</v>
      </c>
      <c r="C151" s="19">
        <v>4</v>
      </c>
      <c r="D151" s="2" t="s">
        <v>177</v>
      </c>
      <c r="E151" s="6">
        <f t="shared" ref="E151" ca="1" si="161">E152-1</f>
        <v>45944</v>
      </c>
      <c r="F151" s="15">
        <f ca="1">TIME(RANDBETWEEN(0,10), RANDBETWEEN(0,59), RANDBETWEEN(0,59))</f>
        <v>0.41405092592592591</v>
      </c>
      <c r="G151" s="18" t="s">
        <v>36</v>
      </c>
      <c r="H151" s="55">
        <f t="shared" ca="1" si="137"/>
        <v>45944</v>
      </c>
      <c r="I151" s="20">
        <f t="shared" ca="1" si="138"/>
        <v>0.41405092592592591</v>
      </c>
      <c r="J151" s="55">
        <f t="shared" ca="1" si="139"/>
        <v>45944</v>
      </c>
      <c r="K151" s="20">
        <f t="shared" ca="1" si="140"/>
        <v>0.48890046296296297</v>
      </c>
      <c r="L151" s="19" t="s">
        <v>18</v>
      </c>
      <c r="M151" s="18">
        <v>1004660</v>
      </c>
      <c r="N151" s="49" t="s">
        <v>22</v>
      </c>
      <c r="O151" s="11" t="str" cm="1">
        <f t="array" ref="O151">_xlfn.IFS(N151="FG2020US1", "Ibuprofen Tablets (100 MG)", N151="FG0001SEG", "Metformin Tablets (100 MG)", N151="FG0002SEG", "Metformin Tablets (200 MG)", N151="FG0003SEG", "Metformin Tablets (500 MG)", N151="FG00UDI4", "Aspirin Tablets (500 MG)")</f>
        <v>Ibuprofen Tablets (100 MG)</v>
      </c>
      <c r="P151" s="11">
        <v>4150</v>
      </c>
    </row>
    <row r="152" spans="1:16" x14ac:dyDescent="0.35">
      <c r="A152" s="11">
        <v>40000002651</v>
      </c>
      <c r="B152" s="18">
        <v>1010</v>
      </c>
      <c r="C152" s="19">
        <v>4</v>
      </c>
      <c r="D152" s="2" t="s">
        <v>178</v>
      </c>
      <c r="E152" s="6">
        <f t="shared" ref="E152" ca="1" si="162">E153</f>
        <v>45945</v>
      </c>
      <c r="F152" s="15">
        <f ca="1">TIME(RANDBETWEEN(12,22), RANDBETWEEN(0,59), RANDBETWEEN(0,59))</f>
        <v>0.84038194444444447</v>
      </c>
      <c r="G152" s="18" t="s">
        <v>24</v>
      </c>
      <c r="H152" s="55">
        <f t="shared" ca="1" si="137"/>
        <v>45945</v>
      </c>
      <c r="I152" s="20">
        <f t="shared" ca="1" si="138"/>
        <v>0.84038194444444447</v>
      </c>
      <c r="J152" s="55">
        <f t="shared" ca="1" si="139"/>
        <v>45945</v>
      </c>
      <c r="K152" s="20">
        <f t="shared" ca="1" si="140"/>
        <v>0.91181712962962969</v>
      </c>
      <c r="L152" s="19" t="s">
        <v>18</v>
      </c>
      <c r="M152" s="18">
        <v>1004661</v>
      </c>
      <c r="N152" s="49" t="s">
        <v>34</v>
      </c>
      <c r="O152" s="11" t="str" cm="1">
        <f t="array" ref="O152">_xlfn.IFS(N152="FG2020US1", "Ibuprofen Tablets (100 MG)", N152="FG0001SEG", "Metformin Tablets (100 MG)", N152="FG0002SEG", "Metformin Tablets (200 MG)", N152="FG0003SEG", "Metformin Tablets (500 MG)", N152="FG00UDI4", "Aspirin Tablets (500 MG)")</f>
        <v>Metformin Tablets (200 MG)</v>
      </c>
      <c r="P152" s="11">
        <v>4151</v>
      </c>
    </row>
    <row r="153" spans="1:16" x14ac:dyDescent="0.35">
      <c r="A153" s="11">
        <v>40000002652</v>
      </c>
      <c r="B153" s="18">
        <v>1010</v>
      </c>
      <c r="C153" s="19">
        <v>4</v>
      </c>
      <c r="D153" s="2" t="s">
        <v>179</v>
      </c>
      <c r="E153" s="6">
        <f t="shared" ref="E153" ca="1" si="163">E154-1</f>
        <v>45945</v>
      </c>
      <c r="F153" s="15">
        <f ca="1">TIME(RANDBETWEEN(0,10), RANDBETWEEN(0,59), RANDBETWEEN(0,59))</f>
        <v>0.39371527777777776</v>
      </c>
      <c r="G153" s="18" t="s">
        <v>39</v>
      </c>
      <c r="H153" s="55">
        <f t="shared" ca="1" si="137"/>
        <v>45945</v>
      </c>
      <c r="I153" s="20">
        <f t="shared" ca="1" si="138"/>
        <v>0.39371527777777776</v>
      </c>
      <c r="J153" s="55">
        <f t="shared" ca="1" si="139"/>
        <v>45945</v>
      </c>
      <c r="K153" s="20">
        <f t="shared" ca="1" si="140"/>
        <v>0.4704976851851852</v>
      </c>
      <c r="L153" s="19" t="s">
        <v>18</v>
      </c>
      <c r="M153" s="18">
        <v>1004662</v>
      </c>
      <c r="N153" s="49" t="s">
        <v>19</v>
      </c>
      <c r="O153" s="11" t="str" cm="1">
        <f t="array" ref="O153">_xlfn.IFS(N153="FG2020US1", "Ibuprofen Tablets (100 MG)", N153="FG0001SEG", "Metformin Tablets (100 MG)", N153="FG0002SEG", "Metformin Tablets (200 MG)", N153="FG0003SEG", "Metformin Tablets (500 MG)", N153="FG00UDI4", "Aspirin Tablets (500 MG)")</f>
        <v>Metformin Tablets (100 MG)</v>
      </c>
      <c r="P153" s="11">
        <v>4152</v>
      </c>
    </row>
    <row r="154" spans="1:16" x14ac:dyDescent="0.35">
      <c r="A154" s="11">
        <v>40000002653</v>
      </c>
      <c r="B154" s="18">
        <v>1010</v>
      </c>
      <c r="C154" s="19">
        <v>4</v>
      </c>
      <c r="D154" s="2" t="s">
        <v>180</v>
      </c>
      <c r="E154" s="6">
        <f t="shared" ref="E154" ca="1" si="164">E155</f>
        <v>45946</v>
      </c>
      <c r="F154" s="15">
        <f ca="1">TIME(RANDBETWEEN(12,22), RANDBETWEEN(0,59), RANDBETWEEN(0,59))</f>
        <v>0.90681712962962968</v>
      </c>
      <c r="G154" s="18" t="s">
        <v>24</v>
      </c>
      <c r="H154" s="55">
        <f t="shared" ca="1" si="137"/>
        <v>45946</v>
      </c>
      <c r="I154" s="20">
        <f t="shared" ca="1" si="138"/>
        <v>0.90681712962962968</v>
      </c>
      <c r="J154" s="55">
        <f t="shared" ca="1" si="139"/>
        <v>45946</v>
      </c>
      <c r="K154" s="20">
        <f t="shared" ca="1" si="140"/>
        <v>0.97695601851851854</v>
      </c>
      <c r="L154" s="19" t="s">
        <v>18</v>
      </c>
      <c r="M154" s="18">
        <v>1004663</v>
      </c>
      <c r="N154" s="49" t="s">
        <v>22</v>
      </c>
      <c r="O154" s="11" t="str" cm="1">
        <f t="array" ref="O154">_xlfn.IFS(N154="FG2020US1", "Ibuprofen Tablets (100 MG)", N154="FG0001SEG", "Metformin Tablets (100 MG)", N154="FG0002SEG", "Metformin Tablets (200 MG)", N154="FG0003SEG", "Metformin Tablets (500 MG)", N154="FG00UDI4", "Aspirin Tablets (500 MG)")</f>
        <v>Ibuprofen Tablets (100 MG)</v>
      </c>
      <c r="P154" s="11">
        <v>4153</v>
      </c>
    </row>
    <row r="155" spans="1:16" x14ac:dyDescent="0.35">
      <c r="A155" s="11">
        <v>40000002654</v>
      </c>
      <c r="B155" s="18">
        <v>1010</v>
      </c>
      <c r="C155" s="19">
        <v>4</v>
      </c>
      <c r="D155" s="2" t="s">
        <v>181</v>
      </c>
      <c r="E155" s="6">
        <f t="shared" ref="E155" ca="1" si="165">E156-1</f>
        <v>45946</v>
      </c>
      <c r="F155" s="15">
        <f ca="1">TIME(RANDBETWEEN(0,10), RANDBETWEEN(0,59), RANDBETWEEN(0,59))</f>
        <v>0.22020833333333334</v>
      </c>
      <c r="G155" s="18" t="s">
        <v>39</v>
      </c>
      <c r="H155" s="55">
        <f t="shared" ca="1" si="137"/>
        <v>45946</v>
      </c>
      <c r="I155" s="20">
        <f t="shared" ca="1" si="138"/>
        <v>0.22020833333333334</v>
      </c>
      <c r="J155" s="55">
        <f t="shared" ca="1" si="139"/>
        <v>45946</v>
      </c>
      <c r="K155" s="20">
        <f t="shared" ca="1" si="140"/>
        <v>0.28962962962962963</v>
      </c>
      <c r="L155" s="19" t="s">
        <v>18</v>
      </c>
      <c r="M155" s="18">
        <v>1004664</v>
      </c>
      <c r="N155" s="49" t="s">
        <v>19</v>
      </c>
      <c r="O155" s="11" t="str" cm="1">
        <f t="array" ref="O155">_xlfn.IFS(N155="FG2020US1", "Ibuprofen Tablets (100 MG)", N155="FG0001SEG", "Metformin Tablets (100 MG)", N155="FG0002SEG", "Metformin Tablets (200 MG)", N155="FG0003SEG", "Metformin Tablets (500 MG)", N155="FG00UDI4", "Aspirin Tablets (500 MG)")</f>
        <v>Metformin Tablets (100 MG)</v>
      </c>
      <c r="P155" s="11">
        <v>4154</v>
      </c>
    </row>
    <row r="156" spans="1:16" x14ac:dyDescent="0.35">
      <c r="A156" s="11">
        <v>40000002655</v>
      </c>
      <c r="B156" s="18">
        <v>1010</v>
      </c>
      <c r="C156" s="19">
        <v>4</v>
      </c>
      <c r="D156" s="2" t="s">
        <v>182</v>
      </c>
      <c r="E156" s="6">
        <f t="shared" ref="E156" ca="1" si="166">E157</f>
        <v>45947</v>
      </c>
      <c r="F156" s="15">
        <f ca="1">TIME(RANDBETWEEN(12,22), RANDBETWEEN(0,59), RANDBETWEEN(0,59))</f>
        <v>0.63635416666666667</v>
      </c>
      <c r="G156" s="18" t="s">
        <v>30</v>
      </c>
      <c r="H156" s="55">
        <f t="shared" ca="1" si="137"/>
        <v>45947</v>
      </c>
      <c r="I156" s="20">
        <f t="shared" ca="1" si="138"/>
        <v>0.63635416666666667</v>
      </c>
      <c r="J156" s="55">
        <f t="shared" ca="1" si="139"/>
        <v>45947</v>
      </c>
      <c r="K156" s="20">
        <f t="shared" ca="1" si="140"/>
        <v>0.69984953703703701</v>
      </c>
      <c r="L156" s="19" t="s">
        <v>18</v>
      </c>
      <c r="M156" s="18">
        <v>1004665</v>
      </c>
      <c r="N156" s="49" t="s">
        <v>19</v>
      </c>
      <c r="O156" s="11" t="str" cm="1">
        <f t="array" ref="O156">_xlfn.IFS(N156="FG2020US1", "Ibuprofen Tablets (100 MG)", N156="FG0001SEG", "Metformin Tablets (100 MG)", N156="FG0002SEG", "Metformin Tablets (200 MG)", N156="FG0003SEG", "Metformin Tablets (500 MG)", N156="FG00UDI4", "Aspirin Tablets (500 MG)")</f>
        <v>Metformin Tablets (100 MG)</v>
      </c>
      <c r="P156" s="11">
        <v>4155</v>
      </c>
    </row>
    <row r="157" spans="1:16" x14ac:dyDescent="0.35">
      <c r="A157" s="11">
        <v>40000002656</v>
      </c>
      <c r="B157" s="18">
        <v>1010</v>
      </c>
      <c r="C157" s="19">
        <v>4</v>
      </c>
      <c r="D157" s="2" t="s">
        <v>183</v>
      </c>
      <c r="E157" s="6">
        <f t="shared" ref="E157" ca="1" si="167">E158-1</f>
        <v>45947</v>
      </c>
      <c r="F157" s="15">
        <f ca="1">TIME(RANDBETWEEN(0,10), RANDBETWEEN(0,59), RANDBETWEEN(0,59))</f>
        <v>4.2199074074074076E-2</v>
      </c>
      <c r="G157" s="18" t="s">
        <v>21</v>
      </c>
      <c r="H157" s="55">
        <f t="shared" ca="1" si="137"/>
        <v>45947</v>
      </c>
      <c r="I157" s="20">
        <f t="shared" ca="1" si="138"/>
        <v>4.2199074074074076E-2</v>
      </c>
      <c r="J157" s="55">
        <f t="shared" ca="1" si="139"/>
        <v>45947</v>
      </c>
      <c r="K157" s="20">
        <f t="shared" ca="1" si="140"/>
        <v>0.11032407407407407</v>
      </c>
      <c r="L157" s="19" t="s">
        <v>18</v>
      </c>
      <c r="M157" s="18">
        <v>1004666</v>
      </c>
      <c r="N157" s="49" t="s">
        <v>22</v>
      </c>
      <c r="O157" s="11" t="str" cm="1">
        <f t="array" ref="O157">_xlfn.IFS(N157="FG2020US1", "Ibuprofen Tablets (100 MG)", N157="FG0001SEG", "Metformin Tablets (100 MG)", N157="FG0002SEG", "Metformin Tablets (200 MG)", N157="FG0003SEG", "Metformin Tablets (500 MG)", N157="FG00UDI4", "Aspirin Tablets (500 MG)")</f>
        <v>Ibuprofen Tablets (100 MG)</v>
      </c>
      <c r="P157" s="11">
        <v>4156</v>
      </c>
    </row>
    <row r="158" spans="1:16" x14ac:dyDescent="0.35">
      <c r="A158" s="11">
        <v>40000002657</v>
      </c>
      <c r="B158" s="18">
        <v>1010</v>
      </c>
      <c r="C158" s="19">
        <v>4</v>
      </c>
      <c r="D158" s="2" t="s">
        <v>184</v>
      </c>
      <c r="E158" s="6">
        <f t="shared" ref="E158" ca="1" si="168">E159</f>
        <v>45948</v>
      </c>
      <c r="F158" s="15">
        <f ca="1">TIME(RANDBETWEEN(12,22), RANDBETWEEN(0,59), RANDBETWEEN(0,59))</f>
        <v>0.95668981481481485</v>
      </c>
      <c r="G158" s="18" t="s">
        <v>17</v>
      </c>
      <c r="H158" s="55">
        <f t="shared" ca="1" si="137"/>
        <v>45948</v>
      </c>
      <c r="I158" s="20">
        <f t="shared" ca="1" si="138"/>
        <v>0.95668981481481485</v>
      </c>
      <c r="J158" s="55">
        <f t="shared" ca="1" si="139"/>
        <v>45948</v>
      </c>
      <c r="K158" s="20">
        <f t="shared" ca="1" si="140"/>
        <v>1.0162615740740741</v>
      </c>
      <c r="L158" s="19" t="s">
        <v>18</v>
      </c>
      <c r="M158" s="18">
        <v>1004667</v>
      </c>
      <c r="N158" s="49" t="s">
        <v>27</v>
      </c>
      <c r="O158" s="11" t="str" cm="1">
        <f t="array" ref="O158">_xlfn.IFS(N158="FG2020US1", "Ibuprofen Tablets (100 MG)", N158="FG0001SEG", "Metformin Tablets (100 MG)", N158="FG0002SEG", "Metformin Tablets (200 MG)", N158="FG0003SEG", "Metformin Tablets (500 MG)", N158="FG00UDI4", "Aspirin Tablets (500 MG)")</f>
        <v>Metformin Tablets (500 MG)</v>
      </c>
      <c r="P158" s="11">
        <v>4157</v>
      </c>
    </row>
    <row r="159" spans="1:16" x14ac:dyDescent="0.35">
      <c r="A159" s="11">
        <v>40000002658</v>
      </c>
      <c r="B159" s="18">
        <v>1010</v>
      </c>
      <c r="C159" s="19">
        <v>4</v>
      </c>
      <c r="D159" s="2" t="s">
        <v>185</v>
      </c>
      <c r="E159" s="6">
        <f t="shared" ref="E159" ca="1" si="169">E160-1</f>
        <v>45948</v>
      </c>
      <c r="F159" s="15">
        <f ca="1">TIME(RANDBETWEEN(0,10), RANDBETWEEN(0,59), RANDBETWEEN(0,59))</f>
        <v>0.38696759259259261</v>
      </c>
      <c r="G159" s="18" t="s">
        <v>36</v>
      </c>
      <c r="H159" s="55">
        <f t="shared" ca="1" si="137"/>
        <v>45948</v>
      </c>
      <c r="I159" s="20">
        <f t="shared" ca="1" si="138"/>
        <v>0.38696759259259261</v>
      </c>
      <c r="J159" s="55">
        <f t="shared" ca="1" si="139"/>
        <v>45948</v>
      </c>
      <c r="K159" s="20">
        <f t="shared" ca="1" si="140"/>
        <v>0.45096064814814818</v>
      </c>
      <c r="L159" s="19" t="s">
        <v>18</v>
      </c>
      <c r="M159" s="18">
        <v>1004668</v>
      </c>
      <c r="N159" s="49" t="s">
        <v>22</v>
      </c>
      <c r="O159" s="11" t="str" cm="1">
        <f t="array" ref="O159">_xlfn.IFS(N159="FG2020US1", "Ibuprofen Tablets (100 MG)", N159="FG0001SEG", "Metformin Tablets (100 MG)", N159="FG0002SEG", "Metformin Tablets (200 MG)", N159="FG0003SEG", "Metformin Tablets (500 MG)", N159="FG00UDI4", "Aspirin Tablets (500 MG)")</f>
        <v>Ibuprofen Tablets (100 MG)</v>
      </c>
      <c r="P159" s="11">
        <v>4158</v>
      </c>
    </row>
    <row r="160" spans="1:16" x14ac:dyDescent="0.35">
      <c r="A160" s="11">
        <v>40000002659</v>
      </c>
      <c r="B160" s="18">
        <v>1010</v>
      </c>
      <c r="C160" s="19">
        <v>4</v>
      </c>
      <c r="D160" s="2" t="s">
        <v>186</v>
      </c>
      <c r="E160" s="6">
        <f t="shared" ref="E160" ca="1" si="170">E161</f>
        <v>45949</v>
      </c>
      <c r="F160" s="15">
        <f ca="1">TIME(RANDBETWEEN(12,22), RANDBETWEEN(0,59), RANDBETWEEN(0,59))</f>
        <v>0.68314814814814817</v>
      </c>
      <c r="G160" s="18" t="s">
        <v>17</v>
      </c>
      <c r="H160" s="55">
        <f t="shared" ca="1" si="137"/>
        <v>45949</v>
      </c>
      <c r="I160" s="20">
        <f t="shared" ca="1" si="138"/>
        <v>0.68314814814814817</v>
      </c>
      <c r="J160" s="55">
        <f t="shared" ca="1" si="139"/>
        <v>45949</v>
      </c>
      <c r="K160" s="20">
        <f t="shared" ca="1" si="140"/>
        <v>0.75697916666666665</v>
      </c>
      <c r="L160" s="19" t="s">
        <v>18</v>
      </c>
      <c r="M160" s="18">
        <v>1004669</v>
      </c>
      <c r="N160" s="49" t="s">
        <v>19</v>
      </c>
      <c r="O160" s="11" t="str" cm="1">
        <f t="array" ref="O160">_xlfn.IFS(N160="FG2020US1", "Ibuprofen Tablets (100 MG)", N160="FG0001SEG", "Metformin Tablets (100 MG)", N160="FG0002SEG", "Metformin Tablets (200 MG)", N160="FG0003SEG", "Metformin Tablets (500 MG)", N160="FG00UDI4", "Aspirin Tablets (500 MG)")</f>
        <v>Metformin Tablets (100 MG)</v>
      </c>
      <c r="P160" s="11">
        <v>4159</v>
      </c>
    </row>
    <row r="161" spans="1:16" x14ac:dyDescent="0.35">
      <c r="A161" s="11">
        <v>40000002660</v>
      </c>
      <c r="B161" s="18">
        <v>1010</v>
      </c>
      <c r="C161" s="19">
        <v>4</v>
      </c>
      <c r="D161" s="2" t="s">
        <v>187</v>
      </c>
      <c r="E161" s="6">
        <f t="shared" ref="E161" ca="1" si="171">E162-1</f>
        <v>45949</v>
      </c>
      <c r="F161" s="15">
        <f ca="1">TIME(RANDBETWEEN(0,10), RANDBETWEEN(0,59), RANDBETWEEN(0,59))</f>
        <v>0.37261574074074072</v>
      </c>
      <c r="G161" s="18" t="s">
        <v>36</v>
      </c>
      <c r="H161" s="55">
        <f t="shared" ca="1" si="137"/>
        <v>45949</v>
      </c>
      <c r="I161" s="20">
        <f t="shared" ca="1" si="138"/>
        <v>0.37261574074074072</v>
      </c>
      <c r="J161" s="55">
        <f t="shared" ca="1" si="139"/>
        <v>45949</v>
      </c>
      <c r="K161" s="20">
        <f t="shared" ca="1" si="140"/>
        <v>0.44945601851851846</v>
      </c>
      <c r="L161" s="19" t="s">
        <v>18</v>
      </c>
      <c r="M161" s="18">
        <v>1004670</v>
      </c>
      <c r="N161" s="49" t="s">
        <v>31</v>
      </c>
      <c r="O161" s="11" t="str" cm="1">
        <f t="array" ref="O161">_xlfn.IFS(N161="FG2020US1", "Ibuprofen Tablets (100 MG)", N161="FG0001SEG", "Metformin Tablets (100 MG)", N161="FG0002SEG", "Metformin Tablets (200 MG)", N161="FG0003SEG", "Metformin Tablets (500 MG)", N161="FG00UDI4", "Aspirin Tablets (500 MG)")</f>
        <v>Aspirin Tablets (500 MG)</v>
      </c>
      <c r="P161" s="11">
        <v>4160</v>
      </c>
    </row>
    <row r="162" spans="1:16" x14ac:dyDescent="0.35">
      <c r="A162" s="11">
        <v>40000002661</v>
      </c>
      <c r="B162" s="18">
        <v>1010</v>
      </c>
      <c r="C162" s="19">
        <v>4</v>
      </c>
      <c r="D162" s="2" t="s">
        <v>188</v>
      </c>
      <c r="E162" s="6">
        <f t="shared" ref="E162" ca="1" si="172">E163</f>
        <v>45950</v>
      </c>
      <c r="F162" s="15">
        <f ca="1">TIME(RANDBETWEEN(12,22), RANDBETWEEN(0,59), RANDBETWEEN(0,59))</f>
        <v>0.82546296296296295</v>
      </c>
      <c r="G162" s="18" t="s">
        <v>30</v>
      </c>
      <c r="H162" s="55">
        <f t="shared" ca="1" si="137"/>
        <v>45950</v>
      </c>
      <c r="I162" s="20">
        <f t="shared" ca="1" si="138"/>
        <v>0.82546296296296295</v>
      </c>
      <c r="J162" s="55">
        <f t="shared" ca="1" si="139"/>
        <v>45950</v>
      </c>
      <c r="K162" s="20">
        <f t="shared" ca="1" si="140"/>
        <v>0.88975694444444442</v>
      </c>
      <c r="L162" s="19" t="s">
        <v>18</v>
      </c>
      <c r="M162" s="18">
        <v>1004671</v>
      </c>
      <c r="N162" s="49" t="s">
        <v>27</v>
      </c>
      <c r="O162" s="11" t="str" cm="1">
        <f t="array" ref="O162">_xlfn.IFS(N162="FG2020US1", "Ibuprofen Tablets (100 MG)", N162="FG0001SEG", "Metformin Tablets (100 MG)", N162="FG0002SEG", "Metformin Tablets (200 MG)", N162="FG0003SEG", "Metformin Tablets (500 MG)", N162="FG00UDI4", "Aspirin Tablets (500 MG)")</f>
        <v>Metformin Tablets (500 MG)</v>
      </c>
      <c r="P162" s="11">
        <v>4161</v>
      </c>
    </row>
    <row r="163" spans="1:16" x14ac:dyDescent="0.35">
      <c r="A163" s="11">
        <v>40000002662</v>
      </c>
      <c r="B163" s="18">
        <v>1010</v>
      </c>
      <c r="C163" s="19">
        <v>4</v>
      </c>
      <c r="D163" s="2" t="s">
        <v>189</v>
      </c>
      <c r="E163" s="6">
        <f t="shared" ref="E163" ca="1" si="173">E164-1</f>
        <v>45950</v>
      </c>
      <c r="F163" s="15">
        <f ca="1">TIME(RANDBETWEEN(0,10), RANDBETWEEN(0,59), RANDBETWEEN(0,59))</f>
        <v>0.25920138888888888</v>
      </c>
      <c r="G163" s="18" t="s">
        <v>36</v>
      </c>
      <c r="H163" s="55">
        <f t="shared" ca="1" si="137"/>
        <v>45950</v>
      </c>
      <c r="I163" s="20">
        <f t="shared" ca="1" si="138"/>
        <v>0.25920138888888888</v>
      </c>
      <c r="J163" s="55">
        <f t="shared" ca="1" si="139"/>
        <v>45950</v>
      </c>
      <c r="K163" s="20">
        <f t="shared" ca="1" si="140"/>
        <v>0.31957175925925924</v>
      </c>
      <c r="L163" s="19" t="s">
        <v>18</v>
      </c>
      <c r="M163" s="18">
        <v>1004672</v>
      </c>
      <c r="N163" s="49" t="s">
        <v>19</v>
      </c>
      <c r="O163" s="11" t="str" cm="1">
        <f t="array" ref="O163">_xlfn.IFS(N163="FG2020US1", "Ibuprofen Tablets (100 MG)", N163="FG0001SEG", "Metformin Tablets (100 MG)", N163="FG0002SEG", "Metformin Tablets (200 MG)", N163="FG0003SEG", "Metformin Tablets (500 MG)", N163="FG00UDI4", "Aspirin Tablets (500 MG)")</f>
        <v>Metformin Tablets (100 MG)</v>
      </c>
      <c r="P163" s="11">
        <v>4162</v>
      </c>
    </row>
    <row r="164" spans="1:16" x14ac:dyDescent="0.35">
      <c r="A164" s="11">
        <v>40000002663</v>
      </c>
      <c r="B164" s="18">
        <v>1010</v>
      </c>
      <c r="C164" s="19">
        <v>4</v>
      </c>
      <c r="D164" s="2" t="s">
        <v>190</v>
      </c>
      <c r="E164" s="6">
        <f t="shared" ref="E164" ca="1" si="174">E165</f>
        <v>45951</v>
      </c>
      <c r="F164" s="15">
        <f ca="1">TIME(RANDBETWEEN(12,22), RANDBETWEEN(0,59), RANDBETWEEN(0,59))</f>
        <v>0.95247685185185182</v>
      </c>
      <c r="G164" s="18" t="s">
        <v>17</v>
      </c>
      <c r="H164" s="55">
        <f t="shared" ca="1" si="137"/>
        <v>45951</v>
      </c>
      <c r="I164" s="20">
        <f t="shared" ca="1" si="138"/>
        <v>0.95247685185185182</v>
      </c>
      <c r="J164" s="55">
        <f t="shared" ca="1" si="139"/>
        <v>45951</v>
      </c>
      <c r="K164" s="20">
        <f t="shared" ca="1" si="140"/>
        <v>1.0180208333333334</v>
      </c>
      <c r="L164" s="19" t="s">
        <v>18</v>
      </c>
      <c r="M164" s="18">
        <v>1004673</v>
      </c>
      <c r="N164" s="49" t="s">
        <v>31</v>
      </c>
      <c r="O164" s="11" t="str" cm="1">
        <f t="array" ref="O164">_xlfn.IFS(N164="FG2020US1", "Ibuprofen Tablets (100 MG)", N164="FG0001SEG", "Metformin Tablets (100 MG)", N164="FG0002SEG", "Metformin Tablets (200 MG)", N164="FG0003SEG", "Metformin Tablets (500 MG)", N164="FG00UDI4", "Aspirin Tablets (500 MG)")</f>
        <v>Aspirin Tablets (500 MG)</v>
      </c>
      <c r="P164" s="11">
        <v>4163</v>
      </c>
    </row>
    <row r="165" spans="1:16" x14ac:dyDescent="0.35">
      <c r="A165" s="11">
        <v>40000002664</v>
      </c>
      <c r="B165" s="18">
        <v>1010</v>
      </c>
      <c r="C165" s="19">
        <v>4</v>
      </c>
      <c r="D165" s="2" t="s">
        <v>191</v>
      </c>
      <c r="E165" s="6">
        <f t="shared" ref="E165" ca="1" si="175">E166-1</f>
        <v>45951</v>
      </c>
      <c r="F165" s="15">
        <f ca="1">TIME(RANDBETWEEN(0,10), RANDBETWEEN(0,59), RANDBETWEEN(0,59))</f>
        <v>0.27777777777777779</v>
      </c>
      <c r="G165" s="18" t="s">
        <v>39</v>
      </c>
      <c r="H165" s="55">
        <f t="shared" ca="1" si="137"/>
        <v>45951</v>
      </c>
      <c r="I165" s="20">
        <f t="shared" ca="1" si="138"/>
        <v>0.27777777777777779</v>
      </c>
      <c r="J165" s="55">
        <f t="shared" ca="1" si="139"/>
        <v>45951</v>
      </c>
      <c r="K165" s="20">
        <f t="shared" ca="1" si="140"/>
        <v>0.35060185185185189</v>
      </c>
      <c r="L165" s="19" t="s">
        <v>18</v>
      </c>
      <c r="M165" s="18">
        <v>1004674</v>
      </c>
      <c r="N165" s="49" t="s">
        <v>27</v>
      </c>
      <c r="O165" s="11" t="str" cm="1">
        <f t="array" ref="O165">_xlfn.IFS(N165="FG2020US1", "Ibuprofen Tablets (100 MG)", N165="FG0001SEG", "Metformin Tablets (100 MG)", N165="FG0002SEG", "Metformin Tablets (200 MG)", N165="FG0003SEG", "Metformin Tablets (500 MG)", N165="FG00UDI4", "Aspirin Tablets (500 MG)")</f>
        <v>Metformin Tablets (500 MG)</v>
      </c>
      <c r="P165" s="11">
        <v>4164</v>
      </c>
    </row>
    <row r="166" spans="1:16" x14ac:dyDescent="0.35">
      <c r="A166" s="11">
        <v>40000002665</v>
      </c>
      <c r="B166" s="18">
        <v>1010</v>
      </c>
      <c r="C166" s="19">
        <v>4</v>
      </c>
      <c r="D166" s="2" t="s">
        <v>192</v>
      </c>
      <c r="E166" s="6">
        <f t="shared" ref="E166" ca="1" si="176">E167</f>
        <v>45952</v>
      </c>
      <c r="F166" s="15">
        <f ca="1">TIME(RANDBETWEEN(12,22), RANDBETWEEN(0,59), RANDBETWEEN(0,59))</f>
        <v>0.6178703703703704</v>
      </c>
      <c r="G166" s="18" t="s">
        <v>30</v>
      </c>
      <c r="H166" s="55">
        <f t="shared" ca="1" si="137"/>
        <v>45952</v>
      </c>
      <c r="I166" s="20">
        <f t="shared" ca="1" si="138"/>
        <v>0.6178703703703704</v>
      </c>
      <c r="J166" s="55">
        <f t="shared" ca="1" si="139"/>
        <v>45952</v>
      </c>
      <c r="K166" s="20">
        <f t="shared" ca="1" si="140"/>
        <v>0.69344907407407408</v>
      </c>
      <c r="L166" s="19" t="s">
        <v>18</v>
      </c>
      <c r="M166" s="18">
        <v>1004675</v>
      </c>
      <c r="N166" s="49" t="s">
        <v>22</v>
      </c>
      <c r="O166" s="11" t="str" cm="1">
        <f t="array" ref="O166">_xlfn.IFS(N166="FG2020US1", "Ibuprofen Tablets (100 MG)", N166="FG0001SEG", "Metformin Tablets (100 MG)", N166="FG0002SEG", "Metformin Tablets (200 MG)", N166="FG0003SEG", "Metformin Tablets (500 MG)", N166="FG00UDI4", "Aspirin Tablets (500 MG)")</f>
        <v>Ibuprofen Tablets (100 MG)</v>
      </c>
      <c r="P166" s="11">
        <v>4165</v>
      </c>
    </row>
    <row r="167" spans="1:16" x14ac:dyDescent="0.35">
      <c r="A167" s="11">
        <v>40000002666</v>
      </c>
      <c r="B167" s="18">
        <v>1010</v>
      </c>
      <c r="C167" s="19">
        <v>4</v>
      </c>
      <c r="D167" s="2" t="s">
        <v>193</v>
      </c>
      <c r="E167" s="6">
        <f t="shared" ref="E167" ca="1" si="177">E168-1</f>
        <v>45952</v>
      </c>
      <c r="F167" s="15">
        <f ca="1">TIME(RANDBETWEEN(0,10), RANDBETWEEN(0,59), RANDBETWEEN(0,59))</f>
        <v>4.4571759259259262E-2</v>
      </c>
      <c r="G167" s="18" t="s">
        <v>21</v>
      </c>
      <c r="H167" s="55">
        <f t="shared" ca="1" si="137"/>
        <v>45952</v>
      </c>
      <c r="I167" s="20">
        <f t="shared" ca="1" si="138"/>
        <v>4.4571759259259262E-2</v>
      </c>
      <c r="J167" s="55">
        <f t="shared" ca="1" si="139"/>
        <v>45952</v>
      </c>
      <c r="K167" s="20">
        <f t="shared" ca="1" si="140"/>
        <v>0.1176851851851852</v>
      </c>
      <c r="L167" s="19" t="s">
        <v>18</v>
      </c>
      <c r="M167" s="18">
        <v>1004676</v>
      </c>
      <c r="N167" s="49" t="s">
        <v>27</v>
      </c>
      <c r="O167" s="11" t="str" cm="1">
        <f t="array" ref="O167">_xlfn.IFS(N167="FG2020US1", "Ibuprofen Tablets (100 MG)", N167="FG0001SEG", "Metformin Tablets (100 MG)", N167="FG0002SEG", "Metformin Tablets (200 MG)", N167="FG0003SEG", "Metformin Tablets (500 MG)", N167="FG00UDI4", "Aspirin Tablets (500 MG)")</f>
        <v>Metformin Tablets (500 MG)</v>
      </c>
      <c r="P167" s="11">
        <v>4166</v>
      </c>
    </row>
    <row r="168" spans="1:16" x14ac:dyDescent="0.35">
      <c r="A168" s="11">
        <v>40000002667</v>
      </c>
      <c r="B168" s="18">
        <v>1010</v>
      </c>
      <c r="C168" s="19">
        <v>4</v>
      </c>
      <c r="D168" s="2" t="s">
        <v>194</v>
      </c>
      <c r="E168" s="6">
        <f t="shared" ref="E168" ca="1" si="178">E169</f>
        <v>45953</v>
      </c>
      <c r="F168" s="15">
        <f ca="1">TIME(RANDBETWEEN(12,22), RANDBETWEEN(0,59), RANDBETWEEN(0,59))</f>
        <v>0.57152777777777775</v>
      </c>
      <c r="G168" s="18" t="s">
        <v>24</v>
      </c>
      <c r="H168" s="55">
        <f t="shared" ca="1" si="137"/>
        <v>45953</v>
      </c>
      <c r="I168" s="20">
        <f t="shared" ca="1" si="138"/>
        <v>0.57152777777777775</v>
      </c>
      <c r="J168" s="55">
        <f t="shared" ca="1" si="139"/>
        <v>45953</v>
      </c>
      <c r="K168" s="20">
        <f t="shared" ca="1" si="140"/>
        <v>0.63938657407407407</v>
      </c>
      <c r="L168" s="19" t="s">
        <v>18</v>
      </c>
      <c r="M168" s="18">
        <v>1004677</v>
      </c>
      <c r="N168" s="49" t="s">
        <v>31</v>
      </c>
      <c r="O168" s="11" t="str" cm="1">
        <f t="array" ref="O168">_xlfn.IFS(N168="FG2020US1", "Ibuprofen Tablets (100 MG)", N168="FG0001SEG", "Metformin Tablets (100 MG)", N168="FG0002SEG", "Metformin Tablets (200 MG)", N168="FG0003SEG", "Metformin Tablets (500 MG)", N168="FG00UDI4", "Aspirin Tablets (500 MG)")</f>
        <v>Aspirin Tablets (500 MG)</v>
      </c>
      <c r="P168" s="11">
        <v>4167</v>
      </c>
    </row>
    <row r="169" spans="1:16" x14ac:dyDescent="0.35">
      <c r="A169" s="11">
        <v>40000002668</v>
      </c>
      <c r="B169" s="18">
        <v>1010</v>
      </c>
      <c r="C169" s="19">
        <v>4</v>
      </c>
      <c r="D169" s="2" t="s">
        <v>195</v>
      </c>
      <c r="E169" s="6">
        <f t="shared" ref="E169" ca="1" si="179">E170-1</f>
        <v>45953</v>
      </c>
      <c r="F169" s="15">
        <f ca="1">TIME(RANDBETWEEN(0,10), RANDBETWEEN(0,59), RANDBETWEEN(0,59))</f>
        <v>0.14636574074074074</v>
      </c>
      <c r="G169" s="18" t="s">
        <v>39</v>
      </c>
      <c r="H169" s="55">
        <f t="shared" ca="1" si="137"/>
        <v>45953</v>
      </c>
      <c r="I169" s="20">
        <f t="shared" ca="1" si="138"/>
        <v>0.14636574074074074</v>
      </c>
      <c r="J169" s="55">
        <f t="shared" ca="1" si="139"/>
        <v>45953</v>
      </c>
      <c r="K169" s="20">
        <f t="shared" ca="1" si="140"/>
        <v>0.21319444444444446</v>
      </c>
      <c r="L169" s="19" t="s">
        <v>18</v>
      </c>
      <c r="M169" s="18">
        <v>1004678</v>
      </c>
      <c r="N169" s="49" t="s">
        <v>22</v>
      </c>
      <c r="O169" s="11" t="str" cm="1">
        <f t="array" ref="O169">_xlfn.IFS(N169="FG2020US1", "Ibuprofen Tablets (100 MG)", N169="FG0001SEG", "Metformin Tablets (100 MG)", N169="FG0002SEG", "Metformin Tablets (200 MG)", N169="FG0003SEG", "Metformin Tablets (500 MG)", N169="FG00UDI4", "Aspirin Tablets (500 MG)")</f>
        <v>Ibuprofen Tablets (100 MG)</v>
      </c>
      <c r="P169" s="11">
        <v>4168</v>
      </c>
    </row>
    <row r="170" spans="1:16" x14ac:dyDescent="0.35">
      <c r="A170" s="11">
        <v>40000002669</v>
      </c>
      <c r="B170" s="18">
        <v>1010</v>
      </c>
      <c r="C170" s="19">
        <v>4</v>
      </c>
      <c r="D170" s="2" t="s">
        <v>196</v>
      </c>
      <c r="E170" s="6">
        <f t="shared" ref="E170" ca="1" si="180">E171</f>
        <v>45954</v>
      </c>
      <c r="F170" s="15">
        <f ca="1">TIME(RANDBETWEEN(12,22), RANDBETWEEN(0,59), RANDBETWEEN(0,59))</f>
        <v>0.70446759259259262</v>
      </c>
      <c r="G170" s="18" t="s">
        <v>24</v>
      </c>
      <c r="H170" s="55">
        <f t="shared" ca="1" si="137"/>
        <v>45954</v>
      </c>
      <c r="I170" s="20">
        <f t="shared" ca="1" si="138"/>
        <v>0.70446759259259262</v>
      </c>
      <c r="J170" s="55">
        <f t="shared" ca="1" si="139"/>
        <v>45954</v>
      </c>
      <c r="K170" s="20">
        <f t="shared" ca="1" si="140"/>
        <v>0.77408564814814818</v>
      </c>
      <c r="L170" s="19" t="s">
        <v>18</v>
      </c>
      <c r="M170" s="18">
        <v>1004679</v>
      </c>
      <c r="N170" s="49" t="s">
        <v>31</v>
      </c>
      <c r="O170" s="11" t="str" cm="1">
        <f t="array" ref="O170">_xlfn.IFS(N170="FG2020US1", "Ibuprofen Tablets (100 MG)", N170="FG0001SEG", "Metformin Tablets (100 MG)", N170="FG0002SEG", "Metformin Tablets (200 MG)", N170="FG0003SEG", "Metformin Tablets (500 MG)", N170="FG00UDI4", "Aspirin Tablets (500 MG)")</f>
        <v>Aspirin Tablets (500 MG)</v>
      </c>
      <c r="P170" s="11">
        <v>4169</v>
      </c>
    </row>
    <row r="171" spans="1:16" x14ac:dyDescent="0.35">
      <c r="A171" s="11">
        <v>40000002670</v>
      </c>
      <c r="B171" s="18">
        <v>1010</v>
      </c>
      <c r="C171" s="19">
        <v>4</v>
      </c>
      <c r="D171" s="2" t="s">
        <v>197</v>
      </c>
      <c r="E171" s="6">
        <f t="shared" ref="E171" ca="1" si="181">E172-1</f>
        <v>45954</v>
      </c>
      <c r="F171" s="15">
        <f ca="1">TIME(RANDBETWEEN(0,10), RANDBETWEEN(0,59), RANDBETWEEN(0,59))</f>
        <v>0.18612268518518518</v>
      </c>
      <c r="G171" s="18" t="s">
        <v>36</v>
      </c>
      <c r="H171" s="55">
        <f t="shared" ca="1" si="137"/>
        <v>45954</v>
      </c>
      <c r="I171" s="20">
        <f t="shared" ca="1" si="138"/>
        <v>0.18612268518518518</v>
      </c>
      <c r="J171" s="55">
        <f t="shared" ca="1" si="139"/>
        <v>45954</v>
      </c>
      <c r="K171" s="20">
        <f t="shared" ca="1" si="140"/>
        <v>0.24605324074074075</v>
      </c>
      <c r="L171" s="19" t="s">
        <v>18</v>
      </c>
      <c r="M171" s="18">
        <v>1004680</v>
      </c>
      <c r="N171" s="49" t="s">
        <v>22</v>
      </c>
      <c r="O171" s="11" t="str" cm="1">
        <f t="array" ref="O171">_xlfn.IFS(N171="FG2020US1", "Ibuprofen Tablets (100 MG)", N171="FG0001SEG", "Metformin Tablets (100 MG)", N171="FG0002SEG", "Metformin Tablets (200 MG)", N171="FG0003SEG", "Metformin Tablets (500 MG)", N171="FG00UDI4", "Aspirin Tablets (500 MG)")</f>
        <v>Ibuprofen Tablets (100 MG)</v>
      </c>
      <c r="P171" s="11">
        <v>4170</v>
      </c>
    </row>
    <row r="172" spans="1:16" x14ac:dyDescent="0.35">
      <c r="A172" s="11">
        <v>40000002671</v>
      </c>
      <c r="B172" s="18">
        <v>1010</v>
      </c>
      <c r="C172" s="19">
        <v>4</v>
      </c>
      <c r="D172" s="2" t="s">
        <v>198</v>
      </c>
      <c r="E172" s="6">
        <f t="shared" ref="E172" ca="1" si="182">E173</f>
        <v>45955</v>
      </c>
      <c r="F172" s="15">
        <f ca="1">TIME(RANDBETWEEN(12,22), RANDBETWEEN(0,59), RANDBETWEEN(0,59))</f>
        <v>0.63521990740740741</v>
      </c>
      <c r="G172" s="18" t="s">
        <v>30</v>
      </c>
      <c r="H172" s="55">
        <f t="shared" ca="1" si="137"/>
        <v>45955</v>
      </c>
      <c r="I172" s="20">
        <f t="shared" ca="1" si="138"/>
        <v>0.63521990740740741</v>
      </c>
      <c r="J172" s="55">
        <f t="shared" ca="1" si="139"/>
        <v>45955</v>
      </c>
      <c r="K172" s="20">
        <f t="shared" ca="1" si="140"/>
        <v>0.70280092592592591</v>
      </c>
      <c r="L172" s="19" t="s">
        <v>18</v>
      </c>
      <c r="M172" s="18">
        <v>1004681</v>
      </c>
      <c r="N172" s="49" t="s">
        <v>31</v>
      </c>
      <c r="O172" s="11" t="str" cm="1">
        <f t="array" ref="O172">_xlfn.IFS(N172="FG2020US1", "Ibuprofen Tablets (100 MG)", N172="FG0001SEG", "Metformin Tablets (100 MG)", N172="FG0002SEG", "Metformin Tablets (200 MG)", N172="FG0003SEG", "Metformin Tablets (500 MG)", N172="FG00UDI4", "Aspirin Tablets (500 MG)")</f>
        <v>Aspirin Tablets (500 MG)</v>
      </c>
      <c r="P172" s="11">
        <v>4171</v>
      </c>
    </row>
    <row r="173" spans="1:16" x14ac:dyDescent="0.35">
      <c r="A173" s="11">
        <v>40000002672</v>
      </c>
      <c r="B173" s="18">
        <v>1010</v>
      </c>
      <c r="C173" s="19">
        <v>4</v>
      </c>
      <c r="D173" s="2" t="s">
        <v>199</v>
      </c>
      <c r="E173" s="6">
        <f t="shared" ref="E173" ca="1" si="183">E174-1</f>
        <v>45955</v>
      </c>
      <c r="F173" s="15">
        <f ca="1">TIME(RANDBETWEEN(0,10), RANDBETWEEN(0,59), RANDBETWEEN(0,59))</f>
        <v>0.33106481481481481</v>
      </c>
      <c r="G173" s="18" t="s">
        <v>21</v>
      </c>
      <c r="H173" s="55">
        <f t="shared" ca="1" si="137"/>
        <v>45955</v>
      </c>
      <c r="I173" s="20">
        <f t="shared" ca="1" si="138"/>
        <v>0.33106481481481481</v>
      </c>
      <c r="J173" s="55">
        <f t="shared" ca="1" si="139"/>
        <v>45955</v>
      </c>
      <c r="K173" s="20">
        <f t="shared" ca="1" si="140"/>
        <v>0.39369212962962963</v>
      </c>
      <c r="L173" s="19" t="s">
        <v>18</v>
      </c>
      <c r="M173" s="18">
        <v>1004682</v>
      </c>
      <c r="N173" s="49" t="s">
        <v>31</v>
      </c>
      <c r="O173" s="11" t="str" cm="1">
        <f t="array" ref="O173">_xlfn.IFS(N173="FG2020US1", "Ibuprofen Tablets (100 MG)", N173="FG0001SEG", "Metformin Tablets (100 MG)", N173="FG0002SEG", "Metformin Tablets (200 MG)", N173="FG0003SEG", "Metformin Tablets (500 MG)", N173="FG00UDI4", "Aspirin Tablets (500 MG)")</f>
        <v>Aspirin Tablets (500 MG)</v>
      </c>
      <c r="P173" s="11">
        <v>4172</v>
      </c>
    </row>
    <row r="174" spans="1:16" x14ac:dyDescent="0.35">
      <c r="A174" s="11">
        <v>40000002673</v>
      </c>
      <c r="B174" s="18">
        <v>1010</v>
      </c>
      <c r="C174" s="19">
        <v>4</v>
      </c>
      <c r="D174" s="2" t="s">
        <v>200</v>
      </c>
      <c r="E174" s="6">
        <f t="shared" ref="E174" ca="1" si="184">E175</f>
        <v>45956</v>
      </c>
      <c r="F174" s="15">
        <f ca="1">TIME(RANDBETWEEN(12,22), RANDBETWEEN(0,59), RANDBETWEEN(0,59))</f>
        <v>0.55701388888888892</v>
      </c>
      <c r="G174" s="18" t="s">
        <v>24</v>
      </c>
      <c r="H174" s="55">
        <f t="shared" ca="1" si="137"/>
        <v>45956</v>
      </c>
      <c r="I174" s="20">
        <f t="shared" ca="1" si="138"/>
        <v>0.55701388888888892</v>
      </c>
      <c r="J174" s="55">
        <f t="shared" ca="1" si="139"/>
        <v>45956</v>
      </c>
      <c r="K174" s="20">
        <f t="shared" ca="1" si="140"/>
        <v>0.62932870370370375</v>
      </c>
      <c r="L174" s="19" t="s">
        <v>18</v>
      </c>
      <c r="M174" s="18">
        <v>1004683</v>
      </c>
      <c r="N174" s="49" t="s">
        <v>31</v>
      </c>
      <c r="O174" s="11" t="str" cm="1">
        <f t="array" ref="O174">_xlfn.IFS(N174="FG2020US1", "Ibuprofen Tablets (100 MG)", N174="FG0001SEG", "Metformin Tablets (100 MG)", N174="FG0002SEG", "Metformin Tablets (200 MG)", N174="FG0003SEG", "Metformin Tablets (500 MG)", N174="FG00UDI4", "Aspirin Tablets (500 MG)")</f>
        <v>Aspirin Tablets (500 MG)</v>
      </c>
      <c r="P174" s="11">
        <v>4173</v>
      </c>
    </row>
    <row r="175" spans="1:16" x14ac:dyDescent="0.35">
      <c r="A175" s="11">
        <v>40000002674</v>
      </c>
      <c r="B175" s="18">
        <v>1010</v>
      </c>
      <c r="C175" s="19">
        <v>4</v>
      </c>
      <c r="D175" s="2" t="s">
        <v>201</v>
      </c>
      <c r="E175" s="6">
        <f t="shared" ref="E175" ca="1" si="185">E176-1</f>
        <v>45956</v>
      </c>
      <c r="F175" s="15">
        <f ca="1">TIME(RANDBETWEEN(0,10), RANDBETWEEN(0,59), RANDBETWEEN(0,59))</f>
        <v>7.9976851851851858E-3</v>
      </c>
      <c r="G175" s="18" t="s">
        <v>21</v>
      </c>
      <c r="H175" s="55">
        <f t="shared" ca="1" si="137"/>
        <v>45956</v>
      </c>
      <c r="I175" s="20">
        <f t="shared" ca="1" si="138"/>
        <v>7.9976851851851858E-3</v>
      </c>
      <c r="J175" s="55">
        <f t="shared" ca="1" si="139"/>
        <v>45956</v>
      </c>
      <c r="K175" s="20">
        <f t="shared" ca="1" si="140"/>
        <v>7.0092592592592595E-2</v>
      </c>
      <c r="L175" s="19" t="s">
        <v>18</v>
      </c>
      <c r="M175" s="18">
        <v>1004684</v>
      </c>
      <c r="N175" s="49" t="s">
        <v>27</v>
      </c>
      <c r="O175" s="11" t="str" cm="1">
        <f t="array" ref="O175">_xlfn.IFS(N175="FG2020US1", "Ibuprofen Tablets (100 MG)", N175="FG0001SEG", "Metformin Tablets (100 MG)", N175="FG0002SEG", "Metformin Tablets (200 MG)", N175="FG0003SEG", "Metformin Tablets (500 MG)", N175="FG00UDI4", "Aspirin Tablets (500 MG)")</f>
        <v>Metformin Tablets (500 MG)</v>
      </c>
      <c r="P175" s="11">
        <v>4174</v>
      </c>
    </row>
    <row r="176" spans="1:16" x14ac:dyDescent="0.35">
      <c r="A176" s="11">
        <v>40000002675</v>
      </c>
      <c r="B176" s="18">
        <v>1010</v>
      </c>
      <c r="C176" s="19">
        <v>4</v>
      </c>
      <c r="D176" s="2" t="s">
        <v>202</v>
      </c>
      <c r="E176" s="6">
        <f t="shared" ref="E176" ca="1" si="186">E177</f>
        <v>45957</v>
      </c>
      <c r="F176" s="15">
        <f ca="1">TIME(RANDBETWEEN(12,22), RANDBETWEEN(0,59), RANDBETWEEN(0,59))</f>
        <v>0.8297106481481481</v>
      </c>
      <c r="G176" s="18" t="s">
        <v>17</v>
      </c>
      <c r="H176" s="55">
        <f t="shared" ca="1" si="137"/>
        <v>45957</v>
      </c>
      <c r="I176" s="20">
        <f t="shared" ca="1" si="138"/>
        <v>0.8297106481481481</v>
      </c>
      <c r="J176" s="55">
        <f t="shared" ca="1" si="139"/>
        <v>45957</v>
      </c>
      <c r="K176" s="20">
        <f t="shared" ca="1" si="140"/>
        <v>0.90356481481481477</v>
      </c>
      <c r="L176" s="19" t="s">
        <v>18</v>
      </c>
      <c r="M176" s="18">
        <v>1004685</v>
      </c>
      <c r="N176" s="49" t="s">
        <v>31</v>
      </c>
      <c r="O176" s="11" t="str" cm="1">
        <f t="array" ref="O176">_xlfn.IFS(N176="FG2020US1", "Ibuprofen Tablets (100 MG)", N176="FG0001SEG", "Metformin Tablets (100 MG)", N176="FG0002SEG", "Metformin Tablets (200 MG)", N176="FG0003SEG", "Metformin Tablets (500 MG)", N176="FG00UDI4", "Aspirin Tablets (500 MG)")</f>
        <v>Aspirin Tablets (500 MG)</v>
      </c>
      <c r="P176" s="11">
        <v>4175</v>
      </c>
    </row>
    <row r="177" spans="1:16" x14ac:dyDescent="0.35">
      <c r="A177" s="11">
        <v>40000002676</v>
      </c>
      <c r="B177" s="18">
        <v>1010</v>
      </c>
      <c r="C177" s="19">
        <v>4</v>
      </c>
      <c r="D177" s="2" t="s">
        <v>203</v>
      </c>
      <c r="E177" s="6">
        <f t="shared" ref="E177" ca="1" si="187">E178-1</f>
        <v>45957</v>
      </c>
      <c r="F177" s="15">
        <f ca="1">TIME(RANDBETWEEN(0,10), RANDBETWEEN(0,59), RANDBETWEEN(0,59))</f>
        <v>3.0219907407407407E-2</v>
      </c>
      <c r="G177" s="18" t="s">
        <v>39</v>
      </c>
      <c r="H177" s="55">
        <f t="shared" ca="1" si="137"/>
        <v>45957</v>
      </c>
      <c r="I177" s="20">
        <f t="shared" ca="1" si="138"/>
        <v>3.0219907407407407E-2</v>
      </c>
      <c r="J177" s="55">
        <f t="shared" ca="1" si="139"/>
        <v>45957</v>
      </c>
      <c r="K177" s="20">
        <f t="shared" ca="1" si="140"/>
        <v>8.9340277777777782E-2</v>
      </c>
      <c r="L177" s="19" t="s">
        <v>18</v>
      </c>
      <c r="M177" s="18">
        <v>1004686</v>
      </c>
      <c r="N177" s="49" t="s">
        <v>34</v>
      </c>
      <c r="O177" s="11" t="str" cm="1">
        <f t="array" ref="O177">_xlfn.IFS(N177="FG2020US1", "Ibuprofen Tablets (100 MG)", N177="FG0001SEG", "Metformin Tablets (100 MG)", N177="FG0002SEG", "Metformin Tablets (200 MG)", N177="FG0003SEG", "Metformin Tablets (500 MG)", N177="FG00UDI4", "Aspirin Tablets (500 MG)")</f>
        <v>Metformin Tablets (200 MG)</v>
      </c>
      <c r="P177" s="11">
        <v>4176</v>
      </c>
    </row>
    <row r="178" spans="1:16" x14ac:dyDescent="0.35">
      <c r="A178" s="11">
        <v>40000002677</v>
      </c>
      <c r="B178" s="18">
        <v>1010</v>
      </c>
      <c r="C178" s="19">
        <v>4</v>
      </c>
      <c r="D178" s="2" t="s">
        <v>204</v>
      </c>
      <c r="E178" s="6">
        <f t="shared" ref="E178" ca="1" si="188">E179</f>
        <v>45958</v>
      </c>
      <c r="F178" s="15">
        <f ca="1">TIME(RANDBETWEEN(12,22), RANDBETWEEN(0,59), RANDBETWEEN(0,59))</f>
        <v>0.5027314814814815</v>
      </c>
      <c r="G178" s="18" t="s">
        <v>17</v>
      </c>
      <c r="H178" s="55">
        <f t="shared" ca="1" si="137"/>
        <v>45958</v>
      </c>
      <c r="I178" s="20">
        <f t="shared" ca="1" si="138"/>
        <v>0.5027314814814815</v>
      </c>
      <c r="J178" s="55">
        <f t="shared" ca="1" si="139"/>
        <v>45958</v>
      </c>
      <c r="K178" s="20">
        <f t="shared" ca="1" si="140"/>
        <v>0.56798611111111108</v>
      </c>
      <c r="L178" s="19" t="s">
        <v>18</v>
      </c>
      <c r="M178" s="18">
        <v>1004687</v>
      </c>
      <c r="N178" s="49" t="s">
        <v>31</v>
      </c>
      <c r="O178" s="11" t="str" cm="1">
        <f t="array" ref="O178">_xlfn.IFS(N178="FG2020US1", "Ibuprofen Tablets (100 MG)", N178="FG0001SEG", "Metformin Tablets (100 MG)", N178="FG0002SEG", "Metformin Tablets (200 MG)", N178="FG0003SEG", "Metformin Tablets (500 MG)", N178="FG00UDI4", "Aspirin Tablets (500 MG)")</f>
        <v>Aspirin Tablets (500 MG)</v>
      </c>
      <c r="P178" s="11">
        <v>4177</v>
      </c>
    </row>
    <row r="179" spans="1:16" x14ac:dyDescent="0.35">
      <c r="A179" s="11">
        <v>40000002678</v>
      </c>
      <c r="B179" s="18">
        <v>1010</v>
      </c>
      <c r="C179" s="19">
        <v>4</v>
      </c>
      <c r="D179" s="2" t="s">
        <v>205</v>
      </c>
      <c r="E179" s="6">
        <f t="shared" ref="E179" ca="1" si="189">E180-1</f>
        <v>45958</v>
      </c>
      <c r="F179" s="15">
        <f ca="1">TIME(RANDBETWEEN(0,10), RANDBETWEEN(0,59), RANDBETWEEN(0,59))</f>
        <v>0.3492939814814815</v>
      </c>
      <c r="G179" s="18" t="s">
        <v>39</v>
      </c>
      <c r="H179" s="55">
        <f t="shared" ca="1" si="137"/>
        <v>45958</v>
      </c>
      <c r="I179" s="20">
        <f t="shared" ca="1" si="138"/>
        <v>0.3492939814814815</v>
      </c>
      <c r="J179" s="55">
        <f t="shared" ca="1" si="139"/>
        <v>45958</v>
      </c>
      <c r="K179" s="20">
        <f t="shared" ca="1" si="140"/>
        <v>0.41532407407407412</v>
      </c>
      <c r="L179" s="19" t="s">
        <v>18</v>
      </c>
      <c r="M179" s="18">
        <v>1004688</v>
      </c>
      <c r="N179" s="49" t="s">
        <v>22</v>
      </c>
      <c r="O179" s="11" t="str" cm="1">
        <f t="array" ref="O179">_xlfn.IFS(N179="FG2020US1", "Ibuprofen Tablets (100 MG)", N179="FG0001SEG", "Metformin Tablets (100 MG)", N179="FG0002SEG", "Metformin Tablets (200 MG)", N179="FG0003SEG", "Metformin Tablets (500 MG)", N179="FG00UDI4", "Aspirin Tablets (500 MG)")</f>
        <v>Ibuprofen Tablets (100 MG)</v>
      </c>
      <c r="P179" s="11">
        <v>4178</v>
      </c>
    </row>
    <row r="180" spans="1:16" x14ac:dyDescent="0.35">
      <c r="A180" s="11">
        <v>40000002679</v>
      </c>
      <c r="B180" s="18">
        <v>1010</v>
      </c>
      <c r="C180" s="19">
        <v>4</v>
      </c>
      <c r="D180" s="2" t="s">
        <v>206</v>
      </c>
      <c r="E180" s="6">
        <f t="shared" ref="E180" ca="1" si="190">E181</f>
        <v>45959</v>
      </c>
      <c r="F180" s="15">
        <f ca="1">TIME(RANDBETWEEN(12,22), RANDBETWEEN(0,59), RANDBETWEEN(0,59))</f>
        <v>0.87302083333333336</v>
      </c>
      <c r="G180" s="18" t="s">
        <v>30</v>
      </c>
      <c r="H180" s="55">
        <f t="shared" ca="1" si="137"/>
        <v>45959</v>
      </c>
      <c r="I180" s="20">
        <f t="shared" ca="1" si="138"/>
        <v>0.87302083333333336</v>
      </c>
      <c r="J180" s="55">
        <f t="shared" ca="1" si="139"/>
        <v>45959</v>
      </c>
      <c r="K180" s="20">
        <f t="shared" ca="1" si="140"/>
        <v>0.95001157407407411</v>
      </c>
      <c r="L180" s="19" t="s">
        <v>18</v>
      </c>
      <c r="M180" s="18">
        <v>1004689</v>
      </c>
      <c r="N180" s="49" t="s">
        <v>22</v>
      </c>
      <c r="O180" s="11" t="str" cm="1">
        <f t="array" ref="O180">_xlfn.IFS(N180="FG2020US1", "Ibuprofen Tablets (100 MG)", N180="FG0001SEG", "Metformin Tablets (100 MG)", N180="FG0002SEG", "Metformin Tablets (200 MG)", N180="FG0003SEG", "Metformin Tablets (500 MG)", N180="FG00UDI4", "Aspirin Tablets (500 MG)")</f>
        <v>Ibuprofen Tablets (100 MG)</v>
      </c>
      <c r="P180" s="11">
        <v>4179</v>
      </c>
    </row>
    <row r="181" spans="1:16" x14ac:dyDescent="0.35">
      <c r="A181" s="11">
        <v>40000002680</v>
      </c>
      <c r="B181" s="21">
        <v>1010</v>
      </c>
      <c r="C181" s="22">
        <v>4</v>
      </c>
      <c r="D181" s="2" t="s">
        <v>207</v>
      </c>
      <c r="E181" s="6">
        <f t="shared" ref="E181" ca="1" si="191">E182-1</f>
        <v>45959</v>
      </c>
      <c r="F181" s="15">
        <f ca="1">TIME(RANDBETWEEN(0,10), RANDBETWEEN(0,59), RANDBETWEEN(0,59))</f>
        <v>0.27114583333333331</v>
      </c>
      <c r="G181" s="18" t="s">
        <v>21</v>
      </c>
      <c r="H181" s="55">
        <f t="shared" ca="1" si="137"/>
        <v>45959</v>
      </c>
      <c r="I181" s="20">
        <f t="shared" ca="1" si="138"/>
        <v>0.27114583333333331</v>
      </c>
      <c r="J181" s="55">
        <f t="shared" ca="1" si="139"/>
        <v>45959</v>
      </c>
      <c r="K181" s="20">
        <f t="shared" ca="1" si="140"/>
        <v>0.33899305555555553</v>
      </c>
      <c r="L181" s="19" t="s">
        <v>18</v>
      </c>
      <c r="M181" s="18">
        <v>1004690</v>
      </c>
      <c r="N181" s="49" t="s">
        <v>19</v>
      </c>
      <c r="O181" s="11" t="str" cm="1">
        <f t="array" ref="O181">_xlfn.IFS(N181="FG2020US1", "Ibuprofen Tablets (100 MG)", N181="FG0001SEG", "Metformin Tablets (100 MG)", N181="FG0002SEG", "Metformin Tablets (200 MG)", N181="FG0003SEG", "Metformin Tablets (500 MG)", N181="FG00UDI4", "Aspirin Tablets (500 MG)")</f>
        <v>Metformin Tablets (100 MG)</v>
      </c>
      <c r="P181" s="11">
        <v>4180</v>
      </c>
    </row>
    <row r="182" spans="1:16" x14ac:dyDescent="0.35">
      <c r="A182" s="11">
        <v>40000002681</v>
      </c>
      <c r="B182" s="18">
        <v>1010</v>
      </c>
      <c r="C182" s="19">
        <v>4</v>
      </c>
      <c r="D182" s="2" t="s">
        <v>208</v>
      </c>
      <c r="E182" s="6">
        <f t="shared" ref="E182" ca="1" si="192">E183</f>
        <v>45960</v>
      </c>
      <c r="F182" s="15">
        <f ca="1">TIME(RANDBETWEEN(12,22), RANDBETWEEN(0,59), RANDBETWEEN(0,59))</f>
        <v>0.52634259259259264</v>
      </c>
      <c r="G182" s="18" t="s">
        <v>30</v>
      </c>
      <c r="H182" s="55">
        <f t="shared" ca="1" si="137"/>
        <v>45960</v>
      </c>
      <c r="I182" s="20">
        <f t="shared" ca="1" si="138"/>
        <v>0.52634259259259264</v>
      </c>
      <c r="J182" s="55">
        <f t="shared" ca="1" si="139"/>
        <v>45960</v>
      </c>
      <c r="K182" s="20">
        <f t="shared" ca="1" si="140"/>
        <v>0.59275462962962966</v>
      </c>
      <c r="L182" s="19" t="s">
        <v>18</v>
      </c>
      <c r="M182" s="18">
        <v>1004691</v>
      </c>
      <c r="N182" s="49" t="s">
        <v>31</v>
      </c>
      <c r="O182" s="11" t="str" cm="1">
        <f t="array" ref="O182">_xlfn.IFS(N182="FG2020US1", "Ibuprofen Tablets (100 MG)", N182="FG0001SEG", "Metformin Tablets (100 MG)", N182="FG0002SEG", "Metformin Tablets (200 MG)", N182="FG0003SEG", "Metformin Tablets (500 MG)", N182="FG00UDI4", "Aspirin Tablets (500 MG)")</f>
        <v>Aspirin Tablets (500 MG)</v>
      </c>
      <c r="P182" s="11">
        <v>4181</v>
      </c>
    </row>
    <row r="183" spans="1:16" x14ac:dyDescent="0.35">
      <c r="A183" s="11">
        <v>40000002682</v>
      </c>
      <c r="B183" s="18">
        <v>1010</v>
      </c>
      <c r="C183" s="19">
        <v>4</v>
      </c>
      <c r="D183" s="2" t="s">
        <v>209</v>
      </c>
      <c r="E183" s="6">
        <f t="shared" ref="E183" ca="1" si="193">E184-1</f>
        <v>45960</v>
      </c>
      <c r="F183" s="15">
        <f ca="1">TIME(RANDBETWEEN(0,10), RANDBETWEEN(0,59), RANDBETWEEN(0,59))</f>
        <v>9.9155092592592586E-2</v>
      </c>
      <c r="G183" s="18" t="s">
        <v>21</v>
      </c>
      <c r="H183" s="55">
        <f t="shared" ca="1" si="137"/>
        <v>45960</v>
      </c>
      <c r="I183" s="20">
        <f t="shared" ca="1" si="138"/>
        <v>9.9155092592592586E-2</v>
      </c>
      <c r="J183" s="55">
        <f t="shared" ca="1" si="139"/>
        <v>45960</v>
      </c>
      <c r="K183" s="20">
        <f t="shared" ca="1" si="140"/>
        <v>0.16641203703703702</v>
      </c>
      <c r="L183" s="19" t="s">
        <v>18</v>
      </c>
      <c r="M183" s="18">
        <v>1004692</v>
      </c>
      <c r="N183" s="49" t="s">
        <v>31</v>
      </c>
      <c r="O183" s="11" t="str" cm="1">
        <f t="array" ref="O183">_xlfn.IFS(N183="FG2020US1", "Ibuprofen Tablets (100 MG)", N183="FG0001SEG", "Metformin Tablets (100 MG)", N183="FG0002SEG", "Metformin Tablets (200 MG)", N183="FG0003SEG", "Metformin Tablets (500 MG)", N183="FG00UDI4", "Aspirin Tablets (500 MG)")</f>
        <v>Aspirin Tablets (500 MG)</v>
      </c>
      <c r="P183" s="11">
        <v>4182</v>
      </c>
    </row>
    <row r="184" spans="1:16" x14ac:dyDescent="0.35">
      <c r="A184" s="11">
        <v>40000002683</v>
      </c>
      <c r="B184" s="18">
        <v>1010</v>
      </c>
      <c r="C184" s="19">
        <v>4</v>
      </c>
      <c r="D184" s="2" t="s">
        <v>210</v>
      </c>
      <c r="E184" s="6">
        <f t="shared" ref="E184" ca="1" si="194">E185</f>
        <v>45961</v>
      </c>
      <c r="F184" s="15">
        <f ca="1">TIME(RANDBETWEEN(12,22), RANDBETWEEN(0,59), RANDBETWEEN(0,59))</f>
        <v>0.6136342592592593</v>
      </c>
      <c r="G184" s="18" t="s">
        <v>17</v>
      </c>
      <c r="H184" s="55">
        <f t="shared" ca="1" si="137"/>
        <v>45961</v>
      </c>
      <c r="I184" s="20">
        <f t="shared" ca="1" si="138"/>
        <v>0.6136342592592593</v>
      </c>
      <c r="J184" s="55">
        <f t="shared" ca="1" si="139"/>
        <v>45961</v>
      </c>
      <c r="K184" s="20">
        <f t="shared" ca="1" si="140"/>
        <v>0.68972222222222224</v>
      </c>
      <c r="L184" s="19" t="s">
        <v>18</v>
      </c>
      <c r="M184" s="18">
        <v>1004693</v>
      </c>
      <c r="N184" s="49" t="s">
        <v>22</v>
      </c>
      <c r="O184" s="11" t="str" cm="1">
        <f t="array" ref="O184">_xlfn.IFS(N184="FG2020US1", "Ibuprofen Tablets (100 MG)", N184="FG0001SEG", "Metformin Tablets (100 MG)", N184="FG0002SEG", "Metformin Tablets (200 MG)", N184="FG0003SEG", "Metformin Tablets (500 MG)", N184="FG00UDI4", "Aspirin Tablets (500 MG)")</f>
        <v>Ibuprofen Tablets (100 MG)</v>
      </c>
      <c r="P184" s="11">
        <v>4183</v>
      </c>
    </row>
    <row r="185" spans="1:16" x14ac:dyDescent="0.35">
      <c r="A185" s="11">
        <v>40000002684</v>
      </c>
      <c r="B185" s="18">
        <v>1010</v>
      </c>
      <c r="C185" s="19">
        <v>4</v>
      </c>
      <c r="D185" s="2" t="s">
        <v>211</v>
      </c>
      <c r="E185" s="6">
        <f t="shared" ref="E185" ca="1" si="195">E186-1</f>
        <v>45961</v>
      </c>
      <c r="F185" s="15">
        <f ca="1">TIME(RANDBETWEEN(0,10), RANDBETWEEN(0,59), RANDBETWEEN(0,59))</f>
        <v>0.18839120370370371</v>
      </c>
      <c r="G185" s="18" t="s">
        <v>36</v>
      </c>
      <c r="H185" s="55">
        <f t="shared" ca="1" si="137"/>
        <v>45961</v>
      </c>
      <c r="I185" s="20">
        <f t="shared" ca="1" si="138"/>
        <v>0.18839120370370371</v>
      </c>
      <c r="J185" s="55">
        <f t="shared" ca="1" si="139"/>
        <v>45961</v>
      </c>
      <c r="K185" s="20">
        <f t="shared" ca="1" si="140"/>
        <v>0.25027777777777777</v>
      </c>
      <c r="L185" s="19" t="s">
        <v>18</v>
      </c>
      <c r="M185" s="18">
        <v>1004694</v>
      </c>
      <c r="N185" s="49" t="s">
        <v>19</v>
      </c>
      <c r="O185" s="11" t="str" cm="1">
        <f t="array" ref="O185">_xlfn.IFS(N185="FG2020US1", "Ibuprofen Tablets (100 MG)", N185="FG0001SEG", "Metformin Tablets (100 MG)", N185="FG0002SEG", "Metformin Tablets (200 MG)", N185="FG0003SEG", "Metformin Tablets (500 MG)", N185="FG00UDI4", "Aspirin Tablets (500 MG)")</f>
        <v>Metformin Tablets (100 MG)</v>
      </c>
      <c r="P185" s="11">
        <v>4184</v>
      </c>
    </row>
    <row r="186" spans="1:16" x14ac:dyDescent="0.35">
      <c r="A186" s="11">
        <v>40000002685</v>
      </c>
      <c r="B186" s="18">
        <v>1010</v>
      </c>
      <c r="C186" s="19">
        <v>4</v>
      </c>
      <c r="D186" s="2" t="s">
        <v>212</v>
      </c>
      <c r="E186" s="6">
        <f t="shared" ref="E186" ca="1" si="196">E187</f>
        <v>45962</v>
      </c>
      <c r="F186" s="15">
        <f ca="1">TIME(RANDBETWEEN(12,22), RANDBETWEEN(0,59), RANDBETWEEN(0,59))</f>
        <v>0.54193287037037041</v>
      </c>
      <c r="G186" s="18" t="s">
        <v>24</v>
      </c>
      <c r="H186" s="55">
        <f t="shared" ca="1" si="137"/>
        <v>45962</v>
      </c>
      <c r="I186" s="20">
        <f t="shared" ca="1" si="138"/>
        <v>0.54193287037037041</v>
      </c>
      <c r="J186" s="55">
        <f t="shared" ca="1" si="139"/>
        <v>45962</v>
      </c>
      <c r="K186" s="20">
        <f t="shared" ca="1" si="140"/>
        <v>0.60682870370370379</v>
      </c>
      <c r="L186" s="19" t="s">
        <v>18</v>
      </c>
      <c r="M186" s="18">
        <v>1004695</v>
      </c>
      <c r="N186" s="49" t="s">
        <v>31</v>
      </c>
      <c r="O186" s="11" t="str" cm="1">
        <f t="array" ref="O186">_xlfn.IFS(N186="FG2020US1", "Ibuprofen Tablets (100 MG)", N186="FG0001SEG", "Metformin Tablets (100 MG)", N186="FG0002SEG", "Metformin Tablets (200 MG)", N186="FG0003SEG", "Metformin Tablets (500 MG)", N186="FG00UDI4", "Aspirin Tablets (500 MG)")</f>
        <v>Aspirin Tablets (500 MG)</v>
      </c>
      <c r="P186" s="11">
        <v>4185</v>
      </c>
    </row>
    <row r="187" spans="1:16" x14ac:dyDescent="0.35">
      <c r="A187" s="11">
        <v>40000002686</v>
      </c>
      <c r="B187" s="18">
        <v>1010</v>
      </c>
      <c r="C187" s="19">
        <v>4</v>
      </c>
      <c r="D187" s="2" t="s">
        <v>213</v>
      </c>
      <c r="E187" s="6">
        <f t="shared" ref="E187" ca="1" si="197">E188-1</f>
        <v>45962</v>
      </c>
      <c r="F187" s="15">
        <f ca="1">TIME(RANDBETWEEN(0,10), RANDBETWEEN(0,59), RANDBETWEEN(0,59))</f>
        <v>0.23019675925925925</v>
      </c>
      <c r="G187" s="18" t="s">
        <v>36</v>
      </c>
      <c r="H187" s="55">
        <f t="shared" ca="1" si="137"/>
        <v>45962</v>
      </c>
      <c r="I187" s="20">
        <f t="shared" ca="1" si="138"/>
        <v>0.23019675925925925</v>
      </c>
      <c r="J187" s="55">
        <f t="shared" ca="1" si="139"/>
        <v>45962</v>
      </c>
      <c r="K187" s="20">
        <f t="shared" ca="1" si="140"/>
        <v>0.2963425925925926</v>
      </c>
      <c r="L187" s="19" t="s">
        <v>18</v>
      </c>
      <c r="M187" s="18">
        <v>1004696</v>
      </c>
      <c r="N187" s="49" t="s">
        <v>22</v>
      </c>
      <c r="O187" s="11" t="str" cm="1">
        <f t="array" ref="O187">_xlfn.IFS(N187="FG2020US1", "Ibuprofen Tablets (100 MG)", N187="FG0001SEG", "Metformin Tablets (100 MG)", N187="FG0002SEG", "Metformin Tablets (200 MG)", N187="FG0003SEG", "Metformin Tablets (500 MG)", N187="FG00UDI4", "Aspirin Tablets (500 MG)")</f>
        <v>Ibuprofen Tablets (100 MG)</v>
      </c>
      <c r="P187" s="11">
        <v>4186</v>
      </c>
    </row>
    <row r="188" spans="1:16" x14ac:dyDescent="0.35">
      <c r="A188" s="11">
        <v>40000002687</v>
      </c>
      <c r="B188" s="18">
        <v>1010</v>
      </c>
      <c r="C188" s="19">
        <v>4</v>
      </c>
      <c r="D188" s="2" t="s">
        <v>214</v>
      </c>
      <c r="E188" s="6">
        <f t="shared" ref="E188" ca="1" si="198">E189</f>
        <v>45963</v>
      </c>
      <c r="F188" s="15">
        <f ca="1">TIME(RANDBETWEEN(12,22), RANDBETWEEN(0,59), RANDBETWEEN(0,59))</f>
        <v>0.71494212962962966</v>
      </c>
      <c r="G188" s="18" t="s">
        <v>30</v>
      </c>
      <c r="H188" s="55">
        <f t="shared" ca="1" si="137"/>
        <v>45963</v>
      </c>
      <c r="I188" s="20">
        <f t="shared" ca="1" si="138"/>
        <v>0.71494212962962966</v>
      </c>
      <c r="J188" s="55">
        <f t="shared" ca="1" si="139"/>
        <v>45963</v>
      </c>
      <c r="K188" s="20">
        <f t="shared" ca="1" si="140"/>
        <v>0.78462962962962968</v>
      </c>
      <c r="L188" s="19" t="s">
        <v>18</v>
      </c>
      <c r="M188" s="18">
        <v>1004697</v>
      </c>
      <c r="N188" s="49" t="s">
        <v>31</v>
      </c>
      <c r="O188" s="11" t="str" cm="1">
        <f t="array" ref="O188">_xlfn.IFS(N188="FG2020US1", "Ibuprofen Tablets (100 MG)", N188="FG0001SEG", "Metformin Tablets (100 MG)", N188="FG0002SEG", "Metformin Tablets (200 MG)", N188="FG0003SEG", "Metformin Tablets (500 MG)", N188="FG00UDI4", "Aspirin Tablets (500 MG)")</f>
        <v>Aspirin Tablets (500 MG)</v>
      </c>
      <c r="P188" s="11">
        <v>4187</v>
      </c>
    </row>
    <row r="189" spans="1:16" x14ac:dyDescent="0.35">
      <c r="A189" s="11">
        <v>40000002688</v>
      </c>
      <c r="B189" s="18">
        <v>1010</v>
      </c>
      <c r="C189" s="19">
        <v>4</v>
      </c>
      <c r="D189" s="2" t="s">
        <v>215</v>
      </c>
      <c r="E189" s="6">
        <f t="shared" ref="E189" ca="1" si="199">E190-1</f>
        <v>45963</v>
      </c>
      <c r="F189" s="15">
        <f ca="1">TIME(RANDBETWEEN(0,10), RANDBETWEEN(0,59), RANDBETWEEN(0,59))</f>
        <v>0.19040509259259258</v>
      </c>
      <c r="G189" s="18" t="s">
        <v>39</v>
      </c>
      <c r="H189" s="55">
        <f t="shared" ca="1" si="137"/>
        <v>45963</v>
      </c>
      <c r="I189" s="20">
        <f t="shared" ca="1" si="138"/>
        <v>0.19040509259259258</v>
      </c>
      <c r="J189" s="55">
        <f t="shared" ca="1" si="139"/>
        <v>45963</v>
      </c>
      <c r="K189" s="20">
        <f t="shared" ca="1" si="140"/>
        <v>0.25482638888888887</v>
      </c>
      <c r="L189" s="19" t="s">
        <v>18</v>
      </c>
      <c r="M189" s="18">
        <v>1004698</v>
      </c>
      <c r="N189" s="49" t="s">
        <v>31</v>
      </c>
      <c r="O189" s="11" t="str" cm="1">
        <f t="array" ref="O189">_xlfn.IFS(N189="FG2020US1", "Ibuprofen Tablets (100 MG)", N189="FG0001SEG", "Metformin Tablets (100 MG)", N189="FG0002SEG", "Metformin Tablets (200 MG)", N189="FG0003SEG", "Metformin Tablets (500 MG)", N189="FG00UDI4", "Aspirin Tablets (500 MG)")</f>
        <v>Aspirin Tablets (500 MG)</v>
      </c>
      <c r="P189" s="11">
        <v>4188</v>
      </c>
    </row>
    <row r="190" spans="1:16" x14ac:dyDescent="0.35">
      <c r="A190" s="11">
        <v>40000002689</v>
      </c>
      <c r="B190" s="18">
        <v>1010</v>
      </c>
      <c r="C190" s="19">
        <v>4</v>
      </c>
      <c r="D190" s="2" t="s">
        <v>216</v>
      </c>
      <c r="E190" s="6">
        <f t="shared" ref="E190" ca="1" si="200">E191</f>
        <v>45964</v>
      </c>
      <c r="F190" s="15">
        <f ca="1">TIME(RANDBETWEEN(12,22), RANDBETWEEN(0,59), RANDBETWEEN(0,59))</f>
        <v>0.93109953703703707</v>
      </c>
      <c r="G190" s="18" t="s">
        <v>30</v>
      </c>
      <c r="H190" s="55">
        <f t="shared" ca="1" si="137"/>
        <v>45964</v>
      </c>
      <c r="I190" s="20">
        <f t="shared" ca="1" si="138"/>
        <v>0.93109953703703707</v>
      </c>
      <c r="J190" s="55">
        <f t="shared" ca="1" si="139"/>
        <v>45964</v>
      </c>
      <c r="K190" s="20">
        <f t="shared" ca="1" si="140"/>
        <v>0.99283564814814818</v>
      </c>
      <c r="L190" s="19" t="s">
        <v>18</v>
      </c>
      <c r="M190" s="18">
        <v>1004699</v>
      </c>
      <c r="N190" s="49" t="s">
        <v>31</v>
      </c>
      <c r="O190" s="11" t="str" cm="1">
        <f t="array" ref="O190">_xlfn.IFS(N190="FG2020US1", "Ibuprofen Tablets (100 MG)", N190="FG0001SEG", "Metformin Tablets (100 MG)", N190="FG0002SEG", "Metformin Tablets (200 MG)", N190="FG0003SEG", "Metformin Tablets (500 MG)", N190="FG00UDI4", "Aspirin Tablets (500 MG)")</f>
        <v>Aspirin Tablets (500 MG)</v>
      </c>
      <c r="P190" s="11">
        <v>4189</v>
      </c>
    </row>
    <row r="191" spans="1:16" x14ac:dyDescent="0.35">
      <c r="A191" s="11">
        <v>40000002690</v>
      </c>
      <c r="B191" s="18">
        <v>1010</v>
      </c>
      <c r="C191" s="19">
        <v>4</v>
      </c>
      <c r="D191" s="2" t="s">
        <v>217</v>
      </c>
      <c r="E191" s="6">
        <f t="shared" ref="E191" ca="1" si="201">E192-1</f>
        <v>45964</v>
      </c>
      <c r="F191" s="15">
        <f ca="1">TIME(RANDBETWEEN(0,10), RANDBETWEEN(0,59), RANDBETWEEN(0,59))</f>
        <v>0.40586805555555555</v>
      </c>
      <c r="G191" s="18" t="s">
        <v>36</v>
      </c>
      <c r="H191" s="55">
        <f t="shared" ca="1" si="137"/>
        <v>45964</v>
      </c>
      <c r="I191" s="20">
        <f t="shared" ca="1" si="138"/>
        <v>0.40586805555555555</v>
      </c>
      <c r="J191" s="55">
        <f t="shared" ca="1" si="139"/>
        <v>45964</v>
      </c>
      <c r="K191" s="20">
        <f t="shared" ca="1" si="140"/>
        <v>0.47736111111111112</v>
      </c>
      <c r="L191" s="19" t="s">
        <v>18</v>
      </c>
      <c r="M191" s="18">
        <v>1004700</v>
      </c>
      <c r="N191" s="49" t="s">
        <v>19</v>
      </c>
      <c r="O191" s="11" t="str" cm="1">
        <f t="array" ref="O191">_xlfn.IFS(N191="FG2020US1", "Ibuprofen Tablets (100 MG)", N191="FG0001SEG", "Metformin Tablets (100 MG)", N191="FG0002SEG", "Metformin Tablets (200 MG)", N191="FG0003SEG", "Metformin Tablets (500 MG)", N191="FG00UDI4", "Aspirin Tablets (500 MG)")</f>
        <v>Metformin Tablets (100 MG)</v>
      </c>
      <c r="P191" s="11">
        <v>4190</v>
      </c>
    </row>
    <row r="192" spans="1:16" x14ac:dyDescent="0.35">
      <c r="A192" s="11">
        <v>40000002691</v>
      </c>
      <c r="B192" s="18">
        <v>1010</v>
      </c>
      <c r="C192" s="19">
        <v>4</v>
      </c>
      <c r="D192" s="2" t="s">
        <v>218</v>
      </c>
      <c r="E192" s="6">
        <f t="shared" ref="E192" ca="1" si="202">E193</f>
        <v>45965</v>
      </c>
      <c r="F192" s="15">
        <f ca="1">TIME(RANDBETWEEN(12,22), RANDBETWEEN(0,59), RANDBETWEEN(0,59))</f>
        <v>0.86321759259259256</v>
      </c>
      <c r="G192" s="18" t="s">
        <v>24</v>
      </c>
      <c r="H192" s="55">
        <f t="shared" ca="1" si="137"/>
        <v>45965</v>
      </c>
      <c r="I192" s="20">
        <f t="shared" ca="1" si="138"/>
        <v>0.86321759259259256</v>
      </c>
      <c r="J192" s="55">
        <f t="shared" ca="1" si="139"/>
        <v>45965</v>
      </c>
      <c r="K192" s="20">
        <f t="shared" ca="1" si="140"/>
        <v>0.93094907407407401</v>
      </c>
      <c r="L192" s="19" t="s">
        <v>18</v>
      </c>
      <c r="M192" s="18">
        <v>1004701</v>
      </c>
      <c r="N192" s="49" t="s">
        <v>27</v>
      </c>
      <c r="O192" s="11" t="str" cm="1">
        <f t="array" ref="O192">_xlfn.IFS(N192="FG2020US1", "Ibuprofen Tablets (100 MG)", N192="FG0001SEG", "Metformin Tablets (100 MG)", N192="FG0002SEG", "Metformin Tablets (200 MG)", N192="FG0003SEG", "Metformin Tablets (500 MG)", N192="FG00UDI4", "Aspirin Tablets (500 MG)")</f>
        <v>Metformin Tablets (500 MG)</v>
      </c>
      <c r="P192" s="11">
        <v>4191</v>
      </c>
    </row>
    <row r="193" spans="1:16" x14ac:dyDescent="0.35">
      <c r="A193" s="11">
        <v>40000002692</v>
      </c>
      <c r="B193" s="18">
        <v>1010</v>
      </c>
      <c r="C193" s="19">
        <v>4</v>
      </c>
      <c r="D193" s="2" t="s">
        <v>219</v>
      </c>
      <c r="E193" s="6">
        <f t="shared" ref="E193" ca="1" si="203">E194-1</f>
        <v>45965</v>
      </c>
      <c r="F193" s="15">
        <f ca="1">TIME(RANDBETWEEN(0,10), RANDBETWEEN(0,59), RANDBETWEEN(0,59))</f>
        <v>0.1746412037037037</v>
      </c>
      <c r="G193" s="18" t="s">
        <v>36</v>
      </c>
      <c r="H193" s="55">
        <f t="shared" ca="1" si="137"/>
        <v>45965</v>
      </c>
      <c r="I193" s="20">
        <f t="shared" ca="1" si="138"/>
        <v>0.1746412037037037</v>
      </c>
      <c r="J193" s="55">
        <f t="shared" ca="1" si="139"/>
        <v>45965</v>
      </c>
      <c r="K193" s="20">
        <f t="shared" ca="1" si="140"/>
        <v>0.24178240740740742</v>
      </c>
      <c r="L193" s="19" t="s">
        <v>18</v>
      </c>
      <c r="M193" s="18">
        <v>1004702</v>
      </c>
      <c r="N193" s="49" t="s">
        <v>34</v>
      </c>
      <c r="O193" s="11" t="str" cm="1">
        <f t="array" ref="O193">_xlfn.IFS(N193="FG2020US1", "Ibuprofen Tablets (100 MG)", N193="FG0001SEG", "Metformin Tablets (100 MG)", N193="FG0002SEG", "Metformin Tablets (200 MG)", N193="FG0003SEG", "Metformin Tablets (500 MG)", N193="FG00UDI4", "Aspirin Tablets (500 MG)")</f>
        <v>Metformin Tablets (200 MG)</v>
      </c>
      <c r="P193" s="11">
        <v>4192</v>
      </c>
    </row>
    <row r="194" spans="1:16" x14ac:dyDescent="0.35">
      <c r="A194" s="11">
        <v>40000002693</v>
      </c>
      <c r="B194" s="18">
        <v>1010</v>
      </c>
      <c r="C194" s="19">
        <v>4</v>
      </c>
      <c r="D194" s="2" t="s">
        <v>220</v>
      </c>
      <c r="E194" s="6">
        <f t="shared" ref="E194" ca="1" si="204">E195</f>
        <v>45966</v>
      </c>
      <c r="F194" s="15">
        <f ca="1">TIME(RANDBETWEEN(12,22), RANDBETWEEN(0,59), RANDBETWEEN(0,59))</f>
        <v>0.93777777777777782</v>
      </c>
      <c r="G194" s="18" t="s">
        <v>24</v>
      </c>
      <c r="H194" s="55">
        <f t="shared" ref="H194:H257" ca="1" si="205">E194</f>
        <v>45966</v>
      </c>
      <c r="I194" s="20">
        <f t="shared" ref="I194:I257" ca="1" si="206">F194</f>
        <v>0.93777777777777782</v>
      </c>
      <c r="J194" s="55">
        <f t="shared" ref="J194:J257" ca="1" si="207">E194</f>
        <v>45966</v>
      </c>
      <c r="K194" s="20">
        <f t="shared" ref="K194:K257" ca="1" si="208">I194+TIME(1,RANDBETWEEN(25,50),RANDBETWEEN(0,59))</f>
        <v>1.0055787037037038</v>
      </c>
      <c r="L194" s="19" t="s">
        <v>18</v>
      </c>
      <c r="M194" s="18">
        <v>1004703</v>
      </c>
      <c r="N194" s="49" t="s">
        <v>22</v>
      </c>
      <c r="O194" s="11" t="str" cm="1">
        <f t="array" ref="O194">_xlfn.IFS(N194="FG2020US1", "Ibuprofen Tablets (100 MG)", N194="FG0001SEG", "Metformin Tablets (100 MG)", N194="FG0002SEG", "Metformin Tablets (200 MG)", N194="FG0003SEG", "Metformin Tablets (500 MG)", N194="FG00UDI4", "Aspirin Tablets (500 MG)")</f>
        <v>Ibuprofen Tablets (100 MG)</v>
      </c>
      <c r="P194" s="11">
        <v>4193</v>
      </c>
    </row>
    <row r="195" spans="1:16" x14ac:dyDescent="0.35">
      <c r="A195" s="11">
        <v>40000002694</v>
      </c>
      <c r="B195" s="18">
        <v>1010</v>
      </c>
      <c r="C195" s="19">
        <v>4</v>
      </c>
      <c r="D195" s="2" t="s">
        <v>221</v>
      </c>
      <c r="E195" s="6">
        <f t="shared" ref="E195" ca="1" si="209">E196-1</f>
        <v>45966</v>
      </c>
      <c r="F195" s="15">
        <f ca="1">TIME(RANDBETWEEN(0,10), RANDBETWEEN(0,59), RANDBETWEEN(0,59))</f>
        <v>0.37486111111111109</v>
      </c>
      <c r="G195" s="18" t="s">
        <v>39</v>
      </c>
      <c r="H195" s="55">
        <f t="shared" ca="1" si="205"/>
        <v>45966</v>
      </c>
      <c r="I195" s="20">
        <f t="shared" ca="1" si="206"/>
        <v>0.37486111111111109</v>
      </c>
      <c r="J195" s="55">
        <f t="shared" ca="1" si="207"/>
        <v>45966</v>
      </c>
      <c r="K195" s="20">
        <f t="shared" ca="1" si="208"/>
        <v>0.43859953703703702</v>
      </c>
      <c r="L195" s="19" t="s">
        <v>18</v>
      </c>
      <c r="M195" s="18">
        <v>1004704</v>
      </c>
      <c r="N195" s="49" t="s">
        <v>19</v>
      </c>
      <c r="O195" s="11" t="str" cm="1">
        <f t="array" ref="O195">_xlfn.IFS(N195="FG2020US1", "Ibuprofen Tablets (100 MG)", N195="FG0001SEG", "Metformin Tablets (100 MG)", N195="FG0002SEG", "Metformin Tablets (200 MG)", N195="FG0003SEG", "Metformin Tablets (500 MG)", N195="FG00UDI4", "Aspirin Tablets (500 MG)")</f>
        <v>Metformin Tablets (100 MG)</v>
      </c>
      <c r="P195" s="11">
        <v>4194</v>
      </c>
    </row>
    <row r="196" spans="1:16" x14ac:dyDescent="0.35">
      <c r="A196" s="11">
        <v>40000002695</v>
      </c>
      <c r="B196" s="18">
        <v>1010</v>
      </c>
      <c r="C196" s="19">
        <v>4</v>
      </c>
      <c r="D196" s="2" t="s">
        <v>222</v>
      </c>
      <c r="E196" s="6">
        <f t="shared" ref="E196" ca="1" si="210">E197</f>
        <v>45967</v>
      </c>
      <c r="F196" s="15">
        <f ca="1">TIME(RANDBETWEEN(12,22), RANDBETWEEN(0,59), RANDBETWEEN(0,59))</f>
        <v>0.84833333333333338</v>
      </c>
      <c r="G196" s="18" t="s">
        <v>30</v>
      </c>
      <c r="H196" s="55">
        <f t="shared" ca="1" si="205"/>
        <v>45967</v>
      </c>
      <c r="I196" s="20">
        <f t="shared" ca="1" si="206"/>
        <v>0.84833333333333338</v>
      </c>
      <c r="J196" s="55">
        <f t="shared" ca="1" si="207"/>
        <v>45967</v>
      </c>
      <c r="K196" s="20">
        <f t="shared" ca="1" si="208"/>
        <v>0.92219907407407409</v>
      </c>
      <c r="L196" s="19" t="s">
        <v>18</v>
      </c>
      <c r="M196" s="18">
        <v>1004705</v>
      </c>
      <c r="N196" s="49" t="s">
        <v>27</v>
      </c>
      <c r="O196" s="11" t="str" cm="1">
        <f t="array" ref="O196">_xlfn.IFS(N196="FG2020US1", "Ibuprofen Tablets (100 MG)", N196="FG0001SEG", "Metformin Tablets (100 MG)", N196="FG0002SEG", "Metformin Tablets (200 MG)", N196="FG0003SEG", "Metformin Tablets (500 MG)", N196="FG00UDI4", "Aspirin Tablets (500 MG)")</f>
        <v>Metformin Tablets (500 MG)</v>
      </c>
      <c r="P196" s="11">
        <v>4195</v>
      </c>
    </row>
    <row r="197" spans="1:16" x14ac:dyDescent="0.35">
      <c r="A197" s="11">
        <v>40000002696</v>
      </c>
      <c r="B197" s="18">
        <v>1010</v>
      </c>
      <c r="C197" s="19">
        <v>4</v>
      </c>
      <c r="D197" s="2" t="s">
        <v>223</v>
      </c>
      <c r="E197" s="6">
        <f t="shared" ref="E197" ca="1" si="211">E198-1</f>
        <v>45967</v>
      </c>
      <c r="F197" s="15">
        <f ca="1">TIME(RANDBETWEEN(0,10), RANDBETWEEN(0,59), RANDBETWEEN(0,59))</f>
        <v>0.24209490740740741</v>
      </c>
      <c r="G197" s="18" t="s">
        <v>36</v>
      </c>
      <c r="H197" s="55">
        <f t="shared" ca="1" si="205"/>
        <v>45967</v>
      </c>
      <c r="I197" s="20">
        <f t="shared" ca="1" si="206"/>
        <v>0.24209490740740741</v>
      </c>
      <c r="J197" s="55">
        <f t="shared" ca="1" si="207"/>
        <v>45967</v>
      </c>
      <c r="K197" s="20">
        <f t="shared" ca="1" si="208"/>
        <v>0.3096875</v>
      </c>
      <c r="L197" s="19" t="s">
        <v>18</v>
      </c>
      <c r="M197" s="18">
        <v>1004706</v>
      </c>
      <c r="N197" s="49" t="s">
        <v>19</v>
      </c>
      <c r="O197" s="11" t="str" cm="1">
        <f t="array" ref="O197">_xlfn.IFS(N197="FG2020US1", "Ibuprofen Tablets (100 MG)", N197="FG0001SEG", "Metformin Tablets (100 MG)", N197="FG0002SEG", "Metformin Tablets (200 MG)", N197="FG0003SEG", "Metformin Tablets (500 MG)", N197="FG00UDI4", "Aspirin Tablets (500 MG)")</f>
        <v>Metformin Tablets (100 MG)</v>
      </c>
      <c r="P197" s="11">
        <v>4196</v>
      </c>
    </row>
    <row r="198" spans="1:16" x14ac:dyDescent="0.35">
      <c r="A198" s="11">
        <v>40000002697</v>
      </c>
      <c r="B198" s="18">
        <v>1010</v>
      </c>
      <c r="C198" s="19">
        <v>4</v>
      </c>
      <c r="D198" s="2" t="s">
        <v>224</v>
      </c>
      <c r="E198" s="6">
        <f t="shared" ref="E198" ca="1" si="212">E199</f>
        <v>45968</v>
      </c>
      <c r="F198" s="15">
        <f ca="1">TIME(RANDBETWEEN(12,22), RANDBETWEEN(0,59), RANDBETWEEN(0,59))</f>
        <v>0.50085648148148143</v>
      </c>
      <c r="G198" s="18" t="s">
        <v>30</v>
      </c>
      <c r="H198" s="55">
        <f t="shared" ca="1" si="205"/>
        <v>45968</v>
      </c>
      <c r="I198" s="20">
        <f t="shared" ca="1" si="206"/>
        <v>0.50085648148148143</v>
      </c>
      <c r="J198" s="55">
        <f t="shared" ca="1" si="207"/>
        <v>45968</v>
      </c>
      <c r="K198" s="20">
        <f t="shared" ca="1" si="208"/>
        <v>0.56113425925925919</v>
      </c>
      <c r="L198" s="19" t="s">
        <v>18</v>
      </c>
      <c r="M198" s="18">
        <v>1004707</v>
      </c>
      <c r="N198" s="49" t="s">
        <v>27</v>
      </c>
      <c r="O198" s="11" t="str" cm="1">
        <f t="array" ref="O198">_xlfn.IFS(N198="FG2020US1", "Ibuprofen Tablets (100 MG)", N198="FG0001SEG", "Metformin Tablets (100 MG)", N198="FG0002SEG", "Metformin Tablets (200 MG)", N198="FG0003SEG", "Metformin Tablets (500 MG)", N198="FG00UDI4", "Aspirin Tablets (500 MG)")</f>
        <v>Metformin Tablets (500 MG)</v>
      </c>
      <c r="P198" s="11">
        <v>4197</v>
      </c>
    </row>
    <row r="199" spans="1:16" x14ac:dyDescent="0.35">
      <c r="A199" s="11">
        <v>40000002698</v>
      </c>
      <c r="B199" s="18">
        <v>1010</v>
      </c>
      <c r="C199" s="19">
        <v>4</v>
      </c>
      <c r="D199" s="2" t="s">
        <v>225</v>
      </c>
      <c r="E199" s="6">
        <f t="shared" ref="E199" ca="1" si="213">E200-1</f>
        <v>45968</v>
      </c>
      <c r="F199" s="15">
        <f ca="1">TIME(RANDBETWEEN(0,10), RANDBETWEEN(0,59), RANDBETWEEN(0,59))</f>
        <v>0.42083333333333334</v>
      </c>
      <c r="G199" s="18" t="s">
        <v>21</v>
      </c>
      <c r="H199" s="55">
        <f t="shared" ca="1" si="205"/>
        <v>45968</v>
      </c>
      <c r="I199" s="20">
        <f t="shared" ca="1" si="206"/>
        <v>0.42083333333333334</v>
      </c>
      <c r="J199" s="55">
        <f t="shared" ca="1" si="207"/>
        <v>45968</v>
      </c>
      <c r="K199" s="20">
        <f t="shared" ca="1" si="208"/>
        <v>0.49680555555555556</v>
      </c>
      <c r="L199" s="19" t="s">
        <v>18</v>
      </c>
      <c r="M199" s="18">
        <v>1004708</v>
      </c>
      <c r="N199" s="49" t="s">
        <v>22</v>
      </c>
      <c r="O199" s="11" t="str" cm="1">
        <f t="array" ref="O199">_xlfn.IFS(N199="FG2020US1", "Ibuprofen Tablets (100 MG)", N199="FG0001SEG", "Metformin Tablets (100 MG)", N199="FG0002SEG", "Metformin Tablets (200 MG)", N199="FG0003SEG", "Metformin Tablets (500 MG)", N199="FG00UDI4", "Aspirin Tablets (500 MG)")</f>
        <v>Ibuprofen Tablets (100 MG)</v>
      </c>
      <c r="P199" s="11">
        <v>4198</v>
      </c>
    </row>
    <row r="200" spans="1:16" x14ac:dyDescent="0.35">
      <c r="A200" s="11">
        <v>40000002699</v>
      </c>
      <c r="B200" s="18">
        <v>1010</v>
      </c>
      <c r="C200" s="19">
        <v>4</v>
      </c>
      <c r="D200" s="2" t="s">
        <v>226</v>
      </c>
      <c r="E200" s="6">
        <f t="shared" ref="E200" ca="1" si="214">E201</f>
        <v>45969</v>
      </c>
      <c r="F200" s="15">
        <f ca="1">TIME(RANDBETWEEN(12,22), RANDBETWEEN(0,59), RANDBETWEEN(0,59))</f>
        <v>0.67837962962962961</v>
      </c>
      <c r="G200" s="18" t="s">
        <v>24</v>
      </c>
      <c r="H200" s="55">
        <f t="shared" ca="1" si="205"/>
        <v>45969</v>
      </c>
      <c r="I200" s="20">
        <f t="shared" ca="1" si="206"/>
        <v>0.67837962962962961</v>
      </c>
      <c r="J200" s="55">
        <f t="shared" ca="1" si="207"/>
        <v>45969</v>
      </c>
      <c r="K200" s="20">
        <f t="shared" ca="1" si="208"/>
        <v>0.75386574074074075</v>
      </c>
      <c r="L200" s="19" t="s">
        <v>18</v>
      </c>
      <c r="M200" s="18">
        <v>1004709</v>
      </c>
      <c r="N200" s="49" t="s">
        <v>27</v>
      </c>
      <c r="O200" s="11" t="str" cm="1">
        <f t="array" ref="O200">_xlfn.IFS(N200="FG2020US1", "Ibuprofen Tablets (100 MG)", N200="FG0001SEG", "Metformin Tablets (100 MG)", N200="FG0002SEG", "Metformin Tablets (200 MG)", N200="FG0003SEG", "Metformin Tablets (500 MG)", N200="FG00UDI4", "Aspirin Tablets (500 MG)")</f>
        <v>Metformin Tablets (500 MG)</v>
      </c>
      <c r="P200" s="11">
        <v>4199</v>
      </c>
    </row>
    <row r="201" spans="1:16" x14ac:dyDescent="0.35">
      <c r="A201" s="11">
        <v>40000002700</v>
      </c>
      <c r="B201" s="18">
        <v>1010</v>
      </c>
      <c r="C201" s="19">
        <v>4</v>
      </c>
      <c r="D201" s="2" t="s">
        <v>227</v>
      </c>
      <c r="E201" s="6">
        <f t="shared" ref="E201" ca="1" si="215">E202-1</f>
        <v>45969</v>
      </c>
      <c r="F201" s="15">
        <f ca="1">TIME(RANDBETWEEN(0,10), RANDBETWEEN(0,59), RANDBETWEEN(0,59))</f>
        <v>0.24008101851851851</v>
      </c>
      <c r="G201" s="18" t="s">
        <v>39</v>
      </c>
      <c r="H201" s="55">
        <f t="shared" ca="1" si="205"/>
        <v>45969</v>
      </c>
      <c r="I201" s="20">
        <f t="shared" ca="1" si="206"/>
        <v>0.24008101851851851</v>
      </c>
      <c r="J201" s="55">
        <f t="shared" ca="1" si="207"/>
        <v>45969</v>
      </c>
      <c r="K201" s="20">
        <f t="shared" ca="1" si="208"/>
        <v>0.30922453703703701</v>
      </c>
      <c r="L201" s="19" t="s">
        <v>18</v>
      </c>
      <c r="M201" s="18">
        <v>1004710</v>
      </c>
      <c r="N201" s="49" t="s">
        <v>34</v>
      </c>
      <c r="O201" s="11" t="str" cm="1">
        <f t="array" ref="O201">_xlfn.IFS(N201="FG2020US1", "Ibuprofen Tablets (100 MG)", N201="FG0001SEG", "Metformin Tablets (100 MG)", N201="FG0002SEG", "Metformin Tablets (200 MG)", N201="FG0003SEG", "Metformin Tablets (500 MG)", N201="FG00UDI4", "Aspirin Tablets (500 MG)")</f>
        <v>Metformin Tablets (200 MG)</v>
      </c>
      <c r="P201" s="11">
        <v>4200</v>
      </c>
    </row>
    <row r="202" spans="1:16" x14ac:dyDescent="0.35">
      <c r="A202" s="11">
        <v>40000002701</v>
      </c>
      <c r="B202" s="18">
        <v>1010</v>
      </c>
      <c r="C202" s="19">
        <v>4</v>
      </c>
      <c r="D202" s="2" t="s">
        <v>228</v>
      </c>
      <c r="E202" s="6">
        <f t="shared" ref="E202" ca="1" si="216">E203</f>
        <v>45970</v>
      </c>
      <c r="F202" s="15">
        <f ca="1">TIME(RANDBETWEEN(12,22), RANDBETWEEN(0,59), RANDBETWEEN(0,59))</f>
        <v>0.67252314814814818</v>
      </c>
      <c r="G202" s="18" t="s">
        <v>17</v>
      </c>
      <c r="H202" s="55">
        <f t="shared" ca="1" si="205"/>
        <v>45970</v>
      </c>
      <c r="I202" s="20">
        <f t="shared" ca="1" si="206"/>
        <v>0.67252314814814818</v>
      </c>
      <c r="J202" s="55">
        <f t="shared" ca="1" si="207"/>
        <v>45970</v>
      </c>
      <c r="K202" s="20">
        <f t="shared" ca="1" si="208"/>
        <v>0.73620370370370369</v>
      </c>
      <c r="L202" s="19" t="s">
        <v>18</v>
      </c>
      <c r="M202" s="18">
        <v>1004711</v>
      </c>
      <c r="N202" s="49" t="s">
        <v>34</v>
      </c>
      <c r="O202" s="11" t="str" cm="1">
        <f t="array" ref="O202">_xlfn.IFS(N202="FG2020US1", "Ibuprofen Tablets (100 MG)", N202="FG0001SEG", "Metformin Tablets (100 MG)", N202="FG0002SEG", "Metformin Tablets (200 MG)", N202="FG0003SEG", "Metformin Tablets (500 MG)", N202="FG00UDI4", "Aspirin Tablets (500 MG)")</f>
        <v>Metformin Tablets (200 MG)</v>
      </c>
      <c r="P202" s="11">
        <v>4201</v>
      </c>
    </row>
    <row r="203" spans="1:16" x14ac:dyDescent="0.35">
      <c r="A203" s="11">
        <v>40000002702</v>
      </c>
      <c r="B203" s="18">
        <v>1010</v>
      </c>
      <c r="C203" s="19">
        <v>4</v>
      </c>
      <c r="D203" s="2" t="s">
        <v>229</v>
      </c>
      <c r="E203" s="6">
        <f t="shared" ref="E203" ca="1" si="217">E204-1</f>
        <v>45970</v>
      </c>
      <c r="F203" s="15">
        <f ca="1">TIME(RANDBETWEEN(0,10), RANDBETWEEN(0,59), RANDBETWEEN(0,59))</f>
        <v>0.14318287037037036</v>
      </c>
      <c r="G203" s="18" t="s">
        <v>39</v>
      </c>
      <c r="H203" s="55">
        <f t="shared" ca="1" si="205"/>
        <v>45970</v>
      </c>
      <c r="I203" s="20">
        <f t="shared" ca="1" si="206"/>
        <v>0.14318287037037036</v>
      </c>
      <c r="J203" s="55">
        <f t="shared" ca="1" si="207"/>
        <v>45970</v>
      </c>
      <c r="K203" s="20">
        <f t="shared" ca="1" si="208"/>
        <v>0.20699074074074075</v>
      </c>
      <c r="L203" s="19" t="s">
        <v>18</v>
      </c>
      <c r="M203" s="18">
        <v>1004712</v>
      </c>
      <c r="N203" s="49" t="s">
        <v>34</v>
      </c>
      <c r="O203" s="11" t="str" cm="1">
        <f t="array" ref="O203">_xlfn.IFS(N203="FG2020US1", "Ibuprofen Tablets (100 MG)", N203="FG0001SEG", "Metformin Tablets (100 MG)", N203="FG0002SEG", "Metformin Tablets (200 MG)", N203="FG0003SEG", "Metformin Tablets (500 MG)", N203="FG00UDI4", "Aspirin Tablets (500 MG)")</f>
        <v>Metformin Tablets (200 MG)</v>
      </c>
      <c r="P203" s="11">
        <v>4202</v>
      </c>
    </row>
    <row r="204" spans="1:16" x14ac:dyDescent="0.35">
      <c r="A204" s="11">
        <v>40000002703</v>
      </c>
      <c r="B204" s="18">
        <v>1010</v>
      </c>
      <c r="C204" s="19">
        <v>4</v>
      </c>
      <c r="D204" s="2" t="s">
        <v>230</v>
      </c>
      <c r="E204" s="6">
        <f t="shared" ref="E204" ca="1" si="218">E205</f>
        <v>45971</v>
      </c>
      <c r="F204" s="15">
        <f ca="1">TIME(RANDBETWEEN(12,22), RANDBETWEEN(0,59), RANDBETWEEN(0,59))</f>
        <v>0.56519675925925927</v>
      </c>
      <c r="G204" s="18" t="s">
        <v>24</v>
      </c>
      <c r="H204" s="55">
        <f t="shared" ca="1" si="205"/>
        <v>45971</v>
      </c>
      <c r="I204" s="20">
        <f t="shared" ca="1" si="206"/>
        <v>0.56519675925925927</v>
      </c>
      <c r="J204" s="55">
        <f t="shared" ca="1" si="207"/>
        <v>45971</v>
      </c>
      <c r="K204" s="20">
        <f t="shared" ca="1" si="208"/>
        <v>0.62902777777777774</v>
      </c>
      <c r="L204" s="19" t="s">
        <v>18</v>
      </c>
      <c r="M204" s="18">
        <v>1004713</v>
      </c>
      <c r="N204" s="49" t="s">
        <v>27</v>
      </c>
      <c r="O204" s="11" t="str" cm="1">
        <f t="array" ref="O204">_xlfn.IFS(N204="FG2020US1", "Ibuprofen Tablets (100 MG)", N204="FG0001SEG", "Metformin Tablets (100 MG)", N204="FG0002SEG", "Metformin Tablets (200 MG)", N204="FG0003SEG", "Metformin Tablets (500 MG)", N204="FG00UDI4", "Aspirin Tablets (500 MG)")</f>
        <v>Metformin Tablets (500 MG)</v>
      </c>
      <c r="P204" s="11">
        <v>4203</v>
      </c>
    </row>
    <row r="205" spans="1:16" x14ac:dyDescent="0.35">
      <c r="A205" s="11">
        <v>40000002704</v>
      </c>
      <c r="B205" s="18">
        <v>1010</v>
      </c>
      <c r="C205" s="19">
        <v>4</v>
      </c>
      <c r="D205" s="2" t="s">
        <v>231</v>
      </c>
      <c r="E205" s="6">
        <f t="shared" ref="E205" ca="1" si="219">E206-1</f>
        <v>45971</v>
      </c>
      <c r="F205" s="15">
        <f ca="1">TIME(RANDBETWEEN(0,10), RANDBETWEEN(0,59), RANDBETWEEN(0,59))</f>
        <v>0.41743055555555558</v>
      </c>
      <c r="G205" s="18" t="s">
        <v>21</v>
      </c>
      <c r="H205" s="55">
        <f t="shared" ca="1" si="205"/>
        <v>45971</v>
      </c>
      <c r="I205" s="20">
        <f t="shared" ca="1" si="206"/>
        <v>0.41743055555555558</v>
      </c>
      <c r="J205" s="55">
        <f t="shared" ca="1" si="207"/>
        <v>45971</v>
      </c>
      <c r="K205" s="20">
        <f t="shared" ca="1" si="208"/>
        <v>0.48568287037037039</v>
      </c>
      <c r="L205" s="19" t="s">
        <v>18</v>
      </c>
      <c r="M205" s="18">
        <v>1004714</v>
      </c>
      <c r="N205" s="49" t="s">
        <v>31</v>
      </c>
      <c r="O205" s="11" t="str" cm="1">
        <f t="array" ref="O205">_xlfn.IFS(N205="FG2020US1", "Ibuprofen Tablets (100 MG)", N205="FG0001SEG", "Metformin Tablets (100 MG)", N205="FG0002SEG", "Metformin Tablets (200 MG)", N205="FG0003SEG", "Metformin Tablets (500 MG)", N205="FG00UDI4", "Aspirin Tablets (500 MG)")</f>
        <v>Aspirin Tablets (500 MG)</v>
      </c>
      <c r="P205" s="11">
        <v>4204</v>
      </c>
    </row>
    <row r="206" spans="1:16" x14ac:dyDescent="0.35">
      <c r="A206" s="11">
        <v>40000002705</v>
      </c>
      <c r="B206" s="18">
        <v>1010</v>
      </c>
      <c r="C206" s="19">
        <v>4</v>
      </c>
      <c r="D206" s="2" t="s">
        <v>232</v>
      </c>
      <c r="E206" s="6">
        <f t="shared" ref="E206" ca="1" si="220">E207</f>
        <v>45972</v>
      </c>
      <c r="F206" s="15">
        <f ca="1">TIME(RANDBETWEEN(12,22), RANDBETWEEN(0,59), RANDBETWEEN(0,59))</f>
        <v>0.71420138888888884</v>
      </c>
      <c r="G206" s="18" t="s">
        <v>17</v>
      </c>
      <c r="H206" s="55">
        <f t="shared" ca="1" si="205"/>
        <v>45972</v>
      </c>
      <c r="I206" s="20">
        <f t="shared" ca="1" si="206"/>
        <v>0.71420138888888884</v>
      </c>
      <c r="J206" s="55">
        <f t="shared" ca="1" si="207"/>
        <v>45972</v>
      </c>
      <c r="K206" s="20">
        <f t="shared" ca="1" si="208"/>
        <v>0.78825231481481473</v>
      </c>
      <c r="L206" s="19" t="s">
        <v>18</v>
      </c>
      <c r="M206" s="18">
        <v>1004715</v>
      </c>
      <c r="N206" s="49" t="s">
        <v>27</v>
      </c>
      <c r="O206" s="11" t="str" cm="1">
        <f t="array" ref="O206">_xlfn.IFS(N206="FG2020US1", "Ibuprofen Tablets (100 MG)", N206="FG0001SEG", "Metformin Tablets (100 MG)", N206="FG0002SEG", "Metformin Tablets (200 MG)", N206="FG0003SEG", "Metformin Tablets (500 MG)", N206="FG00UDI4", "Aspirin Tablets (500 MG)")</f>
        <v>Metformin Tablets (500 MG)</v>
      </c>
      <c r="P206" s="11">
        <v>4205</v>
      </c>
    </row>
    <row r="207" spans="1:16" x14ac:dyDescent="0.35">
      <c r="A207" s="11">
        <v>40000002706</v>
      </c>
      <c r="B207" s="18">
        <v>1010</v>
      </c>
      <c r="C207" s="19">
        <v>4</v>
      </c>
      <c r="D207" s="2" t="s">
        <v>233</v>
      </c>
      <c r="E207" s="6">
        <f t="shared" ref="E207" ca="1" si="221">E208-1</f>
        <v>45972</v>
      </c>
      <c r="F207" s="15">
        <f ca="1">TIME(RANDBETWEEN(0,10), RANDBETWEEN(0,59), RANDBETWEEN(0,59))</f>
        <v>5.0960648148148151E-2</v>
      </c>
      <c r="G207" s="18" t="s">
        <v>21</v>
      </c>
      <c r="H207" s="55">
        <f t="shared" ca="1" si="205"/>
        <v>45972</v>
      </c>
      <c r="I207" s="20">
        <f t="shared" ca="1" si="206"/>
        <v>5.0960648148148151E-2</v>
      </c>
      <c r="J207" s="55">
        <f t="shared" ca="1" si="207"/>
        <v>45972</v>
      </c>
      <c r="K207" s="20">
        <f t="shared" ca="1" si="208"/>
        <v>0.11303240740740741</v>
      </c>
      <c r="L207" s="19" t="s">
        <v>18</v>
      </c>
      <c r="M207" s="18">
        <v>1004716</v>
      </c>
      <c r="N207" s="49" t="s">
        <v>34</v>
      </c>
      <c r="O207" s="11" t="str" cm="1">
        <f t="array" ref="O207">_xlfn.IFS(N207="FG2020US1", "Ibuprofen Tablets (100 MG)", N207="FG0001SEG", "Metformin Tablets (100 MG)", N207="FG0002SEG", "Metformin Tablets (200 MG)", N207="FG0003SEG", "Metformin Tablets (500 MG)", N207="FG00UDI4", "Aspirin Tablets (500 MG)")</f>
        <v>Metformin Tablets (200 MG)</v>
      </c>
      <c r="P207" s="11">
        <v>4206</v>
      </c>
    </row>
    <row r="208" spans="1:16" x14ac:dyDescent="0.35">
      <c r="A208" s="11">
        <v>40000002707</v>
      </c>
      <c r="B208" s="18">
        <v>1010</v>
      </c>
      <c r="C208" s="19">
        <v>4</v>
      </c>
      <c r="D208" s="2" t="s">
        <v>234</v>
      </c>
      <c r="E208" s="6">
        <f t="shared" ref="E208" ca="1" si="222">E209</f>
        <v>45973</v>
      </c>
      <c r="F208" s="15">
        <f ca="1">TIME(RANDBETWEEN(12,22), RANDBETWEEN(0,59), RANDBETWEEN(0,59))</f>
        <v>0.70250000000000001</v>
      </c>
      <c r="G208" s="18" t="s">
        <v>24</v>
      </c>
      <c r="H208" s="55">
        <f t="shared" ca="1" si="205"/>
        <v>45973</v>
      </c>
      <c r="I208" s="20">
        <f t="shared" ca="1" si="206"/>
        <v>0.70250000000000001</v>
      </c>
      <c r="J208" s="55">
        <f t="shared" ca="1" si="207"/>
        <v>45973</v>
      </c>
      <c r="K208" s="20">
        <f t="shared" ca="1" si="208"/>
        <v>0.76866898148148155</v>
      </c>
      <c r="L208" s="19" t="s">
        <v>18</v>
      </c>
      <c r="M208" s="18">
        <v>1004717</v>
      </c>
      <c r="N208" s="49" t="s">
        <v>22</v>
      </c>
      <c r="O208" s="11" t="str" cm="1">
        <f t="array" ref="O208">_xlfn.IFS(N208="FG2020US1", "Ibuprofen Tablets (100 MG)", N208="FG0001SEG", "Metformin Tablets (100 MG)", N208="FG0002SEG", "Metformin Tablets (200 MG)", N208="FG0003SEG", "Metformin Tablets (500 MG)", N208="FG00UDI4", "Aspirin Tablets (500 MG)")</f>
        <v>Ibuprofen Tablets (100 MG)</v>
      </c>
      <c r="P208" s="11">
        <v>4207</v>
      </c>
    </row>
    <row r="209" spans="1:16" x14ac:dyDescent="0.35">
      <c r="A209" s="11">
        <v>40000002708</v>
      </c>
      <c r="B209" s="18">
        <v>1010</v>
      </c>
      <c r="C209" s="19">
        <v>4</v>
      </c>
      <c r="D209" s="2" t="s">
        <v>235</v>
      </c>
      <c r="E209" s="6">
        <f t="shared" ref="E209" ca="1" si="223">E210-1</f>
        <v>45973</v>
      </c>
      <c r="F209" s="15">
        <f ca="1">TIME(RANDBETWEEN(0,10), RANDBETWEEN(0,59), RANDBETWEEN(0,59))</f>
        <v>0.14348379629629629</v>
      </c>
      <c r="G209" s="18" t="s">
        <v>39</v>
      </c>
      <c r="H209" s="55">
        <f t="shared" ca="1" si="205"/>
        <v>45973</v>
      </c>
      <c r="I209" s="20">
        <f t="shared" ca="1" si="206"/>
        <v>0.14348379629629629</v>
      </c>
      <c r="J209" s="55">
        <f t="shared" ca="1" si="207"/>
        <v>45973</v>
      </c>
      <c r="K209" s="20">
        <f t="shared" ca="1" si="208"/>
        <v>0.21773148148148147</v>
      </c>
      <c r="L209" s="19" t="s">
        <v>18</v>
      </c>
      <c r="M209" s="18">
        <v>1004718</v>
      </c>
      <c r="N209" s="49" t="s">
        <v>31</v>
      </c>
      <c r="O209" s="11" t="str" cm="1">
        <f t="array" ref="O209">_xlfn.IFS(N209="FG2020US1", "Ibuprofen Tablets (100 MG)", N209="FG0001SEG", "Metformin Tablets (100 MG)", N209="FG0002SEG", "Metformin Tablets (200 MG)", N209="FG0003SEG", "Metformin Tablets (500 MG)", N209="FG00UDI4", "Aspirin Tablets (500 MG)")</f>
        <v>Aspirin Tablets (500 MG)</v>
      </c>
      <c r="P209" s="11">
        <v>4208</v>
      </c>
    </row>
    <row r="210" spans="1:16" x14ac:dyDescent="0.35">
      <c r="A210" s="11">
        <v>40000002709</v>
      </c>
      <c r="B210" s="18">
        <v>1010</v>
      </c>
      <c r="C210" s="19">
        <v>4</v>
      </c>
      <c r="D210" s="2" t="s">
        <v>236</v>
      </c>
      <c r="E210" s="6">
        <f t="shared" ref="E210" ca="1" si="224">E211</f>
        <v>45974</v>
      </c>
      <c r="F210" s="15">
        <f ca="1">TIME(RANDBETWEEN(12,22), RANDBETWEEN(0,59), RANDBETWEEN(0,59))</f>
        <v>0.77430555555555558</v>
      </c>
      <c r="G210" s="18" t="s">
        <v>30</v>
      </c>
      <c r="H210" s="55">
        <f t="shared" ca="1" si="205"/>
        <v>45974</v>
      </c>
      <c r="I210" s="20">
        <f t="shared" ca="1" si="206"/>
        <v>0.77430555555555558</v>
      </c>
      <c r="J210" s="55">
        <f t="shared" ca="1" si="207"/>
        <v>45974</v>
      </c>
      <c r="K210" s="20">
        <f t="shared" ca="1" si="208"/>
        <v>0.84686342592592601</v>
      </c>
      <c r="L210" s="19" t="s">
        <v>18</v>
      </c>
      <c r="M210" s="18">
        <v>1004719</v>
      </c>
      <c r="N210" s="49" t="s">
        <v>19</v>
      </c>
      <c r="O210" s="11" t="str" cm="1">
        <f t="array" ref="O210">_xlfn.IFS(N210="FG2020US1", "Ibuprofen Tablets (100 MG)", N210="FG0001SEG", "Metformin Tablets (100 MG)", N210="FG0002SEG", "Metformin Tablets (200 MG)", N210="FG0003SEG", "Metformin Tablets (500 MG)", N210="FG00UDI4", "Aspirin Tablets (500 MG)")</f>
        <v>Metformin Tablets (100 MG)</v>
      </c>
      <c r="P210" s="11">
        <v>4209</v>
      </c>
    </row>
    <row r="211" spans="1:16" x14ac:dyDescent="0.35">
      <c r="A211" s="11">
        <v>40000002710</v>
      </c>
      <c r="B211" s="18">
        <v>1010</v>
      </c>
      <c r="C211" s="19">
        <v>4</v>
      </c>
      <c r="D211" s="2" t="s">
        <v>237</v>
      </c>
      <c r="E211" s="6">
        <f t="shared" ref="E211" ca="1" si="225">E212-1</f>
        <v>45974</v>
      </c>
      <c r="F211" s="15">
        <f ca="1">TIME(RANDBETWEEN(0,10), RANDBETWEEN(0,59), RANDBETWEEN(0,59))</f>
        <v>0.20518518518518519</v>
      </c>
      <c r="G211" s="18" t="s">
        <v>39</v>
      </c>
      <c r="H211" s="55">
        <f t="shared" ca="1" si="205"/>
        <v>45974</v>
      </c>
      <c r="I211" s="20">
        <f t="shared" ca="1" si="206"/>
        <v>0.20518518518518519</v>
      </c>
      <c r="J211" s="55">
        <f t="shared" ca="1" si="207"/>
        <v>45974</v>
      </c>
      <c r="K211" s="20">
        <f t="shared" ca="1" si="208"/>
        <v>0.26665509259259262</v>
      </c>
      <c r="L211" s="19" t="s">
        <v>18</v>
      </c>
      <c r="M211" s="18">
        <v>1004720</v>
      </c>
      <c r="N211" s="49" t="s">
        <v>22</v>
      </c>
      <c r="O211" s="11" t="str" cm="1">
        <f t="array" ref="O211">_xlfn.IFS(N211="FG2020US1", "Ibuprofen Tablets (100 MG)", N211="FG0001SEG", "Metformin Tablets (100 MG)", N211="FG0002SEG", "Metformin Tablets (200 MG)", N211="FG0003SEG", "Metformin Tablets (500 MG)", N211="FG00UDI4", "Aspirin Tablets (500 MG)")</f>
        <v>Ibuprofen Tablets (100 MG)</v>
      </c>
      <c r="P211" s="11">
        <v>4210</v>
      </c>
    </row>
    <row r="212" spans="1:16" x14ac:dyDescent="0.35">
      <c r="A212" s="11">
        <v>40000002711</v>
      </c>
      <c r="B212" s="18">
        <v>1010</v>
      </c>
      <c r="C212" s="19">
        <v>4</v>
      </c>
      <c r="D212" s="2" t="s">
        <v>238</v>
      </c>
      <c r="E212" s="6">
        <f t="shared" ref="E212" ca="1" si="226">E213</f>
        <v>45975</v>
      </c>
      <c r="F212" s="15">
        <f ca="1">TIME(RANDBETWEEN(12,22), RANDBETWEEN(0,59), RANDBETWEEN(0,59))</f>
        <v>0.57307870370370373</v>
      </c>
      <c r="G212" s="18" t="s">
        <v>17</v>
      </c>
      <c r="H212" s="55">
        <f t="shared" ca="1" si="205"/>
        <v>45975</v>
      </c>
      <c r="I212" s="20">
        <f t="shared" ca="1" si="206"/>
        <v>0.57307870370370373</v>
      </c>
      <c r="J212" s="55">
        <f t="shared" ca="1" si="207"/>
        <v>45975</v>
      </c>
      <c r="K212" s="20">
        <f t="shared" ca="1" si="208"/>
        <v>0.64564814814814819</v>
      </c>
      <c r="L212" s="19" t="s">
        <v>18</v>
      </c>
      <c r="M212" s="18">
        <v>1004721</v>
      </c>
      <c r="N212" s="49" t="s">
        <v>31</v>
      </c>
      <c r="O212" s="11" t="str" cm="1">
        <f t="array" ref="O212">_xlfn.IFS(N212="FG2020US1", "Ibuprofen Tablets (100 MG)", N212="FG0001SEG", "Metformin Tablets (100 MG)", N212="FG0002SEG", "Metformin Tablets (200 MG)", N212="FG0003SEG", "Metformin Tablets (500 MG)", N212="FG00UDI4", "Aspirin Tablets (500 MG)")</f>
        <v>Aspirin Tablets (500 MG)</v>
      </c>
      <c r="P212" s="11">
        <v>4211</v>
      </c>
    </row>
    <row r="213" spans="1:16" x14ac:dyDescent="0.35">
      <c r="A213" s="11">
        <v>40000002712</v>
      </c>
      <c r="B213" s="18">
        <v>1010</v>
      </c>
      <c r="C213" s="19">
        <v>4</v>
      </c>
      <c r="D213" s="2" t="s">
        <v>239</v>
      </c>
      <c r="E213" s="6">
        <f t="shared" ref="E213" ca="1" si="227">E214-1</f>
        <v>45975</v>
      </c>
      <c r="F213" s="15">
        <f ca="1">TIME(RANDBETWEEN(0,10), RANDBETWEEN(0,59), RANDBETWEEN(0,59))</f>
        <v>0.18740740740740741</v>
      </c>
      <c r="G213" s="18" t="s">
        <v>21</v>
      </c>
      <c r="H213" s="55">
        <f t="shared" ca="1" si="205"/>
        <v>45975</v>
      </c>
      <c r="I213" s="20">
        <f t="shared" ca="1" si="206"/>
        <v>0.18740740740740741</v>
      </c>
      <c r="J213" s="55">
        <f t="shared" ca="1" si="207"/>
        <v>45975</v>
      </c>
      <c r="K213" s="20">
        <f t="shared" ca="1" si="208"/>
        <v>0.25124999999999997</v>
      </c>
      <c r="L213" s="19" t="s">
        <v>18</v>
      </c>
      <c r="M213" s="18">
        <v>1004722</v>
      </c>
      <c r="N213" s="49" t="s">
        <v>22</v>
      </c>
      <c r="O213" s="11" t="str" cm="1">
        <f t="array" ref="O213">_xlfn.IFS(N213="FG2020US1", "Ibuprofen Tablets (100 MG)", N213="FG0001SEG", "Metformin Tablets (100 MG)", N213="FG0002SEG", "Metformin Tablets (200 MG)", N213="FG0003SEG", "Metformin Tablets (500 MG)", N213="FG00UDI4", "Aspirin Tablets (500 MG)")</f>
        <v>Ibuprofen Tablets (100 MG)</v>
      </c>
      <c r="P213" s="11">
        <v>4212</v>
      </c>
    </row>
    <row r="214" spans="1:16" x14ac:dyDescent="0.35">
      <c r="A214" s="11">
        <v>40000002713</v>
      </c>
      <c r="B214" s="18">
        <v>1010</v>
      </c>
      <c r="C214" s="19">
        <v>4</v>
      </c>
      <c r="D214" s="2" t="s">
        <v>240</v>
      </c>
      <c r="E214" s="6">
        <f t="shared" ref="E214" ca="1" si="228">E215</f>
        <v>45976</v>
      </c>
      <c r="F214" s="15">
        <f ca="1">TIME(RANDBETWEEN(12,22), RANDBETWEEN(0,59), RANDBETWEEN(0,59))</f>
        <v>0.78145833333333337</v>
      </c>
      <c r="G214" s="18" t="s">
        <v>17</v>
      </c>
      <c r="H214" s="55">
        <f t="shared" ca="1" si="205"/>
        <v>45976</v>
      </c>
      <c r="I214" s="20">
        <f t="shared" ca="1" si="206"/>
        <v>0.78145833333333337</v>
      </c>
      <c r="J214" s="55">
        <f t="shared" ca="1" si="207"/>
        <v>45976</v>
      </c>
      <c r="K214" s="20">
        <f t="shared" ca="1" si="208"/>
        <v>0.85113425925925934</v>
      </c>
      <c r="L214" s="19" t="s">
        <v>18</v>
      </c>
      <c r="M214" s="18">
        <v>1004723</v>
      </c>
      <c r="N214" s="49" t="s">
        <v>34</v>
      </c>
      <c r="O214" s="11" t="str" cm="1">
        <f t="array" ref="O214">_xlfn.IFS(N214="FG2020US1", "Ibuprofen Tablets (100 MG)", N214="FG0001SEG", "Metformin Tablets (100 MG)", N214="FG0002SEG", "Metformin Tablets (200 MG)", N214="FG0003SEG", "Metformin Tablets (500 MG)", N214="FG00UDI4", "Aspirin Tablets (500 MG)")</f>
        <v>Metformin Tablets (200 MG)</v>
      </c>
      <c r="P214" s="11">
        <v>4213</v>
      </c>
    </row>
    <row r="215" spans="1:16" x14ac:dyDescent="0.35">
      <c r="A215" s="11">
        <v>40000002714</v>
      </c>
      <c r="B215" s="18">
        <v>1010</v>
      </c>
      <c r="C215" s="19">
        <v>4</v>
      </c>
      <c r="D215" s="2" t="s">
        <v>241</v>
      </c>
      <c r="E215" s="6">
        <f t="shared" ref="E215" ca="1" si="229">E216-1</f>
        <v>45976</v>
      </c>
      <c r="F215" s="15">
        <f ca="1">TIME(RANDBETWEEN(0,10), RANDBETWEEN(0,59), RANDBETWEEN(0,59))</f>
        <v>0.35723379629629631</v>
      </c>
      <c r="G215" s="18" t="s">
        <v>21</v>
      </c>
      <c r="H215" s="55">
        <f t="shared" ca="1" si="205"/>
        <v>45976</v>
      </c>
      <c r="I215" s="20">
        <f t="shared" ca="1" si="206"/>
        <v>0.35723379629629631</v>
      </c>
      <c r="J215" s="55">
        <f t="shared" ca="1" si="207"/>
        <v>45976</v>
      </c>
      <c r="K215" s="20">
        <f t="shared" ca="1" si="208"/>
        <v>0.42690972222222223</v>
      </c>
      <c r="L215" s="19" t="s">
        <v>18</v>
      </c>
      <c r="M215" s="18">
        <v>1004724</v>
      </c>
      <c r="N215" s="49" t="s">
        <v>22</v>
      </c>
      <c r="O215" s="11" t="str" cm="1">
        <f t="array" ref="O215">_xlfn.IFS(N215="FG2020US1", "Ibuprofen Tablets (100 MG)", N215="FG0001SEG", "Metformin Tablets (100 MG)", N215="FG0002SEG", "Metformin Tablets (200 MG)", N215="FG0003SEG", "Metformin Tablets (500 MG)", N215="FG00UDI4", "Aspirin Tablets (500 MG)")</f>
        <v>Ibuprofen Tablets (100 MG)</v>
      </c>
      <c r="P215" s="11">
        <v>4214</v>
      </c>
    </row>
    <row r="216" spans="1:16" x14ac:dyDescent="0.35">
      <c r="A216" s="11">
        <v>40000002715</v>
      </c>
      <c r="B216" s="18">
        <v>1010</v>
      </c>
      <c r="C216" s="19">
        <v>4</v>
      </c>
      <c r="D216" s="2" t="s">
        <v>242</v>
      </c>
      <c r="E216" s="6">
        <f t="shared" ref="E216" ca="1" si="230">E217</f>
        <v>45977</v>
      </c>
      <c r="F216" s="15">
        <f ca="1">TIME(RANDBETWEEN(12,22), RANDBETWEEN(0,59), RANDBETWEEN(0,59))</f>
        <v>0.71016203703703706</v>
      </c>
      <c r="G216" s="18" t="s">
        <v>30</v>
      </c>
      <c r="H216" s="55">
        <f t="shared" ca="1" si="205"/>
        <v>45977</v>
      </c>
      <c r="I216" s="20">
        <f t="shared" ca="1" si="206"/>
        <v>0.71016203703703706</v>
      </c>
      <c r="J216" s="55">
        <f t="shared" ca="1" si="207"/>
        <v>45977</v>
      </c>
      <c r="K216" s="20">
        <f t="shared" ca="1" si="208"/>
        <v>0.78071759259259266</v>
      </c>
      <c r="L216" s="19" t="s">
        <v>18</v>
      </c>
      <c r="M216" s="18">
        <v>1004725</v>
      </c>
      <c r="N216" s="49" t="s">
        <v>27</v>
      </c>
      <c r="O216" s="11" t="str" cm="1">
        <f t="array" ref="O216">_xlfn.IFS(N216="FG2020US1", "Ibuprofen Tablets (100 MG)", N216="FG0001SEG", "Metformin Tablets (100 MG)", N216="FG0002SEG", "Metformin Tablets (200 MG)", N216="FG0003SEG", "Metformin Tablets (500 MG)", N216="FG00UDI4", "Aspirin Tablets (500 MG)")</f>
        <v>Metformin Tablets (500 MG)</v>
      </c>
      <c r="P216" s="11">
        <v>4215</v>
      </c>
    </row>
    <row r="217" spans="1:16" x14ac:dyDescent="0.35">
      <c r="A217" s="11">
        <v>40000002716</v>
      </c>
      <c r="B217" s="18">
        <v>1010</v>
      </c>
      <c r="C217" s="19">
        <v>4</v>
      </c>
      <c r="D217" s="2" t="s">
        <v>243</v>
      </c>
      <c r="E217" s="6">
        <f t="shared" ref="E217" ca="1" si="231">E218-1</f>
        <v>45977</v>
      </c>
      <c r="F217" s="15">
        <f ca="1">TIME(RANDBETWEEN(0,10), RANDBETWEEN(0,59), RANDBETWEEN(0,59))</f>
        <v>1.361111111111111E-2</v>
      </c>
      <c r="G217" s="18" t="s">
        <v>21</v>
      </c>
      <c r="H217" s="55">
        <f t="shared" ca="1" si="205"/>
        <v>45977</v>
      </c>
      <c r="I217" s="20">
        <f t="shared" ca="1" si="206"/>
        <v>1.361111111111111E-2</v>
      </c>
      <c r="J217" s="55">
        <f t="shared" ca="1" si="207"/>
        <v>45977</v>
      </c>
      <c r="K217" s="20">
        <f t="shared" ca="1" si="208"/>
        <v>8.2268518518518519E-2</v>
      </c>
      <c r="L217" s="19" t="s">
        <v>18</v>
      </c>
      <c r="M217" s="18">
        <v>1004726</v>
      </c>
      <c r="N217" s="49" t="s">
        <v>27</v>
      </c>
      <c r="O217" s="11" t="str" cm="1">
        <f t="array" ref="O217">_xlfn.IFS(N217="FG2020US1", "Ibuprofen Tablets (100 MG)", N217="FG0001SEG", "Metformin Tablets (100 MG)", N217="FG0002SEG", "Metformin Tablets (200 MG)", N217="FG0003SEG", "Metformin Tablets (500 MG)", N217="FG00UDI4", "Aspirin Tablets (500 MG)")</f>
        <v>Metformin Tablets (500 MG)</v>
      </c>
      <c r="P217" s="11">
        <v>4216</v>
      </c>
    </row>
    <row r="218" spans="1:16" x14ac:dyDescent="0.35">
      <c r="A218" s="11">
        <v>40000002717</v>
      </c>
      <c r="B218" s="18">
        <v>1010</v>
      </c>
      <c r="C218" s="19">
        <v>4</v>
      </c>
      <c r="D218" s="2" t="s">
        <v>244</v>
      </c>
      <c r="E218" s="6">
        <f t="shared" ref="E218" ca="1" si="232">E219</f>
        <v>45978</v>
      </c>
      <c r="F218" s="15">
        <f ca="1">TIME(RANDBETWEEN(12,22), RANDBETWEEN(0,59), RANDBETWEEN(0,59))</f>
        <v>0.94797453703703705</v>
      </c>
      <c r="G218" s="18" t="s">
        <v>24</v>
      </c>
      <c r="H218" s="55">
        <f t="shared" ca="1" si="205"/>
        <v>45978</v>
      </c>
      <c r="I218" s="20">
        <f t="shared" ca="1" si="206"/>
        <v>0.94797453703703705</v>
      </c>
      <c r="J218" s="55">
        <f t="shared" ca="1" si="207"/>
        <v>45978</v>
      </c>
      <c r="K218" s="20">
        <f t="shared" ca="1" si="208"/>
        <v>1.0177662037037036</v>
      </c>
      <c r="L218" s="19" t="s">
        <v>18</v>
      </c>
      <c r="M218" s="18">
        <v>1004727</v>
      </c>
      <c r="N218" s="49" t="s">
        <v>31</v>
      </c>
      <c r="O218" s="11" t="str" cm="1">
        <f t="array" ref="O218">_xlfn.IFS(N218="FG2020US1", "Ibuprofen Tablets (100 MG)", N218="FG0001SEG", "Metformin Tablets (100 MG)", N218="FG0002SEG", "Metformin Tablets (200 MG)", N218="FG0003SEG", "Metformin Tablets (500 MG)", N218="FG00UDI4", "Aspirin Tablets (500 MG)")</f>
        <v>Aspirin Tablets (500 MG)</v>
      </c>
      <c r="P218" s="11">
        <v>4217</v>
      </c>
    </row>
    <row r="219" spans="1:16" x14ac:dyDescent="0.35">
      <c r="A219" s="11">
        <v>40000002718</v>
      </c>
      <c r="B219" s="18">
        <v>1010</v>
      </c>
      <c r="C219" s="19">
        <v>4</v>
      </c>
      <c r="D219" s="2" t="s">
        <v>245</v>
      </c>
      <c r="E219" s="6">
        <f t="shared" ref="E219" ca="1" si="233">E220-1</f>
        <v>45978</v>
      </c>
      <c r="F219" s="15">
        <f ca="1">TIME(RANDBETWEEN(0,10), RANDBETWEEN(0,59), RANDBETWEEN(0,59))</f>
        <v>8.6898148148148155E-2</v>
      </c>
      <c r="G219" s="18" t="s">
        <v>39</v>
      </c>
      <c r="H219" s="55">
        <f t="shared" ca="1" si="205"/>
        <v>45978</v>
      </c>
      <c r="I219" s="20">
        <f t="shared" ca="1" si="206"/>
        <v>8.6898148148148155E-2</v>
      </c>
      <c r="J219" s="55">
        <f t="shared" ca="1" si="207"/>
        <v>45978</v>
      </c>
      <c r="K219" s="20">
        <f t="shared" ca="1" si="208"/>
        <v>0.14769675925925926</v>
      </c>
      <c r="L219" s="19" t="s">
        <v>18</v>
      </c>
      <c r="M219" s="18">
        <v>1004728</v>
      </c>
      <c r="N219" s="49" t="s">
        <v>22</v>
      </c>
      <c r="O219" s="11" t="str" cm="1">
        <f t="array" ref="O219">_xlfn.IFS(N219="FG2020US1", "Ibuprofen Tablets (100 MG)", N219="FG0001SEG", "Metformin Tablets (100 MG)", N219="FG0002SEG", "Metformin Tablets (200 MG)", N219="FG0003SEG", "Metformin Tablets (500 MG)", N219="FG00UDI4", "Aspirin Tablets (500 MG)")</f>
        <v>Ibuprofen Tablets (100 MG)</v>
      </c>
      <c r="P219" s="11">
        <v>4218</v>
      </c>
    </row>
    <row r="220" spans="1:16" x14ac:dyDescent="0.35">
      <c r="A220" s="11">
        <v>40000002719</v>
      </c>
      <c r="B220" s="18">
        <v>1010</v>
      </c>
      <c r="C220" s="19">
        <v>4</v>
      </c>
      <c r="D220" s="2" t="s">
        <v>246</v>
      </c>
      <c r="E220" s="6">
        <f t="shared" ref="E220" ca="1" si="234">E221</f>
        <v>45979</v>
      </c>
      <c r="F220" s="15">
        <f ca="1">TIME(RANDBETWEEN(12,22), RANDBETWEEN(0,59), RANDBETWEEN(0,59))</f>
        <v>0.80756944444444445</v>
      </c>
      <c r="G220" s="18" t="s">
        <v>30</v>
      </c>
      <c r="H220" s="55">
        <f t="shared" ca="1" si="205"/>
        <v>45979</v>
      </c>
      <c r="I220" s="20">
        <f t="shared" ca="1" si="206"/>
        <v>0.80756944444444445</v>
      </c>
      <c r="J220" s="55">
        <f t="shared" ca="1" si="207"/>
        <v>45979</v>
      </c>
      <c r="K220" s="20">
        <f t="shared" ca="1" si="208"/>
        <v>0.87445601851851851</v>
      </c>
      <c r="L220" s="19" t="s">
        <v>18</v>
      </c>
      <c r="M220" s="18">
        <v>1004729</v>
      </c>
      <c r="N220" s="49" t="s">
        <v>31</v>
      </c>
      <c r="O220" s="11" t="str" cm="1">
        <f t="array" ref="O220">_xlfn.IFS(N220="FG2020US1", "Ibuprofen Tablets (100 MG)", N220="FG0001SEG", "Metformin Tablets (100 MG)", N220="FG0002SEG", "Metformin Tablets (200 MG)", N220="FG0003SEG", "Metformin Tablets (500 MG)", N220="FG00UDI4", "Aspirin Tablets (500 MG)")</f>
        <v>Aspirin Tablets (500 MG)</v>
      </c>
      <c r="P220" s="11">
        <v>4219</v>
      </c>
    </row>
    <row r="221" spans="1:16" x14ac:dyDescent="0.35">
      <c r="A221" s="11">
        <v>40000002720</v>
      </c>
      <c r="B221" s="18">
        <v>1010</v>
      </c>
      <c r="C221" s="19">
        <v>4</v>
      </c>
      <c r="D221" s="2" t="s">
        <v>247</v>
      </c>
      <c r="E221" s="6">
        <f t="shared" ref="E221" ca="1" si="235">E222-1</f>
        <v>45979</v>
      </c>
      <c r="F221" s="15">
        <f ca="1">TIME(RANDBETWEEN(0,10), RANDBETWEEN(0,59), RANDBETWEEN(0,59))</f>
        <v>7.9386574074074068E-2</v>
      </c>
      <c r="G221" s="18" t="s">
        <v>39</v>
      </c>
      <c r="H221" s="55">
        <f t="shared" ca="1" si="205"/>
        <v>45979</v>
      </c>
      <c r="I221" s="20">
        <f t="shared" ca="1" si="206"/>
        <v>7.9386574074074068E-2</v>
      </c>
      <c r="J221" s="55">
        <f t="shared" ca="1" si="207"/>
        <v>45979</v>
      </c>
      <c r="K221" s="20">
        <f t="shared" ca="1" si="208"/>
        <v>0.14361111111111111</v>
      </c>
      <c r="L221" s="19" t="s">
        <v>18</v>
      </c>
      <c r="M221" s="18">
        <v>1004730</v>
      </c>
      <c r="N221" s="49" t="s">
        <v>19</v>
      </c>
      <c r="O221" s="11" t="str" cm="1">
        <f t="array" ref="O221">_xlfn.IFS(N221="FG2020US1", "Ibuprofen Tablets (100 MG)", N221="FG0001SEG", "Metformin Tablets (100 MG)", N221="FG0002SEG", "Metformin Tablets (200 MG)", N221="FG0003SEG", "Metformin Tablets (500 MG)", N221="FG00UDI4", "Aspirin Tablets (500 MG)")</f>
        <v>Metformin Tablets (100 MG)</v>
      </c>
      <c r="P221" s="11">
        <v>4220</v>
      </c>
    </row>
    <row r="222" spans="1:16" x14ac:dyDescent="0.35">
      <c r="A222" s="11">
        <v>40000002721</v>
      </c>
      <c r="B222" s="18">
        <v>1010</v>
      </c>
      <c r="C222" s="19">
        <v>4</v>
      </c>
      <c r="D222" s="2" t="s">
        <v>248</v>
      </c>
      <c r="E222" s="6">
        <f t="shared" ref="E222" ca="1" si="236">E223</f>
        <v>45980</v>
      </c>
      <c r="F222" s="15">
        <f ca="1">TIME(RANDBETWEEN(12,22), RANDBETWEEN(0,59), RANDBETWEEN(0,59))</f>
        <v>0.91703703703703698</v>
      </c>
      <c r="G222" s="18" t="s">
        <v>17</v>
      </c>
      <c r="H222" s="55">
        <f t="shared" ca="1" si="205"/>
        <v>45980</v>
      </c>
      <c r="I222" s="20">
        <f t="shared" ca="1" si="206"/>
        <v>0.91703703703703698</v>
      </c>
      <c r="J222" s="55">
        <f t="shared" ca="1" si="207"/>
        <v>45980</v>
      </c>
      <c r="K222" s="20">
        <f t="shared" ca="1" si="208"/>
        <v>0.98230324074074071</v>
      </c>
      <c r="L222" s="19" t="s">
        <v>18</v>
      </c>
      <c r="M222" s="18">
        <v>1004731</v>
      </c>
      <c r="N222" s="49" t="s">
        <v>22</v>
      </c>
      <c r="O222" s="11" t="str" cm="1">
        <f t="array" ref="O222">_xlfn.IFS(N222="FG2020US1", "Ibuprofen Tablets (100 MG)", N222="FG0001SEG", "Metformin Tablets (100 MG)", N222="FG0002SEG", "Metformin Tablets (200 MG)", N222="FG0003SEG", "Metformin Tablets (500 MG)", N222="FG00UDI4", "Aspirin Tablets (500 MG)")</f>
        <v>Ibuprofen Tablets (100 MG)</v>
      </c>
      <c r="P222" s="11">
        <v>4221</v>
      </c>
    </row>
    <row r="223" spans="1:16" x14ac:dyDescent="0.35">
      <c r="A223" s="11">
        <v>40000002722</v>
      </c>
      <c r="B223" s="18">
        <v>1010</v>
      </c>
      <c r="C223" s="19">
        <v>4</v>
      </c>
      <c r="D223" s="2" t="s">
        <v>249</v>
      </c>
      <c r="E223" s="6">
        <f t="shared" ref="E223" ca="1" si="237">E224-1</f>
        <v>45980</v>
      </c>
      <c r="F223" s="15">
        <f ca="1">TIME(RANDBETWEEN(0,10), RANDBETWEEN(0,59), RANDBETWEEN(0,59))</f>
        <v>8.2025462962962967E-2</v>
      </c>
      <c r="G223" s="18" t="s">
        <v>36</v>
      </c>
      <c r="H223" s="55">
        <f t="shared" ca="1" si="205"/>
        <v>45980</v>
      </c>
      <c r="I223" s="20">
        <f t="shared" ca="1" si="206"/>
        <v>8.2025462962962967E-2</v>
      </c>
      <c r="J223" s="55">
        <f t="shared" ca="1" si="207"/>
        <v>45980</v>
      </c>
      <c r="K223" s="20">
        <f t="shared" ca="1" si="208"/>
        <v>0.15002314814814816</v>
      </c>
      <c r="L223" s="19" t="s">
        <v>18</v>
      </c>
      <c r="M223" s="18">
        <v>1004732</v>
      </c>
      <c r="N223" s="49" t="s">
        <v>31</v>
      </c>
      <c r="O223" s="11" t="str" cm="1">
        <f t="array" ref="O223">_xlfn.IFS(N223="FG2020US1", "Ibuprofen Tablets (100 MG)", N223="FG0001SEG", "Metformin Tablets (100 MG)", N223="FG0002SEG", "Metformin Tablets (200 MG)", N223="FG0003SEG", "Metformin Tablets (500 MG)", N223="FG00UDI4", "Aspirin Tablets (500 MG)")</f>
        <v>Aspirin Tablets (500 MG)</v>
      </c>
      <c r="P223" s="11">
        <v>4222</v>
      </c>
    </row>
    <row r="224" spans="1:16" x14ac:dyDescent="0.35">
      <c r="A224" s="11">
        <v>40000002723</v>
      </c>
      <c r="B224" s="18">
        <v>1010</v>
      </c>
      <c r="C224" s="19">
        <v>4</v>
      </c>
      <c r="D224" s="2" t="s">
        <v>250</v>
      </c>
      <c r="E224" s="6">
        <f t="shared" ref="E224" ca="1" si="238">E225</f>
        <v>45981</v>
      </c>
      <c r="F224" s="15">
        <f ca="1">TIME(RANDBETWEEN(12,22), RANDBETWEEN(0,59), RANDBETWEEN(0,59))</f>
        <v>0.71668981481481486</v>
      </c>
      <c r="G224" s="18" t="s">
        <v>24</v>
      </c>
      <c r="H224" s="55">
        <f t="shared" ca="1" si="205"/>
        <v>45981</v>
      </c>
      <c r="I224" s="20">
        <f t="shared" ca="1" si="206"/>
        <v>0.71668981481481486</v>
      </c>
      <c r="J224" s="55">
        <f t="shared" ca="1" si="207"/>
        <v>45981</v>
      </c>
      <c r="K224" s="20">
        <f t="shared" ca="1" si="208"/>
        <v>0.7826967592592593</v>
      </c>
      <c r="L224" s="19" t="s">
        <v>18</v>
      </c>
      <c r="M224" s="18">
        <v>1004733</v>
      </c>
      <c r="N224" s="49" t="s">
        <v>34</v>
      </c>
      <c r="O224" s="11" t="str" cm="1">
        <f t="array" ref="O224">_xlfn.IFS(N224="FG2020US1", "Ibuprofen Tablets (100 MG)", N224="FG0001SEG", "Metformin Tablets (100 MG)", N224="FG0002SEG", "Metformin Tablets (200 MG)", N224="FG0003SEG", "Metformin Tablets (500 MG)", N224="FG00UDI4", "Aspirin Tablets (500 MG)")</f>
        <v>Metformin Tablets (200 MG)</v>
      </c>
      <c r="P224" s="11">
        <v>4223</v>
      </c>
    </row>
    <row r="225" spans="1:16" x14ac:dyDescent="0.35">
      <c r="A225" s="11">
        <v>40000002724</v>
      </c>
      <c r="B225" s="18">
        <v>1010</v>
      </c>
      <c r="C225" s="19">
        <v>4</v>
      </c>
      <c r="D225" s="2" t="s">
        <v>251</v>
      </c>
      <c r="E225" s="6">
        <f t="shared" ref="E225" ca="1" si="239">E226-1</f>
        <v>45981</v>
      </c>
      <c r="F225" s="15">
        <f ca="1">TIME(RANDBETWEEN(0,10), RANDBETWEEN(0,59), RANDBETWEEN(0,59))</f>
        <v>0.31231481481481482</v>
      </c>
      <c r="G225" s="18" t="s">
        <v>36</v>
      </c>
      <c r="H225" s="55">
        <f t="shared" ca="1" si="205"/>
        <v>45981</v>
      </c>
      <c r="I225" s="20">
        <f t="shared" ca="1" si="206"/>
        <v>0.31231481481481482</v>
      </c>
      <c r="J225" s="55">
        <f t="shared" ca="1" si="207"/>
        <v>45981</v>
      </c>
      <c r="K225" s="20">
        <f t="shared" ca="1" si="208"/>
        <v>0.37979166666666669</v>
      </c>
      <c r="L225" s="19" t="s">
        <v>18</v>
      </c>
      <c r="M225" s="18">
        <v>1004734</v>
      </c>
      <c r="N225" s="49" t="s">
        <v>27</v>
      </c>
      <c r="O225" s="11" t="str" cm="1">
        <f t="array" ref="O225">_xlfn.IFS(N225="FG2020US1", "Ibuprofen Tablets (100 MG)", N225="FG0001SEG", "Metformin Tablets (100 MG)", N225="FG0002SEG", "Metformin Tablets (200 MG)", N225="FG0003SEG", "Metformin Tablets (500 MG)", N225="FG00UDI4", "Aspirin Tablets (500 MG)")</f>
        <v>Metformin Tablets (500 MG)</v>
      </c>
      <c r="P225" s="11">
        <v>4224</v>
      </c>
    </row>
    <row r="226" spans="1:16" x14ac:dyDescent="0.35">
      <c r="A226" s="11">
        <v>40000002725</v>
      </c>
      <c r="B226" s="18">
        <v>1010</v>
      </c>
      <c r="C226" s="19">
        <v>4</v>
      </c>
      <c r="D226" s="2" t="s">
        <v>252</v>
      </c>
      <c r="E226" s="6">
        <f t="shared" ref="E226" ca="1" si="240">E227</f>
        <v>45982</v>
      </c>
      <c r="F226" s="15">
        <f ca="1">TIME(RANDBETWEEN(12,22), RANDBETWEEN(0,59), RANDBETWEEN(0,59))</f>
        <v>0.81822916666666667</v>
      </c>
      <c r="G226" s="18" t="s">
        <v>24</v>
      </c>
      <c r="H226" s="55">
        <f t="shared" ca="1" si="205"/>
        <v>45982</v>
      </c>
      <c r="I226" s="20">
        <f t="shared" ca="1" si="206"/>
        <v>0.81822916666666667</v>
      </c>
      <c r="J226" s="55">
        <f t="shared" ca="1" si="207"/>
        <v>45982</v>
      </c>
      <c r="K226" s="20">
        <f t="shared" ca="1" si="208"/>
        <v>0.88048611111111108</v>
      </c>
      <c r="L226" s="19" t="s">
        <v>18</v>
      </c>
      <c r="M226" s="18">
        <v>1004735</v>
      </c>
      <c r="N226" s="49" t="s">
        <v>31</v>
      </c>
      <c r="O226" s="11" t="str" cm="1">
        <f t="array" ref="O226">_xlfn.IFS(N226="FG2020US1", "Ibuprofen Tablets (100 MG)", N226="FG0001SEG", "Metformin Tablets (100 MG)", N226="FG0002SEG", "Metformin Tablets (200 MG)", N226="FG0003SEG", "Metformin Tablets (500 MG)", N226="FG00UDI4", "Aspirin Tablets (500 MG)")</f>
        <v>Aspirin Tablets (500 MG)</v>
      </c>
      <c r="P226" s="11">
        <v>4225</v>
      </c>
    </row>
    <row r="227" spans="1:16" x14ac:dyDescent="0.35">
      <c r="A227" s="11">
        <v>40000002726</v>
      </c>
      <c r="B227" s="18">
        <v>1010</v>
      </c>
      <c r="C227" s="19">
        <v>4</v>
      </c>
      <c r="D227" s="2" t="s">
        <v>253</v>
      </c>
      <c r="E227" s="6">
        <f t="shared" ref="E227" ca="1" si="241">E228-1</f>
        <v>45982</v>
      </c>
      <c r="F227" s="15">
        <f ca="1">TIME(RANDBETWEEN(0,10), RANDBETWEEN(0,59), RANDBETWEEN(0,59))</f>
        <v>8.8541666666666671E-2</v>
      </c>
      <c r="G227" s="18" t="s">
        <v>36</v>
      </c>
      <c r="H227" s="55">
        <f t="shared" ca="1" si="205"/>
        <v>45982</v>
      </c>
      <c r="I227" s="20">
        <f t="shared" ca="1" si="206"/>
        <v>8.8541666666666671E-2</v>
      </c>
      <c r="J227" s="55">
        <f t="shared" ca="1" si="207"/>
        <v>45982</v>
      </c>
      <c r="K227" s="20">
        <f t="shared" ca="1" si="208"/>
        <v>0.15256944444444445</v>
      </c>
      <c r="L227" s="19" t="s">
        <v>18</v>
      </c>
      <c r="M227" s="18">
        <v>1004736</v>
      </c>
      <c r="N227" s="49" t="s">
        <v>34</v>
      </c>
      <c r="O227" s="11" t="str" cm="1">
        <f t="array" ref="O227">_xlfn.IFS(N227="FG2020US1", "Ibuprofen Tablets (100 MG)", N227="FG0001SEG", "Metformin Tablets (100 MG)", N227="FG0002SEG", "Metformin Tablets (200 MG)", N227="FG0003SEG", "Metformin Tablets (500 MG)", N227="FG00UDI4", "Aspirin Tablets (500 MG)")</f>
        <v>Metformin Tablets (200 MG)</v>
      </c>
      <c r="P227" s="11">
        <v>4226</v>
      </c>
    </row>
    <row r="228" spans="1:16" x14ac:dyDescent="0.35">
      <c r="A228" s="11">
        <v>40000002727</v>
      </c>
      <c r="B228" s="18">
        <v>1010</v>
      </c>
      <c r="C228" s="19">
        <v>4</v>
      </c>
      <c r="D228" s="2" t="s">
        <v>254</v>
      </c>
      <c r="E228" s="6">
        <f t="shared" ref="E228" ca="1" si="242">E229</f>
        <v>45983</v>
      </c>
      <c r="F228" s="15">
        <f ca="1">TIME(RANDBETWEEN(12,22), RANDBETWEEN(0,59), RANDBETWEEN(0,59))</f>
        <v>0.65138888888888891</v>
      </c>
      <c r="G228" s="18" t="s">
        <v>24</v>
      </c>
      <c r="H228" s="55">
        <f t="shared" ca="1" si="205"/>
        <v>45983</v>
      </c>
      <c r="I228" s="20">
        <f t="shared" ca="1" si="206"/>
        <v>0.65138888888888891</v>
      </c>
      <c r="J228" s="55">
        <f t="shared" ca="1" si="207"/>
        <v>45983</v>
      </c>
      <c r="K228" s="20">
        <f t="shared" ca="1" si="208"/>
        <v>0.7104166666666667</v>
      </c>
      <c r="L228" s="19" t="s">
        <v>18</v>
      </c>
      <c r="M228" s="18">
        <v>1004737</v>
      </c>
      <c r="N228" s="49" t="s">
        <v>31</v>
      </c>
      <c r="O228" s="11" t="str" cm="1">
        <f t="array" ref="O228">_xlfn.IFS(N228="FG2020US1", "Ibuprofen Tablets (100 MG)", N228="FG0001SEG", "Metformin Tablets (100 MG)", N228="FG0002SEG", "Metformin Tablets (200 MG)", N228="FG0003SEG", "Metformin Tablets (500 MG)", N228="FG00UDI4", "Aspirin Tablets (500 MG)")</f>
        <v>Aspirin Tablets (500 MG)</v>
      </c>
      <c r="P228" s="11">
        <v>4227</v>
      </c>
    </row>
    <row r="229" spans="1:16" x14ac:dyDescent="0.35">
      <c r="A229" s="11">
        <v>40000002728</v>
      </c>
      <c r="B229" s="18">
        <v>1010</v>
      </c>
      <c r="C229" s="19">
        <v>4</v>
      </c>
      <c r="D229" s="2" t="s">
        <v>255</v>
      </c>
      <c r="E229" s="6">
        <f t="shared" ref="E229" ca="1" si="243">E230-1</f>
        <v>45983</v>
      </c>
      <c r="F229" s="15">
        <f ca="1">TIME(RANDBETWEEN(0,10), RANDBETWEEN(0,59), RANDBETWEEN(0,59))</f>
        <v>0.34909722222222223</v>
      </c>
      <c r="G229" s="18" t="s">
        <v>36</v>
      </c>
      <c r="H229" s="55">
        <f t="shared" ca="1" si="205"/>
        <v>45983</v>
      </c>
      <c r="I229" s="20">
        <f t="shared" ca="1" si="206"/>
        <v>0.34909722222222223</v>
      </c>
      <c r="J229" s="55">
        <f t="shared" ca="1" si="207"/>
        <v>45983</v>
      </c>
      <c r="K229" s="20">
        <f t="shared" ca="1" si="208"/>
        <v>0.42030092592592594</v>
      </c>
      <c r="L229" s="19" t="s">
        <v>18</v>
      </c>
      <c r="M229" s="18">
        <v>1004738</v>
      </c>
      <c r="N229" s="49" t="s">
        <v>19</v>
      </c>
      <c r="O229" s="11" t="str" cm="1">
        <f t="array" ref="O229">_xlfn.IFS(N229="FG2020US1", "Ibuprofen Tablets (100 MG)", N229="FG0001SEG", "Metformin Tablets (100 MG)", N229="FG0002SEG", "Metformin Tablets (200 MG)", N229="FG0003SEG", "Metformin Tablets (500 MG)", N229="FG00UDI4", "Aspirin Tablets (500 MG)")</f>
        <v>Metformin Tablets (100 MG)</v>
      </c>
      <c r="P229" s="11">
        <v>4228</v>
      </c>
    </row>
    <row r="230" spans="1:16" x14ac:dyDescent="0.35">
      <c r="A230" s="11">
        <v>40000002729</v>
      </c>
      <c r="B230" s="18">
        <v>1010</v>
      </c>
      <c r="C230" s="19">
        <v>4</v>
      </c>
      <c r="D230" s="2" t="s">
        <v>256</v>
      </c>
      <c r="E230" s="6">
        <f t="shared" ref="E230" ca="1" si="244">E231</f>
        <v>45984</v>
      </c>
      <c r="F230" s="15">
        <f ca="1">TIME(RANDBETWEEN(12,22), RANDBETWEEN(0,59), RANDBETWEEN(0,59))</f>
        <v>0.70520833333333333</v>
      </c>
      <c r="G230" s="18" t="s">
        <v>24</v>
      </c>
      <c r="H230" s="55">
        <f t="shared" ca="1" si="205"/>
        <v>45984</v>
      </c>
      <c r="I230" s="20">
        <f t="shared" ca="1" si="206"/>
        <v>0.70520833333333333</v>
      </c>
      <c r="J230" s="55">
        <f t="shared" ca="1" si="207"/>
        <v>45984</v>
      </c>
      <c r="K230" s="20">
        <f t="shared" ca="1" si="208"/>
        <v>0.77662037037037035</v>
      </c>
      <c r="L230" s="19" t="s">
        <v>18</v>
      </c>
      <c r="M230" s="18">
        <v>1004739</v>
      </c>
      <c r="N230" s="49" t="s">
        <v>27</v>
      </c>
      <c r="O230" s="11" t="str" cm="1">
        <f t="array" ref="O230">_xlfn.IFS(N230="FG2020US1", "Ibuprofen Tablets (100 MG)", N230="FG0001SEG", "Metformin Tablets (100 MG)", N230="FG0002SEG", "Metformin Tablets (200 MG)", N230="FG0003SEG", "Metformin Tablets (500 MG)", N230="FG00UDI4", "Aspirin Tablets (500 MG)")</f>
        <v>Metformin Tablets (500 MG)</v>
      </c>
      <c r="P230" s="11">
        <v>4229</v>
      </c>
    </row>
    <row r="231" spans="1:16" x14ac:dyDescent="0.35">
      <c r="A231" s="11">
        <v>40000002730</v>
      </c>
      <c r="B231" s="18">
        <v>1010</v>
      </c>
      <c r="C231" s="19">
        <v>4</v>
      </c>
      <c r="D231" s="2" t="s">
        <v>257</v>
      </c>
      <c r="E231" s="6">
        <f t="shared" ref="E231" ca="1" si="245">E232-1</f>
        <v>45984</v>
      </c>
      <c r="F231" s="15">
        <f ca="1">TIME(RANDBETWEEN(0,10), RANDBETWEEN(0,59), RANDBETWEEN(0,59))</f>
        <v>0.16259259259259259</v>
      </c>
      <c r="G231" s="18" t="s">
        <v>39</v>
      </c>
      <c r="H231" s="55">
        <f t="shared" ca="1" si="205"/>
        <v>45984</v>
      </c>
      <c r="I231" s="20">
        <f t="shared" ca="1" si="206"/>
        <v>0.16259259259259259</v>
      </c>
      <c r="J231" s="55">
        <f t="shared" ca="1" si="207"/>
        <v>45984</v>
      </c>
      <c r="K231" s="20">
        <f t="shared" ca="1" si="208"/>
        <v>0.23552083333333335</v>
      </c>
      <c r="L231" s="19" t="s">
        <v>18</v>
      </c>
      <c r="M231" s="18">
        <v>1004740</v>
      </c>
      <c r="N231" s="49" t="s">
        <v>22</v>
      </c>
      <c r="O231" s="11" t="str" cm="1">
        <f t="array" ref="O231">_xlfn.IFS(N231="FG2020US1", "Ibuprofen Tablets (100 MG)", N231="FG0001SEG", "Metformin Tablets (100 MG)", N231="FG0002SEG", "Metformin Tablets (200 MG)", N231="FG0003SEG", "Metformin Tablets (500 MG)", N231="FG00UDI4", "Aspirin Tablets (500 MG)")</f>
        <v>Ibuprofen Tablets (100 MG)</v>
      </c>
      <c r="P231" s="11">
        <v>4230</v>
      </c>
    </row>
    <row r="232" spans="1:16" x14ac:dyDescent="0.35">
      <c r="A232" s="11">
        <v>40000002731</v>
      </c>
      <c r="B232" s="18">
        <v>1010</v>
      </c>
      <c r="C232" s="19">
        <v>4</v>
      </c>
      <c r="D232" s="2" t="s">
        <v>258</v>
      </c>
      <c r="E232" s="6">
        <f t="shared" ref="E232" ca="1" si="246">E233</f>
        <v>45985</v>
      </c>
      <c r="F232" s="15">
        <f ca="1">TIME(RANDBETWEEN(12,22), RANDBETWEEN(0,59), RANDBETWEEN(0,59))</f>
        <v>0.50774305555555554</v>
      </c>
      <c r="G232" s="18" t="s">
        <v>24</v>
      </c>
      <c r="H232" s="55">
        <f t="shared" ca="1" si="205"/>
        <v>45985</v>
      </c>
      <c r="I232" s="20">
        <f t="shared" ca="1" si="206"/>
        <v>0.50774305555555554</v>
      </c>
      <c r="J232" s="55">
        <f t="shared" ca="1" si="207"/>
        <v>45985</v>
      </c>
      <c r="K232" s="20">
        <f t="shared" ca="1" si="208"/>
        <v>0.58079861111111108</v>
      </c>
      <c r="L232" s="19" t="s">
        <v>18</v>
      </c>
      <c r="M232" s="18">
        <v>1004741</v>
      </c>
      <c r="N232" s="49" t="s">
        <v>34</v>
      </c>
      <c r="O232" s="11" t="str" cm="1">
        <f t="array" ref="O232">_xlfn.IFS(N232="FG2020US1", "Ibuprofen Tablets (100 MG)", N232="FG0001SEG", "Metformin Tablets (100 MG)", N232="FG0002SEG", "Metformin Tablets (200 MG)", N232="FG0003SEG", "Metformin Tablets (500 MG)", N232="FG00UDI4", "Aspirin Tablets (500 MG)")</f>
        <v>Metformin Tablets (200 MG)</v>
      </c>
      <c r="P232" s="11">
        <v>4231</v>
      </c>
    </row>
    <row r="233" spans="1:16" x14ac:dyDescent="0.35">
      <c r="A233" s="11">
        <v>40000002732</v>
      </c>
      <c r="B233" s="18">
        <v>1010</v>
      </c>
      <c r="C233" s="19">
        <v>4</v>
      </c>
      <c r="D233" s="2" t="s">
        <v>259</v>
      </c>
      <c r="E233" s="6">
        <f t="shared" ref="E233" ca="1" si="247">E234-1</f>
        <v>45985</v>
      </c>
      <c r="F233" s="15">
        <f ca="1">TIME(RANDBETWEEN(0,10), RANDBETWEEN(0,59), RANDBETWEEN(0,59))</f>
        <v>0.1544675925925926</v>
      </c>
      <c r="G233" s="18" t="s">
        <v>21</v>
      </c>
      <c r="H233" s="55">
        <f t="shared" ca="1" si="205"/>
        <v>45985</v>
      </c>
      <c r="I233" s="20">
        <f t="shared" ca="1" si="206"/>
        <v>0.1544675925925926</v>
      </c>
      <c r="J233" s="55">
        <f t="shared" ca="1" si="207"/>
        <v>45985</v>
      </c>
      <c r="K233" s="20">
        <f t="shared" ca="1" si="208"/>
        <v>0.22317129629629628</v>
      </c>
      <c r="L233" s="19" t="s">
        <v>18</v>
      </c>
      <c r="M233" s="18">
        <v>1004742</v>
      </c>
      <c r="N233" s="49" t="s">
        <v>27</v>
      </c>
      <c r="O233" s="11" t="str" cm="1">
        <f t="array" ref="O233">_xlfn.IFS(N233="FG2020US1", "Ibuprofen Tablets (100 MG)", N233="FG0001SEG", "Metformin Tablets (100 MG)", N233="FG0002SEG", "Metformin Tablets (200 MG)", N233="FG0003SEG", "Metformin Tablets (500 MG)", N233="FG00UDI4", "Aspirin Tablets (500 MG)")</f>
        <v>Metformin Tablets (500 MG)</v>
      </c>
      <c r="P233" s="11">
        <v>4232</v>
      </c>
    </row>
    <row r="234" spans="1:16" x14ac:dyDescent="0.35">
      <c r="A234" s="11">
        <v>40000002733</v>
      </c>
      <c r="B234" s="18">
        <v>1010</v>
      </c>
      <c r="C234" s="19">
        <v>4</v>
      </c>
      <c r="D234" s="2" t="s">
        <v>260</v>
      </c>
      <c r="E234" s="6">
        <f t="shared" ref="E234" ca="1" si="248">E235</f>
        <v>45986</v>
      </c>
      <c r="F234" s="15">
        <f ca="1">TIME(RANDBETWEEN(12,22), RANDBETWEEN(0,59), RANDBETWEEN(0,59))</f>
        <v>0.55807870370370372</v>
      </c>
      <c r="G234" s="18" t="s">
        <v>17</v>
      </c>
      <c r="H234" s="55">
        <f t="shared" ca="1" si="205"/>
        <v>45986</v>
      </c>
      <c r="I234" s="20">
        <f t="shared" ca="1" si="206"/>
        <v>0.55807870370370372</v>
      </c>
      <c r="J234" s="55">
        <f t="shared" ca="1" si="207"/>
        <v>45986</v>
      </c>
      <c r="K234" s="20">
        <f t="shared" ca="1" si="208"/>
        <v>0.62119212962962966</v>
      </c>
      <c r="L234" s="19" t="s">
        <v>18</v>
      </c>
      <c r="M234" s="18">
        <v>1004743</v>
      </c>
      <c r="N234" s="49" t="s">
        <v>19</v>
      </c>
      <c r="O234" s="11" t="str" cm="1">
        <f t="array" ref="O234">_xlfn.IFS(N234="FG2020US1", "Ibuprofen Tablets (100 MG)", N234="FG0001SEG", "Metformin Tablets (100 MG)", N234="FG0002SEG", "Metformin Tablets (200 MG)", N234="FG0003SEG", "Metformin Tablets (500 MG)", N234="FG00UDI4", "Aspirin Tablets (500 MG)")</f>
        <v>Metformin Tablets (100 MG)</v>
      </c>
      <c r="P234" s="11">
        <v>4233</v>
      </c>
    </row>
    <row r="235" spans="1:16" x14ac:dyDescent="0.35">
      <c r="A235" s="11">
        <v>40000002734</v>
      </c>
      <c r="B235" s="18">
        <v>1010</v>
      </c>
      <c r="C235" s="19">
        <v>4</v>
      </c>
      <c r="D235" s="2" t="s">
        <v>261</v>
      </c>
      <c r="E235" s="6">
        <f t="shared" ref="E235" ca="1" si="249">E236-1</f>
        <v>45986</v>
      </c>
      <c r="F235" s="15">
        <f ca="1">TIME(RANDBETWEEN(0,10), RANDBETWEEN(0,59), RANDBETWEEN(0,59))</f>
        <v>0.39489583333333333</v>
      </c>
      <c r="G235" s="18" t="s">
        <v>21</v>
      </c>
      <c r="H235" s="55">
        <f t="shared" ca="1" si="205"/>
        <v>45986</v>
      </c>
      <c r="I235" s="20">
        <f t="shared" ca="1" si="206"/>
        <v>0.39489583333333333</v>
      </c>
      <c r="J235" s="55">
        <f t="shared" ca="1" si="207"/>
        <v>45986</v>
      </c>
      <c r="K235" s="20">
        <f t="shared" ca="1" si="208"/>
        <v>0.46802083333333333</v>
      </c>
      <c r="L235" s="19" t="s">
        <v>18</v>
      </c>
      <c r="M235" s="18">
        <v>1004744</v>
      </c>
      <c r="N235" s="49" t="s">
        <v>27</v>
      </c>
      <c r="O235" s="11" t="str" cm="1">
        <f t="array" ref="O235">_xlfn.IFS(N235="FG2020US1", "Ibuprofen Tablets (100 MG)", N235="FG0001SEG", "Metformin Tablets (100 MG)", N235="FG0002SEG", "Metformin Tablets (200 MG)", N235="FG0003SEG", "Metformin Tablets (500 MG)", N235="FG00UDI4", "Aspirin Tablets (500 MG)")</f>
        <v>Metformin Tablets (500 MG)</v>
      </c>
      <c r="P235" s="11">
        <v>4234</v>
      </c>
    </row>
    <row r="236" spans="1:16" x14ac:dyDescent="0.35">
      <c r="A236" s="11">
        <v>40000002735</v>
      </c>
      <c r="B236" s="18">
        <v>1010</v>
      </c>
      <c r="C236" s="19">
        <v>4</v>
      </c>
      <c r="D236" s="2" t="s">
        <v>262</v>
      </c>
      <c r="E236" s="6">
        <f t="shared" ref="E236" ca="1" si="250">E237</f>
        <v>45987</v>
      </c>
      <c r="F236" s="15">
        <f ca="1">TIME(RANDBETWEEN(12,22), RANDBETWEEN(0,59), RANDBETWEEN(0,59))</f>
        <v>0.80201388888888892</v>
      </c>
      <c r="G236" s="18" t="s">
        <v>17</v>
      </c>
      <c r="H236" s="55">
        <f t="shared" ca="1" si="205"/>
        <v>45987</v>
      </c>
      <c r="I236" s="20">
        <f t="shared" ca="1" si="206"/>
        <v>0.80201388888888892</v>
      </c>
      <c r="J236" s="55">
        <f t="shared" ca="1" si="207"/>
        <v>45987</v>
      </c>
      <c r="K236" s="20">
        <f t="shared" ca="1" si="208"/>
        <v>0.86663194444444447</v>
      </c>
      <c r="L236" s="19" t="s">
        <v>18</v>
      </c>
      <c r="M236" s="18">
        <v>1004745</v>
      </c>
      <c r="N236" s="49" t="s">
        <v>19</v>
      </c>
      <c r="O236" s="11" t="str" cm="1">
        <f t="array" ref="O236">_xlfn.IFS(N236="FG2020US1", "Ibuprofen Tablets (100 MG)", N236="FG0001SEG", "Metformin Tablets (100 MG)", N236="FG0002SEG", "Metformin Tablets (200 MG)", N236="FG0003SEG", "Metformin Tablets (500 MG)", N236="FG00UDI4", "Aspirin Tablets (500 MG)")</f>
        <v>Metformin Tablets (100 MG)</v>
      </c>
      <c r="P236" s="11">
        <v>4235</v>
      </c>
    </row>
    <row r="237" spans="1:16" x14ac:dyDescent="0.35">
      <c r="A237" s="11">
        <v>40000002736</v>
      </c>
      <c r="B237" s="18">
        <v>1010</v>
      </c>
      <c r="C237" s="19">
        <v>4</v>
      </c>
      <c r="D237" s="2" t="s">
        <v>263</v>
      </c>
      <c r="E237" s="6">
        <f t="shared" ref="E237" ca="1" si="251">E238-1</f>
        <v>45987</v>
      </c>
      <c r="F237" s="15">
        <f ca="1">TIME(RANDBETWEEN(0,10), RANDBETWEEN(0,59), RANDBETWEEN(0,59))</f>
        <v>0.11016203703703703</v>
      </c>
      <c r="G237" s="18" t="s">
        <v>36</v>
      </c>
      <c r="H237" s="55">
        <f t="shared" ca="1" si="205"/>
        <v>45987</v>
      </c>
      <c r="I237" s="20">
        <f t="shared" ca="1" si="206"/>
        <v>0.11016203703703703</v>
      </c>
      <c r="J237" s="55">
        <f t="shared" ca="1" si="207"/>
        <v>45987</v>
      </c>
      <c r="K237" s="20">
        <f t="shared" ca="1" si="208"/>
        <v>0.17075231481481482</v>
      </c>
      <c r="L237" s="19" t="s">
        <v>18</v>
      </c>
      <c r="M237" s="18">
        <v>1004746</v>
      </c>
      <c r="N237" s="49" t="s">
        <v>22</v>
      </c>
      <c r="O237" s="11" t="str" cm="1">
        <f t="array" ref="O237">_xlfn.IFS(N237="FG2020US1", "Ibuprofen Tablets (100 MG)", N237="FG0001SEG", "Metformin Tablets (100 MG)", N237="FG0002SEG", "Metformin Tablets (200 MG)", N237="FG0003SEG", "Metformin Tablets (500 MG)", N237="FG00UDI4", "Aspirin Tablets (500 MG)")</f>
        <v>Ibuprofen Tablets (100 MG)</v>
      </c>
      <c r="P237" s="11">
        <v>4236</v>
      </c>
    </row>
    <row r="238" spans="1:16" x14ac:dyDescent="0.35">
      <c r="A238" s="11">
        <v>40000002737</v>
      </c>
      <c r="B238" s="18">
        <v>1010</v>
      </c>
      <c r="C238" s="19">
        <v>4</v>
      </c>
      <c r="D238" s="2" t="s">
        <v>264</v>
      </c>
      <c r="E238" s="6">
        <f t="shared" ref="E238" ca="1" si="252">E239</f>
        <v>45988</v>
      </c>
      <c r="F238" s="15">
        <f ca="1">TIME(RANDBETWEEN(12,22), RANDBETWEEN(0,59), RANDBETWEEN(0,59))</f>
        <v>0.58333333333333337</v>
      </c>
      <c r="G238" s="18" t="s">
        <v>24</v>
      </c>
      <c r="H238" s="55">
        <f t="shared" ca="1" si="205"/>
        <v>45988</v>
      </c>
      <c r="I238" s="20">
        <f t="shared" ca="1" si="206"/>
        <v>0.58333333333333337</v>
      </c>
      <c r="J238" s="55">
        <f t="shared" ca="1" si="207"/>
        <v>45988</v>
      </c>
      <c r="K238" s="20">
        <f t="shared" ca="1" si="208"/>
        <v>0.65782407407407417</v>
      </c>
      <c r="L238" s="19" t="s">
        <v>18</v>
      </c>
      <c r="M238" s="18">
        <v>1004747</v>
      </c>
      <c r="N238" s="49" t="s">
        <v>27</v>
      </c>
      <c r="O238" s="11" t="str" cm="1">
        <f t="array" ref="O238">_xlfn.IFS(N238="FG2020US1", "Ibuprofen Tablets (100 MG)", N238="FG0001SEG", "Metformin Tablets (100 MG)", N238="FG0002SEG", "Metformin Tablets (200 MG)", N238="FG0003SEG", "Metformin Tablets (500 MG)", N238="FG00UDI4", "Aspirin Tablets (500 MG)")</f>
        <v>Metformin Tablets (500 MG)</v>
      </c>
      <c r="P238" s="11">
        <v>4237</v>
      </c>
    </row>
    <row r="239" spans="1:16" x14ac:dyDescent="0.35">
      <c r="A239" s="11">
        <v>40000002738</v>
      </c>
      <c r="B239" s="18">
        <v>1010</v>
      </c>
      <c r="C239" s="19">
        <v>4</v>
      </c>
      <c r="D239" s="2" t="s">
        <v>265</v>
      </c>
      <c r="E239" s="6">
        <f t="shared" ref="E239" ca="1" si="253">E240-1</f>
        <v>45988</v>
      </c>
      <c r="F239" s="15">
        <f ca="1">TIME(RANDBETWEEN(0,10), RANDBETWEEN(0,59), RANDBETWEEN(0,59))</f>
        <v>0.43537037037037035</v>
      </c>
      <c r="G239" s="18" t="s">
        <v>39</v>
      </c>
      <c r="H239" s="55">
        <f t="shared" ca="1" si="205"/>
        <v>45988</v>
      </c>
      <c r="I239" s="20">
        <f t="shared" ca="1" si="206"/>
        <v>0.43537037037037035</v>
      </c>
      <c r="J239" s="55">
        <f t="shared" ca="1" si="207"/>
        <v>45988</v>
      </c>
      <c r="K239" s="20">
        <f t="shared" ca="1" si="208"/>
        <v>0.50760416666666663</v>
      </c>
      <c r="L239" s="19" t="s">
        <v>18</v>
      </c>
      <c r="M239" s="18">
        <v>1004748</v>
      </c>
      <c r="N239" s="49" t="s">
        <v>34</v>
      </c>
      <c r="O239" s="11" t="str" cm="1">
        <f t="array" ref="O239">_xlfn.IFS(N239="FG2020US1", "Ibuprofen Tablets (100 MG)", N239="FG0001SEG", "Metformin Tablets (100 MG)", N239="FG0002SEG", "Metformin Tablets (200 MG)", N239="FG0003SEG", "Metformin Tablets (500 MG)", N239="FG00UDI4", "Aspirin Tablets (500 MG)")</f>
        <v>Metformin Tablets (200 MG)</v>
      </c>
      <c r="P239" s="11">
        <v>4238</v>
      </c>
    </row>
    <row r="240" spans="1:16" x14ac:dyDescent="0.35">
      <c r="A240" s="11">
        <v>40000002739</v>
      </c>
      <c r="B240" s="18">
        <v>1010</v>
      </c>
      <c r="C240" s="19">
        <v>4</v>
      </c>
      <c r="D240" s="2" t="s">
        <v>266</v>
      </c>
      <c r="E240" s="6">
        <f t="shared" ref="E240" ca="1" si="254">E241</f>
        <v>45989</v>
      </c>
      <c r="F240" s="15">
        <f ca="1">TIME(RANDBETWEEN(12,22), RANDBETWEEN(0,59), RANDBETWEEN(0,59))</f>
        <v>0.82848379629629632</v>
      </c>
      <c r="G240" s="18" t="s">
        <v>24</v>
      </c>
      <c r="H240" s="55">
        <f t="shared" ca="1" si="205"/>
        <v>45989</v>
      </c>
      <c r="I240" s="20">
        <f t="shared" ca="1" si="206"/>
        <v>0.82848379629629632</v>
      </c>
      <c r="J240" s="55">
        <f t="shared" ca="1" si="207"/>
        <v>45989</v>
      </c>
      <c r="K240" s="20">
        <f t="shared" ca="1" si="208"/>
        <v>0.89637731481481486</v>
      </c>
      <c r="L240" s="19" t="s">
        <v>18</v>
      </c>
      <c r="M240" s="18">
        <v>1004749</v>
      </c>
      <c r="N240" s="49" t="s">
        <v>27</v>
      </c>
      <c r="O240" s="11" t="str" cm="1">
        <f t="array" ref="O240">_xlfn.IFS(N240="FG2020US1", "Ibuprofen Tablets (100 MG)", N240="FG0001SEG", "Metformin Tablets (100 MG)", N240="FG0002SEG", "Metformin Tablets (200 MG)", N240="FG0003SEG", "Metformin Tablets (500 MG)", N240="FG00UDI4", "Aspirin Tablets (500 MG)")</f>
        <v>Metformin Tablets (500 MG)</v>
      </c>
      <c r="P240" s="11">
        <v>4239</v>
      </c>
    </row>
    <row r="241" spans="1:16" x14ac:dyDescent="0.35">
      <c r="A241" s="11">
        <v>40000002740</v>
      </c>
      <c r="B241" s="18">
        <v>1010</v>
      </c>
      <c r="C241" s="19">
        <v>4</v>
      </c>
      <c r="D241" s="2" t="s">
        <v>267</v>
      </c>
      <c r="E241" s="6">
        <f t="shared" ref="E241" ca="1" si="255">E242-1</f>
        <v>45989</v>
      </c>
      <c r="F241" s="15">
        <f ca="1">TIME(RANDBETWEEN(0,10), RANDBETWEEN(0,59), RANDBETWEEN(0,59))</f>
        <v>0.31406250000000002</v>
      </c>
      <c r="G241" s="18" t="s">
        <v>36</v>
      </c>
      <c r="H241" s="55">
        <f t="shared" ca="1" si="205"/>
        <v>45989</v>
      </c>
      <c r="I241" s="20">
        <f t="shared" ca="1" si="206"/>
        <v>0.31406250000000002</v>
      </c>
      <c r="J241" s="55">
        <f t="shared" ca="1" si="207"/>
        <v>45989</v>
      </c>
      <c r="K241" s="20">
        <f t="shared" ca="1" si="208"/>
        <v>0.38105324074074076</v>
      </c>
      <c r="L241" s="19" t="s">
        <v>18</v>
      </c>
      <c r="M241" s="18">
        <v>1004750</v>
      </c>
      <c r="N241" s="49" t="s">
        <v>31</v>
      </c>
      <c r="O241" s="11" t="str" cm="1">
        <f t="array" ref="O241">_xlfn.IFS(N241="FG2020US1", "Ibuprofen Tablets (100 MG)", N241="FG0001SEG", "Metformin Tablets (100 MG)", N241="FG0002SEG", "Metformin Tablets (200 MG)", N241="FG0003SEG", "Metformin Tablets (500 MG)", N241="FG00UDI4", "Aspirin Tablets (500 MG)")</f>
        <v>Aspirin Tablets (500 MG)</v>
      </c>
      <c r="P241" s="11">
        <v>4240</v>
      </c>
    </row>
    <row r="242" spans="1:16" x14ac:dyDescent="0.35">
      <c r="A242" s="11">
        <v>40000002741</v>
      </c>
      <c r="B242" s="18">
        <v>1010</v>
      </c>
      <c r="C242" s="19">
        <v>4</v>
      </c>
      <c r="D242" s="2" t="s">
        <v>268</v>
      </c>
      <c r="E242" s="6">
        <f t="shared" ref="E242" ca="1" si="256">E243</f>
        <v>45990</v>
      </c>
      <c r="F242" s="15">
        <f ca="1">TIME(RANDBETWEEN(12,22), RANDBETWEEN(0,59), RANDBETWEEN(0,59))</f>
        <v>0.71980324074074076</v>
      </c>
      <c r="G242" s="18" t="s">
        <v>24</v>
      </c>
      <c r="H242" s="55">
        <f t="shared" ca="1" si="205"/>
        <v>45990</v>
      </c>
      <c r="I242" s="20">
        <f t="shared" ca="1" si="206"/>
        <v>0.71980324074074076</v>
      </c>
      <c r="J242" s="55">
        <f t="shared" ca="1" si="207"/>
        <v>45990</v>
      </c>
      <c r="K242" s="20">
        <f t="shared" ca="1" si="208"/>
        <v>0.78025462962962966</v>
      </c>
      <c r="L242" s="19" t="s">
        <v>18</v>
      </c>
      <c r="M242" s="18">
        <v>1004751</v>
      </c>
      <c r="N242" s="49" t="s">
        <v>22</v>
      </c>
      <c r="O242" s="11" t="str" cm="1">
        <f t="array" ref="O242">_xlfn.IFS(N242="FG2020US1", "Ibuprofen Tablets (100 MG)", N242="FG0001SEG", "Metformin Tablets (100 MG)", N242="FG0002SEG", "Metformin Tablets (200 MG)", N242="FG0003SEG", "Metformin Tablets (500 MG)", N242="FG00UDI4", "Aspirin Tablets (500 MG)")</f>
        <v>Ibuprofen Tablets (100 MG)</v>
      </c>
      <c r="P242" s="11">
        <v>4241</v>
      </c>
    </row>
    <row r="243" spans="1:16" x14ac:dyDescent="0.35">
      <c r="A243" s="11">
        <v>40000002742</v>
      </c>
      <c r="B243" s="18">
        <v>1010</v>
      </c>
      <c r="C243" s="19">
        <v>4</v>
      </c>
      <c r="D243" s="2" t="s">
        <v>269</v>
      </c>
      <c r="E243" s="6">
        <f t="shared" ref="E243" ca="1" si="257">E244-1</f>
        <v>45990</v>
      </c>
      <c r="F243" s="15">
        <f ca="1">TIME(RANDBETWEEN(0,10), RANDBETWEEN(0,59), RANDBETWEEN(0,59))</f>
        <v>0.32378472222222221</v>
      </c>
      <c r="G243" s="18" t="s">
        <v>36</v>
      </c>
      <c r="H243" s="55">
        <f t="shared" ca="1" si="205"/>
        <v>45990</v>
      </c>
      <c r="I243" s="20">
        <f t="shared" ca="1" si="206"/>
        <v>0.32378472222222221</v>
      </c>
      <c r="J243" s="55">
        <f t="shared" ca="1" si="207"/>
        <v>45990</v>
      </c>
      <c r="K243" s="20">
        <f t="shared" ca="1" si="208"/>
        <v>0.39655092592592589</v>
      </c>
      <c r="L243" s="19" t="s">
        <v>18</v>
      </c>
      <c r="M243" s="18">
        <v>1004752</v>
      </c>
      <c r="N243" s="49" t="s">
        <v>19</v>
      </c>
      <c r="O243" s="11" t="str" cm="1">
        <f t="array" ref="O243">_xlfn.IFS(N243="FG2020US1", "Ibuprofen Tablets (100 MG)", N243="FG0001SEG", "Metformin Tablets (100 MG)", N243="FG0002SEG", "Metformin Tablets (200 MG)", N243="FG0003SEG", "Metformin Tablets (500 MG)", N243="FG00UDI4", "Aspirin Tablets (500 MG)")</f>
        <v>Metformin Tablets (100 MG)</v>
      </c>
      <c r="P243" s="11">
        <v>4242</v>
      </c>
    </row>
    <row r="244" spans="1:16" x14ac:dyDescent="0.35">
      <c r="A244" s="11">
        <v>40000002743</v>
      </c>
      <c r="B244" s="18">
        <v>1010</v>
      </c>
      <c r="C244" s="19">
        <v>4</v>
      </c>
      <c r="D244" s="2" t="s">
        <v>270</v>
      </c>
      <c r="E244" s="6">
        <f t="shared" ref="E244" ca="1" si="258">E245</f>
        <v>45991</v>
      </c>
      <c r="F244" s="15">
        <f ca="1">TIME(RANDBETWEEN(12,22), RANDBETWEEN(0,59), RANDBETWEEN(0,59))</f>
        <v>0.80314814814814817</v>
      </c>
      <c r="G244" s="18" t="s">
        <v>17</v>
      </c>
      <c r="H244" s="55">
        <f t="shared" ca="1" si="205"/>
        <v>45991</v>
      </c>
      <c r="I244" s="20">
        <f t="shared" ca="1" si="206"/>
        <v>0.80314814814814817</v>
      </c>
      <c r="J244" s="55">
        <f t="shared" ca="1" si="207"/>
        <v>45991</v>
      </c>
      <c r="K244" s="20">
        <f t="shared" ca="1" si="208"/>
        <v>0.86262731481481481</v>
      </c>
      <c r="L244" s="19" t="s">
        <v>18</v>
      </c>
      <c r="M244" s="18">
        <v>1004753</v>
      </c>
      <c r="N244" s="49" t="s">
        <v>34</v>
      </c>
      <c r="O244" s="11" t="str" cm="1">
        <f t="array" ref="O244">_xlfn.IFS(N244="FG2020US1", "Ibuprofen Tablets (100 MG)", N244="FG0001SEG", "Metformin Tablets (100 MG)", N244="FG0002SEG", "Metformin Tablets (200 MG)", N244="FG0003SEG", "Metformin Tablets (500 MG)", N244="FG00UDI4", "Aspirin Tablets (500 MG)")</f>
        <v>Metformin Tablets (200 MG)</v>
      </c>
      <c r="P244" s="11">
        <v>4243</v>
      </c>
    </row>
    <row r="245" spans="1:16" x14ac:dyDescent="0.35">
      <c r="A245" s="11">
        <v>40000002744</v>
      </c>
      <c r="B245" s="18">
        <v>1010</v>
      </c>
      <c r="C245" s="19">
        <v>4</v>
      </c>
      <c r="D245" s="2" t="s">
        <v>271</v>
      </c>
      <c r="E245" s="6">
        <f t="shared" ref="E245" ca="1" si="259">E246-1</f>
        <v>45991</v>
      </c>
      <c r="F245" s="15">
        <f ca="1">TIME(RANDBETWEEN(0,10), RANDBETWEEN(0,59), RANDBETWEEN(0,59))</f>
        <v>0.32582175925925927</v>
      </c>
      <c r="G245" s="18" t="s">
        <v>21</v>
      </c>
      <c r="H245" s="55">
        <f t="shared" ca="1" si="205"/>
        <v>45991</v>
      </c>
      <c r="I245" s="20">
        <f t="shared" ca="1" si="206"/>
        <v>0.32582175925925927</v>
      </c>
      <c r="J245" s="55">
        <f t="shared" ca="1" si="207"/>
        <v>45991</v>
      </c>
      <c r="K245" s="20">
        <f t="shared" ca="1" si="208"/>
        <v>0.38921296296296298</v>
      </c>
      <c r="L245" s="19" t="s">
        <v>18</v>
      </c>
      <c r="M245" s="18">
        <v>1004754</v>
      </c>
      <c r="N245" s="49" t="s">
        <v>27</v>
      </c>
      <c r="O245" s="11" t="str" cm="1">
        <f t="array" ref="O245">_xlfn.IFS(N245="FG2020US1", "Ibuprofen Tablets (100 MG)", N245="FG0001SEG", "Metformin Tablets (100 MG)", N245="FG0002SEG", "Metformin Tablets (200 MG)", N245="FG0003SEG", "Metformin Tablets (500 MG)", N245="FG00UDI4", "Aspirin Tablets (500 MG)")</f>
        <v>Metformin Tablets (500 MG)</v>
      </c>
      <c r="P245" s="11">
        <v>4244</v>
      </c>
    </row>
    <row r="246" spans="1:16" x14ac:dyDescent="0.35">
      <c r="A246" s="11">
        <v>40000002745</v>
      </c>
      <c r="B246" s="18">
        <v>1010</v>
      </c>
      <c r="C246" s="19">
        <v>4</v>
      </c>
      <c r="D246" s="2" t="s">
        <v>272</v>
      </c>
      <c r="E246" s="6">
        <f t="shared" ref="E246" ca="1" si="260">E247</f>
        <v>45992</v>
      </c>
      <c r="F246" s="15">
        <f ca="1">TIME(RANDBETWEEN(12,22), RANDBETWEEN(0,59), RANDBETWEEN(0,59))</f>
        <v>0.94912037037037034</v>
      </c>
      <c r="G246" s="18" t="s">
        <v>30</v>
      </c>
      <c r="H246" s="55">
        <f t="shared" ca="1" si="205"/>
        <v>45992</v>
      </c>
      <c r="I246" s="20">
        <f t="shared" ca="1" si="206"/>
        <v>0.94912037037037034</v>
      </c>
      <c r="J246" s="55">
        <f t="shared" ca="1" si="207"/>
        <v>45992</v>
      </c>
      <c r="K246" s="20">
        <f t="shared" ca="1" si="208"/>
        <v>1.0245138888888889</v>
      </c>
      <c r="L246" s="19" t="s">
        <v>18</v>
      </c>
      <c r="M246" s="18">
        <v>1004755</v>
      </c>
      <c r="N246" s="49" t="s">
        <v>19</v>
      </c>
      <c r="O246" s="11" t="str" cm="1">
        <f t="array" ref="O246">_xlfn.IFS(N246="FG2020US1", "Ibuprofen Tablets (100 MG)", N246="FG0001SEG", "Metformin Tablets (100 MG)", N246="FG0002SEG", "Metformin Tablets (200 MG)", N246="FG0003SEG", "Metformin Tablets (500 MG)", N246="FG00UDI4", "Aspirin Tablets (500 MG)")</f>
        <v>Metformin Tablets (100 MG)</v>
      </c>
      <c r="P246" s="11">
        <v>4245</v>
      </c>
    </row>
    <row r="247" spans="1:16" x14ac:dyDescent="0.35">
      <c r="A247" s="11">
        <v>40000002746</v>
      </c>
      <c r="B247" s="18">
        <v>1010</v>
      </c>
      <c r="C247" s="19">
        <v>4</v>
      </c>
      <c r="D247" s="2" t="s">
        <v>273</v>
      </c>
      <c r="E247" s="6">
        <f t="shared" ref="E247" ca="1" si="261">E248-1</f>
        <v>45992</v>
      </c>
      <c r="F247" s="15">
        <f ca="1">TIME(RANDBETWEEN(0,10), RANDBETWEEN(0,59), RANDBETWEEN(0,59))</f>
        <v>0.28878472222222223</v>
      </c>
      <c r="G247" s="18" t="s">
        <v>36</v>
      </c>
      <c r="H247" s="55">
        <f t="shared" ca="1" si="205"/>
        <v>45992</v>
      </c>
      <c r="I247" s="20">
        <f t="shared" ca="1" si="206"/>
        <v>0.28878472222222223</v>
      </c>
      <c r="J247" s="55">
        <f t="shared" ca="1" si="207"/>
        <v>45992</v>
      </c>
      <c r="K247" s="20">
        <f t="shared" ca="1" si="208"/>
        <v>0.3636342592592593</v>
      </c>
      <c r="L247" s="19" t="s">
        <v>18</v>
      </c>
      <c r="M247" s="18">
        <v>1004756</v>
      </c>
      <c r="N247" s="49" t="s">
        <v>22</v>
      </c>
      <c r="O247" s="11" t="str" cm="1">
        <f t="array" ref="O247">_xlfn.IFS(N247="FG2020US1", "Ibuprofen Tablets (100 MG)", N247="FG0001SEG", "Metformin Tablets (100 MG)", N247="FG0002SEG", "Metformin Tablets (200 MG)", N247="FG0003SEG", "Metformin Tablets (500 MG)", N247="FG00UDI4", "Aspirin Tablets (500 MG)")</f>
        <v>Ibuprofen Tablets (100 MG)</v>
      </c>
      <c r="P247" s="11">
        <v>4246</v>
      </c>
    </row>
    <row r="248" spans="1:16" x14ac:dyDescent="0.35">
      <c r="A248" s="11">
        <v>40000002747</v>
      </c>
      <c r="B248" s="18">
        <v>1010</v>
      </c>
      <c r="C248" s="19">
        <v>4</v>
      </c>
      <c r="D248" s="2" t="s">
        <v>274</v>
      </c>
      <c r="E248" s="6">
        <f t="shared" ref="E248" ca="1" si="262">E249</f>
        <v>45993</v>
      </c>
      <c r="F248" s="15">
        <f ca="1">TIME(RANDBETWEEN(12,22), RANDBETWEEN(0,59), RANDBETWEEN(0,59))</f>
        <v>0.55903935185185183</v>
      </c>
      <c r="G248" s="18" t="s">
        <v>30</v>
      </c>
      <c r="H248" s="55">
        <f t="shared" ca="1" si="205"/>
        <v>45993</v>
      </c>
      <c r="I248" s="20">
        <f t="shared" ca="1" si="206"/>
        <v>0.55903935185185183</v>
      </c>
      <c r="J248" s="55">
        <f t="shared" ca="1" si="207"/>
        <v>45993</v>
      </c>
      <c r="K248" s="20">
        <f t="shared" ca="1" si="208"/>
        <v>0.62825231481481481</v>
      </c>
      <c r="L248" s="19" t="s">
        <v>18</v>
      </c>
      <c r="M248" s="18">
        <v>1004757</v>
      </c>
      <c r="N248" s="49" t="s">
        <v>31</v>
      </c>
      <c r="O248" s="11" t="str" cm="1">
        <f t="array" ref="O248">_xlfn.IFS(N248="FG2020US1", "Ibuprofen Tablets (100 MG)", N248="FG0001SEG", "Metformin Tablets (100 MG)", N248="FG0002SEG", "Metformin Tablets (200 MG)", N248="FG0003SEG", "Metformin Tablets (500 MG)", N248="FG00UDI4", "Aspirin Tablets (500 MG)")</f>
        <v>Aspirin Tablets (500 MG)</v>
      </c>
      <c r="P248" s="11">
        <v>4247</v>
      </c>
    </row>
    <row r="249" spans="1:16" x14ac:dyDescent="0.35">
      <c r="A249" s="11">
        <v>40000002748</v>
      </c>
      <c r="B249" s="18">
        <v>1010</v>
      </c>
      <c r="C249" s="19">
        <v>4</v>
      </c>
      <c r="D249" s="2" t="s">
        <v>275</v>
      </c>
      <c r="E249" s="6">
        <f t="shared" ref="E249" ca="1" si="263">E250-1</f>
        <v>45993</v>
      </c>
      <c r="F249" s="15">
        <f ca="1">TIME(RANDBETWEEN(0,10), RANDBETWEEN(0,59), RANDBETWEEN(0,59))</f>
        <v>0.39077546296296295</v>
      </c>
      <c r="G249" s="18" t="s">
        <v>36</v>
      </c>
      <c r="H249" s="55">
        <f t="shared" ca="1" si="205"/>
        <v>45993</v>
      </c>
      <c r="I249" s="20">
        <f t="shared" ca="1" si="206"/>
        <v>0.39077546296296295</v>
      </c>
      <c r="J249" s="55">
        <f t="shared" ca="1" si="207"/>
        <v>45993</v>
      </c>
      <c r="K249" s="20">
        <f t="shared" ca="1" si="208"/>
        <v>0.45831018518518518</v>
      </c>
      <c r="L249" s="19" t="s">
        <v>18</v>
      </c>
      <c r="M249" s="18">
        <v>1004758</v>
      </c>
      <c r="N249" s="49" t="s">
        <v>31</v>
      </c>
      <c r="O249" s="11" t="str" cm="1">
        <f t="array" ref="O249">_xlfn.IFS(N249="FG2020US1", "Ibuprofen Tablets (100 MG)", N249="FG0001SEG", "Metformin Tablets (100 MG)", N249="FG0002SEG", "Metformin Tablets (200 MG)", N249="FG0003SEG", "Metformin Tablets (500 MG)", N249="FG00UDI4", "Aspirin Tablets (500 MG)")</f>
        <v>Aspirin Tablets (500 MG)</v>
      </c>
      <c r="P249" s="11">
        <v>4248</v>
      </c>
    </row>
    <row r="250" spans="1:16" x14ac:dyDescent="0.35">
      <c r="A250" s="11">
        <v>40000002749</v>
      </c>
      <c r="B250" s="18">
        <v>1010</v>
      </c>
      <c r="C250" s="19">
        <v>4</v>
      </c>
      <c r="D250" s="2" t="s">
        <v>276</v>
      </c>
      <c r="E250" s="6">
        <f t="shared" ref="E250" ca="1" si="264">E251</f>
        <v>45994</v>
      </c>
      <c r="F250" s="15">
        <f ca="1">TIME(RANDBETWEEN(12,22), RANDBETWEEN(0,59), RANDBETWEEN(0,59))</f>
        <v>0.86365740740740737</v>
      </c>
      <c r="G250" s="18" t="s">
        <v>24</v>
      </c>
      <c r="H250" s="55">
        <f t="shared" ca="1" si="205"/>
        <v>45994</v>
      </c>
      <c r="I250" s="20">
        <f t="shared" ca="1" si="206"/>
        <v>0.86365740740740737</v>
      </c>
      <c r="J250" s="55">
        <f t="shared" ca="1" si="207"/>
        <v>45994</v>
      </c>
      <c r="K250" s="20">
        <f t="shared" ca="1" si="208"/>
        <v>0.9288425925925925</v>
      </c>
      <c r="L250" s="19" t="s">
        <v>18</v>
      </c>
      <c r="M250" s="18">
        <v>1004759</v>
      </c>
      <c r="N250" s="49" t="s">
        <v>31</v>
      </c>
      <c r="O250" s="11" t="str" cm="1">
        <f t="array" ref="O250">_xlfn.IFS(N250="FG2020US1", "Ibuprofen Tablets (100 MG)", N250="FG0001SEG", "Metformin Tablets (100 MG)", N250="FG0002SEG", "Metformin Tablets (200 MG)", N250="FG0003SEG", "Metformin Tablets (500 MG)", N250="FG00UDI4", "Aspirin Tablets (500 MG)")</f>
        <v>Aspirin Tablets (500 MG)</v>
      </c>
      <c r="P250" s="11">
        <v>4249</v>
      </c>
    </row>
    <row r="251" spans="1:16" x14ac:dyDescent="0.35">
      <c r="A251" s="11">
        <v>40000002750</v>
      </c>
      <c r="B251" s="18">
        <v>1010</v>
      </c>
      <c r="C251" s="19">
        <v>4</v>
      </c>
      <c r="D251" s="2" t="s">
        <v>277</v>
      </c>
      <c r="E251" s="6">
        <f t="shared" ref="E251" ca="1" si="265">E252-1</f>
        <v>45994</v>
      </c>
      <c r="F251" s="15">
        <f ca="1">TIME(RANDBETWEEN(0,10), RANDBETWEEN(0,59), RANDBETWEEN(0,59))</f>
        <v>0.32560185185185186</v>
      </c>
      <c r="G251" s="18" t="s">
        <v>36</v>
      </c>
      <c r="H251" s="55">
        <f t="shared" ca="1" si="205"/>
        <v>45994</v>
      </c>
      <c r="I251" s="20">
        <f t="shared" ca="1" si="206"/>
        <v>0.32560185185185186</v>
      </c>
      <c r="J251" s="55">
        <f t="shared" ca="1" si="207"/>
        <v>45994</v>
      </c>
      <c r="K251" s="20">
        <f t="shared" ca="1" si="208"/>
        <v>0.39780092592592592</v>
      </c>
      <c r="L251" s="19" t="s">
        <v>18</v>
      </c>
      <c r="M251" s="18">
        <v>1004760</v>
      </c>
      <c r="N251" s="49" t="s">
        <v>27</v>
      </c>
      <c r="O251" s="11" t="str" cm="1">
        <f t="array" ref="O251">_xlfn.IFS(N251="FG2020US1", "Ibuprofen Tablets (100 MG)", N251="FG0001SEG", "Metformin Tablets (100 MG)", N251="FG0002SEG", "Metformin Tablets (200 MG)", N251="FG0003SEG", "Metformin Tablets (500 MG)", N251="FG00UDI4", "Aspirin Tablets (500 MG)")</f>
        <v>Metformin Tablets (500 MG)</v>
      </c>
      <c r="P251" s="11">
        <v>4250</v>
      </c>
    </row>
    <row r="252" spans="1:16" x14ac:dyDescent="0.35">
      <c r="A252" s="11">
        <v>40000002751</v>
      </c>
      <c r="B252" s="18">
        <v>1010</v>
      </c>
      <c r="C252" s="19">
        <v>4</v>
      </c>
      <c r="D252" s="2" t="s">
        <v>278</v>
      </c>
      <c r="E252" s="6">
        <f t="shared" ref="E252" ca="1" si="266">E253</f>
        <v>45995</v>
      </c>
      <c r="F252" s="15">
        <f ca="1">TIME(RANDBETWEEN(12,22), RANDBETWEEN(0,59), RANDBETWEEN(0,59))</f>
        <v>0.8976736111111111</v>
      </c>
      <c r="G252" s="18" t="s">
        <v>17</v>
      </c>
      <c r="H252" s="55">
        <f t="shared" ca="1" si="205"/>
        <v>45995</v>
      </c>
      <c r="I252" s="20">
        <f t="shared" ca="1" si="206"/>
        <v>0.8976736111111111</v>
      </c>
      <c r="J252" s="55">
        <f t="shared" ca="1" si="207"/>
        <v>45995</v>
      </c>
      <c r="K252" s="20">
        <f t="shared" ca="1" si="208"/>
        <v>0.96901620370370367</v>
      </c>
      <c r="L252" s="19" t="s">
        <v>18</v>
      </c>
      <c r="M252" s="18">
        <v>1004761</v>
      </c>
      <c r="N252" s="49" t="s">
        <v>19</v>
      </c>
      <c r="O252" s="11" t="str" cm="1">
        <f t="array" ref="O252">_xlfn.IFS(N252="FG2020US1", "Ibuprofen Tablets (100 MG)", N252="FG0001SEG", "Metformin Tablets (100 MG)", N252="FG0002SEG", "Metformin Tablets (200 MG)", N252="FG0003SEG", "Metformin Tablets (500 MG)", N252="FG00UDI4", "Aspirin Tablets (500 MG)")</f>
        <v>Metformin Tablets (100 MG)</v>
      </c>
      <c r="P252" s="11">
        <v>4251</v>
      </c>
    </row>
    <row r="253" spans="1:16" x14ac:dyDescent="0.35">
      <c r="A253" s="11">
        <v>40000002752</v>
      </c>
      <c r="B253" s="18">
        <v>1010</v>
      </c>
      <c r="C253" s="19">
        <v>4</v>
      </c>
      <c r="D253" s="2" t="s">
        <v>279</v>
      </c>
      <c r="E253" s="6">
        <f t="shared" ref="E253" ca="1" si="267">E254-1</f>
        <v>45995</v>
      </c>
      <c r="F253" s="15">
        <f ca="1">TIME(RANDBETWEEN(0,10), RANDBETWEEN(0,59), RANDBETWEEN(0,59))</f>
        <v>0.43702546296296296</v>
      </c>
      <c r="G253" s="18" t="s">
        <v>39</v>
      </c>
      <c r="H253" s="55">
        <f t="shared" ca="1" si="205"/>
        <v>45995</v>
      </c>
      <c r="I253" s="20">
        <f t="shared" ca="1" si="206"/>
        <v>0.43702546296296296</v>
      </c>
      <c r="J253" s="55">
        <f t="shared" ca="1" si="207"/>
        <v>45995</v>
      </c>
      <c r="K253" s="20">
        <f t="shared" ca="1" si="208"/>
        <v>0.50744212962962965</v>
      </c>
      <c r="L253" s="19" t="s">
        <v>18</v>
      </c>
      <c r="M253" s="18">
        <v>1004762</v>
      </c>
      <c r="N253" s="49" t="s">
        <v>31</v>
      </c>
      <c r="O253" s="11" t="str" cm="1">
        <f t="array" ref="O253">_xlfn.IFS(N253="FG2020US1", "Ibuprofen Tablets (100 MG)", N253="FG0001SEG", "Metformin Tablets (100 MG)", N253="FG0002SEG", "Metformin Tablets (200 MG)", N253="FG0003SEG", "Metformin Tablets (500 MG)", N253="FG00UDI4", "Aspirin Tablets (500 MG)")</f>
        <v>Aspirin Tablets (500 MG)</v>
      </c>
      <c r="P253" s="11">
        <v>4252</v>
      </c>
    </row>
    <row r="254" spans="1:16" x14ac:dyDescent="0.35">
      <c r="A254" s="11">
        <v>40000002753</v>
      </c>
      <c r="B254" s="18">
        <v>1010</v>
      </c>
      <c r="C254" s="19">
        <v>4</v>
      </c>
      <c r="D254" s="2" t="s">
        <v>280</v>
      </c>
      <c r="E254" s="6">
        <f t="shared" ref="E254" ca="1" si="268">E255</f>
        <v>45996</v>
      </c>
      <c r="F254" s="15">
        <f ca="1">TIME(RANDBETWEEN(12,22), RANDBETWEEN(0,59), RANDBETWEEN(0,59))</f>
        <v>0.82469907407407406</v>
      </c>
      <c r="G254" s="18" t="s">
        <v>24</v>
      </c>
      <c r="H254" s="55">
        <f t="shared" ca="1" si="205"/>
        <v>45996</v>
      </c>
      <c r="I254" s="20">
        <f t="shared" ca="1" si="206"/>
        <v>0.82469907407407406</v>
      </c>
      <c r="J254" s="55">
        <f t="shared" ca="1" si="207"/>
        <v>45996</v>
      </c>
      <c r="K254" s="20">
        <f t="shared" ca="1" si="208"/>
        <v>0.89394675925925926</v>
      </c>
      <c r="L254" s="19" t="s">
        <v>18</v>
      </c>
      <c r="M254" s="18">
        <v>1004763</v>
      </c>
      <c r="N254" s="49" t="s">
        <v>34</v>
      </c>
      <c r="O254" s="11" t="str" cm="1">
        <f t="array" ref="O254">_xlfn.IFS(N254="FG2020US1", "Ibuprofen Tablets (100 MG)", N254="FG0001SEG", "Metformin Tablets (100 MG)", N254="FG0002SEG", "Metformin Tablets (200 MG)", N254="FG0003SEG", "Metformin Tablets (500 MG)", N254="FG00UDI4", "Aspirin Tablets (500 MG)")</f>
        <v>Metformin Tablets (200 MG)</v>
      </c>
      <c r="P254" s="11">
        <v>4253</v>
      </c>
    </row>
    <row r="255" spans="1:16" x14ac:dyDescent="0.35">
      <c r="A255" s="11">
        <v>40000002754</v>
      </c>
      <c r="B255" s="18">
        <v>1010</v>
      </c>
      <c r="C255" s="19">
        <v>4</v>
      </c>
      <c r="D255" s="2" t="s">
        <v>281</v>
      </c>
      <c r="E255" s="6">
        <f t="shared" ref="E255" ca="1" si="269">E256-1</f>
        <v>45996</v>
      </c>
      <c r="F255" s="15">
        <f ca="1">TIME(RANDBETWEEN(0,10), RANDBETWEEN(0,59), RANDBETWEEN(0,59))</f>
        <v>0.15765046296296295</v>
      </c>
      <c r="G255" s="18" t="s">
        <v>21</v>
      </c>
      <c r="H255" s="55">
        <f t="shared" ca="1" si="205"/>
        <v>45996</v>
      </c>
      <c r="I255" s="20">
        <f t="shared" ca="1" si="206"/>
        <v>0.15765046296296295</v>
      </c>
      <c r="J255" s="55">
        <f t="shared" ca="1" si="207"/>
        <v>45996</v>
      </c>
      <c r="K255" s="20">
        <f t="shared" ca="1" si="208"/>
        <v>0.22982638888888887</v>
      </c>
      <c r="L255" s="19" t="s">
        <v>18</v>
      </c>
      <c r="M255" s="18">
        <v>1004764</v>
      </c>
      <c r="N255" s="49" t="s">
        <v>19</v>
      </c>
      <c r="O255" s="11" t="str" cm="1">
        <f t="array" ref="O255">_xlfn.IFS(N255="FG2020US1", "Ibuprofen Tablets (100 MG)", N255="FG0001SEG", "Metformin Tablets (100 MG)", N255="FG0002SEG", "Metformin Tablets (200 MG)", N255="FG0003SEG", "Metformin Tablets (500 MG)", N255="FG00UDI4", "Aspirin Tablets (500 MG)")</f>
        <v>Metformin Tablets (100 MG)</v>
      </c>
      <c r="P255" s="11">
        <v>4254</v>
      </c>
    </row>
    <row r="256" spans="1:16" x14ac:dyDescent="0.35">
      <c r="A256" s="11">
        <v>40000002755</v>
      </c>
      <c r="B256" s="18">
        <v>1010</v>
      </c>
      <c r="C256" s="19">
        <v>4</v>
      </c>
      <c r="D256" s="2" t="s">
        <v>282</v>
      </c>
      <c r="E256" s="6">
        <f t="shared" ref="E256" ca="1" si="270">E257</f>
        <v>45997</v>
      </c>
      <c r="F256" s="15">
        <f ca="1">TIME(RANDBETWEEN(12,22), RANDBETWEEN(0,59), RANDBETWEEN(0,59))</f>
        <v>0.88421296296296292</v>
      </c>
      <c r="G256" s="18" t="s">
        <v>17</v>
      </c>
      <c r="H256" s="55">
        <f t="shared" ca="1" si="205"/>
        <v>45997</v>
      </c>
      <c r="I256" s="20">
        <f t="shared" ca="1" si="206"/>
        <v>0.88421296296296292</v>
      </c>
      <c r="J256" s="55">
        <f t="shared" ca="1" si="207"/>
        <v>45997</v>
      </c>
      <c r="K256" s="20">
        <f t="shared" ca="1" si="208"/>
        <v>0.94618055555555547</v>
      </c>
      <c r="L256" s="19" t="s">
        <v>18</v>
      </c>
      <c r="M256" s="18">
        <v>1004765</v>
      </c>
      <c r="N256" s="49" t="s">
        <v>27</v>
      </c>
      <c r="O256" s="11" t="str" cm="1">
        <f t="array" ref="O256">_xlfn.IFS(N256="FG2020US1", "Ibuprofen Tablets (100 MG)", N256="FG0001SEG", "Metformin Tablets (100 MG)", N256="FG0002SEG", "Metformin Tablets (200 MG)", N256="FG0003SEG", "Metformin Tablets (500 MG)", N256="FG00UDI4", "Aspirin Tablets (500 MG)")</f>
        <v>Metformin Tablets (500 MG)</v>
      </c>
      <c r="P256" s="11">
        <v>4255</v>
      </c>
    </row>
    <row r="257" spans="1:16" x14ac:dyDescent="0.35">
      <c r="A257" s="11">
        <v>40000002756</v>
      </c>
      <c r="B257" s="18">
        <v>1010</v>
      </c>
      <c r="C257" s="19">
        <v>4</v>
      </c>
      <c r="D257" s="2" t="s">
        <v>283</v>
      </c>
      <c r="E257" s="6">
        <f t="shared" ref="E257" ca="1" si="271">E258-1</f>
        <v>45997</v>
      </c>
      <c r="F257" s="15">
        <f ca="1">TIME(RANDBETWEEN(0,10), RANDBETWEEN(0,59), RANDBETWEEN(0,59))</f>
        <v>0.28914351851851849</v>
      </c>
      <c r="G257" s="18" t="s">
        <v>21</v>
      </c>
      <c r="H257" s="55">
        <f t="shared" ca="1" si="205"/>
        <v>45997</v>
      </c>
      <c r="I257" s="20">
        <f t="shared" ca="1" si="206"/>
        <v>0.28914351851851849</v>
      </c>
      <c r="J257" s="55">
        <f t="shared" ca="1" si="207"/>
        <v>45997</v>
      </c>
      <c r="K257" s="20">
        <f t="shared" ca="1" si="208"/>
        <v>0.35832175925925924</v>
      </c>
      <c r="L257" s="19" t="s">
        <v>18</v>
      </c>
      <c r="M257" s="18">
        <v>1004766</v>
      </c>
      <c r="N257" s="49" t="s">
        <v>31</v>
      </c>
      <c r="O257" s="11" t="str" cm="1">
        <f t="array" ref="O257">_xlfn.IFS(N257="FG2020US1", "Ibuprofen Tablets (100 MG)", N257="FG0001SEG", "Metformin Tablets (100 MG)", N257="FG0002SEG", "Metformin Tablets (200 MG)", N257="FG0003SEG", "Metformin Tablets (500 MG)", N257="FG00UDI4", "Aspirin Tablets (500 MG)")</f>
        <v>Aspirin Tablets (500 MG)</v>
      </c>
      <c r="P257" s="11">
        <v>4256</v>
      </c>
    </row>
    <row r="258" spans="1:16" x14ac:dyDescent="0.35">
      <c r="A258" s="11">
        <v>40000002757</v>
      </c>
      <c r="B258" s="18">
        <v>1010</v>
      </c>
      <c r="C258" s="19">
        <v>4</v>
      </c>
      <c r="D258" s="2" t="s">
        <v>284</v>
      </c>
      <c r="E258" s="6">
        <f t="shared" ref="E258" ca="1" si="272">E259</f>
        <v>45998</v>
      </c>
      <c r="F258" s="15">
        <f ca="1">TIME(RANDBETWEEN(12,22), RANDBETWEEN(0,59), RANDBETWEEN(0,59))</f>
        <v>0.55094907407407412</v>
      </c>
      <c r="G258" s="18" t="s">
        <v>30</v>
      </c>
      <c r="H258" s="55">
        <f t="shared" ref="H258:H321" ca="1" si="273">E258</f>
        <v>45998</v>
      </c>
      <c r="I258" s="20">
        <f t="shared" ref="I258:I321" ca="1" si="274">F258</f>
        <v>0.55094907407407412</v>
      </c>
      <c r="J258" s="55">
        <f t="shared" ref="J258:J321" ca="1" si="275">E258</f>
        <v>45998</v>
      </c>
      <c r="K258" s="20">
        <f t="shared" ref="K258:K321" ca="1" si="276">I258+TIME(1,RANDBETWEEN(25,50),RANDBETWEEN(0,59))</f>
        <v>0.61099537037037044</v>
      </c>
      <c r="L258" s="19" t="s">
        <v>18</v>
      </c>
      <c r="M258" s="18">
        <v>1004767</v>
      </c>
      <c r="N258" s="49" t="s">
        <v>22</v>
      </c>
      <c r="O258" s="11" t="str" cm="1">
        <f t="array" ref="O258">_xlfn.IFS(N258="FG2020US1", "Ibuprofen Tablets (100 MG)", N258="FG0001SEG", "Metformin Tablets (100 MG)", N258="FG0002SEG", "Metformin Tablets (200 MG)", N258="FG0003SEG", "Metformin Tablets (500 MG)", N258="FG00UDI4", "Aspirin Tablets (500 MG)")</f>
        <v>Ibuprofen Tablets (100 MG)</v>
      </c>
      <c r="P258" s="11">
        <v>4257</v>
      </c>
    </row>
    <row r="259" spans="1:16" x14ac:dyDescent="0.35">
      <c r="A259" s="11">
        <v>40000002758</v>
      </c>
      <c r="B259" s="18">
        <v>1010</v>
      </c>
      <c r="C259" s="19">
        <v>4</v>
      </c>
      <c r="D259" s="2" t="s">
        <v>285</v>
      </c>
      <c r="E259" s="6">
        <f t="shared" ref="E259" ca="1" si="277">E260-1</f>
        <v>45998</v>
      </c>
      <c r="F259" s="15">
        <f ca="1">TIME(RANDBETWEEN(0,10), RANDBETWEEN(0,59), RANDBETWEEN(0,59))</f>
        <v>0.34641203703703705</v>
      </c>
      <c r="G259" s="18" t="s">
        <v>39</v>
      </c>
      <c r="H259" s="55">
        <f t="shared" ca="1" si="273"/>
        <v>45998</v>
      </c>
      <c r="I259" s="20">
        <f t="shared" ca="1" si="274"/>
        <v>0.34641203703703705</v>
      </c>
      <c r="J259" s="55">
        <f t="shared" ca="1" si="275"/>
        <v>45998</v>
      </c>
      <c r="K259" s="20">
        <f t="shared" ca="1" si="276"/>
        <v>0.41965277777777776</v>
      </c>
      <c r="L259" s="19" t="s">
        <v>18</v>
      </c>
      <c r="M259" s="18">
        <v>1004768</v>
      </c>
      <c r="N259" s="49" t="s">
        <v>27</v>
      </c>
      <c r="O259" s="11" t="str" cm="1">
        <f t="array" ref="O259">_xlfn.IFS(N259="FG2020US1", "Ibuprofen Tablets (100 MG)", N259="FG0001SEG", "Metformin Tablets (100 MG)", N259="FG0002SEG", "Metformin Tablets (200 MG)", N259="FG0003SEG", "Metformin Tablets (500 MG)", N259="FG00UDI4", "Aspirin Tablets (500 MG)")</f>
        <v>Metformin Tablets (500 MG)</v>
      </c>
      <c r="P259" s="11">
        <v>4258</v>
      </c>
    </row>
    <row r="260" spans="1:16" x14ac:dyDescent="0.35">
      <c r="A260" s="11">
        <v>40000002759</v>
      </c>
      <c r="B260" s="18">
        <v>1010</v>
      </c>
      <c r="C260" s="19">
        <v>4</v>
      </c>
      <c r="D260" s="2" t="s">
        <v>286</v>
      </c>
      <c r="E260" s="6">
        <f t="shared" ref="E260" ca="1" si="278">E261</f>
        <v>45999</v>
      </c>
      <c r="F260" s="15">
        <f ca="1">TIME(RANDBETWEEN(12,22), RANDBETWEEN(0,59), RANDBETWEEN(0,59))</f>
        <v>0.57579861111111108</v>
      </c>
      <c r="G260" s="18" t="s">
        <v>30</v>
      </c>
      <c r="H260" s="55">
        <f t="shared" ca="1" si="273"/>
        <v>45999</v>
      </c>
      <c r="I260" s="20">
        <f t="shared" ca="1" si="274"/>
        <v>0.57579861111111108</v>
      </c>
      <c r="J260" s="55">
        <f t="shared" ca="1" si="275"/>
        <v>45999</v>
      </c>
      <c r="K260" s="20">
        <f t="shared" ca="1" si="276"/>
        <v>0.65159722222222216</v>
      </c>
      <c r="L260" s="19" t="s">
        <v>18</v>
      </c>
      <c r="M260" s="18">
        <v>1004769</v>
      </c>
      <c r="N260" s="49" t="s">
        <v>27</v>
      </c>
      <c r="O260" s="11" t="str" cm="1">
        <f t="array" ref="O260">_xlfn.IFS(N260="FG2020US1", "Ibuprofen Tablets (100 MG)", N260="FG0001SEG", "Metformin Tablets (100 MG)", N260="FG0002SEG", "Metformin Tablets (200 MG)", N260="FG0003SEG", "Metformin Tablets (500 MG)", N260="FG00UDI4", "Aspirin Tablets (500 MG)")</f>
        <v>Metformin Tablets (500 MG)</v>
      </c>
      <c r="P260" s="11">
        <v>4259</v>
      </c>
    </row>
    <row r="261" spans="1:16" x14ac:dyDescent="0.35">
      <c r="A261" s="11">
        <v>40000002760</v>
      </c>
      <c r="B261" s="18">
        <v>1010</v>
      </c>
      <c r="C261" s="19">
        <v>4</v>
      </c>
      <c r="D261" s="2" t="s">
        <v>287</v>
      </c>
      <c r="E261" s="6">
        <f t="shared" ref="E261" ca="1" si="279">E262-1</f>
        <v>45999</v>
      </c>
      <c r="F261" s="15">
        <f ca="1">TIME(RANDBETWEEN(0,10), RANDBETWEEN(0,59), RANDBETWEEN(0,59))</f>
        <v>7.7638888888888882E-2</v>
      </c>
      <c r="G261" s="18" t="s">
        <v>39</v>
      </c>
      <c r="H261" s="55">
        <f t="shared" ca="1" si="273"/>
        <v>45999</v>
      </c>
      <c r="I261" s="20">
        <f t="shared" ca="1" si="274"/>
        <v>7.7638888888888882E-2</v>
      </c>
      <c r="J261" s="55">
        <f t="shared" ca="1" si="275"/>
        <v>45999</v>
      </c>
      <c r="K261" s="20">
        <f t="shared" ca="1" si="276"/>
        <v>0.14120370370370369</v>
      </c>
      <c r="L261" s="19" t="s">
        <v>18</v>
      </c>
      <c r="M261" s="18">
        <v>1004770</v>
      </c>
      <c r="N261" s="49" t="s">
        <v>22</v>
      </c>
      <c r="O261" s="11" t="str" cm="1">
        <f t="array" ref="O261">_xlfn.IFS(N261="FG2020US1", "Ibuprofen Tablets (100 MG)", N261="FG0001SEG", "Metformin Tablets (100 MG)", N261="FG0002SEG", "Metformin Tablets (200 MG)", N261="FG0003SEG", "Metformin Tablets (500 MG)", N261="FG00UDI4", "Aspirin Tablets (500 MG)")</f>
        <v>Ibuprofen Tablets (100 MG)</v>
      </c>
      <c r="P261" s="11">
        <v>4260</v>
      </c>
    </row>
    <row r="262" spans="1:16" x14ac:dyDescent="0.35">
      <c r="A262" s="11">
        <v>40000002761</v>
      </c>
      <c r="B262" s="18">
        <v>1010</v>
      </c>
      <c r="C262" s="19">
        <v>4</v>
      </c>
      <c r="D262" s="2" t="s">
        <v>288</v>
      </c>
      <c r="E262" s="6">
        <f t="shared" ref="E262" ca="1" si="280">E263</f>
        <v>46000</v>
      </c>
      <c r="F262" s="15">
        <f ca="1">TIME(RANDBETWEEN(12,22), RANDBETWEEN(0,59), RANDBETWEEN(0,59))</f>
        <v>0.55664351851851857</v>
      </c>
      <c r="G262" s="18" t="s">
        <v>30</v>
      </c>
      <c r="H262" s="55">
        <f t="shared" ca="1" si="273"/>
        <v>46000</v>
      </c>
      <c r="I262" s="20">
        <f t="shared" ca="1" si="274"/>
        <v>0.55664351851851857</v>
      </c>
      <c r="J262" s="55">
        <f t="shared" ca="1" si="275"/>
        <v>46000</v>
      </c>
      <c r="K262" s="20">
        <f t="shared" ca="1" si="276"/>
        <v>0.63081018518518528</v>
      </c>
      <c r="L262" s="19" t="s">
        <v>18</v>
      </c>
      <c r="M262" s="18">
        <v>1004771</v>
      </c>
      <c r="N262" s="49" t="s">
        <v>31</v>
      </c>
      <c r="O262" s="11" t="str" cm="1">
        <f t="array" ref="O262">_xlfn.IFS(N262="FG2020US1", "Ibuprofen Tablets (100 MG)", N262="FG0001SEG", "Metformin Tablets (100 MG)", N262="FG0002SEG", "Metformin Tablets (200 MG)", N262="FG0003SEG", "Metformin Tablets (500 MG)", N262="FG00UDI4", "Aspirin Tablets (500 MG)")</f>
        <v>Aspirin Tablets (500 MG)</v>
      </c>
      <c r="P262" s="11">
        <v>4261</v>
      </c>
    </row>
    <row r="263" spans="1:16" x14ac:dyDescent="0.35">
      <c r="A263" s="11">
        <v>40000002762</v>
      </c>
      <c r="B263" s="18">
        <v>1010</v>
      </c>
      <c r="C263" s="19">
        <v>4</v>
      </c>
      <c r="D263" s="2" t="s">
        <v>289</v>
      </c>
      <c r="E263" s="6">
        <f t="shared" ref="E263" ca="1" si="281">E264-1</f>
        <v>46000</v>
      </c>
      <c r="F263" s="15">
        <f ca="1">TIME(RANDBETWEEN(0,10), RANDBETWEEN(0,59), RANDBETWEEN(0,59))</f>
        <v>0.40697916666666667</v>
      </c>
      <c r="G263" s="18" t="s">
        <v>21</v>
      </c>
      <c r="H263" s="55">
        <f t="shared" ca="1" si="273"/>
        <v>46000</v>
      </c>
      <c r="I263" s="20">
        <f t="shared" ca="1" si="274"/>
        <v>0.40697916666666667</v>
      </c>
      <c r="J263" s="55">
        <f t="shared" ca="1" si="275"/>
        <v>46000</v>
      </c>
      <c r="K263" s="20">
        <f t="shared" ca="1" si="276"/>
        <v>0.47390046296296295</v>
      </c>
      <c r="L263" s="19" t="s">
        <v>18</v>
      </c>
      <c r="M263" s="18">
        <v>1004772</v>
      </c>
      <c r="N263" s="49" t="s">
        <v>27</v>
      </c>
      <c r="O263" s="11" t="str" cm="1">
        <f t="array" ref="O263">_xlfn.IFS(N263="FG2020US1", "Ibuprofen Tablets (100 MG)", N263="FG0001SEG", "Metformin Tablets (100 MG)", N263="FG0002SEG", "Metformin Tablets (200 MG)", N263="FG0003SEG", "Metformin Tablets (500 MG)", N263="FG00UDI4", "Aspirin Tablets (500 MG)")</f>
        <v>Metformin Tablets (500 MG)</v>
      </c>
      <c r="P263" s="11">
        <v>4262</v>
      </c>
    </row>
    <row r="264" spans="1:16" x14ac:dyDescent="0.35">
      <c r="A264" s="11">
        <v>40000002763</v>
      </c>
      <c r="B264" s="18">
        <v>1010</v>
      </c>
      <c r="C264" s="19">
        <v>4</v>
      </c>
      <c r="D264" s="2" t="s">
        <v>290</v>
      </c>
      <c r="E264" s="6">
        <f t="shared" ref="E264" ca="1" si="282">E265</f>
        <v>46001</v>
      </c>
      <c r="F264" s="15">
        <f ca="1">TIME(RANDBETWEEN(12,22), RANDBETWEEN(0,59), RANDBETWEEN(0,59))</f>
        <v>0.67873842592592593</v>
      </c>
      <c r="G264" s="18" t="s">
        <v>24</v>
      </c>
      <c r="H264" s="55">
        <f t="shared" ca="1" si="273"/>
        <v>46001</v>
      </c>
      <c r="I264" s="20">
        <f t="shared" ca="1" si="274"/>
        <v>0.67873842592592593</v>
      </c>
      <c r="J264" s="55">
        <f t="shared" ca="1" si="275"/>
        <v>46001</v>
      </c>
      <c r="K264" s="20">
        <f t="shared" ca="1" si="276"/>
        <v>0.74777777777777776</v>
      </c>
      <c r="L264" s="19" t="s">
        <v>18</v>
      </c>
      <c r="M264" s="18">
        <v>1004773</v>
      </c>
      <c r="N264" s="49" t="s">
        <v>22</v>
      </c>
      <c r="O264" s="11" t="str" cm="1">
        <f t="array" ref="O264">_xlfn.IFS(N264="FG2020US1", "Ibuprofen Tablets (100 MG)", N264="FG0001SEG", "Metformin Tablets (100 MG)", N264="FG0002SEG", "Metformin Tablets (200 MG)", N264="FG0003SEG", "Metformin Tablets (500 MG)", N264="FG00UDI4", "Aspirin Tablets (500 MG)")</f>
        <v>Ibuprofen Tablets (100 MG)</v>
      </c>
      <c r="P264" s="11">
        <v>4263</v>
      </c>
    </row>
    <row r="265" spans="1:16" x14ac:dyDescent="0.35">
      <c r="A265" s="11">
        <v>40000002764</v>
      </c>
      <c r="B265" s="18">
        <v>1010</v>
      </c>
      <c r="C265" s="19">
        <v>4</v>
      </c>
      <c r="D265" s="2" t="s">
        <v>291</v>
      </c>
      <c r="E265" s="6">
        <f t="shared" ref="E265" ca="1" si="283">E266-1</f>
        <v>46001</v>
      </c>
      <c r="F265" s="15">
        <f ca="1">TIME(RANDBETWEEN(0,10), RANDBETWEEN(0,59), RANDBETWEEN(0,59))</f>
        <v>2.7025462962962963E-2</v>
      </c>
      <c r="G265" s="18" t="s">
        <v>39</v>
      </c>
      <c r="H265" s="55">
        <f t="shared" ca="1" si="273"/>
        <v>46001</v>
      </c>
      <c r="I265" s="20">
        <f t="shared" ca="1" si="274"/>
        <v>2.7025462962962963E-2</v>
      </c>
      <c r="J265" s="55">
        <f t="shared" ca="1" si="275"/>
        <v>46001</v>
      </c>
      <c r="K265" s="20">
        <f t="shared" ca="1" si="276"/>
        <v>0.10184027777777778</v>
      </c>
      <c r="L265" s="19" t="s">
        <v>18</v>
      </c>
      <c r="M265" s="18">
        <v>1004774</v>
      </c>
      <c r="N265" s="49" t="s">
        <v>31</v>
      </c>
      <c r="O265" s="11" t="str" cm="1">
        <f t="array" ref="O265">_xlfn.IFS(N265="FG2020US1", "Ibuprofen Tablets (100 MG)", N265="FG0001SEG", "Metformin Tablets (100 MG)", N265="FG0002SEG", "Metformin Tablets (200 MG)", N265="FG0003SEG", "Metformin Tablets (500 MG)", N265="FG00UDI4", "Aspirin Tablets (500 MG)")</f>
        <v>Aspirin Tablets (500 MG)</v>
      </c>
      <c r="P265" s="11">
        <v>4264</v>
      </c>
    </row>
    <row r="266" spans="1:16" x14ac:dyDescent="0.35">
      <c r="A266" s="11">
        <v>40000002765</v>
      </c>
      <c r="B266" s="18">
        <v>1010</v>
      </c>
      <c r="C266" s="19">
        <v>4</v>
      </c>
      <c r="D266" s="2" t="s">
        <v>292</v>
      </c>
      <c r="E266" s="6">
        <f t="shared" ref="E266" ca="1" si="284">E267</f>
        <v>46002</v>
      </c>
      <c r="F266" s="15">
        <f ca="1">TIME(RANDBETWEEN(12,22), RANDBETWEEN(0,59), RANDBETWEEN(0,59))</f>
        <v>0.59207175925925926</v>
      </c>
      <c r="G266" s="18" t="s">
        <v>30</v>
      </c>
      <c r="H266" s="55">
        <f t="shared" ca="1" si="273"/>
        <v>46002</v>
      </c>
      <c r="I266" s="20">
        <f t="shared" ca="1" si="274"/>
        <v>0.59207175925925926</v>
      </c>
      <c r="J266" s="55">
        <f t="shared" ca="1" si="275"/>
        <v>46002</v>
      </c>
      <c r="K266" s="20">
        <f t="shared" ca="1" si="276"/>
        <v>0.65511574074074075</v>
      </c>
      <c r="L266" s="19" t="s">
        <v>18</v>
      </c>
      <c r="M266" s="18">
        <v>1004775</v>
      </c>
      <c r="N266" s="49" t="s">
        <v>34</v>
      </c>
      <c r="O266" s="11" t="str" cm="1">
        <f t="array" ref="O266">_xlfn.IFS(N266="FG2020US1", "Ibuprofen Tablets (100 MG)", N266="FG0001SEG", "Metformin Tablets (100 MG)", N266="FG0002SEG", "Metformin Tablets (200 MG)", N266="FG0003SEG", "Metformin Tablets (500 MG)", N266="FG00UDI4", "Aspirin Tablets (500 MG)")</f>
        <v>Metformin Tablets (200 MG)</v>
      </c>
      <c r="P266" s="11">
        <v>4265</v>
      </c>
    </row>
    <row r="267" spans="1:16" x14ac:dyDescent="0.35">
      <c r="A267" s="11">
        <v>40000002766</v>
      </c>
      <c r="B267" s="18">
        <v>1010</v>
      </c>
      <c r="C267" s="19">
        <v>4</v>
      </c>
      <c r="D267" s="2" t="s">
        <v>293</v>
      </c>
      <c r="E267" s="6">
        <f t="shared" ref="E267" ca="1" si="285">E268-1</f>
        <v>46002</v>
      </c>
      <c r="F267" s="15">
        <f ca="1">TIME(RANDBETWEEN(0,10), RANDBETWEEN(0,59), RANDBETWEEN(0,59))</f>
        <v>0.43283564814814812</v>
      </c>
      <c r="G267" s="18" t="s">
        <v>36</v>
      </c>
      <c r="H267" s="55">
        <f t="shared" ca="1" si="273"/>
        <v>46002</v>
      </c>
      <c r="I267" s="20">
        <f t="shared" ca="1" si="274"/>
        <v>0.43283564814814812</v>
      </c>
      <c r="J267" s="55">
        <f t="shared" ca="1" si="275"/>
        <v>46002</v>
      </c>
      <c r="K267" s="20">
        <f t="shared" ca="1" si="276"/>
        <v>0.5022685185185185</v>
      </c>
      <c r="L267" s="19" t="s">
        <v>18</v>
      </c>
      <c r="M267" s="18">
        <v>1004776</v>
      </c>
      <c r="N267" s="49" t="s">
        <v>27</v>
      </c>
      <c r="O267" s="11" t="str" cm="1">
        <f t="array" ref="O267">_xlfn.IFS(N267="FG2020US1", "Ibuprofen Tablets (100 MG)", N267="FG0001SEG", "Metformin Tablets (100 MG)", N267="FG0002SEG", "Metformin Tablets (200 MG)", N267="FG0003SEG", "Metformin Tablets (500 MG)", N267="FG00UDI4", "Aspirin Tablets (500 MG)")</f>
        <v>Metformin Tablets (500 MG)</v>
      </c>
      <c r="P267" s="11">
        <v>4266</v>
      </c>
    </row>
    <row r="268" spans="1:16" x14ac:dyDescent="0.35">
      <c r="A268" s="11">
        <v>40000002767</v>
      </c>
      <c r="B268" s="18">
        <v>1010</v>
      </c>
      <c r="C268" s="19">
        <v>4</v>
      </c>
      <c r="D268" s="2" t="s">
        <v>294</v>
      </c>
      <c r="E268" s="6">
        <f t="shared" ref="E268" ca="1" si="286">E269</f>
        <v>46003</v>
      </c>
      <c r="F268" s="15">
        <f ca="1">TIME(RANDBETWEEN(12,22), RANDBETWEEN(0,59), RANDBETWEEN(0,59))</f>
        <v>0.92913194444444447</v>
      </c>
      <c r="G268" s="18" t="s">
        <v>24</v>
      </c>
      <c r="H268" s="55">
        <f t="shared" ca="1" si="273"/>
        <v>46003</v>
      </c>
      <c r="I268" s="20">
        <f t="shared" ca="1" si="274"/>
        <v>0.92913194444444447</v>
      </c>
      <c r="J268" s="55">
        <f t="shared" ca="1" si="275"/>
        <v>46003</v>
      </c>
      <c r="K268" s="20">
        <f t="shared" ca="1" si="276"/>
        <v>0.99153935185185182</v>
      </c>
      <c r="L268" s="19" t="s">
        <v>18</v>
      </c>
      <c r="M268" s="18">
        <v>1004777</v>
      </c>
      <c r="N268" s="49" t="s">
        <v>34</v>
      </c>
      <c r="O268" s="11" t="str" cm="1">
        <f t="array" ref="O268">_xlfn.IFS(N268="FG2020US1", "Ibuprofen Tablets (100 MG)", N268="FG0001SEG", "Metformin Tablets (100 MG)", N268="FG0002SEG", "Metformin Tablets (200 MG)", N268="FG0003SEG", "Metformin Tablets (500 MG)", N268="FG00UDI4", "Aspirin Tablets (500 MG)")</f>
        <v>Metformin Tablets (200 MG)</v>
      </c>
      <c r="P268" s="11">
        <v>4267</v>
      </c>
    </row>
    <row r="269" spans="1:16" x14ac:dyDescent="0.35">
      <c r="A269" s="11">
        <v>40000002768</v>
      </c>
      <c r="B269" s="18">
        <v>1010</v>
      </c>
      <c r="C269" s="19">
        <v>4</v>
      </c>
      <c r="D269" s="2" t="s">
        <v>295</v>
      </c>
      <c r="E269" s="6">
        <f t="shared" ref="E269" ca="1" si="287">E270-1</f>
        <v>46003</v>
      </c>
      <c r="F269" s="15">
        <f ca="1">TIME(RANDBETWEEN(0,10), RANDBETWEEN(0,59), RANDBETWEEN(0,59))</f>
        <v>0.18587962962962962</v>
      </c>
      <c r="G269" s="18" t="s">
        <v>21</v>
      </c>
      <c r="H269" s="55">
        <f t="shared" ca="1" si="273"/>
        <v>46003</v>
      </c>
      <c r="I269" s="20">
        <f t="shared" ca="1" si="274"/>
        <v>0.18587962962962962</v>
      </c>
      <c r="J269" s="55">
        <f t="shared" ca="1" si="275"/>
        <v>46003</v>
      </c>
      <c r="K269" s="20">
        <f t="shared" ca="1" si="276"/>
        <v>0.24625</v>
      </c>
      <c r="L269" s="19" t="s">
        <v>18</v>
      </c>
      <c r="M269" s="18">
        <v>1004778</v>
      </c>
      <c r="N269" s="49" t="s">
        <v>19</v>
      </c>
      <c r="O269" s="11" t="str" cm="1">
        <f t="array" ref="O269">_xlfn.IFS(N269="FG2020US1", "Ibuprofen Tablets (100 MG)", N269="FG0001SEG", "Metformin Tablets (100 MG)", N269="FG0002SEG", "Metformin Tablets (200 MG)", N269="FG0003SEG", "Metformin Tablets (500 MG)", N269="FG00UDI4", "Aspirin Tablets (500 MG)")</f>
        <v>Metformin Tablets (100 MG)</v>
      </c>
      <c r="P269" s="11">
        <v>4268</v>
      </c>
    </row>
    <row r="270" spans="1:16" x14ac:dyDescent="0.35">
      <c r="A270" s="11">
        <v>40000002769</v>
      </c>
      <c r="B270" s="18">
        <v>1010</v>
      </c>
      <c r="C270" s="19">
        <v>4</v>
      </c>
      <c r="D270" s="2" t="s">
        <v>296</v>
      </c>
      <c r="E270" s="6">
        <f t="shared" ref="E270" ca="1" si="288">E271</f>
        <v>46004</v>
      </c>
      <c r="F270" s="15">
        <f ca="1">TIME(RANDBETWEEN(12,22), RANDBETWEEN(0,59), RANDBETWEEN(0,59))</f>
        <v>0.87149305555555556</v>
      </c>
      <c r="G270" s="18" t="s">
        <v>30</v>
      </c>
      <c r="H270" s="55">
        <f t="shared" ca="1" si="273"/>
        <v>46004</v>
      </c>
      <c r="I270" s="20">
        <f t="shared" ca="1" si="274"/>
        <v>0.87149305555555556</v>
      </c>
      <c r="J270" s="55">
        <f t="shared" ca="1" si="275"/>
        <v>46004</v>
      </c>
      <c r="K270" s="20">
        <f t="shared" ca="1" si="276"/>
        <v>0.94489583333333338</v>
      </c>
      <c r="L270" s="19" t="s">
        <v>18</v>
      </c>
      <c r="M270" s="18">
        <v>1004779</v>
      </c>
      <c r="N270" s="49" t="s">
        <v>22</v>
      </c>
      <c r="O270" s="11" t="str" cm="1">
        <f t="array" ref="O270">_xlfn.IFS(N270="FG2020US1", "Ibuprofen Tablets (100 MG)", N270="FG0001SEG", "Metformin Tablets (100 MG)", N270="FG0002SEG", "Metformin Tablets (200 MG)", N270="FG0003SEG", "Metformin Tablets (500 MG)", N270="FG00UDI4", "Aspirin Tablets (500 MG)")</f>
        <v>Ibuprofen Tablets (100 MG)</v>
      </c>
      <c r="P270" s="11">
        <v>4269</v>
      </c>
    </row>
    <row r="271" spans="1:16" x14ac:dyDescent="0.35">
      <c r="A271" s="11">
        <v>40000002770</v>
      </c>
      <c r="B271" s="18">
        <v>1010</v>
      </c>
      <c r="C271" s="19">
        <v>4</v>
      </c>
      <c r="D271" s="2" t="s">
        <v>297</v>
      </c>
      <c r="E271" s="6">
        <f t="shared" ref="E271" ca="1" si="289">E272-1</f>
        <v>46004</v>
      </c>
      <c r="F271" s="15">
        <f ca="1">TIME(RANDBETWEEN(0,10), RANDBETWEEN(0,59), RANDBETWEEN(0,59))</f>
        <v>0.36984953703703705</v>
      </c>
      <c r="G271" s="18" t="s">
        <v>36</v>
      </c>
      <c r="H271" s="55">
        <f t="shared" ca="1" si="273"/>
        <v>46004</v>
      </c>
      <c r="I271" s="20">
        <f t="shared" ca="1" si="274"/>
        <v>0.36984953703703705</v>
      </c>
      <c r="J271" s="55">
        <f t="shared" ca="1" si="275"/>
        <v>46004</v>
      </c>
      <c r="K271" s="20">
        <f t="shared" ca="1" si="276"/>
        <v>0.43687500000000001</v>
      </c>
      <c r="L271" s="19" t="s">
        <v>18</v>
      </c>
      <c r="M271" s="18">
        <v>1004780</v>
      </c>
      <c r="N271" s="49" t="s">
        <v>34</v>
      </c>
      <c r="O271" s="11" t="str" cm="1">
        <f t="array" ref="O271">_xlfn.IFS(N271="FG2020US1", "Ibuprofen Tablets (100 MG)", N271="FG0001SEG", "Metformin Tablets (100 MG)", N271="FG0002SEG", "Metformin Tablets (200 MG)", N271="FG0003SEG", "Metformin Tablets (500 MG)", N271="FG00UDI4", "Aspirin Tablets (500 MG)")</f>
        <v>Metformin Tablets (200 MG)</v>
      </c>
      <c r="P271" s="11">
        <v>4270</v>
      </c>
    </row>
    <row r="272" spans="1:16" x14ac:dyDescent="0.35">
      <c r="A272" s="11">
        <v>40000002771</v>
      </c>
      <c r="B272" s="18">
        <v>1010</v>
      </c>
      <c r="C272" s="19">
        <v>4</v>
      </c>
      <c r="D272" s="2" t="s">
        <v>298</v>
      </c>
      <c r="E272" s="6">
        <f t="shared" ref="E272" ca="1" si="290">E273</f>
        <v>46005</v>
      </c>
      <c r="F272" s="15">
        <f ca="1">TIME(RANDBETWEEN(12,22), RANDBETWEEN(0,59), RANDBETWEEN(0,59))</f>
        <v>0.88444444444444448</v>
      </c>
      <c r="G272" s="18" t="s">
        <v>30</v>
      </c>
      <c r="H272" s="55">
        <f t="shared" ca="1" si="273"/>
        <v>46005</v>
      </c>
      <c r="I272" s="20">
        <f t="shared" ca="1" si="274"/>
        <v>0.88444444444444448</v>
      </c>
      <c r="J272" s="55">
        <f t="shared" ca="1" si="275"/>
        <v>46005</v>
      </c>
      <c r="K272" s="20">
        <f t="shared" ca="1" si="276"/>
        <v>0.953587962962963</v>
      </c>
      <c r="L272" s="19" t="s">
        <v>18</v>
      </c>
      <c r="M272" s="18">
        <v>1004781</v>
      </c>
      <c r="N272" s="49" t="s">
        <v>34</v>
      </c>
      <c r="O272" s="11" t="str" cm="1">
        <f t="array" ref="O272">_xlfn.IFS(N272="FG2020US1", "Ibuprofen Tablets (100 MG)", N272="FG0001SEG", "Metformin Tablets (100 MG)", N272="FG0002SEG", "Metformin Tablets (200 MG)", N272="FG0003SEG", "Metformin Tablets (500 MG)", N272="FG00UDI4", "Aspirin Tablets (500 MG)")</f>
        <v>Metformin Tablets (200 MG)</v>
      </c>
      <c r="P272" s="11">
        <v>4271</v>
      </c>
    </row>
    <row r="273" spans="1:16" x14ac:dyDescent="0.35">
      <c r="A273" s="11">
        <v>40000002772</v>
      </c>
      <c r="B273" s="18">
        <v>1010</v>
      </c>
      <c r="C273" s="19">
        <v>4</v>
      </c>
      <c r="D273" s="2" t="s">
        <v>299</v>
      </c>
      <c r="E273" s="6">
        <f t="shared" ref="E273" ca="1" si="291">E274-1</f>
        <v>46005</v>
      </c>
      <c r="F273" s="15">
        <f ca="1">TIME(RANDBETWEEN(0,10), RANDBETWEEN(0,59), RANDBETWEEN(0,59))</f>
        <v>0.3999537037037037</v>
      </c>
      <c r="G273" s="18" t="s">
        <v>36</v>
      </c>
      <c r="H273" s="55">
        <f t="shared" ca="1" si="273"/>
        <v>46005</v>
      </c>
      <c r="I273" s="20">
        <f t="shared" ca="1" si="274"/>
        <v>0.3999537037037037</v>
      </c>
      <c r="J273" s="55">
        <f t="shared" ca="1" si="275"/>
        <v>46005</v>
      </c>
      <c r="K273" s="20">
        <f t="shared" ca="1" si="276"/>
        <v>0.46958333333333335</v>
      </c>
      <c r="L273" s="19" t="s">
        <v>18</v>
      </c>
      <c r="M273" s="18">
        <v>1004782</v>
      </c>
      <c r="N273" s="49" t="s">
        <v>22</v>
      </c>
      <c r="O273" s="11" t="str" cm="1">
        <f t="array" ref="O273">_xlfn.IFS(N273="FG2020US1", "Ibuprofen Tablets (100 MG)", N273="FG0001SEG", "Metformin Tablets (100 MG)", N273="FG0002SEG", "Metformin Tablets (200 MG)", N273="FG0003SEG", "Metformin Tablets (500 MG)", N273="FG00UDI4", "Aspirin Tablets (500 MG)")</f>
        <v>Ibuprofen Tablets (100 MG)</v>
      </c>
      <c r="P273" s="11">
        <v>4272</v>
      </c>
    </row>
    <row r="274" spans="1:16" x14ac:dyDescent="0.35">
      <c r="A274" s="11">
        <v>40000002773</v>
      </c>
      <c r="B274" s="18">
        <v>1010</v>
      </c>
      <c r="C274" s="19">
        <v>4</v>
      </c>
      <c r="D274" s="2" t="s">
        <v>300</v>
      </c>
      <c r="E274" s="6">
        <f t="shared" ref="E274" ca="1" si="292">E275</f>
        <v>46006</v>
      </c>
      <c r="F274" s="15">
        <f ca="1">TIME(RANDBETWEEN(12,22), RANDBETWEEN(0,59), RANDBETWEEN(0,59))</f>
        <v>0.90746527777777775</v>
      </c>
      <c r="G274" s="18" t="s">
        <v>17</v>
      </c>
      <c r="H274" s="55">
        <f t="shared" ca="1" si="273"/>
        <v>46006</v>
      </c>
      <c r="I274" s="20">
        <f t="shared" ca="1" si="274"/>
        <v>0.90746527777777775</v>
      </c>
      <c r="J274" s="55">
        <f t="shared" ca="1" si="275"/>
        <v>46006</v>
      </c>
      <c r="K274" s="20">
        <f t="shared" ca="1" si="276"/>
        <v>0.98348379629629623</v>
      </c>
      <c r="L274" s="19" t="s">
        <v>18</v>
      </c>
      <c r="M274" s="18">
        <v>1004783</v>
      </c>
      <c r="N274" s="49" t="s">
        <v>22</v>
      </c>
      <c r="O274" s="11" t="str" cm="1">
        <f t="array" ref="O274">_xlfn.IFS(N274="FG2020US1", "Ibuprofen Tablets (100 MG)", N274="FG0001SEG", "Metformin Tablets (100 MG)", N274="FG0002SEG", "Metformin Tablets (200 MG)", N274="FG0003SEG", "Metformin Tablets (500 MG)", N274="FG00UDI4", "Aspirin Tablets (500 MG)")</f>
        <v>Ibuprofen Tablets (100 MG)</v>
      </c>
      <c r="P274" s="11">
        <v>4273</v>
      </c>
    </row>
    <row r="275" spans="1:16" x14ac:dyDescent="0.35">
      <c r="A275" s="11">
        <v>40000002774</v>
      </c>
      <c r="B275" s="18">
        <v>1010</v>
      </c>
      <c r="C275" s="19">
        <v>4</v>
      </c>
      <c r="D275" s="2" t="s">
        <v>301</v>
      </c>
      <c r="E275" s="6">
        <f t="shared" ref="E275" ca="1" si="293">E276-1</f>
        <v>46006</v>
      </c>
      <c r="F275" s="15">
        <f ca="1">TIME(RANDBETWEEN(0,10), RANDBETWEEN(0,59), RANDBETWEEN(0,59))</f>
        <v>0.4228587962962963</v>
      </c>
      <c r="G275" s="18" t="s">
        <v>39</v>
      </c>
      <c r="H275" s="55">
        <f t="shared" ca="1" si="273"/>
        <v>46006</v>
      </c>
      <c r="I275" s="20">
        <f t="shared" ca="1" si="274"/>
        <v>0.4228587962962963</v>
      </c>
      <c r="J275" s="55">
        <f t="shared" ca="1" si="275"/>
        <v>46006</v>
      </c>
      <c r="K275" s="20">
        <f t="shared" ca="1" si="276"/>
        <v>0.48678240740740741</v>
      </c>
      <c r="L275" s="19" t="s">
        <v>18</v>
      </c>
      <c r="M275" s="18">
        <v>1004784</v>
      </c>
      <c r="N275" s="49" t="s">
        <v>19</v>
      </c>
      <c r="O275" s="11" t="str" cm="1">
        <f t="array" ref="O275">_xlfn.IFS(N275="FG2020US1", "Ibuprofen Tablets (100 MG)", N275="FG0001SEG", "Metformin Tablets (100 MG)", N275="FG0002SEG", "Metformin Tablets (200 MG)", N275="FG0003SEG", "Metformin Tablets (500 MG)", N275="FG00UDI4", "Aspirin Tablets (500 MG)")</f>
        <v>Metformin Tablets (100 MG)</v>
      </c>
      <c r="P275" s="11">
        <v>4274</v>
      </c>
    </row>
    <row r="276" spans="1:16" x14ac:dyDescent="0.35">
      <c r="A276" s="11">
        <v>40000002775</v>
      </c>
      <c r="B276" s="18">
        <v>1010</v>
      </c>
      <c r="C276" s="19">
        <v>4</v>
      </c>
      <c r="D276" s="2" t="s">
        <v>302</v>
      </c>
      <c r="E276" s="6">
        <f t="shared" ref="E276" ca="1" si="294">E277</f>
        <v>46007</v>
      </c>
      <c r="F276" s="15">
        <f ca="1">TIME(RANDBETWEEN(12,22), RANDBETWEEN(0,59), RANDBETWEEN(0,59))</f>
        <v>0.85468750000000004</v>
      </c>
      <c r="G276" s="18" t="s">
        <v>17</v>
      </c>
      <c r="H276" s="55">
        <f t="shared" ca="1" si="273"/>
        <v>46007</v>
      </c>
      <c r="I276" s="20">
        <f t="shared" ca="1" si="274"/>
        <v>0.85468750000000004</v>
      </c>
      <c r="J276" s="55">
        <f t="shared" ca="1" si="275"/>
        <v>46007</v>
      </c>
      <c r="K276" s="20">
        <f t="shared" ca="1" si="276"/>
        <v>0.91546296296296303</v>
      </c>
      <c r="L276" s="19" t="s">
        <v>18</v>
      </c>
      <c r="M276" s="18">
        <v>1004785</v>
      </c>
      <c r="N276" s="49" t="s">
        <v>27</v>
      </c>
      <c r="O276" s="11" t="str" cm="1">
        <f t="array" ref="O276">_xlfn.IFS(N276="FG2020US1", "Ibuprofen Tablets (100 MG)", N276="FG0001SEG", "Metformin Tablets (100 MG)", N276="FG0002SEG", "Metformin Tablets (200 MG)", N276="FG0003SEG", "Metformin Tablets (500 MG)", N276="FG00UDI4", "Aspirin Tablets (500 MG)")</f>
        <v>Metformin Tablets (500 MG)</v>
      </c>
      <c r="P276" s="11">
        <v>4275</v>
      </c>
    </row>
    <row r="277" spans="1:16" x14ac:dyDescent="0.35">
      <c r="A277" s="11">
        <v>40000002776</v>
      </c>
      <c r="B277" s="18">
        <v>1010</v>
      </c>
      <c r="C277" s="19">
        <v>4</v>
      </c>
      <c r="D277" s="2" t="s">
        <v>303</v>
      </c>
      <c r="E277" s="6">
        <f t="shared" ref="E277" ca="1" si="295">E278-1</f>
        <v>46007</v>
      </c>
      <c r="F277" s="15">
        <f ca="1">TIME(RANDBETWEEN(0,10), RANDBETWEEN(0,59), RANDBETWEEN(0,59))</f>
        <v>4.7106481481481478E-2</v>
      </c>
      <c r="G277" s="18" t="s">
        <v>36</v>
      </c>
      <c r="H277" s="55">
        <f t="shared" ca="1" si="273"/>
        <v>46007</v>
      </c>
      <c r="I277" s="20">
        <f t="shared" ca="1" si="274"/>
        <v>4.7106481481481478E-2</v>
      </c>
      <c r="J277" s="55">
        <f t="shared" ca="1" si="275"/>
        <v>46007</v>
      </c>
      <c r="K277" s="20">
        <f t="shared" ca="1" si="276"/>
        <v>0.11787037037037038</v>
      </c>
      <c r="L277" s="19" t="s">
        <v>18</v>
      </c>
      <c r="M277" s="18">
        <v>1004786</v>
      </c>
      <c r="N277" s="49" t="s">
        <v>19</v>
      </c>
      <c r="O277" s="11" t="str" cm="1">
        <f t="array" ref="O277">_xlfn.IFS(N277="FG2020US1", "Ibuprofen Tablets (100 MG)", N277="FG0001SEG", "Metformin Tablets (100 MG)", N277="FG0002SEG", "Metformin Tablets (200 MG)", N277="FG0003SEG", "Metformin Tablets (500 MG)", N277="FG00UDI4", "Aspirin Tablets (500 MG)")</f>
        <v>Metformin Tablets (100 MG)</v>
      </c>
      <c r="P277" s="11">
        <v>4276</v>
      </c>
    </row>
    <row r="278" spans="1:16" x14ac:dyDescent="0.35">
      <c r="A278" s="11">
        <v>40000002777</v>
      </c>
      <c r="B278" s="18">
        <v>1010</v>
      </c>
      <c r="C278" s="19">
        <v>4</v>
      </c>
      <c r="D278" s="2" t="s">
        <v>304</v>
      </c>
      <c r="E278" s="6">
        <f t="shared" ref="E278" ca="1" si="296">E279</f>
        <v>46008</v>
      </c>
      <c r="F278" s="15">
        <f ca="1">TIME(RANDBETWEEN(12,22), RANDBETWEEN(0,59), RANDBETWEEN(0,59))</f>
        <v>0.73440972222222223</v>
      </c>
      <c r="G278" s="18" t="s">
        <v>17</v>
      </c>
      <c r="H278" s="55">
        <f t="shared" ca="1" si="273"/>
        <v>46008</v>
      </c>
      <c r="I278" s="20">
        <f t="shared" ca="1" si="274"/>
        <v>0.73440972222222223</v>
      </c>
      <c r="J278" s="55">
        <f t="shared" ca="1" si="275"/>
        <v>46008</v>
      </c>
      <c r="K278" s="20">
        <f t="shared" ca="1" si="276"/>
        <v>0.79888888888888887</v>
      </c>
      <c r="L278" s="19" t="s">
        <v>18</v>
      </c>
      <c r="M278" s="18">
        <v>1004787</v>
      </c>
      <c r="N278" s="49" t="s">
        <v>19</v>
      </c>
      <c r="O278" s="11" t="str" cm="1">
        <f t="array" ref="O278">_xlfn.IFS(N278="FG2020US1", "Ibuprofen Tablets (100 MG)", N278="FG0001SEG", "Metformin Tablets (100 MG)", N278="FG0002SEG", "Metformin Tablets (200 MG)", N278="FG0003SEG", "Metformin Tablets (500 MG)", N278="FG00UDI4", "Aspirin Tablets (500 MG)")</f>
        <v>Metformin Tablets (100 MG)</v>
      </c>
      <c r="P278" s="11">
        <v>4277</v>
      </c>
    </row>
    <row r="279" spans="1:16" x14ac:dyDescent="0.35">
      <c r="A279" s="11">
        <v>40000002778</v>
      </c>
      <c r="B279" s="18">
        <v>1010</v>
      </c>
      <c r="C279" s="19">
        <v>4</v>
      </c>
      <c r="D279" s="2" t="s">
        <v>305</v>
      </c>
      <c r="E279" s="6">
        <f t="shared" ref="E279" ca="1" si="297">E280-1</f>
        <v>46008</v>
      </c>
      <c r="F279" s="15">
        <f ca="1">TIME(RANDBETWEEN(0,10), RANDBETWEEN(0,59), RANDBETWEEN(0,59))</f>
        <v>0.41315972222222225</v>
      </c>
      <c r="G279" s="18" t="s">
        <v>39</v>
      </c>
      <c r="H279" s="55">
        <f t="shared" ca="1" si="273"/>
        <v>46008</v>
      </c>
      <c r="I279" s="20">
        <f t="shared" ca="1" si="274"/>
        <v>0.41315972222222225</v>
      </c>
      <c r="J279" s="55">
        <f t="shared" ca="1" si="275"/>
        <v>46008</v>
      </c>
      <c r="K279" s="20">
        <f t="shared" ca="1" si="276"/>
        <v>0.47454861111111113</v>
      </c>
      <c r="L279" s="19" t="s">
        <v>18</v>
      </c>
      <c r="M279" s="18">
        <v>1004788</v>
      </c>
      <c r="N279" s="49" t="s">
        <v>27</v>
      </c>
      <c r="O279" s="11" t="str" cm="1">
        <f t="array" ref="O279">_xlfn.IFS(N279="FG2020US1", "Ibuprofen Tablets (100 MG)", N279="FG0001SEG", "Metformin Tablets (100 MG)", N279="FG0002SEG", "Metformin Tablets (200 MG)", N279="FG0003SEG", "Metformin Tablets (500 MG)", N279="FG00UDI4", "Aspirin Tablets (500 MG)")</f>
        <v>Metformin Tablets (500 MG)</v>
      </c>
      <c r="P279" s="11">
        <v>4278</v>
      </c>
    </row>
    <row r="280" spans="1:16" x14ac:dyDescent="0.35">
      <c r="A280" s="11">
        <v>40000002779</v>
      </c>
      <c r="B280" s="18">
        <v>1010</v>
      </c>
      <c r="C280" s="19">
        <v>4</v>
      </c>
      <c r="D280" s="2" t="s">
        <v>306</v>
      </c>
      <c r="E280" s="6">
        <f t="shared" ref="E280" ca="1" si="298">E281</f>
        <v>46009</v>
      </c>
      <c r="F280" s="15">
        <f ca="1">TIME(RANDBETWEEN(12,22), RANDBETWEEN(0,59), RANDBETWEEN(0,59))</f>
        <v>0.76325231481481481</v>
      </c>
      <c r="G280" s="18" t="s">
        <v>24</v>
      </c>
      <c r="H280" s="55">
        <f t="shared" ca="1" si="273"/>
        <v>46009</v>
      </c>
      <c r="I280" s="20">
        <f t="shared" ca="1" si="274"/>
        <v>0.76325231481481481</v>
      </c>
      <c r="J280" s="55">
        <f t="shared" ca="1" si="275"/>
        <v>46009</v>
      </c>
      <c r="K280" s="20">
        <f t="shared" ca="1" si="276"/>
        <v>0.83958333333333335</v>
      </c>
      <c r="L280" s="19" t="s">
        <v>18</v>
      </c>
      <c r="M280" s="18">
        <v>1004789</v>
      </c>
      <c r="N280" s="49" t="s">
        <v>31</v>
      </c>
      <c r="O280" s="11" t="str" cm="1">
        <f t="array" ref="O280">_xlfn.IFS(N280="FG2020US1", "Ibuprofen Tablets (100 MG)", N280="FG0001SEG", "Metformin Tablets (100 MG)", N280="FG0002SEG", "Metformin Tablets (200 MG)", N280="FG0003SEG", "Metformin Tablets (500 MG)", N280="FG00UDI4", "Aspirin Tablets (500 MG)")</f>
        <v>Aspirin Tablets (500 MG)</v>
      </c>
      <c r="P280" s="11">
        <v>4279</v>
      </c>
    </row>
    <row r="281" spans="1:16" x14ac:dyDescent="0.35">
      <c r="A281" s="11">
        <v>40000002780</v>
      </c>
      <c r="B281" s="18">
        <v>1010</v>
      </c>
      <c r="C281" s="19">
        <v>4</v>
      </c>
      <c r="D281" s="2" t="s">
        <v>307</v>
      </c>
      <c r="E281" s="6">
        <f t="shared" ref="E281" ca="1" si="299">E282-1</f>
        <v>46009</v>
      </c>
      <c r="F281" s="15">
        <f ca="1">TIME(RANDBETWEEN(0,10), RANDBETWEEN(0,59), RANDBETWEEN(0,59))</f>
        <v>0.11028935185185185</v>
      </c>
      <c r="G281" s="18" t="s">
        <v>39</v>
      </c>
      <c r="H281" s="55">
        <f t="shared" ca="1" si="273"/>
        <v>46009</v>
      </c>
      <c r="I281" s="20">
        <f t="shared" ca="1" si="274"/>
        <v>0.11028935185185185</v>
      </c>
      <c r="J281" s="55">
        <f t="shared" ca="1" si="275"/>
        <v>46009</v>
      </c>
      <c r="K281" s="20">
        <f t="shared" ca="1" si="276"/>
        <v>0.1792361111111111</v>
      </c>
      <c r="L281" s="19" t="s">
        <v>18</v>
      </c>
      <c r="M281" s="18">
        <v>1004790</v>
      </c>
      <c r="N281" s="49" t="s">
        <v>22</v>
      </c>
      <c r="O281" s="11" t="str" cm="1">
        <f t="array" ref="O281">_xlfn.IFS(N281="FG2020US1", "Ibuprofen Tablets (100 MG)", N281="FG0001SEG", "Metformin Tablets (100 MG)", N281="FG0002SEG", "Metformin Tablets (200 MG)", N281="FG0003SEG", "Metformin Tablets (500 MG)", N281="FG00UDI4", "Aspirin Tablets (500 MG)")</f>
        <v>Ibuprofen Tablets (100 MG)</v>
      </c>
      <c r="P281" s="11">
        <v>4280</v>
      </c>
    </row>
    <row r="282" spans="1:16" x14ac:dyDescent="0.35">
      <c r="A282" s="11">
        <v>40000002781</v>
      </c>
      <c r="B282" s="18">
        <v>1010</v>
      </c>
      <c r="C282" s="19">
        <v>4</v>
      </c>
      <c r="D282" s="2" t="s">
        <v>308</v>
      </c>
      <c r="E282" s="6">
        <f t="shared" ref="E282" ca="1" si="300">E283</f>
        <v>46010</v>
      </c>
      <c r="F282" s="15">
        <f ca="1">TIME(RANDBETWEEN(12,22), RANDBETWEEN(0,59), RANDBETWEEN(0,59))</f>
        <v>0.75311342592592589</v>
      </c>
      <c r="G282" s="18" t="s">
        <v>30</v>
      </c>
      <c r="H282" s="55">
        <f t="shared" ca="1" si="273"/>
        <v>46010</v>
      </c>
      <c r="I282" s="20">
        <f t="shared" ca="1" si="274"/>
        <v>0.75311342592592589</v>
      </c>
      <c r="J282" s="55">
        <f t="shared" ca="1" si="275"/>
        <v>46010</v>
      </c>
      <c r="K282" s="20">
        <f t="shared" ca="1" si="276"/>
        <v>0.81756944444444446</v>
      </c>
      <c r="L282" s="19" t="s">
        <v>18</v>
      </c>
      <c r="M282" s="18">
        <v>1004791</v>
      </c>
      <c r="N282" s="49" t="s">
        <v>31</v>
      </c>
      <c r="O282" s="11" t="str" cm="1">
        <f t="array" ref="O282">_xlfn.IFS(N282="FG2020US1", "Ibuprofen Tablets (100 MG)", N282="FG0001SEG", "Metformin Tablets (100 MG)", N282="FG0002SEG", "Metformin Tablets (200 MG)", N282="FG0003SEG", "Metformin Tablets (500 MG)", N282="FG00UDI4", "Aspirin Tablets (500 MG)")</f>
        <v>Aspirin Tablets (500 MG)</v>
      </c>
      <c r="P282" s="11">
        <v>4281</v>
      </c>
    </row>
    <row r="283" spans="1:16" x14ac:dyDescent="0.35">
      <c r="A283" s="11">
        <v>40000002782</v>
      </c>
      <c r="B283" s="18">
        <v>1010</v>
      </c>
      <c r="C283" s="19">
        <v>4</v>
      </c>
      <c r="D283" s="2" t="s">
        <v>309</v>
      </c>
      <c r="E283" s="6">
        <f t="shared" ref="E283" ca="1" si="301">E284-1</f>
        <v>46010</v>
      </c>
      <c r="F283" s="15">
        <f ca="1">TIME(RANDBETWEEN(0,10), RANDBETWEEN(0,59), RANDBETWEEN(0,59))</f>
        <v>6.3773148148148148E-3</v>
      </c>
      <c r="G283" s="18" t="s">
        <v>21</v>
      </c>
      <c r="H283" s="55">
        <f t="shared" ca="1" si="273"/>
        <v>46010</v>
      </c>
      <c r="I283" s="20">
        <f t="shared" ca="1" si="274"/>
        <v>6.3773148148148148E-3</v>
      </c>
      <c r="J283" s="55">
        <f t="shared" ca="1" si="275"/>
        <v>46010</v>
      </c>
      <c r="K283" s="20">
        <f t="shared" ca="1" si="276"/>
        <v>6.6238425925925923E-2</v>
      </c>
      <c r="L283" s="19" t="s">
        <v>18</v>
      </c>
      <c r="M283" s="18">
        <v>1004792</v>
      </c>
      <c r="N283" s="49" t="s">
        <v>27</v>
      </c>
      <c r="O283" s="11" t="str" cm="1">
        <f t="array" ref="O283">_xlfn.IFS(N283="FG2020US1", "Ibuprofen Tablets (100 MG)", N283="FG0001SEG", "Metformin Tablets (100 MG)", N283="FG0002SEG", "Metformin Tablets (200 MG)", N283="FG0003SEG", "Metformin Tablets (500 MG)", N283="FG00UDI4", "Aspirin Tablets (500 MG)")</f>
        <v>Metformin Tablets (500 MG)</v>
      </c>
      <c r="P283" s="11">
        <v>4282</v>
      </c>
    </row>
    <row r="284" spans="1:16" x14ac:dyDescent="0.35">
      <c r="A284" s="11">
        <v>40000002783</v>
      </c>
      <c r="B284" s="18">
        <v>1010</v>
      </c>
      <c r="C284" s="19">
        <v>4</v>
      </c>
      <c r="D284" s="2" t="s">
        <v>310</v>
      </c>
      <c r="E284" s="6">
        <f t="shared" ref="E284" ca="1" si="302">E285</f>
        <v>46011</v>
      </c>
      <c r="F284" s="15">
        <f ca="1">TIME(RANDBETWEEN(12,22), RANDBETWEEN(0,59), RANDBETWEEN(0,59))</f>
        <v>0.61405092592592592</v>
      </c>
      <c r="G284" s="18" t="s">
        <v>17</v>
      </c>
      <c r="H284" s="55">
        <f t="shared" ca="1" si="273"/>
        <v>46011</v>
      </c>
      <c r="I284" s="20">
        <f t="shared" ca="1" si="274"/>
        <v>0.61405092592592592</v>
      </c>
      <c r="J284" s="55">
        <f t="shared" ca="1" si="275"/>
        <v>46011</v>
      </c>
      <c r="K284" s="20">
        <f t="shared" ca="1" si="276"/>
        <v>0.68480324074074073</v>
      </c>
      <c r="L284" s="19" t="s">
        <v>18</v>
      </c>
      <c r="M284" s="18">
        <v>1004793</v>
      </c>
      <c r="N284" s="49" t="s">
        <v>27</v>
      </c>
      <c r="O284" s="11" t="str" cm="1">
        <f t="array" ref="O284">_xlfn.IFS(N284="FG2020US1", "Ibuprofen Tablets (100 MG)", N284="FG0001SEG", "Metformin Tablets (100 MG)", N284="FG0002SEG", "Metformin Tablets (200 MG)", N284="FG0003SEG", "Metformin Tablets (500 MG)", N284="FG00UDI4", "Aspirin Tablets (500 MG)")</f>
        <v>Metformin Tablets (500 MG)</v>
      </c>
      <c r="P284" s="11">
        <v>4283</v>
      </c>
    </row>
    <row r="285" spans="1:16" x14ac:dyDescent="0.35">
      <c r="A285" s="11">
        <v>40000002784</v>
      </c>
      <c r="B285" s="18">
        <v>1010</v>
      </c>
      <c r="C285" s="19">
        <v>4</v>
      </c>
      <c r="D285" s="2" t="s">
        <v>311</v>
      </c>
      <c r="E285" s="6">
        <f t="shared" ref="E285" ca="1" si="303">E286-1</f>
        <v>46011</v>
      </c>
      <c r="F285" s="15">
        <f ca="1">TIME(RANDBETWEEN(0,10), RANDBETWEEN(0,59), RANDBETWEEN(0,59))</f>
        <v>0.43600694444444443</v>
      </c>
      <c r="G285" s="18" t="s">
        <v>39</v>
      </c>
      <c r="H285" s="55">
        <f t="shared" ca="1" si="273"/>
        <v>46011</v>
      </c>
      <c r="I285" s="20">
        <f t="shared" ca="1" si="274"/>
        <v>0.43600694444444443</v>
      </c>
      <c r="J285" s="55">
        <f t="shared" ca="1" si="275"/>
        <v>46011</v>
      </c>
      <c r="K285" s="20">
        <f t="shared" ca="1" si="276"/>
        <v>0.50596064814814812</v>
      </c>
      <c r="L285" s="19" t="s">
        <v>18</v>
      </c>
      <c r="M285" s="18">
        <v>1004794</v>
      </c>
      <c r="N285" s="49" t="s">
        <v>22</v>
      </c>
      <c r="O285" s="11" t="str" cm="1">
        <f t="array" ref="O285">_xlfn.IFS(N285="FG2020US1", "Ibuprofen Tablets (100 MG)", N285="FG0001SEG", "Metformin Tablets (100 MG)", N285="FG0002SEG", "Metformin Tablets (200 MG)", N285="FG0003SEG", "Metformin Tablets (500 MG)", N285="FG00UDI4", "Aspirin Tablets (500 MG)")</f>
        <v>Ibuprofen Tablets (100 MG)</v>
      </c>
      <c r="P285" s="11">
        <v>4284</v>
      </c>
    </row>
    <row r="286" spans="1:16" x14ac:dyDescent="0.35">
      <c r="A286" s="11">
        <v>40000002785</v>
      </c>
      <c r="B286" s="18">
        <v>1010</v>
      </c>
      <c r="C286" s="19">
        <v>4</v>
      </c>
      <c r="D286" s="2" t="s">
        <v>312</v>
      </c>
      <c r="E286" s="6">
        <f t="shared" ref="E286" ca="1" si="304">E287</f>
        <v>46012</v>
      </c>
      <c r="F286" s="15">
        <f ca="1">TIME(RANDBETWEEN(12,22), RANDBETWEEN(0,59), RANDBETWEEN(0,59))</f>
        <v>0.53472222222222221</v>
      </c>
      <c r="G286" s="18" t="s">
        <v>24</v>
      </c>
      <c r="H286" s="55">
        <f t="shared" ca="1" si="273"/>
        <v>46012</v>
      </c>
      <c r="I286" s="20">
        <f t="shared" ca="1" si="274"/>
        <v>0.53472222222222221</v>
      </c>
      <c r="J286" s="55">
        <f t="shared" ca="1" si="275"/>
        <v>46012</v>
      </c>
      <c r="K286" s="20">
        <f t="shared" ca="1" si="276"/>
        <v>0.61157407407407405</v>
      </c>
      <c r="L286" s="19" t="s">
        <v>18</v>
      </c>
      <c r="M286" s="18">
        <v>1004795</v>
      </c>
      <c r="N286" s="49" t="s">
        <v>22</v>
      </c>
      <c r="O286" s="11" t="str" cm="1">
        <f t="array" ref="O286">_xlfn.IFS(N286="FG2020US1", "Ibuprofen Tablets (100 MG)", N286="FG0001SEG", "Metformin Tablets (100 MG)", N286="FG0002SEG", "Metformin Tablets (200 MG)", N286="FG0003SEG", "Metformin Tablets (500 MG)", N286="FG00UDI4", "Aspirin Tablets (500 MG)")</f>
        <v>Ibuprofen Tablets (100 MG)</v>
      </c>
      <c r="P286" s="11">
        <v>4285</v>
      </c>
    </row>
    <row r="287" spans="1:16" x14ac:dyDescent="0.35">
      <c r="A287" s="11">
        <v>40000002786</v>
      </c>
      <c r="B287" s="18">
        <v>1010</v>
      </c>
      <c r="C287" s="19">
        <v>4</v>
      </c>
      <c r="D287" s="2" t="s">
        <v>313</v>
      </c>
      <c r="E287" s="6">
        <f t="shared" ref="E287" ca="1" si="305">E288-1</f>
        <v>46012</v>
      </c>
      <c r="F287" s="15">
        <f ca="1">TIME(RANDBETWEEN(0,10), RANDBETWEEN(0,59), RANDBETWEEN(0,59))</f>
        <v>0.24062500000000001</v>
      </c>
      <c r="G287" s="18" t="s">
        <v>36</v>
      </c>
      <c r="H287" s="55">
        <f t="shared" ca="1" si="273"/>
        <v>46012</v>
      </c>
      <c r="I287" s="20">
        <f t="shared" ca="1" si="274"/>
        <v>0.24062500000000001</v>
      </c>
      <c r="J287" s="55">
        <f t="shared" ca="1" si="275"/>
        <v>46012</v>
      </c>
      <c r="K287" s="20">
        <f t="shared" ca="1" si="276"/>
        <v>0.30831018518518516</v>
      </c>
      <c r="L287" s="19" t="s">
        <v>18</v>
      </c>
      <c r="M287" s="18">
        <v>1004796</v>
      </c>
      <c r="N287" s="49" t="s">
        <v>31</v>
      </c>
      <c r="O287" s="11" t="str" cm="1">
        <f t="array" ref="O287">_xlfn.IFS(N287="FG2020US1", "Ibuprofen Tablets (100 MG)", N287="FG0001SEG", "Metformin Tablets (100 MG)", N287="FG0002SEG", "Metformin Tablets (200 MG)", N287="FG0003SEG", "Metformin Tablets (500 MG)", N287="FG00UDI4", "Aspirin Tablets (500 MG)")</f>
        <v>Aspirin Tablets (500 MG)</v>
      </c>
      <c r="P287" s="11">
        <v>4286</v>
      </c>
    </row>
    <row r="288" spans="1:16" x14ac:dyDescent="0.35">
      <c r="A288" s="11">
        <v>40000002787</v>
      </c>
      <c r="B288" s="18">
        <v>1010</v>
      </c>
      <c r="C288" s="19">
        <v>4</v>
      </c>
      <c r="D288" s="2" t="s">
        <v>314</v>
      </c>
      <c r="E288" s="6">
        <f t="shared" ref="E288" ca="1" si="306">E289</f>
        <v>46013</v>
      </c>
      <c r="F288" s="15">
        <f ca="1">TIME(RANDBETWEEN(12,22), RANDBETWEEN(0,59), RANDBETWEEN(0,59))</f>
        <v>0.54056712962962961</v>
      </c>
      <c r="G288" s="18" t="s">
        <v>30</v>
      </c>
      <c r="H288" s="55">
        <f t="shared" ca="1" si="273"/>
        <v>46013</v>
      </c>
      <c r="I288" s="20">
        <f t="shared" ca="1" si="274"/>
        <v>0.54056712962962961</v>
      </c>
      <c r="J288" s="55">
        <f t="shared" ca="1" si="275"/>
        <v>46013</v>
      </c>
      <c r="K288" s="20">
        <f t="shared" ca="1" si="276"/>
        <v>0.60988425925925926</v>
      </c>
      <c r="L288" s="19" t="s">
        <v>18</v>
      </c>
      <c r="M288" s="18">
        <v>1004797</v>
      </c>
      <c r="N288" s="49" t="s">
        <v>34</v>
      </c>
      <c r="O288" s="11" t="str" cm="1">
        <f t="array" ref="O288">_xlfn.IFS(N288="FG2020US1", "Ibuprofen Tablets (100 MG)", N288="FG0001SEG", "Metformin Tablets (100 MG)", N288="FG0002SEG", "Metformin Tablets (200 MG)", N288="FG0003SEG", "Metformin Tablets (500 MG)", N288="FG00UDI4", "Aspirin Tablets (500 MG)")</f>
        <v>Metformin Tablets (200 MG)</v>
      </c>
      <c r="P288" s="11">
        <v>4287</v>
      </c>
    </row>
    <row r="289" spans="1:16" x14ac:dyDescent="0.35">
      <c r="A289" s="11">
        <v>40000002788</v>
      </c>
      <c r="B289" s="18">
        <v>1010</v>
      </c>
      <c r="C289" s="19">
        <v>4</v>
      </c>
      <c r="D289" s="2" t="s">
        <v>315</v>
      </c>
      <c r="E289" s="6">
        <f t="shared" ref="E289" ca="1" si="307">E290-1</f>
        <v>46013</v>
      </c>
      <c r="F289" s="15">
        <f ca="1">TIME(RANDBETWEEN(0,10), RANDBETWEEN(0,59), RANDBETWEEN(0,59))</f>
        <v>2.9201388888888888E-2</v>
      </c>
      <c r="G289" s="18" t="s">
        <v>21</v>
      </c>
      <c r="H289" s="55">
        <f t="shared" ca="1" si="273"/>
        <v>46013</v>
      </c>
      <c r="I289" s="20">
        <f t="shared" ca="1" si="274"/>
        <v>2.9201388888888888E-2</v>
      </c>
      <c r="J289" s="55">
        <f t="shared" ca="1" si="275"/>
        <v>46013</v>
      </c>
      <c r="K289" s="20">
        <f t="shared" ca="1" si="276"/>
        <v>9.0671296296296305E-2</v>
      </c>
      <c r="L289" s="19" t="s">
        <v>18</v>
      </c>
      <c r="M289" s="18">
        <v>1004798</v>
      </c>
      <c r="N289" s="49" t="s">
        <v>31</v>
      </c>
      <c r="O289" s="11" t="str" cm="1">
        <f t="array" ref="O289">_xlfn.IFS(N289="FG2020US1", "Ibuprofen Tablets (100 MG)", N289="FG0001SEG", "Metformin Tablets (100 MG)", N289="FG0002SEG", "Metformin Tablets (200 MG)", N289="FG0003SEG", "Metformin Tablets (500 MG)", N289="FG00UDI4", "Aspirin Tablets (500 MG)")</f>
        <v>Aspirin Tablets (500 MG)</v>
      </c>
      <c r="P289" s="11">
        <v>4288</v>
      </c>
    </row>
    <row r="290" spans="1:16" x14ac:dyDescent="0.35">
      <c r="A290" s="11">
        <v>40000002789</v>
      </c>
      <c r="B290" s="18">
        <v>1010</v>
      </c>
      <c r="C290" s="19">
        <v>4</v>
      </c>
      <c r="D290" s="2" t="s">
        <v>316</v>
      </c>
      <c r="E290" s="6">
        <f t="shared" ref="E290" ca="1" si="308">E291</f>
        <v>46014</v>
      </c>
      <c r="F290" s="15">
        <f ca="1">TIME(RANDBETWEEN(12,22), RANDBETWEEN(0,59), RANDBETWEEN(0,59))</f>
        <v>0.50737268518518519</v>
      </c>
      <c r="G290" s="18" t="s">
        <v>30</v>
      </c>
      <c r="H290" s="55">
        <f t="shared" ca="1" si="273"/>
        <v>46014</v>
      </c>
      <c r="I290" s="20">
        <f t="shared" ca="1" si="274"/>
        <v>0.50737268518518519</v>
      </c>
      <c r="J290" s="55">
        <f t="shared" ca="1" si="275"/>
        <v>46014</v>
      </c>
      <c r="K290" s="20">
        <f t="shared" ca="1" si="276"/>
        <v>0.57677083333333334</v>
      </c>
      <c r="L290" s="19" t="s">
        <v>18</v>
      </c>
      <c r="M290" s="18">
        <v>1004799</v>
      </c>
      <c r="N290" s="49" t="s">
        <v>22</v>
      </c>
      <c r="O290" s="11" t="str" cm="1">
        <f t="array" ref="O290">_xlfn.IFS(N290="FG2020US1", "Ibuprofen Tablets (100 MG)", N290="FG0001SEG", "Metformin Tablets (100 MG)", N290="FG0002SEG", "Metformin Tablets (200 MG)", N290="FG0003SEG", "Metformin Tablets (500 MG)", N290="FG00UDI4", "Aspirin Tablets (500 MG)")</f>
        <v>Ibuprofen Tablets (100 MG)</v>
      </c>
      <c r="P290" s="11">
        <v>4289</v>
      </c>
    </row>
    <row r="291" spans="1:16" x14ac:dyDescent="0.35">
      <c r="A291" s="11">
        <v>40000002790</v>
      </c>
      <c r="B291" s="18">
        <v>1010</v>
      </c>
      <c r="C291" s="19">
        <v>4</v>
      </c>
      <c r="D291" s="2" t="s">
        <v>317</v>
      </c>
      <c r="E291" s="6">
        <f t="shared" ref="E291" ca="1" si="309">E292-1</f>
        <v>46014</v>
      </c>
      <c r="F291" s="15">
        <f ca="1">TIME(RANDBETWEEN(0,10), RANDBETWEEN(0,59), RANDBETWEEN(0,59))</f>
        <v>0.29531249999999998</v>
      </c>
      <c r="G291" s="18" t="s">
        <v>36</v>
      </c>
      <c r="H291" s="55">
        <f t="shared" ca="1" si="273"/>
        <v>46014</v>
      </c>
      <c r="I291" s="20">
        <f t="shared" ca="1" si="274"/>
        <v>0.29531249999999998</v>
      </c>
      <c r="J291" s="55">
        <f t="shared" ca="1" si="275"/>
        <v>46014</v>
      </c>
      <c r="K291" s="20">
        <f t="shared" ca="1" si="276"/>
        <v>0.35836805555555551</v>
      </c>
      <c r="L291" s="19" t="s">
        <v>18</v>
      </c>
      <c r="M291" s="18">
        <v>1004800</v>
      </c>
      <c r="N291" s="49" t="s">
        <v>22</v>
      </c>
      <c r="O291" s="11" t="str" cm="1">
        <f t="array" ref="O291">_xlfn.IFS(N291="FG2020US1", "Ibuprofen Tablets (100 MG)", N291="FG0001SEG", "Metformin Tablets (100 MG)", N291="FG0002SEG", "Metformin Tablets (200 MG)", N291="FG0003SEG", "Metformin Tablets (500 MG)", N291="FG00UDI4", "Aspirin Tablets (500 MG)")</f>
        <v>Ibuprofen Tablets (100 MG)</v>
      </c>
      <c r="P291" s="11">
        <v>4290</v>
      </c>
    </row>
    <row r="292" spans="1:16" x14ac:dyDescent="0.35">
      <c r="A292" s="11">
        <v>40000002791</v>
      </c>
      <c r="B292" s="18">
        <v>1010</v>
      </c>
      <c r="C292" s="19">
        <v>4</v>
      </c>
      <c r="D292" s="2" t="s">
        <v>318</v>
      </c>
      <c r="E292" s="6">
        <f t="shared" ref="E292" ca="1" si="310">E293</f>
        <v>46015</v>
      </c>
      <c r="F292" s="15">
        <f ca="1">TIME(RANDBETWEEN(12,22), RANDBETWEEN(0,59), RANDBETWEEN(0,59))</f>
        <v>0.54387731481481483</v>
      </c>
      <c r="G292" s="18" t="s">
        <v>30</v>
      </c>
      <c r="H292" s="55">
        <f t="shared" ca="1" si="273"/>
        <v>46015</v>
      </c>
      <c r="I292" s="20">
        <f t="shared" ca="1" si="274"/>
        <v>0.54387731481481483</v>
      </c>
      <c r="J292" s="55">
        <f t="shared" ca="1" si="275"/>
        <v>46015</v>
      </c>
      <c r="K292" s="20">
        <f t="shared" ca="1" si="276"/>
        <v>0.60355324074074079</v>
      </c>
      <c r="L292" s="19" t="s">
        <v>18</v>
      </c>
      <c r="M292" s="18">
        <v>1004801</v>
      </c>
      <c r="N292" s="49" t="s">
        <v>19</v>
      </c>
      <c r="O292" s="11" t="str" cm="1">
        <f t="array" ref="O292">_xlfn.IFS(N292="FG2020US1", "Ibuprofen Tablets (100 MG)", N292="FG0001SEG", "Metformin Tablets (100 MG)", N292="FG0002SEG", "Metformin Tablets (200 MG)", N292="FG0003SEG", "Metformin Tablets (500 MG)", N292="FG00UDI4", "Aspirin Tablets (500 MG)")</f>
        <v>Metformin Tablets (100 MG)</v>
      </c>
      <c r="P292" s="11">
        <v>4291</v>
      </c>
    </row>
    <row r="293" spans="1:16" x14ac:dyDescent="0.35">
      <c r="A293" s="11">
        <v>40000002792</v>
      </c>
      <c r="B293" s="18">
        <v>1010</v>
      </c>
      <c r="C293" s="19">
        <v>4</v>
      </c>
      <c r="D293" s="2" t="s">
        <v>319</v>
      </c>
      <c r="E293" s="6">
        <f t="shared" ref="E293" ca="1" si="311">E294-1</f>
        <v>46015</v>
      </c>
      <c r="F293" s="15">
        <f ca="1">TIME(RANDBETWEEN(0,10), RANDBETWEEN(0,59), RANDBETWEEN(0,59))</f>
        <v>0.21944444444444444</v>
      </c>
      <c r="G293" s="18" t="s">
        <v>39</v>
      </c>
      <c r="H293" s="55">
        <f t="shared" ca="1" si="273"/>
        <v>46015</v>
      </c>
      <c r="I293" s="20">
        <f t="shared" ca="1" si="274"/>
        <v>0.21944444444444444</v>
      </c>
      <c r="J293" s="55">
        <f t="shared" ca="1" si="275"/>
        <v>46015</v>
      </c>
      <c r="K293" s="20">
        <f t="shared" ca="1" si="276"/>
        <v>0.28273148148148147</v>
      </c>
      <c r="L293" s="19" t="s">
        <v>18</v>
      </c>
      <c r="M293" s="18">
        <v>1004802</v>
      </c>
      <c r="N293" s="49" t="s">
        <v>34</v>
      </c>
      <c r="O293" s="11" t="str" cm="1">
        <f t="array" ref="O293">_xlfn.IFS(N293="FG2020US1", "Ibuprofen Tablets (100 MG)", N293="FG0001SEG", "Metformin Tablets (100 MG)", N293="FG0002SEG", "Metformin Tablets (200 MG)", N293="FG0003SEG", "Metformin Tablets (500 MG)", N293="FG00UDI4", "Aspirin Tablets (500 MG)")</f>
        <v>Metformin Tablets (200 MG)</v>
      </c>
      <c r="P293" s="11">
        <v>4292</v>
      </c>
    </row>
    <row r="294" spans="1:16" x14ac:dyDescent="0.35">
      <c r="A294" s="11">
        <v>40000002793</v>
      </c>
      <c r="B294" s="18">
        <v>1010</v>
      </c>
      <c r="C294" s="19">
        <v>4</v>
      </c>
      <c r="D294" s="2" t="s">
        <v>320</v>
      </c>
      <c r="E294" s="6">
        <f t="shared" ref="E294" ca="1" si="312">E295</f>
        <v>46016</v>
      </c>
      <c r="F294" s="15">
        <f ca="1">TIME(RANDBETWEEN(12,22), RANDBETWEEN(0,59), RANDBETWEEN(0,59))</f>
        <v>0.6865162037037037</v>
      </c>
      <c r="G294" s="18" t="s">
        <v>24</v>
      </c>
      <c r="H294" s="55">
        <f t="shared" ca="1" si="273"/>
        <v>46016</v>
      </c>
      <c r="I294" s="20">
        <f t="shared" ca="1" si="274"/>
        <v>0.6865162037037037</v>
      </c>
      <c r="J294" s="55">
        <f t="shared" ca="1" si="275"/>
        <v>46016</v>
      </c>
      <c r="K294" s="20">
        <f t="shared" ca="1" si="276"/>
        <v>0.74990740740740736</v>
      </c>
      <c r="L294" s="19" t="s">
        <v>18</v>
      </c>
      <c r="M294" s="18">
        <v>1004803</v>
      </c>
      <c r="N294" s="49" t="s">
        <v>27</v>
      </c>
      <c r="O294" s="11" t="str" cm="1">
        <f t="array" ref="O294">_xlfn.IFS(N294="FG2020US1", "Ibuprofen Tablets (100 MG)", N294="FG0001SEG", "Metformin Tablets (100 MG)", N294="FG0002SEG", "Metformin Tablets (200 MG)", N294="FG0003SEG", "Metformin Tablets (500 MG)", N294="FG00UDI4", "Aspirin Tablets (500 MG)")</f>
        <v>Metformin Tablets (500 MG)</v>
      </c>
      <c r="P294" s="11">
        <v>4293</v>
      </c>
    </row>
    <row r="295" spans="1:16" x14ac:dyDescent="0.35">
      <c r="A295" s="11">
        <v>40000002794</v>
      </c>
      <c r="B295" s="18">
        <v>1010</v>
      </c>
      <c r="C295" s="19">
        <v>4</v>
      </c>
      <c r="D295" s="2" t="s">
        <v>321</v>
      </c>
      <c r="E295" s="6">
        <f t="shared" ref="E295" ca="1" si="313">E296-1</f>
        <v>46016</v>
      </c>
      <c r="F295" s="15">
        <f ca="1">TIME(RANDBETWEEN(0,10), RANDBETWEEN(0,59), RANDBETWEEN(0,59))</f>
        <v>0.41778935185185184</v>
      </c>
      <c r="G295" s="18" t="s">
        <v>21</v>
      </c>
      <c r="H295" s="55">
        <f t="shared" ca="1" si="273"/>
        <v>46016</v>
      </c>
      <c r="I295" s="20">
        <f t="shared" ca="1" si="274"/>
        <v>0.41778935185185184</v>
      </c>
      <c r="J295" s="55">
        <f t="shared" ca="1" si="275"/>
        <v>46016</v>
      </c>
      <c r="K295" s="20">
        <f t="shared" ca="1" si="276"/>
        <v>0.48581018518518515</v>
      </c>
      <c r="L295" s="19" t="s">
        <v>18</v>
      </c>
      <c r="M295" s="18">
        <v>1004804</v>
      </c>
      <c r="N295" s="49" t="s">
        <v>27</v>
      </c>
      <c r="O295" s="11" t="str" cm="1">
        <f t="array" ref="O295">_xlfn.IFS(N295="FG2020US1", "Ibuprofen Tablets (100 MG)", N295="FG0001SEG", "Metformin Tablets (100 MG)", N295="FG0002SEG", "Metformin Tablets (200 MG)", N295="FG0003SEG", "Metformin Tablets (500 MG)", N295="FG00UDI4", "Aspirin Tablets (500 MG)")</f>
        <v>Metformin Tablets (500 MG)</v>
      </c>
      <c r="P295" s="11">
        <v>4294</v>
      </c>
    </row>
    <row r="296" spans="1:16" x14ac:dyDescent="0.35">
      <c r="A296" s="11">
        <v>40000002795</v>
      </c>
      <c r="B296" s="18">
        <v>1010</v>
      </c>
      <c r="C296" s="19">
        <v>4</v>
      </c>
      <c r="D296" s="2" t="s">
        <v>322</v>
      </c>
      <c r="E296" s="6">
        <f t="shared" ref="E296" ca="1" si="314">E297</f>
        <v>46017</v>
      </c>
      <c r="F296" s="15">
        <f ca="1">TIME(RANDBETWEEN(12,22), RANDBETWEEN(0,59), RANDBETWEEN(0,59))</f>
        <v>0.89670138888888884</v>
      </c>
      <c r="G296" s="18" t="s">
        <v>17</v>
      </c>
      <c r="H296" s="55">
        <f t="shared" ca="1" si="273"/>
        <v>46017</v>
      </c>
      <c r="I296" s="20">
        <f t="shared" ca="1" si="274"/>
        <v>0.89670138888888884</v>
      </c>
      <c r="J296" s="55">
        <f t="shared" ca="1" si="275"/>
        <v>46017</v>
      </c>
      <c r="K296" s="20">
        <f t="shared" ca="1" si="276"/>
        <v>0.97165509259259253</v>
      </c>
      <c r="L296" s="19" t="s">
        <v>18</v>
      </c>
      <c r="M296" s="18">
        <v>1004805</v>
      </c>
      <c r="N296" s="49" t="s">
        <v>22</v>
      </c>
      <c r="O296" s="11" t="str" cm="1">
        <f t="array" ref="O296">_xlfn.IFS(N296="FG2020US1", "Ibuprofen Tablets (100 MG)", N296="FG0001SEG", "Metformin Tablets (100 MG)", N296="FG0002SEG", "Metformin Tablets (200 MG)", N296="FG0003SEG", "Metformin Tablets (500 MG)", N296="FG00UDI4", "Aspirin Tablets (500 MG)")</f>
        <v>Ibuprofen Tablets (100 MG)</v>
      </c>
      <c r="P296" s="11">
        <v>4295</v>
      </c>
    </row>
    <row r="297" spans="1:16" x14ac:dyDescent="0.35">
      <c r="A297" s="11">
        <v>40000002796</v>
      </c>
      <c r="B297" s="18">
        <v>1010</v>
      </c>
      <c r="C297" s="19">
        <v>4</v>
      </c>
      <c r="D297" s="2" t="s">
        <v>323</v>
      </c>
      <c r="E297" s="6">
        <f t="shared" ref="E297" ca="1" si="315">E298-1</f>
        <v>46017</v>
      </c>
      <c r="F297" s="15">
        <f ca="1">TIME(RANDBETWEEN(0,10), RANDBETWEEN(0,59), RANDBETWEEN(0,59))</f>
        <v>0.19142361111111111</v>
      </c>
      <c r="G297" s="18" t="s">
        <v>21</v>
      </c>
      <c r="H297" s="55">
        <f t="shared" ca="1" si="273"/>
        <v>46017</v>
      </c>
      <c r="I297" s="20">
        <f t="shared" ca="1" si="274"/>
        <v>0.19142361111111111</v>
      </c>
      <c r="J297" s="55">
        <f t="shared" ca="1" si="275"/>
        <v>46017</v>
      </c>
      <c r="K297" s="20">
        <f t="shared" ca="1" si="276"/>
        <v>0.25267361111111108</v>
      </c>
      <c r="L297" s="19" t="s">
        <v>18</v>
      </c>
      <c r="M297" s="18">
        <v>1004806</v>
      </c>
      <c r="N297" s="49" t="s">
        <v>31</v>
      </c>
      <c r="O297" s="11" t="str" cm="1">
        <f t="array" ref="O297">_xlfn.IFS(N297="FG2020US1", "Ibuprofen Tablets (100 MG)", N297="FG0001SEG", "Metformin Tablets (100 MG)", N297="FG0002SEG", "Metformin Tablets (200 MG)", N297="FG0003SEG", "Metformin Tablets (500 MG)", N297="FG00UDI4", "Aspirin Tablets (500 MG)")</f>
        <v>Aspirin Tablets (500 MG)</v>
      </c>
      <c r="P297" s="11">
        <v>4296</v>
      </c>
    </row>
    <row r="298" spans="1:16" x14ac:dyDescent="0.35">
      <c r="A298" s="11">
        <v>40000002797</v>
      </c>
      <c r="B298" s="18">
        <v>1010</v>
      </c>
      <c r="C298" s="19">
        <v>4</v>
      </c>
      <c r="D298" s="2" t="s">
        <v>324</v>
      </c>
      <c r="E298" s="6">
        <f t="shared" ref="E298" ca="1" si="316">E299</f>
        <v>46018</v>
      </c>
      <c r="F298" s="15">
        <f ca="1">TIME(RANDBETWEEN(12,22), RANDBETWEEN(0,59), RANDBETWEEN(0,59))</f>
        <v>0.87621527777777775</v>
      </c>
      <c r="G298" s="18" t="s">
        <v>17</v>
      </c>
      <c r="H298" s="55">
        <f t="shared" ca="1" si="273"/>
        <v>46018</v>
      </c>
      <c r="I298" s="20">
        <f t="shared" ca="1" si="274"/>
        <v>0.87621527777777775</v>
      </c>
      <c r="J298" s="55">
        <f t="shared" ca="1" si="275"/>
        <v>46018</v>
      </c>
      <c r="K298" s="20">
        <f t="shared" ca="1" si="276"/>
        <v>0.94041666666666668</v>
      </c>
      <c r="L298" s="19" t="s">
        <v>18</v>
      </c>
      <c r="M298" s="18">
        <v>1004807</v>
      </c>
      <c r="N298" s="49" t="s">
        <v>34</v>
      </c>
      <c r="O298" s="11" t="str" cm="1">
        <f t="array" ref="O298">_xlfn.IFS(N298="FG2020US1", "Ibuprofen Tablets (100 MG)", N298="FG0001SEG", "Metformin Tablets (100 MG)", N298="FG0002SEG", "Metformin Tablets (200 MG)", N298="FG0003SEG", "Metformin Tablets (500 MG)", N298="FG00UDI4", "Aspirin Tablets (500 MG)")</f>
        <v>Metformin Tablets (200 MG)</v>
      </c>
      <c r="P298" s="11">
        <v>4297</v>
      </c>
    </row>
    <row r="299" spans="1:16" x14ac:dyDescent="0.35">
      <c r="A299" s="11">
        <v>40000002798</v>
      </c>
      <c r="B299" s="18">
        <v>1010</v>
      </c>
      <c r="C299" s="19">
        <v>4</v>
      </c>
      <c r="D299" s="2" t="s">
        <v>325</v>
      </c>
      <c r="E299" s="6">
        <f t="shared" ref="E299" ca="1" si="317">E300-1</f>
        <v>46018</v>
      </c>
      <c r="F299" s="15">
        <f ca="1">TIME(RANDBETWEEN(0,10), RANDBETWEEN(0,59), RANDBETWEEN(0,59))</f>
        <v>9.5474537037037038E-2</v>
      </c>
      <c r="G299" s="18" t="s">
        <v>21</v>
      </c>
      <c r="H299" s="55">
        <f t="shared" ca="1" si="273"/>
        <v>46018</v>
      </c>
      <c r="I299" s="20">
        <f t="shared" ca="1" si="274"/>
        <v>9.5474537037037038E-2</v>
      </c>
      <c r="J299" s="55">
        <f t="shared" ca="1" si="275"/>
        <v>46018</v>
      </c>
      <c r="K299" s="20">
        <f t="shared" ca="1" si="276"/>
        <v>0.1567361111111111</v>
      </c>
      <c r="L299" s="19" t="s">
        <v>18</v>
      </c>
      <c r="M299" s="18">
        <v>1004808</v>
      </c>
      <c r="N299" s="49" t="s">
        <v>31</v>
      </c>
      <c r="O299" s="11" t="str" cm="1">
        <f t="array" ref="O299">_xlfn.IFS(N299="FG2020US1", "Ibuprofen Tablets (100 MG)", N299="FG0001SEG", "Metformin Tablets (100 MG)", N299="FG0002SEG", "Metformin Tablets (200 MG)", N299="FG0003SEG", "Metformin Tablets (500 MG)", N299="FG00UDI4", "Aspirin Tablets (500 MG)")</f>
        <v>Aspirin Tablets (500 MG)</v>
      </c>
      <c r="P299" s="11">
        <v>4298</v>
      </c>
    </row>
    <row r="300" spans="1:16" x14ac:dyDescent="0.35">
      <c r="A300" s="11">
        <v>40000002799</v>
      </c>
      <c r="B300" s="18">
        <v>1010</v>
      </c>
      <c r="C300" s="19">
        <v>4</v>
      </c>
      <c r="D300" s="2" t="s">
        <v>326</v>
      </c>
      <c r="E300" s="6">
        <f t="shared" ref="E300" ca="1" si="318">E301</f>
        <v>46019</v>
      </c>
      <c r="F300" s="15">
        <f ca="1">TIME(RANDBETWEEN(12,22), RANDBETWEEN(0,59), RANDBETWEEN(0,59))</f>
        <v>0.78758101851851847</v>
      </c>
      <c r="G300" s="18" t="s">
        <v>17</v>
      </c>
      <c r="H300" s="55">
        <f t="shared" ca="1" si="273"/>
        <v>46019</v>
      </c>
      <c r="I300" s="20">
        <f t="shared" ca="1" si="274"/>
        <v>0.78758101851851847</v>
      </c>
      <c r="J300" s="55">
        <f t="shared" ca="1" si="275"/>
        <v>46019</v>
      </c>
      <c r="K300" s="20">
        <f t="shared" ca="1" si="276"/>
        <v>0.85940972222222212</v>
      </c>
      <c r="L300" s="19" t="s">
        <v>18</v>
      </c>
      <c r="M300" s="18">
        <v>1004809</v>
      </c>
      <c r="N300" s="49" t="s">
        <v>27</v>
      </c>
      <c r="O300" s="11" t="str" cm="1">
        <f t="array" ref="O300">_xlfn.IFS(N300="FG2020US1", "Ibuprofen Tablets (100 MG)", N300="FG0001SEG", "Metformin Tablets (100 MG)", N300="FG0002SEG", "Metformin Tablets (200 MG)", N300="FG0003SEG", "Metformin Tablets (500 MG)", N300="FG00UDI4", "Aspirin Tablets (500 MG)")</f>
        <v>Metformin Tablets (500 MG)</v>
      </c>
      <c r="P300" s="11">
        <v>4299</v>
      </c>
    </row>
    <row r="301" spans="1:16" x14ac:dyDescent="0.35">
      <c r="A301" s="11">
        <v>40000002800</v>
      </c>
      <c r="B301" s="18">
        <v>1010</v>
      </c>
      <c r="C301" s="19">
        <v>4</v>
      </c>
      <c r="D301" s="2" t="s">
        <v>327</v>
      </c>
      <c r="E301" s="6">
        <f t="shared" ref="E301" ca="1" si="319">E302-1</f>
        <v>46019</v>
      </c>
      <c r="F301" s="15">
        <f ca="1">TIME(RANDBETWEEN(0,10), RANDBETWEEN(0,59), RANDBETWEEN(0,59))</f>
        <v>0.1162962962962963</v>
      </c>
      <c r="G301" s="18" t="s">
        <v>39</v>
      </c>
      <c r="H301" s="55">
        <f t="shared" ca="1" si="273"/>
        <v>46019</v>
      </c>
      <c r="I301" s="20">
        <f t="shared" ca="1" si="274"/>
        <v>0.1162962962962963</v>
      </c>
      <c r="J301" s="55">
        <f t="shared" ca="1" si="275"/>
        <v>46019</v>
      </c>
      <c r="K301" s="20">
        <f t="shared" ca="1" si="276"/>
        <v>0.18743055555555554</v>
      </c>
      <c r="L301" s="19" t="s">
        <v>18</v>
      </c>
      <c r="M301" s="18">
        <v>1004810</v>
      </c>
      <c r="N301" s="49" t="s">
        <v>22</v>
      </c>
      <c r="O301" s="11" t="str" cm="1">
        <f t="array" ref="O301">_xlfn.IFS(N301="FG2020US1", "Ibuprofen Tablets (100 MG)", N301="FG0001SEG", "Metformin Tablets (100 MG)", N301="FG0002SEG", "Metformin Tablets (200 MG)", N301="FG0003SEG", "Metformin Tablets (500 MG)", N301="FG00UDI4", "Aspirin Tablets (500 MG)")</f>
        <v>Ibuprofen Tablets (100 MG)</v>
      </c>
      <c r="P301" s="11">
        <v>4300</v>
      </c>
    </row>
    <row r="302" spans="1:16" x14ac:dyDescent="0.35">
      <c r="A302" s="11">
        <v>40000002801</v>
      </c>
      <c r="B302" s="18">
        <v>1010</v>
      </c>
      <c r="C302" s="19">
        <v>4</v>
      </c>
      <c r="D302" s="2" t="s">
        <v>328</v>
      </c>
      <c r="E302" s="6">
        <f t="shared" ref="E302" ca="1" si="320">E303</f>
        <v>46020</v>
      </c>
      <c r="F302" s="15">
        <f ca="1">TIME(RANDBETWEEN(12,22), RANDBETWEEN(0,59), RANDBETWEEN(0,59))</f>
        <v>0.92229166666666662</v>
      </c>
      <c r="G302" s="18" t="s">
        <v>30</v>
      </c>
      <c r="H302" s="55">
        <f t="shared" ca="1" si="273"/>
        <v>46020</v>
      </c>
      <c r="I302" s="20">
        <f t="shared" ca="1" si="274"/>
        <v>0.92229166666666662</v>
      </c>
      <c r="J302" s="55">
        <f t="shared" ca="1" si="275"/>
        <v>46020</v>
      </c>
      <c r="K302" s="20">
        <f t="shared" ca="1" si="276"/>
        <v>0.99836805555555552</v>
      </c>
      <c r="L302" s="19" t="s">
        <v>18</v>
      </c>
      <c r="M302" s="18">
        <v>1004811</v>
      </c>
      <c r="N302" s="49" t="s">
        <v>34</v>
      </c>
      <c r="O302" s="11" t="str" cm="1">
        <f t="array" ref="O302">_xlfn.IFS(N302="FG2020US1", "Ibuprofen Tablets (100 MG)", N302="FG0001SEG", "Metformin Tablets (100 MG)", N302="FG0002SEG", "Metformin Tablets (200 MG)", N302="FG0003SEG", "Metformin Tablets (500 MG)", N302="FG00UDI4", "Aspirin Tablets (500 MG)")</f>
        <v>Metformin Tablets (200 MG)</v>
      </c>
      <c r="P302" s="11">
        <v>4301</v>
      </c>
    </row>
    <row r="303" spans="1:16" x14ac:dyDescent="0.35">
      <c r="A303" s="11">
        <v>40000002802</v>
      </c>
      <c r="B303" s="18">
        <v>1010</v>
      </c>
      <c r="C303" s="19">
        <v>4</v>
      </c>
      <c r="D303" s="2" t="s">
        <v>329</v>
      </c>
      <c r="E303" s="6">
        <f t="shared" ref="E303" ca="1" si="321">E304-1</f>
        <v>46020</v>
      </c>
      <c r="F303" s="15">
        <f ca="1">TIME(RANDBETWEEN(0,10), RANDBETWEEN(0,59), RANDBETWEEN(0,59))</f>
        <v>0.22812499999999999</v>
      </c>
      <c r="G303" s="18" t="s">
        <v>36</v>
      </c>
      <c r="H303" s="55">
        <f t="shared" ca="1" si="273"/>
        <v>46020</v>
      </c>
      <c r="I303" s="20">
        <f t="shared" ca="1" si="274"/>
        <v>0.22812499999999999</v>
      </c>
      <c r="J303" s="55">
        <f t="shared" ca="1" si="275"/>
        <v>46020</v>
      </c>
      <c r="K303" s="20">
        <f t="shared" ca="1" si="276"/>
        <v>0.29138888888888886</v>
      </c>
      <c r="L303" s="19" t="s">
        <v>18</v>
      </c>
      <c r="M303" s="18">
        <v>1004812</v>
      </c>
      <c r="N303" s="49" t="s">
        <v>19</v>
      </c>
      <c r="O303" s="11" t="str" cm="1">
        <f t="array" ref="O303">_xlfn.IFS(N303="FG2020US1", "Ibuprofen Tablets (100 MG)", N303="FG0001SEG", "Metformin Tablets (100 MG)", N303="FG0002SEG", "Metformin Tablets (200 MG)", N303="FG0003SEG", "Metformin Tablets (500 MG)", N303="FG00UDI4", "Aspirin Tablets (500 MG)")</f>
        <v>Metformin Tablets (100 MG)</v>
      </c>
      <c r="P303" s="11">
        <v>4302</v>
      </c>
    </row>
    <row r="304" spans="1:16" x14ac:dyDescent="0.35">
      <c r="A304" s="11">
        <v>40000002803</v>
      </c>
      <c r="B304" s="18">
        <v>1010</v>
      </c>
      <c r="C304" s="19">
        <v>4</v>
      </c>
      <c r="D304" s="2" t="s">
        <v>330</v>
      </c>
      <c r="E304" s="6">
        <f t="shared" ref="E304" ca="1" si="322">E305</f>
        <v>46021</v>
      </c>
      <c r="F304" s="15">
        <f ca="1">TIME(RANDBETWEEN(12,22), RANDBETWEEN(0,59), RANDBETWEEN(0,59))</f>
        <v>0.5568981481481482</v>
      </c>
      <c r="G304" s="18" t="s">
        <v>30</v>
      </c>
      <c r="H304" s="55">
        <f t="shared" ca="1" si="273"/>
        <v>46021</v>
      </c>
      <c r="I304" s="20">
        <f t="shared" ca="1" si="274"/>
        <v>0.5568981481481482</v>
      </c>
      <c r="J304" s="55">
        <f t="shared" ca="1" si="275"/>
        <v>46021</v>
      </c>
      <c r="K304" s="20">
        <f t="shared" ca="1" si="276"/>
        <v>0.63141203703703708</v>
      </c>
      <c r="L304" s="19" t="s">
        <v>18</v>
      </c>
      <c r="M304" s="18">
        <v>1004813</v>
      </c>
      <c r="N304" s="49" t="s">
        <v>34</v>
      </c>
      <c r="O304" s="11" t="str" cm="1">
        <f t="array" ref="O304">_xlfn.IFS(N304="FG2020US1", "Ibuprofen Tablets (100 MG)", N304="FG0001SEG", "Metformin Tablets (100 MG)", N304="FG0002SEG", "Metformin Tablets (200 MG)", N304="FG0003SEG", "Metformin Tablets (500 MG)", N304="FG00UDI4", "Aspirin Tablets (500 MG)")</f>
        <v>Metformin Tablets (200 MG)</v>
      </c>
      <c r="P304" s="11">
        <v>4303</v>
      </c>
    </row>
    <row r="305" spans="1:16" x14ac:dyDescent="0.35">
      <c r="A305" s="11">
        <v>40000002804</v>
      </c>
      <c r="B305" s="18">
        <v>1010</v>
      </c>
      <c r="C305" s="19">
        <v>4</v>
      </c>
      <c r="D305" s="2" t="s">
        <v>331</v>
      </c>
      <c r="E305" s="6">
        <f t="shared" ref="E305" ca="1" si="323">E306-1</f>
        <v>46021</v>
      </c>
      <c r="F305" s="15">
        <f ca="1">TIME(RANDBETWEEN(0,10), RANDBETWEEN(0,59), RANDBETWEEN(0,59))</f>
        <v>9.9826388888888895E-2</v>
      </c>
      <c r="G305" s="18" t="s">
        <v>21</v>
      </c>
      <c r="H305" s="55">
        <f t="shared" ca="1" si="273"/>
        <v>46021</v>
      </c>
      <c r="I305" s="20">
        <f t="shared" ca="1" si="274"/>
        <v>9.9826388888888895E-2</v>
      </c>
      <c r="J305" s="55">
        <f t="shared" ca="1" si="275"/>
        <v>46021</v>
      </c>
      <c r="K305" s="20">
        <f t="shared" ca="1" si="276"/>
        <v>0.1768865740740741</v>
      </c>
      <c r="L305" s="19" t="s">
        <v>18</v>
      </c>
      <c r="M305" s="18">
        <v>1004814</v>
      </c>
      <c r="N305" s="49" t="s">
        <v>31</v>
      </c>
      <c r="O305" s="11" t="str" cm="1">
        <f t="array" ref="O305">_xlfn.IFS(N305="FG2020US1", "Ibuprofen Tablets (100 MG)", N305="FG0001SEG", "Metformin Tablets (100 MG)", N305="FG0002SEG", "Metformin Tablets (200 MG)", N305="FG0003SEG", "Metformin Tablets (500 MG)", N305="FG00UDI4", "Aspirin Tablets (500 MG)")</f>
        <v>Aspirin Tablets (500 MG)</v>
      </c>
      <c r="P305" s="11">
        <v>4304</v>
      </c>
    </row>
    <row r="306" spans="1:16" x14ac:dyDescent="0.35">
      <c r="A306" s="11">
        <v>40000002805</v>
      </c>
      <c r="B306" s="18">
        <v>1010</v>
      </c>
      <c r="C306" s="19">
        <v>4</v>
      </c>
      <c r="D306" s="2" t="s">
        <v>332</v>
      </c>
      <c r="E306" s="6">
        <f t="shared" ref="E306" ca="1" si="324">E307</f>
        <v>46022</v>
      </c>
      <c r="F306" s="15">
        <f ca="1">TIME(RANDBETWEEN(12,22), RANDBETWEEN(0,59), RANDBETWEEN(0,59))</f>
        <v>0.82481481481481478</v>
      </c>
      <c r="G306" s="18" t="s">
        <v>30</v>
      </c>
      <c r="H306" s="55">
        <f t="shared" ca="1" si="273"/>
        <v>46022</v>
      </c>
      <c r="I306" s="20">
        <f t="shared" ca="1" si="274"/>
        <v>0.82481481481481478</v>
      </c>
      <c r="J306" s="55">
        <f t="shared" ca="1" si="275"/>
        <v>46022</v>
      </c>
      <c r="K306" s="20">
        <f t="shared" ca="1" si="276"/>
        <v>0.89504629629629628</v>
      </c>
      <c r="L306" s="19" t="s">
        <v>18</v>
      </c>
      <c r="M306" s="18">
        <v>1004815</v>
      </c>
      <c r="N306" s="49" t="s">
        <v>19</v>
      </c>
      <c r="O306" s="11" t="str" cm="1">
        <f t="array" ref="O306">_xlfn.IFS(N306="FG2020US1", "Ibuprofen Tablets (100 MG)", N306="FG0001SEG", "Metformin Tablets (100 MG)", N306="FG0002SEG", "Metformin Tablets (200 MG)", N306="FG0003SEG", "Metformin Tablets (500 MG)", N306="FG00UDI4", "Aspirin Tablets (500 MG)")</f>
        <v>Metformin Tablets (100 MG)</v>
      </c>
      <c r="P306" s="11">
        <v>4305</v>
      </c>
    </row>
    <row r="307" spans="1:16" x14ac:dyDescent="0.35">
      <c r="A307" s="11">
        <v>40000002806</v>
      </c>
      <c r="B307" s="18">
        <v>1010</v>
      </c>
      <c r="C307" s="19">
        <v>4</v>
      </c>
      <c r="D307" s="2" t="s">
        <v>333</v>
      </c>
      <c r="E307" s="6">
        <f t="shared" ref="E307" ca="1" si="325">E308-1</f>
        <v>46022</v>
      </c>
      <c r="F307" s="15">
        <f ca="1">TIME(RANDBETWEEN(0,10), RANDBETWEEN(0,59), RANDBETWEEN(0,59))</f>
        <v>0.36827546296296299</v>
      </c>
      <c r="G307" s="18" t="s">
        <v>39</v>
      </c>
      <c r="H307" s="55">
        <f t="shared" ca="1" si="273"/>
        <v>46022</v>
      </c>
      <c r="I307" s="20">
        <f t="shared" ca="1" si="274"/>
        <v>0.36827546296296299</v>
      </c>
      <c r="J307" s="55">
        <f t="shared" ca="1" si="275"/>
        <v>46022</v>
      </c>
      <c r="K307" s="20">
        <f t="shared" ca="1" si="276"/>
        <v>0.42910879629629634</v>
      </c>
      <c r="L307" s="19" t="s">
        <v>18</v>
      </c>
      <c r="M307" s="18">
        <v>1004816</v>
      </c>
      <c r="N307" s="49" t="s">
        <v>34</v>
      </c>
      <c r="O307" s="11" t="str" cm="1">
        <f t="array" ref="O307">_xlfn.IFS(N307="FG2020US1", "Ibuprofen Tablets (100 MG)", N307="FG0001SEG", "Metformin Tablets (100 MG)", N307="FG0002SEG", "Metformin Tablets (200 MG)", N307="FG0003SEG", "Metformin Tablets (500 MG)", N307="FG00UDI4", "Aspirin Tablets (500 MG)")</f>
        <v>Metformin Tablets (200 MG)</v>
      </c>
      <c r="P307" s="11">
        <v>4306</v>
      </c>
    </row>
    <row r="308" spans="1:16" x14ac:dyDescent="0.35">
      <c r="A308" s="11">
        <v>40000002807</v>
      </c>
      <c r="B308" s="18">
        <v>1010</v>
      </c>
      <c r="C308" s="19">
        <v>4</v>
      </c>
      <c r="D308" s="2" t="s">
        <v>334</v>
      </c>
      <c r="E308" s="6">
        <f t="shared" ref="E308" ca="1" si="326">E309</f>
        <v>46023</v>
      </c>
      <c r="F308" s="15">
        <f ca="1">TIME(RANDBETWEEN(12,22), RANDBETWEEN(0,59), RANDBETWEEN(0,59))</f>
        <v>0.8253935185185185</v>
      </c>
      <c r="G308" s="18" t="s">
        <v>24</v>
      </c>
      <c r="H308" s="55">
        <f t="shared" ca="1" si="273"/>
        <v>46023</v>
      </c>
      <c r="I308" s="20">
        <f t="shared" ca="1" si="274"/>
        <v>0.8253935185185185</v>
      </c>
      <c r="J308" s="55">
        <f t="shared" ca="1" si="275"/>
        <v>46023</v>
      </c>
      <c r="K308" s="20">
        <f t="shared" ca="1" si="276"/>
        <v>0.89671296296296299</v>
      </c>
      <c r="L308" s="19" t="s">
        <v>18</v>
      </c>
      <c r="M308" s="18">
        <v>1004817</v>
      </c>
      <c r="N308" s="49" t="s">
        <v>22</v>
      </c>
      <c r="O308" s="11" t="str" cm="1">
        <f t="array" ref="O308">_xlfn.IFS(N308="FG2020US1", "Ibuprofen Tablets (100 MG)", N308="FG0001SEG", "Metformin Tablets (100 MG)", N308="FG0002SEG", "Metformin Tablets (200 MG)", N308="FG0003SEG", "Metformin Tablets (500 MG)", N308="FG00UDI4", "Aspirin Tablets (500 MG)")</f>
        <v>Ibuprofen Tablets (100 MG)</v>
      </c>
      <c r="P308" s="11">
        <v>4307</v>
      </c>
    </row>
    <row r="309" spans="1:16" x14ac:dyDescent="0.35">
      <c r="A309" s="11">
        <v>40000002808</v>
      </c>
      <c r="B309" s="18">
        <v>1010</v>
      </c>
      <c r="C309" s="19">
        <v>4</v>
      </c>
      <c r="D309" s="2" t="s">
        <v>335</v>
      </c>
      <c r="E309" s="6">
        <f t="shared" ref="E309" ca="1" si="327">E310-1</f>
        <v>46023</v>
      </c>
      <c r="F309" s="15">
        <f ca="1">TIME(RANDBETWEEN(0,10), RANDBETWEEN(0,59), RANDBETWEEN(0,59))</f>
        <v>0.24997685185185184</v>
      </c>
      <c r="G309" s="18" t="s">
        <v>21</v>
      </c>
      <c r="H309" s="55">
        <f t="shared" ca="1" si="273"/>
        <v>46023</v>
      </c>
      <c r="I309" s="20">
        <f t="shared" ca="1" si="274"/>
        <v>0.24997685185185184</v>
      </c>
      <c r="J309" s="55">
        <f t="shared" ca="1" si="275"/>
        <v>46023</v>
      </c>
      <c r="K309" s="20">
        <f t="shared" ca="1" si="276"/>
        <v>0.3241087962962963</v>
      </c>
      <c r="L309" s="19" t="s">
        <v>18</v>
      </c>
      <c r="M309" s="18">
        <v>1004818</v>
      </c>
      <c r="N309" s="49" t="s">
        <v>22</v>
      </c>
      <c r="O309" s="11" t="str" cm="1">
        <f t="array" ref="O309">_xlfn.IFS(N309="FG2020US1", "Ibuprofen Tablets (100 MG)", N309="FG0001SEG", "Metformin Tablets (100 MG)", N309="FG0002SEG", "Metformin Tablets (200 MG)", N309="FG0003SEG", "Metformin Tablets (500 MG)", N309="FG00UDI4", "Aspirin Tablets (500 MG)")</f>
        <v>Ibuprofen Tablets (100 MG)</v>
      </c>
      <c r="P309" s="11">
        <v>4308</v>
      </c>
    </row>
    <row r="310" spans="1:16" x14ac:dyDescent="0.35">
      <c r="A310" s="11">
        <v>40000002809</v>
      </c>
      <c r="B310" s="18">
        <v>1010</v>
      </c>
      <c r="C310" s="19">
        <v>4</v>
      </c>
      <c r="D310" s="2" t="s">
        <v>336</v>
      </c>
      <c r="E310" s="6">
        <f t="shared" ref="E310" ca="1" si="328">E311</f>
        <v>46024</v>
      </c>
      <c r="F310" s="15">
        <f ca="1">TIME(RANDBETWEEN(12,22), RANDBETWEEN(0,59), RANDBETWEEN(0,59))</f>
        <v>0.54263888888888889</v>
      </c>
      <c r="G310" s="18" t="s">
        <v>24</v>
      </c>
      <c r="H310" s="55">
        <f t="shared" ca="1" si="273"/>
        <v>46024</v>
      </c>
      <c r="I310" s="20">
        <f t="shared" ca="1" si="274"/>
        <v>0.54263888888888889</v>
      </c>
      <c r="J310" s="55">
        <f t="shared" ca="1" si="275"/>
        <v>46024</v>
      </c>
      <c r="K310" s="20">
        <f t="shared" ca="1" si="276"/>
        <v>0.60784722222222221</v>
      </c>
      <c r="L310" s="19" t="s">
        <v>18</v>
      </c>
      <c r="M310" s="18">
        <v>1004819</v>
      </c>
      <c r="N310" s="49" t="s">
        <v>27</v>
      </c>
      <c r="O310" s="11" t="str" cm="1">
        <f t="array" ref="O310">_xlfn.IFS(N310="FG2020US1", "Ibuprofen Tablets (100 MG)", N310="FG0001SEG", "Metformin Tablets (100 MG)", N310="FG0002SEG", "Metformin Tablets (200 MG)", N310="FG0003SEG", "Metformin Tablets (500 MG)", N310="FG00UDI4", "Aspirin Tablets (500 MG)")</f>
        <v>Metformin Tablets (500 MG)</v>
      </c>
      <c r="P310" s="11">
        <v>4309</v>
      </c>
    </row>
    <row r="311" spans="1:16" x14ac:dyDescent="0.35">
      <c r="A311" s="11">
        <v>40000002810</v>
      </c>
      <c r="B311" s="18">
        <v>1010</v>
      </c>
      <c r="C311" s="19">
        <v>4</v>
      </c>
      <c r="D311" s="2" t="s">
        <v>337</v>
      </c>
      <c r="E311" s="6">
        <f t="shared" ref="E311" ca="1" si="329">E312-1</f>
        <v>46024</v>
      </c>
      <c r="F311" s="15">
        <f ca="1">TIME(RANDBETWEEN(0,10), RANDBETWEEN(0,59), RANDBETWEEN(0,59))</f>
        <v>0.2867939814814815</v>
      </c>
      <c r="G311" s="18" t="s">
        <v>39</v>
      </c>
      <c r="H311" s="55">
        <f t="shared" ca="1" si="273"/>
        <v>46024</v>
      </c>
      <c r="I311" s="20">
        <f t="shared" ca="1" si="274"/>
        <v>0.2867939814814815</v>
      </c>
      <c r="J311" s="55">
        <f t="shared" ca="1" si="275"/>
        <v>46024</v>
      </c>
      <c r="K311" s="20">
        <f t="shared" ca="1" si="276"/>
        <v>0.36353009259259261</v>
      </c>
      <c r="L311" s="19" t="s">
        <v>18</v>
      </c>
      <c r="M311" s="18">
        <v>1004820</v>
      </c>
      <c r="N311" s="49" t="s">
        <v>19</v>
      </c>
      <c r="O311" s="11" t="str" cm="1">
        <f t="array" ref="O311">_xlfn.IFS(N311="FG2020US1", "Ibuprofen Tablets (100 MG)", N311="FG0001SEG", "Metformin Tablets (100 MG)", N311="FG0002SEG", "Metformin Tablets (200 MG)", N311="FG0003SEG", "Metformin Tablets (500 MG)", N311="FG00UDI4", "Aspirin Tablets (500 MG)")</f>
        <v>Metformin Tablets (100 MG)</v>
      </c>
      <c r="P311" s="11">
        <v>4310</v>
      </c>
    </row>
    <row r="312" spans="1:16" x14ac:dyDescent="0.35">
      <c r="A312" s="11">
        <v>40000002811</v>
      </c>
      <c r="B312" s="18">
        <v>1010</v>
      </c>
      <c r="C312" s="19">
        <v>4</v>
      </c>
      <c r="D312" s="2" t="s">
        <v>338</v>
      </c>
      <c r="E312" s="6">
        <f t="shared" ref="E312" ca="1" si="330">E313</f>
        <v>46025</v>
      </c>
      <c r="F312" s="15">
        <f ca="1">TIME(RANDBETWEEN(12,22), RANDBETWEEN(0,59), RANDBETWEEN(0,59))</f>
        <v>0.65353009259259254</v>
      </c>
      <c r="G312" s="18" t="s">
        <v>24</v>
      </c>
      <c r="H312" s="55">
        <f t="shared" ca="1" si="273"/>
        <v>46025</v>
      </c>
      <c r="I312" s="20">
        <f t="shared" ca="1" si="274"/>
        <v>0.65353009259259254</v>
      </c>
      <c r="J312" s="55">
        <f t="shared" ca="1" si="275"/>
        <v>46025</v>
      </c>
      <c r="K312" s="20">
        <f t="shared" ca="1" si="276"/>
        <v>0.72855324074074068</v>
      </c>
      <c r="L312" s="19" t="s">
        <v>18</v>
      </c>
      <c r="M312" s="18">
        <v>1004821</v>
      </c>
      <c r="N312" s="49" t="s">
        <v>34</v>
      </c>
      <c r="O312" s="11" t="str" cm="1">
        <f t="array" ref="O312">_xlfn.IFS(N312="FG2020US1", "Ibuprofen Tablets (100 MG)", N312="FG0001SEG", "Metformin Tablets (100 MG)", N312="FG0002SEG", "Metformin Tablets (200 MG)", N312="FG0003SEG", "Metformin Tablets (500 MG)", N312="FG00UDI4", "Aspirin Tablets (500 MG)")</f>
        <v>Metformin Tablets (200 MG)</v>
      </c>
      <c r="P312" s="11">
        <v>4311</v>
      </c>
    </row>
    <row r="313" spans="1:16" x14ac:dyDescent="0.35">
      <c r="A313" s="11">
        <v>40000002812</v>
      </c>
      <c r="B313" s="18">
        <v>1010</v>
      </c>
      <c r="C313" s="19">
        <v>4</v>
      </c>
      <c r="D313" s="2" t="s">
        <v>339</v>
      </c>
      <c r="E313" s="6">
        <f t="shared" ref="E313" ca="1" si="331">E314-1</f>
        <v>46025</v>
      </c>
      <c r="F313" s="15">
        <f ca="1">TIME(RANDBETWEEN(0,10), RANDBETWEEN(0,59), RANDBETWEEN(0,59))</f>
        <v>0.19712962962962963</v>
      </c>
      <c r="G313" s="18" t="s">
        <v>36</v>
      </c>
      <c r="H313" s="55">
        <f t="shared" ca="1" si="273"/>
        <v>46025</v>
      </c>
      <c r="I313" s="20">
        <f t="shared" ca="1" si="274"/>
        <v>0.19712962962962963</v>
      </c>
      <c r="J313" s="55">
        <f t="shared" ca="1" si="275"/>
        <v>46025</v>
      </c>
      <c r="K313" s="20">
        <f t="shared" ca="1" si="276"/>
        <v>0.26427083333333334</v>
      </c>
      <c r="L313" s="19" t="s">
        <v>18</v>
      </c>
      <c r="M313" s="18">
        <v>1004822</v>
      </c>
      <c r="N313" s="49" t="s">
        <v>19</v>
      </c>
      <c r="O313" s="11" t="str" cm="1">
        <f t="array" ref="O313">_xlfn.IFS(N313="FG2020US1", "Ibuprofen Tablets (100 MG)", N313="FG0001SEG", "Metformin Tablets (100 MG)", N313="FG0002SEG", "Metformin Tablets (200 MG)", N313="FG0003SEG", "Metformin Tablets (500 MG)", N313="FG00UDI4", "Aspirin Tablets (500 MG)")</f>
        <v>Metformin Tablets (100 MG)</v>
      </c>
      <c r="P313" s="11">
        <v>4312</v>
      </c>
    </row>
    <row r="314" spans="1:16" x14ac:dyDescent="0.35">
      <c r="A314" s="11">
        <v>40000002813</v>
      </c>
      <c r="B314" s="18">
        <v>1010</v>
      </c>
      <c r="C314" s="19">
        <v>4</v>
      </c>
      <c r="D314" s="2" t="s">
        <v>340</v>
      </c>
      <c r="E314" s="6">
        <f t="shared" ref="E314" ca="1" si="332">E315</f>
        <v>46026</v>
      </c>
      <c r="F314" s="15">
        <f ca="1">TIME(RANDBETWEEN(12,22), RANDBETWEEN(0,59), RANDBETWEEN(0,59))</f>
        <v>0.91831018518518515</v>
      </c>
      <c r="G314" s="18" t="s">
        <v>17</v>
      </c>
      <c r="H314" s="55">
        <f t="shared" ca="1" si="273"/>
        <v>46026</v>
      </c>
      <c r="I314" s="20">
        <f t="shared" ca="1" si="274"/>
        <v>0.91831018518518515</v>
      </c>
      <c r="J314" s="55">
        <f t="shared" ca="1" si="275"/>
        <v>46026</v>
      </c>
      <c r="K314" s="20">
        <f t="shared" ca="1" si="276"/>
        <v>0.99042824074074076</v>
      </c>
      <c r="L314" s="19" t="s">
        <v>18</v>
      </c>
      <c r="M314" s="18">
        <v>1004823</v>
      </c>
      <c r="N314" s="49" t="s">
        <v>19</v>
      </c>
      <c r="O314" s="11" t="str" cm="1">
        <f t="array" ref="O314">_xlfn.IFS(N314="FG2020US1", "Ibuprofen Tablets (100 MG)", N314="FG0001SEG", "Metformin Tablets (100 MG)", N314="FG0002SEG", "Metformin Tablets (200 MG)", N314="FG0003SEG", "Metformin Tablets (500 MG)", N314="FG00UDI4", "Aspirin Tablets (500 MG)")</f>
        <v>Metformin Tablets (100 MG)</v>
      </c>
      <c r="P314" s="11">
        <v>4313</v>
      </c>
    </row>
    <row r="315" spans="1:16" x14ac:dyDescent="0.35">
      <c r="A315" s="11">
        <v>40000002814</v>
      </c>
      <c r="B315" s="18">
        <v>1010</v>
      </c>
      <c r="C315" s="19">
        <v>4</v>
      </c>
      <c r="D315" s="2" t="s">
        <v>341</v>
      </c>
      <c r="E315" s="6">
        <f t="shared" ref="E315" ca="1" si="333">E316-1</f>
        <v>46026</v>
      </c>
      <c r="F315" s="15">
        <f ca="1">TIME(RANDBETWEEN(0,10), RANDBETWEEN(0,59), RANDBETWEEN(0,59))</f>
        <v>0.30302083333333335</v>
      </c>
      <c r="G315" s="18" t="s">
        <v>21</v>
      </c>
      <c r="H315" s="55">
        <f t="shared" ca="1" si="273"/>
        <v>46026</v>
      </c>
      <c r="I315" s="20">
        <f t="shared" ca="1" si="274"/>
        <v>0.30302083333333335</v>
      </c>
      <c r="J315" s="55">
        <f t="shared" ca="1" si="275"/>
        <v>46026</v>
      </c>
      <c r="K315" s="20">
        <f t="shared" ca="1" si="276"/>
        <v>0.3716666666666667</v>
      </c>
      <c r="L315" s="19" t="s">
        <v>18</v>
      </c>
      <c r="M315" s="18">
        <v>1004824</v>
      </c>
      <c r="N315" s="49" t="s">
        <v>31</v>
      </c>
      <c r="O315" s="11" t="str" cm="1">
        <f t="array" ref="O315">_xlfn.IFS(N315="FG2020US1", "Ibuprofen Tablets (100 MG)", N315="FG0001SEG", "Metformin Tablets (100 MG)", N315="FG0002SEG", "Metformin Tablets (200 MG)", N315="FG0003SEG", "Metformin Tablets (500 MG)", N315="FG00UDI4", "Aspirin Tablets (500 MG)")</f>
        <v>Aspirin Tablets (500 MG)</v>
      </c>
      <c r="P315" s="11">
        <v>4314</v>
      </c>
    </row>
    <row r="316" spans="1:16" x14ac:dyDescent="0.35">
      <c r="A316" s="11">
        <v>40000002815</v>
      </c>
      <c r="B316" s="18">
        <v>1010</v>
      </c>
      <c r="C316" s="19">
        <v>4</v>
      </c>
      <c r="D316" s="2" t="s">
        <v>342</v>
      </c>
      <c r="E316" s="6">
        <f t="shared" ref="E316" ca="1" si="334">E317</f>
        <v>46027</v>
      </c>
      <c r="F316" s="15">
        <f ca="1">TIME(RANDBETWEEN(12,22), RANDBETWEEN(0,59), RANDBETWEEN(0,59))</f>
        <v>0.71333333333333337</v>
      </c>
      <c r="G316" s="18" t="s">
        <v>30</v>
      </c>
      <c r="H316" s="55">
        <f t="shared" ca="1" si="273"/>
        <v>46027</v>
      </c>
      <c r="I316" s="20">
        <f t="shared" ca="1" si="274"/>
        <v>0.71333333333333337</v>
      </c>
      <c r="J316" s="55">
        <f t="shared" ca="1" si="275"/>
        <v>46027</v>
      </c>
      <c r="K316" s="20">
        <f t="shared" ca="1" si="276"/>
        <v>0.78093750000000006</v>
      </c>
      <c r="L316" s="19" t="s">
        <v>18</v>
      </c>
      <c r="M316" s="18">
        <v>1004825</v>
      </c>
      <c r="N316" s="49" t="s">
        <v>22</v>
      </c>
      <c r="O316" s="11" t="str" cm="1">
        <f t="array" ref="O316">_xlfn.IFS(N316="FG2020US1", "Ibuprofen Tablets (100 MG)", N316="FG0001SEG", "Metformin Tablets (100 MG)", N316="FG0002SEG", "Metformin Tablets (200 MG)", N316="FG0003SEG", "Metformin Tablets (500 MG)", N316="FG00UDI4", "Aspirin Tablets (500 MG)")</f>
        <v>Ibuprofen Tablets (100 MG)</v>
      </c>
      <c r="P316" s="11">
        <v>4315</v>
      </c>
    </row>
    <row r="317" spans="1:16" x14ac:dyDescent="0.35">
      <c r="A317" s="11">
        <v>40000002816</v>
      </c>
      <c r="B317" s="18">
        <v>1010</v>
      </c>
      <c r="C317" s="19">
        <v>4</v>
      </c>
      <c r="D317" s="2" t="s">
        <v>343</v>
      </c>
      <c r="E317" s="6">
        <f t="shared" ref="E317" ca="1" si="335">E318-1</f>
        <v>46027</v>
      </c>
      <c r="F317" s="15">
        <f ca="1">TIME(RANDBETWEEN(0,10), RANDBETWEEN(0,59), RANDBETWEEN(0,59))</f>
        <v>0.26314814814814813</v>
      </c>
      <c r="G317" s="18" t="s">
        <v>39</v>
      </c>
      <c r="H317" s="55">
        <f t="shared" ca="1" si="273"/>
        <v>46027</v>
      </c>
      <c r="I317" s="20">
        <f t="shared" ca="1" si="274"/>
        <v>0.26314814814814813</v>
      </c>
      <c r="J317" s="55">
        <f t="shared" ca="1" si="275"/>
        <v>46027</v>
      </c>
      <c r="K317" s="20">
        <f t="shared" ca="1" si="276"/>
        <v>0.33405092592592589</v>
      </c>
      <c r="L317" s="19" t="s">
        <v>18</v>
      </c>
      <c r="M317" s="18">
        <v>1004826</v>
      </c>
      <c r="N317" s="49" t="s">
        <v>19</v>
      </c>
      <c r="O317" s="11" t="str" cm="1">
        <f t="array" ref="O317">_xlfn.IFS(N317="FG2020US1", "Ibuprofen Tablets (100 MG)", N317="FG0001SEG", "Metformin Tablets (100 MG)", N317="FG0002SEG", "Metformin Tablets (200 MG)", N317="FG0003SEG", "Metformin Tablets (500 MG)", N317="FG00UDI4", "Aspirin Tablets (500 MG)")</f>
        <v>Metformin Tablets (100 MG)</v>
      </c>
      <c r="P317" s="11">
        <v>4316</v>
      </c>
    </row>
    <row r="318" spans="1:16" x14ac:dyDescent="0.35">
      <c r="A318" s="11">
        <v>40000002817</v>
      </c>
      <c r="B318" s="18">
        <v>1010</v>
      </c>
      <c r="C318" s="19">
        <v>4</v>
      </c>
      <c r="D318" s="2" t="s">
        <v>344</v>
      </c>
      <c r="E318" s="6">
        <f t="shared" ref="E318" ca="1" si="336">E319</f>
        <v>46028</v>
      </c>
      <c r="F318" s="15">
        <f ca="1">TIME(RANDBETWEEN(12,22), RANDBETWEEN(0,59), RANDBETWEEN(0,59))</f>
        <v>0.6777199074074074</v>
      </c>
      <c r="G318" s="18" t="s">
        <v>30</v>
      </c>
      <c r="H318" s="55">
        <f t="shared" ca="1" si="273"/>
        <v>46028</v>
      </c>
      <c r="I318" s="20">
        <f t="shared" ca="1" si="274"/>
        <v>0.6777199074074074</v>
      </c>
      <c r="J318" s="55">
        <f t="shared" ca="1" si="275"/>
        <v>46028</v>
      </c>
      <c r="K318" s="20">
        <f t="shared" ca="1" si="276"/>
        <v>0.73680555555555549</v>
      </c>
      <c r="L318" s="19" t="s">
        <v>18</v>
      </c>
      <c r="M318" s="18">
        <v>1004827</v>
      </c>
      <c r="N318" s="49" t="s">
        <v>19</v>
      </c>
      <c r="O318" s="11" t="str" cm="1">
        <f t="array" ref="O318">_xlfn.IFS(N318="FG2020US1", "Ibuprofen Tablets (100 MG)", N318="FG0001SEG", "Metformin Tablets (100 MG)", N318="FG0002SEG", "Metformin Tablets (200 MG)", N318="FG0003SEG", "Metformin Tablets (500 MG)", N318="FG00UDI4", "Aspirin Tablets (500 MG)")</f>
        <v>Metformin Tablets (100 MG)</v>
      </c>
      <c r="P318" s="11">
        <v>4317</v>
      </c>
    </row>
    <row r="319" spans="1:16" x14ac:dyDescent="0.35">
      <c r="A319" s="11">
        <v>40000002818</v>
      </c>
      <c r="B319" s="18">
        <v>1010</v>
      </c>
      <c r="C319" s="19">
        <v>4</v>
      </c>
      <c r="D319" s="2" t="s">
        <v>345</v>
      </c>
      <c r="E319" s="6">
        <f t="shared" ref="E319" ca="1" si="337">E320-1</f>
        <v>46028</v>
      </c>
      <c r="F319" s="15">
        <f ca="1">TIME(RANDBETWEEN(0,10), RANDBETWEEN(0,59), RANDBETWEEN(0,59))</f>
        <v>1.787037037037037E-2</v>
      </c>
      <c r="G319" s="18" t="s">
        <v>21</v>
      </c>
      <c r="H319" s="55">
        <f t="shared" ca="1" si="273"/>
        <v>46028</v>
      </c>
      <c r="I319" s="20">
        <f t="shared" ca="1" si="274"/>
        <v>1.787037037037037E-2</v>
      </c>
      <c r="J319" s="55">
        <f t="shared" ca="1" si="275"/>
        <v>46028</v>
      </c>
      <c r="K319" s="20">
        <f t="shared" ca="1" si="276"/>
        <v>9.0752314814814813E-2</v>
      </c>
      <c r="L319" s="19" t="s">
        <v>18</v>
      </c>
      <c r="M319" s="18">
        <v>1004828</v>
      </c>
      <c r="N319" s="49" t="s">
        <v>34</v>
      </c>
      <c r="O319" s="11" t="str" cm="1">
        <f t="array" ref="O319">_xlfn.IFS(N319="FG2020US1", "Ibuprofen Tablets (100 MG)", N319="FG0001SEG", "Metformin Tablets (100 MG)", N319="FG0002SEG", "Metformin Tablets (200 MG)", N319="FG0003SEG", "Metformin Tablets (500 MG)", N319="FG00UDI4", "Aspirin Tablets (500 MG)")</f>
        <v>Metformin Tablets (200 MG)</v>
      </c>
      <c r="P319" s="11">
        <v>4318</v>
      </c>
    </row>
    <row r="320" spans="1:16" x14ac:dyDescent="0.35">
      <c r="A320" s="11">
        <v>40000002819</v>
      </c>
      <c r="B320" s="18">
        <v>1010</v>
      </c>
      <c r="C320" s="19">
        <v>4</v>
      </c>
      <c r="D320" s="2" t="s">
        <v>346</v>
      </c>
      <c r="E320" s="6">
        <f t="shared" ref="E320" ca="1" si="338">E321</f>
        <v>46029</v>
      </c>
      <c r="F320" s="15">
        <f ca="1">TIME(RANDBETWEEN(12,22), RANDBETWEEN(0,59), RANDBETWEEN(0,59))</f>
        <v>0.88650462962962961</v>
      </c>
      <c r="G320" s="18" t="s">
        <v>24</v>
      </c>
      <c r="H320" s="55">
        <f t="shared" ca="1" si="273"/>
        <v>46029</v>
      </c>
      <c r="I320" s="20">
        <f t="shared" ca="1" si="274"/>
        <v>0.88650462962962961</v>
      </c>
      <c r="J320" s="55">
        <f t="shared" ca="1" si="275"/>
        <v>46029</v>
      </c>
      <c r="K320" s="20">
        <f t="shared" ca="1" si="276"/>
        <v>0.95625000000000004</v>
      </c>
      <c r="L320" s="19" t="s">
        <v>18</v>
      </c>
      <c r="M320" s="18">
        <v>1004829</v>
      </c>
      <c r="N320" s="49" t="s">
        <v>31</v>
      </c>
      <c r="O320" s="11" t="str" cm="1">
        <f t="array" ref="O320">_xlfn.IFS(N320="FG2020US1", "Ibuprofen Tablets (100 MG)", N320="FG0001SEG", "Metformin Tablets (100 MG)", N320="FG0002SEG", "Metformin Tablets (200 MG)", N320="FG0003SEG", "Metformin Tablets (500 MG)", N320="FG00UDI4", "Aspirin Tablets (500 MG)")</f>
        <v>Aspirin Tablets (500 MG)</v>
      </c>
      <c r="P320" s="11">
        <v>4319</v>
      </c>
    </row>
    <row r="321" spans="1:16" x14ac:dyDescent="0.35">
      <c r="A321" s="11">
        <v>40000002820</v>
      </c>
      <c r="B321" s="18">
        <v>1010</v>
      </c>
      <c r="C321" s="19">
        <v>4</v>
      </c>
      <c r="D321" s="2" t="s">
        <v>347</v>
      </c>
      <c r="E321" s="6">
        <f t="shared" ref="E321" ca="1" si="339">E322-1</f>
        <v>46029</v>
      </c>
      <c r="F321" s="15">
        <f ca="1">TIME(RANDBETWEEN(0,10), RANDBETWEEN(0,59), RANDBETWEEN(0,59))</f>
        <v>9.9039351851851851E-2</v>
      </c>
      <c r="G321" s="18" t="s">
        <v>21</v>
      </c>
      <c r="H321" s="55">
        <f t="shared" ca="1" si="273"/>
        <v>46029</v>
      </c>
      <c r="I321" s="20">
        <f t="shared" ca="1" si="274"/>
        <v>9.9039351851851851E-2</v>
      </c>
      <c r="J321" s="55">
        <f t="shared" ca="1" si="275"/>
        <v>46029</v>
      </c>
      <c r="K321" s="20">
        <f t="shared" ca="1" si="276"/>
        <v>0.16260416666666666</v>
      </c>
      <c r="L321" s="19" t="s">
        <v>18</v>
      </c>
      <c r="M321" s="18">
        <v>1004830</v>
      </c>
      <c r="N321" s="49" t="s">
        <v>34</v>
      </c>
      <c r="O321" s="11" t="str" cm="1">
        <f t="array" ref="O321">_xlfn.IFS(N321="FG2020US1", "Ibuprofen Tablets (100 MG)", N321="FG0001SEG", "Metformin Tablets (100 MG)", N321="FG0002SEG", "Metformin Tablets (200 MG)", N321="FG0003SEG", "Metformin Tablets (500 MG)", N321="FG00UDI4", "Aspirin Tablets (500 MG)")</f>
        <v>Metformin Tablets (200 MG)</v>
      </c>
      <c r="P321" s="11">
        <v>4320</v>
      </c>
    </row>
    <row r="322" spans="1:16" x14ac:dyDescent="0.35">
      <c r="A322" s="11">
        <v>40000002821</v>
      </c>
      <c r="B322" s="18">
        <v>1010</v>
      </c>
      <c r="C322" s="19">
        <v>4</v>
      </c>
      <c r="D322" s="2" t="s">
        <v>348</v>
      </c>
      <c r="E322" s="6">
        <f t="shared" ref="E322" ca="1" si="340">E323</f>
        <v>46030</v>
      </c>
      <c r="F322" s="15">
        <f ca="1">TIME(RANDBETWEEN(12,22), RANDBETWEEN(0,59), RANDBETWEEN(0,59))</f>
        <v>0.78494212962962961</v>
      </c>
      <c r="G322" s="18" t="s">
        <v>24</v>
      </c>
      <c r="H322" s="55">
        <f t="shared" ref="H322:H361" ca="1" si="341">E322</f>
        <v>46030</v>
      </c>
      <c r="I322" s="20">
        <f t="shared" ref="I322:I361" ca="1" si="342">F322</f>
        <v>0.78494212962962961</v>
      </c>
      <c r="J322" s="55">
        <f t="shared" ref="J322:J361" ca="1" si="343">E322</f>
        <v>46030</v>
      </c>
      <c r="K322" s="20">
        <f t="shared" ref="K322:K361" ca="1" si="344">I322+TIME(1,RANDBETWEEN(25,50),RANDBETWEEN(0,59))</f>
        <v>0.85148148148148151</v>
      </c>
      <c r="L322" s="19" t="s">
        <v>18</v>
      </c>
      <c r="M322" s="18">
        <v>1004831</v>
      </c>
      <c r="N322" s="49" t="s">
        <v>27</v>
      </c>
      <c r="O322" s="11" t="str" cm="1">
        <f t="array" ref="O322">_xlfn.IFS(N322="FG2020US1", "Ibuprofen Tablets (100 MG)", N322="FG0001SEG", "Metformin Tablets (100 MG)", N322="FG0002SEG", "Metformin Tablets (200 MG)", N322="FG0003SEG", "Metformin Tablets (500 MG)", N322="FG00UDI4", "Aspirin Tablets (500 MG)")</f>
        <v>Metformin Tablets (500 MG)</v>
      </c>
      <c r="P322" s="11">
        <v>4321</v>
      </c>
    </row>
    <row r="323" spans="1:16" x14ac:dyDescent="0.35">
      <c r="A323" s="11">
        <v>40000002822</v>
      </c>
      <c r="B323" s="18">
        <v>1010</v>
      </c>
      <c r="C323" s="19">
        <v>4</v>
      </c>
      <c r="D323" s="2" t="s">
        <v>349</v>
      </c>
      <c r="E323" s="6">
        <f t="shared" ref="E323" ca="1" si="345">E324-1</f>
        <v>46030</v>
      </c>
      <c r="F323" s="15">
        <f ca="1">TIME(RANDBETWEEN(0,10), RANDBETWEEN(0,59), RANDBETWEEN(0,59))</f>
        <v>0.34836805555555556</v>
      </c>
      <c r="G323" s="18" t="s">
        <v>39</v>
      </c>
      <c r="H323" s="55">
        <f t="shared" ca="1" si="341"/>
        <v>46030</v>
      </c>
      <c r="I323" s="20">
        <f t="shared" ca="1" si="342"/>
        <v>0.34836805555555556</v>
      </c>
      <c r="J323" s="55">
        <f t="shared" ca="1" si="343"/>
        <v>46030</v>
      </c>
      <c r="K323" s="20">
        <f t="shared" ca="1" si="344"/>
        <v>0.41167824074074078</v>
      </c>
      <c r="L323" s="19" t="s">
        <v>18</v>
      </c>
      <c r="M323" s="18">
        <v>1004832</v>
      </c>
      <c r="N323" s="49" t="s">
        <v>34</v>
      </c>
      <c r="O323" s="11" t="str" cm="1">
        <f t="array" ref="O323">_xlfn.IFS(N323="FG2020US1", "Ibuprofen Tablets (100 MG)", N323="FG0001SEG", "Metformin Tablets (100 MG)", N323="FG0002SEG", "Metformin Tablets (200 MG)", N323="FG0003SEG", "Metformin Tablets (500 MG)", N323="FG00UDI4", "Aspirin Tablets (500 MG)")</f>
        <v>Metformin Tablets (200 MG)</v>
      </c>
      <c r="P323" s="11">
        <v>4322</v>
      </c>
    </row>
    <row r="324" spans="1:16" x14ac:dyDescent="0.35">
      <c r="A324" s="11">
        <v>40000002823</v>
      </c>
      <c r="B324" s="18">
        <v>1010</v>
      </c>
      <c r="C324" s="19">
        <v>4</v>
      </c>
      <c r="D324" s="2" t="s">
        <v>350</v>
      </c>
      <c r="E324" s="6">
        <f t="shared" ref="E324" ca="1" si="346">E325</f>
        <v>46031</v>
      </c>
      <c r="F324" s="15">
        <f ca="1">TIME(RANDBETWEEN(12,22), RANDBETWEEN(0,59), RANDBETWEEN(0,59))</f>
        <v>0.93541666666666667</v>
      </c>
      <c r="G324" s="18" t="s">
        <v>17</v>
      </c>
      <c r="H324" s="55">
        <f t="shared" ca="1" si="341"/>
        <v>46031</v>
      </c>
      <c r="I324" s="20">
        <f t="shared" ca="1" si="342"/>
        <v>0.93541666666666667</v>
      </c>
      <c r="J324" s="55">
        <f t="shared" ca="1" si="343"/>
        <v>46031</v>
      </c>
      <c r="K324" s="20">
        <f t="shared" ca="1" si="344"/>
        <v>0.99736111111111114</v>
      </c>
      <c r="L324" s="19" t="s">
        <v>18</v>
      </c>
      <c r="M324" s="18">
        <v>1004833</v>
      </c>
      <c r="N324" s="49" t="s">
        <v>34</v>
      </c>
      <c r="O324" s="11" t="str" cm="1">
        <f t="array" ref="O324">_xlfn.IFS(N324="FG2020US1", "Ibuprofen Tablets (100 MG)", N324="FG0001SEG", "Metformin Tablets (100 MG)", N324="FG0002SEG", "Metformin Tablets (200 MG)", N324="FG0003SEG", "Metformin Tablets (500 MG)", N324="FG00UDI4", "Aspirin Tablets (500 MG)")</f>
        <v>Metformin Tablets (200 MG)</v>
      </c>
      <c r="P324" s="11">
        <v>4323</v>
      </c>
    </row>
    <row r="325" spans="1:16" x14ac:dyDescent="0.35">
      <c r="A325" s="11">
        <v>40000002824</v>
      </c>
      <c r="B325" s="18">
        <v>1010</v>
      </c>
      <c r="C325" s="19">
        <v>4</v>
      </c>
      <c r="D325" s="2" t="s">
        <v>351</v>
      </c>
      <c r="E325" s="6">
        <f t="shared" ref="E325" ca="1" si="347">E326-1</f>
        <v>46031</v>
      </c>
      <c r="F325" s="15">
        <f ca="1">TIME(RANDBETWEEN(0,10), RANDBETWEEN(0,59), RANDBETWEEN(0,59))</f>
        <v>0.29002314814814817</v>
      </c>
      <c r="G325" s="18" t="s">
        <v>39</v>
      </c>
      <c r="H325" s="55">
        <f t="shared" ca="1" si="341"/>
        <v>46031</v>
      </c>
      <c r="I325" s="20">
        <f t="shared" ca="1" si="342"/>
        <v>0.29002314814814817</v>
      </c>
      <c r="J325" s="55">
        <f t="shared" ca="1" si="343"/>
        <v>46031</v>
      </c>
      <c r="K325" s="20">
        <f t="shared" ca="1" si="344"/>
        <v>0.35423611111111114</v>
      </c>
      <c r="L325" s="19" t="s">
        <v>18</v>
      </c>
      <c r="M325" s="18">
        <v>1004834</v>
      </c>
      <c r="N325" s="49" t="s">
        <v>19</v>
      </c>
      <c r="O325" s="11" t="str" cm="1">
        <f t="array" ref="O325">_xlfn.IFS(N325="FG2020US1", "Ibuprofen Tablets (100 MG)", N325="FG0001SEG", "Metformin Tablets (100 MG)", N325="FG0002SEG", "Metformin Tablets (200 MG)", N325="FG0003SEG", "Metformin Tablets (500 MG)", N325="FG00UDI4", "Aspirin Tablets (500 MG)")</f>
        <v>Metformin Tablets (100 MG)</v>
      </c>
      <c r="P325" s="11">
        <v>4324</v>
      </c>
    </row>
    <row r="326" spans="1:16" x14ac:dyDescent="0.35">
      <c r="A326" s="11">
        <v>40000002825</v>
      </c>
      <c r="B326" s="18">
        <v>1010</v>
      </c>
      <c r="C326" s="19">
        <v>4</v>
      </c>
      <c r="D326" s="2" t="s">
        <v>352</v>
      </c>
      <c r="E326" s="6">
        <f t="shared" ref="E326" ca="1" si="348">E327</f>
        <v>46032</v>
      </c>
      <c r="F326" s="15">
        <f ca="1">TIME(RANDBETWEEN(12,22), RANDBETWEEN(0,59), RANDBETWEEN(0,59))</f>
        <v>0.5336805555555556</v>
      </c>
      <c r="G326" s="18" t="s">
        <v>24</v>
      </c>
      <c r="H326" s="55">
        <f t="shared" ca="1" si="341"/>
        <v>46032</v>
      </c>
      <c r="I326" s="20">
        <f t="shared" ca="1" si="342"/>
        <v>0.5336805555555556</v>
      </c>
      <c r="J326" s="55">
        <f t="shared" ca="1" si="343"/>
        <v>46032</v>
      </c>
      <c r="K326" s="20">
        <f t="shared" ca="1" si="344"/>
        <v>0.59952546296296305</v>
      </c>
      <c r="L326" s="19" t="s">
        <v>18</v>
      </c>
      <c r="M326" s="18">
        <v>1004835</v>
      </c>
      <c r="N326" s="49" t="s">
        <v>27</v>
      </c>
      <c r="O326" s="11" t="str" cm="1">
        <f t="array" ref="O326">_xlfn.IFS(N326="FG2020US1", "Ibuprofen Tablets (100 MG)", N326="FG0001SEG", "Metformin Tablets (100 MG)", N326="FG0002SEG", "Metformin Tablets (200 MG)", N326="FG0003SEG", "Metformin Tablets (500 MG)", N326="FG00UDI4", "Aspirin Tablets (500 MG)")</f>
        <v>Metformin Tablets (500 MG)</v>
      </c>
      <c r="P326" s="11">
        <v>4325</v>
      </c>
    </row>
    <row r="327" spans="1:16" x14ac:dyDescent="0.35">
      <c r="A327" s="11">
        <v>40000002826</v>
      </c>
      <c r="B327" s="18">
        <v>1010</v>
      </c>
      <c r="C327" s="19">
        <v>4</v>
      </c>
      <c r="D327" s="2" t="s">
        <v>353</v>
      </c>
      <c r="E327" s="6">
        <f t="shared" ref="E327" ca="1" si="349">E328-1</f>
        <v>46032</v>
      </c>
      <c r="F327" s="15">
        <f ca="1">TIME(RANDBETWEEN(0,10), RANDBETWEEN(0,59), RANDBETWEEN(0,59))</f>
        <v>0.1840162037037037</v>
      </c>
      <c r="G327" s="18" t="s">
        <v>36</v>
      </c>
      <c r="H327" s="55">
        <f t="shared" ca="1" si="341"/>
        <v>46032</v>
      </c>
      <c r="I327" s="20">
        <f t="shared" ca="1" si="342"/>
        <v>0.1840162037037037</v>
      </c>
      <c r="J327" s="55">
        <f t="shared" ca="1" si="343"/>
        <v>46032</v>
      </c>
      <c r="K327" s="20">
        <f t="shared" ca="1" si="344"/>
        <v>0.25096064814814811</v>
      </c>
      <c r="L327" s="19" t="s">
        <v>18</v>
      </c>
      <c r="M327" s="18">
        <v>1004836</v>
      </c>
      <c r="N327" s="49" t="s">
        <v>31</v>
      </c>
      <c r="O327" s="11" t="str" cm="1">
        <f t="array" ref="O327">_xlfn.IFS(N327="FG2020US1", "Ibuprofen Tablets (100 MG)", N327="FG0001SEG", "Metformin Tablets (100 MG)", N327="FG0002SEG", "Metformin Tablets (200 MG)", N327="FG0003SEG", "Metformin Tablets (500 MG)", N327="FG00UDI4", "Aspirin Tablets (500 MG)")</f>
        <v>Aspirin Tablets (500 MG)</v>
      </c>
      <c r="P327" s="11">
        <v>4326</v>
      </c>
    </row>
    <row r="328" spans="1:16" x14ac:dyDescent="0.35">
      <c r="A328" s="11">
        <v>40000002827</v>
      </c>
      <c r="B328" s="18">
        <v>1010</v>
      </c>
      <c r="C328" s="19">
        <v>4</v>
      </c>
      <c r="D328" s="2" t="s">
        <v>354</v>
      </c>
      <c r="E328" s="6">
        <f t="shared" ref="E328" ca="1" si="350">E329</f>
        <v>46033</v>
      </c>
      <c r="F328" s="15">
        <f ca="1">TIME(RANDBETWEEN(12,22), RANDBETWEEN(0,59), RANDBETWEEN(0,59))</f>
        <v>0.62495370370370373</v>
      </c>
      <c r="G328" s="18" t="s">
        <v>24</v>
      </c>
      <c r="H328" s="55">
        <f t="shared" ca="1" si="341"/>
        <v>46033</v>
      </c>
      <c r="I328" s="20">
        <f t="shared" ca="1" si="342"/>
        <v>0.62495370370370373</v>
      </c>
      <c r="J328" s="55">
        <f t="shared" ca="1" si="343"/>
        <v>46033</v>
      </c>
      <c r="K328" s="20">
        <f t="shared" ca="1" si="344"/>
        <v>0.68589120370370371</v>
      </c>
      <c r="L328" s="19" t="s">
        <v>18</v>
      </c>
      <c r="M328" s="18">
        <v>1004837</v>
      </c>
      <c r="N328" s="49" t="s">
        <v>22</v>
      </c>
      <c r="O328" s="11" t="str" cm="1">
        <f t="array" ref="O328">_xlfn.IFS(N328="FG2020US1", "Ibuprofen Tablets (100 MG)", N328="FG0001SEG", "Metformin Tablets (100 MG)", N328="FG0002SEG", "Metformin Tablets (200 MG)", N328="FG0003SEG", "Metformin Tablets (500 MG)", N328="FG00UDI4", "Aspirin Tablets (500 MG)")</f>
        <v>Ibuprofen Tablets (100 MG)</v>
      </c>
      <c r="P328" s="11">
        <v>4327</v>
      </c>
    </row>
    <row r="329" spans="1:16" x14ac:dyDescent="0.35">
      <c r="A329" s="11">
        <v>40000002828</v>
      </c>
      <c r="B329" s="18">
        <v>1010</v>
      </c>
      <c r="C329" s="19">
        <v>4</v>
      </c>
      <c r="D329" s="2" t="s">
        <v>355</v>
      </c>
      <c r="E329" s="6">
        <f t="shared" ref="E329" ca="1" si="351">E330-1</f>
        <v>46033</v>
      </c>
      <c r="F329" s="15">
        <f ca="1">TIME(RANDBETWEEN(0,10), RANDBETWEEN(0,59), RANDBETWEEN(0,59))</f>
        <v>0.22750000000000001</v>
      </c>
      <c r="G329" s="18" t="s">
        <v>36</v>
      </c>
      <c r="H329" s="55">
        <f t="shared" ca="1" si="341"/>
        <v>46033</v>
      </c>
      <c r="I329" s="20">
        <f t="shared" ca="1" si="342"/>
        <v>0.22750000000000001</v>
      </c>
      <c r="J329" s="55">
        <f t="shared" ca="1" si="343"/>
        <v>46033</v>
      </c>
      <c r="K329" s="20">
        <f t="shared" ca="1" si="344"/>
        <v>0.29958333333333331</v>
      </c>
      <c r="L329" s="19" t="s">
        <v>18</v>
      </c>
      <c r="M329" s="18">
        <v>1004838</v>
      </c>
      <c r="N329" s="49" t="s">
        <v>22</v>
      </c>
      <c r="O329" s="11" t="str" cm="1">
        <f t="array" ref="O329">_xlfn.IFS(N329="FG2020US1", "Ibuprofen Tablets (100 MG)", N329="FG0001SEG", "Metformin Tablets (100 MG)", N329="FG0002SEG", "Metformin Tablets (200 MG)", N329="FG0003SEG", "Metformin Tablets (500 MG)", N329="FG00UDI4", "Aspirin Tablets (500 MG)")</f>
        <v>Ibuprofen Tablets (100 MG)</v>
      </c>
      <c r="P329" s="11">
        <v>4328</v>
      </c>
    </row>
    <row r="330" spans="1:16" x14ac:dyDescent="0.35">
      <c r="A330" s="11">
        <v>40000002829</v>
      </c>
      <c r="B330" s="18">
        <v>1010</v>
      </c>
      <c r="C330" s="19">
        <v>4</v>
      </c>
      <c r="D330" s="2" t="s">
        <v>356</v>
      </c>
      <c r="E330" s="6">
        <f t="shared" ref="E330" ca="1" si="352">E331</f>
        <v>46034</v>
      </c>
      <c r="F330" s="15">
        <f ca="1">TIME(RANDBETWEEN(12,22), RANDBETWEEN(0,59), RANDBETWEEN(0,59))</f>
        <v>0.85821759259259256</v>
      </c>
      <c r="G330" s="18" t="s">
        <v>24</v>
      </c>
      <c r="H330" s="55">
        <f t="shared" ca="1" si="341"/>
        <v>46034</v>
      </c>
      <c r="I330" s="20">
        <f t="shared" ca="1" si="342"/>
        <v>0.85821759259259256</v>
      </c>
      <c r="J330" s="55">
        <f t="shared" ca="1" si="343"/>
        <v>46034</v>
      </c>
      <c r="K330" s="20">
        <f t="shared" ca="1" si="344"/>
        <v>0.92686342592592585</v>
      </c>
      <c r="L330" s="19" t="s">
        <v>18</v>
      </c>
      <c r="M330" s="18">
        <v>1004839</v>
      </c>
      <c r="N330" s="49" t="s">
        <v>22</v>
      </c>
      <c r="O330" s="11" t="str" cm="1">
        <f t="array" ref="O330">_xlfn.IFS(N330="FG2020US1", "Ibuprofen Tablets (100 MG)", N330="FG0001SEG", "Metformin Tablets (100 MG)", N330="FG0002SEG", "Metformin Tablets (200 MG)", N330="FG0003SEG", "Metformin Tablets (500 MG)", N330="FG00UDI4", "Aspirin Tablets (500 MG)")</f>
        <v>Ibuprofen Tablets (100 MG)</v>
      </c>
      <c r="P330" s="11">
        <v>4329</v>
      </c>
    </row>
    <row r="331" spans="1:16" x14ac:dyDescent="0.35">
      <c r="A331" s="11">
        <v>40000002830</v>
      </c>
      <c r="B331" s="18">
        <v>1010</v>
      </c>
      <c r="C331" s="19">
        <v>4</v>
      </c>
      <c r="D331" s="2" t="s">
        <v>357</v>
      </c>
      <c r="E331" s="6">
        <f t="shared" ref="E331" ca="1" si="353">E332-1</f>
        <v>46034</v>
      </c>
      <c r="F331" s="15">
        <f ca="1">TIME(RANDBETWEEN(0,10), RANDBETWEEN(0,59), RANDBETWEEN(0,59))</f>
        <v>0.36126157407407405</v>
      </c>
      <c r="G331" s="18" t="s">
        <v>21</v>
      </c>
      <c r="H331" s="55">
        <f t="shared" ca="1" si="341"/>
        <v>46034</v>
      </c>
      <c r="I331" s="20">
        <f t="shared" ca="1" si="342"/>
        <v>0.36126157407407405</v>
      </c>
      <c r="J331" s="55">
        <f t="shared" ca="1" si="343"/>
        <v>46034</v>
      </c>
      <c r="K331" s="20">
        <f t="shared" ca="1" si="344"/>
        <v>0.42810185185185184</v>
      </c>
      <c r="L331" s="19" t="s">
        <v>18</v>
      </c>
      <c r="M331" s="18">
        <v>1004840</v>
      </c>
      <c r="N331" s="49" t="s">
        <v>34</v>
      </c>
      <c r="O331" s="11" t="str" cm="1">
        <f t="array" ref="O331">_xlfn.IFS(N331="FG2020US1", "Ibuprofen Tablets (100 MG)", N331="FG0001SEG", "Metformin Tablets (100 MG)", N331="FG0002SEG", "Metformin Tablets (200 MG)", N331="FG0003SEG", "Metformin Tablets (500 MG)", N331="FG00UDI4", "Aspirin Tablets (500 MG)")</f>
        <v>Metformin Tablets (200 MG)</v>
      </c>
      <c r="P331" s="11">
        <v>4330</v>
      </c>
    </row>
    <row r="332" spans="1:16" x14ac:dyDescent="0.35">
      <c r="A332" s="11">
        <v>40000002831</v>
      </c>
      <c r="B332" s="18">
        <v>1010</v>
      </c>
      <c r="C332" s="19">
        <v>4</v>
      </c>
      <c r="D332" s="2" t="s">
        <v>358</v>
      </c>
      <c r="E332" s="6">
        <f t="shared" ref="E332" ca="1" si="354">E333</f>
        <v>46035</v>
      </c>
      <c r="F332" s="15">
        <f ca="1">TIME(RANDBETWEEN(12,22), RANDBETWEEN(0,59), RANDBETWEEN(0,59))</f>
        <v>0.82694444444444448</v>
      </c>
      <c r="G332" s="18" t="s">
        <v>30</v>
      </c>
      <c r="H332" s="55">
        <f t="shared" ca="1" si="341"/>
        <v>46035</v>
      </c>
      <c r="I332" s="20">
        <f t="shared" ca="1" si="342"/>
        <v>0.82694444444444448</v>
      </c>
      <c r="J332" s="55">
        <f t="shared" ca="1" si="343"/>
        <v>46035</v>
      </c>
      <c r="K332" s="20">
        <f t="shared" ca="1" si="344"/>
        <v>0.89699074074074081</v>
      </c>
      <c r="L332" s="19" t="s">
        <v>18</v>
      </c>
      <c r="M332" s="18">
        <v>1004841</v>
      </c>
      <c r="N332" s="49" t="s">
        <v>19</v>
      </c>
      <c r="O332" s="11" t="str" cm="1">
        <f t="array" ref="O332">_xlfn.IFS(N332="FG2020US1", "Ibuprofen Tablets (100 MG)", N332="FG0001SEG", "Metformin Tablets (100 MG)", N332="FG0002SEG", "Metformin Tablets (200 MG)", N332="FG0003SEG", "Metformin Tablets (500 MG)", N332="FG00UDI4", "Aspirin Tablets (500 MG)")</f>
        <v>Metformin Tablets (100 MG)</v>
      </c>
      <c r="P332" s="11">
        <v>4331</v>
      </c>
    </row>
    <row r="333" spans="1:16" x14ac:dyDescent="0.35">
      <c r="A333" s="11">
        <v>40000002832</v>
      </c>
      <c r="B333" s="18">
        <v>1010</v>
      </c>
      <c r="C333" s="19">
        <v>4</v>
      </c>
      <c r="D333" s="2" t="s">
        <v>359</v>
      </c>
      <c r="E333" s="6">
        <f t="shared" ref="E333" ca="1" si="355">E334-1</f>
        <v>46035</v>
      </c>
      <c r="F333" s="15">
        <f ca="1">TIME(RANDBETWEEN(0,10), RANDBETWEEN(0,59), RANDBETWEEN(0,59))</f>
        <v>0.1489236111111111</v>
      </c>
      <c r="G333" s="18" t="s">
        <v>36</v>
      </c>
      <c r="H333" s="55">
        <f t="shared" ca="1" si="341"/>
        <v>46035</v>
      </c>
      <c r="I333" s="20">
        <f t="shared" ca="1" si="342"/>
        <v>0.1489236111111111</v>
      </c>
      <c r="J333" s="55">
        <f t="shared" ca="1" si="343"/>
        <v>46035</v>
      </c>
      <c r="K333" s="20">
        <f t="shared" ca="1" si="344"/>
        <v>0.20802083333333332</v>
      </c>
      <c r="L333" s="19" t="s">
        <v>18</v>
      </c>
      <c r="M333" s="18">
        <v>1004842</v>
      </c>
      <c r="N333" s="49" t="s">
        <v>31</v>
      </c>
      <c r="O333" s="11" t="str" cm="1">
        <f t="array" ref="O333">_xlfn.IFS(N333="FG2020US1", "Ibuprofen Tablets (100 MG)", N333="FG0001SEG", "Metformin Tablets (100 MG)", N333="FG0002SEG", "Metformin Tablets (200 MG)", N333="FG0003SEG", "Metformin Tablets (500 MG)", N333="FG00UDI4", "Aspirin Tablets (500 MG)")</f>
        <v>Aspirin Tablets (500 MG)</v>
      </c>
      <c r="P333" s="11">
        <v>4332</v>
      </c>
    </row>
    <row r="334" spans="1:16" x14ac:dyDescent="0.35">
      <c r="A334" s="11">
        <v>40000002833</v>
      </c>
      <c r="B334" s="18">
        <v>1010</v>
      </c>
      <c r="C334" s="19">
        <v>4</v>
      </c>
      <c r="D334" s="2" t="s">
        <v>360</v>
      </c>
      <c r="E334" s="6">
        <f t="shared" ref="E334" ca="1" si="356">E335</f>
        <v>46036</v>
      </c>
      <c r="F334" s="15">
        <f ca="1">TIME(RANDBETWEEN(12,22), RANDBETWEEN(0,59), RANDBETWEEN(0,59))</f>
        <v>0.74729166666666669</v>
      </c>
      <c r="G334" s="18" t="s">
        <v>17</v>
      </c>
      <c r="H334" s="55">
        <f t="shared" ca="1" si="341"/>
        <v>46036</v>
      </c>
      <c r="I334" s="20">
        <f t="shared" ca="1" si="342"/>
        <v>0.74729166666666669</v>
      </c>
      <c r="J334" s="55">
        <f t="shared" ca="1" si="343"/>
        <v>46036</v>
      </c>
      <c r="K334" s="20">
        <f t="shared" ca="1" si="344"/>
        <v>0.81460648148148151</v>
      </c>
      <c r="L334" s="19" t="s">
        <v>18</v>
      </c>
      <c r="M334" s="18">
        <v>1004843</v>
      </c>
      <c r="N334" s="49" t="s">
        <v>19</v>
      </c>
      <c r="O334" s="11" t="str" cm="1">
        <f t="array" ref="O334">_xlfn.IFS(N334="FG2020US1", "Ibuprofen Tablets (100 MG)", N334="FG0001SEG", "Metformin Tablets (100 MG)", N334="FG0002SEG", "Metformin Tablets (200 MG)", N334="FG0003SEG", "Metformin Tablets (500 MG)", N334="FG00UDI4", "Aspirin Tablets (500 MG)")</f>
        <v>Metformin Tablets (100 MG)</v>
      </c>
      <c r="P334" s="11">
        <v>4333</v>
      </c>
    </row>
    <row r="335" spans="1:16" x14ac:dyDescent="0.35">
      <c r="A335" s="11">
        <v>40000002834</v>
      </c>
      <c r="B335" s="18">
        <v>1010</v>
      </c>
      <c r="C335" s="19">
        <v>4</v>
      </c>
      <c r="D335" s="2" t="s">
        <v>361</v>
      </c>
      <c r="E335" s="6">
        <f t="shared" ref="E335" ca="1" si="357">E336-1</f>
        <v>46036</v>
      </c>
      <c r="F335" s="15">
        <f ca="1">TIME(RANDBETWEEN(0,10), RANDBETWEEN(0,59), RANDBETWEEN(0,59))</f>
        <v>0.27491898148148147</v>
      </c>
      <c r="G335" s="18" t="s">
        <v>39</v>
      </c>
      <c r="H335" s="55">
        <f t="shared" ca="1" si="341"/>
        <v>46036</v>
      </c>
      <c r="I335" s="20">
        <f t="shared" ca="1" si="342"/>
        <v>0.27491898148148147</v>
      </c>
      <c r="J335" s="55">
        <f t="shared" ca="1" si="343"/>
        <v>46036</v>
      </c>
      <c r="K335" s="20">
        <f t="shared" ca="1" si="344"/>
        <v>0.33579861111111109</v>
      </c>
      <c r="L335" s="19" t="s">
        <v>18</v>
      </c>
      <c r="M335" s="18">
        <v>1004844</v>
      </c>
      <c r="N335" s="49" t="s">
        <v>31</v>
      </c>
      <c r="O335" s="11" t="str" cm="1">
        <f t="array" ref="O335">_xlfn.IFS(N335="FG2020US1", "Ibuprofen Tablets (100 MG)", N335="FG0001SEG", "Metformin Tablets (100 MG)", N335="FG0002SEG", "Metformin Tablets (200 MG)", N335="FG0003SEG", "Metformin Tablets (500 MG)", N335="FG00UDI4", "Aspirin Tablets (500 MG)")</f>
        <v>Aspirin Tablets (500 MG)</v>
      </c>
      <c r="P335" s="11">
        <v>4334</v>
      </c>
    </row>
    <row r="336" spans="1:16" x14ac:dyDescent="0.35">
      <c r="A336" s="11">
        <v>40000002835</v>
      </c>
      <c r="B336" s="18">
        <v>1010</v>
      </c>
      <c r="C336" s="19">
        <v>4</v>
      </c>
      <c r="D336" s="2" t="s">
        <v>362</v>
      </c>
      <c r="E336" s="6">
        <f t="shared" ref="E336" ca="1" si="358">E337</f>
        <v>46037</v>
      </c>
      <c r="F336" s="15">
        <f ca="1">TIME(RANDBETWEEN(12,22), RANDBETWEEN(0,59), RANDBETWEEN(0,59))</f>
        <v>0.70177083333333334</v>
      </c>
      <c r="G336" s="18" t="s">
        <v>24</v>
      </c>
      <c r="H336" s="55">
        <f t="shared" ca="1" si="341"/>
        <v>46037</v>
      </c>
      <c r="I336" s="20">
        <f t="shared" ca="1" si="342"/>
        <v>0.70177083333333334</v>
      </c>
      <c r="J336" s="55">
        <f t="shared" ca="1" si="343"/>
        <v>46037</v>
      </c>
      <c r="K336" s="20">
        <f t="shared" ca="1" si="344"/>
        <v>0.77203703703703708</v>
      </c>
      <c r="L336" s="19" t="s">
        <v>18</v>
      </c>
      <c r="M336" s="18">
        <v>1004845</v>
      </c>
      <c r="N336" s="49" t="s">
        <v>34</v>
      </c>
      <c r="O336" s="11" t="str" cm="1">
        <f t="array" ref="O336">_xlfn.IFS(N336="FG2020US1", "Ibuprofen Tablets (100 MG)", N336="FG0001SEG", "Metformin Tablets (100 MG)", N336="FG0002SEG", "Metformin Tablets (200 MG)", N336="FG0003SEG", "Metformin Tablets (500 MG)", N336="FG00UDI4", "Aspirin Tablets (500 MG)")</f>
        <v>Metformin Tablets (200 MG)</v>
      </c>
      <c r="P336" s="11">
        <v>4335</v>
      </c>
    </row>
    <row r="337" spans="1:16" x14ac:dyDescent="0.35">
      <c r="A337" s="11">
        <v>40000002836</v>
      </c>
      <c r="B337" s="18">
        <v>1010</v>
      </c>
      <c r="C337" s="19">
        <v>4</v>
      </c>
      <c r="D337" s="2" t="s">
        <v>363</v>
      </c>
      <c r="E337" s="6">
        <f t="shared" ref="E337" ca="1" si="359">E338-1</f>
        <v>46037</v>
      </c>
      <c r="F337" s="15">
        <f ca="1">TIME(RANDBETWEEN(0,10), RANDBETWEEN(0,59), RANDBETWEEN(0,59))</f>
        <v>0.4534259259259259</v>
      </c>
      <c r="G337" s="18" t="s">
        <v>21</v>
      </c>
      <c r="H337" s="55">
        <f t="shared" ca="1" si="341"/>
        <v>46037</v>
      </c>
      <c r="I337" s="20">
        <f t="shared" ca="1" si="342"/>
        <v>0.4534259259259259</v>
      </c>
      <c r="J337" s="55">
        <f t="shared" ca="1" si="343"/>
        <v>46037</v>
      </c>
      <c r="K337" s="20">
        <f t="shared" ca="1" si="344"/>
        <v>0.51344907407407403</v>
      </c>
      <c r="L337" s="19" t="s">
        <v>18</v>
      </c>
      <c r="M337" s="18">
        <v>1004846</v>
      </c>
      <c r="N337" s="49" t="s">
        <v>34</v>
      </c>
      <c r="O337" s="11" t="str" cm="1">
        <f t="array" ref="O337">_xlfn.IFS(N337="FG2020US1", "Ibuprofen Tablets (100 MG)", N337="FG0001SEG", "Metformin Tablets (100 MG)", N337="FG0002SEG", "Metformin Tablets (200 MG)", N337="FG0003SEG", "Metformin Tablets (500 MG)", N337="FG00UDI4", "Aspirin Tablets (500 MG)")</f>
        <v>Metformin Tablets (200 MG)</v>
      </c>
      <c r="P337" s="11">
        <v>4336</v>
      </c>
    </row>
    <row r="338" spans="1:16" x14ac:dyDescent="0.35">
      <c r="A338" s="11">
        <v>40000002837</v>
      </c>
      <c r="B338" s="18">
        <v>1010</v>
      </c>
      <c r="C338" s="19">
        <v>4</v>
      </c>
      <c r="D338" s="2" t="s">
        <v>364</v>
      </c>
      <c r="E338" s="6">
        <f t="shared" ref="E338" ca="1" si="360">E339</f>
        <v>46038</v>
      </c>
      <c r="F338" s="15">
        <f ca="1">TIME(RANDBETWEEN(12,22), RANDBETWEEN(0,59), RANDBETWEEN(0,59))</f>
        <v>0.87467592592592591</v>
      </c>
      <c r="G338" s="18" t="s">
        <v>17</v>
      </c>
      <c r="H338" s="55">
        <f t="shared" ca="1" si="341"/>
        <v>46038</v>
      </c>
      <c r="I338" s="20">
        <f t="shared" ca="1" si="342"/>
        <v>0.87467592592592591</v>
      </c>
      <c r="J338" s="55">
        <f t="shared" ca="1" si="343"/>
        <v>46038</v>
      </c>
      <c r="K338" s="20">
        <f t="shared" ca="1" si="344"/>
        <v>0.94028935185185181</v>
      </c>
      <c r="L338" s="19" t="s">
        <v>18</v>
      </c>
      <c r="M338" s="18">
        <v>1004847</v>
      </c>
      <c r="N338" s="49" t="s">
        <v>31</v>
      </c>
      <c r="O338" s="11" t="str" cm="1">
        <f t="array" ref="O338">_xlfn.IFS(N338="FG2020US1", "Ibuprofen Tablets (100 MG)", N338="FG0001SEG", "Metformin Tablets (100 MG)", N338="FG0002SEG", "Metformin Tablets (200 MG)", N338="FG0003SEG", "Metformin Tablets (500 MG)", N338="FG00UDI4", "Aspirin Tablets (500 MG)")</f>
        <v>Aspirin Tablets (500 MG)</v>
      </c>
      <c r="P338" s="11">
        <v>4337</v>
      </c>
    </row>
    <row r="339" spans="1:16" x14ac:dyDescent="0.35">
      <c r="A339" s="11">
        <v>40000002838</v>
      </c>
      <c r="B339" s="18">
        <v>1010</v>
      </c>
      <c r="C339" s="19">
        <v>4</v>
      </c>
      <c r="D339" s="2" t="s">
        <v>365</v>
      </c>
      <c r="E339" s="6">
        <f t="shared" ref="E339" ca="1" si="361">E340-1</f>
        <v>46038</v>
      </c>
      <c r="F339" s="15">
        <f ca="1">TIME(RANDBETWEEN(0,10), RANDBETWEEN(0,59), RANDBETWEEN(0,59))</f>
        <v>0.22465277777777778</v>
      </c>
      <c r="G339" s="18" t="s">
        <v>39</v>
      </c>
      <c r="H339" s="55">
        <f t="shared" ca="1" si="341"/>
        <v>46038</v>
      </c>
      <c r="I339" s="20">
        <f t="shared" ca="1" si="342"/>
        <v>0.22465277777777778</v>
      </c>
      <c r="J339" s="55">
        <f t="shared" ca="1" si="343"/>
        <v>46038</v>
      </c>
      <c r="K339" s="20">
        <f t="shared" ca="1" si="344"/>
        <v>0.28995370370370371</v>
      </c>
      <c r="L339" s="19" t="s">
        <v>18</v>
      </c>
      <c r="M339" s="18">
        <v>1004848</v>
      </c>
      <c r="N339" s="49" t="s">
        <v>31</v>
      </c>
      <c r="O339" s="11" t="str" cm="1">
        <f t="array" ref="O339">_xlfn.IFS(N339="FG2020US1", "Ibuprofen Tablets (100 MG)", N339="FG0001SEG", "Metformin Tablets (100 MG)", N339="FG0002SEG", "Metformin Tablets (200 MG)", N339="FG0003SEG", "Metformin Tablets (500 MG)", N339="FG00UDI4", "Aspirin Tablets (500 MG)")</f>
        <v>Aspirin Tablets (500 MG)</v>
      </c>
      <c r="P339" s="11">
        <v>4338</v>
      </c>
    </row>
    <row r="340" spans="1:16" x14ac:dyDescent="0.35">
      <c r="A340" s="11">
        <v>40000002839</v>
      </c>
      <c r="B340" s="18">
        <v>1010</v>
      </c>
      <c r="C340" s="19">
        <v>4</v>
      </c>
      <c r="D340" s="2" t="s">
        <v>366</v>
      </c>
      <c r="E340" s="6">
        <f t="shared" ref="E340" ca="1" si="362">E341</f>
        <v>46039</v>
      </c>
      <c r="F340" s="15">
        <f ca="1">TIME(RANDBETWEEN(12,22), RANDBETWEEN(0,59), RANDBETWEEN(0,59))</f>
        <v>0.87461805555555561</v>
      </c>
      <c r="G340" s="18" t="s">
        <v>17</v>
      </c>
      <c r="H340" s="55">
        <f t="shared" ca="1" si="341"/>
        <v>46039</v>
      </c>
      <c r="I340" s="20">
        <f t="shared" ca="1" si="342"/>
        <v>0.87461805555555561</v>
      </c>
      <c r="J340" s="55">
        <f t="shared" ca="1" si="343"/>
        <v>46039</v>
      </c>
      <c r="K340" s="20">
        <f t="shared" ca="1" si="344"/>
        <v>0.93703703703703711</v>
      </c>
      <c r="L340" s="19" t="s">
        <v>18</v>
      </c>
      <c r="M340" s="18">
        <v>1004849</v>
      </c>
      <c r="N340" s="49" t="s">
        <v>34</v>
      </c>
      <c r="O340" s="11" t="str" cm="1">
        <f t="array" ref="O340">_xlfn.IFS(N340="FG2020US1", "Ibuprofen Tablets (100 MG)", N340="FG0001SEG", "Metformin Tablets (100 MG)", N340="FG0002SEG", "Metformin Tablets (200 MG)", N340="FG0003SEG", "Metformin Tablets (500 MG)", N340="FG00UDI4", "Aspirin Tablets (500 MG)")</f>
        <v>Metformin Tablets (200 MG)</v>
      </c>
      <c r="P340" s="11">
        <v>4339</v>
      </c>
    </row>
    <row r="341" spans="1:16" x14ac:dyDescent="0.35">
      <c r="A341" s="11">
        <v>40000002840</v>
      </c>
      <c r="B341" s="18">
        <v>1010</v>
      </c>
      <c r="C341" s="19">
        <v>4</v>
      </c>
      <c r="D341" s="2" t="s">
        <v>367</v>
      </c>
      <c r="E341" s="6">
        <f t="shared" ref="E341" ca="1" si="363">E342-1</f>
        <v>46039</v>
      </c>
      <c r="F341" s="15">
        <f ca="1">TIME(RANDBETWEEN(0,10), RANDBETWEEN(0,59), RANDBETWEEN(0,59))</f>
        <v>8.8402777777777775E-2</v>
      </c>
      <c r="G341" s="18" t="s">
        <v>21</v>
      </c>
      <c r="H341" s="55">
        <f t="shared" ca="1" si="341"/>
        <v>46039</v>
      </c>
      <c r="I341" s="20">
        <f t="shared" ca="1" si="342"/>
        <v>8.8402777777777775E-2</v>
      </c>
      <c r="J341" s="55">
        <f t="shared" ca="1" si="343"/>
        <v>46039</v>
      </c>
      <c r="K341" s="20">
        <f t="shared" ca="1" si="344"/>
        <v>0.15233796296296298</v>
      </c>
      <c r="L341" s="19" t="s">
        <v>18</v>
      </c>
      <c r="M341" s="18">
        <v>1004850</v>
      </c>
      <c r="N341" s="49" t="s">
        <v>31</v>
      </c>
      <c r="O341" s="11" t="str" cm="1">
        <f t="array" ref="O341">_xlfn.IFS(N341="FG2020US1", "Ibuprofen Tablets (100 MG)", N341="FG0001SEG", "Metformin Tablets (100 MG)", N341="FG0002SEG", "Metformin Tablets (200 MG)", N341="FG0003SEG", "Metformin Tablets (500 MG)", N341="FG00UDI4", "Aspirin Tablets (500 MG)")</f>
        <v>Aspirin Tablets (500 MG)</v>
      </c>
      <c r="P341" s="11">
        <v>4340</v>
      </c>
    </row>
    <row r="342" spans="1:16" x14ac:dyDescent="0.35">
      <c r="A342" s="11">
        <v>40000002841</v>
      </c>
      <c r="B342" s="18">
        <v>1010</v>
      </c>
      <c r="C342" s="19">
        <v>4</v>
      </c>
      <c r="D342" s="2" t="s">
        <v>368</v>
      </c>
      <c r="E342" s="6">
        <f t="shared" ref="E342" ca="1" si="364">E343</f>
        <v>46040</v>
      </c>
      <c r="F342" s="15">
        <f ca="1">TIME(RANDBETWEEN(12,22), RANDBETWEEN(0,59), RANDBETWEEN(0,59))</f>
        <v>0.94721064814814815</v>
      </c>
      <c r="G342" s="18" t="s">
        <v>24</v>
      </c>
      <c r="H342" s="55">
        <f t="shared" ca="1" si="341"/>
        <v>46040</v>
      </c>
      <c r="I342" s="20">
        <f t="shared" ca="1" si="342"/>
        <v>0.94721064814814815</v>
      </c>
      <c r="J342" s="55">
        <f t="shared" ca="1" si="343"/>
        <v>46040</v>
      </c>
      <c r="K342" s="20">
        <f t="shared" ca="1" si="344"/>
        <v>1.0124652777777778</v>
      </c>
      <c r="L342" s="19" t="s">
        <v>18</v>
      </c>
      <c r="M342" s="18">
        <v>1004851</v>
      </c>
      <c r="N342" s="49" t="s">
        <v>34</v>
      </c>
      <c r="O342" s="11" t="str" cm="1">
        <f t="array" ref="O342">_xlfn.IFS(N342="FG2020US1", "Ibuprofen Tablets (100 MG)", N342="FG0001SEG", "Metformin Tablets (100 MG)", N342="FG0002SEG", "Metformin Tablets (200 MG)", N342="FG0003SEG", "Metformin Tablets (500 MG)", N342="FG00UDI4", "Aspirin Tablets (500 MG)")</f>
        <v>Metformin Tablets (200 MG)</v>
      </c>
      <c r="P342" s="11">
        <v>4341</v>
      </c>
    </row>
    <row r="343" spans="1:16" x14ac:dyDescent="0.35">
      <c r="A343" s="11">
        <v>40000002842</v>
      </c>
      <c r="B343" s="18">
        <v>1010</v>
      </c>
      <c r="C343" s="19">
        <v>4</v>
      </c>
      <c r="D343" s="2" t="s">
        <v>369</v>
      </c>
      <c r="E343" s="6">
        <f t="shared" ref="E343" ca="1" si="365">E344-1</f>
        <v>46040</v>
      </c>
      <c r="F343" s="15">
        <f ca="1">TIME(RANDBETWEEN(0,10), RANDBETWEEN(0,59), RANDBETWEEN(0,59))</f>
        <v>0.22190972222222222</v>
      </c>
      <c r="G343" s="18" t="s">
        <v>21</v>
      </c>
      <c r="H343" s="55">
        <f t="shared" ca="1" si="341"/>
        <v>46040</v>
      </c>
      <c r="I343" s="20">
        <f t="shared" ca="1" si="342"/>
        <v>0.22190972222222222</v>
      </c>
      <c r="J343" s="55">
        <f t="shared" ca="1" si="343"/>
        <v>46040</v>
      </c>
      <c r="K343" s="20">
        <f t="shared" ca="1" si="344"/>
        <v>0.29572916666666665</v>
      </c>
      <c r="L343" s="19" t="s">
        <v>18</v>
      </c>
      <c r="M343" s="18">
        <v>1004852</v>
      </c>
      <c r="N343" s="49" t="s">
        <v>22</v>
      </c>
      <c r="O343" s="11" t="str" cm="1">
        <f t="array" ref="O343">_xlfn.IFS(N343="FG2020US1", "Ibuprofen Tablets (100 MG)", N343="FG0001SEG", "Metformin Tablets (100 MG)", N343="FG0002SEG", "Metformin Tablets (200 MG)", N343="FG0003SEG", "Metformin Tablets (500 MG)", N343="FG00UDI4", "Aspirin Tablets (500 MG)")</f>
        <v>Ibuprofen Tablets (100 MG)</v>
      </c>
      <c r="P343" s="11">
        <v>4342</v>
      </c>
    </row>
    <row r="344" spans="1:16" x14ac:dyDescent="0.35">
      <c r="A344" s="11">
        <v>40000002843</v>
      </c>
      <c r="B344" s="18">
        <v>1010</v>
      </c>
      <c r="C344" s="19">
        <v>4</v>
      </c>
      <c r="D344" s="2" t="s">
        <v>370</v>
      </c>
      <c r="E344" s="6">
        <f t="shared" ref="E344" ca="1" si="366">E345</f>
        <v>46041</v>
      </c>
      <c r="F344" s="15">
        <f ca="1">TIME(RANDBETWEEN(12,22), RANDBETWEEN(0,59), RANDBETWEEN(0,59))</f>
        <v>0.71239583333333334</v>
      </c>
      <c r="G344" s="18" t="s">
        <v>30</v>
      </c>
      <c r="H344" s="55">
        <f t="shared" ca="1" si="341"/>
        <v>46041</v>
      </c>
      <c r="I344" s="20">
        <f t="shared" ca="1" si="342"/>
        <v>0.71239583333333334</v>
      </c>
      <c r="J344" s="55">
        <f t="shared" ca="1" si="343"/>
        <v>46041</v>
      </c>
      <c r="K344" s="20">
        <f t="shared" ca="1" si="344"/>
        <v>0.78112268518518524</v>
      </c>
      <c r="L344" s="19" t="s">
        <v>18</v>
      </c>
      <c r="M344" s="18">
        <v>1004853</v>
      </c>
      <c r="N344" s="49" t="s">
        <v>31</v>
      </c>
      <c r="O344" s="11" t="str" cm="1">
        <f t="array" ref="O344">_xlfn.IFS(N344="FG2020US1", "Ibuprofen Tablets (100 MG)", N344="FG0001SEG", "Metformin Tablets (100 MG)", N344="FG0002SEG", "Metformin Tablets (200 MG)", N344="FG0003SEG", "Metformin Tablets (500 MG)", N344="FG00UDI4", "Aspirin Tablets (500 MG)")</f>
        <v>Aspirin Tablets (500 MG)</v>
      </c>
      <c r="P344" s="11">
        <v>4343</v>
      </c>
    </row>
    <row r="345" spans="1:16" x14ac:dyDescent="0.35">
      <c r="A345" s="11">
        <v>40000002844</v>
      </c>
      <c r="B345" s="18">
        <v>1010</v>
      </c>
      <c r="C345" s="19">
        <v>4</v>
      </c>
      <c r="D345" s="2" t="s">
        <v>371</v>
      </c>
      <c r="E345" s="6">
        <f t="shared" ref="E345" ca="1" si="367">E346-1</f>
        <v>46041</v>
      </c>
      <c r="F345" s="15">
        <f ca="1">TIME(RANDBETWEEN(0,10), RANDBETWEEN(0,59), RANDBETWEEN(0,59))</f>
        <v>0.12371527777777777</v>
      </c>
      <c r="G345" s="18" t="s">
        <v>39</v>
      </c>
      <c r="H345" s="55">
        <f t="shared" ca="1" si="341"/>
        <v>46041</v>
      </c>
      <c r="I345" s="20">
        <f t="shared" ca="1" si="342"/>
        <v>0.12371527777777777</v>
      </c>
      <c r="J345" s="55">
        <f t="shared" ca="1" si="343"/>
        <v>46041</v>
      </c>
      <c r="K345" s="20">
        <f t="shared" ca="1" si="344"/>
        <v>0.19423611111111111</v>
      </c>
      <c r="L345" s="19" t="s">
        <v>18</v>
      </c>
      <c r="M345" s="18">
        <v>1004854</v>
      </c>
      <c r="N345" s="49" t="s">
        <v>27</v>
      </c>
      <c r="O345" s="11" t="str" cm="1">
        <f t="array" ref="O345">_xlfn.IFS(N345="FG2020US1", "Ibuprofen Tablets (100 MG)", N345="FG0001SEG", "Metformin Tablets (100 MG)", N345="FG0002SEG", "Metformin Tablets (200 MG)", N345="FG0003SEG", "Metformin Tablets (500 MG)", N345="FG00UDI4", "Aspirin Tablets (500 MG)")</f>
        <v>Metformin Tablets (500 MG)</v>
      </c>
      <c r="P345" s="11">
        <v>4344</v>
      </c>
    </row>
    <row r="346" spans="1:16" x14ac:dyDescent="0.35">
      <c r="A346" s="11">
        <v>40000002845</v>
      </c>
      <c r="B346" s="18">
        <v>1010</v>
      </c>
      <c r="C346" s="19">
        <v>4</v>
      </c>
      <c r="D346" s="2" t="s">
        <v>372</v>
      </c>
      <c r="E346" s="6">
        <f t="shared" ref="E346" ca="1" si="368">E347</f>
        <v>46042</v>
      </c>
      <c r="F346" s="15">
        <f ca="1">TIME(RANDBETWEEN(12,22), RANDBETWEEN(0,59), RANDBETWEEN(0,59))</f>
        <v>0.8167592592592593</v>
      </c>
      <c r="G346" s="18" t="s">
        <v>30</v>
      </c>
      <c r="H346" s="55">
        <f t="shared" ca="1" si="341"/>
        <v>46042</v>
      </c>
      <c r="I346" s="20">
        <f t="shared" ca="1" si="342"/>
        <v>0.8167592592592593</v>
      </c>
      <c r="J346" s="55">
        <f t="shared" ca="1" si="343"/>
        <v>46042</v>
      </c>
      <c r="K346" s="20">
        <f t="shared" ca="1" si="344"/>
        <v>0.89216435185185183</v>
      </c>
      <c r="L346" s="19" t="s">
        <v>18</v>
      </c>
      <c r="M346" s="18">
        <v>1004855</v>
      </c>
      <c r="N346" s="49" t="s">
        <v>34</v>
      </c>
      <c r="O346" s="11" t="str" cm="1">
        <f t="array" ref="O346">_xlfn.IFS(N346="FG2020US1", "Ibuprofen Tablets (100 MG)", N346="FG0001SEG", "Metformin Tablets (100 MG)", N346="FG0002SEG", "Metformin Tablets (200 MG)", N346="FG0003SEG", "Metformin Tablets (500 MG)", N346="FG00UDI4", "Aspirin Tablets (500 MG)")</f>
        <v>Metformin Tablets (200 MG)</v>
      </c>
      <c r="P346" s="11">
        <v>4345</v>
      </c>
    </row>
    <row r="347" spans="1:16" x14ac:dyDescent="0.35">
      <c r="A347" s="11">
        <v>40000002846</v>
      </c>
      <c r="B347" s="18">
        <v>1010</v>
      </c>
      <c r="C347" s="19">
        <v>4</v>
      </c>
      <c r="D347" s="2" t="s">
        <v>373</v>
      </c>
      <c r="E347" s="6">
        <f t="shared" ref="E347" ca="1" si="369">E348-1</f>
        <v>46042</v>
      </c>
      <c r="F347" s="15">
        <f ca="1">TIME(RANDBETWEEN(0,10), RANDBETWEEN(0,59), RANDBETWEEN(0,59))</f>
        <v>0.28759259259259257</v>
      </c>
      <c r="G347" s="18" t="s">
        <v>39</v>
      </c>
      <c r="H347" s="55">
        <f t="shared" ca="1" si="341"/>
        <v>46042</v>
      </c>
      <c r="I347" s="20">
        <f t="shared" ca="1" si="342"/>
        <v>0.28759259259259257</v>
      </c>
      <c r="J347" s="55">
        <f t="shared" ca="1" si="343"/>
        <v>46042</v>
      </c>
      <c r="K347" s="20">
        <f t="shared" ca="1" si="344"/>
        <v>0.34681712962962963</v>
      </c>
      <c r="L347" s="19" t="s">
        <v>18</v>
      </c>
      <c r="M347" s="18">
        <v>1004856</v>
      </c>
      <c r="N347" s="49" t="s">
        <v>27</v>
      </c>
      <c r="O347" s="11" t="str" cm="1">
        <f t="array" ref="O347">_xlfn.IFS(N347="FG2020US1", "Ibuprofen Tablets (100 MG)", N347="FG0001SEG", "Metformin Tablets (100 MG)", N347="FG0002SEG", "Metformin Tablets (200 MG)", N347="FG0003SEG", "Metformin Tablets (500 MG)", N347="FG00UDI4", "Aspirin Tablets (500 MG)")</f>
        <v>Metformin Tablets (500 MG)</v>
      </c>
      <c r="P347" s="11">
        <v>4346</v>
      </c>
    </row>
    <row r="348" spans="1:16" x14ac:dyDescent="0.35">
      <c r="A348" s="11">
        <v>40000002847</v>
      </c>
      <c r="B348" s="18">
        <v>1010</v>
      </c>
      <c r="C348" s="19">
        <v>4</v>
      </c>
      <c r="D348" s="2" t="s">
        <v>374</v>
      </c>
      <c r="E348" s="6">
        <f t="shared" ref="E348" ca="1" si="370">E349</f>
        <v>46043</v>
      </c>
      <c r="F348" s="15">
        <f ca="1">TIME(RANDBETWEEN(12,22), RANDBETWEEN(0,59), RANDBETWEEN(0,59))</f>
        <v>0.91506944444444449</v>
      </c>
      <c r="G348" s="18" t="s">
        <v>17</v>
      </c>
      <c r="H348" s="55">
        <f t="shared" ca="1" si="341"/>
        <v>46043</v>
      </c>
      <c r="I348" s="20">
        <f t="shared" ca="1" si="342"/>
        <v>0.91506944444444449</v>
      </c>
      <c r="J348" s="55">
        <f t="shared" ca="1" si="343"/>
        <v>46043</v>
      </c>
      <c r="K348" s="20">
        <f t="shared" ca="1" si="344"/>
        <v>0.98804398148148154</v>
      </c>
      <c r="L348" s="19" t="s">
        <v>18</v>
      </c>
      <c r="M348" s="18">
        <v>1004857</v>
      </c>
      <c r="N348" s="49" t="s">
        <v>27</v>
      </c>
      <c r="O348" s="11" t="str" cm="1">
        <f t="array" ref="O348">_xlfn.IFS(N348="FG2020US1", "Ibuprofen Tablets (100 MG)", N348="FG0001SEG", "Metformin Tablets (100 MG)", N348="FG0002SEG", "Metformin Tablets (200 MG)", N348="FG0003SEG", "Metformin Tablets (500 MG)", N348="FG00UDI4", "Aspirin Tablets (500 MG)")</f>
        <v>Metformin Tablets (500 MG)</v>
      </c>
      <c r="P348" s="11">
        <v>4347</v>
      </c>
    </row>
    <row r="349" spans="1:16" x14ac:dyDescent="0.35">
      <c r="A349" s="11">
        <v>40000002848</v>
      </c>
      <c r="B349" s="18">
        <v>1010</v>
      </c>
      <c r="C349" s="19">
        <v>4</v>
      </c>
      <c r="D349" s="2" t="s">
        <v>375</v>
      </c>
      <c r="E349" s="6">
        <f t="shared" ref="E349" ca="1" si="371">E350-1</f>
        <v>46043</v>
      </c>
      <c r="F349" s="15">
        <f ca="1">TIME(RANDBETWEEN(0,10), RANDBETWEEN(0,59), RANDBETWEEN(0,59))</f>
        <v>0.42283564814814817</v>
      </c>
      <c r="G349" s="18" t="s">
        <v>39</v>
      </c>
      <c r="H349" s="55">
        <f t="shared" ca="1" si="341"/>
        <v>46043</v>
      </c>
      <c r="I349" s="20">
        <f t="shared" ca="1" si="342"/>
        <v>0.42283564814814817</v>
      </c>
      <c r="J349" s="55">
        <f t="shared" ca="1" si="343"/>
        <v>46043</v>
      </c>
      <c r="K349" s="20">
        <f t="shared" ca="1" si="344"/>
        <v>0.49637731481481484</v>
      </c>
      <c r="L349" s="19" t="s">
        <v>18</v>
      </c>
      <c r="M349" s="18">
        <v>1004858</v>
      </c>
      <c r="N349" s="49" t="s">
        <v>31</v>
      </c>
      <c r="O349" s="11" t="str" cm="1">
        <f t="array" ref="O349">_xlfn.IFS(N349="FG2020US1", "Ibuprofen Tablets (100 MG)", N349="FG0001SEG", "Metformin Tablets (100 MG)", N349="FG0002SEG", "Metformin Tablets (200 MG)", N349="FG0003SEG", "Metformin Tablets (500 MG)", N349="FG00UDI4", "Aspirin Tablets (500 MG)")</f>
        <v>Aspirin Tablets (500 MG)</v>
      </c>
      <c r="P349" s="11">
        <v>4348</v>
      </c>
    </row>
    <row r="350" spans="1:16" x14ac:dyDescent="0.35">
      <c r="A350" s="11">
        <v>40000002849</v>
      </c>
      <c r="B350" s="18">
        <v>1010</v>
      </c>
      <c r="C350" s="19">
        <v>4</v>
      </c>
      <c r="D350" s="2" t="s">
        <v>376</v>
      </c>
      <c r="E350" s="6">
        <f t="shared" ref="E350" ca="1" si="372">E351</f>
        <v>46044</v>
      </c>
      <c r="F350" s="15">
        <f ca="1">TIME(RANDBETWEEN(12,22), RANDBETWEEN(0,59), RANDBETWEEN(0,59))</f>
        <v>0.51628472222222221</v>
      </c>
      <c r="G350" s="18" t="s">
        <v>30</v>
      </c>
      <c r="H350" s="55">
        <f t="shared" ca="1" si="341"/>
        <v>46044</v>
      </c>
      <c r="I350" s="20">
        <f t="shared" ca="1" si="342"/>
        <v>0.51628472222222221</v>
      </c>
      <c r="J350" s="55">
        <f t="shared" ca="1" si="343"/>
        <v>46044</v>
      </c>
      <c r="K350" s="20">
        <f t="shared" ca="1" si="344"/>
        <v>0.58636574074074077</v>
      </c>
      <c r="L350" s="19" t="s">
        <v>18</v>
      </c>
      <c r="M350" s="18">
        <v>1004859</v>
      </c>
      <c r="N350" s="49" t="s">
        <v>19</v>
      </c>
      <c r="O350" s="11" t="str" cm="1">
        <f t="array" ref="O350">_xlfn.IFS(N350="FG2020US1", "Ibuprofen Tablets (100 MG)", N350="FG0001SEG", "Metformin Tablets (100 MG)", N350="FG0002SEG", "Metformin Tablets (200 MG)", N350="FG0003SEG", "Metformin Tablets (500 MG)", N350="FG00UDI4", "Aspirin Tablets (500 MG)")</f>
        <v>Metformin Tablets (100 MG)</v>
      </c>
      <c r="P350" s="11">
        <v>4349</v>
      </c>
    </row>
    <row r="351" spans="1:16" x14ac:dyDescent="0.35">
      <c r="A351" s="11">
        <v>40000002850</v>
      </c>
      <c r="B351" s="18">
        <v>1010</v>
      </c>
      <c r="C351" s="19">
        <v>4</v>
      </c>
      <c r="D351" s="2" t="s">
        <v>377</v>
      </c>
      <c r="E351" s="6">
        <f t="shared" ref="E351" ca="1" si="373">E352-1</f>
        <v>46044</v>
      </c>
      <c r="F351" s="15">
        <f ca="1">TIME(RANDBETWEEN(0,10), RANDBETWEEN(0,59), RANDBETWEEN(0,59))</f>
        <v>0.30775462962962963</v>
      </c>
      <c r="G351" s="18" t="s">
        <v>21</v>
      </c>
      <c r="H351" s="55">
        <f t="shared" ca="1" si="341"/>
        <v>46044</v>
      </c>
      <c r="I351" s="20">
        <f t="shared" ca="1" si="342"/>
        <v>0.30775462962962963</v>
      </c>
      <c r="J351" s="55">
        <f t="shared" ca="1" si="343"/>
        <v>46044</v>
      </c>
      <c r="K351" s="20">
        <f t="shared" ca="1" si="344"/>
        <v>0.37369212962962961</v>
      </c>
      <c r="L351" s="19" t="s">
        <v>18</v>
      </c>
      <c r="M351" s="18">
        <v>1004860</v>
      </c>
      <c r="N351" s="49" t="s">
        <v>27</v>
      </c>
      <c r="O351" s="11" t="str" cm="1">
        <f t="array" ref="O351">_xlfn.IFS(N351="FG2020US1", "Ibuprofen Tablets (100 MG)", N351="FG0001SEG", "Metformin Tablets (100 MG)", N351="FG0002SEG", "Metformin Tablets (200 MG)", N351="FG0003SEG", "Metformin Tablets (500 MG)", N351="FG00UDI4", "Aspirin Tablets (500 MG)")</f>
        <v>Metformin Tablets (500 MG)</v>
      </c>
      <c r="P351" s="11">
        <v>4350</v>
      </c>
    </row>
    <row r="352" spans="1:16" x14ac:dyDescent="0.35">
      <c r="A352" s="11">
        <v>40000002851</v>
      </c>
      <c r="B352" s="18">
        <v>1010</v>
      </c>
      <c r="C352" s="19">
        <v>4</v>
      </c>
      <c r="D352" s="2" t="s">
        <v>378</v>
      </c>
      <c r="E352" s="6">
        <f t="shared" ref="E352" ca="1" si="374">E353</f>
        <v>46045</v>
      </c>
      <c r="F352" s="15">
        <f ca="1">TIME(RANDBETWEEN(12,22), RANDBETWEEN(0,59), RANDBETWEEN(0,59))</f>
        <v>0.79249999999999998</v>
      </c>
      <c r="G352" s="18" t="s">
        <v>24</v>
      </c>
      <c r="H352" s="55">
        <f t="shared" ca="1" si="341"/>
        <v>46045</v>
      </c>
      <c r="I352" s="20">
        <f t="shared" ca="1" si="342"/>
        <v>0.79249999999999998</v>
      </c>
      <c r="J352" s="55">
        <f t="shared" ca="1" si="343"/>
        <v>46045</v>
      </c>
      <c r="K352" s="20">
        <f t="shared" ca="1" si="344"/>
        <v>0.86344907407407401</v>
      </c>
      <c r="L352" s="19" t="s">
        <v>18</v>
      </c>
      <c r="M352" s="18">
        <v>1004861</v>
      </c>
      <c r="N352" s="49" t="s">
        <v>22</v>
      </c>
      <c r="O352" s="11" t="str" cm="1">
        <f t="array" ref="O352">_xlfn.IFS(N352="FG2020US1", "Ibuprofen Tablets (100 MG)", N352="FG0001SEG", "Metformin Tablets (100 MG)", N352="FG0002SEG", "Metformin Tablets (200 MG)", N352="FG0003SEG", "Metformin Tablets (500 MG)", N352="FG00UDI4", "Aspirin Tablets (500 MG)")</f>
        <v>Ibuprofen Tablets (100 MG)</v>
      </c>
      <c r="P352" s="11">
        <v>4351</v>
      </c>
    </row>
    <row r="353" spans="1:16" x14ac:dyDescent="0.35">
      <c r="A353" s="11">
        <v>40000002852</v>
      </c>
      <c r="B353" s="18">
        <v>1010</v>
      </c>
      <c r="C353" s="19">
        <v>4</v>
      </c>
      <c r="D353" s="2" t="s">
        <v>379</v>
      </c>
      <c r="E353" s="6">
        <f t="shared" ref="E353" ca="1" si="375">E354-1</f>
        <v>46045</v>
      </c>
      <c r="F353" s="15">
        <f ca="1">TIME(RANDBETWEEN(0,10), RANDBETWEEN(0,59), RANDBETWEEN(0,59))</f>
        <v>6.8090277777777777E-2</v>
      </c>
      <c r="G353" s="18" t="s">
        <v>21</v>
      </c>
      <c r="H353" s="55">
        <f t="shared" ca="1" si="341"/>
        <v>46045</v>
      </c>
      <c r="I353" s="20">
        <f t="shared" ca="1" si="342"/>
        <v>6.8090277777777777E-2</v>
      </c>
      <c r="J353" s="55">
        <f t="shared" ca="1" si="343"/>
        <v>46045</v>
      </c>
      <c r="K353" s="20">
        <f t="shared" ca="1" si="344"/>
        <v>0.14378472222222222</v>
      </c>
      <c r="L353" s="19" t="s">
        <v>18</v>
      </c>
      <c r="M353" s="18">
        <v>1004862</v>
      </c>
      <c r="N353" s="49" t="s">
        <v>27</v>
      </c>
      <c r="O353" s="11" t="str" cm="1">
        <f t="array" ref="O353">_xlfn.IFS(N353="FG2020US1", "Ibuprofen Tablets (100 MG)", N353="FG0001SEG", "Metformin Tablets (100 MG)", N353="FG0002SEG", "Metformin Tablets (200 MG)", N353="FG0003SEG", "Metformin Tablets (500 MG)", N353="FG00UDI4", "Aspirin Tablets (500 MG)")</f>
        <v>Metformin Tablets (500 MG)</v>
      </c>
      <c r="P353" s="11">
        <v>4352</v>
      </c>
    </row>
    <row r="354" spans="1:16" x14ac:dyDescent="0.35">
      <c r="A354" s="11">
        <v>40000002853</v>
      </c>
      <c r="B354" s="18">
        <v>1010</v>
      </c>
      <c r="C354" s="19">
        <v>4</v>
      </c>
      <c r="D354" s="2" t="s">
        <v>380</v>
      </c>
      <c r="E354" s="6">
        <f t="shared" ref="E354" ca="1" si="376">E355</f>
        <v>46046</v>
      </c>
      <c r="F354" s="15">
        <f ca="1">TIME(RANDBETWEEN(12,22), RANDBETWEEN(0,59), RANDBETWEEN(0,59))</f>
        <v>0.57575231481481481</v>
      </c>
      <c r="G354" s="18" t="s">
        <v>30</v>
      </c>
      <c r="H354" s="55">
        <f t="shared" ca="1" si="341"/>
        <v>46046</v>
      </c>
      <c r="I354" s="20">
        <f t="shared" ca="1" si="342"/>
        <v>0.57575231481481481</v>
      </c>
      <c r="J354" s="55">
        <f t="shared" ca="1" si="343"/>
        <v>46046</v>
      </c>
      <c r="K354" s="20">
        <f t="shared" ca="1" si="344"/>
        <v>0.65246527777777774</v>
      </c>
      <c r="L354" s="19" t="s">
        <v>18</v>
      </c>
      <c r="M354" s="18">
        <v>1004863</v>
      </c>
      <c r="N354" s="49" t="s">
        <v>19</v>
      </c>
      <c r="O354" s="11" t="str" cm="1">
        <f t="array" ref="O354">_xlfn.IFS(N354="FG2020US1", "Ibuprofen Tablets (100 MG)", N354="FG0001SEG", "Metformin Tablets (100 MG)", N354="FG0002SEG", "Metformin Tablets (200 MG)", N354="FG0003SEG", "Metformin Tablets (500 MG)", N354="FG00UDI4", "Aspirin Tablets (500 MG)")</f>
        <v>Metformin Tablets (100 MG)</v>
      </c>
      <c r="P354" s="11">
        <v>4353</v>
      </c>
    </row>
    <row r="355" spans="1:16" x14ac:dyDescent="0.35">
      <c r="A355" s="11">
        <v>40000002854</v>
      </c>
      <c r="B355" s="18">
        <v>1010</v>
      </c>
      <c r="C355" s="19">
        <v>4</v>
      </c>
      <c r="D355" s="2" t="s">
        <v>381</v>
      </c>
      <c r="E355" s="6">
        <f t="shared" ref="E355" ca="1" si="377">E356-1</f>
        <v>46046</v>
      </c>
      <c r="F355" s="15">
        <f ca="1">TIME(RANDBETWEEN(0,10), RANDBETWEEN(0,59), RANDBETWEEN(0,59))</f>
        <v>9.0312500000000004E-2</v>
      </c>
      <c r="G355" s="18" t="s">
        <v>39</v>
      </c>
      <c r="H355" s="55">
        <f t="shared" ca="1" si="341"/>
        <v>46046</v>
      </c>
      <c r="I355" s="20">
        <f t="shared" ca="1" si="342"/>
        <v>9.0312500000000004E-2</v>
      </c>
      <c r="J355" s="55">
        <f t="shared" ca="1" si="343"/>
        <v>46046</v>
      </c>
      <c r="K355" s="20">
        <f t="shared" ca="1" si="344"/>
        <v>0.15866898148148148</v>
      </c>
      <c r="L355" s="19" t="s">
        <v>18</v>
      </c>
      <c r="M355" s="18">
        <v>1004864</v>
      </c>
      <c r="N355" s="49" t="s">
        <v>31</v>
      </c>
      <c r="O355" s="11" t="str" cm="1">
        <f t="array" ref="O355">_xlfn.IFS(N355="FG2020US1", "Ibuprofen Tablets (100 MG)", N355="FG0001SEG", "Metformin Tablets (100 MG)", N355="FG0002SEG", "Metformin Tablets (200 MG)", N355="FG0003SEG", "Metformin Tablets (500 MG)", N355="FG00UDI4", "Aspirin Tablets (500 MG)")</f>
        <v>Aspirin Tablets (500 MG)</v>
      </c>
      <c r="P355" s="11">
        <v>4354</v>
      </c>
    </row>
    <row r="356" spans="1:16" x14ac:dyDescent="0.35">
      <c r="A356" s="11">
        <v>40000002855</v>
      </c>
      <c r="B356" s="18">
        <v>1010</v>
      </c>
      <c r="C356" s="19">
        <v>4</v>
      </c>
      <c r="D356" s="2" t="s">
        <v>382</v>
      </c>
      <c r="E356" s="6">
        <f t="shared" ref="E356" ca="1" si="378">E357</f>
        <v>46047</v>
      </c>
      <c r="F356" s="15">
        <f ca="1">TIME(RANDBETWEEN(12,22), RANDBETWEEN(0,59), RANDBETWEEN(0,59))</f>
        <v>0.81273148148148144</v>
      </c>
      <c r="G356" s="18" t="s">
        <v>17</v>
      </c>
      <c r="H356" s="55">
        <f t="shared" ca="1" si="341"/>
        <v>46047</v>
      </c>
      <c r="I356" s="20">
        <f t="shared" ca="1" si="342"/>
        <v>0.81273148148148144</v>
      </c>
      <c r="J356" s="55">
        <f t="shared" ca="1" si="343"/>
        <v>46047</v>
      </c>
      <c r="K356" s="20">
        <f t="shared" ca="1" si="344"/>
        <v>0.87358796296296293</v>
      </c>
      <c r="L356" s="19" t="s">
        <v>18</v>
      </c>
      <c r="M356" s="18">
        <v>1004865</v>
      </c>
      <c r="N356" s="49" t="s">
        <v>22</v>
      </c>
      <c r="O356" s="11" t="str" cm="1">
        <f t="array" ref="O356">_xlfn.IFS(N356="FG2020US1", "Ibuprofen Tablets (100 MG)", N356="FG0001SEG", "Metformin Tablets (100 MG)", N356="FG0002SEG", "Metformin Tablets (200 MG)", N356="FG0003SEG", "Metformin Tablets (500 MG)", N356="FG00UDI4", "Aspirin Tablets (500 MG)")</f>
        <v>Ibuprofen Tablets (100 MG)</v>
      </c>
      <c r="P356" s="11">
        <v>4355</v>
      </c>
    </row>
    <row r="357" spans="1:16" x14ac:dyDescent="0.35">
      <c r="A357" s="11">
        <v>40000002856</v>
      </c>
      <c r="B357" s="18">
        <v>1010</v>
      </c>
      <c r="C357" s="19">
        <v>4</v>
      </c>
      <c r="D357" s="2" t="s">
        <v>383</v>
      </c>
      <c r="E357" s="6">
        <f t="shared" ref="E357" ca="1" si="379">E358-1</f>
        <v>46047</v>
      </c>
      <c r="F357" s="15">
        <f ca="1">TIME(RANDBETWEEN(0,10), RANDBETWEEN(0,59), RANDBETWEEN(0,59))</f>
        <v>0.35972222222222222</v>
      </c>
      <c r="G357" s="18" t="s">
        <v>21</v>
      </c>
      <c r="H357" s="55">
        <f t="shared" ca="1" si="341"/>
        <v>46047</v>
      </c>
      <c r="I357" s="20">
        <f t="shared" ca="1" si="342"/>
        <v>0.35972222222222222</v>
      </c>
      <c r="J357" s="55">
        <f t="shared" ca="1" si="343"/>
        <v>46047</v>
      </c>
      <c r="K357" s="20">
        <f t="shared" ca="1" si="344"/>
        <v>0.4231597222222222</v>
      </c>
      <c r="L357" s="19" t="s">
        <v>18</v>
      </c>
      <c r="M357" s="18">
        <v>1004866</v>
      </c>
      <c r="N357" s="49" t="s">
        <v>27</v>
      </c>
      <c r="O357" s="11" t="str" cm="1">
        <f t="array" ref="O357">_xlfn.IFS(N357="FG2020US1", "Ibuprofen Tablets (100 MG)", N357="FG0001SEG", "Metformin Tablets (100 MG)", N357="FG0002SEG", "Metformin Tablets (200 MG)", N357="FG0003SEG", "Metformin Tablets (500 MG)", N357="FG00UDI4", "Aspirin Tablets (500 MG)")</f>
        <v>Metformin Tablets (500 MG)</v>
      </c>
      <c r="P357" s="11">
        <v>4356</v>
      </c>
    </row>
    <row r="358" spans="1:16" x14ac:dyDescent="0.35">
      <c r="A358" s="11">
        <v>40000002857</v>
      </c>
      <c r="B358" s="18">
        <v>1010</v>
      </c>
      <c r="C358" s="19">
        <v>4</v>
      </c>
      <c r="D358" s="2" t="s">
        <v>384</v>
      </c>
      <c r="E358" s="6">
        <f ca="1">E359</f>
        <v>46048</v>
      </c>
      <c r="F358" s="15">
        <f ca="1">TIME(RANDBETWEEN(12,22), RANDBETWEEN(0,59), RANDBETWEEN(0,59))</f>
        <v>0.83967592592592588</v>
      </c>
      <c r="G358" s="18" t="s">
        <v>30</v>
      </c>
      <c r="H358" s="55">
        <f t="shared" ca="1" si="341"/>
        <v>46048</v>
      </c>
      <c r="I358" s="20">
        <f t="shared" ca="1" si="342"/>
        <v>0.83967592592592588</v>
      </c>
      <c r="J358" s="55">
        <f t="shared" ca="1" si="343"/>
        <v>46048</v>
      </c>
      <c r="K358" s="20">
        <f t="shared" ca="1" si="344"/>
        <v>0.91295138888888883</v>
      </c>
      <c r="L358" s="19" t="s">
        <v>18</v>
      </c>
      <c r="M358" s="18">
        <v>1004867</v>
      </c>
      <c r="N358" s="49" t="s">
        <v>19</v>
      </c>
      <c r="O358" s="11" t="str" cm="1">
        <f t="array" ref="O358">_xlfn.IFS(N358="FG2020US1", "Ibuprofen Tablets (100 MG)", N358="FG0001SEG", "Metformin Tablets (100 MG)", N358="FG0002SEG", "Metformin Tablets (200 MG)", N358="FG0003SEG", "Metformin Tablets (500 MG)", N358="FG00UDI4", "Aspirin Tablets (500 MG)")</f>
        <v>Metformin Tablets (100 MG)</v>
      </c>
      <c r="P358" s="11">
        <v>4357</v>
      </c>
    </row>
    <row r="359" spans="1:16" x14ac:dyDescent="0.35">
      <c r="A359" s="11">
        <v>40000002858</v>
      </c>
      <c r="B359" s="18">
        <v>1010</v>
      </c>
      <c r="C359" s="19">
        <v>4</v>
      </c>
      <c r="D359" s="2" t="s">
        <v>385</v>
      </c>
      <c r="E359" s="6">
        <f ca="1">E360-1</f>
        <v>46048</v>
      </c>
      <c r="F359" s="15">
        <f ca="1">TIME(RANDBETWEEN(0,10), RANDBETWEEN(0,59), RANDBETWEEN(0,59))</f>
        <v>0.44892361111111112</v>
      </c>
      <c r="G359" s="18" t="s">
        <v>39</v>
      </c>
      <c r="H359" s="55">
        <f t="shared" ca="1" si="341"/>
        <v>46048</v>
      </c>
      <c r="I359" s="20">
        <f t="shared" ca="1" si="342"/>
        <v>0.44892361111111112</v>
      </c>
      <c r="J359" s="55">
        <f t="shared" ca="1" si="343"/>
        <v>46048</v>
      </c>
      <c r="K359" s="20">
        <f t="shared" ca="1" si="344"/>
        <v>0.5135763888888889</v>
      </c>
      <c r="L359" s="19" t="s">
        <v>18</v>
      </c>
      <c r="M359" s="18">
        <v>1004868</v>
      </c>
      <c r="N359" s="49" t="s">
        <v>19</v>
      </c>
      <c r="O359" s="11" t="str" cm="1">
        <f t="array" ref="O359">_xlfn.IFS(N359="FG2020US1", "Ibuprofen Tablets (100 MG)", N359="FG0001SEG", "Metformin Tablets (100 MG)", N359="FG0002SEG", "Metformin Tablets (200 MG)", N359="FG0003SEG", "Metformin Tablets (500 MG)", N359="FG00UDI4", "Aspirin Tablets (500 MG)")</f>
        <v>Metformin Tablets (100 MG)</v>
      </c>
      <c r="P359" s="11">
        <v>4358</v>
      </c>
    </row>
    <row r="360" spans="1:16" x14ac:dyDescent="0.35">
      <c r="A360" s="11">
        <v>40000002859</v>
      </c>
      <c r="B360" s="18">
        <v>1010</v>
      </c>
      <c r="C360" s="19">
        <v>4</v>
      </c>
      <c r="D360" s="2" t="s">
        <v>386</v>
      </c>
      <c r="E360" s="6">
        <f ca="1">TODAY()</f>
        <v>46049</v>
      </c>
      <c r="F360" s="15">
        <f ca="1">TIME(RANDBETWEEN(12,22), RANDBETWEEN(0,59), RANDBETWEEN(0,59))</f>
        <v>0.61709490740740736</v>
      </c>
      <c r="G360" s="18" t="s">
        <v>24</v>
      </c>
      <c r="H360" s="55">
        <f t="shared" ca="1" si="341"/>
        <v>46049</v>
      </c>
      <c r="I360" s="20">
        <f t="shared" ca="1" si="342"/>
        <v>0.61709490740740736</v>
      </c>
      <c r="J360" s="55">
        <f t="shared" ca="1" si="343"/>
        <v>46049</v>
      </c>
      <c r="K360" s="20">
        <f t="shared" ca="1" si="344"/>
        <v>0.69256944444444435</v>
      </c>
      <c r="L360" s="19" t="s">
        <v>18</v>
      </c>
      <c r="M360" s="18">
        <v>1004869</v>
      </c>
      <c r="N360" s="49" t="s">
        <v>34</v>
      </c>
      <c r="O360" s="11" t="str" cm="1">
        <f t="array" ref="O360">_xlfn.IFS(N360="FG2020US1", "Ibuprofen Tablets (100 MG)", N360="FG0001SEG", "Metformin Tablets (100 MG)", N360="FG0002SEG", "Metformin Tablets (200 MG)", N360="FG0003SEG", "Metformin Tablets (500 MG)", N360="FG00UDI4", "Aspirin Tablets (500 MG)")</f>
        <v>Metformin Tablets (200 MG)</v>
      </c>
      <c r="P360" s="11">
        <v>4359</v>
      </c>
    </row>
    <row r="361" spans="1:16" x14ac:dyDescent="0.35">
      <c r="A361" s="16">
        <v>40000002860</v>
      </c>
      <c r="B361" s="21">
        <v>1010</v>
      </c>
      <c r="C361" s="22">
        <v>4</v>
      </c>
      <c r="D361" s="23" t="s">
        <v>387</v>
      </c>
      <c r="E361" s="24">
        <f ca="1">TODAY()</f>
        <v>46049</v>
      </c>
      <c r="F361" s="17">
        <f ca="1">TIME(RANDBETWEEN(0,10), RANDBETWEEN(0,59), RANDBETWEEN(0,59))</f>
        <v>0.42962962962962964</v>
      </c>
      <c r="G361" s="21" t="s">
        <v>39</v>
      </c>
      <c r="H361" s="56">
        <f t="shared" ca="1" si="341"/>
        <v>46049</v>
      </c>
      <c r="I361" s="25">
        <f t="shared" ca="1" si="342"/>
        <v>0.42962962962962964</v>
      </c>
      <c r="J361" s="56">
        <f t="shared" ca="1" si="343"/>
        <v>46049</v>
      </c>
      <c r="K361" s="25">
        <f t="shared" ca="1" si="344"/>
        <v>0.4964351851851852</v>
      </c>
      <c r="L361" s="22" t="s">
        <v>18</v>
      </c>
      <c r="M361" s="21">
        <v>1004870</v>
      </c>
      <c r="N361" s="50" t="s">
        <v>31</v>
      </c>
      <c r="O361" s="16" t="str" cm="1">
        <f t="array" ref="O361">_xlfn.IFS(N361="FG2020US1", "Ibuprofen Tablets (100 MG)", N361="FG0001SEG", "Metformin Tablets (100 MG)", N361="FG0002SEG", "Metformin Tablets (200 MG)", N361="FG0003SEG", "Metformin Tablets (500 MG)", N361="FG00UDI4", "Aspirin Tablets (500 MG)")</f>
        <v>Aspirin Tablets (500 MG)</v>
      </c>
      <c r="P361" s="16">
        <v>4360</v>
      </c>
    </row>
  </sheetData>
  <sortState xmlns:xlrd2="http://schemas.microsoft.com/office/spreadsheetml/2017/richdata2" ref="A2:P361">
    <sortCondition ref="A2:A361"/>
  </sortState>
  <conditionalFormatting sqref="D2:D36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3738-A52B-41CC-B83E-AA84C2693192}">
  <dimension ref="A1:Q2881"/>
  <sheetViews>
    <sheetView workbookViewId="0">
      <pane ySplit="1" topLeftCell="A2" activePane="bottomLeft" state="frozen"/>
      <selection activeCell="E1" sqref="E1"/>
      <selection pane="bottomLeft" activeCell="C2" sqref="C2"/>
    </sheetView>
  </sheetViews>
  <sheetFormatPr defaultColWidth="8.7265625" defaultRowHeight="14.5" x14ac:dyDescent="0.35"/>
  <cols>
    <col min="1" max="1" width="17.1796875" style="28" customWidth="1"/>
    <col min="2" max="2" width="12.1796875" style="33" bestFit="1" customWidth="1"/>
    <col min="3" max="3" width="24.7265625" style="28" bestFit="1" customWidth="1"/>
    <col min="4" max="4" width="21" style="33" bestFit="1" customWidth="1"/>
    <col min="5" max="5" width="24.26953125" style="28" bestFit="1" customWidth="1"/>
    <col min="6" max="6" width="12.1796875" style="28" bestFit="1" customWidth="1"/>
    <col min="7" max="7" width="12.1796875" style="60" bestFit="1" customWidth="1"/>
    <col min="8" max="8" width="13.26953125" style="33" bestFit="1" customWidth="1"/>
    <col min="9" max="9" width="11.453125" style="28" bestFit="1" customWidth="1"/>
    <col min="10" max="10" width="11.453125" style="60" bestFit="1" customWidth="1"/>
    <col min="11" max="11" width="11.1796875" style="28" bestFit="1" customWidth="1"/>
    <col min="12" max="12" width="11.453125" style="60" bestFit="1" customWidth="1"/>
    <col min="13" max="13" width="10.453125" style="28" bestFit="1" customWidth="1"/>
    <col min="14" max="14" width="14.453125" style="33" bestFit="1" customWidth="1"/>
    <col min="15" max="15" width="14.54296875" style="33" bestFit="1" customWidth="1"/>
    <col min="16" max="16" width="11" style="28" bestFit="1" customWidth="1"/>
    <col min="17" max="17" width="11.453125" style="28" bestFit="1" customWidth="1"/>
    <col min="18" max="16384" width="8.7265625" style="28"/>
  </cols>
  <sheetData>
    <row r="1" spans="1:17" x14ac:dyDescent="0.35">
      <c r="A1" s="35" t="s">
        <v>0</v>
      </c>
      <c r="B1" s="37" t="s">
        <v>388</v>
      </c>
      <c r="C1" s="35" t="s">
        <v>14</v>
      </c>
      <c r="D1" s="37" t="s">
        <v>389</v>
      </c>
      <c r="E1" s="35" t="s">
        <v>390</v>
      </c>
      <c r="F1" s="35" t="s">
        <v>391</v>
      </c>
      <c r="G1" s="58" t="s">
        <v>392</v>
      </c>
      <c r="H1" s="37" t="s">
        <v>393</v>
      </c>
      <c r="I1" s="35" t="s">
        <v>394</v>
      </c>
      <c r="J1" s="58" t="s">
        <v>7</v>
      </c>
      <c r="K1" s="35" t="s">
        <v>8</v>
      </c>
      <c r="L1" s="58" t="s">
        <v>9</v>
      </c>
      <c r="M1" s="35" t="s">
        <v>10</v>
      </c>
      <c r="N1" s="37" t="s">
        <v>395</v>
      </c>
      <c r="O1" s="37" t="s">
        <v>396</v>
      </c>
      <c r="P1" s="35" t="s">
        <v>397</v>
      </c>
      <c r="Q1" s="35" t="s">
        <v>398</v>
      </c>
    </row>
    <row r="2" spans="1:17" x14ac:dyDescent="0.35">
      <c r="A2" s="26">
        <v>40000002501</v>
      </c>
      <c r="B2" s="27">
        <v>1</v>
      </c>
      <c r="C2" s="29" t="str">
        <f>LOOKUP(A2,'QALS - Inspection Lot Record'!$A$2:$A$361,'QALS - Inspection Lot Record'!$O$2:$O$361)</f>
        <v>Metformin Tablets (100 MG)</v>
      </c>
      <c r="D2" s="27">
        <v>10</v>
      </c>
      <c r="E2" s="26" t="s">
        <v>399</v>
      </c>
      <c r="F2" s="29" t="str">
        <f>LOOKUP(A2,'QALS - Inspection Lot Record'!A:A,'QALS - Inspection Lot Record'!G:G)</f>
        <v>TP397880</v>
      </c>
      <c r="G2" s="59">
        <f ca="1">LOOKUP(A2,'QALS - Inspection Lot Record'!A:A,'QALS - Inspection Lot Record'!E:E)</f>
        <v>45870</v>
      </c>
      <c r="H2" s="34" t="str">
        <f t="shared" ref="H2:H65" si="0">IF(AND(P2&lt;=O2,O2&lt;=Q2),"A","R")</f>
        <v>R</v>
      </c>
      <c r="I2" s="29" t="str">
        <f t="shared" ref="I2:I65" si="1">F2</f>
        <v>TP397880</v>
      </c>
      <c r="J2" s="59">
        <f t="shared" ref="J2:J65" ca="1" si="2">G2</f>
        <v>45870</v>
      </c>
      <c r="K2" s="30">
        <f ca="1">LOOKUP(A2,'QALS - Inspection Lot Record'!A:A,'QALS - Inspection Lot Record'!I:I)</f>
        <v>0.69314814814814818</v>
      </c>
      <c r="L2" s="59">
        <f t="shared" ref="L2:L65" ca="1" si="3">G2</f>
        <v>45870</v>
      </c>
      <c r="M2" s="30">
        <f t="shared" ref="M2:M65" ca="1" si="4">K2+TIME(0,RANDBETWEEN(25,50),RANDBETWEEN(0,59))</f>
        <v>0.72212962962962968</v>
      </c>
      <c r="N2" s="31"/>
      <c r="O2" s="31">
        <v>93.5</v>
      </c>
      <c r="P2" s="29">
        <v>95</v>
      </c>
      <c r="Q2" s="29">
        <v>102</v>
      </c>
    </row>
    <row r="3" spans="1:17" x14ac:dyDescent="0.35">
      <c r="A3" s="26">
        <v>40000002501</v>
      </c>
      <c r="B3" s="27">
        <v>1</v>
      </c>
      <c r="C3" s="29" t="str">
        <f>LOOKUP(A3,'QALS - Inspection Lot Record'!$A$2:$A$361,'QALS - Inspection Lot Record'!$O$2:$O$361)</f>
        <v>Metformin Tablets (100 MG)</v>
      </c>
      <c r="D3" s="31">
        <v>20</v>
      </c>
      <c r="E3" s="29" t="s">
        <v>400</v>
      </c>
      <c r="F3" s="29" t="str">
        <f>LOOKUP(A3,'QALS - Inspection Lot Record'!A:A,'QALS - Inspection Lot Record'!G:G)</f>
        <v>TP397880</v>
      </c>
      <c r="G3" s="59">
        <f ca="1">LOOKUP(A3,'QALS - Inspection Lot Record'!A:A,'QALS - Inspection Lot Record'!E:E)</f>
        <v>45870</v>
      </c>
      <c r="H3" s="34" t="str">
        <f t="shared" si="0"/>
        <v>R</v>
      </c>
      <c r="I3" s="29" t="str">
        <f t="shared" si="1"/>
        <v>TP397880</v>
      </c>
      <c r="J3" s="59">
        <f t="shared" ca="1" si="2"/>
        <v>45870</v>
      </c>
      <c r="K3" s="30">
        <f ca="1">LOOKUP(A3,'QALS - Inspection Lot Record'!A:A,'QALS - Inspection Lot Record'!I:I)</f>
        <v>0.69314814814814818</v>
      </c>
      <c r="L3" s="59">
        <f t="shared" ca="1" si="3"/>
        <v>45870</v>
      </c>
      <c r="M3" s="30">
        <f t="shared" ca="1" si="4"/>
        <v>0.72787037037037039</v>
      </c>
      <c r="N3" s="31"/>
      <c r="O3" s="31">
        <v>1.7</v>
      </c>
      <c r="P3" s="29">
        <v>3.5</v>
      </c>
      <c r="Q3" s="29">
        <v>11</v>
      </c>
    </row>
    <row r="4" spans="1:17" x14ac:dyDescent="0.35">
      <c r="A4" s="26">
        <v>40000002501</v>
      </c>
      <c r="B4" s="31">
        <v>1</v>
      </c>
      <c r="C4" s="29" t="str">
        <f>LOOKUP(A4,'QALS - Inspection Lot Record'!$A$2:$A$361,'QALS - Inspection Lot Record'!$O$2:$O$361)</f>
        <v>Metformin Tablets (100 MG)</v>
      </c>
      <c r="D4" s="31">
        <v>30</v>
      </c>
      <c r="E4" s="29" t="s">
        <v>401</v>
      </c>
      <c r="F4" s="29" t="str">
        <f>LOOKUP(A4,'QALS - Inspection Lot Record'!A:A,'QALS - Inspection Lot Record'!G:G)</f>
        <v>TP397880</v>
      </c>
      <c r="G4" s="59">
        <f ca="1">LOOKUP(A4,'QALS - Inspection Lot Record'!A:A,'QALS - Inspection Lot Record'!E:E)</f>
        <v>45870</v>
      </c>
      <c r="H4" s="34" t="str">
        <f t="shared" si="0"/>
        <v>A</v>
      </c>
      <c r="I4" s="29" t="str">
        <f t="shared" si="1"/>
        <v>TP397880</v>
      </c>
      <c r="J4" s="59">
        <f t="shared" ca="1" si="2"/>
        <v>45870</v>
      </c>
      <c r="K4" s="30">
        <f ca="1">LOOKUP(A4,'QALS - Inspection Lot Record'!A:A,'QALS - Inspection Lot Record'!I:I)</f>
        <v>0.69314814814814818</v>
      </c>
      <c r="L4" s="59">
        <f t="shared" ca="1" si="3"/>
        <v>45870</v>
      </c>
      <c r="M4" s="30">
        <f t="shared" ca="1" si="4"/>
        <v>0.71266203703703712</v>
      </c>
      <c r="N4" s="11" t="s">
        <v>402</v>
      </c>
      <c r="O4" s="31"/>
      <c r="P4" s="29"/>
      <c r="Q4" s="29"/>
    </row>
    <row r="5" spans="1:17" x14ac:dyDescent="0.35">
      <c r="A5" s="26">
        <v>40000002501</v>
      </c>
      <c r="B5" s="31">
        <v>1</v>
      </c>
      <c r="C5" s="29" t="str">
        <f>LOOKUP(A5,'QALS - Inspection Lot Record'!$A$2:$A$361,'QALS - Inspection Lot Record'!$O$2:$O$361)</f>
        <v>Metformin Tablets (100 MG)</v>
      </c>
      <c r="D5" s="31">
        <v>40</v>
      </c>
      <c r="E5" s="29" t="s">
        <v>403</v>
      </c>
      <c r="F5" s="29" t="str">
        <f>LOOKUP(A5,'QALS - Inspection Lot Record'!A:A,'QALS - Inspection Lot Record'!G:G)</f>
        <v>TP397880</v>
      </c>
      <c r="G5" s="59">
        <f ca="1">LOOKUP(A5,'QALS - Inspection Lot Record'!A:A,'QALS - Inspection Lot Record'!E:E)</f>
        <v>45870</v>
      </c>
      <c r="H5" s="34" t="str">
        <f t="shared" si="0"/>
        <v>A</v>
      </c>
      <c r="I5" s="29" t="str">
        <f t="shared" si="1"/>
        <v>TP397880</v>
      </c>
      <c r="J5" s="59">
        <f t="shared" ca="1" si="2"/>
        <v>45870</v>
      </c>
      <c r="K5" s="30">
        <f ca="1">LOOKUP(A5,'QALS - Inspection Lot Record'!A:A,'QALS - Inspection Lot Record'!I:I)</f>
        <v>0.69314814814814818</v>
      </c>
      <c r="L5" s="59">
        <f t="shared" ca="1" si="3"/>
        <v>45870</v>
      </c>
      <c r="M5" s="30">
        <f t="shared" ca="1" si="4"/>
        <v>0.72487268518518522</v>
      </c>
      <c r="N5" s="31"/>
      <c r="O5" s="31">
        <v>0</v>
      </c>
      <c r="P5" s="29">
        <v>0</v>
      </c>
      <c r="Q5" s="29">
        <v>1</v>
      </c>
    </row>
    <row r="6" spans="1:17" x14ac:dyDescent="0.35">
      <c r="A6" s="26">
        <v>40000002501</v>
      </c>
      <c r="B6" s="31">
        <v>1</v>
      </c>
      <c r="C6" s="29" t="str">
        <f>LOOKUP(A6,'QALS - Inspection Lot Record'!$A$2:$A$361,'QALS - Inspection Lot Record'!$O$2:$O$361)</f>
        <v>Metformin Tablets (100 MG)</v>
      </c>
      <c r="D6" s="31">
        <v>50</v>
      </c>
      <c r="E6" s="29" t="s">
        <v>404</v>
      </c>
      <c r="F6" s="29" t="str">
        <f>LOOKUP(A6,'QALS - Inspection Lot Record'!A:A,'QALS - Inspection Lot Record'!G:G)</f>
        <v>TP397880</v>
      </c>
      <c r="G6" s="59">
        <f ca="1">LOOKUP(A6,'QALS - Inspection Lot Record'!A:A,'QALS - Inspection Lot Record'!E:E)</f>
        <v>45870</v>
      </c>
      <c r="H6" s="34" t="str">
        <f t="shared" si="0"/>
        <v>A</v>
      </c>
      <c r="I6" s="29" t="str">
        <f t="shared" si="1"/>
        <v>TP397880</v>
      </c>
      <c r="J6" s="59">
        <f t="shared" ca="1" si="2"/>
        <v>45870</v>
      </c>
      <c r="K6" s="30">
        <f ca="1">LOOKUP(A6,'QALS - Inspection Lot Record'!A:A,'QALS - Inspection Lot Record'!I:I)</f>
        <v>0.69314814814814818</v>
      </c>
      <c r="L6" s="59">
        <f t="shared" ca="1" si="3"/>
        <v>45870</v>
      </c>
      <c r="M6" s="30">
        <f t="shared" ca="1" si="4"/>
        <v>0.71646990740740746</v>
      </c>
      <c r="N6" s="31"/>
      <c r="O6" s="31">
        <v>50</v>
      </c>
      <c r="P6" s="29">
        <v>40</v>
      </c>
      <c r="Q6" s="29">
        <v>60</v>
      </c>
    </row>
    <row r="7" spans="1:17" x14ac:dyDescent="0.35">
      <c r="A7" s="26">
        <v>40000002501</v>
      </c>
      <c r="B7" s="31">
        <v>1</v>
      </c>
      <c r="C7" s="29" t="str">
        <f>LOOKUP(A7,'QALS - Inspection Lot Record'!$A$2:$A$361,'QALS - Inspection Lot Record'!$O$2:$O$361)</f>
        <v>Metformin Tablets (100 MG)</v>
      </c>
      <c r="D7" s="31">
        <v>60</v>
      </c>
      <c r="E7" s="29" t="s">
        <v>405</v>
      </c>
      <c r="F7" s="29" t="str">
        <f>LOOKUP(A7,'QALS - Inspection Lot Record'!A:A,'QALS - Inspection Lot Record'!G:G)</f>
        <v>TP397880</v>
      </c>
      <c r="G7" s="59">
        <f ca="1">LOOKUP(A7,'QALS - Inspection Lot Record'!A:A,'QALS - Inspection Lot Record'!E:E)</f>
        <v>45870</v>
      </c>
      <c r="H7" s="34" t="str">
        <f t="shared" si="0"/>
        <v>A</v>
      </c>
      <c r="I7" s="29" t="str">
        <f t="shared" si="1"/>
        <v>TP397880</v>
      </c>
      <c r="J7" s="59">
        <f t="shared" ca="1" si="2"/>
        <v>45870</v>
      </c>
      <c r="K7" s="30">
        <f ca="1">LOOKUP(A7,'QALS - Inspection Lot Record'!A:A,'QALS - Inspection Lot Record'!I:I)</f>
        <v>0.69314814814814818</v>
      </c>
      <c r="L7" s="59">
        <f t="shared" ca="1" si="3"/>
        <v>45870</v>
      </c>
      <c r="M7" s="30">
        <f t="shared" ca="1" si="4"/>
        <v>0.72085648148148151</v>
      </c>
      <c r="N7" s="31"/>
      <c r="O7" s="31">
        <v>77.5</v>
      </c>
      <c r="P7" s="29">
        <v>70</v>
      </c>
      <c r="Q7" s="29">
        <v>85</v>
      </c>
    </row>
    <row r="8" spans="1:17" x14ac:dyDescent="0.35">
      <c r="A8" s="26">
        <v>40000002501</v>
      </c>
      <c r="B8" s="31">
        <v>1</v>
      </c>
      <c r="C8" s="29" t="str">
        <f>LOOKUP(A8,'QALS - Inspection Lot Record'!$A$2:$A$361,'QALS - Inspection Lot Record'!$O$2:$O$361)</f>
        <v>Metformin Tablets (100 MG)</v>
      </c>
      <c r="D8" s="31">
        <v>70</v>
      </c>
      <c r="E8" s="29" t="s">
        <v>406</v>
      </c>
      <c r="F8" s="29" t="str">
        <f>LOOKUP(A8,'QALS - Inspection Lot Record'!A:A,'QALS - Inspection Lot Record'!G:G)</f>
        <v>TP397880</v>
      </c>
      <c r="G8" s="59">
        <f ca="1">LOOKUP(A8,'QALS - Inspection Lot Record'!A:A,'QALS - Inspection Lot Record'!E:E)</f>
        <v>45870</v>
      </c>
      <c r="H8" s="34" t="str">
        <f t="shared" si="0"/>
        <v>A</v>
      </c>
      <c r="I8" s="29" t="str">
        <f t="shared" si="1"/>
        <v>TP397880</v>
      </c>
      <c r="J8" s="59">
        <f t="shared" ca="1" si="2"/>
        <v>45870</v>
      </c>
      <c r="K8" s="30">
        <f ca="1">LOOKUP(A8,'QALS - Inspection Lot Record'!A:A,'QALS - Inspection Lot Record'!I:I)</f>
        <v>0.69314814814814818</v>
      </c>
      <c r="L8" s="59">
        <f t="shared" ca="1" si="3"/>
        <v>45870</v>
      </c>
      <c r="M8" s="30">
        <f t="shared" ca="1" si="4"/>
        <v>0.72561342592592593</v>
      </c>
      <c r="N8" s="31"/>
      <c r="O8" s="31">
        <v>85</v>
      </c>
      <c r="P8" s="29">
        <v>80</v>
      </c>
      <c r="Q8" s="29">
        <v>90</v>
      </c>
    </row>
    <row r="9" spans="1:17" x14ac:dyDescent="0.35">
      <c r="A9" s="26">
        <v>40000002501</v>
      </c>
      <c r="B9" s="31">
        <v>1</v>
      </c>
      <c r="C9" s="29" t="str">
        <f>LOOKUP(A9,'QALS - Inspection Lot Record'!$A$2:$A$361,'QALS - Inspection Lot Record'!$O$2:$O$361)</f>
        <v>Metformin Tablets (100 MG)</v>
      </c>
      <c r="D9" s="31">
        <v>80</v>
      </c>
      <c r="E9" s="29" t="s">
        <v>407</v>
      </c>
      <c r="F9" s="29" t="str">
        <f>LOOKUP(A9,'QALS - Inspection Lot Record'!A:A,'QALS - Inspection Lot Record'!G:G)</f>
        <v>TP397880</v>
      </c>
      <c r="G9" s="59">
        <f ca="1">LOOKUP(A9,'QALS - Inspection Lot Record'!A:A,'QALS - Inspection Lot Record'!E:E)</f>
        <v>45870</v>
      </c>
      <c r="H9" s="34" t="str">
        <f t="shared" si="0"/>
        <v>A</v>
      </c>
      <c r="I9" s="29" t="str">
        <f t="shared" si="1"/>
        <v>TP397880</v>
      </c>
      <c r="J9" s="59">
        <f t="shared" ca="1" si="2"/>
        <v>45870</v>
      </c>
      <c r="K9" s="30">
        <f ca="1">LOOKUP(A9,'QALS - Inspection Lot Record'!A:A,'QALS - Inspection Lot Record'!I:I)</f>
        <v>0.69314814814814818</v>
      </c>
      <c r="L9" s="59">
        <f t="shared" ca="1" si="3"/>
        <v>45870</v>
      </c>
      <c r="M9" s="30">
        <f t="shared" ca="1" si="4"/>
        <v>0.7149537037037037</v>
      </c>
      <c r="N9" s="31"/>
      <c r="O9" s="31">
        <v>24</v>
      </c>
      <c r="P9" s="29">
        <v>23</v>
      </c>
      <c r="Q9" s="29">
        <v>25</v>
      </c>
    </row>
    <row r="10" spans="1:17" x14ac:dyDescent="0.35">
      <c r="A10" s="26">
        <v>40000002502</v>
      </c>
      <c r="B10" s="27">
        <v>1</v>
      </c>
      <c r="C10" s="29" t="str">
        <f>LOOKUP(A10,'QALS - Inspection Lot Record'!$A$2:$A$361,'QALS - Inspection Lot Record'!$O$2:$O$361)</f>
        <v>Ibuprofen Tablets (100 MG)</v>
      </c>
      <c r="D10" s="27">
        <v>10</v>
      </c>
      <c r="E10" s="26" t="s">
        <v>399</v>
      </c>
      <c r="F10" s="29" t="str">
        <f>LOOKUP(A10,'QALS - Inspection Lot Record'!A:A,'QALS - Inspection Lot Record'!G:G)</f>
        <v>YA284176</v>
      </c>
      <c r="G10" s="59">
        <f ca="1">LOOKUP(A10,'QALS - Inspection Lot Record'!A:A,'QALS - Inspection Lot Record'!E:E)</f>
        <v>45870</v>
      </c>
      <c r="H10" s="34" t="str">
        <f t="shared" si="0"/>
        <v>R</v>
      </c>
      <c r="I10" s="29" t="str">
        <f t="shared" si="1"/>
        <v>YA284176</v>
      </c>
      <c r="J10" s="59">
        <f t="shared" ca="1" si="2"/>
        <v>45870</v>
      </c>
      <c r="K10" s="30">
        <f ca="1">LOOKUP(A10,'QALS - Inspection Lot Record'!A:A,'QALS - Inspection Lot Record'!I:I)</f>
        <v>9.8055555555555562E-2</v>
      </c>
      <c r="L10" s="59">
        <f t="shared" ca="1" si="3"/>
        <v>45870</v>
      </c>
      <c r="M10" s="30">
        <f t="shared" ca="1" si="4"/>
        <v>0.1242013888888889</v>
      </c>
      <c r="N10" s="31"/>
      <c r="O10" s="31">
        <v>94</v>
      </c>
      <c r="P10" s="29">
        <v>95</v>
      </c>
      <c r="Q10" s="29">
        <v>102</v>
      </c>
    </row>
    <row r="11" spans="1:17" x14ac:dyDescent="0.35">
      <c r="A11" s="26">
        <v>40000002502</v>
      </c>
      <c r="B11" s="27">
        <v>1</v>
      </c>
      <c r="C11" s="29" t="str">
        <f>LOOKUP(A11,'QALS - Inspection Lot Record'!$A$2:$A$361,'QALS - Inspection Lot Record'!$O$2:$O$361)</f>
        <v>Ibuprofen Tablets (100 MG)</v>
      </c>
      <c r="D11" s="31">
        <v>20</v>
      </c>
      <c r="E11" s="29" t="s">
        <v>400</v>
      </c>
      <c r="F11" s="29" t="str">
        <f>LOOKUP(A11,'QALS - Inspection Lot Record'!A:A,'QALS - Inspection Lot Record'!G:G)</f>
        <v>YA284176</v>
      </c>
      <c r="G11" s="59">
        <f ca="1">LOOKUP(A11,'QALS - Inspection Lot Record'!A:A,'QALS - Inspection Lot Record'!E:E)</f>
        <v>45870</v>
      </c>
      <c r="H11" s="34" t="str">
        <f t="shared" si="0"/>
        <v>A</v>
      </c>
      <c r="I11" s="29" t="str">
        <f t="shared" si="1"/>
        <v>YA284176</v>
      </c>
      <c r="J11" s="59">
        <f t="shared" ca="1" si="2"/>
        <v>45870</v>
      </c>
      <c r="K11" s="30">
        <f ca="1">LOOKUP(A11,'QALS - Inspection Lot Record'!A:A,'QALS - Inspection Lot Record'!I:I)</f>
        <v>9.8055555555555562E-2</v>
      </c>
      <c r="L11" s="59">
        <f t="shared" ca="1" si="3"/>
        <v>45870</v>
      </c>
      <c r="M11" s="30">
        <f t="shared" ca="1" si="4"/>
        <v>0.12679398148148149</v>
      </c>
      <c r="N11" s="31"/>
      <c r="O11" s="31">
        <v>7.25</v>
      </c>
      <c r="P11" s="29">
        <v>3.5</v>
      </c>
      <c r="Q11" s="29">
        <v>11</v>
      </c>
    </row>
    <row r="12" spans="1:17" x14ac:dyDescent="0.35">
      <c r="A12" s="26">
        <v>40000002502</v>
      </c>
      <c r="B12" s="31">
        <v>1</v>
      </c>
      <c r="C12" s="29" t="str">
        <f>LOOKUP(A12,'QALS - Inspection Lot Record'!$A$2:$A$361,'QALS - Inspection Lot Record'!$O$2:$O$361)</f>
        <v>Ibuprofen Tablets (100 MG)</v>
      </c>
      <c r="D12" s="31">
        <v>30</v>
      </c>
      <c r="E12" s="29" t="s">
        <v>401</v>
      </c>
      <c r="F12" s="29" t="str">
        <f>LOOKUP(A12,'QALS - Inspection Lot Record'!A:A,'QALS - Inspection Lot Record'!G:G)</f>
        <v>YA284176</v>
      </c>
      <c r="G12" s="59">
        <f ca="1">LOOKUP(A12,'QALS - Inspection Lot Record'!A:A,'QALS - Inspection Lot Record'!E:E)</f>
        <v>45870</v>
      </c>
      <c r="H12" s="34" t="str">
        <f t="shared" si="0"/>
        <v>A</v>
      </c>
      <c r="I12" s="29" t="str">
        <f t="shared" si="1"/>
        <v>YA284176</v>
      </c>
      <c r="J12" s="59">
        <f t="shared" ca="1" si="2"/>
        <v>45870</v>
      </c>
      <c r="K12" s="30">
        <f ca="1">LOOKUP(A12,'QALS - Inspection Lot Record'!A:A,'QALS - Inspection Lot Record'!I:I)</f>
        <v>9.8055555555555562E-2</v>
      </c>
      <c r="L12" s="59">
        <f t="shared" ca="1" si="3"/>
        <v>45870</v>
      </c>
      <c r="M12" s="30">
        <f t="shared" ca="1" si="4"/>
        <v>0.13340277777777779</v>
      </c>
      <c r="N12" s="11" t="s">
        <v>402</v>
      </c>
      <c r="O12" s="31"/>
      <c r="P12" s="29"/>
      <c r="Q12" s="29"/>
    </row>
    <row r="13" spans="1:17" x14ac:dyDescent="0.35">
      <c r="A13" s="26">
        <v>40000002502</v>
      </c>
      <c r="B13" s="31">
        <v>1</v>
      </c>
      <c r="C13" s="29" t="str">
        <f>LOOKUP(A13,'QALS - Inspection Lot Record'!$A$2:$A$361,'QALS - Inspection Lot Record'!$O$2:$O$361)</f>
        <v>Ibuprofen Tablets (100 MG)</v>
      </c>
      <c r="D13" s="31">
        <v>40</v>
      </c>
      <c r="E13" s="29" t="s">
        <v>403</v>
      </c>
      <c r="F13" s="29" t="str">
        <f>LOOKUP(A13,'QALS - Inspection Lot Record'!A:A,'QALS - Inspection Lot Record'!G:G)</f>
        <v>YA284176</v>
      </c>
      <c r="G13" s="59">
        <f ca="1">LOOKUP(A13,'QALS - Inspection Lot Record'!A:A,'QALS - Inspection Lot Record'!E:E)</f>
        <v>45870</v>
      </c>
      <c r="H13" s="34" t="str">
        <f t="shared" si="0"/>
        <v>A</v>
      </c>
      <c r="I13" s="29" t="str">
        <f t="shared" si="1"/>
        <v>YA284176</v>
      </c>
      <c r="J13" s="59">
        <f t="shared" ca="1" si="2"/>
        <v>45870</v>
      </c>
      <c r="K13" s="30">
        <f ca="1">LOOKUP(A13,'QALS - Inspection Lot Record'!A:A,'QALS - Inspection Lot Record'!I:I)</f>
        <v>9.8055555555555562E-2</v>
      </c>
      <c r="L13" s="59">
        <f t="shared" ca="1" si="3"/>
        <v>45870</v>
      </c>
      <c r="M13" s="30">
        <f t="shared" ca="1" si="4"/>
        <v>0.12561342592592595</v>
      </c>
      <c r="N13" s="31"/>
      <c r="O13" s="31">
        <v>0</v>
      </c>
      <c r="P13" s="29">
        <v>0</v>
      </c>
      <c r="Q13" s="29">
        <v>1</v>
      </c>
    </row>
    <row r="14" spans="1:17" x14ac:dyDescent="0.35">
      <c r="A14" s="26">
        <v>40000002502</v>
      </c>
      <c r="B14" s="31">
        <v>1</v>
      </c>
      <c r="C14" s="29" t="str">
        <f>LOOKUP(A14,'QALS - Inspection Lot Record'!$A$2:$A$361,'QALS - Inspection Lot Record'!$O$2:$O$361)</f>
        <v>Ibuprofen Tablets (100 MG)</v>
      </c>
      <c r="D14" s="31">
        <v>50</v>
      </c>
      <c r="E14" s="29" t="s">
        <v>404</v>
      </c>
      <c r="F14" s="29" t="str">
        <f>LOOKUP(A14,'QALS - Inspection Lot Record'!A:A,'QALS - Inspection Lot Record'!G:G)</f>
        <v>YA284176</v>
      </c>
      <c r="G14" s="59">
        <f ca="1">LOOKUP(A14,'QALS - Inspection Lot Record'!A:A,'QALS - Inspection Lot Record'!E:E)</f>
        <v>45870</v>
      </c>
      <c r="H14" s="34" t="str">
        <f t="shared" si="0"/>
        <v>A</v>
      </c>
      <c r="I14" s="29" t="str">
        <f t="shared" si="1"/>
        <v>YA284176</v>
      </c>
      <c r="J14" s="59">
        <f t="shared" ca="1" si="2"/>
        <v>45870</v>
      </c>
      <c r="K14" s="30">
        <f ca="1">LOOKUP(A14,'QALS - Inspection Lot Record'!A:A,'QALS - Inspection Lot Record'!I:I)</f>
        <v>9.8055555555555562E-2</v>
      </c>
      <c r="L14" s="59">
        <f t="shared" ca="1" si="3"/>
        <v>45870</v>
      </c>
      <c r="M14" s="30">
        <f t="shared" ca="1" si="4"/>
        <v>0.12502314814814816</v>
      </c>
      <c r="N14" s="31"/>
      <c r="O14" s="31">
        <v>50</v>
      </c>
      <c r="P14" s="29">
        <v>40</v>
      </c>
      <c r="Q14" s="29">
        <v>60</v>
      </c>
    </row>
    <row r="15" spans="1:17" x14ac:dyDescent="0.35">
      <c r="A15" s="26">
        <v>40000002502</v>
      </c>
      <c r="B15" s="31">
        <v>1</v>
      </c>
      <c r="C15" s="29" t="str">
        <f>LOOKUP(A15,'QALS - Inspection Lot Record'!$A$2:$A$361,'QALS - Inspection Lot Record'!$O$2:$O$361)</f>
        <v>Ibuprofen Tablets (100 MG)</v>
      </c>
      <c r="D15" s="31">
        <v>60</v>
      </c>
      <c r="E15" s="29" t="s">
        <v>405</v>
      </c>
      <c r="F15" s="29" t="str">
        <f>LOOKUP(A15,'QALS - Inspection Lot Record'!A:A,'QALS - Inspection Lot Record'!G:G)</f>
        <v>YA284176</v>
      </c>
      <c r="G15" s="59">
        <f ca="1">LOOKUP(A15,'QALS - Inspection Lot Record'!A:A,'QALS - Inspection Lot Record'!E:E)</f>
        <v>45870</v>
      </c>
      <c r="H15" s="34" t="str">
        <f t="shared" si="0"/>
        <v>A</v>
      </c>
      <c r="I15" s="29" t="str">
        <f t="shared" si="1"/>
        <v>YA284176</v>
      </c>
      <c r="J15" s="59">
        <f t="shared" ca="1" si="2"/>
        <v>45870</v>
      </c>
      <c r="K15" s="30">
        <f ca="1">LOOKUP(A15,'QALS - Inspection Lot Record'!A:A,'QALS - Inspection Lot Record'!I:I)</f>
        <v>9.8055555555555562E-2</v>
      </c>
      <c r="L15" s="59">
        <f t="shared" ca="1" si="3"/>
        <v>45870</v>
      </c>
      <c r="M15" s="30">
        <f t="shared" ca="1" si="4"/>
        <v>0.12506944444444446</v>
      </c>
      <c r="N15" s="31"/>
      <c r="O15" s="31">
        <v>77.5</v>
      </c>
      <c r="P15" s="29">
        <v>70</v>
      </c>
      <c r="Q15" s="29">
        <v>85</v>
      </c>
    </row>
    <row r="16" spans="1:17" x14ac:dyDescent="0.35">
      <c r="A16" s="26">
        <v>40000002502</v>
      </c>
      <c r="B16" s="31">
        <v>1</v>
      </c>
      <c r="C16" s="29" t="str">
        <f>LOOKUP(A16,'QALS - Inspection Lot Record'!$A$2:$A$361,'QALS - Inspection Lot Record'!$O$2:$O$361)</f>
        <v>Ibuprofen Tablets (100 MG)</v>
      </c>
      <c r="D16" s="31">
        <v>70</v>
      </c>
      <c r="E16" s="29" t="s">
        <v>406</v>
      </c>
      <c r="F16" s="29" t="str">
        <f>LOOKUP(A16,'QALS - Inspection Lot Record'!A:A,'QALS - Inspection Lot Record'!G:G)</f>
        <v>YA284176</v>
      </c>
      <c r="G16" s="59">
        <f ca="1">LOOKUP(A16,'QALS - Inspection Lot Record'!A:A,'QALS - Inspection Lot Record'!E:E)</f>
        <v>45870</v>
      </c>
      <c r="H16" s="34" t="str">
        <f t="shared" si="0"/>
        <v>A</v>
      </c>
      <c r="I16" s="29" t="str">
        <f t="shared" si="1"/>
        <v>YA284176</v>
      </c>
      <c r="J16" s="59">
        <f t="shared" ca="1" si="2"/>
        <v>45870</v>
      </c>
      <c r="K16" s="30">
        <f ca="1">LOOKUP(A16,'QALS - Inspection Lot Record'!A:A,'QALS - Inspection Lot Record'!I:I)</f>
        <v>9.8055555555555562E-2</v>
      </c>
      <c r="L16" s="59">
        <f t="shared" ca="1" si="3"/>
        <v>45870</v>
      </c>
      <c r="M16" s="30">
        <f t="shared" ca="1" si="4"/>
        <v>0.11913194444444444</v>
      </c>
      <c r="N16" s="31"/>
      <c r="O16" s="31">
        <v>85</v>
      </c>
      <c r="P16" s="29">
        <v>80</v>
      </c>
      <c r="Q16" s="29">
        <v>90</v>
      </c>
    </row>
    <row r="17" spans="1:17" x14ac:dyDescent="0.35">
      <c r="A17" s="26">
        <v>40000002502</v>
      </c>
      <c r="B17" s="31">
        <v>1</v>
      </c>
      <c r="C17" s="29" t="str">
        <f>LOOKUP(A17,'QALS - Inspection Lot Record'!$A$2:$A$361,'QALS - Inspection Lot Record'!$O$2:$O$361)</f>
        <v>Ibuprofen Tablets (100 MG)</v>
      </c>
      <c r="D17" s="31">
        <v>80</v>
      </c>
      <c r="E17" s="29" t="s">
        <v>407</v>
      </c>
      <c r="F17" s="29" t="str">
        <f>LOOKUP(A17,'QALS - Inspection Lot Record'!A:A,'QALS - Inspection Lot Record'!G:G)</f>
        <v>YA284176</v>
      </c>
      <c r="G17" s="59">
        <f ca="1">LOOKUP(A17,'QALS - Inspection Lot Record'!A:A,'QALS - Inspection Lot Record'!E:E)</f>
        <v>45870</v>
      </c>
      <c r="H17" s="34" t="str">
        <f t="shared" si="0"/>
        <v>A</v>
      </c>
      <c r="I17" s="29" t="str">
        <f t="shared" si="1"/>
        <v>YA284176</v>
      </c>
      <c r="J17" s="59">
        <f t="shared" ca="1" si="2"/>
        <v>45870</v>
      </c>
      <c r="K17" s="30">
        <f ca="1">LOOKUP(A17,'QALS - Inspection Lot Record'!A:A,'QALS - Inspection Lot Record'!I:I)</f>
        <v>9.8055555555555562E-2</v>
      </c>
      <c r="L17" s="59">
        <f t="shared" ca="1" si="3"/>
        <v>45870</v>
      </c>
      <c r="M17" s="30">
        <f t="shared" ca="1" si="4"/>
        <v>0.12862268518518519</v>
      </c>
      <c r="N17" s="31"/>
      <c r="O17" s="31">
        <v>24</v>
      </c>
      <c r="P17" s="29">
        <v>23</v>
      </c>
      <c r="Q17" s="29">
        <v>25</v>
      </c>
    </row>
    <row r="18" spans="1:17" x14ac:dyDescent="0.35">
      <c r="A18" s="26">
        <v>40000002503</v>
      </c>
      <c r="B18" s="27">
        <v>1</v>
      </c>
      <c r="C18" s="29" t="str">
        <f>LOOKUP(A18,'QALS - Inspection Lot Record'!$A$2:$A$361,'QALS - Inspection Lot Record'!$O$2:$O$361)</f>
        <v>Metformin Tablets (100 MG)</v>
      </c>
      <c r="D18" s="27">
        <v>10</v>
      </c>
      <c r="E18" s="26" t="s">
        <v>399</v>
      </c>
      <c r="F18" s="29" t="str">
        <f>LOOKUP(A18,'QALS - Inspection Lot Record'!A:A,'QALS - Inspection Lot Record'!G:G)</f>
        <v>ZK384180</v>
      </c>
      <c r="G18" s="59">
        <f ca="1">LOOKUP(A18,'QALS - Inspection Lot Record'!A:A,'QALS - Inspection Lot Record'!E:E)</f>
        <v>45871</v>
      </c>
      <c r="H18" s="34" t="str">
        <f t="shared" si="0"/>
        <v>A</v>
      </c>
      <c r="I18" s="29" t="str">
        <f t="shared" si="1"/>
        <v>ZK384180</v>
      </c>
      <c r="J18" s="59">
        <f t="shared" ca="1" si="2"/>
        <v>45871</v>
      </c>
      <c r="K18" s="30">
        <f ca="1">LOOKUP(A18,'QALS - Inspection Lot Record'!A:A,'QALS - Inspection Lot Record'!I:I)</f>
        <v>0.90376157407407409</v>
      </c>
      <c r="L18" s="59">
        <f t="shared" ca="1" si="3"/>
        <v>45871</v>
      </c>
      <c r="M18" s="30">
        <f t="shared" ca="1" si="4"/>
        <v>0.93170138888888887</v>
      </c>
      <c r="N18" s="31"/>
      <c r="O18" s="31">
        <v>98.4</v>
      </c>
      <c r="P18" s="29">
        <v>95</v>
      </c>
      <c r="Q18" s="29">
        <v>102</v>
      </c>
    </row>
    <row r="19" spans="1:17" x14ac:dyDescent="0.35">
      <c r="A19" s="26">
        <v>40000002503</v>
      </c>
      <c r="B19" s="27">
        <v>1</v>
      </c>
      <c r="C19" s="29" t="str">
        <f>LOOKUP(A19,'QALS - Inspection Lot Record'!$A$2:$A$361,'QALS - Inspection Lot Record'!$O$2:$O$361)</f>
        <v>Metformin Tablets (100 MG)</v>
      </c>
      <c r="D19" s="31">
        <v>20</v>
      </c>
      <c r="E19" s="29" t="s">
        <v>400</v>
      </c>
      <c r="F19" s="29" t="str">
        <f>LOOKUP(A19,'QALS - Inspection Lot Record'!A:A,'QALS - Inspection Lot Record'!G:G)</f>
        <v>ZK384180</v>
      </c>
      <c r="G19" s="59">
        <f ca="1">LOOKUP(A19,'QALS - Inspection Lot Record'!A:A,'QALS - Inspection Lot Record'!E:E)</f>
        <v>45871</v>
      </c>
      <c r="H19" s="34" t="str">
        <f t="shared" si="0"/>
        <v>A</v>
      </c>
      <c r="I19" s="29" t="str">
        <f t="shared" si="1"/>
        <v>ZK384180</v>
      </c>
      <c r="J19" s="59">
        <f t="shared" ca="1" si="2"/>
        <v>45871</v>
      </c>
      <c r="K19" s="30">
        <f ca="1">LOOKUP(A19,'QALS - Inspection Lot Record'!A:A,'QALS - Inspection Lot Record'!I:I)</f>
        <v>0.90376157407407409</v>
      </c>
      <c r="L19" s="59">
        <f t="shared" ca="1" si="3"/>
        <v>45871</v>
      </c>
      <c r="M19" s="30">
        <f t="shared" ca="1" si="4"/>
        <v>0.92895833333333333</v>
      </c>
      <c r="N19" s="31"/>
      <c r="O19" s="31">
        <v>3.9</v>
      </c>
      <c r="P19" s="29">
        <v>3.5</v>
      </c>
      <c r="Q19" s="29">
        <v>11</v>
      </c>
    </row>
    <row r="20" spans="1:17" x14ac:dyDescent="0.35">
      <c r="A20" s="26">
        <v>40000002503</v>
      </c>
      <c r="B20" s="31">
        <v>1</v>
      </c>
      <c r="C20" s="29" t="str">
        <f>LOOKUP(A20,'QALS - Inspection Lot Record'!$A$2:$A$361,'QALS - Inspection Lot Record'!$O$2:$O$361)</f>
        <v>Metformin Tablets (100 MG)</v>
      </c>
      <c r="D20" s="31">
        <v>30</v>
      </c>
      <c r="E20" s="29" t="s">
        <v>401</v>
      </c>
      <c r="F20" s="29" t="str">
        <f>LOOKUP(A20,'QALS - Inspection Lot Record'!A:A,'QALS - Inspection Lot Record'!G:G)</f>
        <v>ZK384180</v>
      </c>
      <c r="G20" s="59">
        <f ca="1">LOOKUP(A20,'QALS - Inspection Lot Record'!A:A,'QALS - Inspection Lot Record'!E:E)</f>
        <v>45871</v>
      </c>
      <c r="H20" s="34" t="str">
        <f t="shared" si="0"/>
        <v>A</v>
      </c>
      <c r="I20" s="29" t="str">
        <f t="shared" si="1"/>
        <v>ZK384180</v>
      </c>
      <c r="J20" s="59">
        <f t="shared" ca="1" si="2"/>
        <v>45871</v>
      </c>
      <c r="K20" s="30">
        <f ca="1">LOOKUP(A20,'QALS - Inspection Lot Record'!A:A,'QALS - Inspection Lot Record'!I:I)</f>
        <v>0.90376157407407409</v>
      </c>
      <c r="L20" s="59">
        <f t="shared" ca="1" si="3"/>
        <v>45871</v>
      </c>
      <c r="M20" s="30">
        <f t="shared" ca="1" si="4"/>
        <v>0.92446759259259259</v>
      </c>
      <c r="N20" s="11" t="s">
        <v>402</v>
      </c>
      <c r="O20" s="31"/>
      <c r="P20" s="29"/>
      <c r="Q20" s="29"/>
    </row>
    <row r="21" spans="1:17" x14ac:dyDescent="0.35">
      <c r="A21" s="26">
        <v>40000002503</v>
      </c>
      <c r="B21" s="31">
        <v>1</v>
      </c>
      <c r="C21" s="29" t="str">
        <f>LOOKUP(A21,'QALS - Inspection Lot Record'!$A$2:$A$361,'QALS - Inspection Lot Record'!$O$2:$O$361)</f>
        <v>Metformin Tablets (100 MG)</v>
      </c>
      <c r="D21" s="31">
        <v>40</v>
      </c>
      <c r="E21" s="29" t="s">
        <v>403</v>
      </c>
      <c r="F21" s="29" t="str">
        <f>LOOKUP(A21,'QALS - Inspection Lot Record'!A:A,'QALS - Inspection Lot Record'!G:G)</f>
        <v>ZK384180</v>
      </c>
      <c r="G21" s="59">
        <f ca="1">LOOKUP(A21,'QALS - Inspection Lot Record'!A:A,'QALS - Inspection Lot Record'!E:E)</f>
        <v>45871</v>
      </c>
      <c r="H21" s="34" t="str">
        <f t="shared" si="0"/>
        <v>R</v>
      </c>
      <c r="I21" s="29" t="str">
        <f t="shared" si="1"/>
        <v>ZK384180</v>
      </c>
      <c r="J21" s="59">
        <f t="shared" ca="1" si="2"/>
        <v>45871</v>
      </c>
      <c r="K21" s="30">
        <f ca="1">LOOKUP(A21,'QALS - Inspection Lot Record'!A:A,'QALS - Inspection Lot Record'!I:I)</f>
        <v>0.90376157407407409</v>
      </c>
      <c r="L21" s="59">
        <f t="shared" ca="1" si="3"/>
        <v>45871</v>
      </c>
      <c r="M21" s="30">
        <f t="shared" ca="1" si="4"/>
        <v>0.92174768518518524</v>
      </c>
      <c r="N21" s="31"/>
      <c r="O21" s="31">
        <v>1.2</v>
      </c>
      <c r="P21" s="29">
        <v>0</v>
      </c>
      <c r="Q21" s="29">
        <v>1</v>
      </c>
    </row>
    <row r="22" spans="1:17" x14ac:dyDescent="0.35">
      <c r="A22" s="26">
        <v>40000002503</v>
      </c>
      <c r="B22" s="31">
        <v>1</v>
      </c>
      <c r="C22" s="29" t="str">
        <f>LOOKUP(A22,'QALS - Inspection Lot Record'!$A$2:$A$361,'QALS - Inspection Lot Record'!$O$2:$O$361)</f>
        <v>Metformin Tablets (100 MG)</v>
      </c>
      <c r="D22" s="31">
        <v>50</v>
      </c>
      <c r="E22" s="29" t="s">
        <v>404</v>
      </c>
      <c r="F22" s="29" t="str">
        <f>LOOKUP(A22,'QALS - Inspection Lot Record'!A:A,'QALS - Inspection Lot Record'!G:G)</f>
        <v>ZK384180</v>
      </c>
      <c r="G22" s="59">
        <f ca="1">LOOKUP(A22,'QALS - Inspection Lot Record'!A:A,'QALS - Inspection Lot Record'!E:E)</f>
        <v>45871</v>
      </c>
      <c r="H22" s="34" t="str">
        <f t="shared" si="0"/>
        <v>R</v>
      </c>
      <c r="I22" s="29" t="str">
        <f t="shared" si="1"/>
        <v>ZK384180</v>
      </c>
      <c r="J22" s="59">
        <f t="shared" ca="1" si="2"/>
        <v>45871</v>
      </c>
      <c r="K22" s="30">
        <f ca="1">LOOKUP(A22,'QALS - Inspection Lot Record'!A:A,'QALS - Inspection Lot Record'!I:I)</f>
        <v>0.90376157407407409</v>
      </c>
      <c r="L22" s="59">
        <f t="shared" ca="1" si="3"/>
        <v>45871</v>
      </c>
      <c r="M22" s="30">
        <f t="shared" ca="1" si="4"/>
        <v>0.93175925925925929</v>
      </c>
      <c r="N22" s="31"/>
      <c r="O22" s="31">
        <v>38.700000000000003</v>
      </c>
      <c r="P22" s="29">
        <v>40</v>
      </c>
      <c r="Q22" s="29">
        <v>60</v>
      </c>
    </row>
    <row r="23" spans="1:17" x14ac:dyDescent="0.35">
      <c r="A23" s="26">
        <v>40000002503</v>
      </c>
      <c r="B23" s="31">
        <v>1</v>
      </c>
      <c r="C23" s="29" t="str">
        <f>LOOKUP(A23,'QALS - Inspection Lot Record'!$A$2:$A$361,'QALS - Inspection Lot Record'!$O$2:$O$361)</f>
        <v>Metformin Tablets (100 MG)</v>
      </c>
      <c r="D23" s="31">
        <v>60</v>
      </c>
      <c r="E23" s="29" t="s">
        <v>405</v>
      </c>
      <c r="F23" s="29" t="str">
        <f>LOOKUP(A23,'QALS - Inspection Lot Record'!A:A,'QALS - Inspection Lot Record'!G:G)</f>
        <v>ZK384180</v>
      </c>
      <c r="G23" s="59">
        <f ca="1">LOOKUP(A23,'QALS - Inspection Lot Record'!A:A,'QALS - Inspection Lot Record'!E:E)</f>
        <v>45871</v>
      </c>
      <c r="H23" s="34" t="str">
        <f t="shared" si="0"/>
        <v>R</v>
      </c>
      <c r="I23" s="29" t="str">
        <f t="shared" si="1"/>
        <v>ZK384180</v>
      </c>
      <c r="J23" s="59">
        <f t="shared" ca="1" si="2"/>
        <v>45871</v>
      </c>
      <c r="K23" s="30">
        <f ca="1">LOOKUP(A23,'QALS - Inspection Lot Record'!A:A,'QALS - Inspection Lot Record'!I:I)</f>
        <v>0.90376157407407409</v>
      </c>
      <c r="L23" s="59">
        <f t="shared" ca="1" si="3"/>
        <v>45871</v>
      </c>
      <c r="M23" s="30">
        <f t="shared" ca="1" si="4"/>
        <v>0.93677083333333333</v>
      </c>
      <c r="N23" s="31"/>
      <c r="O23" s="31">
        <v>68</v>
      </c>
      <c r="P23" s="29">
        <v>70</v>
      </c>
      <c r="Q23" s="29">
        <v>85</v>
      </c>
    </row>
    <row r="24" spans="1:17" x14ac:dyDescent="0.35">
      <c r="A24" s="26">
        <v>40000002503</v>
      </c>
      <c r="B24" s="31">
        <v>1</v>
      </c>
      <c r="C24" s="29" t="str">
        <f>LOOKUP(A24,'QALS - Inspection Lot Record'!$A$2:$A$361,'QALS - Inspection Lot Record'!$O$2:$O$361)</f>
        <v>Metformin Tablets (100 MG)</v>
      </c>
      <c r="D24" s="31">
        <v>70</v>
      </c>
      <c r="E24" s="29" t="s">
        <v>406</v>
      </c>
      <c r="F24" s="29" t="str">
        <f>LOOKUP(A24,'QALS - Inspection Lot Record'!A:A,'QALS - Inspection Lot Record'!G:G)</f>
        <v>ZK384180</v>
      </c>
      <c r="G24" s="59">
        <f ca="1">LOOKUP(A24,'QALS - Inspection Lot Record'!A:A,'QALS - Inspection Lot Record'!E:E)</f>
        <v>45871</v>
      </c>
      <c r="H24" s="34" t="str">
        <f t="shared" si="0"/>
        <v>A</v>
      </c>
      <c r="I24" s="29" t="str">
        <f t="shared" si="1"/>
        <v>ZK384180</v>
      </c>
      <c r="J24" s="59">
        <f t="shared" ca="1" si="2"/>
        <v>45871</v>
      </c>
      <c r="K24" s="30">
        <f ca="1">LOOKUP(A24,'QALS - Inspection Lot Record'!A:A,'QALS - Inspection Lot Record'!I:I)</f>
        <v>0.90376157407407409</v>
      </c>
      <c r="L24" s="59">
        <f t="shared" ca="1" si="3"/>
        <v>45871</v>
      </c>
      <c r="M24" s="30">
        <f t="shared" ca="1" si="4"/>
        <v>0.93093749999999997</v>
      </c>
      <c r="N24" s="31"/>
      <c r="O24" s="31">
        <v>84.3</v>
      </c>
      <c r="P24" s="29">
        <v>80</v>
      </c>
      <c r="Q24" s="29">
        <v>90</v>
      </c>
    </row>
    <row r="25" spans="1:17" x14ac:dyDescent="0.35">
      <c r="A25" s="26">
        <v>40000002503</v>
      </c>
      <c r="B25" s="31">
        <v>1</v>
      </c>
      <c r="C25" s="29" t="str">
        <f>LOOKUP(A25,'QALS - Inspection Lot Record'!$A$2:$A$361,'QALS - Inspection Lot Record'!$O$2:$O$361)</f>
        <v>Metformin Tablets (100 MG)</v>
      </c>
      <c r="D25" s="31">
        <v>80</v>
      </c>
      <c r="E25" s="29" t="s">
        <v>407</v>
      </c>
      <c r="F25" s="29" t="str">
        <f>LOOKUP(A25,'QALS - Inspection Lot Record'!A:A,'QALS - Inspection Lot Record'!G:G)</f>
        <v>ZK384180</v>
      </c>
      <c r="G25" s="59">
        <f ca="1">LOOKUP(A25,'QALS - Inspection Lot Record'!A:A,'QALS - Inspection Lot Record'!E:E)</f>
        <v>45871</v>
      </c>
      <c r="H25" s="34" t="str">
        <f t="shared" si="0"/>
        <v>A</v>
      </c>
      <c r="I25" s="29" t="str">
        <f t="shared" si="1"/>
        <v>ZK384180</v>
      </c>
      <c r="J25" s="59">
        <f t="shared" ca="1" si="2"/>
        <v>45871</v>
      </c>
      <c r="K25" s="30">
        <f ca="1">LOOKUP(A25,'QALS - Inspection Lot Record'!A:A,'QALS - Inspection Lot Record'!I:I)</f>
        <v>0.90376157407407409</v>
      </c>
      <c r="L25" s="59">
        <f t="shared" ca="1" si="3"/>
        <v>45871</v>
      </c>
      <c r="M25" s="30">
        <f t="shared" ca="1" si="4"/>
        <v>0.92445601851851855</v>
      </c>
      <c r="N25" s="31"/>
      <c r="O25" s="31">
        <v>23.5</v>
      </c>
      <c r="P25" s="29">
        <v>23</v>
      </c>
      <c r="Q25" s="29">
        <v>25</v>
      </c>
    </row>
    <row r="26" spans="1:17" x14ac:dyDescent="0.35">
      <c r="A26" s="26">
        <v>40000002504</v>
      </c>
      <c r="B26" s="27">
        <v>1</v>
      </c>
      <c r="C26" s="29" t="str">
        <f>LOOKUP(A26,'QALS - Inspection Lot Record'!$A$2:$A$361,'QALS - Inspection Lot Record'!$O$2:$O$361)</f>
        <v>Metformin Tablets (100 MG)</v>
      </c>
      <c r="D26" s="27">
        <v>10</v>
      </c>
      <c r="E26" s="26" t="s">
        <v>399</v>
      </c>
      <c r="F26" s="29" t="str">
        <f>LOOKUP(A26,'QALS - Inspection Lot Record'!A:A,'QALS - Inspection Lot Record'!G:G)</f>
        <v>YA284176</v>
      </c>
      <c r="G26" s="59">
        <f ca="1">LOOKUP(A26,'QALS - Inspection Lot Record'!A:A,'QALS - Inspection Lot Record'!E:E)</f>
        <v>45871</v>
      </c>
      <c r="H26" s="34" t="str">
        <f t="shared" si="0"/>
        <v>R</v>
      </c>
      <c r="I26" s="29" t="str">
        <f t="shared" si="1"/>
        <v>YA284176</v>
      </c>
      <c r="J26" s="59">
        <f t="shared" ca="1" si="2"/>
        <v>45871</v>
      </c>
      <c r="K26" s="30">
        <f ca="1">LOOKUP(A26,'QALS - Inspection Lot Record'!A:A,'QALS - Inspection Lot Record'!I:I)</f>
        <v>9.8969907407407409E-2</v>
      </c>
      <c r="L26" s="59">
        <f t="shared" ca="1" si="3"/>
        <v>45871</v>
      </c>
      <c r="M26" s="30">
        <f t="shared" ca="1" si="4"/>
        <v>0.13285879629629629</v>
      </c>
      <c r="N26" s="31"/>
      <c r="O26" s="31">
        <v>93.6</v>
      </c>
      <c r="P26" s="29">
        <v>95</v>
      </c>
      <c r="Q26" s="29">
        <v>102</v>
      </c>
    </row>
    <row r="27" spans="1:17" x14ac:dyDescent="0.35">
      <c r="A27" s="26">
        <v>40000002504</v>
      </c>
      <c r="B27" s="27">
        <v>1</v>
      </c>
      <c r="C27" s="29" t="str">
        <f>LOOKUP(A27,'QALS - Inspection Lot Record'!$A$2:$A$361,'QALS - Inspection Lot Record'!$O$2:$O$361)</f>
        <v>Metformin Tablets (100 MG)</v>
      </c>
      <c r="D27" s="31">
        <v>20</v>
      </c>
      <c r="E27" s="29" t="s">
        <v>400</v>
      </c>
      <c r="F27" s="29" t="str">
        <f>LOOKUP(A27,'QALS - Inspection Lot Record'!A:A,'QALS - Inspection Lot Record'!G:G)</f>
        <v>YA284176</v>
      </c>
      <c r="G27" s="59">
        <f ca="1">LOOKUP(A27,'QALS - Inspection Lot Record'!A:A,'QALS - Inspection Lot Record'!E:E)</f>
        <v>45871</v>
      </c>
      <c r="H27" s="34" t="str">
        <f t="shared" si="0"/>
        <v>R</v>
      </c>
      <c r="I27" s="29" t="str">
        <f t="shared" si="1"/>
        <v>YA284176</v>
      </c>
      <c r="J27" s="59">
        <f t="shared" ca="1" si="2"/>
        <v>45871</v>
      </c>
      <c r="K27" s="30">
        <f ca="1">LOOKUP(A27,'QALS - Inspection Lot Record'!A:A,'QALS - Inspection Lot Record'!I:I)</f>
        <v>9.8969907407407409E-2</v>
      </c>
      <c r="L27" s="59">
        <f t="shared" ca="1" si="3"/>
        <v>45871</v>
      </c>
      <c r="M27" s="30">
        <f t="shared" ca="1" si="4"/>
        <v>0.13256944444444446</v>
      </c>
      <c r="N27" s="31"/>
      <c r="O27" s="31">
        <v>1.8</v>
      </c>
      <c r="P27" s="29">
        <v>3.5</v>
      </c>
      <c r="Q27" s="29">
        <v>11</v>
      </c>
    </row>
    <row r="28" spans="1:17" x14ac:dyDescent="0.35">
      <c r="A28" s="26">
        <v>40000002504</v>
      </c>
      <c r="B28" s="31">
        <v>1</v>
      </c>
      <c r="C28" s="29" t="str">
        <f>LOOKUP(A28,'QALS - Inspection Lot Record'!$A$2:$A$361,'QALS - Inspection Lot Record'!$O$2:$O$361)</f>
        <v>Metformin Tablets (100 MG)</v>
      </c>
      <c r="D28" s="31">
        <v>30</v>
      </c>
      <c r="E28" s="29" t="s">
        <v>401</v>
      </c>
      <c r="F28" s="29" t="str">
        <f>LOOKUP(A28,'QALS - Inspection Lot Record'!A:A,'QALS - Inspection Lot Record'!G:G)</f>
        <v>YA284176</v>
      </c>
      <c r="G28" s="59">
        <f ca="1">LOOKUP(A28,'QALS - Inspection Lot Record'!A:A,'QALS - Inspection Lot Record'!E:E)</f>
        <v>45871</v>
      </c>
      <c r="H28" s="34" t="str">
        <f t="shared" si="0"/>
        <v>A</v>
      </c>
      <c r="I28" s="29" t="str">
        <f t="shared" si="1"/>
        <v>YA284176</v>
      </c>
      <c r="J28" s="59">
        <f t="shared" ca="1" si="2"/>
        <v>45871</v>
      </c>
      <c r="K28" s="30">
        <f ca="1">LOOKUP(A28,'QALS - Inspection Lot Record'!A:A,'QALS - Inspection Lot Record'!I:I)</f>
        <v>9.8969907407407409E-2</v>
      </c>
      <c r="L28" s="59">
        <f t="shared" ca="1" si="3"/>
        <v>45871</v>
      </c>
      <c r="M28" s="30">
        <f t="shared" ca="1" si="4"/>
        <v>0.13085648148148149</v>
      </c>
      <c r="N28" s="11" t="s">
        <v>402</v>
      </c>
      <c r="O28" s="31"/>
      <c r="P28" s="29"/>
      <c r="Q28" s="29"/>
    </row>
    <row r="29" spans="1:17" x14ac:dyDescent="0.35">
      <c r="A29" s="26">
        <v>40000002504</v>
      </c>
      <c r="B29" s="31">
        <v>1</v>
      </c>
      <c r="C29" s="29" t="str">
        <f>LOOKUP(A29,'QALS - Inspection Lot Record'!$A$2:$A$361,'QALS - Inspection Lot Record'!$O$2:$O$361)</f>
        <v>Metformin Tablets (100 MG)</v>
      </c>
      <c r="D29" s="31">
        <v>40</v>
      </c>
      <c r="E29" s="29" t="s">
        <v>403</v>
      </c>
      <c r="F29" s="29" t="str">
        <f>LOOKUP(A29,'QALS - Inspection Lot Record'!A:A,'QALS - Inspection Lot Record'!G:G)</f>
        <v>YA284176</v>
      </c>
      <c r="G29" s="59">
        <f ca="1">LOOKUP(A29,'QALS - Inspection Lot Record'!A:A,'QALS - Inspection Lot Record'!E:E)</f>
        <v>45871</v>
      </c>
      <c r="H29" s="34" t="str">
        <f t="shared" si="0"/>
        <v>A</v>
      </c>
      <c r="I29" s="29" t="str">
        <f t="shared" si="1"/>
        <v>YA284176</v>
      </c>
      <c r="J29" s="59">
        <f t="shared" ca="1" si="2"/>
        <v>45871</v>
      </c>
      <c r="K29" s="30">
        <f ca="1">LOOKUP(A29,'QALS - Inspection Lot Record'!A:A,'QALS - Inspection Lot Record'!I:I)</f>
        <v>9.8969907407407409E-2</v>
      </c>
      <c r="L29" s="59">
        <f t="shared" ca="1" si="3"/>
        <v>45871</v>
      </c>
      <c r="M29" s="30">
        <f t="shared" ca="1" si="4"/>
        <v>0.13396990740740741</v>
      </c>
      <c r="N29" s="31"/>
      <c r="O29" s="31">
        <v>0.5</v>
      </c>
      <c r="P29" s="29">
        <v>0</v>
      </c>
      <c r="Q29" s="29">
        <v>1</v>
      </c>
    </row>
    <row r="30" spans="1:17" x14ac:dyDescent="0.35">
      <c r="A30" s="26">
        <v>40000002504</v>
      </c>
      <c r="B30" s="31">
        <v>1</v>
      </c>
      <c r="C30" s="29" t="str">
        <f>LOOKUP(A30,'QALS - Inspection Lot Record'!$A$2:$A$361,'QALS - Inspection Lot Record'!$O$2:$O$361)</f>
        <v>Metformin Tablets (100 MG)</v>
      </c>
      <c r="D30" s="31">
        <v>50</v>
      </c>
      <c r="E30" s="29" t="s">
        <v>404</v>
      </c>
      <c r="F30" s="29" t="str">
        <f>LOOKUP(A30,'QALS - Inspection Lot Record'!A:A,'QALS - Inspection Lot Record'!G:G)</f>
        <v>YA284176</v>
      </c>
      <c r="G30" s="59">
        <f ca="1">LOOKUP(A30,'QALS - Inspection Lot Record'!A:A,'QALS - Inspection Lot Record'!E:E)</f>
        <v>45871</v>
      </c>
      <c r="H30" s="34" t="str">
        <f t="shared" si="0"/>
        <v>R</v>
      </c>
      <c r="I30" s="29" t="str">
        <f t="shared" si="1"/>
        <v>YA284176</v>
      </c>
      <c r="J30" s="59">
        <f t="shared" ca="1" si="2"/>
        <v>45871</v>
      </c>
      <c r="K30" s="30">
        <f ca="1">LOOKUP(A30,'QALS - Inspection Lot Record'!A:A,'QALS - Inspection Lot Record'!I:I)</f>
        <v>9.8969907407407409E-2</v>
      </c>
      <c r="L30" s="59">
        <f t="shared" ca="1" si="3"/>
        <v>45871</v>
      </c>
      <c r="M30" s="30">
        <f t="shared" ca="1" si="4"/>
        <v>0.13261574074074073</v>
      </c>
      <c r="N30" s="31"/>
      <c r="O30" s="31">
        <v>38.200000000000003</v>
      </c>
      <c r="P30" s="29">
        <v>40</v>
      </c>
      <c r="Q30" s="29">
        <v>60</v>
      </c>
    </row>
    <row r="31" spans="1:17" x14ac:dyDescent="0.35">
      <c r="A31" s="26">
        <v>40000002504</v>
      </c>
      <c r="B31" s="31">
        <v>1</v>
      </c>
      <c r="C31" s="29" t="str">
        <f>LOOKUP(A31,'QALS - Inspection Lot Record'!$A$2:$A$361,'QALS - Inspection Lot Record'!$O$2:$O$361)</f>
        <v>Metformin Tablets (100 MG)</v>
      </c>
      <c r="D31" s="31">
        <v>60</v>
      </c>
      <c r="E31" s="29" t="s">
        <v>405</v>
      </c>
      <c r="F31" s="29" t="str">
        <f>LOOKUP(A31,'QALS - Inspection Lot Record'!A:A,'QALS - Inspection Lot Record'!G:G)</f>
        <v>YA284176</v>
      </c>
      <c r="G31" s="59">
        <f ca="1">LOOKUP(A31,'QALS - Inspection Lot Record'!A:A,'QALS - Inspection Lot Record'!E:E)</f>
        <v>45871</v>
      </c>
      <c r="H31" s="34" t="str">
        <f t="shared" si="0"/>
        <v>A</v>
      </c>
      <c r="I31" s="29" t="str">
        <f t="shared" si="1"/>
        <v>YA284176</v>
      </c>
      <c r="J31" s="59">
        <f t="shared" ca="1" si="2"/>
        <v>45871</v>
      </c>
      <c r="K31" s="30">
        <f ca="1">LOOKUP(A31,'QALS - Inspection Lot Record'!A:A,'QALS - Inspection Lot Record'!I:I)</f>
        <v>9.8969907407407409E-2</v>
      </c>
      <c r="L31" s="59">
        <f t="shared" ca="1" si="3"/>
        <v>45871</v>
      </c>
      <c r="M31" s="30">
        <f t="shared" ca="1" si="4"/>
        <v>0.12650462962962963</v>
      </c>
      <c r="N31" s="31"/>
      <c r="O31" s="31">
        <v>74.3</v>
      </c>
      <c r="P31" s="29">
        <v>70</v>
      </c>
      <c r="Q31" s="29">
        <v>85</v>
      </c>
    </row>
    <row r="32" spans="1:17" x14ac:dyDescent="0.35">
      <c r="A32" s="26">
        <v>40000002504</v>
      </c>
      <c r="B32" s="31">
        <v>1</v>
      </c>
      <c r="C32" s="29" t="str">
        <f>LOOKUP(A32,'QALS - Inspection Lot Record'!$A$2:$A$361,'QALS - Inspection Lot Record'!$O$2:$O$361)</f>
        <v>Metformin Tablets (100 MG)</v>
      </c>
      <c r="D32" s="31">
        <v>70</v>
      </c>
      <c r="E32" s="29" t="s">
        <v>406</v>
      </c>
      <c r="F32" s="29" t="str">
        <f>LOOKUP(A32,'QALS - Inspection Lot Record'!A:A,'QALS - Inspection Lot Record'!G:G)</f>
        <v>YA284176</v>
      </c>
      <c r="G32" s="59">
        <f ca="1">LOOKUP(A32,'QALS - Inspection Lot Record'!A:A,'QALS - Inspection Lot Record'!E:E)</f>
        <v>45871</v>
      </c>
      <c r="H32" s="34" t="str">
        <f t="shared" si="0"/>
        <v>A</v>
      </c>
      <c r="I32" s="29" t="str">
        <f t="shared" si="1"/>
        <v>YA284176</v>
      </c>
      <c r="J32" s="59">
        <f t="shared" ca="1" si="2"/>
        <v>45871</v>
      </c>
      <c r="K32" s="30">
        <f ca="1">LOOKUP(A32,'QALS - Inspection Lot Record'!A:A,'QALS - Inspection Lot Record'!I:I)</f>
        <v>9.8969907407407409E-2</v>
      </c>
      <c r="L32" s="59">
        <f t="shared" ca="1" si="3"/>
        <v>45871</v>
      </c>
      <c r="M32" s="30">
        <f t="shared" ca="1" si="4"/>
        <v>0.13020833333333334</v>
      </c>
      <c r="N32" s="31"/>
      <c r="O32" s="31">
        <v>86.5</v>
      </c>
      <c r="P32" s="29">
        <v>80</v>
      </c>
      <c r="Q32" s="29">
        <v>90</v>
      </c>
    </row>
    <row r="33" spans="1:17" x14ac:dyDescent="0.35">
      <c r="A33" s="26">
        <v>40000002504</v>
      </c>
      <c r="B33" s="31">
        <v>1</v>
      </c>
      <c r="C33" s="29" t="str">
        <f>LOOKUP(A33,'QALS - Inspection Lot Record'!$A$2:$A$361,'QALS - Inspection Lot Record'!$O$2:$O$361)</f>
        <v>Metformin Tablets (100 MG)</v>
      </c>
      <c r="D33" s="31">
        <v>80</v>
      </c>
      <c r="E33" s="29" t="s">
        <v>407</v>
      </c>
      <c r="F33" s="29" t="str">
        <f>LOOKUP(A33,'QALS - Inspection Lot Record'!A:A,'QALS - Inspection Lot Record'!G:G)</f>
        <v>YA284176</v>
      </c>
      <c r="G33" s="59">
        <f ca="1">LOOKUP(A33,'QALS - Inspection Lot Record'!A:A,'QALS - Inspection Lot Record'!E:E)</f>
        <v>45871</v>
      </c>
      <c r="H33" s="34" t="str">
        <f t="shared" si="0"/>
        <v>A</v>
      </c>
      <c r="I33" s="29" t="str">
        <f t="shared" si="1"/>
        <v>YA284176</v>
      </c>
      <c r="J33" s="59">
        <f t="shared" ca="1" si="2"/>
        <v>45871</v>
      </c>
      <c r="K33" s="30">
        <f ca="1">LOOKUP(A33,'QALS - Inspection Lot Record'!A:A,'QALS - Inspection Lot Record'!I:I)</f>
        <v>9.8969907407407409E-2</v>
      </c>
      <c r="L33" s="59">
        <f t="shared" ca="1" si="3"/>
        <v>45871</v>
      </c>
      <c r="M33" s="30">
        <f t="shared" ca="1" si="4"/>
        <v>0.11687500000000001</v>
      </c>
      <c r="N33" s="31"/>
      <c r="O33" s="31">
        <v>24</v>
      </c>
      <c r="P33" s="29">
        <v>23</v>
      </c>
      <c r="Q33" s="29">
        <v>25</v>
      </c>
    </row>
    <row r="34" spans="1:17" x14ac:dyDescent="0.35">
      <c r="A34" s="26">
        <v>40000002505</v>
      </c>
      <c r="B34" s="27">
        <v>1</v>
      </c>
      <c r="C34" s="29" t="str">
        <f>LOOKUP(A34,'QALS - Inspection Lot Record'!$A$2:$A$361,'QALS - Inspection Lot Record'!$O$2:$O$361)</f>
        <v>Metformin Tablets (500 MG)</v>
      </c>
      <c r="D34" s="27">
        <v>10</v>
      </c>
      <c r="E34" s="26" t="s">
        <v>399</v>
      </c>
      <c r="F34" s="29" t="str">
        <f>LOOKUP(A34,'QALS - Inspection Lot Record'!A:A,'QALS - Inspection Lot Record'!G:G)</f>
        <v>TP397880</v>
      </c>
      <c r="G34" s="59">
        <f ca="1">LOOKUP(A34,'QALS - Inspection Lot Record'!A:A,'QALS - Inspection Lot Record'!E:E)</f>
        <v>45872</v>
      </c>
      <c r="H34" s="34" t="str">
        <f t="shared" si="0"/>
        <v>R</v>
      </c>
      <c r="I34" s="29" t="str">
        <f t="shared" si="1"/>
        <v>TP397880</v>
      </c>
      <c r="J34" s="59">
        <f t="shared" ca="1" si="2"/>
        <v>45872</v>
      </c>
      <c r="K34" s="30">
        <f ca="1">LOOKUP(A34,'QALS - Inspection Lot Record'!A:A,'QALS - Inspection Lot Record'!I:I)</f>
        <v>0.5482407407407407</v>
      </c>
      <c r="L34" s="59">
        <f t="shared" ca="1" si="3"/>
        <v>45872</v>
      </c>
      <c r="M34" s="30">
        <f t="shared" ca="1" si="4"/>
        <v>0.58124999999999993</v>
      </c>
      <c r="N34" s="31"/>
      <c r="O34" s="31">
        <v>93.9</v>
      </c>
      <c r="P34" s="29">
        <v>95</v>
      </c>
      <c r="Q34" s="29">
        <v>105</v>
      </c>
    </row>
    <row r="35" spans="1:17" x14ac:dyDescent="0.35">
      <c r="A35" s="26">
        <v>40000002505</v>
      </c>
      <c r="B35" s="27">
        <v>1</v>
      </c>
      <c r="C35" s="29" t="str">
        <f>LOOKUP(A35,'QALS - Inspection Lot Record'!$A$2:$A$361,'QALS - Inspection Lot Record'!$O$2:$O$361)</f>
        <v>Metformin Tablets (500 MG)</v>
      </c>
      <c r="D35" s="31">
        <v>20</v>
      </c>
      <c r="E35" s="29" t="s">
        <v>400</v>
      </c>
      <c r="F35" s="29" t="str">
        <f>LOOKUP(A35,'QALS - Inspection Lot Record'!A:A,'QALS - Inspection Lot Record'!G:G)</f>
        <v>TP397880</v>
      </c>
      <c r="G35" s="59">
        <f ca="1">LOOKUP(A35,'QALS - Inspection Lot Record'!A:A,'QALS - Inspection Lot Record'!E:E)</f>
        <v>45872</v>
      </c>
      <c r="H35" s="34" t="str">
        <f t="shared" si="0"/>
        <v>A</v>
      </c>
      <c r="I35" s="29" t="str">
        <f t="shared" si="1"/>
        <v>TP397880</v>
      </c>
      <c r="J35" s="59">
        <f t="shared" ca="1" si="2"/>
        <v>45872</v>
      </c>
      <c r="K35" s="30">
        <f ca="1">LOOKUP(A35,'QALS - Inspection Lot Record'!A:A,'QALS - Inspection Lot Record'!I:I)</f>
        <v>0.5482407407407407</v>
      </c>
      <c r="L35" s="59">
        <f t="shared" ca="1" si="3"/>
        <v>45872</v>
      </c>
      <c r="M35" s="30">
        <f t="shared" ca="1" si="4"/>
        <v>0.57976851851851852</v>
      </c>
      <c r="N35" s="31"/>
      <c r="O35" s="31">
        <v>7.25</v>
      </c>
      <c r="P35" s="29">
        <v>3.5</v>
      </c>
      <c r="Q35" s="29">
        <v>11</v>
      </c>
    </row>
    <row r="36" spans="1:17" x14ac:dyDescent="0.35">
      <c r="A36" s="26">
        <v>40000002505</v>
      </c>
      <c r="B36" s="31">
        <v>1</v>
      </c>
      <c r="C36" s="29" t="str">
        <f>LOOKUP(A36,'QALS - Inspection Lot Record'!$A$2:$A$361,'QALS - Inspection Lot Record'!$O$2:$O$361)</f>
        <v>Metformin Tablets (500 MG)</v>
      </c>
      <c r="D36" s="31">
        <v>30</v>
      </c>
      <c r="E36" s="29" t="s">
        <v>401</v>
      </c>
      <c r="F36" s="29" t="str">
        <f>LOOKUP(A36,'QALS - Inspection Lot Record'!A:A,'QALS - Inspection Lot Record'!G:G)</f>
        <v>TP397880</v>
      </c>
      <c r="G36" s="59">
        <f ca="1">LOOKUP(A36,'QALS - Inspection Lot Record'!A:A,'QALS - Inspection Lot Record'!E:E)</f>
        <v>45872</v>
      </c>
      <c r="H36" s="34" t="str">
        <f t="shared" si="0"/>
        <v>A</v>
      </c>
      <c r="I36" s="29" t="str">
        <f t="shared" si="1"/>
        <v>TP397880</v>
      </c>
      <c r="J36" s="59">
        <f t="shared" ca="1" si="2"/>
        <v>45872</v>
      </c>
      <c r="K36" s="30">
        <f ca="1">LOOKUP(A36,'QALS - Inspection Lot Record'!A:A,'QALS - Inspection Lot Record'!I:I)</f>
        <v>0.5482407407407407</v>
      </c>
      <c r="L36" s="59">
        <f t="shared" ca="1" si="3"/>
        <v>45872</v>
      </c>
      <c r="M36" s="30">
        <f t="shared" ca="1" si="4"/>
        <v>0.58109953703703698</v>
      </c>
      <c r="N36" s="11" t="s">
        <v>402</v>
      </c>
      <c r="O36" s="31"/>
      <c r="P36" s="29"/>
      <c r="Q36" s="29"/>
    </row>
    <row r="37" spans="1:17" x14ac:dyDescent="0.35">
      <c r="A37" s="26">
        <v>40000002505</v>
      </c>
      <c r="B37" s="31">
        <v>1</v>
      </c>
      <c r="C37" s="29" t="str">
        <f>LOOKUP(A37,'QALS - Inspection Lot Record'!$A$2:$A$361,'QALS - Inspection Lot Record'!$O$2:$O$361)</f>
        <v>Metformin Tablets (500 MG)</v>
      </c>
      <c r="D37" s="31">
        <v>40</v>
      </c>
      <c r="E37" s="29" t="s">
        <v>403</v>
      </c>
      <c r="F37" s="29" t="str">
        <f>LOOKUP(A37,'QALS - Inspection Lot Record'!A:A,'QALS - Inspection Lot Record'!G:G)</f>
        <v>TP397880</v>
      </c>
      <c r="G37" s="59">
        <f ca="1">LOOKUP(A37,'QALS - Inspection Lot Record'!A:A,'QALS - Inspection Lot Record'!E:E)</f>
        <v>45872</v>
      </c>
      <c r="H37" s="34" t="str">
        <f t="shared" si="0"/>
        <v>A</v>
      </c>
      <c r="I37" s="29" t="str">
        <f t="shared" si="1"/>
        <v>TP397880</v>
      </c>
      <c r="J37" s="59">
        <f t="shared" ca="1" si="2"/>
        <v>45872</v>
      </c>
      <c r="K37" s="30">
        <f ca="1">LOOKUP(A37,'QALS - Inspection Lot Record'!A:A,'QALS - Inspection Lot Record'!I:I)</f>
        <v>0.5482407407407407</v>
      </c>
      <c r="L37" s="59">
        <f t="shared" ca="1" si="3"/>
        <v>45872</v>
      </c>
      <c r="M37" s="30">
        <f t="shared" ca="1" si="4"/>
        <v>0.57634259259259257</v>
      </c>
      <c r="N37" s="31"/>
      <c r="O37" s="31">
        <v>0</v>
      </c>
      <c r="P37" s="29">
        <v>0</v>
      </c>
      <c r="Q37" s="29">
        <v>2</v>
      </c>
    </row>
    <row r="38" spans="1:17" x14ac:dyDescent="0.35">
      <c r="A38" s="26">
        <v>40000002505</v>
      </c>
      <c r="B38" s="31">
        <v>1</v>
      </c>
      <c r="C38" s="29" t="str">
        <f>LOOKUP(A38,'QALS - Inspection Lot Record'!$A$2:$A$361,'QALS - Inspection Lot Record'!$O$2:$O$361)</f>
        <v>Metformin Tablets (500 MG)</v>
      </c>
      <c r="D38" s="31">
        <v>50</v>
      </c>
      <c r="E38" s="29" t="s">
        <v>404</v>
      </c>
      <c r="F38" s="29" t="str">
        <f>LOOKUP(A38,'QALS - Inspection Lot Record'!A:A,'QALS - Inspection Lot Record'!G:G)</f>
        <v>TP397880</v>
      </c>
      <c r="G38" s="59">
        <f ca="1">LOOKUP(A38,'QALS - Inspection Lot Record'!A:A,'QALS - Inspection Lot Record'!E:E)</f>
        <v>45872</v>
      </c>
      <c r="H38" s="34" t="str">
        <f t="shared" si="0"/>
        <v>A</v>
      </c>
      <c r="I38" s="29" t="str">
        <f t="shared" si="1"/>
        <v>TP397880</v>
      </c>
      <c r="J38" s="59">
        <f t="shared" ca="1" si="2"/>
        <v>45872</v>
      </c>
      <c r="K38" s="30">
        <f ca="1">LOOKUP(A38,'QALS - Inspection Lot Record'!A:A,'QALS - Inspection Lot Record'!I:I)</f>
        <v>0.5482407407407407</v>
      </c>
      <c r="L38" s="59">
        <f t="shared" ca="1" si="3"/>
        <v>45872</v>
      </c>
      <c r="M38" s="30">
        <f t="shared" ca="1" si="4"/>
        <v>0.58297453703703694</v>
      </c>
      <c r="N38" s="31"/>
      <c r="O38" s="31">
        <v>50</v>
      </c>
      <c r="P38" s="29">
        <v>40</v>
      </c>
      <c r="Q38" s="29">
        <v>60</v>
      </c>
    </row>
    <row r="39" spans="1:17" x14ac:dyDescent="0.35">
      <c r="A39" s="26">
        <v>40000002505</v>
      </c>
      <c r="B39" s="31">
        <v>1</v>
      </c>
      <c r="C39" s="29" t="str">
        <f>LOOKUP(A39,'QALS - Inspection Lot Record'!$A$2:$A$361,'QALS - Inspection Lot Record'!$O$2:$O$361)</f>
        <v>Metformin Tablets (500 MG)</v>
      </c>
      <c r="D39" s="31">
        <v>60</v>
      </c>
      <c r="E39" s="29" t="s">
        <v>405</v>
      </c>
      <c r="F39" s="29" t="str">
        <f>LOOKUP(A39,'QALS - Inspection Lot Record'!A:A,'QALS - Inspection Lot Record'!G:G)</f>
        <v>TP397880</v>
      </c>
      <c r="G39" s="59">
        <f ca="1">LOOKUP(A39,'QALS - Inspection Lot Record'!A:A,'QALS - Inspection Lot Record'!E:E)</f>
        <v>45872</v>
      </c>
      <c r="H39" s="34" t="str">
        <f t="shared" si="0"/>
        <v>A</v>
      </c>
      <c r="I39" s="29" t="str">
        <f t="shared" si="1"/>
        <v>TP397880</v>
      </c>
      <c r="J39" s="59">
        <f t="shared" ca="1" si="2"/>
        <v>45872</v>
      </c>
      <c r="K39" s="30">
        <f ca="1">LOOKUP(A39,'QALS - Inspection Lot Record'!A:A,'QALS - Inspection Lot Record'!I:I)</f>
        <v>0.5482407407407407</v>
      </c>
      <c r="L39" s="59">
        <f t="shared" ca="1" si="3"/>
        <v>45872</v>
      </c>
      <c r="M39" s="30">
        <f t="shared" ca="1" si="4"/>
        <v>0.58128472222222216</v>
      </c>
      <c r="N39" s="31"/>
      <c r="O39" s="31">
        <v>77.5</v>
      </c>
      <c r="P39" s="29">
        <v>70</v>
      </c>
      <c r="Q39" s="29">
        <v>85</v>
      </c>
    </row>
    <row r="40" spans="1:17" x14ac:dyDescent="0.35">
      <c r="A40" s="26">
        <v>40000002505</v>
      </c>
      <c r="B40" s="31">
        <v>1</v>
      </c>
      <c r="C40" s="29" t="str">
        <f>LOOKUP(A40,'QALS - Inspection Lot Record'!$A$2:$A$361,'QALS - Inspection Lot Record'!$O$2:$O$361)</f>
        <v>Metformin Tablets (500 MG)</v>
      </c>
      <c r="D40" s="31">
        <v>70</v>
      </c>
      <c r="E40" s="29" t="s">
        <v>406</v>
      </c>
      <c r="F40" s="29" t="str">
        <f>LOOKUP(A40,'QALS - Inspection Lot Record'!A:A,'QALS - Inspection Lot Record'!G:G)</f>
        <v>TP397880</v>
      </c>
      <c r="G40" s="59">
        <f ca="1">LOOKUP(A40,'QALS - Inspection Lot Record'!A:A,'QALS - Inspection Lot Record'!E:E)</f>
        <v>45872</v>
      </c>
      <c r="H40" s="34" t="str">
        <f t="shared" si="0"/>
        <v>A</v>
      </c>
      <c r="I40" s="29" t="str">
        <f t="shared" si="1"/>
        <v>TP397880</v>
      </c>
      <c r="J40" s="59">
        <f t="shared" ca="1" si="2"/>
        <v>45872</v>
      </c>
      <c r="K40" s="30">
        <f ca="1">LOOKUP(A40,'QALS - Inspection Lot Record'!A:A,'QALS - Inspection Lot Record'!I:I)</f>
        <v>0.5482407407407407</v>
      </c>
      <c r="L40" s="59">
        <f t="shared" ca="1" si="3"/>
        <v>45872</v>
      </c>
      <c r="M40" s="30">
        <f t="shared" ca="1" si="4"/>
        <v>0.57407407407407407</v>
      </c>
      <c r="N40" s="31"/>
      <c r="O40" s="31">
        <v>85</v>
      </c>
      <c r="P40" s="29">
        <v>80</v>
      </c>
      <c r="Q40" s="29">
        <v>90</v>
      </c>
    </row>
    <row r="41" spans="1:17" x14ac:dyDescent="0.35">
      <c r="A41" s="26">
        <v>40000002505</v>
      </c>
      <c r="B41" s="31">
        <v>1</v>
      </c>
      <c r="C41" s="29" t="str">
        <f>LOOKUP(A41,'QALS - Inspection Lot Record'!$A$2:$A$361,'QALS - Inspection Lot Record'!$O$2:$O$361)</f>
        <v>Metformin Tablets (500 MG)</v>
      </c>
      <c r="D41" s="31">
        <v>80</v>
      </c>
      <c r="E41" s="29" t="s">
        <v>407</v>
      </c>
      <c r="F41" s="29" t="str">
        <f>LOOKUP(A41,'QALS - Inspection Lot Record'!A:A,'QALS - Inspection Lot Record'!G:G)</f>
        <v>TP397880</v>
      </c>
      <c r="G41" s="59">
        <f ca="1">LOOKUP(A41,'QALS - Inspection Lot Record'!A:A,'QALS - Inspection Lot Record'!E:E)</f>
        <v>45872</v>
      </c>
      <c r="H41" s="34" t="str">
        <f t="shared" si="0"/>
        <v>R</v>
      </c>
      <c r="I41" s="29" t="str">
        <f t="shared" si="1"/>
        <v>TP397880</v>
      </c>
      <c r="J41" s="59">
        <f t="shared" ca="1" si="2"/>
        <v>45872</v>
      </c>
      <c r="K41" s="30">
        <f ca="1">LOOKUP(A41,'QALS - Inspection Lot Record'!A:A,'QALS - Inspection Lot Record'!I:I)</f>
        <v>0.5482407407407407</v>
      </c>
      <c r="L41" s="59">
        <f t="shared" ca="1" si="3"/>
        <v>45872</v>
      </c>
      <c r="M41" s="30">
        <f t="shared" ca="1" si="4"/>
        <v>0.56624999999999992</v>
      </c>
      <c r="N41" s="31"/>
      <c r="O41" s="31">
        <v>22</v>
      </c>
      <c r="P41" s="29">
        <v>23</v>
      </c>
      <c r="Q41" s="29">
        <v>28</v>
      </c>
    </row>
    <row r="42" spans="1:17" x14ac:dyDescent="0.35">
      <c r="A42" s="26">
        <v>40000002506</v>
      </c>
      <c r="B42" s="27">
        <v>1</v>
      </c>
      <c r="C42" s="29" t="str">
        <f>LOOKUP(A42,'QALS - Inspection Lot Record'!$A$2:$A$361,'QALS - Inspection Lot Record'!$O$2:$O$361)</f>
        <v>Metformin Tablets (500 MG)</v>
      </c>
      <c r="D42" s="27">
        <v>10</v>
      </c>
      <c r="E42" s="26" t="s">
        <v>399</v>
      </c>
      <c r="F42" s="29" t="str">
        <f>LOOKUP(A42,'QALS - Inspection Lot Record'!A:A,'QALS - Inspection Lot Record'!G:G)</f>
        <v>YA284176</v>
      </c>
      <c r="G42" s="59">
        <f ca="1">LOOKUP(A42,'QALS - Inspection Lot Record'!A:A,'QALS - Inspection Lot Record'!E:E)</f>
        <v>45872</v>
      </c>
      <c r="H42" s="34" t="str">
        <f t="shared" si="0"/>
        <v>A</v>
      </c>
      <c r="I42" s="29" t="str">
        <f t="shared" si="1"/>
        <v>YA284176</v>
      </c>
      <c r="J42" s="59">
        <f t="shared" ca="1" si="2"/>
        <v>45872</v>
      </c>
      <c r="K42" s="30">
        <f ca="1">LOOKUP(A42,'QALS - Inspection Lot Record'!A:A,'QALS - Inspection Lot Record'!I:I)</f>
        <v>0.1491550925925926</v>
      </c>
      <c r="L42" s="59">
        <f t="shared" ca="1" si="3"/>
        <v>45872</v>
      </c>
      <c r="M42" s="30">
        <f t="shared" ca="1" si="4"/>
        <v>0.17364583333333333</v>
      </c>
      <c r="N42" s="31"/>
      <c r="O42" s="31">
        <v>100</v>
      </c>
      <c r="P42" s="29">
        <v>95</v>
      </c>
      <c r="Q42" s="29">
        <v>105</v>
      </c>
    </row>
    <row r="43" spans="1:17" x14ac:dyDescent="0.35">
      <c r="A43" s="26">
        <v>40000002506</v>
      </c>
      <c r="B43" s="27">
        <v>1</v>
      </c>
      <c r="C43" s="29" t="str">
        <f>LOOKUP(A43,'QALS - Inspection Lot Record'!$A$2:$A$361,'QALS - Inspection Lot Record'!$O$2:$O$361)</f>
        <v>Metformin Tablets (500 MG)</v>
      </c>
      <c r="D43" s="31">
        <v>20</v>
      </c>
      <c r="E43" s="29" t="s">
        <v>400</v>
      </c>
      <c r="F43" s="29" t="str">
        <f>LOOKUP(A43,'QALS - Inspection Lot Record'!A:A,'QALS - Inspection Lot Record'!G:G)</f>
        <v>YA284176</v>
      </c>
      <c r="G43" s="59">
        <f ca="1">LOOKUP(A43,'QALS - Inspection Lot Record'!A:A,'QALS - Inspection Lot Record'!E:E)</f>
        <v>45872</v>
      </c>
      <c r="H43" s="34" t="str">
        <f t="shared" si="0"/>
        <v>A</v>
      </c>
      <c r="I43" s="29" t="str">
        <f t="shared" si="1"/>
        <v>YA284176</v>
      </c>
      <c r="J43" s="59">
        <f t="shared" ca="1" si="2"/>
        <v>45872</v>
      </c>
      <c r="K43" s="30">
        <f ca="1">LOOKUP(A43,'QALS - Inspection Lot Record'!A:A,'QALS - Inspection Lot Record'!I:I)</f>
        <v>0.1491550925925926</v>
      </c>
      <c r="L43" s="59">
        <f t="shared" ca="1" si="3"/>
        <v>45872</v>
      </c>
      <c r="M43" s="30">
        <f t="shared" ca="1" si="4"/>
        <v>0.18197916666666669</v>
      </c>
      <c r="N43" s="31"/>
      <c r="O43" s="31">
        <v>7.25</v>
      </c>
      <c r="P43" s="29">
        <v>3.5</v>
      </c>
      <c r="Q43" s="29">
        <v>11</v>
      </c>
    </row>
    <row r="44" spans="1:17" x14ac:dyDescent="0.35">
      <c r="A44" s="26">
        <v>40000002506</v>
      </c>
      <c r="B44" s="31">
        <v>1</v>
      </c>
      <c r="C44" s="29" t="str">
        <f>LOOKUP(A44,'QALS - Inspection Lot Record'!$A$2:$A$361,'QALS - Inspection Lot Record'!$O$2:$O$361)</f>
        <v>Metformin Tablets (500 MG)</v>
      </c>
      <c r="D44" s="31">
        <v>30</v>
      </c>
      <c r="E44" s="29" t="s">
        <v>401</v>
      </c>
      <c r="F44" s="29" t="str">
        <f>LOOKUP(A44,'QALS - Inspection Lot Record'!A:A,'QALS - Inspection Lot Record'!G:G)</f>
        <v>YA284176</v>
      </c>
      <c r="G44" s="59">
        <f ca="1">LOOKUP(A44,'QALS - Inspection Lot Record'!A:A,'QALS - Inspection Lot Record'!E:E)</f>
        <v>45872</v>
      </c>
      <c r="H44" s="34" t="str">
        <f t="shared" si="0"/>
        <v>A</v>
      </c>
      <c r="I44" s="29" t="str">
        <f t="shared" si="1"/>
        <v>YA284176</v>
      </c>
      <c r="J44" s="59">
        <f t="shared" ca="1" si="2"/>
        <v>45872</v>
      </c>
      <c r="K44" s="30">
        <f ca="1">LOOKUP(A44,'QALS - Inspection Lot Record'!A:A,'QALS - Inspection Lot Record'!I:I)</f>
        <v>0.1491550925925926</v>
      </c>
      <c r="L44" s="59">
        <f t="shared" ca="1" si="3"/>
        <v>45872</v>
      </c>
      <c r="M44" s="30">
        <f t="shared" ca="1" si="4"/>
        <v>0.16844907407407408</v>
      </c>
      <c r="N44" s="11" t="s">
        <v>402</v>
      </c>
      <c r="O44" s="31"/>
      <c r="P44" s="29"/>
      <c r="Q44" s="29"/>
    </row>
    <row r="45" spans="1:17" x14ac:dyDescent="0.35">
      <c r="A45" s="26">
        <v>40000002506</v>
      </c>
      <c r="B45" s="31">
        <v>1</v>
      </c>
      <c r="C45" s="29" t="str">
        <f>LOOKUP(A45,'QALS - Inspection Lot Record'!$A$2:$A$361,'QALS - Inspection Lot Record'!$O$2:$O$361)</f>
        <v>Metformin Tablets (500 MG)</v>
      </c>
      <c r="D45" s="31">
        <v>40</v>
      </c>
      <c r="E45" s="29" t="s">
        <v>403</v>
      </c>
      <c r="F45" s="29" t="str">
        <f>LOOKUP(A45,'QALS - Inspection Lot Record'!A:A,'QALS - Inspection Lot Record'!G:G)</f>
        <v>YA284176</v>
      </c>
      <c r="G45" s="59">
        <f ca="1">LOOKUP(A45,'QALS - Inspection Lot Record'!A:A,'QALS - Inspection Lot Record'!E:E)</f>
        <v>45872</v>
      </c>
      <c r="H45" s="34" t="str">
        <f t="shared" si="0"/>
        <v>A</v>
      </c>
      <c r="I45" s="29" t="str">
        <f t="shared" si="1"/>
        <v>YA284176</v>
      </c>
      <c r="J45" s="59">
        <f t="shared" ca="1" si="2"/>
        <v>45872</v>
      </c>
      <c r="K45" s="30">
        <f ca="1">LOOKUP(A45,'QALS - Inspection Lot Record'!A:A,'QALS - Inspection Lot Record'!I:I)</f>
        <v>0.1491550925925926</v>
      </c>
      <c r="L45" s="59">
        <f t="shared" ca="1" si="3"/>
        <v>45872</v>
      </c>
      <c r="M45" s="30">
        <f t="shared" ca="1" si="4"/>
        <v>0.17653935185185188</v>
      </c>
      <c r="N45" s="31"/>
      <c r="O45" s="31">
        <v>0</v>
      </c>
      <c r="P45" s="29">
        <v>0</v>
      </c>
      <c r="Q45" s="29">
        <v>2</v>
      </c>
    </row>
    <row r="46" spans="1:17" x14ac:dyDescent="0.35">
      <c r="A46" s="26">
        <v>40000002506</v>
      </c>
      <c r="B46" s="31">
        <v>1</v>
      </c>
      <c r="C46" s="29" t="str">
        <f>LOOKUP(A46,'QALS - Inspection Lot Record'!$A$2:$A$361,'QALS - Inspection Lot Record'!$O$2:$O$361)</f>
        <v>Metformin Tablets (500 MG)</v>
      </c>
      <c r="D46" s="31">
        <v>50</v>
      </c>
      <c r="E46" s="29" t="s">
        <v>404</v>
      </c>
      <c r="F46" s="29" t="str">
        <f>LOOKUP(A46,'QALS - Inspection Lot Record'!A:A,'QALS - Inspection Lot Record'!G:G)</f>
        <v>YA284176</v>
      </c>
      <c r="G46" s="59">
        <f ca="1">LOOKUP(A46,'QALS - Inspection Lot Record'!A:A,'QALS - Inspection Lot Record'!E:E)</f>
        <v>45872</v>
      </c>
      <c r="H46" s="34" t="str">
        <f t="shared" si="0"/>
        <v>A</v>
      </c>
      <c r="I46" s="29" t="str">
        <f t="shared" si="1"/>
        <v>YA284176</v>
      </c>
      <c r="J46" s="59">
        <f t="shared" ca="1" si="2"/>
        <v>45872</v>
      </c>
      <c r="K46" s="30">
        <f ca="1">LOOKUP(A46,'QALS - Inspection Lot Record'!A:A,'QALS - Inspection Lot Record'!I:I)</f>
        <v>0.1491550925925926</v>
      </c>
      <c r="L46" s="59">
        <f t="shared" ca="1" si="3"/>
        <v>45872</v>
      </c>
      <c r="M46" s="30">
        <f t="shared" ca="1" si="4"/>
        <v>0.17037037037037039</v>
      </c>
      <c r="N46" s="31"/>
      <c r="O46" s="31">
        <v>50</v>
      </c>
      <c r="P46" s="29">
        <v>40</v>
      </c>
      <c r="Q46" s="29">
        <v>60</v>
      </c>
    </row>
    <row r="47" spans="1:17" x14ac:dyDescent="0.35">
      <c r="A47" s="26">
        <v>40000002506</v>
      </c>
      <c r="B47" s="31">
        <v>1</v>
      </c>
      <c r="C47" s="29" t="str">
        <f>LOOKUP(A47,'QALS - Inspection Lot Record'!$A$2:$A$361,'QALS - Inspection Lot Record'!$O$2:$O$361)</f>
        <v>Metformin Tablets (500 MG)</v>
      </c>
      <c r="D47" s="31">
        <v>60</v>
      </c>
      <c r="E47" s="29" t="s">
        <v>405</v>
      </c>
      <c r="F47" s="29" t="str">
        <f>LOOKUP(A47,'QALS - Inspection Lot Record'!A:A,'QALS - Inspection Lot Record'!G:G)</f>
        <v>YA284176</v>
      </c>
      <c r="G47" s="59">
        <f ca="1">LOOKUP(A47,'QALS - Inspection Lot Record'!A:A,'QALS - Inspection Lot Record'!E:E)</f>
        <v>45872</v>
      </c>
      <c r="H47" s="34" t="str">
        <f t="shared" si="0"/>
        <v>A</v>
      </c>
      <c r="I47" s="29" t="str">
        <f t="shared" si="1"/>
        <v>YA284176</v>
      </c>
      <c r="J47" s="59">
        <f t="shared" ca="1" si="2"/>
        <v>45872</v>
      </c>
      <c r="K47" s="30">
        <f ca="1">LOOKUP(A47,'QALS - Inspection Lot Record'!A:A,'QALS - Inspection Lot Record'!I:I)</f>
        <v>0.1491550925925926</v>
      </c>
      <c r="L47" s="59">
        <f t="shared" ca="1" si="3"/>
        <v>45872</v>
      </c>
      <c r="M47" s="30">
        <f t="shared" ca="1" si="4"/>
        <v>0.18099537037037039</v>
      </c>
      <c r="N47" s="31"/>
      <c r="O47" s="31">
        <v>77.5</v>
      </c>
      <c r="P47" s="29">
        <v>70</v>
      </c>
      <c r="Q47" s="29">
        <v>85</v>
      </c>
    </row>
    <row r="48" spans="1:17" x14ac:dyDescent="0.35">
      <c r="A48" s="26">
        <v>40000002506</v>
      </c>
      <c r="B48" s="31">
        <v>1</v>
      </c>
      <c r="C48" s="29" t="str">
        <f>LOOKUP(A48,'QALS - Inspection Lot Record'!$A$2:$A$361,'QALS - Inspection Lot Record'!$O$2:$O$361)</f>
        <v>Metformin Tablets (500 MG)</v>
      </c>
      <c r="D48" s="31">
        <v>70</v>
      </c>
      <c r="E48" s="29" t="s">
        <v>406</v>
      </c>
      <c r="F48" s="29" t="str">
        <f>LOOKUP(A48,'QALS - Inspection Lot Record'!A:A,'QALS - Inspection Lot Record'!G:G)</f>
        <v>YA284176</v>
      </c>
      <c r="G48" s="59">
        <f ca="1">LOOKUP(A48,'QALS - Inspection Lot Record'!A:A,'QALS - Inspection Lot Record'!E:E)</f>
        <v>45872</v>
      </c>
      <c r="H48" s="34" t="str">
        <f t="shared" si="0"/>
        <v>A</v>
      </c>
      <c r="I48" s="29" t="str">
        <f t="shared" si="1"/>
        <v>YA284176</v>
      </c>
      <c r="J48" s="59">
        <f t="shared" ca="1" si="2"/>
        <v>45872</v>
      </c>
      <c r="K48" s="30">
        <f ca="1">LOOKUP(A48,'QALS - Inspection Lot Record'!A:A,'QALS - Inspection Lot Record'!I:I)</f>
        <v>0.1491550925925926</v>
      </c>
      <c r="L48" s="59">
        <f t="shared" ca="1" si="3"/>
        <v>45872</v>
      </c>
      <c r="M48" s="30">
        <f t="shared" ca="1" si="4"/>
        <v>0.16751157407407408</v>
      </c>
      <c r="N48" s="31"/>
      <c r="O48" s="31">
        <v>85</v>
      </c>
      <c r="P48" s="29">
        <v>80</v>
      </c>
      <c r="Q48" s="29">
        <v>90</v>
      </c>
    </row>
    <row r="49" spans="1:17" x14ac:dyDescent="0.35">
      <c r="A49" s="26">
        <v>40000002506</v>
      </c>
      <c r="B49" s="31">
        <v>1</v>
      </c>
      <c r="C49" s="29" t="str">
        <f>LOOKUP(A49,'QALS - Inspection Lot Record'!$A$2:$A$361,'QALS - Inspection Lot Record'!$O$2:$O$361)</f>
        <v>Metformin Tablets (500 MG)</v>
      </c>
      <c r="D49" s="31">
        <v>80</v>
      </c>
      <c r="E49" s="29" t="s">
        <v>407</v>
      </c>
      <c r="F49" s="29" t="str">
        <f>LOOKUP(A49,'QALS - Inspection Lot Record'!A:A,'QALS - Inspection Lot Record'!G:G)</f>
        <v>YA284176</v>
      </c>
      <c r="G49" s="59">
        <f ca="1">LOOKUP(A49,'QALS - Inspection Lot Record'!A:A,'QALS - Inspection Lot Record'!E:E)</f>
        <v>45872</v>
      </c>
      <c r="H49" s="34" t="str">
        <f t="shared" si="0"/>
        <v>A</v>
      </c>
      <c r="I49" s="29" t="str">
        <f t="shared" si="1"/>
        <v>YA284176</v>
      </c>
      <c r="J49" s="59">
        <f t="shared" ca="1" si="2"/>
        <v>45872</v>
      </c>
      <c r="K49" s="30">
        <f ca="1">LOOKUP(A49,'QALS - Inspection Lot Record'!A:A,'QALS - Inspection Lot Record'!I:I)</f>
        <v>0.1491550925925926</v>
      </c>
      <c r="L49" s="59">
        <f t="shared" ca="1" si="3"/>
        <v>45872</v>
      </c>
      <c r="M49" s="30">
        <f t="shared" ca="1" si="4"/>
        <v>0.18251157407407409</v>
      </c>
      <c r="N49" s="31"/>
      <c r="O49" s="31">
        <v>25.5</v>
      </c>
      <c r="P49" s="29">
        <v>23</v>
      </c>
      <c r="Q49" s="29">
        <v>28</v>
      </c>
    </row>
    <row r="50" spans="1:17" x14ac:dyDescent="0.35">
      <c r="A50" s="26">
        <v>40000002507</v>
      </c>
      <c r="B50" s="27">
        <v>1</v>
      </c>
      <c r="C50" s="29" t="str">
        <f>LOOKUP(A50,'QALS - Inspection Lot Record'!$A$2:$A$361,'QALS - Inspection Lot Record'!$O$2:$O$361)</f>
        <v>Aspirin Tablets (500 MG)</v>
      </c>
      <c r="D50" s="27">
        <v>10</v>
      </c>
      <c r="E50" s="26" t="s">
        <v>399</v>
      </c>
      <c r="F50" s="29" t="str">
        <f>LOOKUP(A50,'QALS - Inspection Lot Record'!A:A,'QALS - Inspection Lot Record'!G:G)</f>
        <v>AB406550</v>
      </c>
      <c r="G50" s="59">
        <f ca="1">LOOKUP(A50,'QALS - Inspection Lot Record'!A:A,'QALS - Inspection Lot Record'!E:E)</f>
        <v>45873</v>
      </c>
      <c r="H50" s="34" t="str">
        <f t="shared" si="0"/>
        <v>A</v>
      </c>
      <c r="I50" s="29" t="str">
        <f t="shared" si="1"/>
        <v>AB406550</v>
      </c>
      <c r="J50" s="59">
        <f t="shared" ca="1" si="2"/>
        <v>45873</v>
      </c>
      <c r="K50" s="30">
        <f ca="1">LOOKUP(A50,'QALS - Inspection Lot Record'!A:A,'QALS - Inspection Lot Record'!I:I)</f>
        <v>0.75422453703703707</v>
      </c>
      <c r="L50" s="59">
        <f t="shared" ca="1" si="3"/>
        <v>45873</v>
      </c>
      <c r="M50" s="30">
        <f t="shared" ca="1" si="4"/>
        <v>0.78096064814814814</v>
      </c>
      <c r="N50" s="31"/>
      <c r="O50" s="31">
        <v>100</v>
      </c>
      <c r="P50" s="29">
        <v>95</v>
      </c>
      <c r="Q50" s="29">
        <v>105</v>
      </c>
    </row>
    <row r="51" spans="1:17" x14ac:dyDescent="0.35">
      <c r="A51" s="26">
        <v>40000002507</v>
      </c>
      <c r="B51" s="27">
        <v>1</v>
      </c>
      <c r="C51" s="29" t="str">
        <f>LOOKUP(A51,'QALS - Inspection Lot Record'!$A$2:$A$361,'QALS - Inspection Lot Record'!$O$2:$O$361)</f>
        <v>Aspirin Tablets (500 MG)</v>
      </c>
      <c r="D51" s="31">
        <v>20</v>
      </c>
      <c r="E51" s="29" t="s">
        <v>400</v>
      </c>
      <c r="F51" s="29" t="str">
        <f>LOOKUP(A51,'QALS - Inspection Lot Record'!A:A,'QALS - Inspection Lot Record'!G:G)</f>
        <v>AB406550</v>
      </c>
      <c r="G51" s="59">
        <f ca="1">LOOKUP(A51,'QALS - Inspection Lot Record'!A:A,'QALS - Inspection Lot Record'!E:E)</f>
        <v>45873</v>
      </c>
      <c r="H51" s="34" t="str">
        <f t="shared" si="0"/>
        <v>A</v>
      </c>
      <c r="I51" s="29" t="str">
        <f t="shared" si="1"/>
        <v>AB406550</v>
      </c>
      <c r="J51" s="59">
        <f t="shared" ca="1" si="2"/>
        <v>45873</v>
      </c>
      <c r="K51" s="30">
        <f ca="1">LOOKUP(A51,'QALS - Inspection Lot Record'!A:A,'QALS - Inspection Lot Record'!I:I)</f>
        <v>0.75422453703703707</v>
      </c>
      <c r="L51" s="59">
        <f t="shared" ca="1" si="3"/>
        <v>45873</v>
      </c>
      <c r="M51" s="30">
        <f t="shared" ca="1" si="4"/>
        <v>0.78594907407407411</v>
      </c>
      <c r="N51" s="31"/>
      <c r="O51" s="31">
        <v>7.3</v>
      </c>
      <c r="P51" s="29">
        <v>3.5</v>
      </c>
      <c r="Q51" s="29">
        <v>11</v>
      </c>
    </row>
    <row r="52" spans="1:17" x14ac:dyDescent="0.35">
      <c r="A52" s="26">
        <v>40000002507</v>
      </c>
      <c r="B52" s="31">
        <v>1</v>
      </c>
      <c r="C52" s="29" t="str">
        <f>LOOKUP(A52,'QALS - Inspection Lot Record'!$A$2:$A$361,'QALS - Inspection Lot Record'!$O$2:$O$361)</f>
        <v>Aspirin Tablets (500 MG)</v>
      </c>
      <c r="D52" s="31">
        <v>30</v>
      </c>
      <c r="E52" s="29" t="s">
        <v>401</v>
      </c>
      <c r="F52" s="29" t="str">
        <f>LOOKUP(A52,'QALS - Inspection Lot Record'!A:A,'QALS - Inspection Lot Record'!G:G)</f>
        <v>AB406550</v>
      </c>
      <c r="G52" s="59">
        <f ca="1">LOOKUP(A52,'QALS - Inspection Lot Record'!A:A,'QALS - Inspection Lot Record'!E:E)</f>
        <v>45873</v>
      </c>
      <c r="H52" s="34" t="str">
        <f t="shared" si="0"/>
        <v>A</v>
      </c>
      <c r="I52" s="29" t="str">
        <f t="shared" si="1"/>
        <v>AB406550</v>
      </c>
      <c r="J52" s="59">
        <f t="shared" ca="1" si="2"/>
        <v>45873</v>
      </c>
      <c r="K52" s="30">
        <f ca="1">LOOKUP(A52,'QALS - Inspection Lot Record'!A:A,'QALS - Inspection Lot Record'!I:I)</f>
        <v>0.75422453703703707</v>
      </c>
      <c r="L52" s="59">
        <f t="shared" ca="1" si="3"/>
        <v>45873</v>
      </c>
      <c r="M52" s="30">
        <f t="shared" ca="1" si="4"/>
        <v>0.78211805555555558</v>
      </c>
      <c r="N52" s="11" t="s">
        <v>402</v>
      </c>
      <c r="O52" s="31"/>
      <c r="P52" s="29"/>
      <c r="Q52" s="29"/>
    </row>
    <row r="53" spans="1:17" x14ac:dyDescent="0.35">
      <c r="A53" s="26">
        <v>40000002507</v>
      </c>
      <c r="B53" s="31">
        <v>1</v>
      </c>
      <c r="C53" s="29" t="str">
        <f>LOOKUP(A53,'QALS - Inspection Lot Record'!$A$2:$A$361,'QALS - Inspection Lot Record'!$O$2:$O$361)</f>
        <v>Aspirin Tablets (500 MG)</v>
      </c>
      <c r="D53" s="31">
        <v>40</v>
      </c>
      <c r="E53" s="29" t="s">
        <v>403</v>
      </c>
      <c r="F53" s="29" t="str">
        <f>LOOKUP(A53,'QALS - Inspection Lot Record'!A:A,'QALS - Inspection Lot Record'!G:G)</f>
        <v>AB406550</v>
      </c>
      <c r="G53" s="59">
        <f ca="1">LOOKUP(A53,'QALS - Inspection Lot Record'!A:A,'QALS - Inspection Lot Record'!E:E)</f>
        <v>45873</v>
      </c>
      <c r="H53" s="34" t="str">
        <f t="shared" si="0"/>
        <v>A</v>
      </c>
      <c r="I53" s="29" t="str">
        <f t="shared" si="1"/>
        <v>AB406550</v>
      </c>
      <c r="J53" s="59">
        <f t="shared" ca="1" si="2"/>
        <v>45873</v>
      </c>
      <c r="K53" s="30">
        <f ca="1">LOOKUP(A53,'QALS - Inspection Lot Record'!A:A,'QALS - Inspection Lot Record'!I:I)</f>
        <v>0.75422453703703707</v>
      </c>
      <c r="L53" s="59">
        <f t="shared" ca="1" si="3"/>
        <v>45873</v>
      </c>
      <c r="M53" s="30">
        <f t="shared" ca="1" si="4"/>
        <v>0.77596064814814814</v>
      </c>
      <c r="N53" s="31"/>
      <c r="O53" s="31">
        <v>1.8</v>
      </c>
      <c r="P53" s="29">
        <v>0</v>
      </c>
      <c r="Q53" s="29">
        <v>2.5</v>
      </c>
    </row>
    <row r="54" spans="1:17" x14ac:dyDescent="0.35">
      <c r="A54" s="26">
        <v>40000002507</v>
      </c>
      <c r="B54" s="31">
        <v>1</v>
      </c>
      <c r="C54" s="29" t="str">
        <f>LOOKUP(A54,'QALS - Inspection Lot Record'!$A$2:$A$361,'QALS - Inspection Lot Record'!$O$2:$O$361)</f>
        <v>Aspirin Tablets (500 MG)</v>
      </c>
      <c r="D54" s="31">
        <v>50</v>
      </c>
      <c r="E54" s="29" t="s">
        <v>404</v>
      </c>
      <c r="F54" s="29" t="str">
        <f>LOOKUP(A54,'QALS - Inspection Lot Record'!A:A,'QALS - Inspection Lot Record'!G:G)</f>
        <v>AB406550</v>
      </c>
      <c r="G54" s="59">
        <f ca="1">LOOKUP(A54,'QALS - Inspection Lot Record'!A:A,'QALS - Inspection Lot Record'!E:E)</f>
        <v>45873</v>
      </c>
      <c r="H54" s="34" t="str">
        <f t="shared" si="0"/>
        <v>A</v>
      </c>
      <c r="I54" s="29" t="str">
        <f t="shared" si="1"/>
        <v>AB406550</v>
      </c>
      <c r="J54" s="59">
        <f t="shared" ca="1" si="2"/>
        <v>45873</v>
      </c>
      <c r="K54" s="30">
        <f ca="1">LOOKUP(A54,'QALS - Inspection Lot Record'!A:A,'QALS - Inspection Lot Record'!I:I)</f>
        <v>0.75422453703703707</v>
      </c>
      <c r="L54" s="59">
        <f t="shared" ca="1" si="3"/>
        <v>45873</v>
      </c>
      <c r="M54" s="30">
        <f t="shared" ca="1" si="4"/>
        <v>0.77502314814814821</v>
      </c>
      <c r="N54" s="31"/>
      <c r="O54" s="31">
        <v>41.6</v>
      </c>
      <c r="P54" s="29">
        <v>40</v>
      </c>
      <c r="Q54" s="29">
        <v>60</v>
      </c>
    </row>
    <row r="55" spans="1:17" x14ac:dyDescent="0.35">
      <c r="A55" s="26">
        <v>40000002507</v>
      </c>
      <c r="B55" s="31">
        <v>1</v>
      </c>
      <c r="C55" s="29" t="str">
        <f>LOOKUP(A55,'QALS - Inspection Lot Record'!$A$2:$A$361,'QALS - Inspection Lot Record'!$O$2:$O$361)</f>
        <v>Aspirin Tablets (500 MG)</v>
      </c>
      <c r="D55" s="31">
        <v>60</v>
      </c>
      <c r="E55" s="29" t="s">
        <v>405</v>
      </c>
      <c r="F55" s="29" t="str">
        <f>LOOKUP(A55,'QALS - Inspection Lot Record'!A:A,'QALS - Inspection Lot Record'!G:G)</f>
        <v>AB406550</v>
      </c>
      <c r="G55" s="59">
        <f ca="1">LOOKUP(A55,'QALS - Inspection Lot Record'!A:A,'QALS - Inspection Lot Record'!E:E)</f>
        <v>45873</v>
      </c>
      <c r="H55" s="34" t="str">
        <f t="shared" si="0"/>
        <v>A</v>
      </c>
      <c r="I55" s="29" t="str">
        <f t="shared" si="1"/>
        <v>AB406550</v>
      </c>
      <c r="J55" s="59">
        <f t="shared" ca="1" si="2"/>
        <v>45873</v>
      </c>
      <c r="K55" s="30">
        <f ca="1">LOOKUP(A55,'QALS - Inspection Lot Record'!A:A,'QALS - Inspection Lot Record'!I:I)</f>
        <v>0.75422453703703707</v>
      </c>
      <c r="L55" s="59">
        <f t="shared" ca="1" si="3"/>
        <v>45873</v>
      </c>
      <c r="M55" s="30">
        <f t="shared" ca="1" si="4"/>
        <v>0.78101851851851856</v>
      </c>
      <c r="N55" s="31"/>
      <c r="O55" s="31">
        <v>71.5</v>
      </c>
      <c r="P55" s="29">
        <v>70</v>
      </c>
      <c r="Q55" s="29">
        <v>85</v>
      </c>
    </row>
    <row r="56" spans="1:17" x14ac:dyDescent="0.35">
      <c r="A56" s="26">
        <v>40000002507</v>
      </c>
      <c r="B56" s="31">
        <v>1</v>
      </c>
      <c r="C56" s="29" t="str">
        <f>LOOKUP(A56,'QALS - Inspection Lot Record'!$A$2:$A$361,'QALS - Inspection Lot Record'!$O$2:$O$361)</f>
        <v>Aspirin Tablets (500 MG)</v>
      </c>
      <c r="D56" s="31">
        <v>70</v>
      </c>
      <c r="E56" s="29" t="s">
        <v>406</v>
      </c>
      <c r="F56" s="29" t="str">
        <f>LOOKUP(A56,'QALS - Inspection Lot Record'!A:A,'QALS - Inspection Lot Record'!G:G)</f>
        <v>AB406550</v>
      </c>
      <c r="G56" s="59">
        <f ca="1">LOOKUP(A56,'QALS - Inspection Lot Record'!A:A,'QALS - Inspection Lot Record'!E:E)</f>
        <v>45873</v>
      </c>
      <c r="H56" s="34" t="str">
        <f t="shared" si="0"/>
        <v>A</v>
      </c>
      <c r="I56" s="29" t="str">
        <f t="shared" si="1"/>
        <v>AB406550</v>
      </c>
      <c r="J56" s="59">
        <f t="shared" ca="1" si="2"/>
        <v>45873</v>
      </c>
      <c r="K56" s="30">
        <f ca="1">LOOKUP(A56,'QALS - Inspection Lot Record'!A:A,'QALS - Inspection Lot Record'!I:I)</f>
        <v>0.75422453703703707</v>
      </c>
      <c r="L56" s="59">
        <f t="shared" ca="1" si="3"/>
        <v>45873</v>
      </c>
      <c r="M56" s="30">
        <f t="shared" ca="1" si="4"/>
        <v>0.78115740740740747</v>
      </c>
      <c r="N56" s="31"/>
      <c r="O56" s="31">
        <v>81.3</v>
      </c>
      <c r="P56" s="29">
        <v>80</v>
      </c>
      <c r="Q56" s="29">
        <v>90</v>
      </c>
    </row>
    <row r="57" spans="1:17" x14ac:dyDescent="0.35">
      <c r="A57" s="26">
        <v>40000002507</v>
      </c>
      <c r="B57" s="31">
        <v>1</v>
      </c>
      <c r="C57" s="29" t="str">
        <f>LOOKUP(A57,'QALS - Inspection Lot Record'!$A$2:$A$361,'QALS - Inspection Lot Record'!$O$2:$O$361)</f>
        <v>Aspirin Tablets (500 MG)</v>
      </c>
      <c r="D57" s="31">
        <v>80</v>
      </c>
      <c r="E57" s="29" t="s">
        <v>407</v>
      </c>
      <c r="F57" s="29" t="str">
        <f>LOOKUP(A57,'QALS - Inspection Lot Record'!A:A,'QALS - Inspection Lot Record'!G:G)</f>
        <v>AB406550</v>
      </c>
      <c r="G57" s="59">
        <f ca="1">LOOKUP(A57,'QALS - Inspection Lot Record'!A:A,'QALS - Inspection Lot Record'!E:E)</f>
        <v>45873</v>
      </c>
      <c r="H57" s="34" t="str">
        <f t="shared" si="0"/>
        <v>A</v>
      </c>
      <c r="I57" s="29" t="str">
        <f t="shared" si="1"/>
        <v>AB406550</v>
      </c>
      <c r="J57" s="59">
        <f t="shared" ca="1" si="2"/>
        <v>45873</v>
      </c>
      <c r="K57" s="30">
        <f ca="1">LOOKUP(A57,'QALS - Inspection Lot Record'!A:A,'QALS - Inspection Lot Record'!I:I)</f>
        <v>0.75422453703703707</v>
      </c>
      <c r="L57" s="59">
        <f t="shared" ca="1" si="3"/>
        <v>45873</v>
      </c>
      <c r="M57" s="30">
        <f t="shared" ca="1" si="4"/>
        <v>0.78608796296296302</v>
      </c>
      <c r="N57" s="31"/>
      <c r="O57" s="31">
        <v>25.5</v>
      </c>
      <c r="P57" s="29">
        <v>23</v>
      </c>
      <c r="Q57" s="29">
        <v>28</v>
      </c>
    </row>
    <row r="58" spans="1:17" x14ac:dyDescent="0.35">
      <c r="A58" s="26">
        <v>40000002508</v>
      </c>
      <c r="B58" s="27">
        <v>1</v>
      </c>
      <c r="C58" s="29" t="str">
        <f>LOOKUP(A58,'QALS - Inspection Lot Record'!$A$2:$A$361,'QALS - Inspection Lot Record'!$O$2:$O$361)</f>
        <v>Metformin Tablets (500 MG)</v>
      </c>
      <c r="D58" s="27">
        <v>10</v>
      </c>
      <c r="E58" s="26" t="s">
        <v>399</v>
      </c>
      <c r="F58" s="29" t="str">
        <f>LOOKUP(A58,'QALS - Inspection Lot Record'!A:A,'QALS - Inspection Lot Record'!G:G)</f>
        <v>YA284176</v>
      </c>
      <c r="G58" s="59">
        <f ca="1">LOOKUP(A58,'QALS - Inspection Lot Record'!A:A,'QALS - Inspection Lot Record'!E:E)</f>
        <v>45873</v>
      </c>
      <c r="H58" s="34" t="str">
        <f t="shared" si="0"/>
        <v>R</v>
      </c>
      <c r="I58" s="29" t="str">
        <f t="shared" si="1"/>
        <v>YA284176</v>
      </c>
      <c r="J58" s="59">
        <f t="shared" ca="1" si="2"/>
        <v>45873</v>
      </c>
      <c r="K58" s="30">
        <f ca="1">LOOKUP(A58,'QALS - Inspection Lot Record'!A:A,'QALS - Inspection Lot Record'!I:I)</f>
        <v>4.2106481481481481E-2</v>
      </c>
      <c r="L58" s="59">
        <f t="shared" ca="1" si="3"/>
        <v>45873</v>
      </c>
      <c r="M58" s="30">
        <f t="shared" ca="1" si="4"/>
        <v>7.1840277777777781E-2</v>
      </c>
      <c r="N58" s="31"/>
      <c r="O58" s="31">
        <v>93.9</v>
      </c>
      <c r="P58" s="29">
        <v>95</v>
      </c>
      <c r="Q58" s="29">
        <v>105</v>
      </c>
    </row>
    <row r="59" spans="1:17" x14ac:dyDescent="0.35">
      <c r="A59" s="26">
        <v>40000002508</v>
      </c>
      <c r="B59" s="27">
        <v>1</v>
      </c>
      <c r="C59" s="29" t="str">
        <f>LOOKUP(A59,'QALS - Inspection Lot Record'!$A$2:$A$361,'QALS - Inspection Lot Record'!$O$2:$O$361)</f>
        <v>Metformin Tablets (500 MG)</v>
      </c>
      <c r="D59" s="31">
        <v>20</v>
      </c>
      <c r="E59" s="29" t="s">
        <v>400</v>
      </c>
      <c r="F59" s="29" t="str">
        <f>LOOKUP(A59,'QALS - Inspection Lot Record'!A:A,'QALS - Inspection Lot Record'!G:G)</f>
        <v>YA284176</v>
      </c>
      <c r="G59" s="59">
        <f ca="1">LOOKUP(A59,'QALS - Inspection Lot Record'!A:A,'QALS - Inspection Lot Record'!E:E)</f>
        <v>45873</v>
      </c>
      <c r="H59" s="34" t="str">
        <f t="shared" si="0"/>
        <v>A</v>
      </c>
      <c r="I59" s="29" t="str">
        <f t="shared" si="1"/>
        <v>YA284176</v>
      </c>
      <c r="J59" s="59">
        <f t="shared" ca="1" si="2"/>
        <v>45873</v>
      </c>
      <c r="K59" s="30">
        <f ca="1">LOOKUP(A59,'QALS - Inspection Lot Record'!A:A,'QALS - Inspection Lot Record'!I:I)</f>
        <v>4.2106481481481481E-2</v>
      </c>
      <c r="L59" s="59">
        <f t="shared" ca="1" si="3"/>
        <v>45873</v>
      </c>
      <c r="M59" s="30">
        <f t="shared" ca="1" si="4"/>
        <v>6.2465277777777772E-2</v>
      </c>
      <c r="N59" s="31"/>
      <c r="O59" s="31">
        <v>7.25</v>
      </c>
      <c r="P59" s="29">
        <v>3.5</v>
      </c>
      <c r="Q59" s="29">
        <v>11</v>
      </c>
    </row>
    <row r="60" spans="1:17" x14ac:dyDescent="0.35">
      <c r="A60" s="26">
        <v>40000002508</v>
      </c>
      <c r="B60" s="31">
        <v>1</v>
      </c>
      <c r="C60" s="29" t="str">
        <f>LOOKUP(A60,'QALS - Inspection Lot Record'!$A$2:$A$361,'QALS - Inspection Lot Record'!$O$2:$O$361)</f>
        <v>Metformin Tablets (500 MG)</v>
      </c>
      <c r="D60" s="31">
        <v>30</v>
      </c>
      <c r="E60" s="29" t="s">
        <v>401</v>
      </c>
      <c r="F60" s="29" t="str">
        <f>LOOKUP(A60,'QALS - Inspection Lot Record'!A:A,'QALS - Inspection Lot Record'!G:G)</f>
        <v>YA284176</v>
      </c>
      <c r="G60" s="59">
        <f ca="1">LOOKUP(A60,'QALS - Inspection Lot Record'!A:A,'QALS - Inspection Lot Record'!E:E)</f>
        <v>45873</v>
      </c>
      <c r="H60" s="34" t="str">
        <f t="shared" si="0"/>
        <v>A</v>
      </c>
      <c r="I60" s="29" t="str">
        <f t="shared" si="1"/>
        <v>YA284176</v>
      </c>
      <c r="J60" s="59">
        <f t="shared" ca="1" si="2"/>
        <v>45873</v>
      </c>
      <c r="K60" s="30">
        <f ca="1">LOOKUP(A60,'QALS - Inspection Lot Record'!A:A,'QALS - Inspection Lot Record'!I:I)</f>
        <v>4.2106481481481481E-2</v>
      </c>
      <c r="L60" s="59">
        <f t="shared" ca="1" si="3"/>
        <v>45873</v>
      </c>
      <c r="M60" s="30">
        <f t="shared" ca="1" si="4"/>
        <v>6.9166666666666668E-2</v>
      </c>
      <c r="N60" s="11" t="s">
        <v>402</v>
      </c>
      <c r="O60" s="31"/>
      <c r="P60" s="29"/>
      <c r="Q60" s="29"/>
    </row>
    <row r="61" spans="1:17" x14ac:dyDescent="0.35">
      <c r="A61" s="26">
        <v>40000002508</v>
      </c>
      <c r="B61" s="31">
        <v>1</v>
      </c>
      <c r="C61" s="29" t="str">
        <f>LOOKUP(A61,'QALS - Inspection Lot Record'!$A$2:$A$361,'QALS - Inspection Lot Record'!$O$2:$O$361)</f>
        <v>Metformin Tablets (500 MG)</v>
      </c>
      <c r="D61" s="31">
        <v>40</v>
      </c>
      <c r="E61" s="29" t="s">
        <v>403</v>
      </c>
      <c r="F61" s="29" t="str">
        <f>LOOKUP(A61,'QALS - Inspection Lot Record'!A:A,'QALS - Inspection Lot Record'!G:G)</f>
        <v>YA284176</v>
      </c>
      <c r="G61" s="59">
        <f ca="1">LOOKUP(A61,'QALS - Inspection Lot Record'!A:A,'QALS - Inspection Lot Record'!E:E)</f>
        <v>45873</v>
      </c>
      <c r="H61" s="34" t="str">
        <f t="shared" si="0"/>
        <v>A</v>
      </c>
      <c r="I61" s="29" t="str">
        <f t="shared" si="1"/>
        <v>YA284176</v>
      </c>
      <c r="J61" s="59">
        <f t="shared" ca="1" si="2"/>
        <v>45873</v>
      </c>
      <c r="K61" s="30">
        <f ca="1">LOOKUP(A61,'QALS - Inspection Lot Record'!A:A,'QALS - Inspection Lot Record'!I:I)</f>
        <v>4.2106481481481481E-2</v>
      </c>
      <c r="L61" s="59">
        <f t="shared" ca="1" si="3"/>
        <v>45873</v>
      </c>
      <c r="M61" s="30">
        <f t="shared" ca="1" si="4"/>
        <v>6.5590277777777775E-2</v>
      </c>
      <c r="N61" s="31"/>
      <c r="O61" s="31">
        <v>1.6</v>
      </c>
      <c r="P61" s="29">
        <v>0</v>
      </c>
      <c r="Q61" s="29">
        <v>2</v>
      </c>
    </row>
    <row r="62" spans="1:17" x14ac:dyDescent="0.35">
      <c r="A62" s="26">
        <v>40000002508</v>
      </c>
      <c r="B62" s="31">
        <v>1</v>
      </c>
      <c r="C62" s="29" t="str">
        <f>LOOKUP(A62,'QALS - Inspection Lot Record'!$A$2:$A$361,'QALS - Inspection Lot Record'!$O$2:$O$361)</f>
        <v>Metformin Tablets (500 MG)</v>
      </c>
      <c r="D62" s="31">
        <v>50</v>
      </c>
      <c r="E62" s="29" t="s">
        <v>404</v>
      </c>
      <c r="F62" s="29" t="str">
        <f>LOOKUP(A62,'QALS - Inspection Lot Record'!A:A,'QALS - Inspection Lot Record'!G:G)</f>
        <v>YA284176</v>
      </c>
      <c r="G62" s="59">
        <f ca="1">LOOKUP(A62,'QALS - Inspection Lot Record'!A:A,'QALS - Inspection Lot Record'!E:E)</f>
        <v>45873</v>
      </c>
      <c r="H62" s="34" t="str">
        <f t="shared" si="0"/>
        <v>A</v>
      </c>
      <c r="I62" s="29" t="str">
        <f t="shared" si="1"/>
        <v>YA284176</v>
      </c>
      <c r="J62" s="59">
        <f t="shared" ca="1" si="2"/>
        <v>45873</v>
      </c>
      <c r="K62" s="30">
        <f ca="1">LOOKUP(A62,'QALS - Inspection Lot Record'!A:A,'QALS - Inspection Lot Record'!I:I)</f>
        <v>4.2106481481481481E-2</v>
      </c>
      <c r="L62" s="59">
        <f t="shared" ca="1" si="3"/>
        <v>45873</v>
      </c>
      <c r="M62" s="30">
        <f t="shared" ca="1" si="4"/>
        <v>7.2361111111111112E-2</v>
      </c>
      <c r="N62" s="31"/>
      <c r="O62" s="31">
        <v>41.3</v>
      </c>
      <c r="P62" s="29">
        <v>40</v>
      </c>
      <c r="Q62" s="29">
        <v>60</v>
      </c>
    </row>
    <row r="63" spans="1:17" x14ac:dyDescent="0.35">
      <c r="A63" s="26">
        <v>40000002508</v>
      </c>
      <c r="B63" s="31">
        <v>1</v>
      </c>
      <c r="C63" s="29" t="str">
        <f>LOOKUP(A63,'QALS - Inspection Lot Record'!$A$2:$A$361,'QALS - Inspection Lot Record'!$O$2:$O$361)</f>
        <v>Metformin Tablets (500 MG)</v>
      </c>
      <c r="D63" s="31">
        <v>60</v>
      </c>
      <c r="E63" s="29" t="s">
        <v>405</v>
      </c>
      <c r="F63" s="29" t="str">
        <f>LOOKUP(A63,'QALS - Inspection Lot Record'!A:A,'QALS - Inspection Lot Record'!G:G)</f>
        <v>YA284176</v>
      </c>
      <c r="G63" s="59">
        <f ca="1">LOOKUP(A63,'QALS - Inspection Lot Record'!A:A,'QALS - Inspection Lot Record'!E:E)</f>
        <v>45873</v>
      </c>
      <c r="H63" s="34" t="str">
        <f t="shared" si="0"/>
        <v>A</v>
      </c>
      <c r="I63" s="29" t="str">
        <f t="shared" si="1"/>
        <v>YA284176</v>
      </c>
      <c r="J63" s="59">
        <f t="shared" ca="1" si="2"/>
        <v>45873</v>
      </c>
      <c r="K63" s="30">
        <f ca="1">LOOKUP(A63,'QALS - Inspection Lot Record'!A:A,'QALS - Inspection Lot Record'!I:I)</f>
        <v>4.2106481481481481E-2</v>
      </c>
      <c r="L63" s="59">
        <f t="shared" ca="1" si="3"/>
        <v>45873</v>
      </c>
      <c r="M63" s="30">
        <f t="shared" ca="1" si="4"/>
        <v>6.9606481481481478E-2</v>
      </c>
      <c r="N63" s="31"/>
      <c r="O63" s="31">
        <v>71.8</v>
      </c>
      <c r="P63" s="29">
        <v>70</v>
      </c>
      <c r="Q63" s="29">
        <v>85</v>
      </c>
    </row>
    <row r="64" spans="1:17" x14ac:dyDescent="0.35">
      <c r="A64" s="26">
        <v>40000002508</v>
      </c>
      <c r="B64" s="31">
        <v>1</v>
      </c>
      <c r="C64" s="29" t="str">
        <f>LOOKUP(A64,'QALS - Inspection Lot Record'!$A$2:$A$361,'QALS - Inspection Lot Record'!$O$2:$O$361)</f>
        <v>Metformin Tablets (500 MG)</v>
      </c>
      <c r="D64" s="31">
        <v>70</v>
      </c>
      <c r="E64" s="29" t="s">
        <v>406</v>
      </c>
      <c r="F64" s="29" t="str">
        <f>LOOKUP(A64,'QALS - Inspection Lot Record'!A:A,'QALS - Inspection Lot Record'!G:G)</f>
        <v>YA284176</v>
      </c>
      <c r="G64" s="59">
        <f ca="1">LOOKUP(A64,'QALS - Inspection Lot Record'!A:A,'QALS - Inspection Lot Record'!E:E)</f>
        <v>45873</v>
      </c>
      <c r="H64" s="34" t="str">
        <f t="shared" si="0"/>
        <v>A</v>
      </c>
      <c r="I64" s="29" t="str">
        <f t="shared" si="1"/>
        <v>YA284176</v>
      </c>
      <c r="J64" s="59">
        <f t="shared" ca="1" si="2"/>
        <v>45873</v>
      </c>
      <c r="K64" s="30">
        <f ca="1">LOOKUP(A64,'QALS - Inspection Lot Record'!A:A,'QALS - Inspection Lot Record'!I:I)</f>
        <v>4.2106481481481481E-2</v>
      </c>
      <c r="L64" s="59">
        <f t="shared" ca="1" si="3"/>
        <v>45873</v>
      </c>
      <c r="M64" s="30">
        <f t="shared" ca="1" si="4"/>
        <v>6.2395833333333331E-2</v>
      </c>
      <c r="N64" s="31"/>
      <c r="O64" s="31">
        <v>81.7</v>
      </c>
      <c r="P64" s="29">
        <v>80</v>
      </c>
      <c r="Q64" s="29">
        <v>90</v>
      </c>
    </row>
    <row r="65" spans="1:17" x14ac:dyDescent="0.35">
      <c r="A65" s="26">
        <v>40000002508</v>
      </c>
      <c r="B65" s="31">
        <v>1</v>
      </c>
      <c r="C65" s="29" t="str">
        <f>LOOKUP(A65,'QALS - Inspection Lot Record'!$A$2:$A$361,'QALS - Inspection Lot Record'!$O$2:$O$361)</f>
        <v>Metformin Tablets (500 MG)</v>
      </c>
      <c r="D65" s="31">
        <v>80</v>
      </c>
      <c r="E65" s="29" t="s">
        <v>407</v>
      </c>
      <c r="F65" s="29" t="str">
        <f>LOOKUP(A65,'QALS - Inspection Lot Record'!A:A,'QALS - Inspection Lot Record'!G:G)</f>
        <v>YA284176</v>
      </c>
      <c r="G65" s="59">
        <f ca="1">LOOKUP(A65,'QALS - Inspection Lot Record'!A:A,'QALS - Inspection Lot Record'!E:E)</f>
        <v>45873</v>
      </c>
      <c r="H65" s="34" t="str">
        <f t="shared" si="0"/>
        <v>A</v>
      </c>
      <c r="I65" s="29" t="str">
        <f t="shared" si="1"/>
        <v>YA284176</v>
      </c>
      <c r="J65" s="59">
        <f t="shared" ca="1" si="2"/>
        <v>45873</v>
      </c>
      <c r="K65" s="30">
        <f ca="1">LOOKUP(A65,'QALS - Inspection Lot Record'!A:A,'QALS - Inspection Lot Record'!I:I)</f>
        <v>4.2106481481481481E-2</v>
      </c>
      <c r="L65" s="59">
        <f t="shared" ca="1" si="3"/>
        <v>45873</v>
      </c>
      <c r="M65" s="30">
        <f t="shared" ca="1" si="4"/>
        <v>6.6840277777777776E-2</v>
      </c>
      <c r="N65" s="31"/>
      <c r="O65" s="31">
        <v>25.5</v>
      </c>
      <c r="P65" s="29">
        <v>23</v>
      </c>
      <c r="Q65" s="29">
        <v>28</v>
      </c>
    </row>
    <row r="66" spans="1:17" x14ac:dyDescent="0.35">
      <c r="A66" s="26">
        <v>40000002509</v>
      </c>
      <c r="B66" s="27">
        <v>1</v>
      </c>
      <c r="C66" s="29" t="str">
        <f>LOOKUP(A66,'QALS - Inspection Lot Record'!$A$2:$A$361,'QALS - Inspection Lot Record'!$O$2:$O$361)</f>
        <v>Metformin Tablets (200 MG)</v>
      </c>
      <c r="D66" s="27">
        <v>10</v>
      </c>
      <c r="E66" s="26" t="s">
        <v>399</v>
      </c>
      <c r="F66" s="29" t="str">
        <f>LOOKUP(A66,'QALS - Inspection Lot Record'!A:A,'QALS - Inspection Lot Record'!G:G)</f>
        <v>ZK384180</v>
      </c>
      <c r="G66" s="59">
        <f ca="1">LOOKUP(A66,'QALS - Inspection Lot Record'!A:A,'QALS - Inspection Lot Record'!E:E)</f>
        <v>45874</v>
      </c>
      <c r="H66" s="34" t="str">
        <f t="shared" ref="H66:H105" si="5">IF(AND(P66&lt;=O66,O66&lt;=Q66),"A","R")</f>
        <v>R</v>
      </c>
      <c r="I66" s="29" t="str">
        <f t="shared" ref="I66:I129" si="6">F66</f>
        <v>ZK384180</v>
      </c>
      <c r="J66" s="59">
        <f t="shared" ref="J66:J129" ca="1" si="7">G66</f>
        <v>45874</v>
      </c>
      <c r="K66" s="30">
        <f ca="1">LOOKUP(A66,'QALS - Inspection Lot Record'!A:A,'QALS - Inspection Lot Record'!I:I)</f>
        <v>0.5250231481481481</v>
      </c>
      <c r="L66" s="59">
        <f t="shared" ref="L66:L129" ca="1" si="8">G66</f>
        <v>45874</v>
      </c>
      <c r="M66" s="30">
        <f t="shared" ref="M66:M129" ca="1" si="9">K66+TIME(0,RANDBETWEEN(25,50),RANDBETWEEN(0,59))</f>
        <v>0.54325231481481473</v>
      </c>
      <c r="N66" s="31"/>
      <c r="O66" s="31">
        <v>93.4</v>
      </c>
      <c r="P66" s="29">
        <v>95</v>
      </c>
      <c r="Q66" s="29">
        <v>103</v>
      </c>
    </row>
    <row r="67" spans="1:17" x14ac:dyDescent="0.35">
      <c r="A67" s="26">
        <v>40000002509</v>
      </c>
      <c r="B67" s="27">
        <v>1</v>
      </c>
      <c r="C67" s="29" t="str">
        <f>LOOKUP(A67,'QALS - Inspection Lot Record'!$A$2:$A$361,'QALS - Inspection Lot Record'!$O$2:$O$361)</f>
        <v>Metformin Tablets (200 MG)</v>
      </c>
      <c r="D67" s="31">
        <v>20</v>
      </c>
      <c r="E67" s="29" t="s">
        <v>400</v>
      </c>
      <c r="F67" s="29" t="str">
        <f>LOOKUP(A67,'QALS - Inspection Lot Record'!A:A,'QALS - Inspection Lot Record'!G:G)</f>
        <v>ZK384180</v>
      </c>
      <c r="G67" s="59">
        <f ca="1">LOOKUP(A67,'QALS - Inspection Lot Record'!A:A,'QALS - Inspection Lot Record'!E:E)</f>
        <v>45874</v>
      </c>
      <c r="H67" s="34" t="str">
        <f t="shared" si="5"/>
        <v>R</v>
      </c>
      <c r="I67" s="29" t="str">
        <f t="shared" si="6"/>
        <v>ZK384180</v>
      </c>
      <c r="J67" s="59">
        <f t="shared" ca="1" si="7"/>
        <v>45874</v>
      </c>
      <c r="K67" s="30">
        <f ca="1">LOOKUP(A67,'QALS - Inspection Lot Record'!A:A,'QALS - Inspection Lot Record'!I:I)</f>
        <v>0.5250231481481481</v>
      </c>
      <c r="L67" s="59">
        <f t="shared" ca="1" si="8"/>
        <v>45874</v>
      </c>
      <c r="M67" s="30">
        <f t="shared" ca="1" si="9"/>
        <v>0.55141203703703701</v>
      </c>
      <c r="N67" s="31"/>
      <c r="O67" s="31">
        <v>5</v>
      </c>
      <c r="P67" s="29">
        <v>6</v>
      </c>
      <c r="Q67" s="29">
        <v>9.5</v>
      </c>
    </row>
    <row r="68" spans="1:17" x14ac:dyDescent="0.35">
      <c r="A68" s="26">
        <v>40000002509</v>
      </c>
      <c r="B68" s="31">
        <v>1</v>
      </c>
      <c r="C68" s="29" t="str">
        <f>LOOKUP(A68,'QALS - Inspection Lot Record'!$A$2:$A$361,'QALS - Inspection Lot Record'!$O$2:$O$361)</f>
        <v>Metformin Tablets (200 MG)</v>
      </c>
      <c r="D68" s="31">
        <v>30</v>
      </c>
      <c r="E68" s="29" t="s">
        <v>401</v>
      </c>
      <c r="F68" s="29" t="str">
        <f>LOOKUP(A68,'QALS - Inspection Lot Record'!A:A,'QALS - Inspection Lot Record'!G:G)</f>
        <v>ZK384180</v>
      </c>
      <c r="G68" s="59">
        <f ca="1">LOOKUP(A68,'QALS - Inspection Lot Record'!A:A,'QALS - Inspection Lot Record'!E:E)</f>
        <v>45874</v>
      </c>
      <c r="H68" s="34" t="str">
        <f t="shared" si="5"/>
        <v>A</v>
      </c>
      <c r="I68" s="29" t="str">
        <f t="shared" si="6"/>
        <v>ZK384180</v>
      </c>
      <c r="J68" s="59">
        <f t="shared" ca="1" si="7"/>
        <v>45874</v>
      </c>
      <c r="K68" s="30">
        <f ca="1">LOOKUP(A68,'QALS - Inspection Lot Record'!A:A,'QALS - Inspection Lot Record'!I:I)</f>
        <v>0.5250231481481481</v>
      </c>
      <c r="L68" s="59">
        <f t="shared" ca="1" si="8"/>
        <v>45874</v>
      </c>
      <c r="M68" s="30">
        <f t="shared" ca="1" si="9"/>
        <v>0.55447916666666663</v>
      </c>
      <c r="N68" s="11" t="s">
        <v>402</v>
      </c>
      <c r="O68" s="31"/>
      <c r="P68" s="29"/>
      <c r="Q68" s="29"/>
    </row>
    <row r="69" spans="1:17" x14ac:dyDescent="0.35">
      <c r="A69" s="26">
        <v>40000002509</v>
      </c>
      <c r="B69" s="31">
        <v>1</v>
      </c>
      <c r="C69" s="29" t="str">
        <f>LOOKUP(A69,'QALS - Inspection Lot Record'!$A$2:$A$361,'QALS - Inspection Lot Record'!$O$2:$O$361)</f>
        <v>Metformin Tablets (200 MG)</v>
      </c>
      <c r="D69" s="31">
        <v>40</v>
      </c>
      <c r="E69" s="29" t="s">
        <v>403</v>
      </c>
      <c r="F69" s="29" t="str">
        <f>LOOKUP(A69,'QALS - Inspection Lot Record'!A:A,'QALS - Inspection Lot Record'!G:G)</f>
        <v>ZK384180</v>
      </c>
      <c r="G69" s="59">
        <f ca="1">LOOKUP(A69,'QALS - Inspection Lot Record'!A:A,'QALS - Inspection Lot Record'!E:E)</f>
        <v>45874</v>
      </c>
      <c r="H69" s="34" t="str">
        <f t="shared" si="5"/>
        <v>A</v>
      </c>
      <c r="I69" s="29" t="str">
        <f t="shared" si="6"/>
        <v>ZK384180</v>
      </c>
      <c r="J69" s="59">
        <f t="shared" ca="1" si="7"/>
        <v>45874</v>
      </c>
      <c r="K69" s="30">
        <f ca="1">LOOKUP(A69,'QALS - Inspection Lot Record'!A:A,'QALS - Inspection Lot Record'!I:I)</f>
        <v>0.5250231481481481</v>
      </c>
      <c r="L69" s="59">
        <f t="shared" ca="1" si="8"/>
        <v>45874</v>
      </c>
      <c r="M69" s="30">
        <f t="shared" ca="1" si="9"/>
        <v>0.55564814814814811</v>
      </c>
      <c r="N69" s="31"/>
      <c r="O69" s="31">
        <v>0</v>
      </c>
      <c r="P69" s="29">
        <v>0</v>
      </c>
      <c r="Q69" s="29">
        <v>2</v>
      </c>
    </row>
    <row r="70" spans="1:17" x14ac:dyDescent="0.35">
      <c r="A70" s="26">
        <v>40000002509</v>
      </c>
      <c r="B70" s="31">
        <v>1</v>
      </c>
      <c r="C70" s="29" t="str">
        <f>LOOKUP(A70,'QALS - Inspection Lot Record'!$A$2:$A$361,'QALS - Inspection Lot Record'!$O$2:$O$361)</f>
        <v>Metformin Tablets (200 MG)</v>
      </c>
      <c r="D70" s="31">
        <v>50</v>
      </c>
      <c r="E70" s="29" t="s">
        <v>404</v>
      </c>
      <c r="F70" s="29" t="str">
        <f>LOOKUP(A70,'QALS - Inspection Lot Record'!A:A,'QALS - Inspection Lot Record'!G:G)</f>
        <v>ZK384180</v>
      </c>
      <c r="G70" s="59">
        <f ca="1">LOOKUP(A70,'QALS - Inspection Lot Record'!A:A,'QALS - Inspection Lot Record'!E:E)</f>
        <v>45874</v>
      </c>
      <c r="H70" s="34" t="str">
        <f t="shared" si="5"/>
        <v>A</v>
      </c>
      <c r="I70" s="29" t="str">
        <f t="shared" si="6"/>
        <v>ZK384180</v>
      </c>
      <c r="J70" s="59">
        <f t="shared" ca="1" si="7"/>
        <v>45874</v>
      </c>
      <c r="K70" s="30">
        <f ca="1">LOOKUP(A70,'QALS - Inspection Lot Record'!A:A,'QALS - Inspection Lot Record'!I:I)</f>
        <v>0.5250231481481481</v>
      </c>
      <c r="L70" s="59">
        <f t="shared" ca="1" si="8"/>
        <v>45874</v>
      </c>
      <c r="M70" s="30">
        <f t="shared" ca="1" si="9"/>
        <v>0.5538425925925925</v>
      </c>
      <c r="N70" s="31"/>
      <c r="O70" s="31">
        <v>50</v>
      </c>
      <c r="P70" s="29">
        <v>40</v>
      </c>
      <c r="Q70" s="29">
        <v>60</v>
      </c>
    </row>
    <row r="71" spans="1:17" x14ac:dyDescent="0.35">
      <c r="A71" s="26">
        <v>40000002509</v>
      </c>
      <c r="B71" s="31">
        <v>1</v>
      </c>
      <c r="C71" s="29" t="str">
        <f>LOOKUP(A71,'QALS - Inspection Lot Record'!$A$2:$A$361,'QALS - Inspection Lot Record'!$O$2:$O$361)</f>
        <v>Metformin Tablets (200 MG)</v>
      </c>
      <c r="D71" s="31">
        <v>60</v>
      </c>
      <c r="E71" s="29" t="s">
        <v>405</v>
      </c>
      <c r="F71" s="29" t="str">
        <f>LOOKUP(A71,'QALS - Inspection Lot Record'!A:A,'QALS - Inspection Lot Record'!G:G)</f>
        <v>ZK384180</v>
      </c>
      <c r="G71" s="59">
        <f ca="1">LOOKUP(A71,'QALS - Inspection Lot Record'!A:A,'QALS - Inspection Lot Record'!E:E)</f>
        <v>45874</v>
      </c>
      <c r="H71" s="34" t="str">
        <f t="shared" si="5"/>
        <v>A</v>
      </c>
      <c r="I71" s="29" t="str">
        <f t="shared" si="6"/>
        <v>ZK384180</v>
      </c>
      <c r="J71" s="59">
        <f t="shared" ca="1" si="7"/>
        <v>45874</v>
      </c>
      <c r="K71" s="30">
        <f ca="1">LOOKUP(A71,'QALS - Inspection Lot Record'!A:A,'QALS - Inspection Lot Record'!I:I)</f>
        <v>0.5250231481481481</v>
      </c>
      <c r="L71" s="59">
        <f t="shared" ca="1" si="8"/>
        <v>45874</v>
      </c>
      <c r="M71" s="30">
        <f t="shared" ca="1" si="9"/>
        <v>0.55394675925925918</v>
      </c>
      <c r="N71" s="31"/>
      <c r="O71" s="31">
        <v>77.5</v>
      </c>
      <c r="P71" s="29">
        <v>70</v>
      </c>
      <c r="Q71" s="29">
        <v>85</v>
      </c>
    </row>
    <row r="72" spans="1:17" x14ac:dyDescent="0.35">
      <c r="A72" s="26">
        <v>40000002509</v>
      </c>
      <c r="B72" s="31">
        <v>1</v>
      </c>
      <c r="C72" s="29" t="str">
        <f>LOOKUP(A72,'QALS - Inspection Lot Record'!$A$2:$A$361,'QALS - Inspection Lot Record'!$O$2:$O$361)</f>
        <v>Metformin Tablets (200 MG)</v>
      </c>
      <c r="D72" s="31">
        <v>70</v>
      </c>
      <c r="E72" s="29" t="s">
        <v>406</v>
      </c>
      <c r="F72" s="29" t="str">
        <f>LOOKUP(A72,'QALS - Inspection Lot Record'!A:A,'QALS - Inspection Lot Record'!G:G)</f>
        <v>ZK384180</v>
      </c>
      <c r="G72" s="59">
        <f ca="1">LOOKUP(A72,'QALS - Inspection Lot Record'!A:A,'QALS - Inspection Lot Record'!E:E)</f>
        <v>45874</v>
      </c>
      <c r="H72" s="34" t="str">
        <f t="shared" si="5"/>
        <v>A</v>
      </c>
      <c r="I72" s="29" t="str">
        <f t="shared" si="6"/>
        <v>ZK384180</v>
      </c>
      <c r="J72" s="59">
        <f t="shared" ca="1" si="7"/>
        <v>45874</v>
      </c>
      <c r="K72" s="30">
        <f ca="1">LOOKUP(A72,'QALS - Inspection Lot Record'!A:A,'QALS - Inspection Lot Record'!I:I)</f>
        <v>0.5250231481481481</v>
      </c>
      <c r="L72" s="59">
        <f t="shared" ca="1" si="8"/>
        <v>45874</v>
      </c>
      <c r="M72" s="30">
        <f t="shared" ca="1" si="9"/>
        <v>0.54318287037037027</v>
      </c>
      <c r="N72" s="31"/>
      <c r="O72" s="31">
        <v>85</v>
      </c>
      <c r="P72" s="29">
        <v>80</v>
      </c>
      <c r="Q72" s="29">
        <v>90</v>
      </c>
    </row>
    <row r="73" spans="1:17" x14ac:dyDescent="0.35">
      <c r="A73" s="26">
        <v>40000002509</v>
      </c>
      <c r="B73" s="31">
        <v>1</v>
      </c>
      <c r="C73" s="29" t="str">
        <f>LOOKUP(A73,'QALS - Inspection Lot Record'!$A$2:$A$361,'QALS - Inspection Lot Record'!$O$2:$O$361)</f>
        <v>Metformin Tablets (200 MG)</v>
      </c>
      <c r="D73" s="31">
        <v>80</v>
      </c>
      <c r="E73" s="29" t="s">
        <v>407</v>
      </c>
      <c r="F73" s="29" t="str">
        <f>LOOKUP(A73,'QALS - Inspection Lot Record'!A:A,'QALS - Inspection Lot Record'!G:G)</f>
        <v>ZK384180</v>
      </c>
      <c r="G73" s="59">
        <f ca="1">LOOKUP(A73,'QALS - Inspection Lot Record'!A:A,'QALS - Inspection Lot Record'!E:E)</f>
        <v>45874</v>
      </c>
      <c r="H73" s="34" t="str">
        <f t="shared" si="5"/>
        <v>A</v>
      </c>
      <c r="I73" s="29" t="str">
        <f t="shared" si="6"/>
        <v>ZK384180</v>
      </c>
      <c r="J73" s="59">
        <f t="shared" ca="1" si="7"/>
        <v>45874</v>
      </c>
      <c r="K73" s="30">
        <f ca="1">LOOKUP(A73,'QALS - Inspection Lot Record'!A:A,'QALS - Inspection Lot Record'!I:I)</f>
        <v>0.5250231481481481</v>
      </c>
      <c r="L73" s="59">
        <f t="shared" ca="1" si="8"/>
        <v>45874</v>
      </c>
      <c r="M73" s="30">
        <f t="shared" ca="1" si="9"/>
        <v>0.55552083333333324</v>
      </c>
      <c r="N73" s="31"/>
      <c r="O73" s="31">
        <v>25.5</v>
      </c>
      <c r="P73" s="29">
        <v>23</v>
      </c>
      <c r="Q73" s="29">
        <v>28</v>
      </c>
    </row>
    <row r="74" spans="1:17" x14ac:dyDescent="0.35">
      <c r="A74" s="26">
        <v>40000002510</v>
      </c>
      <c r="B74" s="27">
        <v>1</v>
      </c>
      <c r="C74" s="29" t="str">
        <f>LOOKUP(A74,'QALS - Inspection Lot Record'!$A$2:$A$361,'QALS - Inspection Lot Record'!$O$2:$O$361)</f>
        <v>Metformin Tablets (100 MG)</v>
      </c>
      <c r="D74" s="27">
        <v>10</v>
      </c>
      <c r="E74" s="26" t="s">
        <v>399</v>
      </c>
      <c r="F74" s="29" t="str">
        <f>LOOKUP(A74,'QALS - Inspection Lot Record'!A:A,'QALS - Inspection Lot Record'!G:G)</f>
        <v>GC197258</v>
      </c>
      <c r="G74" s="59">
        <f ca="1">LOOKUP(A74,'QALS - Inspection Lot Record'!A:A,'QALS - Inspection Lot Record'!E:E)</f>
        <v>45874</v>
      </c>
      <c r="H74" s="34" t="str">
        <f t="shared" si="5"/>
        <v>A</v>
      </c>
      <c r="I74" s="29" t="str">
        <f t="shared" si="6"/>
        <v>GC197258</v>
      </c>
      <c r="J74" s="59">
        <f t="shared" ca="1" si="7"/>
        <v>45874</v>
      </c>
      <c r="K74" s="30">
        <f ca="1">LOOKUP(A74,'QALS - Inspection Lot Record'!A:A,'QALS - Inspection Lot Record'!I:I)</f>
        <v>0.21421296296296297</v>
      </c>
      <c r="L74" s="59">
        <f t="shared" ca="1" si="8"/>
        <v>45874</v>
      </c>
      <c r="M74" s="30">
        <f t="shared" ca="1" si="9"/>
        <v>0.2356712962962963</v>
      </c>
      <c r="N74" s="31"/>
      <c r="O74" s="31">
        <v>98.5</v>
      </c>
      <c r="P74" s="29">
        <v>95</v>
      </c>
      <c r="Q74" s="29">
        <v>102</v>
      </c>
    </row>
    <row r="75" spans="1:17" x14ac:dyDescent="0.35">
      <c r="A75" s="26">
        <v>40000002510</v>
      </c>
      <c r="B75" s="27">
        <v>1</v>
      </c>
      <c r="C75" s="29" t="str">
        <f>LOOKUP(A75,'QALS - Inspection Lot Record'!$A$2:$A$361,'QALS - Inspection Lot Record'!$O$2:$O$361)</f>
        <v>Metformin Tablets (100 MG)</v>
      </c>
      <c r="D75" s="31">
        <v>20</v>
      </c>
      <c r="E75" s="29" t="s">
        <v>400</v>
      </c>
      <c r="F75" s="29" t="str">
        <f>LOOKUP(A75,'QALS - Inspection Lot Record'!A:A,'QALS - Inspection Lot Record'!G:G)</f>
        <v>GC197258</v>
      </c>
      <c r="G75" s="59">
        <f ca="1">LOOKUP(A75,'QALS - Inspection Lot Record'!A:A,'QALS - Inspection Lot Record'!E:E)</f>
        <v>45874</v>
      </c>
      <c r="H75" s="34" t="str">
        <f t="shared" si="5"/>
        <v>A</v>
      </c>
      <c r="I75" s="29" t="str">
        <f t="shared" si="6"/>
        <v>GC197258</v>
      </c>
      <c r="J75" s="59">
        <f t="shared" ca="1" si="7"/>
        <v>45874</v>
      </c>
      <c r="K75" s="30">
        <f ca="1">LOOKUP(A75,'QALS - Inspection Lot Record'!A:A,'QALS - Inspection Lot Record'!I:I)</f>
        <v>0.21421296296296297</v>
      </c>
      <c r="L75" s="59">
        <f t="shared" ca="1" si="8"/>
        <v>45874</v>
      </c>
      <c r="M75" s="30">
        <f t="shared" ca="1" si="9"/>
        <v>0.23478009259259258</v>
      </c>
      <c r="N75" s="31"/>
      <c r="O75" s="31">
        <v>7.25</v>
      </c>
      <c r="P75" s="29">
        <v>3.5</v>
      </c>
      <c r="Q75" s="29">
        <v>11</v>
      </c>
    </row>
    <row r="76" spans="1:17" x14ac:dyDescent="0.35">
      <c r="A76" s="26">
        <v>40000002510</v>
      </c>
      <c r="B76" s="31">
        <v>1</v>
      </c>
      <c r="C76" s="29" t="str">
        <f>LOOKUP(A76,'QALS - Inspection Lot Record'!$A$2:$A$361,'QALS - Inspection Lot Record'!$O$2:$O$361)</f>
        <v>Metformin Tablets (100 MG)</v>
      </c>
      <c r="D76" s="31">
        <v>30</v>
      </c>
      <c r="E76" s="29" t="s">
        <v>401</v>
      </c>
      <c r="F76" s="29" t="str">
        <f>LOOKUP(A76,'QALS - Inspection Lot Record'!A:A,'QALS - Inspection Lot Record'!G:G)</f>
        <v>GC197258</v>
      </c>
      <c r="G76" s="59">
        <f ca="1">LOOKUP(A76,'QALS - Inspection Lot Record'!A:A,'QALS - Inspection Lot Record'!E:E)</f>
        <v>45874</v>
      </c>
      <c r="H76" s="34" t="str">
        <f t="shared" si="5"/>
        <v>A</v>
      </c>
      <c r="I76" s="29" t="str">
        <f t="shared" si="6"/>
        <v>GC197258</v>
      </c>
      <c r="J76" s="59">
        <f t="shared" ca="1" si="7"/>
        <v>45874</v>
      </c>
      <c r="K76" s="30">
        <f ca="1">LOOKUP(A76,'QALS - Inspection Lot Record'!A:A,'QALS - Inspection Lot Record'!I:I)</f>
        <v>0.21421296296296297</v>
      </c>
      <c r="L76" s="59">
        <f t="shared" ca="1" si="8"/>
        <v>45874</v>
      </c>
      <c r="M76" s="30">
        <f t="shared" ca="1" si="9"/>
        <v>0.2323263888888889</v>
      </c>
      <c r="N76" s="11" t="s">
        <v>402</v>
      </c>
      <c r="O76" s="31"/>
      <c r="P76" s="29"/>
      <c r="Q76" s="29"/>
    </row>
    <row r="77" spans="1:17" x14ac:dyDescent="0.35">
      <c r="A77" s="26">
        <v>40000002510</v>
      </c>
      <c r="B77" s="31">
        <v>1</v>
      </c>
      <c r="C77" s="29" t="str">
        <f>LOOKUP(A77,'QALS - Inspection Lot Record'!$A$2:$A$361,'QALS - Inspection Lot Record'!$O$2:$O$361)</f>
        <v>Metformin Tablets (100 MG)</v>
      </c>
      <c r="D77" s="31">
        <v>40</v>
      </c>
      <c r="E77" s="29" t="s">
        <v>403</v>
      </c>
      <c r="F77" s="29" t="str">
        <f>LOOKUP(A77,'QALS - Inspection Lot Record'!A:A,'QALS - Inspection Lot Record'!G:G)</f>
        <v>GC197258</v>
      </c>
      <c r="G77" s="59">
        <f ca="1">LOOKUP(A77,'QALS - Inspection Lot Record'!A:A,'QALS - Inspection Lot Record'!E:E)</f>
        <v>45874</v>
      </c>
      <c r="H77" s="34" t="str">
        <f t="shared" si="5"/>
        <v>A</v>
      </c>
      <c r="I77" s="29" t="str">
        <f t="shared" si="6"/>
        <v>GC197258</v>
      </c>
      <c r="J77" s="59">
        <f t="shared" ca="1" si="7"/>
        <v>45874</v>
      </c>
      <c r="K77" s="30">
        <f ca="1">LOOKUP(A77,'QALS - Inspection Lot Record'!A:A,'QALS - Inspection Lot Record'!I:I)</f>
        <v>0.21421296296296297</v>
      </c>
      <c r="L77" s="59">
        <f t="shared" ca="1" si="8"/>
        <v>45874</v>
      </c>
      <c r="M77" s="30">
        <f t="shared" ca="1" si="9"/>
        <v>0.23364583333333333</v>
      </c>
      <c r="N77" s="31"/>
      <c r="O77" s="31">
        <v>0</v>
      </c>
      <c r="P77" s="29">
        <v>0</v>
      </c>
      <c r="Q77" s="29">
        <v>1</v>
      </c>
    </row>
    <row r="78" spans="1:17" x14ac:dyDescent="0.35">
      <c r="A78" s="26">
        <v>40000002510</v>
      </c>
      <c r="B78" s="31">
        <v>1</v>
      </c>
      <c r="C78" s="29" t="str">
        <f>LOOKUP(A78,'QALS - Inspection Lot Record'!$A$2:$A$361,'QALS - Inspection Lot Record'!$O$2:$O$361)</f>
        <v>Metformin Tablets (100 MG)</v>
      </c>
      <c r="D78" s="31">
        <v>50</v>
      </c>
      <c r="E78" s="29" t="s">
        <v>404</v>
      </c>
      <c r="F78" s="29" t="str">
        <f>LOOKUP(A78,'QALS - Inspection Lot Record'!A:A,'QALS - Inspection Lot Record'!G:G)</f>
        <v>GC197258</v>
      </c>
      <c r="G78" s="59">
        <f ca="1">LOOKUP(A78,'QALS - Inspection Lot Record'!A:A,'QALS - Inspection Lot Record'!E:E)</f>
        <v>45874</v>
      </c>
      <c r="H78" s="34" t="str">
        <f t="shared" si="5"/>
        <v>A</v>
      </c>
      <c r="I78" s="29" t="str">
        <f t="shared" si="6"/>
        <v>GC197258</v>
      </c>
      <c r="J78" s="59">
        <f t="shared" ca="1" si="7"/>
        <v>45874</v>
      </c>
      <c r="K78" s="30">
        <f ca="1">LOOKUP(A78,'QALS - Inspection Lot Record'!A:A,'QALS - Inspection Lot Record'!I:I)</f>
        <v>0.21421296296296297</v>
      </c>
      <c r="L78" s="59">
        <f t="shared" ca="1" si="8"/>
        <v>45874</v>
      </c>
      <c r="M78" s="30">
        <f t="shared" ca="1" si="9"/>
        <v>0.2346412037037037</v>
      </c>
      <c r="N78" s="31"/>
      <c r="O78" s="31">
        <v>50</v>
      </c>
      <c r="P78" s="29">
        <v>40</v>
      </c>
      <c r="Q78" s="29">
        <v>60</v>
      </c>
    </row>
    <row r="79" spans="1:17" x14ac:dyDescent="0.35">
      <c r="A79" s="26">
        <v>40000002510</v>
      </c>
      <c r="B79" s="31">
        <v>1</v>
      </c>
      <c r="C79" s="29" t="str">
        <f>LOOKUP(A79,'QALS - Inspection Lot Record'!$A$2:$A$361,'QALS - Inspection Lot Record'!$O$2:$O$361)</f>
        <v>Metformin Tablets (100 MG)</v>
      </c>
      <c r="D79" s="31">
        <v>60</v>
      </c>
      <c r="E79" s="29" t="s">
        <v>405</v>
      </c>
      <c r="F79" s="29" t="str">
        <f>LOOKUP(A79,'QALS - Inspection Lot Record'!A:A,'QALS - Inspection Lot Record'!G:G)</f>
        <v>GC197258</v>
      </c>
      <c r="G79" s="59">
        <f ca="1">LOOKUP(A79,'QALS - Inspection Lot Record'!A:A,'QALS - Inspection Lot Record'!E:E)</f>
        <v>45874</v>
      </c>
      <c r="H79" s="34" t="str">
        <f t="shared" si="5"/>
        <v>A</v>
      </c>
      <c r="I79" s="29" t="str">
        <f t="shared" si="6"/>
        <v>GC197258</v>
      </c>
      <c r="J79" s="59">
        <f t="shared" ca="1" si="7"/>
        <v>45874</v>
      </c>
      <c r="K79" s="30">
        <f ca="1">LOOKUP(A79,'QALS - Inspection Lot Record'!A:A,'QALS - Inspection Lot Record'!I:I)</f>
        <v>0.21421296296296297</v>
      </c>
      <c r="L79" s="59">
        <f t="shared" ca="1" si="8"/>
        <v>45874</v>
      </c>
      <c r="M79" s="30">
        <f t="shared" ca="1" si="9"/>
        <v>0.24363425925925927</v>
      </c>
      <c r="N79" s="31"/>
      <c r="O79" s="31">
        <v>77.5</v>
      </c>
      <c r="P79" s="29">
        <v>70</v>
      </c>
      <c r="Q79" s="29">
        <v>85</v>
      </c>
    </row>
    <row r="80" spans="1:17" x14ac:dyDescent="0.35">
      <c r="A80" s="26">
        <v>40000002510</v>
      </c>
      <c r="B80" s="31">
        <v>1</v>
      </c>
      <c r="C80" s="29" t="str">
        <f>LOOKUP(A80,'QALS - Inspection Lot Record'!$A$2:$A$361,'QALS - Inspection Lot Record'!$O$2:$O$361)</f>
        <v>Metformin Tablets (100 MG)</v>
      </c>
      <c r="D80" s="31">
        <v>70</v>
      </c>
      <c r="E80" s="29" t="s">
        <v>406</v>
      </c>
      <c r="F80" s="29" t="str">
        <f>LOOKUP(A80,'QALS - Inspection Lot Record'!A:A,'QALS - Inspection Lot Record'!G:G)</f>
        <v>GC197258</v>
      </c>
      <c r="G80" s="59">
        <f ca="1">LOOKUP(A80,'QALS - Inspection Lot Record'!A:A,'QALS - Inspection Lot Record'!E:E)</f>
        <v>45874</v>
      </c>
      <c r="H80" s="34" t="str">
        <f t="shared" si="5"/>
        <v>R</v>
      </c>
      <c r="I80" s="29" t="str">
        <f t="shared" si="6"/>
        <v>GC197258</v>
      </c>
      <c r="J80" s="59">
        <f t="shared" ca="1" si="7"/>
        <v>45874</v>
      </c>
      <c r="K80" s="30">
        <f ca="1">LOOKUP(A80,'QALS - Inspection Lot Record'!A:A,'QALS - Inspection Lot Record'!I:I)</f>
        <v>0.21421296296296297</v>
      </c>
      <c r="L80" s="59">
        <f t="shared" ca="1" si="8"/>
        <v>45874</v>
      </c>
      <c r="M80" s="30">
        <f t="shared" ca="1" si="9"/>
        <v>0.24570601851851853</v>
      </c>
      <c r="N80" s="31"/>
      <c r="O80" s="31">
        <v>78.7</v>
      </c>
      <c r="P80" s="29">
        <v>80</v>
      </c>
      <c r="Q80" s="29">
        <v>90</v>
      </c>
    </row>
    <row r="81" spans="1:17" x14ac:dyDescent="0.35">
      <c r="A81" s="26">
        <v>40000002510</v>
      </c>
      <c r="B81" s="31">
        <v>1</v>
      </c>
      <c r="C81" s="29" t="str">
        <f>LOOKUP(A81,'QALS - Inspection Lot Record'!$A$2:$A$361,'QALS - Inspection Lot Record'!$O$2:$O$361)</f>
        <v>Metformin Tablets (100 MG)</v>
      </c>
      <c r="D81" s="31">
        <v>80</v>
      </c>
      <c r="E81" s="29" t="s">
        <v>407</v>
      </c>
      <c r="F81" s="29" t="str">
        <f>LOOKUP(A81,'QALS - Inspection Lot Record'!A:A,'QALS - Inspection Lot Record'!G:G)</f>
        <v>GC197258</v>
      </c>
      <c r="G81" s="59">
        <f ca="1">LOOKUP(A81,'QALS - Inspection Lot Record'!A:A,'QALS - Inspection Lot Record'!E:E)</f>
        <v>45874</v>
      </c>
      <c r="H81" s="34" t="str">
        <f t="shared" si="5"/>
        <v>A</v>
      </c>
      <c r="I81" s="29" t="str">
        <f t="shared" si="6"/>
        <v>GC197258</v>
      </c>
      <c r="J81" s="59">
        <f t="shared" ca="1" si="7"/>
        <v>45874</v>
      </c>
      <c r="K81" s="30">
        <f ca="1">LOOKUP(A81,'QALS - Inspection Lot Record'!A:A,'QALS - Inspection Lot Record'!I:I)</f>
        <v>0.21421296296296297</v>
      </c>
      <c r="L81" s="59">
        <f t="shared" ca="1" si="8"/>
        <v>45874</v>
      </c>
      <c r="M81" s="30">
        <f t="shared" ca="1" si="9"/>
        <v>0.24570601851851853</v>
      </c>
      <c r="N81" s="31"/>
      <c r="O81" s="31">
        <v>24</v>
      </c>
      <c r="P81" s="29">
        <v>23</v>
      </c>
      <c r="Q81" s="29">
        <v>25</v>
      </c>
    </row>
    <row r="82" spans="1:17" x14ac:dyDescent="0.35">
      <c r="A82" s="26">
        <v>40000002511</v>
      </c>
      <c r="B82" s="27">
        <v>1</v>
      </c>
      <c r="C82" s="29" t="str">
        <f>LOOKUP(A82,'QALS - Inspection Lot Record'!$A$2:$A$361,'QALS - Inspection Lot Record'!$O$2:$O$361)</f>
        <v>Ibuprofen Tablets (100 MG)</v>
      </c>
      <c r="D82" s="27">
        <v>10</v>
      </c>
      <c r="E82" s="26" t="s">
        <v>399</v>
      </c>
      <c r="F82" s="29" t="str">
        <f>LOOKUP(A82,'QALS - Inspection Lot Record'!A:A,'QALS - Inspection Lot Record'!G:G)</f>
        <v>TP397880</v>
      </c>
      <c r="G82" s="59">
        <f ca="1">LOOKUP(A82,'QALS - Inspection Lot Record'!A:A,'QALS - Inspection Lot Record'!E:E)</f>
        <v>45875</v>
      </c>
      <c r="H82" s="34" t="str">
        <f t="shared" si="5"/>
        <v>R</v>
      </c>
      <c r="I82" s="29" t="str">
        <f t="shared" si="6"/>
        <v>TP397880</v>
      </c>
      <c r="J82" s="59">
        <f t="shared" ca="1" si="7"/>
        <v>45875</v>
      </c>
      <c r="K82" s="30">
        <f ca="1">LOOKUP(A82,'QALS - Inspection Lot Record'!A:A,'QALS - Inspection Lot Record'!I:I)</f>
        <v>0.8372222222222222</v>
      </c>
      <c r="L82" s="59">
        <f t="shared" ca="1" si="8"/>
        <v>45875</v>
      </c>
      <c r="M82" s="30">
        <f t="shared" ca="1" si="9"/>
        <v>0.8659027777777778</v>
      </c>
      <c r="N82" s="31"/>
      <c r="O82" s="31">
        <v>93.9</v>
      </c>
      <c r="P82" s="29">
        <v>95</v>
      </c>
      <c r="Q82" s="29">
        <v>102</v>
      </c>
    </row>
    <row r="83" spans="1:17" x14ac:dyDescent="0.35">
      <c r="A83" s="26">
        <v>40000002511</v>
      </c>
      <c r="B83" s="27">
        <v>1</v>
      </c>
      <c r="C83" s="29" t="str">
        <f>LOOKUP(A83,'QALS - Inspection Lot Record'!$A$2:$A$361,'QALS - Inspection Lot Record'!$O$2:$O$361)</f>
        <v>Ibuprofen Tablets (100 MG)</v>
      </c>
      <c r="D83" s="31">
        <v>20</v>
      </c>
      <c r="E83" s="29" t="s">
        <v>400</v>
      </c>
      <c r="F83" s="29" t="str">
        <f>LOOKUP(A83,'QALS - Inspection Lot Record'!A:A,'QALS - Inspection Lot Record'!G:G)</f>
        <v>TP397880</v>
      </c>
      <c r="G83" s="59">
        <f ca="1">LOOKUP(A83,'QALS - Inspection Lot Record'!A:A,'QALS - Inspection Lot Record'!E:E)</f>
        <v>45875</v>
      </c>
      <c r="H83" s="34" t="str">
        <f t="shared" si="5"/>
        <v>A</v>
      </c>
      <c r="I83" s="29" t="str">
        <f t="shared" si="6"/>
        <v>TP397880</v>
      </c>
      <c r="J83" s="59">
        <f t="shared" ca="1" si="7"/>
        <v>45875</v>
      </c>
      <c r="K83" s="30">
        <f ca="1">LOOKUP(A83,'QALS - Inspection Lot Record'!A:A,'QALS - Inspection Lot Record'!I:I)</f>
        <v>0.8372222222222222</v>
      </c>
      <c r="L83" s="59">
        <f t="shared" ca="1" si="8"/>
        <v>45875</v>
      </c>
      <c r="M83" s="30">
        <f t="shared" ca="1" si="9"/>
        <v>0.86403935185185188</v>
      </c>
      <c r="N83" s="31"/>
      <c r="O83" s="31">
        <v>7.3</v>
      </c>
      <c r="P83" s="29">
        <v>3.5</v>
      </c>
      <c r="Q83" s="29">
        <v>11</v>
      </c>
    </row>
    <row r="84" spans="1:17" x14ac:dyDescent="0.35">
      <c r="A84" s="26">
        <v>40000002511</v>
      </c>
      <c r="B84" s="31">
        <v>1</v>
      </c>
      <c r="C84" s="29" t="str">
        <f>LOOKUP(A84,'QALS - Inspection Lot Record'!$A$2:$A$361,'QALS - Inspection Lot Record'!$O$2:$O$361)</f>
        <v>Ibuprofen Tablets (100 MG)</v>
      </c>
      <c r="D84" s="31">
        <v>30</v>
      </c>
      <c r="E84" s="29" t="s">
        <v>401</v>
      </c>
      <c r="F84" s="29" t="str">
        <f>LOOKUP(A84,'QALS - Inspection Lot Record'!A:A,'QALS - Inspection Lot Record'!G:G)</f>
        <v>TP397880</v>
      </c>
      <c r="G84" s="59">
        <f ca="1">LOOKUP(A84,'QALS - Inspection Lot Record'!A:A,'QALS - Inspection Lot Record'!E:E)</f>
        <v>45875</v>
      </c>
      <c r="H84" s="34" t="str">
        <f t="shared" si="5"/>
        <v>A</v>
      </c>
      <c r="I84" s="29" t="str">
        <f t="shared" si="6"/>
        <v>TP397880</v>
      </c>
      <c r="J84" s="59">
        <f t="shared" ca="1" si="7"/>
        <v>45875</v>
      </c>
      <c r="K84" s="30">
        <f ca="1">LOOKUP(A84,'QALS - Inspection Lot Record'!A:A,'QALS - Inspection Lot Record'!I:I)</f>
        <v>0.8372222222222222</v>
      </c>
      <c r="L84" s="59">
        <f t="shared" ca="1" si="8"/>
        <v>45875</v>
      </c>
      <c r="M84" s="30">
        <f t="shared" ca="1" si="9"/>
        <v>0.86040509259259257</v>
      </c>
      <c r="N84" s="11" t="s">
        <v>402</v>
      </c>
      <c r="O84" s="31"/>
      <c r="P84" s="29"/>
      <c r="Q84" s="29"/>
    </row>
    <row r="85" spans="1:17" x14ac:dyDescent="0.35">
      <c r="A85" s="26">
        <v>40000002511</v>
      </c>
      <c r="B85" s="31">
        <v>1</v>
      </c>
      <c r="C85" s="29" t="str">
        <f>LOOKUP(A85,'QALS - Inspection Lot Record'!$A$2:$A$361,'QALS - Inspection Lot Record'!$O$2:$O$361)</f>
        <v>Ibuprofen Tablets (100 MG)</v>
      </c>
      <c r="D85" s="31">
        <v>40</v>
      </c>
      <c r="E85" s="29" t="s">
        <v>403</v>
      </c>
      <c r="F85" s="29" t="str">
        <f>LOOKUP(A85,'QALS - Inspection Lot Record'!A:A,'QALS - Inspection Lot Record'!G:G)</f>
        <v>TP397880</v>
      </c>
      <c r="G85" s="59">
        <f ca="1">LOOKUP(A85,'QALS - Inspection Lot Record'!A:A,'QALS - Inspection Lot Record'!E:E)</f>
        <v>45875</v>
      </c>
      <c r="H85" s="34" t="str">
        <f t="shared" si="5"/>
        <v>A</v>
      </c>
      <c r="I85" s="29" t="str">
        <f t="shared" si="6"/>
        <v>TP397880</v>
      </c>
      <c r="J85" s="59">
        <f t="shared" ca="1" si="7"/>
        <v>45875</v>
      </c>
      <c r="K85" s="30">
        <f ca="1">LOOKUP(A85,'QALS - Inspection Lot Record'!A:A,'QALS - Inspection Lot Record'!I:I)</f>
        <v>0.8372222222222222</v>
      </c>
      <c r="L85" s="59">
        <f t="shared" ca="1" si="8"/>
        <v>45875</v>
      </c>
      <c r="M85" s="30">
        <f t="shared" ca="1" si="9"/>
        <v>0.8712847222222222</v>
      </c>
      <c r="N85" s="31"/>
      <c r="O85" s="31">
        <v>0.5</v>
      </c>
      <c r="P85" s="29">
        <v>0</v>
      </c>
      <c r="Q85" s="29">
        <v>1</v>
      </c>
    </row>
    <row r="86" spans="1:17" x14ac:dyDescent="0.35">
      <c r="A86" s="26">
        <v>40000002511</v>
      </c>
      <c r="B86" s="31">
        <v>1</v>
      </c>
      <c r="C86" s="29" t="str">
        <f>LOOKUP(A86,'QALS - Inspection Lot Record'!$A$2:$A$361,'QALS - Inspection Lot Record'!$O$2:$O$361)</f>
        <v>Ibuprofen Tablets (100 MG)</v>
      </c>
      <c r="D86" s="31">
        <v>50</v>
      </c>
      <c r="E86" s="29" t="s">
        <v>404</v>
      </c>
      <c r="F86" s="29" t="str">
        <f>LOOKUP(A86,'QALS - Inspection Lot Record'!A:A,'QALS - Inspection Lot Record'!G:G)</f>
        <v>TP397880</v>
      </c>
      <c r="G86" s="59">
        <f ca="1">LOOKUP(A86,'QALS - Inspection Lot Record'!A:A,'QALS - Inspection Lot Record'!E:E)</f>
        <v>45875</v>
      </c>
      <c r="H86" s="34" t="str">
        <f t="shared" si="5"/>
        <v>A</v>
      </c>
      <c r="I86" s="29" t="str">
        <f t="shared" si="6"/>
        <v>TP397880</v>
      </c>
      <c r="J86" s="59">
        <f t="shared" ca="1" si="7"/>
        <v>45875</v>
      </c>
      <c r="K86" s="30">
        <f ca="1">LOOKUP(A86,'QALS - Inspection Lot Record'!A:A,'QALS - Inspection Lot Record'!I:I)</f>
        <v>0.8372222222222222</v>
      </c>
      <c r="L86" s="59">
        <f t="shared" ca="1" si="8"/>
        <v>45875</v>
      </c>
      <c r="M86" s="30">
        <f t="shared" ca="1" si="9"/>
        <v>0.85650462962962959</v>
      </c>
      <c r="N86" s="31"/>
      <c r="O86" s="31">
        <v>41.5</v>
      </c>
      <c r="P86" s="29">
        <v>40</v>
      </c>
      <c r="Q86" s="29">
        <v>60</v>
      </c>
    </row>
    <row r="87" spans="1:17" x14ac:dyDescent="0.35">
      <c r="A87" s="26">
        <v>40000002511</v>
      </c>
      <c r="B87" s="31">
        <v>1</v>
      </c>
      <c r="C87" s="29" t="str">
        <f>LOOKUP(A87,'QALS - Inspection Lot Record'!$A$2:$A$361,'QALS - Inspection Lot Record'!$O$2:$O$361)</f>
        <v>Ibuprofen Tablets (100 MG)</v>
      </c>
      <c r="D87" s="31">
        <v>60</v>
      </c>
      <c r="E87" s="29" t="s">
        <v>405</v>
      </c>
      <c r="F87" s="29" t="str">
        <f>LOOKUP(A87,'QALS - Inspection Lot Record'!A:A,'QALS - Inspection Lot Record'!G:G)</f>
        <v>TP397880</v>
      </c>
      <c r="G87" s="59">
        <f ca="1">LOOKUP(A87,'QALS - Inspection Lot Record'!A:A,'QALS - Inspection Lot Record'!E:E)</f>
        <v>45875</v>
      </c>
      <c r="H87" s="34" t="str">
        <f t="shared" si="5"/>
        <v>A</v>
      </c>
      <c r="I87" s="29" t="str">
        <f t="shared" si="6"/>
        <v>TP397880</v>
      </c>
      <c r="J87" s="59">
        <f t="shared" ca="1" si="7"/>
        <v>45875</v>
      </c>
      <c r="K87" s="30">
        <f ca="1">LOOKUP(A87,'QALS - Inspection Lot Record'!A:A,'QALS - Inspection Lot Record'!I:I)</f>
        <v>0.8372222222222222</v>
      </c>
      <c r="L87" s="59">
        <f t="shared" ca="1" si="8"/>
        <v>45875</v>
      </c>
      <c r="M87" s="30">
        <f t="shared" ca="1" si="9"/>
        <v>0.85513888888888889</v>
      </c>
      <c r="N87" s="31"/>
      <c r="O87" s="31">
        <v>71.8</v>
      </c>
      <c r="P87" s="29">
        <v>70</v>
      </c>
      <c r="Q87" s="29">
        <v>85</v>
      </c>
    </row>
    <row r="88" spans="1:17" x14ac:dyDescent="0.35">
      <c r="A88" s="26">
        <v>40000002511</v>
      </c>
      <c r="B88" s="31">
        <v>1</v>
      </c>
      <c r="C88" s="29" t="str">
        <f>LOOKUP(A88,'QALS - Inspection Lot Record'!$A$2:$A$361,'QALS - Inspection Lot Record'!$O$2:$O$361)</f>
        <v>Ibuprofen Tablets (100 MG)</v>
      </c>
      <c r="D88" s="31">
        <v>70</v>
      </c>
      <c r="E88" s="29" t="s">
        <v>406</v>
      </c>
      <c r="F88" s="29" t="str">
        <f>LOOKUP(A88,'QALS - Inspection Lot Record'!A:A,'QALS - Inspection Lot Record'!G:G)</f>
        <v>TP397880</v>
      </c>
      <c r="G88" s="59">
        <f ca="1">LOOKUP(A88,'QALS - Inspection Lot Record'!A:A,'QALS - Inspection Lot Record'!E:E)</f>
        <v>45875</v>
      </c>
      <c r="H88" s="34" t="str">
        <f t="shared" si="5"/>
        <v>A</v>
      </c>
      <c r="I88" s="29" t="str">
        <f t="shared" si="6"/>
        <v>TP397880</v>
      </c>
      <c r="J88" s="59">
        <f t="shared" ca="1" si="7"/>
        <v>45875</v>
      </c>
      <c r="K88" s="30">
        <f ca="1">LOOKUP(A88,'QALS - Inspection Lot Record'!A:A,'QALS - Inspection Lot Record'!I:I)</f>
        <v>0.8372222222222222</v>
      </c>
      <c r="L88" s="59">
        <f t="shared" ca="1" si="8"/>
        <v>45875</v>
      </c>
      <c r="M88" s="30">
        <f t="shared" ca="1" si="9"/>
        <v>0.86077546296296292</v>
      </c>
      <c r="N88" s="31"/>
      <c r="O88" s="31">
        <v>81.099999999999994</v>
      </c>
      <c r="P88" s="29">
        <v>80</v>
      </c>
      <c r="Q88" s="29">
        <v>90</v>
      </c>
    </row>
    <row r="89" spans="1:17" x14ac:dyDescent="0.35">
      <c r="A89" s="26">
        <v>40000002511</v>
      </c>
      <c r="B89" s="31">
        <v>1</v>
      </c>
      <c r="C89" s="29" t="str">
        <f>LOOKUP(A89,'QALS - Inspection Lot Record'!$A$2:$A$361,'QALS - Inspection Lot Record'!$O$2:$O$361)</f>
        <v>Ibuprofen Tablets (100 MG)</v>
      </c>
      <c r="D89" s="31">
        <v>80</v>
      </c>
      <c r="E89" s="29" t="s">
        <v>407</v>
      </c>
      <c r="F89" s="29" t="str">
        <f>LOOKUP(A89,'QALS - Inspection Lot Record'!A:A,'QALS - Inspection Lot Record'!G:G)</f>
        <v>TP397880</v>
      </c>
      <c r="G89" s="59">
        <f ca="1">LOOKUP(A89,'QALS - Inspection Lot Record'!A:A,'QALS - Inspection Lot Record'!E:E)</f>
        <v>45875</v>
      </c>
      <c r="H89" s="34" t="str">
        <f t="shared" si="5"/>
        <v>A</v>
      </c>
      <c r="I89" s="29" t="str">
        <f t="shared" si="6"/>
        <v>TP397880</v>
      </c>
      <c r="J89" s="59">
        <f t="shared" ca="1" si="7"/>
        <v>45875</v>
      </c>
      <c r="K89" s="30">
        <f ca="1">LOOKUP(A89,'QALS - Inspection Lot Record'!A:A,'QALS - Inspection Lot Record'!I:I)</f>
        <v>0.8372222222222222</v>
      </c>
      <c r="L89" s="59">
        <f t="shared" ca="1" si="8"/>
        <v>45875</v>
      </c>
      <c r="M89" s="30">
        <f t="shared" ca="1" si="9"/>
        <v>0.8556597222222222</v>
      </c>
      <c r="N89" s="31"/>
      <c r="O89" s="31">
        <v>24</v>
      </c>
      <c r="P89" s="29">
        <v>23</v>
      </c>
      <c r="Q89" s="29">
        <v>25</v>
      </c>
    </row>
    <row r="90" spans="1:17" x14ac:dyDescent="0.35">
      <c r="A90" s="26">
        <v>40000002512</v>
      </c>
      <c r="B90" s="27">
        <v>1</v>
      </c>
      <c r="C90" s="29" t="str">
        <f>LOOKUP(A90,'QALS - Inspection Lot Record'!$A$2:$A$361,'QALS - Inspection Lot Record'!$O$2:$O$361)</f>
        <v>Metformin Tablets (100 MG)</v>
      </c>
      <c r="D90" s="27">
        <v>10</v>
      </c>
      <c r="E90" s="26" t="s">
        <v>399</v>
      </c>
      <c r="F90" s="29" t="str">
        <f>LOOKUP(A90,'QALS - Inspection Lot Record'!A:A,'QALS - Inspection Lot Record'!G:G)</f>
        <v>TG509538</v>
      </c>
      <c r="G90" s="59">
        <f ca="1">LOOKUP(A90,'QALS - Inspection Lot Record'!A:A,'QALS - Inspection Lot Record'!E:E)</f>
        <v>45875</v>
      </c>
      <c r="H90" s="34" t="str">
        <f t="shared" si="5"/>
        <v>R</v>
      </c>
      <c r="I90" s="29" t="str">
        <f t="shared" si="6"/>
        <v>TG509538</v>
      </c>
      <c r="J90" s="59">
        <f t="shared" ca="1" si="7"/>
        <v>45875</v>
      </c>
      <c r="K90" s="30">
        <f ca="1">LOOKUP(A90,'QALS - Inspection Lot Record'!A:A,'QALS - Inspection Lot Record'!I:I)</f>
        <v>0.105625</v>
      </c>
      <c r="L90" s="59">
        <f t="shared" ca="1" si="8"/>
        <v>45875</v>
      </c>
      <c r="M90" s="30">
        <f t="shared" ca="1" si="9"/>
        <v>0.13488425925925926</v>
      </c>
      <c r="N90" s="31"/>
      <c r="O90" s="31">
        <v>93.2</v>
      </c>
      <c r="P90" s="29">
        <v>95</v>
      </c>
      <c r="Q90" s="29">
        <v>102</v>
      </c>
    </row>
    <row r="91" spans="1:17" x14ac:dyDescent="0.35">
      <c r="A91" s="26">
        <v>40000002512</v>
      </c>
      <c r="B91" s="27">
        <v>1</v>
      </c>
      <c r="C91" s="29" t="str">
        <f>LOOKUP(A91,'QALS - Inspection Lot Record'!$A$2:$A$361,'QALS - Inspection Lot Record'!$O$2:$O$361)</f>
        <v>Metformin Tablets (100 MG)</v>
      </c>
      <c r="D91" s="31">
        <v>20</v>
      </c>
      <c r="E91" s="29" t="s">
        <v>400</v>
      </c>
      <c r="F91" s="29" t="str">
        <f>LOOKUP(A91,'QALS - Inspection Lot Record'!A:A,'QALS - Inspection Lot Record'!G:G)</f>
        <v>TG509538</v>
      </c>
      <c r="G91" s="59">
        <f ca="1">LOOKUP(A91,'QALS - Inspection Lot Record'!A:A,'QALS - Inspection Lot Record'!E:E)</f>
        <v>45875</v>
      </c>
      <c r="H91" s="34" t="str">
        <f t="shared" si="5"/>
        <v>A</v>
      </c>
      <c r="I91" s="29" t="str">
        <f t="shared" si="6"/>
        <v>TG509538</v>
      </c>
      <c r="J91" s="59">
        <f t="shared" ca="1" si="7"/>
        <v>45875</v>
      </c>
      <c r="K91" s="30">
        <f ca="1">LOOKUP(A91,'QALS - Inspection Lot Record'!A:A,'QALS - Inspection Lot Record'!I:I)</f>
        <v>0.105625</v>
      </c>
      <c r="L91" s="59">
        <f t="shared" ca="1" si="8"/>
        <v>45875</v>
      </c>
      <c r="M91" s="30">
        <f t="shared" ca="1" si="9"/>
        <v>0.13496527777777778</v>
      </c>
      <c r="N91" s="31"/>
      <c r="O91" s="31">
        <v>7.3</v>
      </c>
      <c r="P91" s="29">
        <v>3.5</v>
      </c>
      <c r="Q91" s="29">
        <v>11</v>
      </c>
    </row>
    <row r="92" spans="1:17" x14ac:dyDescent="0.35">
      <c r="A92" s="26">
        <v>40000002512</v>
      </c>
      <c r="B92" s="31">
        <v>1</v>
      </c>
      <c r="C92" s="29" t="str">
        <f>LOOKUP(A92,'QALS - Inspection Lot Record'!$A$2:$A$361,'QALS - Inspection Lot Record'!$O$2:$O$361)</f>
        <v>Metformin Tablets (100 MG)</v>
      </c>
      <c r="D92" s="31">
        <v>30</v>
      </c>
      <c r="E92" s="29" t="s">
        <v>401</v>
      </c>
      <c r="F92" s="29" t="str">
        <f>LOOKUP(A92,'QALS - Inspection Lot Record'!A:A,'QALS - Inspection Lot Record'!G:G)</f>
        <v>TG509538</v>
      </c>
      <c r="G92" s="59">
        <f ca="1">LOOKUP(A92,'QALS - Inspection Lot Record'!A:A,'QALS - Inspection Lot Record'!E:E)</f>
        <v>45875</v>
      </c>
      <c r="H92" s="34" t="str">
        <f t="shared" si="5"/>
        <v>A</v>
      </c>
      <c r="I92" s="29" t="str">
        <f t="shared" si="6"/>
        <v>TG509538</v>
      </c>
      <c r="J92" s="59">
        <f t="shared" ca="1" si="7"/>
        <v>45875</v>
      </c>
      <c r="K92" s="30">
        <f ca="1">LOOKUP(A92,'QALS - Inspection Lot Record'!A:A,'QALS - Inspection Lot Record'!I:I)</f>
        <v>0.105625</v>
      </c>
      <c r="L92" s="59">
        <f t="shared" ca="1" si="8"/>
        <v>45875</v>
      </c>
      <c r="M92" s="30">
        <f t="shared" ca="1" si="9"/>
        <v>0.12646990740740741</v>
      </c>
      <c r="N92" s="11" t="s">
        <v>402</v>
      </c>
      <c r="O92" s="31"/>
      <c r="P92" s="29"/>
      <c r="Q92" s="29"/>
    </row>
    <row r="93" spans="1:17" x14ac:dyDescent="0.35">
      <c r="A93" s="26">
        <v>40000002512</v>
      </c>
      <c r="B93" s="31">
        <v>1</v>
      </c>
      <c r="C93" s="29" t="str">
        <f>LOOKUP(A93,'QALS - Inspection Lot Record'!$A$2:$A$361,'QALS - Inspection Lot Record'!$O$2:$O$361)</f>
        <v>Metformin Tablets (100 MG)</v>
      </c>
      <c r="D93" s="31">
        <v>40</v>
      </c>
      <c r="E93" s="29" t="s">
        <v>403</v>
      </c>
      <c r="F93" s="29" t="str">
        <f>LOOKUP(A93,'QALS - Inspection Lot Record'!A:A,'QALS - Inspection Lot Record'!G:G)</f>
        <v>TG509538</v>
      </c>
      <c r="G93" s="59">
        <f ca="1">LOOKUP(A93,'QALS - Inspection Lot Record'!A:A,'QALS - Inspection Lot Record'!E:E)</f>
        <v>45875</v>
      </c>
      <c r="H93" s="34" t="str">
        <f t="shared" si="5"/>
        <v>A</v>
      </c>
      <c r="I93" s="29" t="str">
        <f t="shared" si="6"/>
        <v>TG509538</v>
      </c>
      <c r="J93" s="59">
        <f t="shared" ca="1" si="7"/>
        <v>45875</v>
      </c>
      <c r="K93" s="30">
        <f ca="1">LOOKUP(A93,'QALS - Inspection Lot Record'!A:A,'QALS - Inspection Lot Record'!I:I)</f>
        <v>0.105625</v>
      </c>
      <c r="L93" s="59">
        <f t="shared" ca="1" si="8"/>
        <v>45875</v>
      </c>
      <c r="M93" s="30">
        <f t="shared" ca="1" si="9"/>
        <v>0.13771990740740742</v>
      </c>
      <c r="N93" s="31"/>
      <c r="O93" s="31">
        <v>0.5</v>
      </c>
      <c r="P93" s="29">
        <v>0</v>
      </c>
      <c r="Q93" s="29">
        <v>1</v>
      </c>
    </row>
    <row r="94" spans="1:17" x14ac:dyDescent="0.35">
      <c r="A94" s="26">
        <v>40000002512</v>
      </c>
      <c r="B94" s="31">
        <v>1</v>
      </c>
      <c r="C94" s="29" t="str">
        <f>LOOKUP(A94,'QALS - Inspection Lot Record'!$A$2:$A$361,'QALS - Inspection Lot Record'!$O$2:$O$361)</f>
        <v>Metformin Tablets (100 MG)</v>
      </c>
      <c r="D94" s="31">
        <v>50</v>
      </c>
      <c r="E94" s="29" t="s">
        <v>404</v>
      </c>
      <c r="F94" s="29" t="str">
        <f>LOOKUP(A94,'QALS - Inspection Lot Record'!A:A,'QALS - Inspection Lot Record'!G:G)</f>
        <v>TG509538</v>
      </c>
      <c r="G94" s="59">
        <f ca="1">LOOKUP(A94,'QALS - Inspection Lot Record'!A:A,'QALS - Inspection Lot Record'!E:E)</f>
        <v>45875</v>
      </c>
      <c r="H94" s="34" t="str">
        <f t="shared" si="5"/>
        <v>A</v>
      </c>
      <c r="I94" s="29" t="str">
        <f t="shared" si="6"/>
        <v>TG509538</v>
      </c>
      <c r="J94" s="59">
        <f t="shared" ca="1" si="7"/>
        <v>45875</v>
      </c>
      <c r="K94" s="30">
        <f ca="1">LOOKUP(A94,'QALS - Inspection Lot Record'!A:A,'QALS - Inspection Lot Record'!I:I)</f>
        <v>0.105625</v>
      </c>
      <c r="L94" s="59">
        <f t="shared" ca="1" si="8"/>
        <v>45875</v>
      </c>
      <c r="M94" s="30">
        <f t="shared" ca="1" si="9"/>
        <v>0.13898148148148148</v>
      </c>
      <c r="N94" s="31"/>
      <c r="O94" s="31">
        <v>41.7</v>
      </c>
      <c r="P94" s="29">
        <v>40</v>
      </c>
      <c r="Q94" s="29">
        <v>60</v>
      </c>
    </row>
    <row r="95" spans="1:17" x14ac:dyDescent="0.35">
      <c r="A95" s="26">
        <v>40000002512</v>
      </c>
      <c r="B95" s="31">
        <v>1</v>
      </c>
      <c r="C95" s="29" t="str">
        <f>LOOKUP(A95,'QALS - Inspection Lot Record'!$A$2:$A$361,'QALS - Inspection Lot Record'!$O$2:$O$361)</f>
        <v>Metformin Tablets (100 MG)</v>
      </c>
      <c r="D95" s="31">
        <v>60</v>
      </c>
      <c r="E95" s="29" t="s">
        <v>405</v>
      </c>
      <c r="F95" s="29" t="str">
        <f>LOOKUP(A95,'QALS - Inspection Lot Record'!A:A,'QALS - Inspection Lot Record'!G:G)</f>
        <v>TG509538</v>
      </c>
      <c r="G95" s="59">
        <f ca="1">LOOKUP(A95,'QALS - Inspection Lot Record'!A:A,'QALS - Inspection Lot Record'!E:E)</f>
        <v>45875</v>
      </c>
      <c r="H95" s="34" t="str">
        <f t="shared" si="5"/>
        <v>A</v>
      </c>
      <c r="I95" s="29" t="str">
        <f t="shared" si="6"/>
        <v>TG509538</v>
      </c>
      <c r="J95" s="59">
        <f t="shared" ca="1" si="7"/>
        <v>45875</v>
      </c>
      <c r="K95" s="30">
        <f ca="1">LOOKUP(A95,'QALS - Inspection Lot Record'!A:A,'QALS - Inspection Lot Record'!I:I)</f>
        <v>0.105625</v>
      </c>
      <c r="L95" s="59">
        <f t="shared" ca="1" si="8"/>
        <v>45875</v>
      </c>
      <c r="M95" s="30">
        <f t="shared" ca="1" si="9"/>
        <v>0.13061342592592592</v>
      </c>
      <c r="N95" s="31"/>
      <c r="O95" s="31">
        <v>71.2</v>
      </c>
      <c r="P95" s="29">
        <v>70</v>
      </c>
      <c r="Q95" s="29">
        <v>85</v>
      </c>
    </row>
    <row r="96" spans="1:17" x14ac:dyDescent="0.35">
      <c r="A96" s="26">
        <v>40000002512</v>
      </c>
      <c r="B96" s="31">
        <v>1</v>
      </c>
      <c r="C96" s="29" t="str">
        <f>LOOKUP(A96,'QALS - Inspection Lot Record'!$A$2:$A$361,'QALS - Inspection Lot Record'!$O$2:$O$361)</f>
        <v>Metformin Tablets (100 MG)</v>
      </c>
      <c r="D96" s="31">
        <v>70</v>
      </c>
      <c r="E96" s="29" t="s">
        <v>406</v>
      </c>
      <c r="F96" s="29" t="str">
        <f>LOOKUP(A96,'QALS - Inspection Lot Record'!A:A,'QALS - Inspection Lot Record'!G:G)</f>
        <v>TG509538</v>
      </c>
      <c r="G96" s="59">
        <f ca="1">LOOKUP(A96,'QALS - Inspection Lot Record'!A:A,'QALS - Inspection Lot Record'!E:E)</f>
        <v>45875</v>
      </c>
      <c r="H96" s="34" t="str">
        <f t="shared" si="5"/>
        <v>A</v>
      </c>
      <c r="I96" s="29" t="str">
        <f t="shared" si="6"/>
        <v>TG509538</v>
      </c>
      <c r="J96" s="59">
        <f t="shared" ca="1" si="7"/>
        <v>45875</v>
      </c>
      <c r="K96" s="30">
        <f ca="1">LOOKUP(A96,'QALS - Inspection Lot Record'!A:A,'QALS - Inspection Lot Record'!I:I)</f>
        <v>0.105625</v>
      </c>
      <c r="L96" s="59">
        <f t="shared" ca="1" si="8"/>
        <v>45875</v>
      </c>
      <c r="M96" s="30">
        <f t="shared" ca="1" si="9"/>
        <v>0.12855324074074073</v>
      </c>
      <c r="N96" s="31"/>
      <c r="O96" s="31">
        <v>81.599999999999994</v>
      </c>
      <c r="P96" s="29">
        <v>80</v>
      </c>
      <c r="Q96" s="29">
        <v>90</v>
      </c>
    </row>
    <row r="97" spans="1:17" x14ac:dyDescent="0.35">
      <c r="A97" s="26">
        <v>40000002512</v>
      </c>
      <c r="B97" s="31">
        <v>1</v>
      </c>
      <c r="C97" s="29" t="str">
        <f>LOOKUP(A97,'QALS - Inspection Lot Record'!$A$2:$A$361,'QALS - Inspection Lot Record'!$O$2:$O$361)</f>
        <v>Metformin Tablets (100 MG)</v>
      </c>
      <c r="D97" s="31">
        <v>80</v>
      </c>
      <c r="E97" s="29" t="s">
        <v>407</v>
      </c>
      <c r="F97" s="29" t="str">
        <f>LOOKUP(A97,'QALS - Inspection Lot Record'!A:A,'QALS - Inspection Lot Record'!G:G)</f>
        <v>TG509538</v>
      </c>
      <c r="G97" s="59">
        <f ca="1">LOOKUP(A97,'QALS - Inspection Lot Record'!A:A,'QALS - Inspection Lot Record'!E:E)</f>
        <v>45875</v>
      </c>
      <c r="H97" s="34" t="str">
        <f t="shared" si="5"/>
        <v>A</v>
      </c>
      <c r="I97" s="29" t="str">
        <f t="shared" si="6"/>
        <v>TG509538</v>
      </c>
      <c r="J97" s="59">
        <f t="shared" ca="1" si="7"/>
        <v>45875</v>
      </c>
      <c r="K97" s="30">
        <f ca="1">LOOKUP(A97,'QALS - Inspection Lot Record'!A:A,'QALS - Inspection Lot Record'!I:I)</f>
        <v>0.105625</v>
      </c>
      <c r="L97" s="59">
        <f t="shared" ca="1" si="8"/>
        <v>45875</v>
      </c>
      <c r="M97" s="30">
        <f t="shared" ca="1" si="9"/>
        <v>0.12636574074074075</v>
      </c>
      <c r="N97" s="31"/>
      <c r="O97" s="31">
        <v>24</v>
      </c>
      <c r="P97" s="29">
        <v>23</v>
      </c>
      <c r="Q97" s="29">
        <v>25</v>
      </c>
    </row>
    <row r="98" spans="1:17" x14ac:dyDescent="0.35">
      <c r="A98" s="26">
        <v>40000002513</v>
      </c>
      <c r="B98" s="27">
        <v>1</v>
      </c>
      <c r="C98" s="29" t="str">
        <f>LOOKUP(A98,'QALS - Inspection Lot Record'!$A$2:$A$361,'QALS - Inspection Lot Record'!$O$2:$O$361)</f>
        <v>Metformin Tablets (500 MG)</v>
      </c>
      <c r="D98" s="27">
        <v>10</v>
      </c>
      <c r="E98" s="26" t="s">
        <v>399</v>
      </c>
      <c r="F98" s="29" t="str">
        <f>LOOKUP(A98,'QALS - Inspection Lot Record'!A:A,'QALS - Inspection Lot Record'!G:G)</f>
        <v>ZK384180</v>
      </c>
      <c r="G98" s="59">
        <f ca="1">LOOKUP(A98,'QALS - Inspection Lot Record'!A:A,'QALS - Inspection Lot Record'!E:E)</f>
        <v>45876</v>
      </c>
      <c r="H98" s="34" t="str">
        <f t="shared" si="5"/>
        <v>A</v>
      </c>
      <c r="I98" s="29" t="str">
        <f t="shared" si="6"/>
        <v>ZK384180</v>
      </c>
      <c r="J98" s="59">
        <f t="shared" ca="1" si="7"/>
        <v>45876</v>
      </c>
      <c r="K98" s="30">
        <f ca="1">LOOKUP(A98,'QALS - Inspection Lot Record'!A:A,'QALS - Inspection Lot Record'!I:I)</f>
        <v>0.76216435185185183</v>
      </c>
      <c r="L98" s="59">
        <f t="shared" ca="1" si="8"/>
        <v>45876</v>
      </c>
      <c r="M98" s="30">
        <f t="shared" ca="1" si="9"/>
        <v>0.79634259259259255</v>
      </c>
      <c r="N98" s="31"/>
      <c r="O98" s="31">
        <v>100</v>
      </c>
      <c r="P98" s="29">
        <v>95</v>
      </c>
      <c r="Q98" s="29">
        <v>105</v>
      </c>
    </row>
    <row r="99" spans="1:17" x14ac:dyDescent="0.35">
      <c r="A99" s="26">
        <v>40000002513</v>
      </c>
      <c r="B99" s="27">
        <v>1</v>
      </c>
      <c r="C99" s="29" t="str">
        <f>LOOKUP(A99,'QALS - Inspection Lot Record'!$A$2:$A$361,'QALS - Inspection Lot Record'!$O$2:$O$361)</f>
        <v>Metformin Tablets (500 MG)</v>
      </c>
      <c r="D99" s="31">
        <v>20</v>
      </c>
      <c r="E99" s="29" t="s">
        <v>400</v>
      </c>
      <c r="F99" s="29" t="str">
        <f>LOOKUP(A99,'QALS - Inspection Lot Record'!A:A,'QALS - Inspection Lot Record'!G:G)</f>
        <v>ZK384180</v>
      </c>
      <c r="G99" s="59">
        <f ca="1">LOOKUP(A99,'QALS - Inspection Lot Record'!A:A,'QALS - Inspection Lot Record'!E:E)</f>
        <v>45876</v>
      </c>
      <c r="H99" s="34" t="str">
        <f t="shared" si="5"/>
        <v>A</v>
      </c>
      <c r="I99" s="29" t="str">
        <f t="shared" si="6"/>
        <v>ZK384180</v>
      </c>
      <c r="J99" s="59">
        <f t="shared" ca="1" si="7"/>
        <v>45876</v>
      </c>
      <c r="K99" s="30">
        <f ca="1">LOOKUP(A99,'QALS - Inspection Lot Record'!A:A,'QALS - Inspection Lot Record'!I:I)</f>
        <v>0.76216435185185183</v>
      </c>
      <c r="L99" s="59">
        <f t="shared" ca="1" si="8"/>
        <v>45876</v>
      </c>
      <c r="M99" s="30">
        <f t="shared" ca="1" si="9"/>
        <v>0.79685185185185181</v>
      </c>
      <c r="N99" s="31"/>
      <c r="O99" s="31">
        <v>7.25</v>
      </c>
      <c r="P99" s="29">
        <v>3.5</v>
      </c>
      <c r="Q99" s="29">
        <v>11</v>
      </c>
    </row>
    <row r="100" spans="1:17" x14ac:dyDescent="0.35">
      <c r="A100" s="26">
        <v>40000002513</v>
      </c>
      <c r="B100" s="31">
        <v>1</v>
      </c>
      <c r="C100" s="29" t="str">
        <f>LOOKUP(A100,'QALS - Inspection Lot Record'!$A$2:$A$361,'QALS - Inspection Lot Record'!$O$2:$O$361)</f>
        <v>Metformin Tablets (500 MG)</v>
      </c>
      <c r="D100" s="31">
        <v>30</v>
      </c>
      <c r="E100" s="29" t="s">
        <v>401</v>
      </c>
      <c r="F100" s="29" t="str">
        <f>LOOKUP(A100,'QALS - Inspection Lot Record'!A:A,'QALS - Inspection Lot Record'!G:G)</f>
        <v>ZK384180</v>
      </c>
      <c r="G100" s="59">
        <f ca="1">LOOKUP(A100,'QALS - Inspection Lot Record'!A:A,'QALS - Inspection Lot Record'!E:E)</f>
        <v>45876</v>
      </c>
      <c r="H100" s="34" t="str">
        <f t="shared" si="5"/>
        <v>A</v>
      </c>
      <c r="I100" s="29" t="str">
        <f t="shared" si="6"/>
        <v>ZK384180</v>
      </c>
      <c r="J100" s="59">
        <f t="shared" ca="1" si="7"/>
        <v>45876</v>
      </c>
      <c r="K100" s="30">
        <f ca="1">LOOKUP(A100,'QALS - Inspection Lot Record'!A:A,'QALS - Inspection Lot Record'!I:I)</f>
        <v>0.76216435185185183</v>
      </c>
      <c r="L100" s="59">
        <f t="shared" ca="1" si="8"/>
        <v>45876</v>
      </c>
      <c r="M100" s="30">
        <f t="shared" ca="1" si="9"/>
        <v>0.79001157407407407</v>
      </c>
      <c r="N100" s="11" t="s">
        <v>402</v>
      </c>
      <c r="O100" s="31"/>
      <c r="P100" s="29"/>
      <c r="Q100" s="29"/>
    </row>
    <row r="101" spans="1:17" x14ac:dyDescent="0.35">
      <c r="A101" s="26">
        <v>40000002513</v>
      </c>
      <c r="B101" s="31">
        <v>1</v>
      </c>
      <c r="C101" s="29" t="str">
        <f>LOOKUP(A101,'QALS - Inspection Lot Record'!$A$2:$A$361,'QALS - Inspection Lot Record'!$O$2:$O$361)</f>
        <v>Metformin Tablets (500 MG)</v>
      </c>
      <c r="D101" s="31">
        <v>40</v>
      </c>
      <c r="E101" s="29" t="s">
        <v>403</v>
      </c>
      <c r="F101" s="29" t="str">
        <f>LOOKUP(A101,'QALS - Inspection Lot Record'!A:A,'QALS - Inspection Lot Record'!G:G)</f>
        <v>ZK384180</v>
      </c>
      <c r="G101" s="59">
        <f ca="1">LOOKUP(A101,'QALS - Inspection Lot Record'!A:A,'QALS - Inspection Lot Record'!E:E)</f>
        <v>45876</v>
      </c>
      <c r="H101" s="34" t="str">
        <f t="shared" si="5"/>
        <v>A</v>
      </c>
      <c r="I101" s="29" t="str">
        <f t="shared" si="6"/>
        <v>ZK384180</v>
      </c>
      <c r="J101" s="59">
        <f t="shared" ca="1" si="7"/>
        <v>45876</v>
      </c>
      <c r="K101" s="30">
        <f ca="1">LOOKUP(A101,'QALS - Inspection Lot Record'!A:A,'QALS - Inspection Lot Record'!I:I)</f>
        <v>0.76216435185185183</v>
      </c>
      <c r="L101" s="59">
        <f t="shared" ca="1" si="8"/>
        <v>45876</v>
      </c>
      <c r="M101" s="30">
        <f t="shared" ca="1" si="9"/>
        <v>0.78434027777777771</v>
      </c>
      <c r="N101" s="31"/>
      <c r="O101" s="31">
        <v>0</v>
      </c>
      <c r="P101" s="29">
        <v>0</v>
      </c>
      <c r="Q101" s="29">
        <v>2</v>
      </c>
    </row>
    <row r="102" spans="1:17" x14ac:dyDescent="0.35">
      <c r="A102" s="26">
        <v>40000002513</v>
      </c>
      <c r="B102" s="31">
        <v>1</v>
      </c>
      <c r="C102" s="29" t="str">
        <f>LOOKUP(A102,'QALS - Inspection Lot Record'!$A$2:$A$361,'QALS - Inspection Lot Record'!$O$2:$O$361)</f>
        <v>Metformin Tablets (500 MG)</v>
      </c>
      <c r="D102" s="31">
        <v>50</v>
      </c>
      <c r="E102" s="29" t="s">
        <v>404</v>
      </c>
      <c r="F102" s="29" t="str">
        <f>LOOKUP(A102,'QALS - Inspection Lot Record'!A:A,'QALS - Inspection Lot Record'!G:G)</f>
        <v>ZK384180</v>
      </c>
      <c r="G102" s="59">
        <f ca="1">LOOKUP(A102,'QALS - Inspection Lot Record'!A:A,'QALS - Inspection Lot Record'!E:E)</f>
        <v>45876</v>
      </c>
      <c r="H102" s="34" t="str">
        <f t="shared" si="5"/>
        <v>A</v>
      </c>
      <c r="I102" s="29" t="str">
        <f t="shared" si="6"/>
        <v>ZK384180</v>
      </c>
      <c r="J102" s="59">
        <f t="shared" ca="1" si="7"/>
        <v>45876</v>
      </c>
      <c r="K102" s="30">
        <f ca="1">LOOKUP(A102,'QALS - Inspection Lot Record'!A:A,'QALS - Inspection Lot Record'!I:I)</f>
        <v>0.76216435185185183</v>
      </c>
      <c r="L102" s="59">
        <f t="shared" ca="1" si="8"/>
        <v>45876</v>
      </c>
      <c r="M102" s="30">
        <f t="shared" ca="1" si="9"/>
        <v>0.79625000000000001</v>
      </c>
      <c r="N102" s="31"/>
      <c r="O102" s="31">
        <v>50</v>
      </c>
      <c r="P102" s="29">
        <v>40</v>
      </c>
      <c r="Q102" s="29">
        <v>60</v>
      </c>
    </row>
    <row r="103" spans="1:17" x14ac:dyDescent="0.35">
      <c r="A103" s="26">
        <v>40000002513</v>
      </c>
      <c r="B103" s="31">
        <v>1</v>
      </c>
      <c r="C103" s="29" t="str">
        <f>LOOKUP(A103,'QALS - Inspection Lot Record'!$A$2:$A$361,'QALS - Inspection Lot Record'!$O$2:$O$361)</f>
        <v>Metformin Tablets (500 MG)</v>
      </c>
      <c r="D103" s="31">
        <v>60</v>
      </c>
      <c r="E103" s="29" t="s">
        <v>405</v>
      </c>
      <c r="F103" s="29" t="str">
        <f>LOOKUP(A103,'QALS - Inspection Lot Record'!A:A,'QALS - Inspection Lot Record'!G:G)</f>
        <v>ZK384180</v>
      </c>
      <c r="G103" s="59">
        <f ca="1">LOOKUP(A103,'QALS - Inspection Lot Record'!A:A,'QALS - Inspection Lot Record'!E:E)</f>
        <v>45876</v>
      </c>
      <c r="H103" s="34" t="str">
        <f t="shared" si="5"/>
        <v>R</v>
      </c>
      <c r="I103" s="29" t="str">
        <f t="shared" si="6"/>
        <v>ZK384180</v>
      </c>
      <c r="J103" s="59">
        <f t="shared" ca="1" si="7"/>
        <v>45876</v>
      </c>
      <c r="K103" s="30">
        <f ca="1">LOOKUP(A103,'QALS - Inspection Lot Record'!A:A,'QALS - Inspection Lot Record'!I:I)</f>
        <v>0.76216435185185183</v>
      </c>
      <c r="L103" s="59">
        <f t="shared" ca="1" si="8"/>
        <v>45876</v>
      </c>
      <c r="M103" s="30">
        <f t="shared" ca="1" si="9"/>
        <v>0.79385416666666664</v>
      </c>
      <c r="N103" s="31"/>
      <c r="O103" s="31">
        <v>68.3</v>
      </c>
      <c r="P103" s="29">
        <v>70</v>
      </c>
      <c r="Q103" s="29">
        <v>85</v>
      </c>
    </row>
    <row r="104" spans="1:17" x14ac:dyDescent="0.35">
      <c r="A104" s="26">
        <v>40000002513</v>
      </c>
      <c r="B104" s="31">
        <v>1</v>
      </c>
      <c r="C104" s="29" t="str">
        <f>LOOKUP(A104,'QALS - Inspection Lot Record'!$A$2:$A$361,'QALS - Inspection Lot Record'!$O$2:$O$361)</f>
        <v>Metformin Tablets (500 MG)</v>
      </c>
      <c r="D104" s="31">
        <v>70</v>
      </c>
      <c r="E104" s="29" t="s">
        <v>406</v>
      </c>
      <c r="F104" s="29" t="str">
        <f>LOOKUP(A104,'QALS - Inspection Lot Record'!A:A,'QALS - Inspection Lot Record'!G:G)</f>
        <v>ZK384180</v>
      </c>
      <c r="G104" s="59">
        <f ca="1">LOOKUP(A104,'QALS - Inspection Lot Record'!A:A,'QALS - Inspection Lot Record'!E:E)</f>
        <v>45876</v>
      </c>
      <c r="H104" s="34" t="str">
        <f t="shared" si="5"/>
        <v>A</v>
      </c>
      <c r="I104" s="29" t="str">
        <f t="shared" si="6"/>
        <v>ZK384180</v>
      </c>
      <c r="J104" s="59">
        <f t="shared" ca="1" si="7"/>
        <v>45876</v>
      </c>
      <c r="K104" s="30">
        <f ca="1">LOOKUP(A104,'QALS - Inspection Lot Record'!A:A,'QALS - Inspection Lot Record'!I:I)</f>
        <v>0.76216435185185183</v>
      </c>
      <c r="L104" s="59">
        <f t="shared" ca="1" si="8"/>
        <v>45876</v>
      </c>
      <c r="M104" s="30">
        <f t="shared" ca="1" si="9"/>
        <v>0.78489583333333335</v>
      </c>
      <c r="N104" s="31"/>
      <c r="O104" s="31">
        <v>85</v>
      </c>
      <c r="P104" s="29">
        <v>80</v>
      </c>
      <c r="Q104" s="29">
        <v>90</v>
      </c>
    </row>
    <row r="105" spans="1:17" x14ac:dyDescent="0.35">
      <c r="A105" s="26">
        <v>40000002513</v>
      </c>
      <c r="B105" s="31">
        <v>1</v>
      </c>
      <c r="C105" s="29" t="str">
        <f>LOOKUP(A105,'QALS - Inspection Lot Record'!$A$2:$A$361,'QALS - Inspection Lot Record'!$O$2:$O$361)</f>
        <v>Metformin Tablets (500 MG)</v>
      </c>
      <c r="D105" s="31">
        <v>80</v>
      </c>
      <c r="E105" s="29" t="s">
        <v>407</v>
      </c>
      <c r="F105" s="29" t="str">
        <f>LOOKUP(A105,'QALS - Inspection Lot Record'!A:A,'QALS - Inspection Lot Record'!G:G)</f>
        <v>ZK384180</v>
      </c>
      <c r="G105" s="59">
        <f ca="1">LOOKUP(A105,'QALS - Inspection Lot Record'!A:A,'QALS - Inspection Lot Record'!E:E)</f>
        <v>45876</v>
      </c>
      <c r="H105" s="34" t="str">
        <f t="shared" si="5"/>
        <v>A</v>
      </c>
      <c r="I105" s="29" t="str">
        <f t="shared" si="6"/>
        <v>ZK384180</v>
      </c>
      <c r="J105" s="59">
        <f t="shared" ca="1" si="7"/>
        <v>45876</v>
      </c>
      <c r="K105" s="30">
        <f ca="1">LOOKUP(A105,'QALS - Inspection Lot Record'!A:A,'QALS - Inspection Lot Record'!I:I)</f>
        <v>0.76216435185185183</v>
      </c>
      <c r="L105" s="59">
        <f t="shared" ca="1" si="8"/>
        <v>45876</v>
      </c>
      <c r="M105" s="30">
        <f t="shared" ca="1" si="9"/>
        <v>0.77993055555555557</v>
      </c>
      <c r="N105" s="31"/>
      <c r="O105" s="31">
        <v>25.5</v>
      </c>
      <c r="P105" s="29">
        <v>23</v>
      </c>
      <c r="Q105" s="29">
        <v>28</v>
      </c>
    </row>
    <row r="106" spans="1:17" x14ac:dyDescent="0.35">
      <c r="A106" s="26">
        <v>40000002514</v>
      </c>
      <c r="B106" s="27">
        <v>1</v>
      </c>
      <c r="C106" s="29" t="str">
        <f>LOOKUP(A106,'QALS - Inspection Lot Record'!$A$2:$A$361,'QALS - Inspection Lot Record'!$O$2:$O$361)</f>
        <v>Ibuprofen Tablets (100 MG)</v>
      </c>
      <c r="D106" s="27">
        <v>10</v>
      </c>
      <c r="E106" s="26" t="s">
        <v>399</v>
      </c>
      <c r="F106" s="29" t="str">
        <f>LOOKUP(A106,'QALS - Inspection Lot Record'!A:A,'QALS - Inspection Lot Record'!G:G)</f>
        <v>YA284176</v>
      </c>
      <c r="G106" s="59">
        <f ca="1">LOOKUP(A106,'QALS - Inspection Lot Record'!A:A,'QALS - Inspection Lot Record'!E:E)</f>
        <v>45876</v>
      </c>
      <c r="H106" s="34" t="str">
        <f t="shared" ref="H106:H137" si="10">IF(AND(P106&lt;=O106,O106&lt;=Q106),"A","R")</f>
        <v>A</v>
      </c>
      <c r="I106" s="29" t="str">
        <f t="shared" si="6"/>
        <v>YA284176</v>
      </c>
      <c r="J106" s="59">
        <f t="shared" ca="1" si="7"/>
        <v>45876</v>
      </c>
      <c r="K106" s="30">
        <f ca="1">LOOKUP(A106,'QALS - Inspection Lot Record'!A:A,'QALS - Inspection Lot Record'!I:I)</f>
        <v>0.16636574074074073</v>
      </c>
      <c r="L106" s="59">
        <f t="shared" ca="1" si="8"/>
        <v>45876</v>
      </c>
      <c r="M106" s="30">
        <f t="shared" ca="1" si="9"/>
        <v>0.19273148148148148</v>
      </c>
      <c r="N106" s="31"/>
      <c r="O106" s="31">
        <v>98.5</v>
      </c>
      <c r="P106" s="29">
        <v>95</v>
      </c>
      <c r="Q106" s="29">
        <v>102</v>
      </c>
    </row>
    <row r="107" spans="1:17" x14ac:dyDescent="0.35">
      <c r="A107" s="26">
        <v>40000002514</v>
      </c>
      <c r="B107" s="27">
        <v>1</v>
      </c>
      <c r="C107" s="29" t="str">
        <f>LOOKUP(A107,'QALS - Inspection Lot Record'!$A$2:$A$361,'QALS - Inspection Lot Record'!$O$2:$O$361)</f>
        <v>Ibuprofen Tablets (100 MG)</v>
      </c>
      <c r="D107" s="31">
        <v>20</v>
      </c>
      <c r="E107" s="29" t="s">
        <v>400</v>
      </c>
      <c r="F107" s="29" t="str">
        <f>LOOKUP(A107,'QALS - Inspection Lot Record'!A:A,'QALS - Inspection Lot Record'!G:G)</f>
        <v>YA284176</v>
      </c>
      <c r="G107" s="59">
        <f ca="1">LOOKUP(A107,'QALS - Inspection Lot Record'!A:A,'QALS - Inspection Lot Record'!E:E)</f>
        <v>45876</v>
      </c>
      <c r="H107" s="34" t="str">
        <f t="shared" si="10"/>
        <v>A</v>
      </c>
      <c r="I107" s="29" t="str">
        <f t="shared" si="6"/>
        <v>YA284176</v>
      </c>
      <c r="J107" s="59">
        <f t="shared" ca="1" si="7"/>
        <v>45876</v>
      </c>
      <c r="K107" s="30">
        <f ca="1">LOOKUP(A107,'QALS - Inspection Lot Record'!A:A,'QALS - Inspection Lot Record'!I:I)</f>
        <v>0.16636574074074073</v>
      </c>
      <c r="L107" s="59">
        <f t="shared" ca="1" si="8"/>
        <v>45876</v>
      </c>
      <c r="M107" s="30">
        <f t="shared" ca="1" si="9"/>
        <v>0.20092592592592592</v>
      </c>
      <c r="N107" s="31"/>
      <c r="O107" s="31">
        <v>7.25</v>
      </c>
      <c r="P107" s="29">
        <v>3.5</v>
      </c>
      <c r="Q107" s="29">
        <v>11</v>
      </c>
    </row>
    <row r="108" spans="1:17" x14ac:dyDescent="0.35">
      <c r="A108" s="26">
        <v>40000002514</v>
      </c>
      <c r="B108" s="31">
        <v>1</v>
      </c>
      <c r="C108" s="29" t="str">
        <f>LOOKUP(A108,'QALS - Inspection Lot Record'!$A$2:$A$361,'QALS - Inspection Lot Record'!$O$2:$O$361)</f>
        <v>Ibuprofen Tablets (100 MG)</v>
      </c>
      <c r="D108" s="31">
        <v>30</v>
      </c>
      <c r="E108" s="29" t="s">
        <v>401</v>
      </c>
      <c r="F108" s="29" t="str">
        <f>LOOKUP(A108,'QALS - Inspection Lot Record'!A:A,'QALS - Inspection Lot Record'!G:G)</f>
        <v>YA284176</v>
      </c>
      <c r="G108" s="59">
        <f ca="1">LOOKUP(A108,'QALS - Inspection Lot Record'!A:A,'QALS - Inspection Lot Record'!E:E)</f>
        <v>45876</v>
      </c>
      <c r="H108" s="34" t="str">
        <f t="shared" si="10"/>
        <v>A</v>
      </c>
      <c r="I108" s="29" t="str">
        <f t="shared" si="6"/>
        <v>YA284176</v>
      </c>
      <c r="J108" s="59">
        <f t="shared" ca="1" si="7"/>
        <v>45876</v>
      </c>
      <c r="K108" s="30">
        <f ca="1">LOOKUP(A108,'QALS - Inspection Lot Record'!A:A,'QALS - Inspection Lot Record'!I:I)</f>
        <v>0.16636574074074073</v>
      </c>
      <c r="L108" s="59">
        <f t="shared" ca="1" si="8"/>
        <v>45876</v>
      </c>
      <c r="M108" s="30">
        <f t="shared" ca="1" si="9"/>
        <v>0.1978935185185185</v>
      </c>
      <c r="N108" s="11" t="s">
        <v>402</v>
      </c>
      <c r="O108" s="31"/>
      <c r="P108" s="29"/>
      <c r="Q108" s="29"/>
    </row>
    <row r="109" spans="1:17" x14ac:dyDescent="0.35">
      <c r="A109" s="26">
        <v>40000002514</v>
      </c>
      <c r="B109" s="31">
        <v>1</v>
      </c>
      <c r="C109" s="29" t="str">
        <f>LOOKUP(A109,'QALS - Inspection Lot Record'!$A$2:$A$361,'QALS - Inspection Lot Record'!$O$2:$O$361)</f>
        <v>Ibuprofen Tablets (100 MG)</v>
      </c>
      <c r="D109" s="31">
        <v>40</v>
      </c>
      <c r="E109" s="29" t="s">
        <v>403</v>
      </c>
      <c r="F109" s="29" t="str">
        <f>LOOKUP(A109,'QALS - Inspection Lot Record'!A:A,'QALS - Inspection Lot Record'!G:G)</f>
        <v>YA284176</v>
      </c>
      <c r="G109" s="59">
        <f ca="1">LOOKUP(A109,'QALS - Inspection Lot Record'!A:A,'QALS - Inspection Lot Record'!E:E)</f>
        <v>45876</v>
      </c>
      <c r="H109" s="34" t="str">
        <f t="shared" si="10"/>
        <v>R</v>
      </c>
      <c r="I109" s="29" t="str">
        <f t="shared" si="6"/>
        <v>YA284176</v>
      </c>
      <c r="J109" s="59">
        <f t="shared" ca="1" si="7"/>
        <v>45876</v>
      </c>
      <c r="K109" s="30">
        <f ca="1">LOOKUP(A109,'QALS - Inspection Lot Record'!A:A,'QALS - Inspection Lot Record'!I:I)</f>
        <v>0.16636574074074073</v>
      </c>
      <c r="L109" s="59">
        <f t="shared" ca="1" si="8"/>
        <v>45876</v>
      </c>
      <c r="M109" s="30">
        <f t="shared" ca="1" si="9"/>
        <v>0.18511574074074072</v>
      </c>
      <c r="N109" s="31"/>
      <c r="O109" s="31">
        <v>1.2</v>
      </c>
      <c r="P109" s="29">
        <v>0</v>
      </c>
      <c r="Q109" s="29">
        <v>1</v>
      </c>
    </row>
    <row r="110" spans="1:17" x14ac:dyDescent="0.35">
      <c r="A110" s="26">
        <v>40000002514</v>
      </c>
      <c r="B110" s="31">
        <v>1</v>
      </c>
      <c r="C110" s="29" t="str">
        <f>LOOKUP(A110,'QALS - Inspection Lot Record'!$A$2:$A$361,'QALS - Inspection Lot Record'!$O$2:$O$361)</f>
        <v>Ibuprofen Tablets (100 MG)</v>
      </c>
      <c r="D110" s="31">
        <v>50</v>
      </c>
      <c r="E110" s="29" t="s">
        <v>404</v>
      </c>
      <c r="F110" s="29" t="str">
        <f>LOOKUP(A110,'QALS - Inspection Lot Record'!A:A,'QALS - Inspection Lot Record'!G:G)</f>
        <v>YA284176</v>
      </c>
      <c r="G110" s="59">
        <f ca="1">LOOKUP(A110,'QALS - Inspection Lot Record'!A:A,'QALS - Inspection Lot Record'!E:E)</f>
        <v>45876</v>
      </c>
      <c r="H110" s="34" t="str">
        <f t="shared" si="10"/>
        <v>A</v>
      </c>
      <c r="I110" s="29" t="str">
        <f t="shared" si="6"/>
        <v>YA284176</v>
      </c>
      <c r="J110" s="59">
        <f t="shared" ca="1" si="7"/>
        <v>45876</v>
      </c>
      <c r="K110" s="30">
        <f ca="1">LOOKUP(A110,'QALS - Inspection Lot Record'!A:A,'QALS - Inspection Lot Record'!I:I)</f>
        <v>0.16636574074074073</v>
      </c>
      <c r="L110" s="59">
        <f t="shared" ca="1" si="8"/>
        <v>45876</v>
      </c>
      <c r="M110" s="30">
        <f t="shared" ca="1" si="9"/>
        <v>0.18936342592592592</v>
      </c>
      <c r="N110" s="31"/>
      <c r="O110" s="31">
        <v>50</v>
      </c>
      <c r="P110" s="29">
        <v>40</v>
      </c>
      <c r="Q110" s="29">
        <v>60</v>
      </c>
    </row>
    <row r="111" spans="1:17" x14ac:dyDescent="0.35">
      <c r="A111" s="26">
        <v>40000002514</v>
      </c>
      <c r="B111" s="31">
        <v>1</v>
      </c>
      <c r="C111" s="29" t="str">
        <f>LOOKUP(A111,'QALS - Inspection Lot Record'!$A$2:$A$361,'QALS - Inspection Lot Record'!$O$2:$O$361)</f>
        <v>Ibuprofen Tablets (100 MG)</v>
      </c>
      <c r="D111" s="31">
        <v>60</v>
      </c>
      <c r="E111" s="29" t="s">
        <v>405</v>
      </c>
      <c r="F111" s="29" t="str">
        <f>LOOKUP(A111,'QALS - Inspection Lot Record'!A:A,'QALS - Inspection Lot Record'!G:G)</f>
        <v>YA284176</v>
      </c>
      <c r="G111" s="59">
        <f ca="1">LOOKUP(A111,'QALS - Inspection Lot Record'!A:A,'QALS - Inspection Lot Record'!E:E)</f>
        <v>45876</v>
      </c>
      <c r="H111" s="34" t="str">
        <f t="shared" si="10"/>
        <v>A</v>
      </c>
      <c r="I111" s="29" t="str">
        <f t="shared" si="6"/>
        <v>YA284176</v>
      </c>
      <c r="J111" s="59">
        <f t="shared" ca="1" si="7"/>
        <v>45876</v>
      </c>
      <c r="K111" s="30">
        <f ca="1">LOOKUP(A111,'QALS - Inspection Lot Record'!A:A,'QALS - Inspection Lot Record'!I:I)</f>
        <v>0.16636574074074073</v>
      </c>
      <c r="L111" s="59">
        <f t="shared" ca="1" si="8"/>
        <v>45876</v>
      </c>
      <c r="M111" s="30">
        <f t="shared" ca="1" si="9"/>
        <v>0.19081018518518517</v>
      </c>
      <c r="N111" s="31"/>
      <c r="O111" s="31">
        <v>77.5</v>
      </c>
      <c r="P111" s="29">
        <v>70</v>
      </c>
      <c r="Q111" s="29">
        <v>85</v>
      </c>
    </row>
    <row r="112" spans="1:17" x14ac:dyDescent="0.35">
      <c r="A112" s="26">
        <v>40000002514</v>
      </c>
      <c r="B112" s="31">
        <v>1</v>
      </c>
      <c r="C112" s="29" t="str">
        <f>LOOKUP(A112,'QALS - Inspection Lot Record'!$A$2:$A$361,'QALS - Inspection Lot Record'!$O$2:$O$361)</f>
        <v>Ibuprofen Tablets (100 MG)</v>
      </c>
      <c r="D112" s="31">
        <v>70</v>
      </c>
      <c r="E112" s="29" t="s">
        <v>406</v>
      </c>
      <c r="F112" s="29" t="str">
        <f>LOOKUP(A112,'QALS - Inspection Lot Record'!A:A,'QALS - Inspection Lot Record'!G:G)</f>
        <v>YA284176</v>
      </c>
      <c r="G112" s="59">
        <f ca="1">LOOKUP(A112,'QALS - Inspection Lot Record'!A:A,'QALS - Inspection Lot Record'!E:E)</f>
        <v>45876</v>
      </c>
      <c r="H112" s="34" t="str">
        <f t="shared" si="10"/>
        <v>R</v>
      </c>
      <c r="I112" s="29" t="str">
        <f t="shared" si="6"/>
        <v>YA284176</v>
      </c>
      <c r="J112" s="59">
        <f t="shared" ca="1" si="7"/>
        <v>45876</v>
      </c>
      <c r="K112" s="30">
        <f ca="1">LOOKUP(A112,'QALS - Inspection Lot Record'!A:A,'QALS - Inspection Lot Record'!I:I)</f>
        <v>0.16636574074074073</v>
      </c>
      <c r="L112" s="59">
        <f t="shared" ca="1" si="8"/>
        <v>45876</v>
      </c>
      <c r="M112" s="30">
        <f t="shared" ca="1" si="9"/>
        <v>0.19649305555555555</v>
      </c>
      <c r="N112" s="31"/>
      <c r="O112" s="31">
        <v>78.099999999999994</v>
      </c>
      <c r="P112" s="29">
        <v>80</v>
      </c>
      <c r="Q112" s="29">
        <v>90</v>
      </c>
    </row>
    <row r="113" spans="1:17" x14ac:dyDescent="0.35">
      <c r="A113" s="26">
        <v>40000002514</v>
      </c>
      <c r="B113" s="31">
        <v>1</v>
      </c>
      <c r="C113" s="29" t="str">
        <f>LOOKUP(A113,'QALS - Inspection Lot Record'!$A$2:$A$361,'QALS - Inspection Lot Record'!$O$2:$O$361)</f>
        <v>Ibuprofen Tablets (100 MG)</v>
      </c>
      <c r="D113" s="31">
        <v>80</v>
      </c>
      <c r="E113" s="29" t="s">
        <v>407</v>
      </c>
      <c r="F113" s="29" t="str">
        <f>LOOKUP(A113,'QALS - Inspection Lot Record'!A:A,'QALS - Inspection Lot Record'!G:G)</f>
        <v>YA284176</v>
      </c>
      <c r="G113" s="59">
        <f ca="1">LOOKUP(A113,'QALS - Inspection Lot Record'!A:A,'QALS - Inspection Lot Record'!E:E)</f>
        <v>45876</v>
      </c>
      <c r="H113" s="34" t="str">
        <f t="shared" si="10"/>
        <v>A</v>
      </c>
      <c r="I113" s="29" t="str">
        <f t="shared" si="6"/>
        <v>YA284176</v>
      </c>
      <c r="J113" s="59">
        <f t="shared" ca="1" si="7"/>
        <v>45876</v>
      </c>
      <c r="K113" s="30">
        <f ca="1">LOOKUP(A113,'QALS - Inspection Lot Record'!A:A,'QALS - Inspection Lot Record'!I:I)</f>
        <v>0.16636574074074073</v>
      </c>
      <c r="L113" s="59">
        <f t="shared" ca="1" si="8"/>
        <v>45876</v>
      </c>
      <c r="M113" s="30">
        <f t="shared" ca="1" si="9"/>
        <v>0.18539351851851851</v>
      </c>
      <c r="N113" s="31"/>
      <c r="O113" s="31">
        <v>24</v>
      </c>
      <c r="P113" s="29">
        <v>23</v>
      </c>
      <c r="Q113" s="29">
        <v>25</v>
      </c>
    </row>
    <row r="114" spans="1:17" x14ac:dyDescent="0.35">
      <c r="A114" s="26">
        <v>40000002515</v>
      </c>
      <c r="B114" s="27">
        <v>1</v>
      </c>
      <c r="C114" s="29" t="str">
        <f>LOOKUP(A114,'QALS - Inspection Lot Record'!$A$2:$A$361,'QALS - Inspection Lot Record'!$O$2:$O$361)</f>
        <v>Ibuprofen Tablets (100 MG)</v>
      </c>
      <c r="D114" s="27">
        <v>10</v>
      </c>
      <c r="E114" s="26" t="s">
        <v>399</v>
      </c>
      <c r="F114" s="29" t="str">
        <f>LOOKUP(A114,'QALS - Inspection Lot Record'!A:A,'QALS - Inspection Lot Record'!G:G)</f>
        <v>TP397880</v>
      </c>
      <c r="G114" s="59">
        <f ca="1">LOOKUP(A114,'QALS - Inspection Lot Record'!A:A,'QALS - Inspection Lot Record'!E:E)</f>
        <v>45877</v>
      </c>
      <c r="H114" s="34" t="str">
        <f t="shared" si="10"/>
        <v>R</v>
      </c>
      <c r="I114" s="29" t="str">
        <f t="shared" si="6"/>
        <v>TP397880</v>
      </c>
      <c r="J114" s="59">
        <f t="shared" ca="1" si="7"/>
        <v>45877</v>
      </c>
      <c r="K114" s="30">
        <f ca="1">LOOKUP(A114,'QALS - Inspection Lot Record'!A:A,'QALS - Inspection Lot Record'!I:I)</f>
        <v>0.91776620370370365</v>
      </c>
      <c r="L114" s="59">
        <f t="shared" ca="1" si="8"/>
        <v>45877</v>
      </c>
      <c r="M114" s="30">
        <f t="shared" ca="1" si="9"/>
        <v>0.93815972222222221</v>
      </c>
      <c r="N114" s="31"/>
      <c r="O114" s="31">
        <v>94</v>
      </c>
      <c r="P114" s="29">
        <v>95</v>
      </c>
      <c r="Q114" s="29">
        <v>102</v>
      </c>
    </row>
    <row r="115" spans="1:17" x14ac:dyDescent="0.35">
      <c r="A115" s="26">
        <v>40000002515</v>
      </c>
      <c r="B115" s="27">
        <v>1</v>
      </c>
      <c r="C115" s="29" t="str">
        <f>LOOKUP(A115,'QALS - Inspection Lot Record'!$A$2:$A$361,'QALS - Inspection Lot Record'!$O$2:$O$361)</f>
        <v>Ibuprofen Tablets (100 MG)</v>
      </c>
      <c r="D115" s="31">
        <v>20</v>
      </c>
      <c r="E115" s="29" t="s">
        <v>400</v>
      </c>
      <c r="F115" s="29" t="str">
        <f>LOOKUP(A115,'QALS - Inspection Lot Record'!A:A,'QALS - Inspection Lot Record'!G:G)</f>
        <v>TP397880</v>
      </c>
      <c r="G115" s="59">
        <f ca="1">LOOKUP(A115,'QALS - Inspection Lot Record'!A:A,'QALS - Inspection Lot Record'!E:E)</f>
        <v>45877</v>
      </c>
      <c r="H115" s="34" t="str">
        <f t="shared" si="10"/>
        <v>A</v>
      </c>
      <c r="I115" s="29" t="str">
        <f t="shared" si="6"/>
        <v>TP397880</v>
      </c>
      <c r="J115" s="59">
        <f t="shared" ca="1" si="7"/>
        <v>45877</v>
      </c>
      <c r="K115" s="30">
        <f ca="1">LOOKUP(A115,'QALS - Inspection Lot Record'!A:A,'QALS - Inspection Lot Record'!I:I)</f>
        <v>0.91776620370370365</v>
      </c>
      <c r="L115" s="59">
        <f t="shared" ca="1" si="8"/>
        <v>45877</v>
      </c>
      <c r="M115" s="30">
        <f t="shared" ca="1" si="9"/>
        <v>0.94721064814814815</v>
      </c>
      <c r="N115" s="31"/>
      <c r="O115" s="31">
        <v>7.3</v>
      </c>
      <c r="P115" s="29">
        <v>3.5</v>
      </c>
      <c r="Q115" s="29">
        <v>11</v>
      </c>
    </row>
    <row r="116" spans="1:17" x14ac:dyDescent="0.35">
      <c r="A116" s="26">
        <v>40000002515</v>
      </c>
      <c r="B116" s="31">
        <v>1</v>
      </c>
      <c r="C116" s="29" t="str">
        <f>LOOKUP(A116,'QALS - Inspection Lot Record'!$A$2:$A$361,'QALS - Inspection Lot Record'!$O$2:$O$361)</f>
        <v>Ibuprofen Tablets (100 MG)</v>
      </c>
      <c r="D116" s="31">
        <v>30</v>
      </c>
      <c r="E116" s="29" t="s">
        <v>401</v>
      </c>
      <c r="F116" s="29" t="str">
        <f>LOOKUP(A116,'QALS - Inspection Lot Record'!A:A,'QALS - Inspection Lot Record'!G:G)</f>
        <v>TP397880</v>
      </c>
      <c r="G116" s="59">
        <f ca="1">LOOKUP(A116,'QALS - Inspection Lot Record'!A:A,'QALS - Inspection Lot Record'!E:E)</f>
        <v>45877</v>
      </c>
      <c r="H116" s="34" t="str">
        <f t="shared" si="10"/>
        <v>A</v>
      </c>
      <c r="I116" s="29" t="str">
        <f t="shared" si="6"/>
        <v>TP397880</v>
      </c>
      <c r="J116" s="59">
        <f t="shared" ca="1" si="7"/>
        <v>45877</v>
      </c>
      <c r="K116" s="30">
        <f ca="1">LOOKUP(A116,'QALS - Inspection Lot Record'!A:A,'QALS - Inspection Lot Record'!I:I)</f>
        <v>0.91776620370370365</v>
      </c>
      <c r="L116" s="59">
        <f t="shared" ca="1" si="8"/>
        <v>45877</v>
      </c>
      <c r="M116" s="30">
        <f t="shared" ca="1" si="9"/>
        <v>0.94391203703703697</v>
      </c>
      <c r="N116" s="11" t="s">
        <v>402</v>
      </c>
      <c r="O116" s="31"/>
      <c r="P116" s="29"/>
      <c r="Q116" s="29"/>
    </row>
    <row r="117" spans="1:17" x14ac:dyDescent="0.35">
      <c r="A117" s="26">
        <v>40000002515</v>
      </c>
      <c r="B117" s="31">
        <v>1</v>
      </c>
      <c r="C117" s="29" t="str">
        <f>LOOKUP(A117,'QALS - Inspection Lot Record'!$A$2:$A$361,'QALS - Inspection Lot Record'!$O$2:$O$361)</f>
        <v>Ibuprofen Tablets (100 MG)</v>
      </c>
      <c r="D117" s="31">
        <v>40</v>
      </c>
      <c r="E117" s="29" t="s">
        <v>403</v>
      </c>
      <c r="F117" s="29" t="str">
        <f>LOOKUP(A117,'QALS - Inspection Lot Record'!A:A,'QALS - Inspection Lot Record'!G:G)</f>
        <v>TP397880</v>
      </c>
      <c r="G117" s="59">
        <f ca="1">LOOKUP(A117,'QALS - Inspection Lot Record'!A:A,'QALS - Inspection Lot Record'!E:E)</f>
        <v>45877</v>
      </c>
      <c r="H117" s="34" t="str">
        <f t="shared" si="10"/>
        <v>A</v>
      </c>
      <c r="I117" s="29" t="str">
        <f t="shared" si="6"/>
        <v>TP397880</v>
      </c>
      <c r="J117" s="59">
        <f t="shared" ca="1" si="7"/>
        <v>45877</v>
      </c>
      <c r="K117" s="30">
        <f ca="1">LOOKUP(A117,'QALS - Inspection Lot Record'!A:A,'QALS - Inspection Lot Record'!I:I)</f>
        <v>0.91776620370370365</v>
      </c>
      <c r="L117" s="59">
        <f t="shared" ca="1" si="8"/>
        <v>45877</v>
      </c>
      <c r="M117" s="30">
        <f t="shared" ca="1" si="9"/>
        <v>0.95068287037037036</v>
      </c>
      <c r="N117" s="31"/>
      <c r="O117" s="31">
        <v>0.5</v>
      </c>
      <c r="P117" s="29">
        <v>0</v>
      </c>
      <c r="Q117" s="29">
        <v>1</v>
      </c>
    </row>
    <row r="118" spans="1:17" x14ac:dyDescent="0.35">
      <c r="A118" s="26">
        <v>40000002515</v>
      </c>
      <c r="B118" s="31">
        <v>1</v>
      </c>
      <c r="C118" s="29" t="str">
        <f>LOOKUP(A118,'QALS - Inspection Lot Record'!$A$2:$A$361,'QALS - Inspection Lot Record'!$O$2:$O$361)</f>
        <v>Ibuprofen Tablets (100 MG)</v>
      </c>
      <c r="D118" s="31">
        <v>50</v>
      </c>
      <c r="E118" s="29" t="s">
        <v>404</v>
      </c>
      <c r="F118" s="29" t="str">
        <f>LOOKUP(A118,'QALS - Inspection Lot Record'!A:A,'QALS - Inspection Lot Record'!G:G)</f>
        <v>TP397880</v>
      </c>
      <c r="G118" s="59">
        <f ca="1">LOOKUP(A118,'QALS - Inspection Lot Record'!A:A,'QALS - Inspection Lot Record'!E:E)</f>
        <v>45877</v>
      </c>
      <c r="H118" s="34" t="str">
        <f t="shared" si="10"/>
        <v>A</v>
      </c>
      <c r="I118" s="29" t="str">
        <f t="shared" si="6"/>
        <v>TP397880</v>
      </c>
      <c r="J118" s="59">
        <f t="shared" ca="1" si="7"/>
        <v>45877</v>
      </c>
      <c r="K118" s="30">
        <f ca="1">LOOKUP(A118,'QALS - Inspection Lot Record'!A:A,'QALS - Inspection Lot Record'!I:I)</f>
        <v>0.91776620370370365</v>
      </c>
      <c r="L118" s="59">
        <f t="shared" ca="1" si="8"/>
        <v>45877</v>
      </c>
      <c r="M118" s="30">
        <f t="shared" ca="1" si="9"/>
        <v>0.94406249999999992</v>
      </c>
      <c r="N118" s="31"/>
      <c r="O118" s="31">
        <v>41.5</v>
      </c>
      <c r="P118" s="29">
        <v>40</v>
      </c>
      <c r="Q118" s="29">
        <v>60</v>
      </c>
    </row>
    <row r="119" spans="1:17" x14ac:dyDescent="0.35">
      <c r="A119" s="26">
        <v>40000002515</v>
      </c>
      <c r="B119" s="31">
        <v>1</v>
      </c>
      <c r="C119" s="29" t="str">
        <f>LOOKUP(A119,'QALS - Inspection Lot Record'!$A$2:$A$361,'QALS - Inspection Lot Record'!$O$2:$O$361)</f>
        <v>Ibuprofen Tablets (100 MG)</v>
      </c>
      <c r="D119" s="31">
        <v>60</v>
      </c>
      <c r="E119" s="29" t="s">
        <v>405</v>
      </c>
      <c r="F119" s="29" t="str">
        <f>LOOKUP(A119,'QALS - Inspection Lot Record'!A:A,'QALS - Inspection Lot Record'!G:G)</f>
        <v>TP397880</v>
      </c>
      <c r="G119" s="59">
        <f ca="1">LOOKUP(A119,'QALS - Inspection Lot Record'!A:A,'QALS - Inspection Lot Record'!E:E)</f>
        <v>45877</v>
      </c>
      <c r="H119" s="34" t="str">
        <f t="shared" si="10"/>
        <v>A</v>
      </c>
      <c r="I119" s="29" t="str">
        <f t="shared" si="6"/>
        <v>TP397880</v>
      </c>
      <c r="J119" s="59">
        <f t="shared" ca="1" si="7"/>
        <v>45877</v>
      </c>
      <c r="K119" s="30">
        <f ca="1">LOOKUP(A119,'QALS - Inspection Lot Record'!A:A,'QALS - Inspection Lot Record'!I:I)</f>
        <v>0.91776620370370365</v>
      </c>
      <c r="L119" s="59">
        <f t="shared" ca="1" si="8"/>
        <v>45877</v>
      </c>
      <c r="M119" s="30">
        <f t="shared" ca="1" si="9"/>
        <v>0.94726851851851845</v>
      </c>
      <c r="N119" s="31"/>
      <c r="O119" s="31">
        <v>71.900000000000006</v>
      </c>
      <c r="P119" s="29">
        <v>70</v>
      </c>
      <c r="Q119" s="29">
        <v>85</v>
      </c>
    </row>
    <row r="120" spans="1:17" x14ac:dyDescent="0.35">
      <c r="A120" s="26">
        <v>40000002515</v>
      </c>
      <c r="B120" s="31">
        <v>1</v>
      </c>
      <c r="C120" s="29" t="str">
        <f>LOOKUP(A120,'QALS - Inspection Lot Record'!$A$2:$A$361,'QALS - Inspection Lot Record'!$O$2:$O$361)</f>
        <v>Ibuprofen Tablets (100 MG)</v>
      </c>
      <c r="D120" s="31">
        <v>70</v>
      </c>
      <c r="E120" s="29" t="s">
        <v>406</v>
      </c>
      <c r="F120" s="29" t="str">
        <f>LOOKUP(A120,'QALS - Inspection Lot Record'!A:A,'QALS - Inspection Lot Record'!G:G)</f>
        <v>TP397880</v>
      </c>
      <c r="G120" s="59">
        <f ca="1">LOOKUP(A120,'QALS - Inspection Lot Record'!A:A,'QALS - Inspection Lot Record'!E:E)</f>
        <v>45877</v>
      </c>
      <c r="H120" s="34" t="str">
        <f t="shared" si="10"/>
        <v>A</v>
      </c>
      <c r="I120" s="29" t="str">
        <f t="shared" si="6"/>
        <v>TP397880</v>
      </c>
      <c r="J120" s="59">
        <f t="shared" ca="1" si="7"/>
        <v>45877</v>
      </c>
      <c r="K120" s="30">
        <f ca="1">LOOKUP(A120,'QALS - Inspection Lot Record'!A:A,'QALS - Inspection Lot Record'!I:I)</f>
        <v>0.91776620370370365</v>
      </c>
      <c r="L120" s="59">
        <f t="shared" ca="1" si="8"/>
        <v>45877</v>
      </c>
      <c r="M120" s="30">
        <f t="shared" ca="1" si="9"/>
        <v>0.94296296296296289</v>
      </c>
      <c r="N120" s="31"/>
      <c r="O120" s="31">
        <v>81.400000000000006</v>
      </c>
      <c r="P120" s="29">
        <v>80</v>
      </c>
      <c r="Q120" s="29">
        <v>90</v>
      </c>
    </row>
    <row r="121" spans="1:17" x14ac:dyDescent="0.35">
      <c r="A121" s="26">
        <v>40000002515</v>
      </c>
      <c r="B121" s="31">
        <v>1</v>
      </c>
      <c r="C121" s="29" t="str">
        <f>LOOKUP(A121,'QALS - Inspection Lot Record'!$A$2:$A$361,'QALS - Inspection Lot Record'!$O$2:$O$361)</f>
        <v>Ibuprofen Tablets (100 MG)</v>
      </c>
      <c r="D121" s="31">
        <v>80</v>
      </c>
      <c r="E121" s="29" t="s">
        <v>407</v>
      </c>
      <c r="F121" s="29" t="str">
        <f>LOOKUP(A121,'QALS - Inspection Lot Record'!A:A,'QALS - Inspection Lot Record'!G:G)</f>
        <v>TP397880</v>
      </c>
      <c r="G121" s="59">
        <f ca="1">LOOKUP(A121,'QALS - Inspection Lot Record'!A:A,'QALS - Inspection Lot Record'!E:E)</f>
        <v>45877</v>
      </c>
      <c r="H121" s="34" t="str">
        <f t="shared" si="10"/>
        <v>A</v>
      </c>
      <c r="I121" s="29" t="str">
        <f t="shared" si="6"/>
        <v>TP397880</v>
      </c>
      <c r="J121" s="59">
        <f t="shared" ca="1" si="7"/>
        <v>45877</v>
      </c>
      <c r="K121" s="30">
        <f ca="1">LOOKUP(A121,'QALS - Inspection Lot Record'!A:A,'QALS - Inspection Lot Record'!I:I)</f>
        <v>0.91776620370370365</v>
      </c>
      <c r="L121" s="59">
        <f t="shared" ca="1" si="8"/>
        <v>45877</v>
      </c>
      <c r="M121" s="30">
        <f t="shared" ca="1" si="9"/>
        <v>0.94099537037037029</v>
      </c>
      <c r="N121" s="31"/>
      <c r="O121" s="31">
        <v>24</v>
      </c>
      <c r="P121" s="29">
        <v>23</v>
      </c>
      <c r="Q121" s="29">
        <v>25</v>
      </c>
    </row>
    <row r="122" spans="1:17" x14ac:dyDescent="0.35">
      <c r="A122" s="26">
        <v>40000002516</v>
      </c>
      <c r="B122" s="27">
        <v>1</v>
      </c>
      <c r="C122" s="29" t="str">
        <f>LOOKUP(A122,'QALS - Inspection Lot Record'!$A$2:$A$361,'QALS - Inspection Lot Record'!$O$2:$O$361)</f>
        <v>Metformin Tablets (200 MG)</v>
      </c>
      <c r="D122" s="27">
        <v>10</v>
      </c>
      <c r="E122" s="26" t="s">
        <v>399</v>
      </c>
      <c r="F122" s="29" t="str">
        <f>LOOKUP(A122,'QALS - Inspection Lot Record'!A:A,'QALS - Inspection Lot Record'!G:G)</f>
        <v>YA284176</v>
      </c>
      <c r="G122" s="59">
        <f ca="1">LOOKUP(A122,'QALS - Inspection Lot Record'!A:A,'QALS - Inspection Lot Record'!E:E)</f>
        <v>45877</v>
      </c>
      <c r="H122" s="34" t="str">
        <f t="shared" si="10"/>
        <v>R</v>
      </c>
      <c r="I122" s="29" t="str">
        <f t="shared" si="6"/>
        <v>YA284176</v>
      </c>
      <c r="J122" s="59">
        <f t="shared" ca="1" si="7"/>
        <v>45877</v>
      </c>
      <c r="K122" s="30">
        <f ca="1">LOOKUP(A122,'QALS - Inspection Lot Record'!A:A,'QALS - Inspection Lot Record'!I:I)</f>
        <v>6.9143518518518521E-2</v>
      </c>
      <c r="L122" s="59">
        <f t="shared" ca="1" si="8"/>
        <v>45877</v>
      </c>
      <c r="M122" s="30">
        <f t="shared" ca="1" si="9"/>
        <v>9.9942129629629631E-2</v>
      </c>
      <c r="N122" s="31"/>
      <c r="O122" s="31">
        <v>93.7</v>
      </c>
      <c r="P122" s="29">
        <v>95</v>
      </c>
      <c r="Q122" s="29">
        <v>103</v>
      </c>
    </row>
    <row r="123" spans="1:17" x14ac:dyDescent="0.35">
      <c r="A123" s="26">
        <v>40000002516</v>
      </c>
      <c r="B123" s="27">
        <v>1</v>
      </c>
      <c r="C123" s="29" t="str">
        <f>LOOKUP(A123,'QALS - Inspection Lot Record'!$A$2:$A$361,'QALS - Inspection Lot Record'!$O$2:$O$361)</f>
        <v>Metformin Tablets (200 MG)</v>
      </c>
      <c r="D123" s="31">
        <v>20</v>
      </c>
      <c r="E123" s="29" t="s">
        <v>400</v>
      </c>
      <c r="F123" s="29" t="str">
        <f>LOOKUP(A123,'QALS - Inspection Lot Record'!A:A,'QALS - Inspection Lot Record'!G:G)</f>
        <v>YA284176</v>
      </c>
      <c r="G123" s="59">
        <f ca="1">LOOKUP(A123,'QALS - Inspection Lot Record'!A:A,'QALS - Inspection Lot Record'!E:E)</f>
        <v>45877</v>
      </c>
      <c r="H123" s="34" t="str">
        <f t="shared" si="10"/>
        <v>A</v>
      </c>
      <c r="I123" s="29" t="str">
        <f t="shared" si="6"/>
        <v>YA284176</v>
      </c>
      <c r="J123" s="59">
        <f t="shared" ca="1" si="7"/>
        <v>45877</v>
      </c>
      <c r="K123" s="30">
        <f ca="1">LOOKUP(A123,'QALS - Inspection Lot Record'!A:A,'QALS - Inspection Lot Record'!I:I)</f>
        <v>6.9143518518518521E-2</v>
      </c>
      <c r="L123" s="59">
        <f t="shared" ca="1" si="8"/>
        <v>45877</v>
      </c>
      <c r="M123" s="30">
        <f t="shared" ca="1" si="9"/>
        <v>9.8726851851851857E-2</v>
      </c>
      <c r="N123" s="31"/>
      <c r="O123" s="31">
        <v>7.8</v>
      </c>
      <c r="P123" s="29">
        <v>6</v>
      </c>
      <c r="Q123" s="29">
        <v>9.5</v>
      </c>
    </row>
    <row r="124" spans="1:17" x14ac:dyDescent="0.35">
      <c r="A124" s="26">
        <v>40000002516</v>
      </c>
      <c r="B124" s="31">
        <v>1</v>
      </c>
      <c r="C124" s="29" t="str">
        <f>LOOKUP(A124,'QALS - Inspection Lot Record'!$A$2:$A$361,'QALS - Inspection Lot Record'!$O$2:$O$361)</f>
        <v>Metformin Tablets (200 MG)</v>
      </c>
      <c r="D124" s="31">
        <v>30</v>
      </c>
      <c r="E124" s="29" t="s">
        <v>401</v>
      </c>
      <c r="F124" s="29" t="str">
        <f>LOOKUP(A124,'QALS - Inspection Lot Record'!A:A,'QALS - Inspection Lot Record'!G:G)</f>
        <v>YA284176</v>
      </c>
      <c r="G124" s="59">
        <f ca="1">LOOKUP(A124,'QALS - Inspection Lot Record'!A:A,'QALS - Inspection Lot Record'!E:E)</f>
        <v>45877</v>
      </c>
      <c r="H124" s="34" t="str">
        <f t="shared" si="10"/>
        <v>A</v>
      </c>
      <c r="I124" s="29" t="str">
        <f t="shared" si="6"/>
        <v>YA284176</v>
      </c>
      <c r="J124" s="59">
        <f t="shared" ca="1" si="7"/>
        <v>45877</v>
      </c>
      <c r="K124" s="30">
        <f ca="1">LOOKUP(A124,'QALS - Inspection Lot Record'!A:A,'QALS - Inspection Lot Record'!I:I)</f>
        <v>6.9143518518518521E-2</v>
      </c>
      <c r="L124" s="59">
        <f t="shared" ca="1" si="8"/>
        <v>45877</v>
      </c>
      <c r="M124" s="30">
        <f t="shared" ca="1" si="9"/>
        <v>0.10274305555555556</v>
      </c>
      <c r="N124" s="11" t="s">
        <v>402</v>
      </c>
      <c r="O124" s="31"/>
      <c r="P124" s="29"/>
      <c r="Q124" s="29"/>
    </row>
    <row r="125" spans="1:17" x14ac:dyDescent="0.35">
      <c r="A125" s="26">
        <v>40000002516</v>
      </c>
      <c r="B125" s="31">
        <v>1</v>
      </c>
      <c r="C125" s="29" t="str">
        <f>LOOKUP(A125,'QALS - Inspection Lot Record'!$A$2:$A$361,'QALS - Inspection Lot Record'!$O$2:$O$361)</f>
        <v>Metformin Tablets (200 MG)</v>
      </c>
      <c r="D125" s="31">
        <v>40</v>
      </c>
      <c r="E125" s="29" t="s">
        <v>403</v>
      </c>
      <c r="F125" s="29" t="str">
        <f>LOOKUP(A125,'QALS - Inspection Lot Record'!A:A,'QALS - Inspection Lot Record'!G:G)</f>
        <v>YA284176</v>
      </c>
      <c r="G125" s="59">
        <f ca="1">LOOKUP(A125,'QALS - Inspection Lot Record'!A:A,'QALS - Inspection Lot Record'!E:E)</f>
        <v>45877</v>
      </c>
      <c r="H125" s="34" t="str">
        <f t="shared" si="10"/>
        <v>A</v>
      </c>
      <c r="I125" s="29" t="str">
        <f t="shared" si="6"/>
        <v>YA284176</v>
      </c>
      <c r="J125" s="59">
        <f t="shared" ca="1" si="7"/>
        <v>45877</v>
      </c>
      <c r="K125" s="30">
        <f ca="1">LOOKUP(A125,'QALS - Inspection Lot Record'!A:A,'QALS - Inspection Lot Record'!I:I)</f>
        <v>6.9143518518518521E-2</v>
      </c>
      <c r="L125" s="59">
        <f t="shared" ca="1" si="8"/>
        <v>45877</v>
      </c>
      <c r="M125" s="30">
        <f t="shared" ca="1" si="9"/>
        <v>9.5219907407407406E-2</v>
      </c>
      <c r="N125" s="31"/>
      <c r="O125" s="31">
        <v>1.6</v>
      </c>
      <c r="P125" s="29">
        <v>0</v>
      </c>
      <c r="Q125" s="29">
        <v>2</v>
      </c>
    </row>
    <row r="126" spans="1:17" x14ac:dyDescent="0.35">
      <c r="A126" s="26">
        <v>40000002516</v>
      </c>
      <c r="B126" s="31">
        <v>1</v>
      </c>
      <c r="C126" s="29" t="str">
        <f>LOOKUP(A126,'QALS - Inspection Lot Record'!$A$2:$A$361,'QALS - Inspection Lot Record'!$O$2:$O$361)</f>
        <v>Metformin Tablets (200 MG)</v>
      </c>
      <c r="D126" s="31">
        <v>50</v>
      </c>
      <c r="E126" s="29" t="s">
        <v>404</v>
      </c>
      <c r="F126" s="29" t="str">
        <f>LOOKUP(A126,'QALS - Inspection Lot Record'!A:A,'QALS - Inspection Lot Record'!G:G)</f>
        <v>YA284176</v>
      </c>
      <c r="G126" s="59">
        <f ca="1">LOOKUP(A126,'QALS - Inspection Lot Record'!A:A,'QALS - Inspection Lot Record'!E:E)</f>
        <v>45877</v>
      </c>
      <c r="H126" s="34" t="str">
        <f t="shared" si="10"/>
        <v>A</v>
      </c>
      <c r="I126" s="29" t="str">
        <f t="shared" si="6"/>
        <v>YA284176</v>
      </c>
      <c r="J126" s="59">
        <f t="shared" ca="1" si="7"/>
        <v>45877</v>
      </c>
      <c r="K126" s="30">
        <f ca="1">LOOKUP(A126,'QALS - Inspection Lot Record'!A:A,'QALS - Inspection Lot Record'!I:I)</f>
        <v>6.9143518518518521E-2</v>
      </c>
      <c r="L126" s="59">
        <f t="shared" ca="1" si="8"/>
        <v>45877</v>
      </c>
      <c r="M126" s="30">
        <f t="shared" ca="1" si="9"/>
        <v>8.9733796296296298E-2</v>
      </c>
      <c r="N126" s="31"/>
      <c r="O126" s="31">
        <v>41.2</v>
      </c>
      <c r="P126" s="29">
        <v>40</v>
      </c>
      <c r="Q126" s="29">
        <v>60</v>
      </c>
    </row>
    <row r="127" spans="1:17" x14ac:dyDescent="0.35">
      <c r="A127" s="26">
        <v>40000002516</v>
      </c>
      <c r="B127" s="31">
        <v>1</v>
      </c>
      <c r="C127" s="29" t="str">
        <f>LOOKUP(A127,'QALS - Inspection Lot Record'!$A$2:$A$361,'QALS - Inspection Lot Record'!$O$2:$O$361)</f>
        <v>Metformin Tablets (200 MG)</v>
      </c>
      <c r="D127" s="31">
        <v>60</v>
      </c>
      <c r="E127" s="29" t="s">
        <v>405</v>
      </c>
      <c r="F127" s="29" t="str">
        <f>LOOKUP(A127,'QALS - Inspection Lot Record'!A:A,'QALS - Inspection Lot Record'!G:G)</f>
        <v>YA284176</v>
      </c>
      <c r="G127" s="59">
        <f ca="1">LOOKUP(A127,'QALS - Inspection Lot Record'!A:A,'QALS - Inspection Lot Record'!E:E)</f>
        <v>45877</v>
      </c>
      <c r="H127" s="34" t="str">
        <f t="shared" si="10"/>
        <v>A</v>
      </c>
      <c r="I127" s="29" t="str">
        <f t="shared" si="6"/>
        <v>YA284176</v>
      </c>
      <c r="J127" s="59">
        <f t="shared" ca="1" si="7"/>
        <v>45877</v>
      </c>
      <c r="K127" s="30">
        <f ca="1">LOOKUP(A127,'QALS - Inspection Lot Record'!A:A,'QALS - Inspection Lot Record'!I:I)</f>
        <v>6.9143518518518521E-2</v>
      </c>
      <c r="L127" s="59">
        <f t="shared" ca="1" si="8"/>
        <v>45877</v>
      </c>
      <c r="M127" s="30">
        <f t="shared" ca="1" si="9"/>
        <v>8.655092592592592E-2</v>
      </c>
      <c r="N127" s="31"/>
      <c r="O127" s="31">
        <v>71.5</v>
      </c>
      <c r="P127" s="29">
        <v>70</v>
      </c>
      <c r="Q127" s="29">
        <v>85</v>
      </c>
    </row>
    <row r="128" spans="1:17" x14ac:dyDescent="0.35">
      <c r="A128" s="26">
        <v>40000002516</v>
      </c>
      <c r="B128" s="31">
        <v>1</v>
      </c>
      <c r="C128" s="29" t="str">
        <f>LOOKUP(A128,'QALS - Inspection Lot Record'!$A$2:$A$361,'QALS - Inspection Lot Record'!$O$2:$O$361)</f>
        <v>Metformin Tablets (200 MG)</v>
      </c>
      <c r="D128" s="31">
        <v>70</v>
      </c>
      <c r="E128" s="29" t="s">
        <v>406</v>
      </c>
      <c r="F128" s="29" t="str">
        <f>LOOKUP(A128,'QALS - Inspection Lot Record'!A:A,'QALS - Inspection Lot Record'!G:G)</f>
        <v>YA284176</v>
      </c>
      <c r="G128" s="59">
        <f ca="1">LOOKUP(A128,'QALS - Inspection Lot Record'!A:A,'QALS - Inspection Lot Record'!E:E)</f>
        <v>45877</v>
      </c>
      <c r="H128" s="34" t="str">
        <f t="shared" si="10"/>
        <v>A</v>
      </c>
      <c r="I128" s="29" t="str">
        <f t="shared" si="6"/>
        <v>YA284176</v>
      </c>
      <c r="J128" s="59">
        <f t="shared" ca="1" si="7"/>
        <v>45877</v>
      </c>
      <c r="K128" s="30">
        <f ca="1">LOOKUP(A128,'QALS - Inspection Lot Record'!A:A,'QALS - Inspection Lot Record'!I:I)</f>
        <v>6.9143518518518521E-2</v>
      </c>
      <c r="L128" s="59">
        <f t="shared" ca="1" si="8"/>
        <v>45877</v>
      </c>
      <c r="M128" s="30">
        <f t="shared" ca="1" si="9"/>
        <v>0.1</v>
      </c>
      <c r="N128" s="31"/>
      <c r="O128" s="31">
        <v>82</v>
      </c>
      <c r="P128" s="29">
        <v>80</v>
      </c>
      <c r="Q128" s="29">
        <v>90</v>
      </c>
    </row>
    <row r="129" spans="1:17" x14ac:dyDescent="0.35">
      <c r="A129" s="26">
        <v>40000002516</v>
      </c>
      <c r="B129" s="31">
        <v>1</v>
      </c>
      <c r="C129" s="29" t="str">
        <f>LOOKUP(A129,'QALS - Inspection Lot Record'!$A$2:$A$361,'QALS - Inspection Lot Record'!$O$2:$O$361)</f>
        <v>Metformin Tablets (200 MG)</v>
      </c>
      <c r="D129" s="31">
        <v>80</v>
      </c>
      <c r="E129" s="29" t="s">
        <v>407</v>
      </c>
      <c r="F129" s="29" t="str">
        <f>LOOKUP(A129,'QALS - Inspection Lot Record'!A:A,'QALS - Inspection Lot Record'!G:G)</f>
        <v>YA284176</v>
      </c>
      <c r="G129" s="59">
        <f ca="1">LOOKUP(A129,'QALS - Inspection Lot Record'!A:A,'QALS - Inspection Lot Record'!E:E)</f>
        <v>45877</v>
      </c>
      <c r="H129" s="34" t="str">
        <f t="shared" si="10"/>
        <v>A</v>
      </c>
      <c r="I129" s="29" t="str">
        <f t="shared" si="6"/>
        <v>YA284176</v>
      </c>
      <c r="J129" s="59">
        <f t="shared" ca="1" si="7"/>
        <v>45877</v>
      </c>
      <c r="K129" s="30">
        <f ca="1">LOOKUP(A129,'QALS - Inspection Lot Record'!A:A,'QALS - Inspection Lot Record'!I:I)</f>
        <v>6.9143518518518521E-2</v>
      </c>
      <c r="L129" s="59">
        <f t="shared" ca="1" si="8"/>
        <v>45877</v>
      </c>
      <c r="M129" s="30">
        <f t="shared" ca="1" si="9"/>
        <v>9.778935185185185E-2</v>
      </c>
      <c r="N129" s="31"/>
      <c r="O129" s="31">
        <v>25.5</v>
      </c>
      <c r="P129" s="29">
        <v>23</v>
      </c>
      <c r="Q129" s="29">
        <v>28</v>
      </c>
    </row>
    <row r="130" spans="1:17" x14ac:dyDescent="0.35">
      <c r="A130" s="26">
        <v>40000002517</v>
      </c>
      <c r="B130" s="27">
        <v>1</v>
      </c>
      <c r="C130" s="29" t="str">
        <f>LOOKUP(A130,'QALS - Inspection Lot Record'!$A$2:$A$361,'QALS - Inspection Lot Record'!$O$2:$O$361)</f>
        <v>Metformin Tablets (200 MG)</v>
      </c>
      <c r="D130" s="27">
        <v>10</v>
      </c>
      <c r="E130" s="26" t="s">
        <v>399</v>
      </c>
      <c r="F130" s="29" t="str">
        <f>LOOKUP(A130,'QALS - Inspection Lot Record'!A:A,'QALS - Inspection Lot Record'!G:G)</f>
        <v>ZK384180</v>
      </c>
      <c r="G130" s="59">
        <f ca="1">LOOKUP(A130,'QALS - Inspection Lot Record'!A:A,'QALS - Inspection Lot Record'!E:E)</f>
        <v>45878</v>
      </c>
      <c r="H130" s="34" t="str">
        <f t="shared" si="10"/>
        <v>A</v>
      </c>
      <c r="I130" s="29" t="str">
        <f t="shared" ref="I130:I193" si="11">F130</f>
        <v>ZK384180</v>
      </c>
      <c r="J130" s="59">
        <f t="shared" ref="J130:J193" ca="1" si="12">G130</f>
        <v>45878</v>
      </c>
      <c r="K130" s="30">
        <f ca="1">LOOKUP(A130,'QALS - Inspection Lot Record'!A:A,'QALS - Inspection Lot Record'!I:I)</f>
        <v>0.70297453703703705</v>
      </c>
      <c r="L130" s="59">
        <f t="shared" ref="L130:L193" ca="1" si="13">G130</f>
        <v>45878</v>
      </c>
      <c r="M130" s="30">
        <f t="shared" ref="M130:M193" ca="1" si="14">K130+TIME(0,RANDBETWEEN(25,50),RANDBETWEEN(0,59))</f>
        <v>0.72491898148148148</v>
      </c>
      <c r="N130" s="31"/>
      <c r="O130" s="31">
        <v>99</v>
      </c>
      <c r="P130" s="29">
        <v>95</v>
      </c>
      <c r="Q130" s="29">
        <v>103</v>
      </c>
    </row>
    <row r="131" spans="1:17" x14ac:dyDescent="0.35">
      <c r="A131" s="26">
        <v>40000002517</v>
      </c>
      <c r="B131" s="27">
        <v>1</v>
      </c>
      <c r="C131" s="29" t="str">
        <f>LOOKUP(A131,'QALS - Inspection Lot Record'!$A$2:$A$361,'QALS - Inspection Lot Record'!$O$2:$O$361)</f>
        <v>Metformin Tablets (200 MG)</v>
      </c>
      <c r="D131" s="31">
        <v>20</v>
      </c>
      <c r="E131" s="29" t="s">
        <v>400</v>
      </c>
      <c r="F131" s="29" t="str">
        <f>LOOKUP(A131,'QALS - Inspection Lot Record'!A:A,'QALS - Inspection Lot Record'!G:G)</f>
        <v>ZK384180</v>
      </c>
      <c r="G131" s="59">
        <f ca="1">LOOKUP(A131,'QALS - Inspection Lot Record'!A:A,'QALS - Inspection Lot Record'!E:E)</f>
        <v>45878</v>
      </c>
      <c r="H131" s="34" t="str">
        <f t="shared" si="10"/>
        <v>A</v>
      </c>
      <c r="I131" s="29" t="str">
        <f t="shared" si="11"/>
        <v>ZK384180</v>
      </c>
      <c r="J131" s="59">
        <f t="shared" ca="1" si="12"/>
        <v>45878</v>
      </c>
      <c r="K131" s="30">
        <f ca="1">LOOKUP(A131,'QALS - Inspection Lot Record'!A:A,'QALS - Inspection Lot Record'!I:I)</f>
        <v>0.70297453703703705</v>
      </c>
      <c r="L131" s="59">
        <f t="shared" ca="1" si="13"/>
        <v>45878</v>
      </c>
      <c r="M131" s="30">
        <f t="shared" ca="1" si="14"/>
        <v>0.73306712962962961</v>
      </c>
      <c r="N131" s="31"/>
      <c r="O131" s="31">
        <v>7.75</v>
      </c>
      <c r="P131" s="29">
        <v>6</v>
      </c>
      <c r="Q131" s="29">
        <v>9.5</v>
      </c>
    </row>
    <row r="132" spans="1:17" x14ac:dyDescent="0.35">
      <c r="A132" s="26">
        <v>40000002517</v>
      </c>
      <c r="B132" s="31">
        <v>1</v>
      </c>
      <c r="C132" s="29" t="str">
        <f>LOOKUP(A132,'QALS - Inspection Lot Record'!$A$2:$A$361,'QALS - Inspection Lot Record'!$O$2:$O$361)</f>
        <v>Metformin Tablets (200 MG)</v>
      </c>
      <c r="D132" s="31">
        <v>30</v>
      </c>
      <c r="E132" s="29" t="s">
        <v>401</v>
      </c>
      <c r="F132" s="29" t="str">
        <f>LOOKUP(A132,'QALS - Inspection Lot Record'!A:A,'QALS - Inspection Lot Record'!G:G)</f>
        <v>ZK384180</v>
      </c>
      <c r="G132" s="59">
        <f ca="1">LOOKUP(A132,'QALS - Inspection Lot Record'!A:A,'QALS - Inspection Lot Record'!E:E)</f>
        <v>45878</v>
      </c>
      <c r="H132" s="34" t="str">
        <f t="shared" si="10"/>
        <v>A</v>
      </c>
      <c r="I132" s="29" t="str">
        <f t="shared" si="11"/>
        <v>ZK384180</v>
      </c>
      <c r="J132" s="59">
        <f t="shared" ca="1" si="12"/>
        <v>45878</v>
      </c>
      <c r="K132" s="30">
        <f ca="1">LOOKUP(A132,'QALS - Inspection Lot Record'!A:A,'QALS - Inspection Lot Record'!I:I)</f>
        <v>0.70297453703703705</v>
      </c>
      <c r="L132" s="59">
        <f t="shared" ca="1" si="13"/>
        <v>45878</v>
      </c>
      <c r="M132" s="30">
        <f t="shared" ca="1" si="14"/>
        <v>0.73406250000000006</v>
      </c>
      <c r="N132" s="11" t="s">
        <v>402</v>
      </c>
      <c r="O132" s="31"/>
      <c r="P132" s="29"/>
      <c r="Q132" s="29"/>
    </row>
    <row r="133" spans="1:17" x14ac:dyDescent="0.35">
      <c r="A133" s="26">
        <v>40000002517</v>
      </c>
      <c r="B133" s="31">
        <v>1</v>
      </c>
      <c r="C133" s="29" t="str">
        <f>LOOKUP(A133,'QALS - Inspection Lot Record'!$A$2:$A$361,'QALS - Inspection Lot Record'!$O$2:$O$361)</f>
        <v>Metformin Tablets (200 MG)</v>
      </c>
      <c r="D133" s="31">
        <v>40</v>
      </c>
      <c r="E133" s="29" t="s">
        <v>403</v>
      </c>
      <c r="F133" s="29" t="str">
        <f>LOOKUP(A133,'QALS - Inspection Lot Record'!A:A,'QALS - Inspection Lot Record'!G:G)</f>
        <v>ZK384180</v>
      </c>
      <c r="G133" s="59">
        <f ca="1">LOOKUP(A133,'QALS - Inspection Lot Record'!A:A,'QALS - Inspection Lot Record'!E:E)</f>
        <v>45878</v>
      </c>
      <c r="H133" s="34" t="str">
        <f t="shared" si="10"/>
        <v>A</v>
      </c>
      <c r="I133" s="29" t="str">
        <f t="shared" si="11"/>
        <v>ZK384180</v>
      </c>
      <c r="J133" s="59">
        <f t="shared" ca="1" si="12"/>
        <v>45878</v>
      </c>
      <c r="K133" s="30">
        <f ca="1">LOOKUP(A133,'QALS - Inspection Lot Record'!A:A,'QALS - Inspection Lot Record'!I:I)</f>
        <v>0.70297453703703705</v>
      </c>
      <c r="L133" s="59">
        <f t="shared" ca="1" si="13"/>
        <v>45878</v>
      </c>
      <c r="M133" s="30">
        <f t="shared" ca="1" si="14"/>
        <v>0.73811342592592588</v>
      </c>
      <c r="N133" s="31"/>
      <c r="O133" s="31">
        <v>1</v>
      </c>
      <c r="P133" s="29">
        <v>0</v>
      </c>
      <c r="Q133" s="29">
        <v>2</v>
      </c>
    </row>
    <row r="134" spans="1:17" x14ac:dyDescent="0.35">
      <c r="A134" s="26">
        <v>40000002517</v>
      </c>
      <c r="B134" s="31">
        <v>1</v>
      </c>
      <c r="C134" s="29" t="str">
        <f>LOOKUP(A134,'QALS - Inspection Lot Record'!$A$2:$A$361,'QALS - Inspection Lot Record'!$O$2:$O$361)</f>
        <v>Metformin Tablets (200 MG)</v>
      </c>
      <c r="D134" s="31">
        <v>50</v>
      </c>
      <c r="E134" s="29" t="s">
        <v>404</v>
      </c>
      <c r="F134" s="29" t="str">
        <f>LOOKUP(A134,'QALS - Inspection Lot Record'!A:A,'QALS - Inspection Lot Record'!G:G)</f>
        <v>ZK384180</v>
      </c>
      <c r="G134" s="59">
        <f ca="1">LOOKUP(A134,'QALS - Inspection Lot Record'!A:A,'QALS - Inspection Lot Record'!E:E)</f>
        <v>45878</v>
      </c>
      <c r="H134" s="34" t="str">
        <f t="shared" si="10"/>
        <v>A</v>
      </c>
      <c r="I134" s="29" t="str">
        <f t="shared" si="11"/>
        <v>ZK384180</v>
      </c>
      <c r="J134" s="59">
        <f t="shared" ca="1" si="12"/>
        <v>45878</v>
      </c>
      <c r="K134" s="30">
        <f ca="1">LOOKUP(A134,'QALS - Inspection Lot Record'!A:A,'QALS - Inspection Lot Record'!I:I)</f>
        <v>0.70297453703703705</v>
      </c>
      <c r="L134" s="59">
        <f t="shared" ca="1" si="13"/>
        <v>45878</v>
      </c>
      <c r="M134" s="30">
        <f t="shared" ca="1" si="14"/>
        <v>0.73493055555555553</v>
      </c>
      <c r="N134" s="31"/>
      <c r="O134" s="31">
        <v>50</v>
      </c>
      <c r="P134" s="29">
        <v>40</v>
      </c>
      <c r="Q134" s="29">
        <v>60</v>
      </c>
    </row>
    <row r="135" spans="1:17" x14ac:dyDescent="0.35">
      <c r="A135" s="26">
        <v>40000002517</v>
      </c>
      <c r="B135" s="31">
        <v>1</v>
      </c>
      <c r="C135" s="29" t="str">
        <f>LOOKUP(A135,'QALS - Inspection Lot Record'!$A$2:$A$361,'QALS - Inspection Lot Record'!$O$2:$O$361)</f>
        <v>Metformin Tablets (200 MG)</v>
      </c>
      <c r="D135" s="31">
        <v>60</v>
      </c>
      <c r="E135" s="29" t="s">
        <v>405</v>
      </c>
      <c r="F135" s="29" t="str">
        <f>LOOKUP(A135,'QALS - Inspection Lot Record'!A:A,'QALS - Inspection Lot Record'!G:G)</f>
        <v>ZK384180</v>
      </c>
      <c r="G135" s="59">
        <f ca="1">LOOKUP(A135,'QALS - Inspection Lot Record'!A:A,'QALS - Inspection Lot Record'!E:E)</f>
        <v>45878</v>
      </c>
      <c r="H135" s="34" t="str">
        <f t="shared" si="10"/>
        <v>A</v>
      </c>
      <c r="I135" s="29" t="str">
        <f t="shared" si="11"/>
        <v>ZK384180</v>
      </c>
      <c r="J135" s="59">
        <f t="shared" ca="1" si="12"/>
        <v>45878</v>
      </c>
      <c r="K135" s="30">
        <f ca="1">LOOKUP(A135,'QALS - Inspection Lot Record'!A:A,'QALS - Inspection Lot Record'!I:I)</f>
        <v>0.70297453703703705</v>
      </c>
      <c r="L135" s="59">
        <f t="shared" ca="1" si="13"/>
        <v>45878</v>
      </c>
      <c r="M135" s="30">
        <f t="shared" ca="1" si="14"/>
        <v>0.73275462962962967</v>
      </c>
      <c r="N135" s="31"/>
      <c r="O135" s="31">
        <v>77.5</v>
      </c>
      <c r="P135" s="29">
        <v>70</v>
      </c>
      <c r="Q135" s="29">
        <v>85</v>
      </c>
    </row>
    <row r="136" spans="1:17" x14ac:dyDescent="0.35">
      <c r="A136" s="26">
        <v>40000002517</v>
      </c>
      <c r="B136" s="31">
        <v>1</v>
      </c>
      <c r="C136" s="29" t="str">
        <f>LOOKUP(A136,'QALS - Inspection Lot Record'!$A$2:$A$361,'QALS - Inspection Lot Record'!$O$2:$O$361)</f>
        <v>Metformin Tablets (200 MG)</v>
      </c>
      <c r="D136" s="31">
        <v>70</v>
      </c>
      <c r="E136" s="29" t="s">
        <v>406</v>
      </c>
      <c r="F136" s="29" t="str">
        <f>LOOKUP(A136,'QALS - Inspection Lot Record'!A:A,'QALS - Inspection Lot Record'!G:G)</f>
        <v>ZK384180</v>
      </c>
      <c r="G136" s="59">
        <f ca="1">LOOKUP(A136,'QALS - Inspection Lot Record'!A:A,'QALS - Inspection Lot Record'!E:E)</f>
        <v>45878</v>
      </c>
      <c r="H136" s="34" t="str">
        <f t="shared" si="10"/>
        <v>A</v>
      </c>
      <c r="I136" s="29" t="str">
        <f t="shared" si="11"/>
        <v>ZK384180</v>
      </c>
      <c r="J136" s="59">
        <f t="shared" ca="1" si="12"/>
        <v>45878</v>
      </c>
      <c r="K136" s="30">
        <f ca="1">LOOKUP(A136,'QALS - Inspection Lot Record'!A:A,'QALS - Inspection Lot Record'!I:I)</f>
        <v>0.70297453703703705</v>
      </c>
      <c r="L136" s="59">
        <f t="shared" ca="1" si="13"/>
        <v>45878</v>
      </c>
      <c r="M136" s="30">
        <f t="shared" ca="1" si="14"/>
        <v>0.7287731481481482</v>
      </c>
      <c r="N136" s="31"/>
      <c r="O136" s="31">
        <v>85</v>
      </c>
      <c r="P136" s="29">
        <v>80</v>
      </c>
      <c r="Q136" s="29">
        <v>90</v>
      </c>
    </row>
    <row r="137" spans="1:17" x14ac:dyDescent="0.35">
      <c r="A137" s="26">
        <v>40000002517</v>
      </c>
      <c r="B137" s="31">
        <v>1</v>
      </c>
      <c r="C137" s="29" t="str">
        <f>LOOKUP(A137,'QALS - Inspection Lot Record'!$A$2:$A$361,'QALS - Inspection Lot Record'!$O$2:$O$361)</f>
        <v>Metformin Tablets (200 MG)</v>
      </c>
      <c r="D137" s="31">
        <v>80</v>
      </c>
      <c r="E137" s="29" t="s">
        <v>407</v>
      </c>
      <c r="F137" s="29" t="str">
        <f>LOOKUP(A137,'QALS - Inspection Lot Record'!A:A,'QALS - Inspection Lot Record'!G:G)</f>
        <v>ZK384180</v>
      </c>
      <c r="G137" s="59">
        <f ca="1">LOOKUP(A137,'QALS - Inspection Lot Record'!A:A,'QALS - Inspection Lot Record'!E:E)</f>
        <v>45878</v>
      </c>
      <c r="H137" s="34" t="str">
        <f t="shared" si="10"/>
        <v>R</v>
      </c>
      <c r="I137" s="29" t="str">
        <f t="shared" si="11"/>
        <v>ZK384180</v>
      </c>
      <c r="J137" s="59">
        <f t="shared" ca="1" si="12"/>
        <v>45878</v>
      </c>
      <c r="K137" s="30">
        <f ca="1">LOOKUP(A137,'QALS - Inspection Lot Record'!A:A,'QALS - Inspection Lot Record'!I:I)</f>
        <v>0.70297453703703705</v>
      </c>
      <c r="L137" s="59">
        <f t="shared" ca="1" si="13"/>
        <v>45878</v>
      </c>
      <c r="M137" s="30">
        <f t="shared" ca="1" si="14"/>
        <v>0.72641203703703705</v>
      </c>
      <c r="N137" s="31"/>
      <c r="O137" s="31">
        <v>21.2</v>
      </c>
      <c r="P137" s="29">
        <v>23</v>
      </c>
      <c r="Q137" s="29">
        <v>28</v>
      </c>
    </row>
    <row r="138" spans="1:17" x14ac:dyDescent="0.35">
      <c r="A138" s="26">
        <v>40000002518</v>
      </c>
      <c r="B138" s="27">
        <v>1</v>
      </c>
      <c r="C138" s="29" t="str">
        <f>LOOKUP(A138,'QALS - Inspection Lot Record'!$A$2:$A$361,'QALS - Inspection Lot Record'!$O$2:$O$361)</f>
        <v>Ibuprofen Tablets (100 MG)</v>
      </c>
      <c r="D138" s="27">
        <v>10</v>
      </c>
      <c r="E138" s="26" t="s">
        <v>399</v>
      </c>
      <c r="F138" s="29" t="str">
        <f>LOOKUP(A138,'QALS - Inspection Lot Record'!A:A,'QALS - Inspection Lot Record'!G:G)</f>
        <v>YA284176</v>
      </c>
      <c r="G138" s="59">
        <f ca="1">LOOKUP(A138,'QALS - Inspection Lot Record'!A:A,'QALS - Inspection Lot Record'!E:E)</f>
        <v>45878</v>
      </c>
      <c r="H138" s="34" t="str">
        <f t="shared" ref="H138:H201" si="15">IF(AND(P138&lt;=O138,O138&lt;=Q138),"A","R")</f>
        <v>A</v>
      </c>
      <c r="I138" s="29" t="str">
        <f t="shared" si="11"/>
        <v>YA284176</v>
      </c>
      <c r="J138" s="59">
        <f t="shared" ca="1" si="12"/>
        <v>45878</v>
      </c>
      <c r="K138" s="30">
        <f ca="1">LOOKUP(A138,'QALS - Inspection Lot Record'!A:A,'QALS - Inspection Lot Record'!I:I)</f>
        <v>0.17247685185185185</v>
      </c>
      <c r="L138" s="59">
        <f t="shared" ca="1" si="13"/>
        <v>45878</v>
      </c>
      <c r="M138" s="30">
        <f t="shared" ca="1" si="14"/>
        <v>0.19844907407407408</v>
      </c>
      <c r="N138" s="31"/>
      <c r="O138" s="31">
        <v>98.5</v>
      </c>
      <c r="P138" s="29">
        <v>95</v>
      </c>
      <c r="Q138" s="29">
        <v>102</v>
      </c>
    </row>
    <row r="139" spans="1:17" x14ac:dyDescent="0.35">
      <c r="A139" s="26">
        <v>40000002518</v>
      </c>
      <c r="B139" s="27">
        <v>1</v>
      </c>
      <c r="C139" s="29" t="str">
        <f>LOOKUP(A139,'QALS - Inspection Lot Record'!$A$2:$A$361,'QALS - Inspection Lot Record'!$O$2:$O$361)</f>
        <v>Ibuprofen Tablets (100 MG)</v>
      </c>
      <c r="D139" s="31">
        <v>20</v>
      </c>
      <c r="E139" s="29" t="s">
        <v>400</v>
      </c>
      <c r="F139" s="29" t="str">
        <f>LOOKUP(A139,'QALS - Inspection Lot Record'!A:A,'QALS - Inspection Lot Record'!G:G)</f>
        <v>YA284176</v>
      </c>
      <c r="G139" s="59">
        <f ca="1">LOOKUP(A139,'QALS - Inspection Lot Record'!A:A,'QALS - Inspection Lot Record'!E:E)</f>
        <v>45878</v>
      </c>
      <c r="H139" s="34" t="str">
        <f t="shared" si="15"/>
        <v>A</v>
      </c>
      <c r="I139" s="29" t="str">
        <f t="shared" si="11"/>
        <v>YA284176</v>
      </c>
      <c r="J139" s="59">
        <f t="shared" ca="1" si="12"/>
        <v>45878</v>
      </c>
      <c r="K139" s="30">
        <f ca="1">LOOKUP(A139,'QALS - Inspection Lot Record'!A:A,'QALS - Inspection Lot Record'!I:I)</f>
        <v>0.17247685185185185</v>
      </c>
      <c r="L139" s="59">
        <f t="shared" ca="1" si="13"/>
        <v>45878</v>
      </c>
      <c r="M139" s="30">
        <f t="shared" ca="1" si="14"/>
        <v>0.20244212962962962</v>
      </c>
      <c r="N139" s="31"/>
      <c r="O139" s="31">
        <v>7.25</v>
      </c>
      <c r="P139" s="29">
        <v>3.5</v>
      </c>
      <c r="Q139" s="29">
        <v>11</v>
      </c>
    </row>
    <row r="140" spans="1:17" x14ac:dyDescent="0.35">
      <c r="A140" s="26">
        <v>40000002518</v>
      </c>
      <c r="B140" s="31">
        <v>1</v>
      </c>
      <c r="C140" s="29" t="str">
        <f>LOOKUP(A140,'QALS - Inspection Lot Record'!$A$2:$A$361,'QALS - Inspection Lot Record'!$O$2:$O$361)</f>
        <v>Ibuprofen Tablets (100 MG)</v>
      </c>
      <c r="D140" s="31">
        <v>30</v>
      </c>
      <c r="E140" s="29" t="s">
        <v>401</v>
      </c>
      <c r="F140" s="29" t="str">
        <f>LOOKUP(A140,'QALS - Inspection Lot Record'!A:A,'QALS - Inspection Lot Record'!G:G)</f>
        <v>YA284176</v>
      </c>
      <c r="G140" s="59">
        <f ca="1">LOOKUP(A140,'QALS - Inspection Lot Record'!A:A,'QALS - Inspection Lot Record'!E:E)</f>
        <v>45878</v>
      </c>
      <c r="H140" s="34" t="str">
        <f t="shared" si="15"/>
        <v>A</v>
      </c>
      <c r="I140" s="29" t="str">
        <f t="shared" si="11"/>
        <v>YA284176</v>
      </c>
      <c r="J140" s="59">
        <f t="shared" ca="1" si="12"/>
        <v>45878</v>
      </c>
      <c r="K140" s="30">
        <f ca="1">LOOKUP(A140,'QALS - Inspection Lot Record'!A:A,'QALS - Inspection Lot Record'!I:I)</f>
        <v>0.17247685185185185</v>
      </c>
      <c r="L140" s="59">
        <f t="shared" ca="1" si="13"/>
        <v>45878</v>
      </c>
      <c r="M140" s="30">
        <f t="shared" ca="1" si="14"/>
        <v>0.20141203703703703</v>
      </c>
      <c r="N140" s="11" t="s">
        <v>402</v>
      </c>
      <c r="O140" s="31"/>
      <c r="P140" s="29"/>
      <c r="Q140" s="29"/>
    </row>
    <row r="141" spans="1:17" x14ac:dyDescent="0.35">
      <c r="A141" s="26">
        <v>40000002518</v>
      </c>
      <c r="B141" s="31">
        <v>1</v>
      </c>
      <c r="C141" s="29" t="str">
        <f>LOOKUP(A141,'QALS - Inspection Lot Record'!$A$2:$A$361,'QALS - Inspection Lot Record'!$O$2:$O$361)</f>
        <v>Ibuprofen Tablets (100 MG)</v>
      </c>
      <c r="D141" s="31">
        <v>40</v>
      </c>
      <c r="E141" s="29" t="s">
        <v>403</v>
      </c>
      <c r="F141" s="29" t="str">
        <f>LOOKUP(A141,'QALS - Inspection Lot Record'!A:A,'QALS - Inspection Lot Record'!G:G)</f>
        <v>YA284176</v>
      </c>
      <c r="G141" s="59">
        <f ca="1">LOOKUP(A141,'QALS - Inspection Lot Record'!A:A,'QALS - Inspection Lot Record'!E:E)</f>
        <v>45878</v>
      </c>
      <c r="H141" s="34" t="str">
        <f t="shared" si="15"/>
        <v>A</v>
      </c>
      <c r="I141" s="29" t="str">
        <f t="shared" si="11"/>
        <v>YA284176</v>
      </c>
      <c r="J141" s="59">
        <f t="shared" ca="1" si="12"/>
        <v>45878</v>
      </c>
      <c r="K141" s="30">
        <f ca="1">LOOKUP(A141,'QALS - Inspection Lot Record'!A:A,'QALS - Inspection Lot Record'!I:I)</f>
        <v>0.17247685185185185</v>
      </c>
      <c r="L141" s="59">
        <f t="shared" ca="1" si="13"/>
        <v>45878</v>
      </c>
      <c r="M141" s="30">
        <f t="shared" ca="1" si="14"/>
        <v>0.20354166666666668</v>
      </c>
      <c r="N141" s="31"/>
      <c r="O141" s="31">
        <v>0</v>
      </c>
      <c r="P141" s="29">
        <v>0</v>
      </c>
      <c r="Q141" s="29">
        <v>1</v>
      </c>
    </row>
    <row r="142" spans="1:17" x14ac:dyDescent="0.35">
      <c r="A142" s="26">
        <v>40000002518</v>
      </c>
      <c r="B142" s="31">
        <v>1</v>
      </c>
      <c r="C142" s="29" t="str">
        <f>LOOKUP(A142,'QALS - Inspection Lot Record'!$A$2:$A$361,'QALS - Inspection Lot Record'!$O$2:$O$361)</f>
        <v>Ibuprofen Tablets (100 MG)</v>
      </c>
      <c r="D142" s="31">
        <v>50</v>
      </c>
      <c r="E142" s="29" t="s">
        <v>404</v>
      </c>
      <c r="F142" s="29" t="str">
        <f>LOOKUP(A142,'QALS - Inspection Lot Record'!A:A,'QALS - Inspection Lot Record'!G:G)</f>
        <v>YA284176</v>
      </c>
      <c r="G142" s="59">
        <f ca="1">LOOKUP(A142,'QALS - Inspection Lot Record'!A:A,'QALS - Inspection Lot Record'!E:E)</f>
        <v>45878</v>
      </c>
      <c r="H142" s="34" t="str">
        <f t="shared" si="15"/>
        <v>A</v>
      </c>
      <c r="I142" s="29" t="str">
        <f t="shared" si="11"/>
        <v>YA284176</v>
      </c>
      <c r="J142" s="59">
        <f t="shared" ca="1" si="12"/>
        <v>45878</v>
      </c>
      <c r="K142" s="30">
        <f ca="1">LOOKUP(A142,'QALS - Inspection Lot Record'!A:A,'QALS - Inspection Lot Record'!I:I)</f>
        <v>0.17247685185185185</v>
      </c>
      <c r="L142" s="59">
        <f t="shared" ca="1" si="13"/>
        <v>45878</v>
      </c>
      <c r="M142" s="30">
        <f t="shared" ca="1" si="14"/>
        <v>0.19611111111111112</v>
      </c>
      <c r="N142" s="31"/>
      <c r="O142" s="31">
        <v>50</v>
      </c>
      <c r="P142" s="29">
        <v>40</v>
      </c>
      <c r="Q142" s="29">
        <v>60</v>
      </c>
    </row>
    <row r="143" spans="1:17" x14ac:dyDescent="0.35">
      <c r="A143" s="26">
        <v>40000002518</v>
      </c>
      <c r="B143" s="31">
        <v>1</v>
      </c>
      <c r="C143" s="29" t="str">
        <f>LOOKUP(A143,'QALS - Inspection Lot Record'!$A$2:$A$361,'QALS - Inspection Lot Record'!$O$2:$O$361)</f>
        <v>Ibuprofen Tablets (100 MG)</v>
      </c>
      <c r="D143" s="31">
        <v>60</v>
      </c>
      <c r="E143" s="29" t="s">
        <v>405</v>
      </c>
      <c r="F143" s="29" t="str">
        <f>LOOKUP(A143,'QALS - Inspection Lot Record'!A:A,'QALS - Inspection Lot Record'!G:G)</f>
        <v>YA284176</v>
      </c>
      <c r="G143" s="59">
        <f ca="1">LOOKUP(A143,'QALS - Inspection Lot Record'!A:A,'QALS - Inspection Lot Record'!E:E)</f>
        <v>45878</v>
      </c>
      <c r="H143" s="34" t="str">
        <f t="shared" si="15"/>
        <v>A</v>
      </c>
      <c r="I143" s="29" t="str">
        <f t="shared" si="11"/>
        <v>YA284176</v>
      </c>
      <c r="J143" s="59">
        <f t="shared" ca="1" si="12"/>
        <v>45878</v>
      </c>
      <c r="K143" s="30">
        <f ca="1">LOOKUP(A143,'QALS - Inspection Lot Record'!A:A,'QALS - Inspection Lot Record'!I:I)</f>
        <v>0.17247685185185185</v>
      </c>
      <c r="L143" s="59">
        <f t="shared" ca="1" si="13"/>
        <v>45878</v>
      </c>
      <c r="M143" s="30">
        <f t="shared" ca="1" si="14"/>
        <v>0.19006944444444446</v>
      </c>
      <c r="N143" s="31"/>
      <c r="O143" s="31">
        <v>77.5</v>
      </c>
      <c r="P143" s="29">
        <v>70</v>
      </c>
      <c r="Q143" s="29">
        <v>85</v>
      </c>
    </row>
    <row r="144" spans="1:17" x14ac:dyDescent="0.35">
      <c r="A144" s="26">
        <v>40000002518</v>
      </c>
      <c r="B144" s="31">
        <v>1</v>
      </c>
      <c r="C144" s="29" t="str">
        <f>LOOKUP(A144,'QALS - Inspection Lot Record'!$A$2:$A$361,'QALS - Inspection Lot Record'!$O$2:$O$361)</f>
        <v>Ibuprofen Tablets (100 MG)</v>
      </c>
      <c r="D144" s="31">
        <v>70</v>
      </c>
      <c r="E144" s="29" t="s">
        <v>406</v>
      </c>
      <c r="F144" s="29" t="str">
        <f>LOOKUP(A144,'QALS - Inspection Lot Record'!A:A,'QALS - Inspection Lot Record'!G:G)</f>
        <v>YA284176</v>
      </c>
      <c r="G144" s="59">
        <f ca="1">LOOKUP(A144,'QALS - Inspection Lot Record'!A:A,'QALS - Inspection Lot Record'!E:E)</f>
        <v>45878</v>
      </c>
      <c r="H144" s="34" t="str">
        <f t="shared" si="15"/>
        <v>A</v>
      </c>
      <c r="I144" s="29" t="str">
        <f t="shared" si="11"/>
        <v>YA284176</v>
      </c>
      <c r="J144" s="59">
        <f t="shared" ca="1" si="12"/>
        <v>45878</v>
      </c>
      <c r="K144" s="30">
        <f ca="1">LOOKUP(A144,'QALS - Inspection Lot Record'!A:A,'QALS - Inspection Lot Record'!I:I)</f>
        <v>0.17247685185185185</v>
      </c>
      <c r="L144" s="59">
        <f t="shared" ca="1" si="13"/>
        <v>45878</v>
      </c>
      <c r="M144" s="30">
        <f t="shared" ca="1" si="14"/>
        <v>0.20543981481481483</v>
      </c>
      <c r="N144" s="31"/>
      <c r="O144" s="31">
        <v>85</v>
      </c>
      <c r="P144" s="29">
        <v>80</v>
      </c>
      <c r="Q144" s="29">
        <v>90</v>
      </c>
    </row>
    <row r="145" spans="1:17" x14ac:dyDescent="0.35">
      <c r="A145" s="26">
        <v>40000002518</v>
      </c>
      <c r="B145" s="31">
        <v>1</v>
      </c>
      <c r="C145" s="29" t="str">
        <f>LOOKUP(A145,'QALS - Inspection Lot Record'!$A$2:$A$361,'QALS - Inspection Lot Record'!$O$2:$O$361)</f>
        <v>Ibuprofen Tablets (100 MG)</v>
      </c>
      <c r="D145" s="31">
        <v>80</v>
      </c>
      <c r="E145" s="29" t="s">
        <v>407</v>
      </c>
      <c r="F145" s="29" t="str">
        <f>LOOKUP(A145,'QALS - Inspection Lot Record'!A:A,'QALS - Inspection Lot Record'!G:G)</f>
        <v>YA284176</v>
      </c>
      <c r="G145" s="59">
        <f ca="1">LOOKUP(A145,'QALS - Inspection Lot Record'!A:A,'QALS - Inspection Lot Record'!E:E)</f>
        <v>45878</v>
      </c>
      <c r="H145" s="34" t="str">
        <f t="shared" si="15"/>
        <v>A</v>
      </c>
      <c r="I145" s="29" t="str">
        <f t="shared" si="11"/>
        <v>YA284176</v>
      </c>
      <c r="J145" s="59">
        <f t="shared" ca="1" si="12"/>
        <v>45878</v>
      </c>
      <c r="K145" s="30">
        <f ca="1">LOOKUP(A145,'QALS - Inspection Lot Record'!A:A,'QALS - Inspection Lot Record'!I:I)</f>
        <v>0.17247685185185185</v>
      </c>
      <c r="L145" s="59">
        <f t="shared" ca="1" si="13"/>
        <v>45878</v>
      </c>
      <c r="M145" s="30">
        <f t="shared" ca="1" si="14"/>
        <v>0.19503472222222223</v>
      </c>
      <c r="N145" s="31"/>
      <c r="O145" s="31">
        <v>24</v>
      </c>
      <c r="P145" s="29">
        <v>23</v>
      </c>
      <c r="Q145" s="29">
        <v>25</v>
      </c>
    </row>
    <row r="146" spans="1:17" x14ac:dyDescent="0.35">
      <c r="A146" s="26">
        <v>40000002519</v>
      </c>
      <c r="B146" s="27">
        <v>1</v>
      </c>
      <c r="C146" s="29" t="str">
        <f>LOOKUP(A146,'QALS - Inspection Lot Record'!$A$2:$A$361,'QALS - Inspection Lot Record'!$O$2:$O$361)</f>
        <v>Aspirin Tablets (500 MG)</v>
      </c>
      <c r="D146" s="27">
        <v>10</v>
      </c>
      <c r="E146" s="26" t="s">
        <v>399</v>
      </c>
      <c r="F146" s="29" t="str">
        <f>LOOKUP(A146,'QALS - Inspection Lot Record'!A:A,'QALS - Inspection Lot Record'!G:G)</f>
        <v>TP397880</v>
      </c>
      <c r="G146" s="59">
        <f ca="1">LOOKUP(A146,'QALS - Inspection Lot Record'!A:A,'QALS - Inspection Lot Record'!E:E)</f>
        <v>45879</v>
      </c>
      <c r="H146" s="34" t="str">
        <f t="shared" si="15"/>
        <v>A</v>
      </c>
      <c r="I146" s="29" t="str">
        <f t="shared" si="11"/>
        <v>TP397880</v>
      </c>
      <c r="J146" s="59">
        <f t="shared" ca="1" si="12"/>
        <v>45879</v>
      </c>
      <c r="K146" s="30">
        <f ca="1">LOOKUP(A146,'QALS - Inspection Lot Record'!A:A,'QALS - Inspection Lot Record'!I:I)</f>
        <v>0.72340277777777773</v>
      </c>
      <c r="L146" s="59">
        <f t="shared" ca="1" si="13"/>
        <v>45879</v>
      </c>
      <c r="M146" s="30">
        <f t="shared" ca="1" si="14"/>
        <v>0.74920138888888888</v>
      </c>
      <c r="N146" s="31"/>
      <c r="O146" s="31">
        <v>100</v>
      </c>
      <c r="P146" s="29">
        <v>95</v>
      </c>
      <c r="Q146" s="29">
        <v>105</v>
      </c>
    </row>
    <row r="147" spans="1:17" x14ac:dyDescent="0.35">
      <c r="A147" s="26">
        <v>40000002519</v>
      </c>
      <c r="B147" s="27">
        <v>1</v>
      </c>
      <c r="C147" s="29" t="str">
        <f>LOOKUP(A147,'QALS - Inspection Lot Record'!$A$2:$A$361,'QALS - Inspection Lot Record'!$O$2:$O$361)</f>
        <v>Aspirin Tablets (500 MG)</v>
      </c>
      <c r="D147" s="31">
        <v>20</v>
      </c>
      <c r="E147" s="29" t="s">
        <v>400</v>
      </c>
      <c r="F147" s="29" t="str">
        <f>LOOKUP(A147,'QALS - Inspection Lot Record'!A:A,'QALS - Inspection Lot Record'!G:G)</f>
        <v>TP397880</v>
      </c>
      <c r="G147" s="59">
        <f ca="1">LOOKUP(A147,'QALS - Inspection Lot Record'!A:A,'QALS - Inspection Lot Record'!E:E)</f>
        <v>45879</v>
      </c>
      <c r="H147" s="34" t="str">
        <f t="shared" si="15"/>
        <v>A</v>
      </c>
      <c r="I147" s="29" t="str">
        <f t="shared" si="11"/>
        <v>TP397880</v>
      </c>
      <c r="J147" s="59">
        <f t="shared" ca="1" si="12"/>
        <v>45879</v>
      </c>
      <c r="K147" s="30">
        <f ca="1">LOOKUP(A147,'QALS - Inspection Lot Record'!A:A,'QALS - Inspection Lot Record'!I:I)</f>
        <v>0.72340277777777773</v>
      </c>
      <c r="L147" s="59">
        <f t="shared" ca="1" si="13"/>
        <v>45879</v>
      </c>
      <c r="M147" s="30">
        <f t="shared" ca="1" si="14"/>
        <v>0.74671296296296297</v>
      </c>
      <c r="N147" s="31"/>
      <c r="O147" s="31">
        <v>7.3</v>
      </c>
      <c r="P147" s="29">
        <v>3.5</v>
      </c>
      <c r="Q147" s="29">
        <v>11</v>
      </c>
    </row>
    <row r="148" spans="1:17" x14ac:dyDescent="0.35">
      <c r="A148" s="26">
        <v>40000002519</v>
      </c>
      <c r="B148" s="31">
        <v>1</v>
      </c>
      <c r="C148" s="29" t="str">
        <f>LOOKUP(A148,'QALS - Inspection Lot Record'!$A$2:$A$361,'QALS - Inspection Lot Record'!$O$2:$O$361)</f>
        <v>Aspirin Tablets (500 MG)</v>
      </c>
      <c r="D148" s="31">
        <v>30</v>
      </c>
      <c r="E148" s="29" t="s">
        <v>401</v>
      </c>
      <c r="F148" s="29" t="str">
        <f>LOOKUP(A148,'QALS - Inspection Lot Record'!A:A,'QALS - Inspection Lot Record'!G:G)</f>
        <v>TP397880</v>
      </c>
      <c r="G148" s="59">
        <f ca="1">LOOKUP(A148,'QALS - Inspection Lot Record'!A:A,'QALS - Inspection Lot Record'!E:E)</f>
        <v>45879</v>
      </c>
      <c r="H148" s="34" t="str">
        <f t="shared" si="15"/>
        <v>A</v>
      </c>
      <c r="I148" s="29" t="str">
        <f t="shared" si="11"/>
        <v>TP397880</v>
      </c>
      <c r="J148" s="59">
        <f t="shared" ca="1" si="12"/>
        <v>45879</v>
      </c>
      <c r="K148" s="30">
        <f ca="1">LOOKUP(A148,'QALS - Inspection Lot Record'!A:A,'QALS - Inspection Lot Record'!I:I)</f>
        <v>0.72340277777777773</v>
      </c>
      <c r="L148" s="59">
        <f t="shared" ca="1" si="13"/>
        <v>45879</v>
      </c>
      <c r="M148" s="30">
        <f t="shared" ca="1" si="14"/>
        <v>0.74554398148148149</v>
      </c>
      <c r="N148" s="11" t="s">
        <v>402</v>
      </c>
      <c r="O148" s="31"/>
      <c r="P148" s="29"/>
      <c r="Q148" s="29"/>
    </row>
    <row r="149" spans="1:17" x14ac:dyDescent="0.35">
      <c r="A149" s="26">
        <v>40000002519</v>
      </c>
      <c r="B149" s="31">
        <v>1</v>
      </c>
      <c r="C149" s="29" t="str">
        <f>LOOKUP(A149,'QALS - Inspection Lot Record'!$A$2:$A$361,'QALS - Inspection Lot Record'!$O$2:$O$361)</f>
        <v>Aspirin Tablets (500 MG)</v>
      </c>
      <c r="D149" s="31">
        <v>40</v>
      </c>
      <c r="E149" s="29" t="s">
        <v>403</v>
      </c>
      <c r="F149" s="29" t="str">
        <f>LOOKUP(A149,'QALS - Inspection Lot Record'!A:A,'QALS - Inspection Lot Record'!G:G)</f>
        <v>TP397880</v>
      </c>
      <c r="G149" s="59">
        <f ca="1">LOOKUP(A149,'QALS - Inspection Lot Record'!A:A,'QALS - Inspection Lot Record'!E:E)</f>
        <v>45879</v>
      </c>
      <c r="H149" s="34" t="str">
        <f t="shared" si="15"/>
        <v>A</v>
      </c>
      <c r="I149" s="29" t="str">
        <f t="shared" si="11"/>
        <v>TP397880</v>
      </c>
      <c r="J149" s="59">
        <f t="shared" ca="1" si="12"/>
        <v>45879</v>
      </c>
      <c r="K149" s="30">
        <f ca="1">LOOKUP(A149,'QALS - Inspection Lot Record'!A:A,'QALS - Inspection Lot Record'!I:I)</f>
        <v>0.72340277777777773</v>
      </c>
      <c r="L149" s="59">
        <f t="shared" ca="1" si="13"/>
        <v>45879</v>
      </c>
      <c r="M149" s="30">
        <f t="shared" ca="1" si="14"/>
        <v>0.7536342592592592</v>
      </c>
      <c r="N149" s="31"/>
      <c r="O149" s="31">
        <v>1.8</v>
      </c>
      <c r="P149" s="29">
        <v>0</v>
      </c>
      <c r="Q149" s="29">
        <v>2.5</v>
      </c>
    </row>
    <row r="150" spans="1:17" x14ac:dyDescent="0.35">
      <c r="A150" s="26">
        <v>40000002519</v>
      </c>
      <c r="B150" s="31">
        <v>1</v>
      </c>
      <c r="C150" s="29" t="str">
        <f>LOOKUP(A150,'QALS - Inspection Lot Record'!$A$2:$A$361,'QALS - Inspection Lot Record'!$O$2:$O$361)</f>
        <v>Aspirin Tablets (500 MG)</v>
      </c>
      <c r="D150" s="31">
        <v>50</v>
      </c>
      <c r="E150" s="29" t="s">
        <v>404</v>
      </c>
      <c r="F150" s="29" t="str">
        <f>LOOKUP(A150,'QALS - Inspection Lot Record'!A:A,'QALS - Inspection Lot Record'!G:G)</f>
        <v>TP397880</v>
      </c>
      <c r="G150" s="59">
        <f ca="1">LOOKUP(A150,'QALS - Inspection Lot Record'!A:A,'QALS - Inspection Lot Record'!E:E)</f>
        <v>45879</v>
      </c>
      <c r="H150" s="34" t="str">
        <f t="shared" si="15"/>
        <v>A</v>
      </c>
      <c r="I150" s="29" t="str">
        <f t="shared" si="11"/>
        <v>TP397880</v>
      </c>
      <c r="J150" s="59">
        <f t="shared" ca="1" si="12"/>
        <v>45879</v>
      </c>
      <c r="K150" s="30">
        <f ca="1">LOOKUP(A150,'QALS - Inspection Lot Record'!A:A,'QALS - Inspection Lot Record'!I:I)</f>
        <v>0.72340277777777773</v>
      </c>
      <c r="L150" s="59">
        <f t="shared" ca="1" si="13"/>
        <v>45879</v>
      </c>
      <c r="M150" s="30">
        <f t="shared" ca="1" si="14"/>
        <v>0.74799768518518517</v>
      </c>
      <c r="N150" s="31"/>
      <c r="O150" s="31">
        <v>41</v>
      </c>
      <c r="P150" s="29">
        <v>40</v>
      </c>
      <c r="Q150" s="29">
        <v>60</v>
      </c>
    </row>
    <row r="151" spans="1:17" x14ac:dyDescent="0.35">
      <c r="A151" s="26">
        <v>40000002519</v>
      </c>
      <c r="B151" s="31">
        <v>1</v>
      </c>
      <c r="C151" s="29" t="str">
        <f>LOOKUP(A151,'QALS - Inspection Lot Record'!$A$2:$A$361,'QALS - Inspection Lot Record'!$O$2:$O$361)</f>
        <v>Aspirin Tablets (500 MG)</v>
      </c>
      <c r="D151" s="31">
        <v>60</v>
      </c>
      <c r="E151" s="29" t="s">
        <v>405</v>
      </c>
      <c r="F151" s="29" t="str">
        <f>LOOKUP(A151,'QALS - Inspection Lot Record'!A:A,'QALS - Inspection Lot Record'!G:G)</f>
        <v>TP397880</v>
      </c>
      <c r="G151" s="59">
        <f ca="1">LOOKUP(A151,'QALS - Inspection Lot Record'!A:A,'QALS - Inspection Lot Record'!E:E)</f>
        <v>45879</v>
      </c>
      <c r="H151" s="34" t="str">
        <f t="shared" si="15"/>
        <v>A</v>
      </c>
      <c r="I151" s="29" t="str">
        <f t="shared" si="11"/>
        <v>TP397880</v>
      </c>
      <c r="J151" s="59">
        <f t="shared" ca="1" si="12"/>
        <v>45879</v>
      </c>
      <c r="K151" s="30">
        <f ca="1">LOOKUP(A151,'QALS - Inspection Lot Record'!A:A,'QALS - Inspection Lot Record'!I:I)</f>
        <v>0.72340277777777773</v>
      </c>
      <c r="L151" s="59">
        <f t="shared" ca="1" si="13"/>
        <v>45879</v>
      </c>
      <c r="M151" s="30">
        <f t="shared" ca="1" si="14"/>
        <v>0.75498842592592585</v>
      </c>
      <c r="N151" s="31"/>
      <c r="O151" s="31">
        <v>71.900000000000006</v>
      </c>
      <c r="P151" s="29">
        <v>70</v>
      </c>
      <c r="Q151" s="29">
        <v>85</v>
      </c>
    </row>
    <row r="152" spans="1:17" x14ac:dyDescent="0.35">
      <c r="A152" s="26">
        <v>40000002519</v>
      </c>
      <c r="B152" s="31">
        <v>1</v>
      </c>
      <c r="C152" s="29" t="str">
        <f>LOOKUP(A152,'QALS - Inspection Lot Record'!$A$2:$A$361,'QALS - Inspection Lot Record'!$O$2:$O$361)</f>
        <v>Aspirin Tablets (500 MG)</v>
      </c>
      <c r="D152" s="31">
        <v>70</v>
      </c>
      <c r="E152" s="29" t="s">
        <v>406</v>
      </c>
      <c r="F152" s="29" t="str">
        <f>LOOKUP(A152,'QALS - Inspection Lot Record'!A:A,'QALS - Inspection Lot Record'!G:G)</f>
        <v>TP397880</v>
      </c>
      <c r="G152" s="59">
        <f ca="1">LOOKUP(A152,'QALS - Inspection Lot Record'!A:A,'QALS - Inspection Lot Record'!E:E)</f>
        <v>45879</v>
      </c>
      <c r="H152" s="34" t="str">
        <f t="shared" si="15"/>
        <v>A</v>
      </c>
      <c r="I152" s="29" t="str">
        <f t="shared" si="11"/>
        <v>TP397880</v>
      </c>
      <c r="J152" s="59">
        <f t="shared" ca="1" si="12"/>
        <v>45879</v>
      </c>
      <c r="K152" s="30">
        <f ca="1">LOOKUP(A152,'QALS - Inspection Lot Record'!A:A,'QALS - Inspection Lot Record'!I:I)</f>
        <v>0.72340277777777773</v>
      </c>
      <c r="L152" s="59">
        <f t="shared" ca="1" si="13"/>
        <v>45879</v>
      </c>
      <c r="M152" s="30">
        <f t="shared" ca="1" si="14"/>
        <v>0.74747685185185175</v>
      </c>
      <c r="N152" s="31"/>
      <c r="O152" s="31">
        <v>82</v>
      </c>
      <c r="P152" s="29">
        <v>80</v>
      </c>
      <c r="Q152" s="29">
        <v>90</v>
      </c>
    </row>
    <row r="153" spans="1:17" x14ac:dyDescent="0.35">
      <c r="A153" s="26">
        <v>40000002519</v>
      </c>
      <c r="B153" s="31">
        <v>1</v>
      </c>
      <c r="C153" s="29" t="str">
        <f>LOOKUP(A153,'QALS - Inspection Lot Record'!$A$2:$A$361,'QALS - Inspection Lot Record'!$O$2:$O$361)</f>
        <v>Aspirin Tablets (500 MG)</v>
      </c>
      <c r="D153" s="31">
        <v>80</v>
      </c>
      <c r="E153" s="29" t="s">
        <v>407</v>
      </c>
      <c r="F153" s="29" t="str">
        <f>LOOKUP(A153,'QALS - Inspection Lot Record'!A:A,'QALS - Inspection Lot Record'!G:G)</f>
        <v>TP397880</v>
      </c>
      <c r="G153" s="59">
        <f ca="1">LOOKUP(A153,'QALS - Inspection Lot Record'!A:A,'QALS - Inspection Lot Record'!E:E)</f>
        <v>45879</v>
      </c>
      <c r="H153" s="34" t="str">
        <f t="shared" si="15"/>
        <v>A</v>
      </c>
      <c r="I153" s="29" t="str">
        <f t="shared" si="11"/>
        <v>TP397880</v>
      </c>
      <c r="J153" s="59">
        <f t="shared" ca="1" si="12"/>
        <v>45879</v>
      </c>
      <c r="K153" s="30">
        <f ca="1">LOOKUP(A153,'QALS - Inspection Lot Record'!A:A,'QALS - Inspection Lot Record'!I:I)</f>
        <v>0.72340277777777773</v>
      </c>
      <c r="L153" s="59">
        <f t="shared" ca="1" si="13"/>
        <v>45879</v>
      </c>
      <c r="M153" s="30">
        <f t="shared" ca="1" si="14"/>
        <v>0.7480902777777777</v>
      </c>
      <c r="N153" s="31"/>
      <c r="O153" s="31">
        <v>25.5</v>
      </c>
      <c r="P153" s="29">
        <v>23</v>
      </c>
      <c r="Q153" s="29">
        <v>28</v>
      </c>
    </row>
    <row r="154" spans="1:17" x14ac:dyDescent="0.35">
      <c r="A154" s="26">
        <v>40000002520</v>
      </c>
      <c r="B154" s="27">
        <v>1</v>
      </c>
      <c r="C154" s="29" t="str">
        <f>LOOKUP(A154,'QALS - Inspection Lot Record'!$A$2:$A$361,'QALS - Inspection Lot Record'!$O$2:$O$361)</f>
        <v>Metformin Tablets (100 MG)</v>
      </c>
      <c r="D154" s="27">
        <v>10</v>
      </c>
      <c r="E154" s="26" t="s">
        <v>399</v>
      </c>
      <c r="F154" s="29" t="str">
        <f>LOOKUP(A154,'QALS - Inspection Lot Record'!A:A,'QALS - Inspection Lot Record'!G:G)</f>
        <v>GC197258</v>
      </c>
      <c r="G154" s="59">
        <f ca="1">LOOKUP(A154,'QALS - Inspection Lot Record'!A:A,'QALS - Inspection Lot Record'!E:E)</f>
        <v>45879</v>
      </c>
      <c r="H154" s="34" t="str">
        <f t="shared" si="15"/>
        <v>A</v>
      </c>
      <c r="I154" s="29" t="str">
        <f t="shared" si="11"/>
        <v>GC197258</v>
      </c>
      <c r="J154" s="59">
        <f t="shared" ca="1" si="12"/>
        <v>45879</v>
      </c>
      <c r="K154" s="30">
        <f ca="1">LOOKUP(A154,'QALS - Inspection Lot Record'!A:A,'QALS - Inspection Lot Record'!I:I)</f>
        <v>0.3782638888888889</v>
      </c>
      <c r="L154" s="59">
        <f t="shared" ca="1" si="13"/>
        <v>45879</v>
      </c>
      <c r="M154" s="30">
        <f t="shared" ca="1" si="14"/>
        <v>0.40432870370370372</v>
      </c>
      <c r="N154" s="31"/>
      <c r="O154" s="31">
        <v>98.5</v>
      </c>
      <c r="P154" s="29">
        <v>95</v>
      </c>
      <c r="Q154" s="29">
        <v>102</v>
      </c>
    </row>
    <row r="155" spans="1:17" x14ac:dyDescent="0.35">
      <c r="A155" s="26">
        <v>40000002520</v>
      </c>
      <c r="B155" s="27">
        <v>1</v>
      </c>
      <c r="C155" s="29" t="str">
        <f>LOOKUP(A155,'QALS - Inspection Lot Record'!$A$2:$A$361,'QALS - Inspection Lot Record'!$O$2:$O$361)</f>
        <v>Metformin Tablets (100 MG)</v>
      </c>
      <c r="D155" s="31">
        <v>20</v>
      </c>
      <c r="E155" s="29" t="s">
        <v>400</v>
      </c>
      <c r="F155" s="29" t="str">
        <f>LOOKUP(A155,'QALS - Inspection Lot Record'!A:A,'QALS - Inspection Lot Record'!G:G)</f>
        <v>GC197258</v>
      </c>
      <c r="G155" s="59">
        <f ca="1">LOOKUP(A155,'QALS - Inspection Lot Record'!A:A,'QALS - Inspection Lot Record'!E:E)</f>
        <v>45879</v>
      </c>
      <c r="H155" s="34" t="str">
        <f t="shared" si="15"/>
        <v>A</v>
      </c>
      <c r="I155" s="29" t="str">
        <f t="shared" si="11"/>
        <v>GC197258</v>
      </c>
      <c r="J155" s="59">
        <f t="shared" ca="1" si="12"/>
        <v>45879</v>
      </c>
      <c r="K155" s="30">
        <f ca="1">LOOKUP(A155,'QALS - Inspection Lot Record'!A:A,'QALS - Inspection Lot Record'!I:I)</f>
        <v>0.3782638888888889</v>
      </c>
      <c r="L155" s="59">
        <f t="shared" ca="1" si="13"/>
        <v>45879</v>
      </c>
      <c r="M155" s="30">
        <f t="shared" ca="1" si="14"/>
        <v>0.3971527777777778</v>
      </c>
      <c r="N155" s="31"/>
      <c r="O155" s="31">
        <v>7.3</v>
      </c>
      <c r="P155" s="29">
        <v>3.5</v>
      </c>
      <c r="Q155" s="29">
        <v>11</v>
      </c>
    </row>
    <row r="156" spans="1:17" x14ac:dyDescent="0.35">
      <c r="A156" s="26">
        <v>40000002520</v>
      </c>
      <c r="B156" s="31">
        <v>1</v>
      </c>
      <c r="C156" s="29" t="str">
        <f>LOOKUP(A156,'QALS - Inspection Lot Record'!$A$2:$A$361,'QALS - Inspection Lot Record'!$O$2:$O$361)</f>
        <v>Metformin Tablets (100 MG)</v>
      </c>
      <c r="D156" s="31">
        <v>30</v>
      </c>
      <c r="E156" s="29" t="s">
        <v>401</v>
      </c>
      <c r="F156" s="29" t="str">
        <f>LOOKUP(A156,'QALS - Inspection Lot Record'!A:A,'QALS - Inspection Lot Record'!G:G)</f>
        <v>GC197258</v>
      </c>
      <c r="G156" s="59">
        <f ca="1">LOOKUP(A156,'QALS - Inspection Lot Record'!A:A,'QALS - Inspection Lot Record'!E:E)</f>
        <v>45879</v>
      </c>
      <c r="H156" s="34" t="str">
        <f t="shared" si="15"/>
        <v>A</v>
      </c>
      <c r="I156" s="29" t="str">
        <f t="shared" si="11"/>
        <v>GC197258</v>
      </c>
      <c r="J156" s="59">
        <f t="shared" ca="1" si="12"/>
        <v>45879</v>
      </c>
      <c r="K156" s="30">
        <f ca="1">LOOKUP(A156,'QALS - Inspection Lot Record'!A:A,'QALS - Inspection Lot Record'!I:I)</f>
        <v>0.3782638888888889</v>
      </c>
      <c r="L156" s="59">
        <f t="shared" ca="1" si="13"/>
        <v>45879</v>
      </c>
      <c r="M156" s="30">
        <f t="shared" ca="1" si="14"/>
        <v>0.41214120370370372</v>
      </c>
      <c r="N156" s="11" t="s">
        <v>402</v>
      </c>
      <c r="O156" s="31"/>
      <c r="P156" s="29"/>
      <c r="Q156" s="29"/>
    </row>
    <row r="157" spans="1:17" x14ac:dyDescent="0.35">
      <c r="A157" s="26">
        <v>40000002520</v>
      </c>
      <c r="B157" s="31">
        <v>1</v>
      </c>
      <c r="C157" s="29" t="str">
        <f>LOOKUP(A157,'QALS - Inspection Lot Record'!$A$2:$A$361,'QALS - Inspection Lot Record'!$O$2:$O$361)</f>
        <v>Metformin Tablets (100 MG)</v>
      </c>
      <c r="D157" s="31">
        <v>40</v>
      </c>
      <c r="E157" s="29" t="s">
        <v>403</v>
      </c>
      <c r="F157" s="29" t="str">
        <f>LOOKUP(A157,'QALS - Inspection Lot Record'!A:A,'QALS - Inspection Lot Record'!G:G)</f>
        <v>GC197258</v>
      </c>
      <c r="G157" s="59">
        <f ca="1">LOOKUP(A157,'QALS - Inspection Lot Record'!A:A,'QALS - Inspection Lot Record'!E:E)</f>
        <v>45879</v>
      </c>
      <c r="H157" s="34" t="str">
        <f t="shared" si="15"/>
        <v>A</v>
      </c>
      <c r="I157" s="29" t="str">
        <f t="shared" si="11"/>
        <v>GC197258</v>
      </c>
      <c r="J157" s="59">
        <f t="shared" ca="1" si="12"/>
        <v>45879</v>
      </c>
      <c r="K157" s="30">
        <f ca="1">LOOKUP(A157,'QALS - Inspection Lot Record'!A:A,'QALS - Inspection Lot Record'!I:I)</f>
        <v>0.3782638888888889</v>
      </c>
      <c r="L157" s="59">
        <f t="shared" ca="1" si="13"/>
        <v>45879</v>
      </c>
      <c r="M157" s="30">
        <f t="shared" ca="1" si="14"/>
        <v>0.40037037037037038</v>
      </c>
      <c r="N157" s="31"/>
      <c r="O157" s="31">
        <v>0.5</v>
      </c>
      <c r="P157" s="29">
        <v>0</v>
      </c>
      <c r="Q157" s="29">
        <v>1</v>
      </c>
    </row>
    <row r="158" spans="1:17" x14ac:dyDescent="0.35">
      <c r="A158" s="26">
        <v>40000002520</v>
      </c>
      <c r="B158" s="31">
        <v>1</v>
      </c>
      <c r="C158" s="29" t="str">
        <f>LOOKUP(A158,'QALS - Inspection Lot Record'!$A$2:$A$361,'QALS - Inspection Lot Record'!$O$2:$O$361)</f>
        <v>Metformin Tablets (100 MG)</v>
      </c>
      <c r="D158" s="31">
        <v>50</v>
      </c>
      <c r="E158" s="29" t="s">
        <v>404</v>
      </c>
      <c r="F158" s="29" t="str">
        <f>LOOKUP(A158,'QALS - Inspection Lot Record'!A:A,'QALS - Inspection Lot Record'!G:G)</f>
        <v>GC197258</v>
      </c>
      <c r="G158" s="59">
        <f ca="1">LOOKUP(A158,'QALS - Inspection Lot Record'!A:A,'QALS - Inspection Lot Record'!E:E)</f>
        <v>45879</v>
      </c>
      <c r="H158" s="34" t="str">
        <f t="shared" si="15"/>
        <v>A</v>
      </c>
      <c r="I158" s="29" t="str">
        <f t="shared" si="11"/>
        <v>GC197258</v>
      </c>
      <c r="J158" s="59">
        <f t="shared" ca="1" si="12"/>
        <v>45879</v>
      </c>
      <c r="K158" s="30">
        <f ca="1">LOOKUP(A158,'QALS - Inspection Lot Record'!A:A,'QALS - Inspection Lot Record'!I:I)</f>
        <v>0.3782638888888889</v>
      </c>
      <c r="L158" s="59">
        <f t="shared" ca="1" si="13"/>
        <v>45879</v>
      </c>
      <c r="M158" s="30">
        <f t="shared" ca="1" si="14"/>
        <v>0.39787037037037037</v>
      </c>
      <c r="N158" s="31"/>
      <c r="O158" s="31">
        <v>42</v>
      </c>
      <c r="P158" s="29">
        <v>40</v>
      </c>
      <c r="Q158" s="29">
        <v>60</v>
      </c>
    </row>
    <row r="159" spans="1:17" x14ac:dyDescent="0.35">
      <c r="A159" s="26">
        <v>40000002520</v>
      </c>
      <c r="B159" s="31">
        <v>1</v>
      </c>
      <c r="C159" s="29" t="str">
        <f>LOOKUP(A159,'QALS - Inspection Lot Record'!$A$2:$A$361,'QALS - Inspection Lot Record'!$O$2:$O$361)</f>
        <v>Metformin Tablets (100 MG)</v>
      </c>
      <c r="D159" s="31">
        <v>60</v>
      </c>
      <c r="E159" s="29" t="s">
        <v>405</v>
      </c>
      <c r="F159" s="29" t="str">
        <f>LOOKUP(A159,'QALS - Inspection Lot Record'!A:A,'QALS - Inspection Lot Record'!G:G)</f>
        <v>GC197258</v>
      </c>
      <c r="G159" s="59">
        <f ca="1">LOOKUP(A159,'QALS - Inspection Lot Record'!A:A,'QALS - Inspection Lot Record'!E:E)</f>
        <v>45879</v>
      </c>
      <c r="H159" s="34" t="str">
        <f t="shared" si="15"/>
        <v>A</v>
      </c>
      <c r="I159" s="29" t="str">
        <f t="shared" si="11"/>
        <v>GC197258</v>
      </c>
      <c r="J159" s="59">
        <f t="shared" ca="1" si="12"/>
        <v>45879</v>
      </c>
      <c r="K159" s="30">
        <f ca="1">LOOKUP(A159,'QALS - Inspection Lot Record'!A:A,'QALS - Inspection Lot Record'!I:I)</f>
        <v>0.3782638888888889</v>
      </c>
      <c r="L159" s="59">
        <f t="shared" ca="1" si="13"/>
        <v>45879</v>
      </c>
      <c r="M159" s="30">
        <f t="shared" ca="1" si="14"/>
        <v>0.40208333333333335</v>
      </c>
      <c r="N159" s="31"/>
      <c r="O159" s="31">
        <v>71</v>
      </c>
      <c r="P159" s="29">
        <v>70</v>
      </c>
      <c r="Q159" s="29">
        <v>85</v>
      </c>
    </row>
    <row r="160" spans="1:17" x14ac:dyDescent="0.35">
      <c r="A160" s="26">
        <v>40000002520</v>
      </c>
      <c r="B160" s="31">
        <v>1</v>
      </c>
      <c r="C160" s="29" t="str">
        <f>LOOKUP(A160,'QALS - Inspection Lot Record'!$A$2:$A$361,'QALS - Inspection Lot Record'!$O$2:$O$361)</f>
        <v>Metformin Tablets (100 MG)</v>
      </c>
      <c r="D160" s="31">
        <v>70</v>
      </c>
      <c r="E160" s="29" t="s">
        <v>406</v>
      </c>
      <c r="F160" s="29" t="str">
        <f>LOOKUP(A160,'QALS - Inspection Lot Record'!A:A,'QALS - Inspection Lot Record'!G:G)</f>
        <v>GC197258</v>
      </c>
      <c r="G160" s="59">
        <f ca="1">LOOKUP(A160,'QALS - Inspection Lot Record'!A:A,'QALS - Inspection Lot Record'!E:E)</f>
        <v>45879</v>
      </c>
      <c r="H160" s="34" t="str">
        <f t="shared" si="15"/>
        <v>A</v>
      </c>
      <c r="I160" s="29" t="str">
        <f t="shared" si="11"/>
        <v>GC197258</v>
      </c>
      <c r="J160" s="59">
        <f t="shared" ca="1" si="12"/>
        <v>45879</v>
      </c>
      <c r="K160" s="30">
        <f ca="1">LOOKUP(A160,'QALS - Inspection Lot Record'!A:A,'QALS - Inspection Lot Record'!I:I)</f>
        <v>0.3782638888888889</v>
      </c>
      <c r="L160" s="59">
        <f t="shared" ca="1" si="13"/>
        <v>45879</v>
      </c>
      <c r="M160" s="30">
        <f t="shared" ca="1" si="14"/>
        <v>0.40233796296296298</v>
      </c>
      <c r="N160" s="31"/>
      <c r="O160" s="31">
        <v>81.900000000000006</v>
      </c>
      <c r="P160" s="29">
        <v>80</v>
      </c>
      <c r="Q160" s="29">
        <v>90</v>
      </c>
    </row>
    <row r="161" spans="1:17" x14ac:dyDescent="0.35">
      <c r="A161" s="26">
        <v>40000002520</v>
      </c>
      <c r="B161" s="31">
        <v>1</v>
      </c>
      <c r="C161" s="29" t="str">
        <f>LOOKUP(A161,'QALS - Inspection Lot Record'!$A$2:$A$361,'QALS - Inspection Lot Record'!$O$2:$O$361)</f>
        <v>Metformin Tablets (100 MG)</v>
      </c>
      <c r="D161" s="31">
        <v>80</v>
      </c>
      <c r="E161" s="29" t="s">
        <v>407</v>
      </c>
      <c r="F161" s="29" t="str">
        <f>LOOKUP(A161,'QALS - Inspection Lot Record'!A:A,'QALS - Inspection Lot Record'!G:G)</f>
        <v>GC197258</v>
      </c>
      <c r="G161" s="59">
        <f ca="1">LOOKUP(A161,'QALS - Inspection Lot Record'!A:A,'QALS - Inspection Lot Record'!E:E)</f>
        <v>45879</v>
      </c>
      <c r="H161" s="34" t="str">
        <f t="shared" si="15"/>
        <v>A</v>
      </c>
      <c r="I161" s="29" t="str">
        <f t="shared" si="11"/>
        <v>GC197258</v>
      </c>
      <c r="J161" s="59">
        <f t="shared" ca="1" si="12"/>
        <v>45879</v>
      </c>
      <c r="K161" s="30">
        <f ca="1">LOOKUP(A161,'QALS - Inspection Lot Record'!A:A,'QALS - Inspection Lot Record'!I:I)</f>
        <v>0.3782638888888889</v>
      </c>
      <c r="L161" s="59">
        <f t="shared" ca="1" si="13"/>
        <v>45879</v>
      </c>
      <c r="M161" s="30">
        <f t="shared" ca="1" si="14"/>
        <v>0.41239583333333335</v>
      </c>
      <c r="N161" s="31"/>
      <c r="O161" s="31">
        <v>24</v>
      </c>
      <c r="P161" s="29">
        <v>23</v>
      </c>
      <c r="Q161" s="29">
        <v>25</v>
      </c>
    </row>
    <row r="162" spans="1:17" x14ac:dyDescent="0.35">
      <c r="A162" s="26">
        <v>40000002521</v>
      </c>
      <c r="B162" s="27">
        <v>1</v>
      </c>
      <c r="C162" s="29" t="str">
        <f>LOOKUP(A162,'QALS - Inspection Lot Record'!$A$2:$A$361,'QALS - Inspection Lot Record'!$O$2:$O$361)</f>
        <v>Ibuprofen Tablets (100 MG)</v>
      </c>
      <c r="D162" s="27">
        <v>10</v>
      </c>
      <c r="E162" s="26" t="s">
        <v>399</v>
      </c>
      <c r="F162" s="29" t="str">
        <f>LOOKUP(A162,'QALS - Inspection Lot Record'!A:A,'QALS - Inspection Lot Record'!G:G)</f>
        <v>ZK384180</v>
      </c>
      <c r="G162" s="59">
        <f ca="1">LOOKUP(A162,'QALS - Inspection Lot Record'!A:A,'QALS - Inspection Lot Record'!E:E)</f>
        <v>45880</v>
      </c>
      <c r="H162" s="34" t="str">
        <f t="shared" si="15"/>
        <v>A</v>
      </c>
      <c r="I162" s="29" t="str">
        <f t="shared" si="11"/>
        <v>ZK384180</v>
      </c>
      <c r="J162" s="59">
        <f t="shared" ca="1" si="12"/>
        <v>45880</v>
      </c>
      <c r="K162" s="30">
        <f ca="1">LOOKUP(A162,'QALS - Inspection Lot Record'!A:A,'QALS - Inspection Lot Record'!I:I)</f>
        <v>0.78569444444444447</v>
      </c>
      <c r="L162" s="59">
        <f t="shared" ca="1" si="13"/>
        <v>45880</v>
      </c>
      <c r="M162" s="30">
        <f t="shared" ca="1" si="14"/>
        <v>0.81743055555555555</v>
      </c>
      <c r="N162" s="31"/>
      <c r="O162" s="31">
        <v>98.5</v>
      </c>
      <c r="P162" s="29">
        <v>95</v>
      </c>
      <c r="Q162" s="29">
        <v>102</v>
      </c>
    </row>
    <row r="163" spans="1:17" x14ac:dyDescent="0.35">
      <c r="A163" s="26">
        <v>40000002521</v>
      </c>
      <c r="B163" s="27">
        <v>1</v>
      </c>
      <c r="C163" s="29" t="str">
        <f>LOOKUP(A163,'QALS - Inspection Lot Record'!$A$2:$A$361,'QALS - Inspection Lot Record'!$O$2:$O$361)</f>
        <v>Ibuprofen Tablets (100 MG)</v>
      </c>
      <c r="D163" s="31">
        <v>20</v>
      </c>
      <c r="E163" s="29" t="s">
        <v>400</v>
      </c>
      <c r="F163" s="29" t="str">
        <f>LOOKUP(A163,'QALS - Inspection Lot Record'!A:A,'QALS - Inspection Lot Record'!G:G)</f>
        <v>ZK384180</v>
      </c>
      <c r="G163" s="59">
        <f ca="1">LOOKUP(A163,'QALS - Inspection Lot Record'!A:A,'QALS - Inspection Lot Record'!E:E)</f>
        <v>45880</v>
      </c>
      <c r="H163" s="34" t="str">
        <f t="shared" si="15"/>
        <v>A</v>
      </c>
      <c r="I163" s="29" t="str">
        <f t="shared" si="11"/>
        <v>ZK384180</v>
      </c>
      <c r="J163" s="59">
        <f t="shared" ca="1" si="12"/>
        <v>45880</v>
      </c>
      <c r="K163" s="30">
        <f ca="1">LOOKUP(A163,'QALS - Inspection Lot Record'!A:A,'QALS - Inspection Lot Record'!I:I)</f>
        <v>0.78569444444444447</v>
      </c>
      <c r="L163" s="59">
        <f t="shared" ca="1" si="13"/>
        <v>45880</v>
      </c>
      <c r="M163" s="30">
        <f t="shared" ca="1" si="14"/>
        <v>0.80927083333333338</v>
      </c>
      <c r="N163" s="31"/>
      <c r="O163" s="31">
        <v>7.25</v>
      </c>
      <c r="P163" s="29">
        <v>3.5</v>
      </c>
      <c r="Q163" s="29">
        <v>11</v>
      </c>
    </row>
    <row r="164" spans="1:17" x14ac:dyDescent="0.35">
      <c r="A164" s="26">
        <v>40000002521</v>
      </c>
      <c r="B164" s="31">
        <v>1</v>
      </c>
      <c r="C164" s="29" t="str">
        <f>LOOKUP(A164,'QALS - Inspection Lot Record'!$A$2:$A$361,'QALS - Inspection Lot Record'!$O$2:$O$361)</f>
        <v>Ibuprofen Tablets (100 MG)</v>
      </c>
      <c r="D164" s="31">
        <v>30</v>
      </c>
      <c r="E164" s="29" t="s">
        <v>401</v>
      </c>
      <c r="F164" s="29" t="str">
        <f>LOOKUP(A164,'QALS - Inspection Lot Record'!A:A,'QALS - Inspection Lot Record'!G:G)</f>
        <v>ZK384180</v>
      </c>
      <c r="G164" s="59">
        <f ca="1">LOOKUP(A164,'QALS - Inspection Lot Record'!A:A,'QALS - Inspection Lot Record'!E:E)</f>
        <v>45880</v>
      </c>
      <c r="H164" s="34" t="str">
        <f t="shared" si="15"/>
        <v>A</v>
      </c>
      <c r="I164" s="29" t="str">
        <f t="shared" si="11"/>
        <v>ZK384180</v>
      </c>
      <c r="J164" s="59">
        <f t="shared" ca="1" si="12"/>
        <v>45880</v>
      </c>
      <c r="K164" s="30">
        <f ca="1">LOOKUP(A164,'QALS - Inspection Lot Record'!A:A,'QALS - Inspection Lot Record'!I:I)</f>
        <v>0.78569444444444447</v>
      </c>
      <c r="L164" s="59">
        <f t="shared" ca="1" si="13"/>
        <v>45880</v>
      </c>
      <c r="M164" s="30">
        <f t="shared" ca="1" si="14"/>
        <v>0.80324074074074081</v>
      </c>
      <c r="N164" s="11" t="s">
        <v>402</v>
      </c>
      <c r="O164" s="31"/>
      <c r="P164" s="29"/>
      <c r="Q164" s="29"/>
    </row>
    <row r="165" spans="1:17" x14ac:dyDescent="0.35">
      <c r="A165" s="26">
        <v>40000002521</v>
      </c>
      <c r="B165" s="31">
        <v>1</v>
      </c>
      <c r="C165" s="29" t="str">
        <f>LOOKUP(A165,'QALS - Inspection Lot Record'!$A$2:$A$361,'QALS - Inspection Lot Record'!$O$2:$O$361)</f>
        <v>Ibuprofen Tablets (100 MG)</v>
      </c>
      <c r="D165" s="31">
        <v>40</v>
      </c>
      <c r="E165" s="29" t="s">
        <v>403</v>
      </c>
      <c r="F165" s="29" t="str">
        <f>LOOKUP(A165,'QALS - Inspection Lot Record'!A:A,'QALS - Inspection Lot Record'!G:G)</f>
        <v>ZK384180</v>
      </c>
      <c r="G165" s="59">
        <f ca="1">LOOKUP(A165,'QALS - Inspection Lot Record'!A:A,'QALS - Inspection Lot Record'!E:E)</f>
        <v>45880</v>
      </c>
      <c r="H165" s="34" t="str">
        <f t="shared" si="15"/>
        <v>A</v>
      </c>
      <c r="I165" s="29" t="str">
        <f t="shared" si="11"/>
        <v>ZK384180</v>
      </c>
      <c r="J165" s="59">
        <f t="shared" ca="1" si="12"/>
        <v>45880</v>
      </c>
      <c r="K165" s="30">
        <f ca="1">LOOKUP(A165,'QALS - Inspection Lot Record'!A:A,'QALS - Inspection Lot Record'!I:I)</f>
        <v>0.78569444444444447</v>
      </c>
      <c r="L165" s="59">
        <f t="shared" ca="1" si="13"/>
        <v>45880</v>
      </c>
      <c r="M165" s="30">
        <f t="shared" ca="1" si="14"/>
        <v>0.80966435185185193</v>
      </c>
      <c r="N165" s="31"/>
      <c r="O165" s="31">
        <v>0</v>
      </c>
      <c r="P165" s="29">
        <v>0</v>
      </c>
      <c r="Q165" s="29">
        <v>1</v>
      </c>
    </row>
    <row r="166" spans="1:17" x14ac:dyDescent="0.35">
      <c r="A166" s="26">
        <v>40000002521</v>
      </c>
      <c r="B166" s="31">
        <v>1</v>
      </c>
      <c r="C166" s="29" t="str">
        <f>LOOKUP(A166,'QALS - Inspection Lot Record'!$A$2:$A$361,'QALS - Inspection Lot Record'!$O$2:$O$361)</f>
        <v>Ibuprofen Tablets (100 MG)</v>
      </c>
      <c r="D166" s="31">
        <v>50</v>
      </c>
      <c r="E166" s="29" t="s">
        <v>404</v>
      </c>
      <c r="F166" s="29" t="str">
        <f>LOOKUP(A166,'QALS - Inspection Lot Record'!A:A,'QALS - Inspection Lot Record'!G:G)</f>
        <v>ZK384180</v>
      </c>
      <c r="G166" s="59">
        <f ca="1">LOOKUP(A166,'QALS - Inspection Lot Record'!A:A,'QALS - Inspection Lot Record'!E:E)</f>
        <v>45880</v>
      </c>
      <c r="H166" s="34" t="str">
        <f t="shared" si="15"/>
        <v>R</v>
      </c>
      <c r="I166" s="29" t="str">
        <f t="shared" si="11"/>
        <v>ZK384180</v>
      </c>
      <c r="J166" s="59">
        <f t="shared" ca="1" si="12"/>
        <v>45880</v>
      </c>
      <c r="K166" s="30">
        <f ca="1">LOOKUP(A166,'QALS - Inspection Lot Record'!A:A,'QALS - Inspection Lot Record'!I:I)</f>
        <v>0.78569444444444447</v>
      </c>
      <c r="L166" s="59">
        <f t="shared" ca="1" si="13"/>
        <v>45880</v>
      </c>
      <c r="M166" s="30">
        <f t="shared" ca="1" si="14"/>
        <v>0.81194444444444447</v>
      </c>
      <c r="N166" s="31"/>
      <c r="O166" s="31">
        <v>38.700000000000003</v>
      </c>
      <c r="P166" s="29">
        <v>40</v>
      </c>
      <c r="Q166" s="29">
        <v>60</v>
      </c>
    </row>
    <row r="167" spans="1:17" x14ac:dyDescent="0.35">
      <c r="A167" s="26">
        <v>40000002521</v>
      </c>
      <c r="B167" s="31">
        <v>1</v>
      </c>
      <c r="C167" s="29" t="str">
        <f>LOOKUP(A167,'QALS - Inspection Lot Record'!$A$2:$A$361,'QALS - Inspection Lot Record'!$O$2:$O$361)</f>
        <v>Ibuprofen Tablets (100 MG)</v>
      </c>
      <c r="D167" s="31">
        <v>60</v>
      </c>
      <c r="E167" s="29" t="s">
        <v>405</v>
      </c>
      <c r="F167" s="29" t="str">
        <f>LOOKUP(A167,'QALS - Inspection Lot Record'!A:A,'QALS - Inspection Lot Record'!G:G)</f>
        <v>ZK384180</v>
      </c>
      <c r="G167" s="59">
        <f ca="1">LOOKUP(A167,'QALS - Inspection Lot Record'!A:A,'QALS - Inspection Lot Record'!E:E)</f>
        <v>45880</v>
      </c>
      <c r="H167" s="34" t="str">
        <f t="shared" si="15"/>
        <v>R</v>
      </c>
      <c r="I167" s="29" t="str">
        <f t="shared" si="11"/>
        <v>ZK384180</v>
      </c>
      <c r="J167" s="59">
        <f t="shared" ca="1" si="12"/>
        <v>45880</v>
      </c>
      <c r="K167" s="30">
        <f ca="1">LOOKUP(A167,'QALS - Inspection Lot Record'!A:A,'QALS - Inspection Lot Record'!I:I)</f>
        <v>0.78569444444444447</v>
      </c>
      <c r="L167" s="59">
        <f t="shared" ca="1" si="13"/>
        <v>45880</v>
      </c>
      <c r="M167" s="30">
        <f t="shared" ca="1" si="14"/>
        <v>0.80722222222222229</v>
      </c>
      <c r="N167" s="31"/>
      <c r="O167" s="31">
        <v>68.099999999999994</v>
      </c>
      <c r="P167" s="29">
        <v>70</v>
      </c>
      <c r="Q167" s="29">
        <v>85</v>
      </c>
    </row>
    <row r="168" spans="1:17" x14ac:dyDescent="0.35">
      <c r="A168" s="26">
        <v>40000002521</v>
      </c>
      <c r="B168" s="31">
        <v>1</v>
      </c>
      <c r="C168" s="29" t="str">
        <f>LOOKUP(A168,'QALS - Inspection Lot Record'!$A$2:$A$361,'QALS - Inspection Lot Record'!$O$2:$O$361)</f>
        <v>Ibuprofen Tablets (100 MG)</v>
      </c>
      <c r="D168" s="31">
        <v>70</v>
      </c>
      <c r="E168" s="29" t="s">
        <v>406</v>
      </c>
      <c r="F168" s="29" t="str">
        <f>LOOKUP(A168,'QALS - Inspection Lot Record'!A:A,'QALS - Inspection Lot Record'!G:G)</f>
        <v>ZK384180</v>
      </c>
      <c r="G168" s="59">
        <f ca="1">LOOKUP(A168,'QALS - Inspection Lot Record'!A:A,'QALS - Inspection Lot Record'!E:E)</f>
        <v>45880</v>
      </c>
      <c r="H168" s="34" t="str">
        <f t="shared" si="15"/>
        <v>A</v>
      </c>
      <c r="I168" s="29" t="str">
        <f t="shared" si="11"/>
        <v>ZK384180</v>
      </c>
      <c r="J168" s="59">
        <f t="shared" ca="1" si="12"/>
        <v>45880</v>
      </c>
      <c r="K168" s="30">
        <f ca="1">LOOKUP(A168,'QALS - Inspection Lot Record'!A:A,'QALS - Inspection Lot Record'!I:I)</f>
        <v>0.78569444444444447</v>
      </c>
      <c r="L168" s="59">
        <f t="shared" ca="1" si="13"/>
        <v>45880</v>
      </c>
      <c r="M168" s="30">
        <f t="shared" ca="1" si="14"/>
        <v>0.81246527777777777</v>
      </c>
      <c r="N168" s="31"/>
      <c r="O168" s="31">
        <v>85</v>
      </c>
      <c r="P168" s="29">
        <v>80</v>
      </c>
      <c r="Q168" s="29">
        <v>90</v>
      </c>
    </row>
    <row r="169" spans="1:17" x14ac:dyDescent="0.35">
      <c r="A169" s="26">
        <v>40000002521</v>
      </c>
      <c r="B169" s="31">
        <v>1</v>
      </c>
      <c r="C169" s="29" t="str">
        <f>LOOKUP(A169,'QALS - Inspection Lot Record'!$A$2:$A$361,'QALS - Inspection Lot Record'!$O$2:$O$361)</f>
        <v>Ibuprofen Tablets (100 MG)</v>
      </c>
      <c r="D169" s="31">
        <v>80</v>
      </c>
      <c r="E169" s="29" t="s">
        <v>407</v>
      </c>
      <c r="F169" s="29" t="str">
        <f>LOOKUP(A169,'QALS - Inspection Lot Record'!A:A,'QALS - Inspection Lot Record'!G:G)</f>
        <v>ZK384180</v>
      </c>
      <c r="G169" s="59">
        <f ca="1">LOOKUP(A169,'QALS - Inspection Lot Record'!A:A,'QALS - Inspection Lot Record'!E:E)</f>
        <v>45880</v>
      </c>
      <c r="H169" s="34" t="str">
        <f t="shared" si="15"/>
        <v>A</v>
      </c>
      <c r="I169" s="29" t="str">
        <f t="shared" si="11"/>
        <v>ZK384180</v>
      </c>
      <c r="J169" s="59">
        <f t="shared" ca="1" si="12"/>
        <v>45880</v>
      </c>
      <c r="K169" s="30">
        <f ca="1">LOOKUP(A169,'QALS - Inspection Lot Record'!A:A,'QALS - Inspection Lot Record'!I:I)</f>
        <v>0.78569444444444447</v>
      </c>
      <c r="L169" s="59">
        <f t="shared" ca="1" si="13"/>
        <v>45880</v>
      </c>
      <c r="M169" s="30">
        <f t="shared" ca="1" si="14"/>
        <v>0.80763888888888891</v>
      </c>
      <c r="N169" s="31"/>
      <c r="O169" s="31">
        <v>24</v>
      </c>
      <c r="P169" s="29">
        <v>23</v>
      </c>
      <c r="Q169" s="29">
        <v>25</v>
      </c>
    </row>
    <row r="170" spans="1:17" x14ac:dyDescent="0.35">
      <c r="A170" s="26">
        <v>40000002522</v>
      </c>
      <c r="B170" s="27">
        <v>1</v>
      </c>
      <c r="C170" s="29" t="str">
        <f>LOOKUP(A170,'QALS - Inspection Lot Record'!$A$2:$A$361,'QALS - Inspection Lot Record'!$O$2:$O$361)</f>
        <v>Ibuprofen Tablets (100 MG)</v>
      </c>
      <c r="D170" s="27">
        <v>10</v>
      </c>
      <c r="E170" s="26" t="s">
        <v>399</v>
      </c>
      <c r="F170" s="29" t="str">
        <f>LOOKUP(A170,'QALS - Inspection Lot Record'!A:A,'QALS - Inspection Lot Record'!G:G)</f>
        <v>YA284176</v>
      </c>
      <c r="G170" s="59">
        <f ca="1">LOOKUP(A170,'QALS - Inspection Lot Record'!A:A,'QALS - Inspection Lot Record'!E:E)</f>
        <v>45880</v>
      </c>
      <c r="H170" s="34" t="str">
        <f t="shared" si="15"/>
        <v>A</v>
      </c>
      <c r="I170" s="29" t="str">
        <f t="shared" si="11"/>
        <v>YA284176</v>
      </c>
      <c r="J170" s="59">
        <f t="shared" ca="1" si="12"/>
        <v>45880</v>
      </c>
      <c r="K170" s="30">
        <f ca="1">LOOKUP(A170,'QALS - Inspection Lot Record'!A:A,'QALS - Inspection Lot Record'!I:I)</f>
        <v>0.39339120370370373</v>
      </c>
      <c r="L170" s="59">
        <f t="shared" ca="1" si="13"/>
        <v>45880</v>
      </c>
      <c r="M170" s="30">
        <f t="shared" ca="1" si="14"/>
        <v>0.42251157407407408</v>
      </c>
      <c r="N170" s="31"/>
      <c r="O170" s="31">
        <v>98.5</v>
      </c>
      <c r="P170" s="29">
        <v>95</v>
      </c>
      <c r="Q170" s="29">
        <v>102</v>
      </c>
    </row>
    <row r="171" spans="1:17" x14ac:dyDescent="0.35">
      <c r="A171" s="26">
        <v>40000002522</v>
      </c>
      <c r="B171" s="27">
        <v>1</v>
      </c>
      <c r="C171" s="29" t="str">
        <f>LOOKUP(A171,'QALS - Inspection Lot Record'!$A$2:$A$361,'QALS - Inspection Lot Record'!$O$2:$O$361)</f>
        <v>Ibuprofen Tablets (100 MG)</v>
      </c>
      <c r="D171" s="31">
        <v>20</v>
      </c>
      <c r="E171" s="29" t="s">
        <v>400</v>
      </c>
      <c r="F171" s="29" t="str">
        <f>LOOKUP(A171,'QALS - Inspection Lot Record'!A:A,'QALS - Inspection Lot Record'!G:G)</f>
        <v>YA284176</v>
      </c>
      <c r="G171" s="59">
        <f ca="1">LOOKUP(A171,'QALS - Inspection Lot Record'!A:A,'QALS - Inspection Lot Record'!E:E)</f>
        <v>45880</v>
      </c>
      <c r="H171" s="34" t="str">
        <f t="shared" si="15"/>
        <v>A</v>
      </c>
      <c r="I171" s="29" t="str">
        <f t="shared" si="11"/>
        <v>YA284176</v>
      </c>
      <c r="J171" s="59">
        <f t="shared" ca="1" si="12"/>
        <v>45880</v>
      </c>
      <c r="K171" s="30">
        <f ca="1">LOOKUP(A171,'QALS - Inspection Lot Record'!A:A,'QALS - Inspection Lot Record'!I:I)</f>
        <v>0.39339120370370373</v>
      </c>
      <c r="L171" s="59">
        <f t="shared" ca="1" si="13"/>
        <v>45880</v>
      </c>
      <c r="M171" s="30">
        <f t="shared" ca="1" si="14"/>
        <v>0.42262731481481486</v>
      </c>
      <c r="N171" s="31"/>
      <c r="O171" s="31">
        <v>7.25</v>
      </c>
      <c r="P171" s="29">
        <v>3.5</v>
      </c>
      <c r="Q171" s="29">
        <v>11</v>
      </c>
    </row>
    <row r="172" spans="1:17" x14ac:dyDescent="0.35">
      <c r="A172" s="26">
        <v>40000002522</v>
      </c>
      <c r="B172" s="31">
        <v>1</v>
      </c>
      <c r="C172" s="29" t="str">
        <f>LOOKUP(A172,'QALS - Inspection Lot Record'!$A$2:$A$361,'QALS - Inspection Lot Record'!$O$2:$O$361)</f>
        <v>Ibuprofen Tablets (100 MG)</v>
      </c>
      <c r="D172" s="31">
        <v>30</v>
      </c>
      <c r="E172" s="29" t="s">
        <v>401</v>
      </c>
      <c r="F172" s="29" t="str">
        <f>LOOKUP(A172,'QALS - Inspection Lot Record'!A:A,'QALS - Inspection Lot Record'!G:G)</f>
        <v>YA284176</v>
      </c>
      <c r="G172" s="59">
        <f ca="1">LOOKUP(A172,'QALS - Inspection Lot Record'!A:A,'QALS - Inspection Lot Record'!E:E)</f>
        <v>45880</v>
      </c>
      <c r="H172" s="34" t="str">
        <f t="shared" si="15"/>
        <v>A</v>
      </c>
      <c r="I172" s="29" t="str">
        <f t="shared" si="11"/>
        <v>YA284176</v>
      </c>
      <c r="J172" s="59">
        <f t="shared" ca="1" si="12"/>
        <v>45880</v>
      </c>
      <c r="K172" s="30">
        <f ca="1">LOOKUP(A172,'QALS - Inspection Lot Record'!A:A,'QALS - Inspection Lot Record'!I:I)</f>
        <v>0.39339120370370373</v>
      </c>
      <c r="L172" s="59">
        <f t="shared" ca="1" si="13"/>
        <v>45880</v>
      </c>
      <c r="M172" s="30">
        <f t="shared" ca="1" si="14"/>
        <v>0.42591435185185189</v>
      </c>
      <c r="N172" s="11" t="s">
        <v>402</v>
      </c>
      <c r="O172" s="31"/>
      <c r="P172" s="29"/>
      <c r="Q172" s="29"/>
    </row>
    <row r="173" spans="1:17" x14ac:dyDescent="0.35">
      <c r="A173" s="26">
        <v>40000002522</v>
      </c>
      <c r="B173" s="31">
        <v>1</v>
      </c>
      <c r="C173" s="29" t="str">
        <f>LOOKUP(A173,'QALS - Inspection Lot Record'!$A$2:$A$361,'QALS - Inspection Lot Record'!$O$2:$O$361)</f>
        <v>Ibuprofen Tablets (100 MG)</v>
      </c>
      <c r="D173" s="31">
        <v>40</v>
      </c>
      <c r="E173" s="29" t="s">
        <v>403</v>
      </c>
      <c r="F173" s="29" t="str">
        <f>LOOKUP(A173,'QALS - Inspection Lot Record'!A:A,'QALS - Inspection Lot Record'!G:G)</f>
        <v>YA284176</v>
      </c>
      <c r="G173" s="59">
        <f ca="1">LOOKUP(A173,'QALS - Inspection Lot Record'!A:A,'QALS - Inspection Lot Record'!E:E)</f>
        <v>45880</v>
      </c>
      <c r="H173" s="34" t="str">
        <f t="shared" si="15"/>
        <v>A</v>
      </c>
      <c r="I173" s="29" t="str">
        <f t="shared" si="11"/>
        <v>YA284176</v>
      </c>
      <c r="J173" s="59">
        <f t="shared" ca="1" si="12"/>
        <v>45880</v>
      </c>
      <c r="K173" s="30">
        <f ca="1">LOOKUP(A173,'QALS - Inspection Lot Record'!A:A,'QALS - Inspection Lot Record'!I:I)</f>
        <v>0.39339120370370373</v>
      </c>
      <c r="L173" s="59">
        <f t="shared" ca="1" si="13"/>
        <v>45880</v>
      </c>
      <c r="M173" s="30">
        <f t="shared" ca="1" si="14"/>
        <v>0.42633101851851857</v>
      </c>
      <c r="N173" s="31"/>
      <c r="O173" s="31">
        <v>0</v>
      </c>
      <c r="P173" s="29">
        <v>0</v>
      </c>
      <c r="Q173" s="29">
        <v>1</v>
      </c>
    </row>
    <row r="174" spans="1:17" x14ac:dyDescent="0.35">
      <c r="A174" s="26">
        <v>40000002522</v>
      </c>
      <c r="B174" s="31">
        <v>1</v>
      </c>
      <c r="C174" s="29" t="str">
        <f>LOOKUP(A174,'QALS - Inspection Lot Record'!$A$2:$A$361,'QALS - Inspection Lot Record'!$O$2:$O$361)</f>
        <v>Ibuprofen Tablets (100 MG)</v>
      </c>
      <c r="D174" s="31">
        <v>50</v>
      </c>
      <c r="E174" s="29" t="s">
        <v>404</v>
      </c>
      <c r="F174" s="29" t="str">
        <f>LOOKUP(A174,'QALS - Inspection Lot Record'!A:A,'QALS - Inspection Lot Record'!G:G)</f>
        <v>YA284176</v>
      </c>
      <c r="G174" s="59">
        <f ca="1">LOOKUP(A174,'QALS - Inspection Lot Record'!A:A,'QALS - Inspection Lot Record'!E:E)</f>
        <v>45880</v>
      </c>
      <c r="H174" s="34" t="str">
        <f t="shared" si="15"/>
        <v>A</v>
      </c>
      <c r="I174" s="29" t="str">
        <f t="shared" si="11"/>
        <v>YA284176</v>
      </c>
      <c r="J174" s="59">
        <f t="shared" ca="1" si="12"/>
        <v>45880</v>
      </c>
      <c r="K174" s="30">
        <f ca="1">LOOKUP(A174,'QALS - Inspection Lot Record'!A:A,'QALS - Inspection Lot Record'!I:I)</f>
        <v>0.39339120370370373</v>
      </c>
      <c r="L174" s="59">
        <f t="shared" ca="1" si="13"/>
        <v>45880</v>
      </c>
      <c r="M174" s="30">
        <f t="shared" ca="1" si="14"/>
        <v>0.42809027777777781</v>
      </c>
      <c r="N174" s="31"/>
      <c r="O174" s="31">
        <v>50</v>
      </c>
      <c r="P174" s="29">
        <v>40</v>
      </c>
      <c r="Q174" s="29">
        <v>60</v>
      </c>
    </row>
    <row r="175" spans="1:17" x14ac:dyDescent="0.35">
      <c r="A175" s="26">
        <v>40000002522</v>
      </c>
      <c r="B175" s="31">
        <v>1</v>
      </c>
      <c r="C175" s="29" t="str">
        <f>LOOKUP(A175,'QALS - Inspection Lot Record'!$A$2:$A$361,'QALS - Inspection Lot Record'!$O$2:$O$361)</f>
        <v>Ibuprofen Tablets (100 MG)</v>
      </c>
      <c r="D175" s="31">
        <v>60</v>
      </c>
      <c r="E175" s="29" t="s">
        <v>405</v>
      </c>
      <c r="F175" s="29" t="str">
        <f>LOOKUP(A175,'QALS - Inspection Lot Record'!A:A,'QALS - Inspection Lot Record'!G:G)</f>
        <v>YA284176</v>
      </c>
      <c r="G175" s="59">
        <f ca="1">LOOKUP(A175,'QALS - Inspection Lot Record'!A:A,'QALS - Inspection Lot Record'!E:E)</f>
        <v>45880</v>
      </c>
      <c r="H175" s="34" t="str">
        <f t="shared" si="15"/>
        <v>A</v>
      </c>
      <c r="I175" s="29" t="str">
        <f t="shared" si="11"/>
        <v>YA284176</v>
      </c>
      <c r="J175" s="59">
        <f t="shared" ca="1" si="12"/>
        <v>45880</v>
      </c>
      <c r="K175" s="30">
        <f ca="1">LOOKUP(A175,'QALS - Inspection Lot Record'!A:A,'QALS - Inspection Lot Record'!I:I)</f>
        <v>0.39339120370370373</v>
      </c>
      <c r="L175" s="59">
        <f t="shared" ca="1" si="13"/>
        <v>45880</v>
      </c>
      <c r="M175" s="30">
        <f t="shared" ca="1" si="14"/>
        <v>0.42563657407407407</v>
      </c>
      <c r="N175" s="31"/>
      <c r="O175" s="31">
        <v>77.5</v>
      </c>
      <c r="P175" s="29">
        <v>70</v>
      </c>
      <c r="Q175" s="29">
        <v>85</v>
      </c>
    </row>
    <row r="176" spans="1:17" x14ac:dyDescent="0.35">
      <c r="A176" s="26">
        <v>40000002522</v>
      </c>
      <c r="B176" s="31">
        <v>1</v>
      </c>
      <c r="C176" s="29" t="str">
        <f>LOOKUP(A176,'QALS - Inspection Lot Record'!$A$2:$A$361,'QALS - Inspection Lot Record'!$O$2:$O$361)</f>
        <v>Ibuprofen Tablets (100 MG)</v>
      </c>
      <c r="D176" s="31">
        <v>70</v>
      </c>
      <c r="E176" s="29" t="s">
        <v>406</v>
      </c>
      <c r="F176" s="29" t="str">
        <f>LOOKUP(A176,'QALS - Inspection Lot Record'!A:A,'QALS - Inspection Lot Record'!G:G)</f>
        <v>YA284176</v>
      </c>
      <c r="G176" s="59">
        <f ca="1">LOOKUP(A176,'QALS - Inspection Lot Record'!A:A,'QALS - Inspection Lot Record'!E:E)</f>
        <v>45880</v>
      </c>
      <c r="H176" s="34" t="str">
        <f t="shared" si="15"/>
        <v>A</v>
      </c>
      <c r="I176" s="29" t="str">
        <f t="shared" si="11"/>
        <v>YA284176</v>
      </c>
      <c r="J176" s="59">
        <f t="shared" ca="1" si="12"/>
        <v>45880</v>
      </c>
      <c r="K176" s="30">
        <f ca="1">LOOKUP(A176,'QALS - Inspection Lot Record'!A:A,'QALS - Inspection Lot Record'!I:I)</f>
        <v>0.39339120370370373</v>
      </c>
      <c r="L176" s="59">
        <f t="shared" ca="1" si="13"/>
        <v>45880</v>
      </c>
      <c r="M176" s="30">
        <f t="shared" ca="1" si="14"/>
        <v>0.4129976851851852</v>
      </c>
      <c r="N176" s="31"/>
      <c r="O176" s="31">
        <v>85</v>
      </c>
      <c r="P176" s="29">
        <v>80</v>
      </c>
      <c r="Q176" s="29">
        <v>90</v>
      </c>
    </row>
    <row r="177" spans="1:17" x14ac:dyDescent="0.35">
      <c r="A177" s="26">
        <v>40000002522</v>
      </c>
      <c r="B177" s="31">
        <v>1</v>
      </c>
      <c r="C177" s="29" t="str">
        <f>LOOKUP(A177,'QALS - Inspection Lot Record'!$A$2:$A$361,'QALS - Inspection Lot Record'!$O$2:$O$361)</f>
        <v>Ibuprofen Tablets (100 MG)</v>
      </c>
      <c r="D177" s="31">
        <v>80</v>
      </c>
      <c r="E177" s="29" t="s">
        <v>407</v>
      </c>
      <c r="F177" s="29" t="str">
        <f>LOOKUP(A177,'QALS - Inspection Lot Record'!A:A,'QALS - Inspection Lot Record'!G:G)</f>
        <v>YA284176</v>
      </c>
      <c r="G177" s="59">
        <f ca="1">LOOKUP(A177,'QALS - Inspection Lot Record'!A:A,'QALS - Inspection Lot Record'!E:E)</f>
        <v>45880</v>
      </c>
      <c r="H177" s="34" t="str">
        <f t="shared" si="15"/>
        <v>A</v>
      </c>
      <c r="I177" s="29" t="str">
        <f t="shared" si="11"/>
        <v>YA284176</v>
      </c>
      <c r="J177" s="59">
        <f t="shared" ca="1" si="12"/>
        <v>45880</v>
      </c>
      <c r="K177" s="30">
        <f ca="1">LOOKUP(A177,'QALS - Inspection Lot Record'!A:A,'QALS - Inspection Lot Record'!I:I)</f>
        <v>0.39339120370370373</v>
      </c>
      <c r="L177" s="59">
        <f t="shared" ca="1" si="13"/>
        <v>45880</v>
      </c>
      <c r="M177" s="30">
        <f t="shared" ca="1" si="14"/>
        <v>0.41748842592592594</v>
      </c>
      <c r="N177" s="31"/>
      <c r="O177" s="31">
        <v>24</v>
      </c>
      <c r="P177" s="29">
        <v>23</v>
      </c>
      <c r="Q177" s="29">
        <v>25</v>
      </c>
    </row>
    <row r="178" spans="1:17" x14ac:dyDescent="0.35">
      <c r="A178" s="26">
        <v>40000002523</v>
      </c>
      <c r="B178" s="27">
        <v>1</v>
      </c>
      <c r="C178" s="29" t="str">
        <f>LOOKUP(A178,'QALS - Inspection Lot Record'!$A$2:$A$361,'QALS - Inspection Lot Record'!$O$2:$O$361)</f>
        <v>Metformin Tablets (500 MG)</v>
      </c>
      <c r="D178" s="27">
        <v>10</v>
      </c>
      <c r="E178" s="26" t="s">
        <v>399</v>
      </c>
      <c r="F178" s="29" t="str">
        <f>LOOKUP(A178,'QALS - Inspection Lot Record'!A:A,'QALS - Inspection Lot Record'!G:G)</f>
        <v>ZK384180</v>
      </c>
      <c r="G178" s="59">
        <f ca="1">LOOKUP(A178,'QALS - Inspection Lot Record'!A:A,'QALS - Inspection Lot Record'!E:E)</f>
        <v>45881</v>
      </c>
      <c r="H178" s="34" t="str">
        <f t="shared" si="15"/>
        <v>A</v>
      </c>
      <c r="I178" s="29" t="str">
        <f t="shared" si="11"/>
        <v>ZK384180</v>
      </c>
      <c r="J178" s="59">
        <f t="shared" ca="1" si="12"/>
        <v>45881</v>
      </c>
      <c r="K178" s="30">
        <f ca="1">LOOKUP(A178,'QALS - Inspection Lot Record'!A:A,'QALS - Inspection Lot Record'!I:I)</f>
        <v>0.54584490740740743</v>
      </c>
      <c r="L178" s="59">
        <f t="shared" ca="1" si="13"/>
        <v>45881</v>
      </c>
      <c r="M178" s="30">
        <f t="shared" ca="1" si="14"/>
        <v>0.57591435185185191</v>
      </c>
      <c r="N178" s="31"/>
      <c r="O178" s="31">
        <v>100</v>
      </c>
      <c r="P178" s="29">
        <v>95</v>
      </c>
      <c r="Q178" s="29">
        <v>105</v>
      </c>
    </row>
    <row r="179" spans="1:17" x14ac:dyDescent="0.35">
      <c r="A179" s="26">
        <v>40000002523</v>
      </c>
      <c r="B179" s="27">
        <v>1</v>
      </c>
      <c r="C179" s="29" t="str">
        <f>LOOKUP(A179,'QALS - Inspection Lot Record'!$A$2:$A$361,'QALS - Inspection Lot Record'!$O$2:$O$361)</f>
        <v>Metformin Tablets (500 MG)</v>
      </c>
      <c r="D179" s="31">
        <v>20</v>
      </c>
      <c r="E179" s="29" t="s">
        <v>400</v>
      </c>
      <c r="F179" s="29" t="str">
        <f>LOOKUP(A179,'QALS - Inspection Lot Record'!A:A,'QALS - Inspection Lot Record'!G:G)</f>
        <v>ZK384180</v>
      </c>
      <c r="G179" s="59">
        <f ca="1">LOOKUP(A179,'QALS - Inspection Lot Record'!A:A,'QALS - Inspection Lot Record'!E:E)</f>
        <v>45881</v>
      </c>
      <c r="H179" s="34" t="str">
        <f t="shared" si="15"/>
        <v>A</v>
      </c>
      <c r="I179" s="29" t="str">
        <f t="shared" si="11"/>
        <v>ZK384180</v>
      </c>
      <c r="J179" s="59">
        <f t="shared" ca="1" si="12"/>
        <v>45881</v>
      </c>
      <c r="K179" s="30">
        <f ca="1">LOOKUP(A179,'QALS - Inspection Lot Record'!A:A,'QALS - Inspection Lot Record'!I:I)</f>
        <v>0.54584490740740743</v>
      </c>
      <c r="L179" s="59">
        <f t="shared" ca="1" si="13"/>
        <v>45881</v>
      </c>
      <c r="M179" s="30">
        <f t="shared" ca="1" si="14"/>
        <v>0.5712962962962963</v>
      </c>
      <c r="N179" s="31"/>
      <c r="O179" s="31">
        <v>7.25</v>
      </c>
      <c r="P179" s="29">
        <v>3.5</v>
      </c>
      <c r="Q179" s="29">
        <v>11</v>
      </c>
    </row>
    <row r="180" spans="1:17" x14ac:dyDescent="0.35">
      <c r="A180" s="26">
        <v>40000002523</v>
      </c>
      <c r="B180" s="31">
        <v>1</v>
      </c>
      <c r="C180" s="29" t="str">
        <f>LOOKUP(A180,'QALS - Inspection Lot Record'!$A$2:$A$361,'QALS - Inspection Lot Record'!$O$2:$O$361)</f>
        <v>Metformin Tablets (500 MG)</v>
      </c>
      <c r="D180" s="31">
        <v>30</v>
      </c>
      <c r="E180" s="29" t="s">
        <v>401</v>
      </c>
      <c r="F180" s="29" t="str">
        <f>LOOKUP(A180,'QALS - Inspection Lot Record'!A:A,'QALS - Inspection Lot Record'!G:G)</f>
        <v>ZK384180</v>
      </c>
      <c r="G180" s="59">
        <f ca="1">LOOKUP(A180,'QALS - Inspection Lot Record'!A:A,'QALS - Inspection Lot Record'!E:E)</f>
        <v>45881</v>
      </c>
      <c r="H180" s="34" t="str">
        <f t="shared" si="15"/>
        <v>A</v>
      </c>
      <c r="I180" s="29" t="str">
        <f t="shared" si="11"/>
        <v>ZK384180</v>
      </c>
      <c r="J180" s="59">
        <f t="shared" ca="1" si="12"/>
        <v>45881</v>
      </c>
      <c r="K180" s="30">
        <f ca="1">LOOKUP(A180,'QALS - Inspection Lot Record'!A:A,'QALS - Inspection Lot Record'!I:I)</f>
        <v>0.54584490740740743</v>
      </c>
      <c r="L180" s="59">
        <f t="shared" ca="1" si="13"/>
        <v>45881</v>
      </c>
      <c r="M180" s="30">
        <f t="shared" ca="1" si="14"/>
        <v>0.56680555555555556</v>
      </c>
      <c r="N180" s="11" t="s">
        <v>402</v>
      </c>
      <c r="O180" s="31"/>
      <c r="P180" s="29"/>
      <c r="Q180" s="29"/>
    </row>
    <row r="181" spans="1:17" x14ac:dyDescent="0.35">
      <c r="A181" s="26">
        <v>40000002523</v>
      </c>
      <c r="B181" s="31">
        <v>1</v>
      </c>
      <c r="C181" s="29" t="str">
        <f>LOOKUP(A181,'QALS - Inspection Lot Record'!$A$2:$A$361,'QALS - Inspection Lot Record'!$O$2:$O$361)</f>
        <v>Metformin Tablets (500 MG)</v>
      </c>
      <c r="D181" s="31">
        <v>40</v>
      </c>
      <c r="E181" s="29" t="s">
        <v>403</v>
      </c>
      <c r="F181" s="29" t="str">
        <f>LOOKUP(A181,'QALS - Inspection Lot Record'!A:A,'QALS - Inspection Lot Record'!G:G)</f>
        <v>ZK384180</v>
      </c>
      <c r="G181" s="59">
        <f ca="1">LOOKUP(A181,'QALS - Inspection Lot Record'!A:A,'QALS - Inspection Lot Record'!E:E)</f>
        <v>45881</v>
      </c>
      <c r="H181" s="34" t="str">
        <f t="shared" si="15"/>
        <v>A</v>
      </c>
      <c r="I181" s="29" t="str">
        <f t="shared" si="11"/>
        <v>ZK384180</v>
      </c>
      <c r="J181" s="59">
        <f t="shared" ca="1" si="12"/>
        <v>45881</v>
      </c>
      <c r="K181" s="30">
        <f ca="1">LOOKUP(A181,'QALS - Inspection Lot Record'!A:A,'QALS - Inspection Lot Record'!I:I)</f>
        <v>0.54584490740740743</v>
      </c>
      <c r="L181" s="59">
        <f t="shared" ca="1" si="13"/>
        <v>45881</v>
      </c>
      <c r="M181" s="30">
        <f t="shared" ca="1" si="14"/>
        <v>0.57914351851851853</v>
      </c>
      <c r="N181" s="31"/>
      <c r="O181" s="31">
        <v>1.6</v>
      </c>
      <c r="P181" s="29">
        <v>0</v>
      </c>
      <c r="Q181" s="29">
        <v>2</v>
      </c>
    </row>
    <row r="182" spans="1:17" x14ac:dyDescent="0.35">
      <c r="A182" s="26">
        <v>40000002523</v>
      </c>
      <c r="B182" s="31">
        <v>1</v>
      </c>
      <c r="C182" s="29" t="str">
        <f>LOOKUP(A182,'QALS - Inspection Lot Record'!$A$2:$A$361,'QALS - Inspection Lot Record'!$O$2:$O$361)</f>
        <v>Metformin Tablets (500 MG)</v>
      </c>
      <c r="D182" s="31">
        <v>50</v>
      </c>
      <c r="E182" s="29" t="s">
        <v>404</v>
      </c>
      <c r="F182" s="29" t="str">
        <f>LOOKUP(A182,'QALS - Inspection Lot Record'!A:A,'QALS - Inspection Lot Record'!G:G)</f>
        <v>ZK384180</v>
      </c>
      <c r="G182" s="59">
        <f ca="1">LOOKUP(A182,'QALS - Inspection Lot Record'!A:A,'QALS - Inspection Lot Record'!E:E)</f>
        <v>45881</v>
      </c>
      <c r="H182" s="34" t="str">
        <f t="shared" si="15"/>
        <v>A</v>
      </c>
      <c r="I182" s="29" t="str">
        <f t="shared" si="11"/>
        <v>ZK384180</v>
      </c>
      <c r="J182" s="59">
        <f t="shared" ca="1" si="12"/>
        <v>45881</v>
      </c>
      <c r="K182" s="30">
        <f ca="1">LOOKUP(A182,'QALS - Inspection Lot Record'!A:A,'QALS - Inspection Lot Record'!I:I)</f>
        <v>0.54584490740740743</v>
      </c>
      <c r="L182" s="59">
        <f t="shared" ca="1" si="13"/>
        <v>45881</v>
      </c>
      <c r="M182" s="30">
        <f t="shared" ca="1" si="14"/>
        <v>0.57052083333333337</v>
      </c>
      <c r="N182" s="31"/>
      <c r="O182" s="31">
        <v>41.3</v>
      </c>
      <c r="P182" s="29">
        <v>40</v>
      </c>
      <c r="Q182" s="29">
        <v>60</v>
      </c>
    </row>
    <row r="183" spans="1:17" x14ac:dyDescent="0.35">
      <c r="A183" s="26">
        <v>40000002523</v>
      </c>
      <c r="B183" s="31">
        <v>1</v>
      </c>
      <c r="C183" s="29" t="str">
        <f>LOOKUP(A183,'QALS - Inspection Lot Record'!$A$2:$A$361,'QALS - Inspection Lot Record'!$O$2:$O$361)</f>
        <v>Metformin Tablets (500 MG)</v>
      </c>
      <c r="D183" s="31">
        <v>60</v>
      </c>
      <c r="E183" s="29" t="s">
        <v>405</v>
      </c>
      <c r="F183" s="29" t="str">
        <f>LOOKUP(A183,'QALS - Inspection Lot Record'!A:A,'QALS - Inspection Lot Record'!G:G)</f>
        <v>ZK384180</v>
      </c>
      <c r="G183" s="59">
        <f ca="1">LOOKUP(A183,'QALS - Inspection Lot Record'!A:A,'QALS - Inspection Lot Record'!E:E)</f>
        <v>45881</v>
      </c>
      <c r="H183" s="34" t="str">
        <f t="shared" si="15"/>
        <v>A</v>
      </c>
      <c r="I183" s="29" t="str">
        <f t="shared" si="11"/>
        <v>ZK384180</v>
      </c>
      <c r="J183" s="59">
        <f t="shared" ca="1" si="12"/>
        <v>45881</v>
      </c>
      <c r="K183" s="30">
        <f ca="1">LOOKUP(A183,'QALS - Inspection Lot Record'!A:A,'QALS - Inspection Lot Record'!I:I)</f>
        <v>0.54584490740740743</v>
      </c>
      <c r="L183" s="59">
        <f t="shared" ca="1" si="13"/>
        <v>45881</v>
      </c>
      <c r="M183" s="30">
        <f t="shared" ca="1" si="14"/>
        <v>0.58041666666666669</v>
      </c>
      <c r="N183" s="31"/>
      <c r="O183" s="31">
        <v>71</v>
      </c>
      <c r="P183" s="29">
        <v>70</v>
      </c>
      <c r="Q183" s="29">
        <v>85</v>
      </c>
    </row>
    <row r="184" spans="1:17" x14ac:dyDescent="0.35">
      <c r="A184" s="26">
        <v>40000002523</v>
      </c>
      <c r="B184" s="31">
        <v>1</v>
      </c>
      <c r="C184" s="29" t="str">
        <f>LOOKUP(A184,'QALS - Inspection Lot Record'!$A$2:$A$361,'QALS - Inspection Lot Record'!$O$2:$O$361)</f>
        <v>Metformin Tablets (500 MG)</v>
      </c>
      <c r="D184" s="31">
        <v>70</v>
      </c>
      <c r="E184" s="29" t="s">
        <v>406</v>
      </c>
      <c r="F184" s="29" t="str">
        <f>LOOKUP(A184,'QALS - Inspection Lot Record'!A:A,'QALS - Inspection Lot Record'!G:G)</f>
        <v>ZK384180</v>
      </c>
      <c r="G184" s="59">
        <f ca="1">LOOKUP(A184,'QALS - Inspection Lot Record'!A:A,'QALS - Inspection Lot Record'!E:E)</f>
        <v>45881</v>
      </c>
      <c r="H184" s="34" t="str">
        <f t="shared" si="15"/>
        <v>A</v>
      </c>
      <c r="I184" s="29" t="str">
        <f t="shared" si="11"/>
        <v>ZK384180</v>
      </c>
      <c r="J184" s="59">
        <f t="shared" ca="1" si="12"/>
        <v>45881</v>
      </c>
      <c r="K184" s="30">
        <f ca="1">LOOKUP(A184,'QALS - Inspection Lot Record'!A:A,'QALS - Inspection Lot Record'!I:I)</f>
        <v>0.54584490740740743</v>
      </c>
      <c r="L184" s="59">
        <f t="shared" ca="1" si="13"/>
        <v>45881</v>
      </c>
      <c r="M184" s="30">
        <f t="shared" ca="1" si="14"/>
        <v>0.58002314814814815</v>
      </c>
      <c r="N184" s="31"/>
      <c r="O184" s="31">
        <v>81.8</v>
      </c>
      <c r="P184" s="29">
        <v>80</v>
      </c>
      <c r="Q184" s="29">
        <v>90</v>
      </c>
    </row>
    <row r="185" spans="1:17" x14ac:dyDescent="0.35">
      <c r="A185" s="26">
        <v>40000002523</v>
      </c>
      <c r="B185" s="31">
        <v>1</v>
      </c>
      <c r="C185" s="29" t="str">
        <f>LOOKUP(A185,'QALS - Inspection Lot Record'!$A$2:$A$361,'QALS - Inspection Lot Record'!$O$2:$O$361)</f>
        <v>Metformin Tablets (500 MG)</v>
      </c>
      <c r="D185" s="31">
        <v>80</v>
      </c>
      <c r="E185" s="29" t="s">
        <v>407</v>
      </c>
      <c r="F185" s="29" t="str">
        <f>LOOKUP(A185,'QALS - Inspection Lot Record'!A:A,'QALS - Inspection Lot Record'!G:G)</f>
        <v>ZK384180</v>
      </c>
      <c r="G185" s="59">
        <f ca="1">LOOKUP(A185,'QALS - Inspection Lot Record'!A:A,'QALS - Inspection Lot Record'!E:E)</f>
        <v>45881</v>
      </c>
      <c r="H185" s="34" t="str">
        <f t="shared" si="15"/>
        <v>A</v>
      </c>
      <c r="I185" s="29" t="str">
        <f t="shared" si="11"/>
        <v>ZK384180</v>
      </c>
      <c r="J185" s="59">
        <f t="shared" ca="1" si="12"/>
        <v>45881</v>
      </c>
      <c r="K185" s="30">
        <f ca="1">LOOKUP(A185,'QALS - Inspection Lot Record'!A:A,'QALS - Inspection Lot Record'!I:I)</f>
        <v>0.54584490740740743</v>
      </c>
      <c r="L185" s="59">
        <f t="shared" ca="1" si="13"/>
        <v>45881</v>
      </c>
      <c r="M185" s="30">
        <f t="shared" ca="1" si="14"/>
        <v>0.56495370370370368</v>
      </c>
      <c r="N185" s="31"/>
      <c r="O185" s="31">
        <v>25.5</v>
      </c>
      <c r="P185" s="29">
        <v>23</v>
      </c>
      <c r="Q185" s="29">
        <v>28</v>
      </c>
    </row>
    <row r="186" spans="1:17" x14ac:dyDescent="0.35">
      <c r="A186" s="26">
        <v>40000002524</v>
      </c>
      <c r="B186" s="27">
        <v>1</v>
      </c>
      <c r="C186" s="29" t="str">
        <f>LOOKUP(A186,'QALS - Inspection Lot Record'!$A$2:$A$361,'QALS - Inspection Lot Record'!$O$2:$O$361)</f>
        <v>Metformin Tablets (500 MG)</v>
      </c>
      <c r="D186" s="27">
        <v>10</v>
      </c>
      <c r="E186" s="26" t="s">
        <v>399</v>
      </c>
      <c r="F186" s="29" t="str">
        <f>LOOKUP(A186,'QALS - Inspection Lot Record'!A:A,'QALS - Inspection Lot Record'!G:G)</f>
        <v>GC197258</v>
      </c>
      <c r="G186" s="59">
        <f ca="1">LOOKUP(A186,'QALS - Inspection Lot Record'!A:A,'QALS - Inspection Lot Record'!E:E)</f>
        <v>45881</v>
      </c>
      <c r="H186" s="34" t="str">
        <f t="shared" si="15"/>
        <v>A</v>
      </c>
      <c r="I186" s="29" t="str">
        <f t="shared" si="11"/>
        <v>GC197258</v>
      </c>
      <c r="J186" s="59">
        <f t="shared" ca="1" si="12"/>
        <v>45881</v>
      </c>
      <c r="K186" s="30">
        <f ca="1">LOOKUP(A186,'QALS - Inspection Lot Record'!A:A,'QALS - Inspection Lot Record'!I:I)</f>
        <v>0.42277777777777775</v>
      </c>
      <c r="L186" s="59">
        <f t="shared" ca="1" si="13"/>
        <v>45881</v>
      </c>
      <c r="M186" s="30">
        <f t="shared" ca="1" si="14"/>
        <v>0.44857638888888884</v>
      </c>
      <c r="N186" s="31"/>
      <c r="O186" s="31">
        <v>100</v>
      </c>
      <c r="P186" s="29">
        <v>95</v>
      </c>
      <c r="Q186" s="29">
        <v>105</v>
      </c>
    </row>
    <row r="187" spans="1:17" x14ac:dyDescent="0.35">
      <c r="A187" s="26">
        <v>40000002524</v>
      </c>
      <c r="B187" s="27">
        <v>1</v>
      </c>
      <c r="C187" s="29" t="str">
        <f>LOOKUP(A187,'QALS - Inspection Lot Record'!$A$2:$A$361,'QALS - Inspection Lot Record'!$O$2:$O$361)</f>
        <v>Metformin Tablets (500 MG)</v>
      </c>
      <c r="D187" s="31">
        <v>20</v>
      </c>
      <c r="E187" s="29" t="s">
        <v>400</v>
      </c>
      <c r="F187" s="29" t="str">
        <f>LOOKUP(A187,'QALS - Inspection Lot Record'!A:A,'QALS - Inspection Lot Record'!G:G)</f>
        <v>GC197258</v>
      </c>
      <c r="G187" s="59">
        <f ca="1">LOOKUP(A187,'QALS - Inspection Lot Record'!A:A,'QALS - Inspection Lot Record'!E:E)</f>
        <v>45881</v>
      </c>
      <c r="H187" s="34" t="str">
        <f t="shared" si="15"/>
        <v>A</v>
      </c>
      <c r="I187" s="29" t="str">
        <f t="shared" si="11"/>
        <v>GC197258</v>
      </c>
      <c r="J187" s="59">
        <f t="shared" ca="1" si="12"/>
        <v>45881</v>
      </c>
      <c r="K187" s="30">
        <f ca="1">LOOKUP(A187,'QALS - Inspection Lot Record'!A:A,'QALS - Inspection Lot Record'!I:I)</f>
        <v>0.42277777777777775</v>
      </c>
      <c r="L187" s="59">
        <f t="shared" ca="1" si="13"/>
        <v>45881</v>
      </c>
      <c r="M187" s="30">
        <f t="shared" ca="1" si="14"/>
        <v>0.44748842592592591</v>
      </c>
      <c r="N187" s="31"/>
      <c r="O187" s="31">
        <v>7.25</v>
      </c>
      <c r="P187" s="29">
        <v>3.5</v>
      </c>
      <c r="Q187" s="29">
        <v>11</v>
      </c>
    </row>
    <row r="188" spans="1:17" x14ac:dyDescent="0.35">
      <c r="A188" s="26">
        <v>40000002524</v>
      </c>
      <c r="B188" s="31">
        <v>1</v>
      </c>
      <c r="C188" s="29" t="str">
        <f>LOOKUP(A188,'QALS - Inspection Lot Record'!$A$2:$A$361,'QALS - Inspection Lot Record'!$O$2:$O$361)</f>
        <v>Metformin Tablets (500 MG)</v>
      </c>
      <c r="D188" s="31">
        <v>30</v>
      </c>
      <c r="E188" s="29" t="s">
        <v>401</v>
      </c>
      <c r="F188" s="29" t="str">
        <f>LOOKUP(A188,'QALS - Inspection Lot Record'!A:A,'QALS - Inspection Lot Record'!G:G)</f>
        <v>GC197258</v>
      </c>
      <c r="G188" s="59">
        <f ca="1">LOOKUP(A188,'QALS - Inspection Lot Record'!A:A,'QALS - Inspection Lot Record'!E:E)</f>
        <v>45881</v>
      </c>
      <c r="H188" s="34" t="str">
        <f t="shared" si="15"/>
        <v>A</v>
      </c>
      <c r="I188" s="29" t="str">
        <f t="shared" si="11"/>
        <v>GC197258</v>
      </c>
      <c r="J188" s="59">
        <f t="shared" ca="1" si="12"/>
        <v>45881</v>
      </c>
      <c r="K188" s="30">
        <f ca="1">LOOKUP(A188,'QALS - Inspection Lot Record'!A:A,'QALS - Inspection Lot Record'!I:I)</f>
        <v>0.42277777777777775</v>
      </c>
      <c r="L188" s="59">
        <f t="shared" ca="1" si="13"/>
        <v>45881</v>
      </c>
      <c r="M188" s="30">
        <f t="shared" ca="1" si="14"/>
        <v>0.4577430555555555</v>
      </c>
      <c r="N188" s="11" t="s">
        <v>402</v>
      </c>
      <c r="O188" s="31"/>
      <c r="P188" s="29"/>
      <c r="Q188" s="29"/>
    </row>
    <row r="189" spans="1:17" x14ac:dyDescent="0.35">
      <c r="A189" s="26">
        <v>40000002524</v>
      </c>
      <c r="B189" s="31">
        <v>1</v>
      </c>
      <c r="C189" s="29" t="str">
        <f>LOOKUP(A189,'QALS - Inspection Lot Record'!$A$2:$A$361,'QALS - Inspection Lot Record'!$O$2:$O$361)</f>
        <v>Metformin Tablets (500 MG)</v>
      </c>
      <c r="D189" s="31">
        <v>40</v>
      </c>
      <c r="E189" s="29" t="s">
        <v>403</v>
      </c>
      <c r="F189" s="29" t="str">
        <f>LOOKUP(A189,'QALS - Inspection Lot Record'!A:A,'QALS - Inspection Lot Record'!G:G)</f>
        <v>GC197258</v>
      </c>
      <c r="G189" s="59">
        <f ca="1">LOOKUP(A189,'QALS - Inspection Lot Record'!A:A,'QALS - Inspection Lot Record'!E:E)</f>
        <v>45881</v>
      </c>
      <c r="H189" s="34" t="str">
        <f t="shared" si="15"/>
        <v>A</v>
      </c>
      <c r="I189" s="29" t="str">
        <f t="shared" si="11"/>
        <v>GC197258</v>
      </c>
      <c r="J189" s="59">
        <f t="shared" ca="1" si="12"/>
        <v>45881</v>
      </c>
      <c r="K189" s="30">
        <f ca="1">LOOKUP(A189,'QALS - Inspection Lot Record'!A:A,'QALS - Inspection Lot Record'!I:I)</f>
        <v>0.42277777777777775</v>
      </c>
      <c r="L189" s="59">
        <f t="shared" ca="1" si="13"/>
        <v>45881</v>
      </c>
      <c r="M189" s="30">
        <f t="shared" ca="1" si="14"/>
        <v>0.44784722222222217</v>
      </c>
      <c r="N189" s="31"/>
      <c r="O189" s="31">
        <v>1.6</v>
      </c>
      <c r="P189" s="29">
        <v>0</v>
      </c>
      <c r="Q189" s="29">
        <v>2</v>
      </c>
    </row>
    <row r="190" spans="1:17" x14ac:dyDescent="0.35">
      <c r="A190" s="26">
        <v>40000002524</v>
      </c>
      <c r="B190" s="31">
        <v>1</v>
      </c>
      <c r="C190" s="29" t="str">
        <f>LOOKUP(A190,'QALS - Inspection Lot Record'!$A$2:$A$361,'QALS - Inspection Lot Record'!$O$2:$O$361)</f>
        <v>Metformin Tablets (500 MG)</v>
      </c>
      <c r="D190" s="31">
        <v>50</v>
      </c>
      <c r="E190" s="29" t="s">
        <v>404</v>
      </c>
      <c r="F190" s="29" t="str">
        <f>LOOKUP(A190,'QALS - Inspection Lot Record'!A:A,'QALS - Inspection Lot Record'!G:G)</f>
        <v>GC197258</v>
      </c>
      <c r="G190" s="59">
        <f ca="1">LOOKUP(A190,'QALS - Inspection Lot Record'!A:A,'QALS - Inspection Lot Record'!E:E)</f>
        <v>45881</v>
      </c>
      <c r="H190" s="34" t="str">
        <f t="shared" si="15"/>
        <v>A</v>
      </c>
      <c r="I190" s="29" t="str">
        <f t="shared" si="11"/>
        <v>GC197258</v>
      </c>
      <c r="J190" s="59">
        <f t="shared" ca="1" si="12"/>
        <v>45881</v>
      </c>
      <c r="K190" s="30">
        <f ca="1">LOOKUP(A190,'QALS - Inspection Lot Record'!A:A,'QALS - Inspection Lot Record'!I:I)</f>
        <v>0.42277777777777775</v>
      </c>
      <c r="L190" s="59">
        <f t="shared" ca="1" si="13"/>
        <v>45881</v>
      </c>
      <c r="M190" s="30">
        <f t="shared" ca="1" si="14"/>
        <v>0.45693287037037034</v>
      </c>
      <c r="N190" s="31"/>
      <c r="O190" s="31">
        <v>41.5</v>
      </c>
      <c r="P190" s="29">
        <v>40</v>
      </c>
      <c r="Q190" s="29">
        <v>60</v>
      </c>
    </row>
    <row r="191" spans="1:17" x14ac:dyDescent="0.35">
      <c r="A191" s="26">
        <v>40000002524</v>
      </c>
      <c r="B191" s="31">
        <v>1</v>
      </c>
      <c r="C191" s="29" t="str">
        <f>LOOKUP(A191,'QALS - Inspection Lot Record'!$A$2:$A$361,'QALS - Inspection Lot Record'!$O$2:$O$361)</f>
        <v>Metformin Tablets (500 MG)</v>
      </c>
      <c r="D191" s="31">
        <v>60</v>
      </c>
      <c r="E191" s="29" t="s">
        <v>405</v>
      </c>
      <c r="F191" s="29" t="str">
        <f>LOOKUP(A191,'QALS - Inspection Lot Record'!A:A,'QALS - Inspection Lot Record'!G:G)</f>
        <v>GC197258</v>
      </c>
      <c r="G191" s="59">
        <f ca="1">LOOKUP(A191,'QALS - Inspection Lot Record'!A:A,'QALS - Inspection Lot Record'!E:E)</f>
        <v>45881</v>
      </c>
      <c r="H191" s="34" t="str">
        <f t="shared" si="15"/>
        <v>A</v>
      </c>
      <c r="I191" s="29" t="str">
        <f t="shared" si="11"/>
        <v>GC197258</v>
      </c>
      <c r="J191" s="59">
        <f t="shared" ca="1" si="12"/>
        <v>45881</v>
      </c>
      <c r="K191" s="30">
        <f ca="1">LOOKUP(A191,'QALS - Inspection Lot Record'!A:A,'QALS - Inspection Lot Record'!I:I)</f>
        <v>0.42277777777777775</v>
      </c>
      <c r="L191" s="59">
        <f t="shared" ca="1" si="13"/>
        <v>45881</v>
      </c>
      <c r="M191" s="30">
        <f t="shared" ca="1" si="14"/>
        <v>0.45094907407407403</v>
      </c>
      <c r="N191" s="31"/>
      <c r="O191" s="31">
        <v>71.900000000000006</v>
      </c>
      <c r="P191" s="29">
        <v>70</v>
      </c>
      <c r="Q191" s="29">
        <v>85</v>
      </c>
    </row>
    <row r="192" spans="1:17" x14ac:dyDescent="0.35">
      <c r="A192" s="26">
        <v>40000002524</v>
      </c>
      <c r="B192" s="31">
        <v>1</v>
      </c>
      <c r="C192" s="29" t="str">
        <f>LOOKUP(A192,'QALS - Inspection Lot Record'!$A$2:$A$361,'QALS - Inspection Lot Record'!$O$2:$O$361)</f>
        <v>Metformin Tablets (500 MG)</v>
      </c>
      <c r="D192" s="31">
        <v>70</v>
      </c>
      <c r="E192" s="29" t="s">
        <v>406</v>
      </c>
      <c r="F192" s="29" t="str">
        <f>LOOKUP(A192,'QALS - Inspection Lot Record'!A:A,'QALS - Inspection Lot Record'!G:G)</f>
        <v>GC197258</v>
      </c>
      <c r="G192" s="59">
        <f ca="1">LOOKUP(A192,'QALS - Inspection Lot Record'!A:A,'QALS - Inspection Lot Record'!E:E)</f>
        <v>45881</v>
      </c>
      <c r="H192" s="34" t="str">
        <f t="shared" si="15"/>
        <v>A</v>
      </c>
      <c r="I192" s="29" t="str">
        <f t="shared" si="11"/>
        <v>GC197258</v>
      </c>
      <c r="J192" s="59">
        <f t="shared" ca="1" si="12"/>
        <v>45881</v>
      </c>
      <c r="K192" s="30">
        <f ca="1">LOOKUP(A192,'QALS - Inspection Lot Record'!A:A,'QALS - Inspection Lot Record'!I:I)</f>
        <v>0.42277777777777775</v>
      </c>
      <c r="L192" s="59">
        <f t="shared" ca="1" si="13"/>
        <v>45881</v>
      </c>
      <c r="M192" s="30">
        <f t="shared" ca="1" si="14"/>
        <v>0.44379629629629624</v>
      </c>
      <c r="N192" s="31"/>
      <c r="O192" s="31">
        <v>81.3</v>
      </c>
      <c r="P192" s="29">
        <v>80</v>
      </c>
      <c r="Q192" s="29">
        <v>90</v>
      </c>
    </row>
    <row r="193" spans="1:17" x14ac:dyDescent="0.35">
      <c r="A193" s="26">
        <v>40000002524</v>
      </c>
      <c r="B193" s="31">
        <v>1</v>
      </c>
      <c r="C193" s="29" t="str">
        <f>LOOKUP(A193,'QALS - Inspection Lot Record'!$A$2:$A$361,'QALS - Inspection Lot Record'!$O$2:$O$361)</f>
        <v>Metformin Tablets (500 MG)</v>
      </c>
      <c r="D193" s="31">
        <v>80</v>
      </c>
      <c r="E193" s="29" t="s">
        <v>407</v>
      </c>
      <c r="F193" s="29" t="str">
        <f>LOOKUP(A193,'QALS - Inspection Lot Record'!A:A,'QALS - Inspection Lot Record'!G:G)</f>
        <v>GC197258</v>
      </c>
      <c r="G193" s="59">
        <f ca="1">LOOKUP(A193,'QALS - Inspection Lot Record'!A:A,'QALS - Inspection Lot Record'!E:E)</f>
        <v>45881</v>
      </c>
      <c r="H193" s="34" t="str">
        <f t="shared" si="15"/>
        <v>A</v>
      </c>
      <c r="I193" s="29" t="str">
        <f t="shared" si="11"/>
        <v>GC197258</v>
      </c>
      <c r="J193" s="59">
        <f t="shared" ca="1" si="12"/>
        <v>45881</v>
      </c>
      <c r="K193" s="30">
        <f ca="1">LOOKUP(A193,'QALS - Inspection Lot Record'!A:A,'QALS - Inspection Lot Record'!I:I)</f>
        <v>0.42277777777777775</v>
      </c>
      <c r="L193" s="59">
        <f t="shared" ca="1" si="13"/>
        <v>45881</v>
      </c>
      <c r="M193" s="30">
        <f t="shared" ca="1" si="14"/>
        <v>0.44879629629629625</v>
      </c>
      <c r="N193" s="31"/>
      <c r="O193" s="31">
        <v>25.5</v>
      </c>
      <c r="P193" s="29">
        <v>23</v>
      </c>
      <c r="Q193" s="29">
        <v>28</v>
      </c>
    </row>
    <row r="194" spans="1:17" x14ac:dyDescent="0.35">
      <c r="A194" s="26">
        <v>40000002525</v>
      </c>
      <c r="B194" s="27">
        <v>1</v>
      </c>
      <c r="C194" s="29" t="str">
        <f>LOOKUP(A194,'QALS - Inspection Lot Record'!$A$2:$A$361,'QALS - Inspection Lot Record'!$O$2:$O$361)</f>
        <v>Ibuprofen Tablets (100 MG)</v>
      </c>
      <c r="D194" s="27">
        <v>10</v>
      </c>
      <c r="E194" s="26" t="s">
        <v>399</v>
      </c>
      <c r="F194" s="29" t="str">
        <f>LOOKUP(A194,'QALS - Inspection Lot Record'!A:A,'QALS - Inspection Lot Record'!G:G)</f>
        <v>AB406550</v>
      </c>
      <c r="G194" s="59">
        <f ca="1">LOOKUP(A194,'QALS - Inspection Lot Record'!A:A,'QALS - Inspection Lot Record'!E:E)</f>
        <v>45882</v>
      </c>
      <c r="H194" s="34" t="str">
        <f t="shared" si="15"/>
        <v>A</v>
      </c>
      <c r="I194" s="29" t="str">
        <f t="shared" ref="I194:I257" si="16">F194</f>
        <v>AB406550</v>
      </c>
      <c r="J194" s="59">
        <f t="shared" ref="J194:J257" ca="1" si="17">G194</f>
        <v>45882</v>
      </c>
      <c r="K194" s="30">
        <f ca="1">LOOKUP(A194,'QALS - Inspection Lot Record'!A:A,'QALS - Inspection Lot Record'!I:I)</f>
        <v>0.91469907407407403</v>
      </c>
      <c r="L194" s="59">
        <f t="shared" ref="L194:L257" ca="1" si="18">G194</f>
        <v>45882</v>
      </c>
      <c r="M194" s="30">
        <f t="shared" ref="M194:M257" ca="1" si="19">K194+TIME(0,RANDBETWEEN(25,50),RANDBETWEEN(0,59))</f>
        <v>0.94274305555555549</v>
      </c>
      <c r="N194" s="31"/>
      <c r="O194" s="31">
        <v>98.5</v>
      </c>
      <c r="P194" s="29">
        <v>95</v>
      </c>
      <c r="Q194" s="29">
        <v>102</v>
      </c>
    </row>
    <row r="195" spans="1:17" x14ac:dyDescent="0.35">
      <c r="A195" s="26">
        <v>40000002525</v>
      </c>
      <c r="B195" s="27">
        <v>1</v>
      </c>
      <c r="C195" s="29" t="str">
        <f>LOOKUP(A195,'QALS - Inspection Lot Record'!$A$2:$A$361,'QALS - Inspection Lot Record'!$O$2:$O$361)</f>
        <v>Ibuprofen Tablets (100 MG)</v>
      </c>
      <c r="D195" s="31">
        <v>20</v>
      </c>
      <c r="E195" s="29" t="s">
        <v>400</v>
      </c>
      <c r="F195" s="29" t="str">
        <f>LOOKUP(A195,'QALS - Inspection Lot Record'!A:A,'QALS - Inspection Lot Record'!G:G)</f>
        <v>AB406550</v>
      </c>
      <c r="G195" s="59">
        <f ca="1">LOOKUP(A195,'QALS - Inspection Lot Record'!A:A,'QALS - Inspection Lot Record'!E:E)</f>
        <v>45882</v>
      </c>
      <c r="H195" s="34" t="str">
        <f t="shared" si="15"/>
        <v>A</v>
      </c>
      <c r="I195" s="29" t="str">
        <f t="shared" si="16"/>
        <v>AB406550</v>
      </c>
      <c r="J195" s="59">
        <f t="shared" ca="1" si="17"/>
        <v>45882</v>
      </c>
      <c r="K195" s="30">
        <f ca="1">LOOKUP(A195,'QALS - Inspection Lot Record'!A:A,'QALS - Inspection Lot Record'!I:I)</f>
        <v>0.91469907407407403</v>
      </c>
      <c r="L195" s="59">
        <f t="shared" ca="1" si="18"/>
        <v>45882</v>
      </c>
      <c r="M195" s="30">
        <f t="shared" ca="1" si="19"/>
        <v>0.94906249999999992</v>
      </c>
      <c r="N195" s="31"/>
      <c r="O195" s="31">
        <v>7.25</v>
      </c>
      <c r="P195" s="29">
        <v>3.5</v>
      </c>
      <c r="Q195" s="29">
        <v>11</v>
      </c>
    </row>
    <row r="196" spans="1:17" x14ac:dyDescent="0.35">
      <c r="A196" s="26">
        <v>40000002525</v>
      </c>
      <c r="B196" s="31">
        <v>1</v>
      </c>
      <c r="C196" s="29" t="str">
        <f>LOOKUP(A196,'QALS - Inspection Lot Record'!$A$2:$A$361,'QALS - Inspection Lot Record'!$O$2:$O$361)</f>
        <v>Ibuprofen Tablets (100 MG)</v>
      </c>
      <c r="D196" s="31">
        <v>30</v>
      </c>
      <c r="E196" s="29" t="s">
        <v>401</v>
      </c>
      <c r="F196" s="29" t="str">
        <f>LOOKUP(A196,'QALS - Inspection Lot Record'!A:A,'QALS - Inspection Lot Record'!G:G)</f>
        <v>AB406550</v>
      </c>
      <c r="G196" s="59">
        <f ca="1">LOOKUP(A196,'QALS - Inspection Lot Record'!A:A,'QALS - Inspection Lot Record'!E:E)</f>
        <v>45882</v>
      </c>
      <c r="H196" s="34" t="str">
        <f t="shared" si="15"/>
        <v>A</v>
      </c>
      <c r="I196" s="29" t="str">
        <f t="shared" si="16"/>
        <v>AB406550</v>
      </c>
      <c r="J196" s="59">
        <f t="shared" ca="1" si="17"/>
        <v>45882</v>
      </c>
      <c r="K196" s="30">
        <f ca="1">LOOKUP(A196,'QALS - Inspection Lot Record'!A:A,'QALS - Inspection Lot Record'!I:I)</f>
        <v>0.91469907407407403</v>
      </c>
      <c r="L196" s="59">
        <f t="shared" ca="1" si="18"/>
        <v>45882</v>
      </c>
      <c r="M196" s="30">
        <f t="shared" ca="1" si="19"/>
        <v>0.94842592592592589</v>
      </c>
      <c r="N196" s="11" t="s">
        <v>402</v>
      </c>
      <c r="O196" s="31"/>
      <c r="P196" s="29"/>
      <c r="Q196" s="29"/>
    </row>
    <row r="197" spans="1:17" x14ac:dyDescent="0.35">
      <c r="A197" s="26">
        <v>40000002525</v>
      </c>
      <c r="B197" s="31">
        <v>1</v>
      </c>
      <c r="C197" s="29" t="str">
        <f>LOOKUP(A197,'QALS - Inspection Lot Record'!$A$2:$A$361,'QALS - Inspection Lot Record'!$O$2:$O$361)</f>
        <v>Ibuprofen Tablets (100 MG)</v>
      </c>
      <c r="D197" s="31">
        <v>40</v>
      </c>
      <c r="E197" s="29" t="s">
        <v>403</v>
      </c>
      <c r="F197" s="29" t="str">
        <f>LOOKUP(A197,'QALS - Inspection Lot Record'!A:A,'QALS - Inspection Lot Record'!G:G)</f>
        <v>AB406550</v>
      </c>
      <c r="G197" s="59">
        <f ca="1">LOOKUP(A197,'QALS - Inspection Lot Record'!A:A,'QALS - Inspection Lot Record'!E:E)</f>
        <v>45882</v>
      </c>
      <c r="H197" s="34" t="str">
        <f t="shared" si="15"/>
        <v>A</v>
      </c>
      <c r="I197" s="29" t="str">
        <f t="shared" si="16"/>
        <v>AB406550</v>
      </c>
      <c r="J197" s="59">
        <f t="shared" ca="1" si="17"/>
        <v>45882</v>
      </c>
      <c r="K197" s="30">
        <f ca="1">LOOKUP(A197,'QALS - Inspection Lot Record'!A:A,'QALS - Inspection Lot Record'!I:I)</f>
        <v>0.91469907407407403</v>
      </c>
      <c r="L197" s="59">
        <f t="shared" ca="1" si="18"/>
        <v>45882</v>
      </c>
      <c r="M197" s="30">
        <f t="shared" ca="1" si="19"/>
        <v>0.93645833333333328</v>
      </c>
      <c r="N197" s="31"/>
      <c r="O197" s="31">
        <v>0</v>
      </c>
      <c r="P197" s="29">
        <v>0</v>
      </c>
      <c r="Q197" s="29">
        <v>1</v>
      </c>
    </row>
    <row r="198" spans="1:17" x14ac:dyDescent="0.35">
      <c r="A198" s="26">
        <v>40000002525</v>
      </c>
      <c r="B198" s="31">
        <v>1</v>
      </c>
      <c r="C198" s="29" t="str">
        <f>LOOKUP(A198,'QALS - Inspection Lot Record'!$A$2:$A$361,'QALS - Inspection Lot Record'!$O$2:$O$361)</f>
        <v>Ibuprofen Tablets (100 MG)</v>
      </c>
      <c r="D198" s="31">
        <v>50</v>
      </c>
      <c r="E198" s="29" t="s">
        <v>404</v>
      </c>
      <c r="F198" s="29" t="str">
        <f>LOOKUP(A198,'QALS - Inspection Lot Record'!A:A,'QALS - Inspection Lot Record'!G:G)</f>
        <v>AB406550</v>
      </c>
      <c r="G198" s="59">
        <f ca="1">LOOKUP(A198,'QALS - Inspection Lot Record'!A:A,'QALS - Inspection Lot Record'!E:E)</f>
        <v>45882</v>
      </c>
      <c r="H198" s="34" t="str">
        <f t="shared" si="15"/>
        <v>A</v>
      </c>
      <c r="I198" s="29" t="str">
        <f t="shared" si="16"/>
        <v>AB406550</v>
      </c>
      <c r="J198" s="59">
        <f t="shared" ca="1" si="17"/>
        <v>45882</v>
      </c>
      <c r="K198" s="30">
        <f ca="1">LOOKUP(A198,'QALS - Inspection Lot Record'!A:A,'QALS - Inspection Lot Record'!I:I)</f>
        <v>0.91469907407407403</v>
      </c>
      <c r="L198" s="59">
        <f t="shared" ca="1" si="18"/>
        <v>45882</v>
      </c>
      <c r="M198" s="30">
        <f t="shared" ca="1" si="19"/>
        <v>0.94017361111111108</v>
      </c>
      <c r="N198" s="31"/>
      <c r="O198" s="31">
        <v>50</v>
      </c>
      <c r="P198" s="29">
        <v>40</v>
      </c>
      <c r="Q198" s="29">
        <v>60</v>
      </c>
    </row>
    <row r="199" spans="1:17" x14ac:dyDescent="0.35">
      <c r="A199" s="26">
        <v>40000002525</v>
      </c>
      <c r="B199" s="31">
        <v>1</v>
      </c>
      <c r="C199" s="29" t="str">
        <f>LOOKUP(A199,'QALS - Inspection Lot Record'!$A$2:$A$361,'QALS - Inspection Lot Record'!$O$2:$O$361)</f>
        <v>Ibuprofen Tablets (100 MG)</v>
      </c>
      <c r="D199" s="31">
        <v>60</v>
      </c>
      <c r="E199" s="29" t="s">
        <v>405</v>
      </c>
      <c r="F199" s="29" t="str">
        <f>LOOKUP(A199,'QALS - Inspection Lot Record'!A:A,'QALS - Inspection Lot Record'!G:G)</f>
        <v>AB406550</v>
      </c>
      <c r="G199" s="59">
        <f ca="1">LOOKUP(A199,'QALS - Inspection Lot Record'!A:A,'QALS - Inspection Lot Record'!E:E)</f>
        <v>45882</v>
      </c>
      <c r="H199" s="34" t="str">
        <f t="shared" si="15"/>
        <v>A</v>
      </c>
      <c r="I199" s="29" t="str">
        <f t="shared" si="16"/>
        <v>AB406550</v>
      </c>
      <c r="J199" s="59">
        <f t="shared" ca="1" si="17"/>
        <v>45882</v>
      </c>
      <c r="K199" s="30">
        <f ca="1">LOOKUP(A199,'QALS - Inspection Lot Record'!A:A,'QALS - Inspection Lot Record'!I:I)</f>
        <v>0.91469907407407403</v>
      </c>
      <c r="L199" s="59">
        <f t="shared" ca="1" si="18"/>
        <v>45882</v>
      </c>
      <c r="M199" s="30">
        <f t="shared" ca="1" si="19"/>
        <v>0.94596064814814806</v>
      </c>
      <c r="N199" s="31"/>
      <c r="O199" s="31">
        <v>77.5</v>
      </c>
      <c r="P199" s="29">
        <v>70</v>
      </c>
      <c r="Q199" s="29">
        <v>85</v>
      </c>
    </row>
    <row r="200" spans="1:17" x14ac:dyDescent="0.35">
      <c r="A200" s="26">
        <v>40000002525</v>
      </c>
      <c r="B200" s="31">
        <v>1</v>
      </c>
      <c r="C200" s="29" t="str">
        <f>LOOKUP(A200,'QALS - Inspection Lot Record'!$A$2:$A$361,'QALS - Inspection Lot Record'!$O$2:$O$361)</f>
        <v>Ibuprofen Tablets (100 MG)</v>
      </c>
      <c r="D200" s="31">
        <v>70</v>
      </c>
      <c r="E200" s="29" t="s">
        <v>406</v>
      </c>
      <c r="F200" s="29" t="str">
        <f>LOOKUP(A200,'QALS - Inspection Lot Record'!A:A,'QALS - Inspection Lot Record'!G:G)</f>
        <v>AB406550</v>
      </c>
      <c r="G200" s="59">
        <f ca="1">LOOKUP(A200,'QALS - Inspection Lot Record'!A:A,'QALS - Inspection Lot Record'!E:E)</f>
        <v>45882</v>
      </c>
      <c r="H200" s="34" t="str">
        <f t="shared" si="15"/>
        <v>A</v>
      </c>
      <c r="I200" s="29" t="str">
        <f t="shared" si="16"/>
        <v>AB406550</v>
      </c>
      <c r="J200" s="59">
        <f t="shared" ca="1" si="17"/>
        <v>45882</v>
      </c>
      <c r="K200" s="30">
        <f ca="1">LOOKUP(A200,'QALS - Inspection Lot Record'!A:A,'QALS - Inspection Lot Record'!I:I)</f>
        <v>0.91469907407407403</v>
      </c>
      <c r="L200" s="59">
        <f t="shared" ca="1" si="18"/>
        <v>45882</v>
      </c>
      <c r="M200" s="30">
        <f t="shared" ca="1" si="19"/>
        <v>0.94616898148148143</v>
      </c>
      <c r="N200" s="31"/>
      <c r="O200" s="31">
        <v>85</v>
      </c>
      <c r="P200" s="29">
        <v>80</v>
      </c>
      <c r="Q200" s="29">
        <v>90</v>
      </c>
    </row>
    <row r="201" spans="1:17" x14ac:dyDescent="0.35">
      <c r="A201" s="26">
        <v>40000002525</v>
      </c>
      <c r="B201" s="31">
        <v>1</v>
      </c>
      <c r="C201" s="29" t="str">
        <f>LOOKUP(A201,'QALS - Inspection Lot Record'!$A$2:$A$361,'QALS - Inspection Lot Record'!$O$2:$O$361)</f>
        <v>Ibuprofen Tablets (100 MG)</v>
      </c>
      <c r="D201" s="31">
        <v>80</v>
      </c>
      <c r="E201" s="29" t="s">
        <v>407</v>
      </c>
      <c r="F201" s="29" t="str">
        <f>LOOKUP(A201,'QALS - Inspection Lot Record'!A:A,'QALS - Inspection Lot Record'!G:G)</f>
        <v>AB406550</v>
      </c>
      <c r="G201" s="59">
        <f ca="1">LOOKUP(A201,'QALS - Inspection Lot Record'!A:A,'QALS - Inspection Lot Record'!E:E)</f>
        <v>45882</v>
      </c>
      <c r="H201" s="34" t="str">
        <f t="shared" si="15"/>
        <v>R</v>
      </c>
      <c r="I201" s="29" t="str">
        <f t="shared" si="16"/>
        <v>AB406550</v>
      </c>
      <c r="J201" s="59">
        <f t="shared" ca="1" si="17"/>
        <v>45882</v>
      </c>
      <c r="K201" s="30">
        <f ca="1">LOOKUP(A201,'QALS - Inspection Lot Record'!A:A,'QALS - Inspection Lot Record'!I:I)</f>
        <v>0.91469907407407403</v>
      </c>
      <c r="L201" s="59">
        <f t="shared" ca="1" si="18"/>
        <v>45882</v>
      </c>
      <c r="M201" s="30">
        <f t="shared" ca="1" si="19"/>
        <v>0.9376388888888888</v>
      </c>
      <c r="N201" s="31"/>
      <c r="O201" s="31">
        <v>21.1</v>
      </c>
      <c r="P201" s="29">
        <v>23</v>
      </c>
      <c r="Q201" s="29">
        <v>25</v>
      </c>
    </row>
    <row r="202" spans="1:17" x14ac:dyDescent="0.35">
      <c r="A202" s="26">
        <v>40000002526</v>
      </c>
      <c r="B202" s="27">
        <v>1</v>
      </c>
      <c r="C202" s="29" t="str">
        <f>LOOKUP(A202,'QALS - Inspection Lot Record'!$A$2:$A$361,'QALS - Inspection Lot Record'!$O$2:$O$361)</f>
        <v>Metformin Tablets (500 MG)</v>
      </c>
      <c r="D202" s="27">
        <v>10</v>
      </c>
      <c r="E202" s="26" t="s">
        <v>399</v>
      </c>
      <c r="F202" s="29" t="str">
        <f>LOOKUP(A202,'QALS - Inspection Lot Record'!A:A,'QALS - Inspection Lot Record'!G:G)</f>
        <v>TG509538</v>
      </c>
      <c r="G202" s="59">
        <f ca="1">LOOKUP(A202,'QALS - Inspection Lot Record'!A:A,'QALS - Inspection Lot Record'!E:E)</f>
        <v>45882</v>
      </c>
      <c r="H202" s="34" t="str">
        <f t="shared" ref="H202:H265" si="20">IF(AND(P202&lt;=O202,O202&lt;=Q202),"A","R")</f>
        <v>A</v>
      </c>
      <c r="I202" s="29" t="str">
        <f t="shared" si="16"/>
        <v>TG509538</v>
      </c>
      <c r="J202" s="59">
        <f t="shared" ca="1" si="17"/>
        <v>45882</v>
      </c>
      <c r="K202" s="30">
        <f ca="1">LOOKUP(A202,'QALS - Inspection Lot Record'!A:A,'QALS - Inspection Lot Record'!I:I)</f>
        <v>0.1955324074074074</v>
      </c>
      <c r="L202" s="59">
        <f t="shared" ca="1" si="18"/>
        <v>45882</v>
      </c>
      <c r="M202" s="30">
        <f t="shared" ca="1" si="19"/>
        <v>0.22403935185185186</v>
      </c>
      <c r="N202" s="31"/>
      <c r="O202" s="31">
        <v>100</v>
      </c>
      <c r="P202" s="29">
        <v>95</v>
      </c>
      <c r="Q202" s="29">
        <v>105</v>
      </c>
    </row>
    <row r="203" spans="1:17" x14ac:dyDescent="0.35">
      <c r="A203" s="26">
        <v>40000002526</v>
      </c>
      <c r="B203" s="27">
        <v>1</v>
      </c>
      <c r="C203" s="29" t="str">
        <f>LOOKUP(A203,'QALS - Inspection Lot Record'!$A$2:$A$361,'QALS - Inspection Lot Record'!$O$2:$O$361)</f>
        <v>Metformin Tablets (500 MG)</v>
      </c>
      <c r="D203" s="31">
        <v>20</v>
      </c>
      <c r="E203" s="29" t="s">
        <v>400</v>
      </c>
      <c r="F203" s="29" t="str">
        <f>LOOKUP(A203,'QALS - Inspection Lot Record'!A:A,'QALS - Inspection Lot Record'!G:G)</f>
        <v>TG509538</v>
      </c>
      <c r="G203" s="59">
        <f ca="1">LOOKUP(A203,'QALS - Inspection Lot Record'!A:A,'QALS - Inspection Lot Record'!E:E)</f>
        <v>45882</v>
      </c>
      <c r="H203" s="34" t="str">
        <f t="shared" si="20"/>
        <v>A</v>
      </c>
      <c r="I203" s="29" t="str">
        <f t="shared" si="16"/>
        <v>TG509538</v>
      </c>
      <c r="J203" s="59">
        <f t="shared" ca="1" si="17"/>
        <v>45882</v>
      </c>
      <c r="K203" s="30">
        <f ca="1">LOOKUP(A203,'QALS - Inspection Lot Record'!A:A,'QALS - Inspection Lot Record'!I:I)</f>
        <v>0.1955324074074074</v>
      </c>
      <c r="L203" s="59">
        <f t="shared" ca="1" si="18"/>
        <v>45882</v>
      </c>
      <c r="M203" s="30">
        <f t="shared" ca="1" si="19"/>
        <v>0.22864583333333333</v>
      </c>
      <c r="N203" s="31"/>
      <c r="O203" s="31">
        <v>7.25</v>
      </c>
      <c r="P203" s="29">
        <v>3.5</v>
      </c>
      <c r="Q203" s="29">
        <v>11</v>
      </c>
    </row>
    <row r="204" spans="1:17" x14ac:dyDescent="0.35">
      <c r="A204" s="26">
        <v>40000002526</v>
      </c>
      <c r="B204" s="31">
        <v>1</v>
      </c>
      <c r="C204" s="29" t="str">
        <f>LOOKUP(A204,'QALS - Inspection Lot Record'!$A$2:$A$361,'QALS - Inspection Lot Record'!$O$2:$O$361)</f>
        <v>Metformin Tablets (500 MG)</v>
      </c>
      <c r="D204" s="31">
        <v>30</v>
      </c>
      <c r="E204" s="29" t="s">
        <v>401</v>
      </c>
      <c r="F204" s="29" t="str">
        <f>LOOKUP(A204,'QALS - Inspection Lot Record'!A:A,'QALS - Inspection Lot Record'!G:G)</f>
        <v>TG509538</v>
      </c>
      <c r="G204" s="59">
        <f ca="1">LOOKUP(A204,'QALS - Inspection Lot Record'!A:A,'QALS - Inspection Lot Record'!E:E)</f>
        <v>45882</v>
      </c>
      <c r="H204" s="34" t="str">
        <f t="shared" si="20"/>
        <v>A</v>
      </c>
      <c r="I204" s="29" t="str">
        <f t="shared" si="16"/>
        <v>TG509538</v>
      </c>
      <c r="J204" s="59">
        <f t="shared" ca="1" si="17"/>
        <v>45882</v>
      </c>
      <c r="K204" s="30">
        <f ca="1">LOOKUP(A204,'QALS - Inspection Lot Record'!A:A,'QALS - Inspection Lot Record'!I:I)</f>
        <v>0.1955324074074074</v>
      </c>
      <c r="L204" s="59">
        <f t="shared" ca="1" si="18"/>
        <v>45882</v>
      </c>
      <c r="M204" s="30">
        <f t="shared" ca="1" si="19"/>
        <v>0.23016203703703703</v>
      </c>
      <c r="N204" s="11" t="s">
        <v>402</v>
      </c>
      <c r="O204" s="31"/>
      <c r="P204" s="29"/>
      <c r="Q204" s="29"/>
    </row>
    <row r="205" spans="1:17" x14ac:dyDescent="0.35">
      <c r="A205" s="26">
        <v>40000002526</v>
      </c>
      <c r="B205" s="31">
        <v>1</v>
      </c>
      <c r="C205" s="29" t="str">
        <f>LOOKUP(A205,'QALS - Inspection Lot Record'!$A$2:$A$361,'QALS - Inspection Lot Record'!$O$2:$O$361)</f>
        <v>Metformin Tablets (500 MG)</v>
      </c>
      <c r="D205" s="31">
        <v>40</v>
      </c>
      <c r="E205" s="29" t="s">
        <v>403</v>
      </c>
      <c r="F205" s="29" t="str">
        <f>LOOKUP(A205,'QALS - Inspection Lot Record'!A:A,'QALS - Inspection Lot Record'!G:G)</f>
        <v>TG509538</v>
      </c>
      <c r="G205" s="59">
        <f ca="1">LOOKUP(A205,'QALS - Inspection Lot Record'!A:A,'QALS - Inspection Lot Record'!E:E)</f>
        <v>45882</v>
      </c>
      <c r="H205" s="34" t="str">
        <f t="shared" si="20"/>
        <v>A</v>
      </c>
      <c r="I205" s="29" t="str">
        <f t="shared" si="16"/>
        <v>TG509538</v>
      </c>
      <c r="J205" s="59">
        <f t="shared" ca="1" si="17"/>
        <v>45882</v>
      </c>
      <c r="K205" s="30">
        <f ca="1">LOOKUP(A205,'QALS - Inspection Lot Record'!A:A,'QALS - Inspection Lot Record'!I:I)</f>
        <v>0.1955324074074074</v>
      </c>
      <c r="L205" s="59">
        <f t="shared" ca="1" si="18"/>
        <v>45882</v>
      </c>
      <c r="M205" s="30">
        <f t="shared" ca="1" si="19"/>
        <v>0.21760416666666665</v>
      </c>
      <c r="N205" s="31"/>
      <c r="O205" s="31">
        <v>0</v>
      </c>
      <c r="P205" s="29">
        <v>0</v>
      </c>
      <c r="Q205" s="29">
        <v>2</v>
      </c>
    </row>
    <row r="206" spans="1:17" x14ac:dyDescent="0.35">
      <c r="A206" s="26">
        <v>40000002526</v>
      </c>
      <c r="B206" s="31">
        <v>1</v>
      </c>
      <c r="C206" s="29" t="str">
        <f>LOOKUP(A206,'QALS - Inspection Lot Record'!$A$2:$A$361,'QALS - Inspection Lot Record'!$O$2:$O$361)</f>
        <v>Metformin Tablets (500 MG)</v>
      </c>
      <c r="D206" s="31">
        <v>50</v>
      </c>
      <c r="E206" s="29" t="s">
        <v>404</v>
      </c>
      <c r="F206" s="29" t="str">
        <f>LOOKUP(A206,'QALS - Inspection Lot Record'!A:A,'QALS - Inspection Lot Record'!G:G)</f>
        <v>TG509538</v>
      </c>
      <c r="G206" s="59">
        <f ca="1">LOOKUP(A206,'QALS - Inspection Lot Record'!A:A,'QALS - Inspection Lot Record'!E:E)</f>
        <v>45882</v>
      </c>
      <c r="H206" s="34" t="str">
        <f t="shared" si="20"/>
        <v>A</v>
      </c>
      <c r="I206" s="29" t="str">
        <f t="shared" si="16"/>
        <v>TG509538</v>
      </c>
      <c r="J206" s="59">
        <f t="shared" ca="1" si="17"/>
        <v>45882</v>
      </c>
      <c r="K206" s="30">
        <f ca="1">LOOKUP(A206,'QALS - Inspection Lot Record'!A:A,'QALS - Inspection Lot Record'!I:I)</f>
        <v>0.1955324074074074</v>
      </c>
      <c r="L206" s="59">
        <f t="shared" ca="1" si="18"/>
        <v>45882</v>
      </c>
      <c r="M206" s="30">
        <f t="shared" ca="1" si="19"/>
        <v>0.22399305555555554</v>
      </c>
      <c r="N206" s="31"/>
      <c r="O206" s="31">
        <v>50</v>
      </c>
      <c r="P206" s="29">
        <v>40</v>
      </c>
      <c r="Q206" s="29">
        <v>60</v>
      </c>
    </row>
    <row r="207" spans="1:17" x14ac:dyDescent="0.35">
      <c r="A207" s="26">
        <v>40000002526</v>
      </c>
      <c r="B207" s="31">
        <v>1</v>
      </c>
      <c r="C207" s="29" t="str">
        <f>LOOKUP(A207,'QALS - Inspection Lot Record'!$A$2:$A$361,'QALS - Inspection Lot Record'!$O$2:$O$361)</f>
        <v>Metformin Tablets (500 MG)</v>
      </c>
      <c r="D207" s="31">
        <v>60</v>
      </c>
      <c r="E207" s="29" t="s">
        <v>405</v>
      </c>
      <c r="F207" s="29" t="str">
        <f>LOOKUP(A207,'QALS - Inspection Lot Record'!A:A,'QALS - Inspection Lot Record'!G:G)</f>
        <v>TG509538</v>
      </c>
      <c r="G207" s="59">
        <f ca="1">LOOKUP(A207,'QALS - Inspection Lot Record'!A:A,'QALS - Inspection Lot Record'!E:E)</f>
        <v>45882</v>
      </c>
      <c r="H207" s="34" t="str">
        <f t="shared" si="20"/>
        <v>A</v>
      </c>
      <c r="I207" s="29" t="str">
        <f t="shared" si="16"/>
        <v>TG509538</v>
      </c>
      <c r="J207" s="59">
        <f t="shared" ca="1" si="17"/>
        <v>45882</v>
      </c>
      <c r="K207" s="30">
        <f ca="1">LOOKUP(A207,'QALS - Inspection Lot Record'!A:A,'QALS - Inspection Lot Record'!I:I)</f>
        <v>0.1955324074074074</v>
      </c>
      <c r="L207" s="59">
        <f t="shared" ca="1" si="18"/>
        <v>45882</v>
      </c>
      <c r="M207" s="30">
        <f t="shared" ca="1" si="19"/>
        <v>0.22922453703703705</v>
      </c>
      <c r="N207" s="31"/>
      <c r="O207" s="31">
        <v>77.5</v>
      </c>
      <c r="P207" s="29">
        <v>70</v>
      </c>
      <c r="Q207" s="29">
        <v>85</v>
      </c>
    </row>
    <row r="208" spans="1:17" x14ac:dyDescent="0.35">
      <c r="A208" s="26">
        <v>40000002526</v>
      </c>
      <c r="B208" s="31">
        <v>1</v>
      </c>
      <c r="C208" s="29" t="str">
        <f>LOOKUP(A208,'QALS - Inspection Lot Record'!$A$2:$A$361,'QALS - Inspection Lot Record'!$O$2:$O$361)</f>
        <v>Metformin Tablets (500 MG)</v>
      </c>
      <c r="D208" s="31">
        <v>70</v>
      </c>
      <c r="E208" s="29" t="s">
        <v>406</v>
      </c>
      <c r="F208" s="29" t="str">
        <f>LOOKUP(A208,'QALS - Inspection Lot Record'!A:A,'QALS - Inspection Lot Record'!G:G)</f>
        <v>TG509538</v>
      </c>
      <c r="G208" s="59">
        <f ca="1">LOOKUP(A208,'QALS - Inspection Lot Record'!A:A,'QALS - Inspection Lot Record'!E:E)</f>
        <v>45882</v>
      </c>
      <c r="H208" s="34" t="str">
        <f t="shared" si="20"/>
        <v>A</v>
      </c>
      <c r="I208" s="29" t="str">
        <f t="shared" si="16"/>
        <v>TG509538</v>
      </c>
      <c r="J208" s="59">
        <f t="shared" ca="1" si="17"/>
        <v>45882</v>
      </c>
      <c r="K208" s="30">
        <f ca="1">LOOKUP(A208,'QALS - Inspection Lot Record'!A:A,'QALS - Inspection Lot Record'!I:I)</f>
        <v>0.1955324074074074</v>
      </c>
      <c r="L208" s="59">
        <f t="shared" ca="1" si="18"/>
        <v>45882</v>
      </c>
      <c r="M208" s="30">
        <f t="shared" ca="1" si="19"/>
        <v>0.22341435185185185</v>
      </c>
      <c r="N208" s="31"/>
      <c r="O208" s="31">
        <v>85</v>
      </c>
      <c r="P208" s="29">
        <v>80</v>
      </c>
      <c r="Q208" s="29">
        <v>90</v>
      </c>
    </row>
    <row r="209" spans="1:17" x14ac:dyDescent="0.35">
      <c r="A209" s="26">
        <v>40000002526</v>
      </c>
      <c r="B209" s="31">
        <v>1</v>
      </c>
      <c r="C209" s="29" t="str">
        <f>LOOKUP(A209,'QALS - Inspection Lot Record'!$A$2:$A$361,'QALS - Inspection Lot Record'!$O$2:$O$361)</f>
        <v>Metformin Tablets (500 MG)</v>
      </c>
      <c r="D209" s="31">
        <v>80</v>
      </c>
      <c r="E209" s="29" t="s">
        <v>407</v>
      </c>
      <c r="F209" s="29" t="str">
        <f>LOOKUP(A209,'QALS - Inspection Lot Record'!A:A,'QALS - Inspection Lot Record'!G:G)</f>
        <v>TG509538</v>
      </c>
      <c r="G209" s="59">
        <f ca="1">LOOKUP(A209,'QALS - Inspection Lot Record'!A:A,'QALS - Inspection Lot Record'!E:E)</f>
        <v>45882</v>
      </c>
      <c r="H209" s="34" t="str">
        <f t="shared" si="20"/>
        <v>A</v>
      </c>
      <c r="I209" s="29" t="str">
        <f t="shared" si="16"/>
        <v>TG509538</v>
      </c>
      <c r="J209" s="59">
        <f t="shared" ca="1" si="17"/>
        <v>45882</v>
      </c>
      <c r="K209" s="30">
        <f ca="1">LOOKUP(A209,'QALS - Inspection Lot Record'!A:A,'QALS - Inspection Lot Record'!I:I)</f>
        <v>0.1955324074074074</v>
      </c>
      <c r="L209" s="59">
        <f t="shared" ca="1" si="18"/>
        <v>45882</v>
      </c>
      <c r="M209" s="30">
        <f t="shared" ca="1" si="19"/>
        <v>0.22039351851851852</v>
      </c>
      <c r="N209" s="31"/>
      <c r="O209" s="31">
        <v>25.5</v>
      </c>
      <c r="P209" s="29">
        <v>23</v>
      </c>
      <c r="Q209" s="29">
        <v>28</v>
      </c>
    </row>
    <row r="210" spans="1:17" x14ac:dyDescent="0.35">
      <c r="A210" s="26">
        <v>40000002527</v>
      </c>
      <c r="B210" s="27">
        <v>1</v>
      </c>
      <c r="C210" s="29" t="str">
        <f>LOOKUP(A210,'QALS - Inspection Lot Record'!$A$2:$A$361,'QALS - Inspection Lot Record'!$O$2:$O$361)</f>
        <v>Ibuprofen Tablets (100 MG)</v>
      </c>
      <c r="D210" s="27">
        <v>10</v>
      </c>
      <c r="E210" s="26" t="s">
        <v>399</v>
      </c>
      <c r="F210" s="29" t="str">
        <f>LOOKUP(A210,'QALS - Inspection Lot Record'!A:A,'QALS - Inspection Lot Record'!G:G)</f>
        <v>TP397880</v>
      </c>
      <c r="G210" s="59">
        <f ca="1">LOOKUP(A210,'QALS - Inspection Lot Record'!A:A,'QALS - Inspection Lot Record'!E:E)</f>
        <v>45883</v>
      </c>
      <c r="H210" s="34" t="str">
        <f t="shared" si="20"/>
        <v>A</v>
      </c>
      <c r="I210" s="29" t="str">
        <f t="shared" si="16"/>
        <v>TP397880</v>
      </c>
      <c r="J210" s="59">
        <f t="shared" ca="1" si="17"/>
        <v>45883</v>
      </c>
      <c r="K210" s="30">
        <f ca="1">LOOKUP(A210,'QALS - Inspection Lot Record'!A:A,'QALS - Inspection Lot Record'!I:I)</f>
        <v>0.77383101851851854</v>
      </c>
      <c r="L210" s="59">
        <f t="shared" ca="1" si="18"/>
        <v>45883</v>
      </c>
      <c r="M210" s="30">
        <f t="shared" ca="1" si="19"/>
        <v>0.80887731481481484</v>
      </c>
      <c r="N210" s="31"/>
      <c r="O210" s="31">
        <v>98.5</v>
      </c>
      <c r="P210" s="29">
        <v>95</v>
      </c>
      <c r="Q210" s="29">
        <v>102</v>
      </c>
    </row>
    <row r="211" spans="1:17" x14ac:dyDescent="0.35">
      <c r="A211" s="26">
        <v>40000002527</v>
      </c>
      <c r="B211" s="27">
        <v>1</v>
      </c>
      <c r="C211" s="29" t="str">
        <f>LOOKUP(A211,'QALS - Inspection Lot Record'!$A$2:$A$361,'QALS - Inspection Lot Record'!$O$2:$O$361)</f>
        <v>Ibuprofen Tablets (100 MG)</v>
      </c>
      <c r="D211" s="31">
        <v>20</v>
      </c>
      <c r="E211" s="29" t="s">
        <v>400</v>
      </c>
      <c r="F211" s="29" t="str">
        <f>LOOKUP(A211,'QALS - Inspection Lot Record'!A:A,'QALS - Inspection Lot Record'!G:G)</f>
        <v>TP397880</v>
      </c>
      <c r="G211" s="59">
        <f ca="1">LOOKUP(A211,'QALS - Inspection Lot Record'!A:A,'QALS - Inspection Lot Record'!E:E)</f>
        <v>45883</v>
      </c>
      <c r="H211" s="34" t="str">
        <f t="shared" si="20"/>
        <v>A</v>
      </c>
      <c r="I211" s="29" t="str">
        <f t="shared" si="16"/>
        <v>TP397880</v>
      </c>
      <c r="J211" s="59">
        <f t="shared" ca="1" si="17"/>
        <v>45883</v>
      </c>
      <c r="K211" s="30">
        <f ca="1">LOOKUP(A211,'QALS - Inspection Lot Record'!A:A,'QALS - Inspection Lot Record'!I:I)</f>
        <v>0.77383101851851854</v>
      </c>
      <c r="L211" s="59">
        <f t="shared" ca="1" si="18"/>
        <v>45883</v>
      </c>
      <c r="M211" s="30">
        <f t="shared" ca="1" si="19"/>
        <v>0.79453703703703704</v>
      </c>
      <c r="N211" s="31"/>
      <c r="O211" s="31">
        <v>7.25</v>
      </c>
      <c r="P211" s="29">
        <v>3.5</v>
      </c>
      <c r="Q211" s="29">
        <v>11</v>
      </c>
    </row>
    <row r="212" spans="1:17" x14ac:dyDescent="0.35">
      <c r="A212" s="26">
        <v>40000002527</v>
      </c>
      <c r="B212" s="31">
        <v>1</v>
      </c>
      <c r="C212" s="29" t="str">
        <f>LOOKUP(A212,'QALS - Inspection Lot Record'!$A$2:$A$361,'QALS - Inspection Lot Record'!$O$2:$O$361)</f>
        <v>Ibuprofen Tablets (100 MG)</v>
      </c>
      <c r="D212" s="31">
        <v>30</v>
      </c>
      <c r="E212" s="29" t="s">
        <v>401</v>
      </c>
      <c r="F212" s="29" t="str">
        <f>LOOKUP(A212,'QALS - Inspection Lot Record'!A:A,'QALS - Inspection Lot Record'!G:G)</f>
        <v>TP397880</v>
      </c>
      <c r="G212" s="59">
        <f ca="1">LOOKUP(A212,'QALS - Inspection Lot Record'!A:A,'QALS - Inspection Lot Record'!E:E)</f>
        <v>45883</v>
      </c>
      <c r="H212" s="34" t="str">
        <f t="shared" si="20"/>
        <v>A</v>
      </c>
      <c r="I212" s="29" t="str">
        <f t="shared" si="16"/>
        <v>TP397880</v>
      </c>
      <c r="J212" s="59">
        <f t="shared" ca="1" si="17"/>
        <v>45883</v>
      </c>
      <c r="K212" s="30">
        <f ca="1">LOOKUP(A212,'QALS - Inspection Lot Record'!A:A,'QALS - Inspection Lot Record'!I:I)</f>
        <v>0.77383101851851854</v>
      </c>
      <c r="L212" s="59">
        <f t="shared" ca="1" si="18"/>
        <v>45883</v>
      </c>
      <c r="M212" s="30">
        <f t="shared" ca="1" si="19"/>
        <v>0.802337962962963</v>
      </c>
      <c r="N212" s="11" t="s">
        <v>402</v>
      </c>
      <c r="O212" s="31"/>
      <c r="P212" s="29"/>
      <c r="Q212" s="29"/>
    </row>
    <row r="213" spans="1:17" x14ac:dyDescent="0.35">
      <c r="A213" s="26">
        <v>40000002527</v>
      </c>
      <c r="B213" s="31">
        <v>1</v>
      </c>
      <c r="C213" s="29" t="str">
        <f>LOOKUP(A213,'QALS - Inspection Lot Record'!$A$2:$A$361,'QALS - Inspection Lot Record'!$O$2:$O$361)</f>
        <v>Ibuprofen Tablets (100 MG)</v>
      </c>
      <c r="D213" s="31">
        <v>40</v>
      </c>
      <c r="E213" s="29" t="s">
        <v>403</v>
      </c>
      <c r="F213" s="29" t="str">
        <f>LOOKUP(A213,'QALS - Inspection Lot Record'!A:A,'QALS - Inspection Lot Record'!G:G)</f>
        <v>TP397880</v>
      </c>
      <c r="G213" s="59">
        <f ca="1">LOOKUP(A213,'QALS - Inspection Lot Record'!A:A,'QALS - Inspection Lot Record'!E:E)</f>
        <v>45883</v>
      </c>
      <c r="H213" s="34" t="str">
        <f t="shared" si="20"/>
        <v>A</v>
      </c>
      <c r="I213" s="29" t="str">
        <f t="shared" si="16"/>
        <v>TP397880</v>
      </c>
      <c r="J213" s="59">
        <f t="shared" ca="1" si="17"/>
        <v>45883</v>
      </c>
      <c r="K213" s="30">
        <f ca="1">LOOKUP(A213,'QALS - Inspection Lot Record'!A:A,'QALS - Inspection Lot Record'!I:I)</f>
        <v>0.77383101851851854</v>
      </c>
      <c r="L213" s="59">
        <f t="shared" ca="1" si="18"/>
        <v>45883</v>
      </c>
      <c r="M213" s="30">
        <f t="shared" ca="1" si="19"/>
        <v>0.80291666666666672</v>
      </c>
      <c r="N213" s="31"/>
      <c r="O213" s="31">
        <v>0</v>
      </c>
      <c r="P213" s="29">
        <v>0</v>
      </c>
      <c r="Q213" s="29">
        <v>1</v>
      </c>
    </row>
    <row r="214" spans="1:17" x14ac:dyDescent="0.35">
      <c r="A214" s="26">
        <v>40000002527</v>
      </c>
      <c r="B214" s="31">
        <v>1</v>
      </c>
      <c r="C214" s="29" t="str">
        <f>LOOKUP(A214,'QALS - Inspection Lot Record'!$A$2:$A$361,'QALS - Inspection Lot Record'!$O$2:$O$361)</f>
        <v>Ibuprofen Tablets (100 MG)</v>
      </c>
      <c r="D214" s="31">
        <v>50</v>
      </c>
      <c r="E214" s="29" t="s">
        <v>404</v>
      </c>
      <c r="F214" s="29" t="str">
        <f>LOOKUP(A214,'QALS - Inspection Lot Record'!A:A,'QALS - Inspection Lot Record'!G:G)</f>
        <v>TP397880</v>
      </c>
      <c r="G214" s="59">
        <f ca="1">LOOKUP(A214,'QALS - Inspection Lot Record'!A:A,'QALS - Inspection Lot Record'!E:E)</f>
        <v>45883</v>
      </c>
      <c r="H214" s="34" t="str">
        <f t="shared" si="20"/>
        <v>A</v>
      </c>
      <c r="I214" s="29" t="str">
        <f t="shared" si="16"/>
        <v>TP397880</v>
      </c>
      <c r="J214" s="59">
        <f t="shared" ca="1" si="17"/>
        <v>45883</v>
      </c>
      <c r="K214" s="30">
        <f ca="1">LOOKUP(A214,'QALS - Inspection Lot Record'!A:A,'QALS - Inspection Lot Record'!I:I)</f>
        <v>0.77383101851851854</v>
      </c>
      <c r="L214" s="59">
        <f t="shared" ca="1" si="18"/>
        <v>45883</v>
      </c>
      <c r="M214" s="30">
        <f t="shared" ca="1" si="19"/>
        <v>0.79913194444444446</v>
      </c>
      <c r="N214" s="31"/>
      <c r="O214" s="31">
        <v>50</v>
      </c>
      <c r="P214" s="29">
        <v>40</v>
      </c>
      <c r="Q214" s="29">
        <v>60</v>
      </c>
    </row>
    <row r="215" spans="1:17" x14ac:dyDescent="0.35">
      <c r="A215" s="26">
        <v>40000002527</v>
      </c>
      <c r="B215" s="31">
        <v>1</v>
      </c>
      <c r="C215" s="29" t="str">
        <f>LOOKUP(A215,'QALS - Inspection Lot Record'!$A$2:$A$361,'QALS - Inspection Lot Record'!$O$2:$O$361)</f>
        <v>Ibuprofen Tablets (100 MG)</v>
      </c>
      <c r="D215" s="31">
        <v>60</v>
      </c>
      <c r="E215" s="29" t="s">
        <v>405</v>
      </c>
      <c r="F215" s="29" t="str">
        <f>LOOKUP(A215,'QALS - Inspection Lot Record'!A:A,'QALS - Inspection Lot Record'!G:G)</f>
        <v>TP397880</v>
      </c>
      <c r="G215" s="59">
        <f ca="1">LOOKUP(A215,'QALS - Inspection Lot Record'!A:A,'QALS - Inspection Lot Record'!E:E)</f>
        <v>45883</v>
      </c>
      <c r="H215" s="34" t="str">
        <f t="shared" si="20"/>
        <v>A</v>
      </c>
      <c r="I215" s="29" t="str">
        <f t="shared" si="16"/>
        <v>TP397880</v>
      </c>
      <c r="J215" s="59">
        <f t="shared" ca="1" si="17"/>
        <v>45883</v>
      </c>
      <c r="K215" s="30">
        <f ca="1">LOOKUP(A215,'QALS - Inspection Lot Record'!A:A,'QALS - Inspection Lot Record'!I:I)</f>
        <v>0.77383101851851854</v>
      </c>
      <c r="L215" s="59">
        <f t="shared" ca="1" si="18"/>
        <v>45883</v>
      </c>
      <c r="M215" s="30">
        <f t="shared" ca="1" si="19"/>
        <v>0.79128472222222224</v>
      </c>
      <c r="N215" s="31"/>
      <c r="O215" s="31">
        <v>77.5</v>
      </c>
      <c r="P215" s="29">
        <v>70</v>
      </c>
      <c r="Q215" s="29">
        <v>85</v>
      </c>
    </row>
    <row r="216" spans="1:17" x14ac:dyDescent="0.35">
      <c r="A216" s="26">
        <v>40000002527</v>
      </c>
      <c r="B216" s="31">
        <v>1</v>
      </c>
      <c r="C216" s="29" t="str">
        <f>LOOKUP(A216,'QALS - Inspection Lot Record'!$A$2:$A$361,'QALS - Inspection Lot Record'!$O$2:$O$361)</f>
        <v>Ibuprofen Tablets (100 MG)</v>
      </c>
      <c r="D216" s="31">
        <v>70</v>
      </c>
      <c r="E216" s="29" t="s">
        <v>406</v>
      </c>
      <c r="F216" s="29" t="str">
        <f>LOOKUP(A216,'QALS - Inspection Lot Record'!A:A,'QALS - Inspection Lot Record'!G:G)</f>
        <v>TP397880</v>
      </c>
      <c r="G216" s="59">
        <f ca="1">LOOKUP(A216,'QALS - Inspection Lot Record'!A:A,'QALS - Inspection Lot Record'!E:E)</f>
        <v>45883</v>
      </c>
      <c r="H216" s="34" t="str">
        <f t="shared" si="20"/>
        <v>A</v>
      </c>
      <c r="I216" s="29" t="str">
        <f t="shared" si="16"/>
        <v>TP397880</v>
      </c>
      <c r="J216" s="59">
        <f t="shared" ca="1" si="17"/>
        <v>45883</v>
      </c>
      <c r="K216" s="30">
        <f ca="1">LOOKUP(A216,'QALS - Inspection Lot Record'!A:A,'QALS - Inspection Lot Record'!I:I)</f>
        <v>0.77383101851851854</v>
      </c>
      <c r="L216" s="59">
        <f t="shared" ca="1" si="18"/>
        <v>45883</v>
      </c>
      <c r="M216" s="30">
        <f t="shared" ca="1" si="19"/>
        <v>0.79215277777777782</v>
      </c>
      <c r="N216" s="31"/>
      <c r="O216" s="31">
        <v>85</v>
      </c>
      <c r="P216" s="29">
        <v>80</v>
      </c>
      <c r="Q216" s="29">
        <v>90</v>
      </c>
    </row>
    <row r="217" spans="1:17" x14ac:dyDescent="0.35">
      <c r="A217" s="26">
        <v>40000002527</v>
      </c>
      <c r="B217" s="31">
        <v>1</v>
      </c>
      <c r="C217" s="29" t="str">
        <f>LOOKUP(A217,'QALS - Inspection Lot Record'!$A$2:$A$361,'QALS - Inspection Lot Record'!$O$2:$O$361)</f>
        <v>Ibuprofen Tablets (100 MG)</v>
      </c>
      <c r="D217" s="31">
        <v>80</v>
      </c>
      <c r="E217" s="29" t="s">
        <v>407</v>
      </c>
      <c r="F217" s="29" t="str">
        <f>LOOKUP(A217,'QALS - Inspection Lot Record'!A:A,'QALS - Inspection Lot Record'!G:G)</f>
        <v>TP397880</v>
      </c>
      <c r="G217" s="59">
        <f ca="1">LOOKUP(A217,'QALS - Inspection Lot Record'!A:A,'QALS - Inspection Lot Record'!E:E)</f>
        <v>45883</v>
      </c>
      <c r="H217" s="34" t="str">
        <f t="shared" si="20"/>
        <v>A</v>
      </c>
      <c r="I217" s="29" t="str">
        <f t="shared" si="16"/>
        <v>TP397880</v>
      </c>
      <c r="J217" s="59">
        <f t="shared" ca="1" si="17"/>
        <v>45883</v>
      </c>
      <c r="K217" s="30">
        <f ca="1">LOOKUP(A217,'QALS - Inspection Lot Record'!A:A,'QALS - Inspection Lot Record'!I:I)</f>
        <v>0.77383101851851854</v>
      </c>
      <c r="L217" s="59">
        <f t="shared" ca="1" si="18"/>
        <v>45883</v>
      </c>
      <c r="M217" s="30">
        <f t="shared" ca="1" si="19"/>
        <v>0.79848379629629629</v>
      </c>
      <c r="N217" s="31"/>
      <c r="O217" s="31">
        <v>24</v>
      </c>
      <c r="P217" s="29">
        <v>23</v>
      </c>
      <c r="Q217" s="29">
        <v>25</v>
      </c>
    </row>
    <row r="218" spans="1:17" x14ac:dyDescent="0.35">
      <c r="A218" s="26">
        <v>40000002528</v>
      </c>
      <c r="B218" s="27">
        <v>1</v>
      </c>
      <c r="C218" s="29" t="str">
        <f>LOOKUP(A218,'QALS - Inspection Lot Record'!$A$2:$A$361,'QALS - Inspection Lot Record'!$O$2:$O$361)</f>
        <v>Metformin Tablets (100 MG)</v>
      </c>
      <c r="D218" s="27">
        <v>10</v>
      </c>
      <c r="E218" s="26" t="s">
        <v>399</v>
      </c>
      <c r="F218" s="29" t="str">
        <f>LOOKUP(A218,'QALS - Inspection Lot Record'!A:A,'QALS - Inspection Lot Record'!G:G)</f>
        <v>YA284176</v>
      </c>
      <c r="G218" s="59">
        <f ca="1">LOOKUP(A218,'QALS - Inspection Lot Record'!A:A,'QALS - Inspection Lot Record'!E:E)</f>
        <v>45883</v>
      </c>
      <c r="H218" s="34" t="str">
        <f t="shared" si="20"/>
        <v>A</v>
      </c>
      <c r="I218" s="29" t="str">
        <f t="shared" si="16"/>
        <v>YA284176</v>
      </c>
      <c r="J218" s="59">
        <f t="shared" ca="1" si="17"/>
        <v>45883</v>
      </c>
      <c r="K218" s="30">
        <f ca="1">LOOKUP(A218,'QALS - Inspection Lot Record'!A:A,'QALS - Inspection Lot Record'!I:I)</f>
        <v>0.25623842592592594</v>
      </c>
      <c r="L218" s="59">
        <f t="shared" ca="1" si="18"/>
        <v>45883</v>
      </c>
      <c r="M218" s="30">
        <f t="shared" ca="1" si="19"/>
        <v>0.28052083333333333</v>
      </c>
      <c r="N218" s="31"/>
      <c r="O218" s="31">
        <v>98.5</v>
      </c>
      <c r="P218" s="29">
        <v>95</v>
      </c>
      <c r="Q218" s="29">
        <v>102</v>
      </c>
    </row>
    <row r="219" spans="1:17" x14ac:dyDescent="0.35">
      <c r="A219" s="26">
        <v>40000002528</v>
      </c>
      <c r="B219" s="27">
        <v>1</v>
      </c>
      <c r="C219" s="29" t="str">
        <f>LOOKUP(A219,'QALS - Inspection Lot Record'!$A$2:$A$361,'QALS - Inspection Lot Record'!$O$2:$O$361)</f>
        <v>Metformin Tablets (100 MG)</v>
      </c>
      <c r="D219" s="31">
        <v>20</v>
      </c>
      <c r="E219" s="29" t="s">
        <v>400</v>
      </c>
      <c r="F219" s="29" t="str">
        <f>LOOKUP(A219,'QALS - Inspection Lot Record'!A:A,'QALS - Inspection Lot Record'!G:G)</f>
        <v>YA284176</v>
      </c>
      <c r="G219" s="59">
        <f ca="1">LOOKUP(A219,'QALS - Inspection Lot Record'!A:A,'QALS - Inspection Lot Record'!E:E)</f>
        <v>45883</v>
      </c>
      <c r="H219" s="34" t="str">
        <f t="shared" si="20"/>
        <v>A</v>
      </c>
      <c r="I219" s="29" t="str">
        <f t="shared" si="16"/>
        <v>YA284176</v>
      </c>
      <c r="J219" s="59">
        <f t="shared" ca="1" si="17"/>
        <v>45883</v>
      </c>
      <c r="K219" s="30">
        <f ca="1">LOOKUP(A219,'QALS - Inspection Lot Record'!A:A,'QALS - Inspection Lot Record'!I:I)</f>
        <v>0.25623842592592594</v>
      </c>
      <c r="L219" s="59">
        <f t="shared" ca="1" si="18"/>
        <v>45883</v>
      </c>
      <c r="M219" s="30">
        <f t="shared" ca="1" si="19"/>
        <v>0.28408564814814818</v>
      </c>
      <c r="N219" s="31"/>
      <c r="O219" s="31">
        <v>7.3</v>
      </c>
      <c r="P219" s="29">
        <v>3.5</v>
      </c>
      <c r="Q219" s="29">
        <v>11</v>
      </c>
    </row>
    <row r="220" spans="1:17" x14ac:dyDescent="0.35">
      <c r="A220" s="26">
        <v>40000002528</v>
      </c>
      <c r="B220" s="31">
        <v>1</v>
      </c>
      <c r="C220" s="29" t="str">
        <f>LOOKUP(A220,'QALS - Inspection Lot Record'!$A$2:$A$361,'QALS - Inspection Lot Record'!$O$2:$O$361)</f>
        <v>Metformin Tablets (100 MG)</v>
      </c>
      <c r="D220" s="31">
        <v>30</v>
      </c>
      <c r="E220" s="29" t="s">
        <v>401</v>
      </c>
      <c r="F220" s="29" t="str">
        <f>LOOKUP(A220,'QALS - Inspection Lot Record'!A:A,'QALS - Inspection Lot Record'!G:G)</f>
        <v>YA284176</v>
      </c>
      <c r="G220" s="59">
        <f ca="1">LOOKUP(A220,'QALS - Inspection Lot Record'!A:A,'QALS - Inspection Lot Record'!E:E)</f>
        <v>45883</v>
      </c>
      <c r="H220" s="34" t="str">
        <f t="shared" si="20"/>
        <v>A</v>
      </c>
      <c r="I220" s="29" t="str">
        <f t="shared" si="16"/>
        <v>YA284176</v>
      </c>
      <c r="J220" s="59">
        <f t="shared" ca="1" si="17"/>
        <v>45883</v>
      </c>
      <c r="K220" s="30">
        <f ca="1">LOOKUP(A220,'QALS - Inspection Lot Record'!A:A,'QALS - Inspection Lot Record'!I:I)</f>
        <v>0.25623842592592594</v>
      </c>
      <c r="L220" s="59">
        <f t="shared" ca="1" si="18"/>
        <v>45883</v>
      </c>
      <c r="M220" s="30">
        <f t="shared" ca="1" si="19"/>
        <v>0.27456018518518521</v>
      </c>
      <c r="N220" s="11" t="s">
        <v>402</v>
      </c>
      <c r="O220" s="31"/>
      <c r="P220" s="29"/>
      <c r="Q220" s="29"/>
    </row>
    <row r="221" spans="1:17" x14ac:dyDescent="0.35">
      <c r="A221" s="26">
        <v>40000002528</v>
      </c>
      <c r="B221" s="31">
        <v>1</v>
      </c>
      <c r="C221" s="29" t="str">
        <f>LOOKUP(A221,'QALS - Inspection Lot Record'!$A$2:$A$361,'QALS - Inspection Lot Record'!$O$2:$O$361)</f>
        <v>Metformin Tablets (100 MG)</v>
      </c>
      <c r="D221" s="31">
        <v>40</v>
      </c>
      <c r="E221" s="29" t="s">
        <v>403</v>
      </c>
      <c r="F221" s="29" t="str">
        <f>LOOKUP(A221,'QALS - Inspection Lot Record'!A:A,'QALS - Inspection Lot Record'!G:G)</f>
        <v>YA284176</v>
      </c>
      <c r="G221" s="59">
        <f ca="1">LOOKUP(A221,'QALS - Inspection Lot Record'!A:A,'QALS - Inspection Lot Record'!E:E)</f>
        <v>45883</v>
      </c>
      <c r="H221" s="34" t="str">
        <f t="shared" si="20"/>
        <v>A</v>
      </c>
      <c r="I221" s="29" t="str">
        <f t="shared" si="16"/>
        <v>YA284176</v>
      </c>
      <c r="J221" s="59">
        <f t="shared" ca="1" si="17"/>
        <v>45883</v>
      </c>
      <c r="K221" s="30">
        <f ca="1">LOOKUP(A221,'QALS - Inspection Lot Record'!A:A,'QALS - Inspection Lot Record'!I:I)</f>
        <v>0.25623842592592594</v>
      </c>
      <c r="L221" s="59">
        <f t="shared" ca="1" si="18"/>
        <v>45883</v>
      </c>
      <c r="M221" s="30">
        <f t="shared" ca="1" si="19"/>
        <v>0.2832291666666667</v>
      </c>
      <c r="N221" s="31"/>
      <c r="O221" s="31">
        <v>0</v>
      </c>
      <c r="P221" s="29">
        <v>0</v>
      </c>
      <c r="Q221" s="29">
        <v>1</v>
      </c>
    </row>
    <row r="222" spans="1:17" x14ac:dyDescent="0.35">
      <c r="A222" s="26">
        <v>40000002528</v>
      </c>
      <c r="B222" s="31">
        <v>1</v>
      </c>
      <c r="C222" s="29" t="str">
        <f>LOOKUP(A222,'QALS - Inspection Lot Record'!$A$2:$A$361,'QALS - Inspection Lot Record'!$O$2:$O$361)</f>
        <v>Metformin Tablets (100 MG)</v>
      </c>
      <c r="D222" s="31">
        <v>50</v>
      </c>
      <c r="E222" s="29" t="s">
        <v>404</v>
      </c>
      <c r="F222" s="29" t="str">
        <f>LOOKUP(A222,'QALS - Inspection Lot Record'!A:A,'QALS - Inspection Lot Record'!G:G)</f>
        <v>YA284176</v>
      </c>
      <c r="G222" s="59">
        <f ca="1">LOOKUP(A222,'QALS - Inspection Lot Record'!A:A,'QALS - Inspection Lot Record'!E:E)</f>
        <v>45883</v>
      </c>
      <c r="H222" s="34" t="str">
        <f t="shared" si="20"/>
        <v>A</v>
      </c>
      <c r="I222" s="29" t="str">
        <f t="shared" si="16"/>
        <v>YA284176</v>
      </c>
      <c r="J222" s="59">
        <f t="shared" ca="1" si="17"/>
        <v>45883</v>
      </c>
      <c r="K222" s="30">
        <f ca="1">LOOKUP(A222,'QALS - Inspection Lot Record'!A:A,'QALS - Inspection Lot Record'!I:I)</f>
        <v>0.25623842592592594</v>
      </c>
      <c r="L222" s="59">
        <f t="shared" ca="1" si="18"/>
        <v>45883</v>
      </c>
      <c r="M222" s="30">
        <f t="shared" ca="1" si="19"/>
        <v>0.27731481481481485</v>
      </c>
      <c r="N222" s="31"/>
      <c r="O222" s="31">
        <v>50</v>
      </c>
      <c r="P222" s="29">
        <v>40</v>
      </c>
      <c r="Q222" s="29">
        <v>60</v>
      </c>
    </row>
    <row r="223" spans="1:17" x14ac:dyDescent="0.35">
      <c r="A223" s="26">
        <v>40000002528</v>
      </c>
      <c r="B223" s="31">
        <v>1</v>
      </c>
      <c r="C223" s="29" t="str">
        <f>LOOKUP(A223,'QALS - Inspection Lot Record'!$A$2:$A$361,'QALS - Inspection Lot Record'!$O$2:$O$361)</f>
        <v>Metformin Tablets (100 MG)</v>
      </c>
      <c r="D223" s="31">
        <v>60</v>
      </c>
      <c r="E223" s="29" t="s">
        <v>405</v>
      </c>
      <c r="F223" s="29" t="str">
        <f>LOOKUP(A223,'QALS - Inspection Lot Record'!A:A,'QALS - Inspection Lot Record'!G:G)</f>
        <v>YA284176</v>
      </c>
      <c r="G223" s="59">
        <f ca="1">LOOKUP(A223,'QALS - Inspection Lot Record'!A:A,'QALS - Inspection Lot Record'!E:E)</f>
        <v>45883</v>
      </c>
      <c r="H223" s="34" t="str">
        <f t="shared" si="20"/>
        <v>A</v>
      </c>
      <c r="I223" s="29" t="str">
        <f t="shared" si="16"/>
        <v>YA284176</v>
      </c>
      <c r="J223" s="59">
        <f t="shared" ca="1" si="17"/>
        <v>45883</v>
      </c>
      <c r="K223" s="30">
        <f ca="1">LOOKUP(A223,'QALS - Inspection Lot Record'!A:A,'QALS - Inspection Lot Record'!I:I)</f>
        <v>0.25623842592592594</v>
      </c>
      <c r="L223" s="59">
        <f t="shared" ca="1" si="18"/>
        <v>45883</v>
      </c>
      <c r="M223" s="30">
        <f t="shared" ca="1" si="19"/>
        <v>0.2810300925925926</v>
      </c>
      <c r="N223" s="31"/>
      <c r="O223" s="31">
        <v>77.5</v>
      </c>
      <c r="P223" s="29">
        <v>70</v>
      </c>
      <c r="Q223" s="29">
        <v>85</v>
      </c>
    </row>
    <row r="224" spans="1:17" x14ac:dyDescent="0.35">
      <c r="A224" s="26">
        <v>40000002528</v>
      </c>
      <c r="B224" s="31">
        <v>1</v>
      </c>
      <c r="C224" s="29" t="str">
        <f>LOOKUP(A224,'QALS - Inspection Lot Record'!$A$2:$A$361,'QALS - Inspection Lot Record'!$O$2:$O$361)</f>
        <v>Metformin Tablets (100 MG)</v>
      </c>
      <c r="D224" s="31">
        <v>70</v>
      </c>
      <c r="E224" s="29" t="s">
        <v>406</v>
      </c>
      <c r="F224" s="29" t="str">
        <f>LOOKUP(A224,'QALS - Inspection Lot Record'!A:A,'QALS - Inspection Lot Record'!G:G)</f>
        <v>YA284176</v>
      </c>
      <c r="G224" s="59">
        <f ca="1">LOOKUP(A224,'QALS - Inspection Lot Record'!A:A,'QALS - Inspection Lot Record'!E:E)</f>
        <v>45883</v>
      </c>
      <c r="H224" s="34" t="str">
        <f t="shared" si="20"/>
        <v>A</v>
      </c>
      <c r="I224" s="29" t="str">
        <f t="shared" si="16"/>
        <v>YA284176</v>
      </c>
      <c r="J224" s="59">
        <f t="shared" ca="1" si="17"/>
        <v>45883</v>
      </c>
      <c r="K224" s="30">
        <f ca="1">LOOKUP(A224,'QALS - Inspection Lot Record'!A:A,'QALS - Inspection Lot Record'!I:I)</f>
        <v>0.25623842592592594</v>
      </c>
      <c r="L224" s="59">
        <f t="shared" ca="1" si="18"/>
        <v>45883</v>
      </c>
      <c r="M224" s="30">
        <f t="shared" ca="1" si="19"/>
        <v>0.28540509259259261</v>
      </c>
      <c r="N224" s="31"/>
      <c r="O224" s="31">
        <v>85</v>
      </c>
      <c r="P224" s="29">
        <v>80</v>
      </c>
      <c r="Q224" s="29">
        <v>90</v>
      </c>
    </row>
    <row r="225" spans="1:17" x14ac:dyDescent="0.35">
      <c r="A225" s="26">
        <v>40000002528</v>
      </c>
      <c r="B225" s="31">
        <v>1</v>
      </c>
      <c r="C225" s="29" t="str">
        <f>LOOKUP(A225,'QALS - Inspection Lot Record'!$A$2:$A$361,'QALS - Inspection Lot Record'!$O$2:$O$361)</f>
        <v>Metformin Tablets (100 MG)</v>
      </c>
      <c r="D225" s="31">
        <v>80</v>
      </c>
      <c r="E225" s="29" t="s">
        <v>407</v>
      </c>
      <c r="F225" s="29" t="str">
        <f>LOOKUP(A225,'QALS - Inspection Lot Record'!A:A,'QALS - Inspection Lot Record'!G:G)</f>
        <v>YA284176</v>
      </c>
      <c r="G225" s="59">
        <f ca="1">LOOKUP(A225,'QALS - Inspection Lot Record'!A:A,'QALS - Inspection Lot Record'!E:E)</f>
        <v>45883</v>
      </c>
      <c r="H225" s="34" t="str">
        <f t="shared" si="20"/>
        <v>A</v>
      </c>
      <c r="I225" s="29" t="str">
        <f t="shared" si="16"/>
        <v>YA284176</v>
      </c>
      <c r="J225" s="59">
        <f t="shared" ca="1" si="17"/>
        <v>45883</v>
      </c>
      <c r="K225" s="30">
        <f ca="1">LOOKUP(A225,'QALS - Inspection Lot Record'!A:A,'QALS - Inspection Lot Record'!I:I)</f>
        <v>0.25623842592592594</v>
      </c>
      <c r="L225" s="59">
        <f t="shared" ca="1" si="18"/>
        <v>45883</v>
      </c>
      <c r="M225" s="30">
        <f t="shared" ca="1" si="19"/>
        <v>0.28424768518518517</v>
      </c>
      <c r="N225" s="31"/>
      <c r="O225" s="31">
        <v>24</v>
      </c>
      <c r="P225" s="29">
        <v>23</v>
      </c>
      <c r="Q225" s="29">
        <v>25</v>
      </c>
    </row>
    <row r="226" spans="1:17" x14ac:dyDescent="0.35">
      <c r="A226" s="26">
        <v>40000002529</v>
      </c>
      <c r="B226" s="27">
        <v>1</v>
      </c>
      <c r="C226" s="29" t="str">
        <f>LOOKUP(A226,'QALS - Inspection Lot Record'!$A$2:$A$361,'QALS - Inspection Lot Record'!$O$2:$O$361)</f>
        <v>Metformin Tablets (100 MG)</v>
      </c>
      <c r="D226" s="27">
        <v>10</v>
      </c>
      <c r="E226" s="26" t="s">
        <v>399</v>
      </c>
      <c r="F226" s="29" t="str">
        <f>LOOKUP(A226,'QALS - Inspection Lot Record'!A:A,'QALS - Inspection Lot Record'!G:G)</f>
        <v>AB406550</v>
      </c>
      <c r="G226" s="59">
        <f ca="1">LOOKUP(A226,'QALS - Inspection Lot Record'!A:A,'QALS - Inspection Lot Record'!E:E)</f>
        <v>45884</v>
      </c>
      <c r="H226" s="34" t="str">
        <f t="shared" si="20"/>
        <v>A</v>
      </c>
      <c r="I226" s="29" t="str">
        <f t="shared" si="16"/>
        <v>AB406550</v>
      </c>
      <c r="J226" s="59">
        <f t="shared" ca="1" si="17"/>
        <v>45884</v>
      </c>
      <c r="K226" s="30">
        <f ca="1">LOOKUP(A226,'QALS - Inspection Lot Record'!A:A,'QALS - Inspection Lot Record'!I:I)</f>
        <v>0.53420138888888891</v>
      </c>
      <c r="L226" s="59">
        <f t="shared" ca="1" si="18"/>
        <v>45884</v>
      </c>
      <c r="M226" s="30">
        <f t="shared" ca="1" si="19"/>
        <v>0.55680555555555555</v>
      </c>
      <c r="N226" s="31"/>
      <c r="O226" s="31">
        <v>98.5</v>
      </c>
      <c r="P226" s="29">
        <v>95</v>
      </c>
      <c r="Q226" s="29">
        <v>102</v>
      </c>
    </row>
    <row r="227" spans="1:17" x14ac:dyDescent="0.35">
      <c r="A227" s="26">
        <v>40000002529</v>
      </c>
      <c r="B227" s="27">
        <v>1</v>
      </c>
      <c r="C227" s="29" t="str">
        <f>LOOKUP(A227,'QALS - Inspection Lot Record'!$A$2:$A$361,'QALS - Inspection Lot Record'!$O$2:$O$361)</f>
        <v>Metformin Tablets (100 MG)</v>
      </c>
      <c r="D227" s="31">
        <v>20</v>
      </c>
      <c r="E227" s="29" t="s">
        <v>400</v>
      </c>
      <c r="F227" s="29" t="str">
        <f>LOOKUP(A227,'QALS - Inspection Lot Record'!A:A,'QALS - Inspection Lot Record'!G:G)</f>
        <v>AB406550</v>
      </c>
      <c r="G227" s="59">
        <f ca="1">LOOKUP(A227,'QALS - Inspection Lot Record'!A:A,'QALS - Inspection Lot Record'!E:E)</f>
        <v>45884</v>
      </c>
      <c r="H227" s="34" t="str">
        <f t="shared" si="20"/>
        <v>A</v>
      </c>
      <c r="I227" s="29" t="str">
        <f t="shared" si="16"/>
        <v>AB406550</v>
      </c>
      <c r="J227" s="59">
        <f t="shared" ca="1" si="17"/>
        <v>45884</v>
      </c>
      <c r="K227" s="30">
        <f ca="1">LOOKUP(A227,'QALS - Inspection Lot Record'!A:A,'QALS - Inspection Lot Record'!I:I)</f>
        <v>0.53420138888888891</v>
      </c>
      <c r="L227" s="59">
        <f t="shared" ca="1" si="18"/>
        <v>45884</v>
      </c>
      <c r="M227" s="30">
        <f t="shared" ca="1" si="19"/>
        <v>0.55726851851851855</v>
      </c>
      <c r="N227" s="31"/>
      <c r="O227" s="31">
        <v>7.25</v>
      </c>
      <c r="P227" s="29">
        <v>3.5</v>
      </c>
      <c r="Q227" s="29">
        <v>11</v>
      </c>
    </row>
    <row r="228" spans="1:17" x14ac:dyDescent="0.35">
      <c r="A228" s="26">
        <v>40000002529</v>
      </c>
      <c r="B228" s="31">
        <v>1</v>
      </c>
      <c r="C228" s="29" t="str">
        <f>LOOKUP(A228,'QALS - Inspection Lot Record'!$A$2:$A$361,'QALS - Inspection Lot Record'!$O$2:$O$361)</f>
        <v>Metformin Tablets (100 MG)</v>
      </c>
      <c r="D228" s="31">
        <v>30</v>
      </c>
      <c r="E228" s="29" t="s">
        <v>401</v>
      </c>
      <c r="F228" s="29" t="str">
        <f>LOOKUP(A228,'QALS - Inspection Lot Record'!A:A,'QALS - Inspection Lot Record'!G:G)</f>
        <v>AB406550</v>
      </c>
      <c r="G228" s="59">
        <f ca="1">LOOKUP(A228,'QALS - Inspection Lot Record'!A:A,'QALS - Inspection Lot Record'!E:E)</f>
        <v>45884</v>
      </c>
      <c r="H228" s="34" t="str">
        <f t="shared" si="20"/>
        <v>A</v>
      </c>
      <c r="I228" s="29" t="str">
        <f t="shared" si="16"/>
        <v>AB406550</v>
      </c>
      <c r="J228" s="59">
        <f t="shared" ca="1" si="17"/>
        <v>45884</v>
      </c>
      <c r="K228" s="30">
        <f ca="1">LOOKUP(A228,'QALS - Inspection Lot Record'!A:A,'QALS - Inspection Lot Record'!I:I)</f>
        <v>0.53420138888888891</v>
      </c>
      <c r="L228" s="59">
        <f t="shared" ca="1" si="18"/>
        <v>45884</v>
      </c>
      <c r="M228" s="30">
        <f t="shared" ca="1" si="19"/>
        <v>0.56119212962962961</v>
      </c>
      <c r="N228" s="11" t="s">
        <v>402</v>
      </c>
      <c r="O228" s="31"/>
      <c r="P228" s="29"/>
      <c r="Q228" s="29"/>
    </row>
    <row r="229" spans="1:17" x14ac:dyDescent="0.35">
      <c r="A229" s="26">
        <v>40000002529</v>
      </c>
      <c r="B229" s="31">
        <v>1</v>
      </c>
      <c r="C229" s="29" t="str">
        <f>LOOKUP(A229,'QALS - Inspection Lot Record'!$A$2:$A$361,'QALS - Inspection Lot Record'!$O$2:$O$361)</f>
        <v>Metformin Tablets (100 MG)</v>
      </c>
      <c r="D229" s="31">
        <v>40</v>
      </c>
      <c r="E229" s="29" t="s">
        <v>403</v>
      </c>
      <c r="F229" s="29" t="str">
        <f>LOOKUP(A229,'QALS - Inspection Lot Record'!A:A,'QALS - Inspection Lot Record'!G:G)</f>
        <v>AB406550</v>
      </c>
      <c r="G229" s="59">
        <f ca="1">LOOKUP(A229,'QALS - Inspection Lot Record'!A:A,'QALS - Inspection Lot Record'!E:E)</f>
        <v>45884</v>
      </c>
      <c r="H229" s="34" t="str">
        <f t="shared" si="20"/>
        <v>A</v>
      </c>
      <c r="I229" s="29" t="str">
        <f t="shared" si="16"/>
        <v>AB406550</v>
      </c>
      <c r="J229" s="59">
        <f t="shared" ca="1" si="17"/>
        <v>45884</v>
      </c>
      <c r="K229" s="30">
        <f ca="1">LOOKUP(A229,'QALS - Inspection Lot Record'!A:A,'QALS - Inspection Lot Record'!I:I)</f>
        <v>0.53420138888888891</v>
      </c>
      <c r="L229" s="59">
        <f t="shared" ca="1" si="18"/>
        <v>45884</v>
      </c>
      <c r="M229" s="30">
        <f t="shared" ca="1" si="19"/>
        <v>0.55917824074074074</v>
      </c>
      <c r="N229" s="31"/>
      <c r="O229" s="31">
        <v>0</v>
      </c>
      <c r="P229" s="29">
        <v>0</v>
      </c>
      <c r="Q229" s="29">
        <v>1</v>
      </c>
    </row>
    <row r="230" spans="1:17" x14ac:dyDescent="0.35">
      <c r="A230" s="26">
        <v>40000002529</v>
      </c>
      <c r="B230" s="31">
        <v>1</v>
      </c>
      <c r="C230" s="29" t="str">
        <f>LOOKUP(A230,'QALS - Inspection Lot Record'!$A$2:$A$361,'QALS - Inspection Lot Record'!$O$2:$O$361)</f>
        <v>Metformin Tablets (100 MG)</v>
      </c>
      <c r="D230" s="31">
        <v>50</v>
      </c>
      <c r="E230" s="29" t="s">
        <v>404</v>
      </c>
      <c r="F230" s="29" t="str">
        <f>LOOKUP(A230,'QALS - Inspection Lot Record'!A:A,'QALS - Inspection Lot Record'!G:G)</f>
        <v>AB406550</v>
      </c>
      <c r="G230" s="59">
        <f ca="1">LOOKUP(A230,'QALS - Inspection Lot Record'!A:A,'QALS - Inspection Lot Record'!E:E)</f>
        <v>45884</v>
      </c>
      <c r="H230" s="34" t="str">
        <f t="shared" si="20"/>
        <v>A</v>
      </c>
      <c r="I230" s="29" t="str">
        <f t="shared" si="16"/>
        <v>AB406550</v>
      </c>
      <c r="J230" s="59">
        <f t="shared" ca="1" si="17"/>
        <v>45884</v>
      </c>
      <c r="K230" s="30">
        <f ca="1">LOOKUP(A230,'QALS - Inspection Lot Record'!A:A,'QALS - Inspection Lot Record'!I:I)</f>
        <v>0.53420138888888891</v>
      </c>
      <c r="L230" s="59">
        <f t="shared" ca="1" si="18"/>
        <v>45884</v>
      </c>
      <c r="M230" s="30">
        <f t="shared" ca="1" si="19"/>
        <v>0.55222222222222228</v>
      </c>
      <c r="N230" s="31"/>
      <c r="O230" s="31">
        <v>50</v>
      </c>
      <c r="P230" s="29">
        <v>40</v>
      </c>
      <c r="Q230" s="29">
        <v>60</v>
      </c>
    </row>
    <row r="231" spans="1:17" x14ac:dyDescent="0.35">
      <c r="A231" s="26">
        <v>40000002529</v>
      </c>
      <c r="B231" s="31">
        <v>1</v>
      </c>
      <c r="C231" s="29" t="str">
        <f>LOOKUP(A231,'QALS - Inspection Lot Record'!$A$2:$A$361,'QALS - Inspection Lot Record'!$O$2:$O$361)</f>
        <v>Metformin Tablets (100 MG)</v>
      </c>
      <c r="D231" s="31">
        <v>60</v>
      </c>
      <c r="E231" s="29" t="s">
        <v>405</v>
      </c>
      <c r="F231" s="29" t="str">
        <f>LOOKUP(A231,'QALS - Inspection Lot Record'!A:A,'QALS - Inspection Lot Record'!G:G)</f>
        <v>AB406550</v>
      </c>
      <c r="G231" s="59">
        <f ca="1">LOOKUP(A231,'QALS - Inspection Lot Record'!A:A,'QALS - Inspection Lot Record'!E:E)</f>
        <v>45884</v>
      </c>
      <c r="H231" s="34" t="str">
        <f t="shared" si="20"/>
        <v>A</v>
      </c>
      <c r="I231" s="29" t="str">
        <f t="shared" si="16"/>
        <v>AB406550</v>
      </c>
      <c r="J231" s="59">
        <f t="shared" ca="1" si="17"/>
        <v>45884</v>
      </c>
      <c r="K231" s="30">
        <f ca="1">LOOKUP(A231,'QALS - Inspection Lot Record'!A:A,'QALS - Inspection Lot Record'!I:I)</f>
        <v>0.53420138888888891</v>
      </c>
      <c r="L231" s="59">
        <f t="shared" ca="1" si="18"/>
        <v>45884</v>
      </c>
      <c r="M231" s="30">
        <f t="shared" ca="1" si="19"/>
        <v>0.55681712962962959</v>
      </c>
      <c r="N231" s="31"/>
      <c r="O231" s="31">
        <v>77.5</v>
      </c>
      <c r="P231" s="29">
        <v>70</v>
      </c>
      <c r="Q231" s="29">
        <v>85</v>
      </c>
    </row>
    <row r="232" spans="1:17" x14ac:dyDescent="0.35">
      <c r="A232" s="26">
        <v>40000002529</v>
      </c>
      <c r="B232" s="31">
        <v>1</v>
      </c>
      <c r="C232" s="29" t="str">
        <f>LOOKUP(A232,'QALS - Inspection Lot Record'!$A$2:$A$361,'QALS - Inspection Lot Record'!$O$2:$O$361)</f>
        <v>Metformin Tablets (100 MG)</v>
      </c>
      <c r="D232" s="31">
        <v>70</v>
      </c>
      <c r="E232" s="29" t="s">
        <v>406</v>
      </c>
      <c r="F232" s="29" t="str">
        <f>LOOKUP(A232,'QALS - Inspection Lot Record'!A:A,'QALS - Inspection Lot Record'!G:G)</f>
        <v>AB406550</v>
      </c>
      <c r="G232" s="59">
        <f ca="1">LOOKUP(A232,'QALS - Inspection Lot Record'!A:A,'QALS - Inspection Lot Record'!E:E)</f>
        <v>45884</v>
      </c>
      <c r="H232" s="34" t="str">
        <f t="shared" si="20"/>
        <v>R</v>
      </c>
      <c r="I232" s="29" t="str">
        <f t="shared" si="16"/>
        <v>AB406550</v>
      </c>
      <c r="J232" s="59">
        <f t="shared" ca="1" si="17"/>
        <v>45884</v>
      </c>
      <c r="K232" s="30">
        <f ca="1">LOOKUP(A232,'QALS - Inspection Lot Record'!A:A,'QALS - Inspection Lot Record'!I:I)</f>
        <v>0.53420138888888891</v>
      </c>
      <c r="L232" s="59">
        <f t="shared" ca="1" si="18"/>
        <v>45884</v>
      </c>
      <c r="M232" s="30">
        <f t="shared" ca="1" si="19"/>
        <v>0.56751157407407404</v>
      </c>
      <c r="N232" s="31"/>
      <c r="O232" s="31">
        <v>78.599999999999994</v>
      </c>
      <c r="P232" s="29">
        <v>80</v>
      </c>
      <c r="Q232" s="29">
        <v>90</v>
      </c>
    </row>
    <row r="233" spans="1:17" x14ac:dyDescent="0.35">
      <c r="A233" s="26">
        <v>40000002529</v>
      </c>
      <c r="B233" s="31">
        <v>1</v>
      </c>
      <c r="C233" s="29" t="str">
        <f>LOOKUP(A233,'QALS - Inspection Lot Record'!$A$2:$A$361,'QALS - Inspection Lot Record'!$O$2:$O$361)</f>
        <v>Metformin Tablets (100 MG)</v>
      </c>
      <c r="D233" s="31">
        <v>80</v>
      </c>
      <c r="E233" s="29" t="s">
        <v>407</v>
      </c>
      <c r="F233" s="29" t="str">
        <f>LOOKUP(A233,'QALS - Inspection Lot Record'!A:A,'QALS - Inspection Lot Record'!G:G)</f>
        <v>AB406550</v>
      </c>
      <c r="G233" s="59">
        <f ca="1">LOOKUP(A233,'QALS - Inspection Lot Record'!A:A,'QALS - Inspection Lot Record'!E:E)</f>
        <v>45884</v>
      </c>
      <c r="H233" s="34" t="str">
        <f t="shared" si="20"/>
        <v>A</v>
      </c>
      <c r="I233" s="29" t="str">
        <f t="shared" si="16"/>
        <v>AB406550</v>
      </c>
      <c r="J233" s="59">
        <f t="shared" ca="1" si="17"/>
        <v>45884</v>
      </c>
      <c r="K233" s="30">
        <f ca="1">LOOKUP(A233,'QALS - Inspection Lot Record'!A:A,'QALS - Inspection Lot Record'!I:I)</f>
        <v>0.53420138888888891</v>
      </c>
      <c r="L233" s="59">
        <f t="shared" ca="1" si="18"/>
        <v>45884</v>
      </c>
      <c r="M233" s="30">
        <f t="shared" ca="1" si="19"/>
        <v>0.55528935185185191</v>
      </c>
      <c r="N233" s="31"/>
      <c r="O233" s="31">
        <v>24</v>
      </c>
      <c r="P233" s="29">
        <v>23</v>
      </c>
      <c r="Q233" s="29">
        <v>25</v>
      </c>
    </row>
    <row r="234" spans="1:17" x14ac:dyDescent="0.35">
      <c r="A234" s="26">
        <v>40000002530</v>
      </c>
      <c r="B234" s="27">
        <v>1</v>
      </c>
      <c r="C234" s="29" t="str">
        <f>LOOKUP(A234,'QALS - Inspection Lot Record'!$A$2:$A$361,'QALS - Inspection Lot Record'!$O$2:$O$361)</f>
        <v>Aspirin Tablets (500 MG)</v>
      </c>
      <c r="D234" s="27">
        <v>10</v>
      </c>
      <c r="E234" s="26" t="s">
        <v>399</v>
      </c>
      <c r="F234" s="29" t="str">
        <f>LOOKUP(A234,'QALS - Inspection Lot Record'!A:A,'QALS - Inspection Lot Record'!G:G)</f>
        <v>GC197258</v>
      </c>
      <c r="G234" s="59">
        <f ca="1">LOOKUP(A234,'QALS - Inspection Lot Record'!A:A,'QALS - Inspection Lot Record'!E:E)</f>
        <v>45884</v>
      </c>
      <c r="H234" s="34" t="str">
        <f t="shared" si="20"/>
        <v>A</v>
      </c>
      <c r="I234" s="29" t="str">
        <f t="shared" si="16"/>
        <v>GC197258</v>
      </c>
      <c r="J234" s="59">
        <f t="shared" ca="1" si="17"/>
        <v>45884</v>
      </c>
      <c r="K234" s="30">
        <f ca="1">LOOKUP(A234,'QALS - Inspection Lot Record'!A:A,'QALS - Inspection Lot Record'!I:I)</f>
        <v>0.28056712962962965</v>
      </c>
      <c r="L234" s="59">
        <f t="shared" ca="1" si="18"/>
        <v>45884</v>
      </c>
      <c r="M234" s="30">
        <f t="shared" ca="1" si="19"/>
        <v>0.31299768518518523</v>
      </c>
      <c r="N234" s="31"/>
      <c r="O234" s="31">
        <v>100</v>
      </c>
      <c r="P234" s="29">
        <v>95</v>
      </c>
      <c r="Q234" s="29">
        <v>105</v>
      </c>
    </row>
    <row r="235" spans="1:17" x14ac:dyDescent="0.35">
      <c r="A235" s="26">
        <v>40000002530</v>
      </c>
      <c r="B235" s="27">
        <v>1</v>
      </c>
      <c r="C235" s="29" t="str">
        <f>LOOKUP(A235,'QALS - Inspection Lot Record'!$A$2:$A$361,'QALS - Inspection Lot Record'!$O$2:$O$361)</f>
        <v>Aspirin Tablets (500 MG)</v>
      </c>
      <c r="D235" s="31">
        <v>20</v>
      </c>
      <c r="E235" s="29" t="s">
        <v>400</v>
      </c>
      <c r="F235" s="29" t="str">
        <f>LOOKUP(A235,'QALS - Inspection Lot Record'!A:A,'QALS - Inspection Lot Record'!G:G)</f>
        <v>GC197258</v>
      </c>
      <c r="G235" s="59">
        <f ca="1">LOOKUP(A235,'QALS - Inspection Lot Record'!A:A,'QALS - Inspection Lot Record'!E:E)</f>
        <v>45884</v>
      </c>
      <c r="H235" s="34" t="str">
        <f t="shared" si="20"/>
        <v>R</v>
      </c>
      <c r="I235" s="29" t="str">
        <f t="shared" si="16"/>
        <v>GC197258</v>
      </c>
      <c r="J235" s="59">
        <f t="shared" ca="1" si="17"/>
        <v>45884</v>
      </c>
      <c r="K235" s="30">
        <f ca="1">LOOKUP(A235,'QALS - Inspection Lot Record'!A:A,'QALS - Inspection Lot Record'!I:I)</f>
        <v>0.28056712962962965</v>
      </c>
      <c r="L235" s="59">
        <f t="shared" ca="1" si="18"/>
        <v>45884</v>
      </c>
      <c r="M235" s="30">
        <f t="shared" ca="1" si="19"/>
        <v>0.31041666666666667</v>
      </c>
      <c r="N235" s="31"/>
      <c r="O235" s="31">
        <v>2.4</v>
      </c>
      <c r="P235" s="29">
        <v>3.5</v>
      </c>
      <c r="Q235" s="29">
        <v>11</v>
      </c>
    </row>
    <row r="236" spans="1:17" x14ac:dyDescent="0.35">
      <c r="A236" s="26">
        <v>40000002530</v>
      </c>
      <c r="B236" s="31">
        <v>1</v>
      </c>
      <c r="C236" s="29" t="str">
        <f>LOOKUP(A236,'QALS - Inspection Lot Record'!$A$2:$A$361,'QALS - Inspection Lot Record'!$O$2:$O$361)</f>
        <v>Aspirin Tablets (500 MG)</v>
      </c>
      <c r="D236" s="31">
        <v>30</v>
      </c>
      <c r="E236" s="29" t="s">
        <v>401</v>
      </c>
      <c r="F236" s="29" t="str">
        <f>LOOKUP(A236,'QALS - Inspection Lot Record'!A:A,'QALS - Inspection Lot Record'!G:G)</f>
        <v>GC197258</v>
      </c>
      <c r="G236" s="59">
        <f ca="1">LOOKUP(A236,'QALS - Inspection Lot Record'!A:A,'QALS - Inspection Lot Record'!E:E)</f>
        <v>45884</v>
      </c>
      <c r="H236" s="34" t="str">
        <f t="shared" si="20"/>
        <v>A</v>
      </c>
      <c r="I236" s="29" t="str">
        <f t="shared" si="16"/>
        <v>GC197258</v>
      </c>
      <c r="J236" s="59">
        <f t="shared" ca="1" si="17"/>
        <v>45884</v>
      </c>
      <c r="K236" s="30">
        <f ca="1">LOOKUP(A236,'QALS - Inspection Lot Record'!A:A,'QALS - Inspection Lot Record'!I:I)</f>
        <v>0.28056712962962965</v>
      </c>
      <c r="L236" s="59">
        <f t="shared" ca="1" si="18"/>
        <v>45884</v>
      </c>
      <c r="M236" s="30">
        <f t="shared" ca="1" si="19"/>
        <v>0.30057870370370371</v>
      </c>
      <c r="N236" s="11" t="s">
        <v>402</v>
      </c>
      <c r="O236" s="31"/>
      <c r="P236" s="29"/>
      <c r="Q236" s="29"/>
    </row>
    <row r="237" spans="1:17" x14ac:dyDescent="0.35">
      <c r="A237" s="26">
        <v>40000002530</v>
      </c>
      <c r="B237" s="31">
        <v>1</v>
      </c>
      <c r="C237" s="29" t="str">
        <f>LOOKUP(A237,'QALS - Inspection Lot Record'!$A$2:$A$361,'QALS - Inspection Lot Record'!$O$2:$O$361)</f>
        <v>Aspirin Tablets (500 MG)</v>
      </c>
      <c r="D237" s="31">
        <v>40</v>
      </c>
      <c r="E237" s="29" t="s">
        <v>403</v>
      </c>
      <c r="F237" s="29" t="str">
        <f>LOOKUP(A237,'QALS - Inspection Lot Record'!A:A,'QALS - Inspection Lot Record'!G:G)</f>
        <v>GC197258</v>
      </c>
      <c r="G237" s="59">
        <f ca="1">LOOKUP(A237,'QALS - Inspection Lot Record'!A:A,'QALS - Inspection Lot Record'!E:E)</f>
        <v>45884</v>
      </c>
      <c r="H237" s="34" t="str">
        <f t="shared" si="20"/>
        <v>A</v>
      </c>
      <c r="I237" s="29" t="str">
        <f t="shared" si="16"/>
        <v>GC197258</v>
      </c>
      <c r="J237" s="59">
        <f t="shared" ca="1" si="17"/>
        <v>45884</v>
      </c>
      <c r="K237" s="30">
        <f ca="1">LOOKUP(A237,'QALS - Inspection Lot Record'!A:A,'QALS - Inspection Lot Record'!I:I)</f>
        <v>0.28056712962962965</v>
      </c>
      <c r="L237" s="59">
        <f t="shared" ca="1" si="18"/>
        <v>45884</v>
      </c>
      <c r="M237" s="30">
        <f t="shared" ca="1" si="19"/>
        <v>0.30592592592592593</v>
      </c>
      <c r="N237" s="31"/>
      <c r="O237" s="31">
        <v>0</v>
      </c>
      <c r="P237" s="29">
        <v>0</v>
      </c>
      <c r="Q237" s="29">
        <v>2.5</v>
      </c>
    </row>
    <row r="238" spans="1:17" x14ac:dyDescent="0.35">
      <c r="A238" s="26">
        <v>40000002530</v>
      </c>
      <c r="B238" s="31">
        <v>1</v>
      </c>
      <c r="C238" s="29" t="str">
        <f>LOOKUP(A238,'QALS - Inspection Lot Record'!$A$2:$A$361,'QALS - Inspection Lot Record'!$O$2:$O$361)</f>
        <v>Aspirin Tablets (500 MG)</v>
      </c>
      <c r="D238" s="31">
        <v>50</v>
      </c>
      <c r="E238" s="29" t="s">
        <v>404</v>
      </c>
      <c r="F238" s="29" t="str">
        <f>LOOKUP(A238,'QALS - Inspection Lot Record'!A:A,'QALS - Inspection Lot Record'!G:G)</f>
        <v>GC197258</v>
      </c>
      <c r="G238" s="59">
        <f ca="1">LOOKUP(A238,'QALS - Inspection Lot Record'!A:A,'QALS - Inspection Lot Record'!E:E)</f>
        <v>45884</v>
      </c>
      <c r="H238" s="34" t="str">
        <f t="shared" si="20"/>
        <v>A</v>
      </c>
      <c r="I238" s="29" t="str">
        <f t="shared" si="16"/>
        <v>GC197258</v>
      </c>
      <c r="J238" s="59">
        <f t="shared" ca="1" si="17"/>
        <v>45884</v>
      </c>
      <c r="K238" s="30">
        <f ca="1">LOOKUP(A238,'QALS - Inspection Lot Record'!A:A,'QALS - Inspection Lot Record'!I:I)</f>
        <v>0.28056712962962965</v>
      </c>
      <c r="L238" s="59">
        <f t="shared" ca="1" si="18"/>
        <v>45884</v>
      </c>
      <c r="M238" s="30">
        <f t="shared" ca="1" si="19"/>
        <v>0.30133101851851851</v>
      </c>
      <c r="N238" s="31"/>
      <c r="O238" s="31">
        <v>50</v>
      </c>
      <c r="P238" s="29">
        <v>40</v>
      </c>
      <c r="Q238" s="29">
        <v>60</v>
      </c>
    </row>
    <row r="239" spans="1:17" x14ac:dyDescent="0.35">
      <c r="A239" s="26">
        <v>40000002530</v>
      </c>
      <c r="B239" s="31">
        <v>1</v>
      </c>
      <c r="C239" s="29" t="str">
        <f>LOOKUP(A239,'QALS - Inspection Lot Record'!$A$2:$A$361,'QALS - Inspection Lot Record'!$O$2:$O$361)</f>
        <v>Aspirin Tablets (500 MG)</v>
      </c>
      <c r="D239" s="31">
        <v>60</v>
      </c>
      <c r="E239" s="29" t="s">
        <v>405</v>
      </c>
      <c r="F239" s="29" t="str">
        <f>LOOKUP(A239,'QALS - Inspection Lot Record'!A:A,'QALS - Inspection Lot Record'!G:G)</f>
        <v>GC197258</v>
      </c>
      <c r="G239" s="59">
        <f ca="1">LOOKUP(A239,'QALS - Inspection Lot Record'!A:A,'QALS - Inspection Lot Record'!E:E)</f>
        <v>45884</v>
      </c>
      <c r="H239" s="34" t="str">
        <f t="shared" si="20"/>
        <v>R</v>
      </c>
      <c r="I239" s="29" t="str">
        <f t="shared" si="16"/>
        <v>GC197258</v>
      </c>
      <c r="J239" s="59">
        <f t="shared" ca="1" si="17"/>
        <v>45884</v>
      </c>
      <c r="K239" s="30">
        <f ca="1">LOOKUP(A239,'QALS - Inspection Lot Record'!A:A,'QALS - Inspection Lot Record'!I:I)</f>
        <v>0.28056712962962965</v>
      </c>
      <c r="L239" s="59">
        <f t="shared" ca="1" si="18"/>
        <v>45884</v>
      </c>
      <c r="M239" s="30">
        <f t="shared" ca="1" si="19"/>
        <v>0.31137731481481484</v>
      </c>
      <c r="N239" s="31"/>
      <c r="O239" s="31">
        <v>68.2</v>
      </c>
      <c r="P239" s="29">
        <v>70</v>
      </c>
      <c r="Q239" s="29">
        <v>85</v>
      </c>
    </row>
    <row r="240" spans="1:17" x14ac:dyDescent="0.35">
      <c r="A240" s="26">
        <v>40000002530</v>
      </c>
      <c r="B240" s="31">
        <v>1</v>
      </c>
      <c r="C240" s="29" t="str">
        <f>LOOKUP(A240,'QALS - Inspection Lot Record'!$A$2:$A$361,'QALS - Inspection Lot Record'!$O$2:$O$361)</f>
        <v>Aspirin Tablets (500 MG)</v>
      </c>
      <c r="D240" s="31">
        <v>70</v>
      </c>
      <c r="E240" s="29" t="s">
        <v>406</v>
      </c>
      <c r="F240" s="29" t="str">
        <f>LOOKUP(A240,'QALS - Inspection Lot Record'!A:A,'QALS - Inspection Lot Record'!G:G)</f>
        <v>GC197258</v>
      </c>
      <c r="G240" s="59">
        <f ca="1">LOOKUP(A240,'QALS - Inspection Lot Record'!A:A,'QALS - Inspection Lot Record'!E:E)</f>
        <v>45884</v>
      </c>
      <c r="H240" s="34" t="str">
        <f t="shared" si="20"/>
        <v>A</v>
      </c>
      <c r="I240" s="29" t="str">
        <f t="shared" si="16"/>
        <v>GC197258</v>
      </c>
      <c r="J240" s="59">
        <f t="shared" ca="1" si="17"/>
        <v>45884</v>
      </c>
      <c r="K240" s="30">
        <f ca="1">LOOKUP(A240,'QALS - Inspection Lot Record'!A:A,'QALS - Inspection Lot Record'!I:I)</f>
        <v>0.28056712962962965</v>
      </c>
      <c r="L240" s="59">
        <f t="shared" ca="1" si="18"/>
        <v>45884</v>
      </c>
      <c r="M240" s="30">
        <f t="shared" ca="1" si="19"/>
        <v>0.30880787037037039</v>
      </c>
      <c r="N240" s="31"/>
      <c r="O240" s="31">
        <v>85</v>
      </c>
      <c r="P240" s="29">
        <v>80</v>
      </c>
      <c r="Q240" s="29">
        <v>90</v>
      </c>
    </row>
    <row r="241" spans="1:17" x14ac:dyDescent="0.35">
      <c r="A241" s="26">
        <v>40000002530</v>
      </c>
      <c r="B241" s="31">
        <v>1</v>
      </c>
      <c r="C241" s="29" t="str">
        <f>LOOKUP(A241,'QALS - Inspection Lot Record'!$A$2:$A$361,'QALS - Inspection Lot Record'!$O$2:$O$361)</f>
        <v>Aspirin Tablets (500 MG)</v>
      </c>
      <c r="D241" s="31">
        <v>80</v>
      </c>
      <c r="E241" s="29" t="s">
        <v>407</v>
      </c>
      <c r="F241" s="29" t="str">
        <f>LOOKUP(A241,'QALS - Inspection Lot Record'!A:A,'QALS - Inspection Lot Record'!G:G)</f>
        <v>GC197258</v>
      </c>
      <c r="G241" s="59">
        <f ca="1">LOOKUP(A241,'QALS - Inspection Lot Record'!A:A,'QALS - Inspection Lot Record'!E:E)</f>
        <v>45884</v>
      </c>
      <c r="H241" s="34" t="str">
        <f t="shared" si="20"/>
        <v>A</v>
      </c>
      <c r="I241" s="29" t="str">
        <f t="shared" si="16"/>
        <v>GC197258</v>
      </c>
      <c r="J241" s="59">
        <f t="shared" ca="1" si="17"/>
        <v>45884</v>
      </c>
      <c r="K241" s="30">
        <f ca="1">LOOKUP(A241,'QALS - Inspection Lot Record'!A:A,'QALS - Inspection Lot Record'!I:I)</f>
        <v>0.28056712962962965</v>
      </c>
      <c r="L241" s="59">
        <f t="shared" ca="1" si="18"/>
        <v>45884</v>
      </c>
      <c r="M241" s="30">
        <f t="shared" ca="1" si="19"/>
        <v>0.30289351851851853</v>
      </c>
      <c r="N241" s="31"/>
      <c r="O241" s="31">
        <v>25.5</v>
      </c>
      <c r="P241" s="29">
        <v>23</v>
      </c>
      <c r="Q241" s="29">
        <v>28</v>
      </c>
    </row>
    <row r="242" spans="1:17" x14ac:dyDescent="0.35">
      <c r="A242" s="26">
        <v>40000002531</v>
      </c>
      <c r="B242" s="27">
        <v>1</v>
      </c>
      <c r="C242" s="29" t="str">
        <f>LOOKUP(A242,'QALS - Inspection Lot Record'!$A$2:$A$361,'QALS - Inspection Lot Record'!$O$2:$O$361)</f>
        <v>Metformin Tablets (200 MG)</v>
      </c>
      <c r="D242" s="27">
        <v>10</v>
      </c>
      <c r="E242" s="26" t="s">
        <v>399</v>
      </c>
      <c r="F242" s="29" t="str">
        <f>LOOKUP(A242,'QALS - Inspection Lot Record'!A:A,'QALS - Inspection Lot Record'!G:G)</f>
        <v>TP397880</v>
      </c>
      <c r="G242" s="59">
        <f ca="1">LOOKUP(A242,'QALS - Inspection Lot Record'!A:A,'QALS - Inspection Lot Record'!E:E)</f>
        <v>45885</v>
      </c>
      <c r="H242" s="34" t="str">
        <f t="shared" si="20"/>
        <v>A</v>
      </c>
      <c r="I242" s="29" t="str">
        <f t="shared" si="16"/>
        <v>TP397880</v>
      </c>
      <c r="J242" s="59">
        <f t="shared" ca="1" si="17"/>
        <v>45885</v>
      </c>
      <c r="K242" s="30">
        <f ca="1">LOOKUP(A242,'QALS - Inspection Lot Record'!A:A,'QALS - Inspection Lot Record'!I:I)</f>
        <v>0.57795138888888886</v>
      </c>
      <c r="L242" s="59">
        <f t="shared" ca="1" si="18"/>
        <v>45885</v>
      </c>
      <c r="M242" s="30">
        <f t="shared" ca="1" si="19"/>
        <v>0.59972222222222216</v>
      </c>
      <c r="N242" s="31"/>
      <c r="O242" s="31">
        <v>99</v>
      </c>
      <c r="P242" s="29">
        <v>95</v>
      </c>
      <c r="Q242" s="29">
        <v>103</v>
      </c>
    </row>
    <row r="243" spans="1:17" x14ac:dyDescent="0.35">
      <c r="A243" s="26">
        <v>40000002531</v>
      </c>
      <c r="B243" s="27">
        <v>1</v>
      </c>
      <c r="C243" s="29" t="str">
        <f>LOOKUP(A243,'QALS - Inspection Lot Record'!$A$2:$A$361,'QALS - Inspection Lot Record'!$O$2:$O$361)</f>
        <v>Metformin Tablets (200 MG)</v>
      </c>
      <c r="D243" s="31">
        <v>20</v>
      </c>
      <c r="E243" s="29" t="s">
        <v>400</v>
      </c>
      <c r="F243" s="29" t="str">
        <f>LOOKUP(A243,'QALS - Inspection Lot Record'!A:A,'QALS - Inspection Lot Record'!G:G)</f>
        <v>TP397880</v>
      </c>
      <c r="G243" s="59">
        <f ca="1">LOOKUP(A243,'QALS - Inspection Lot Record'!A:A,'QALS - Inspection Lot Record'!E:E)</f>
        <v>45885</v>
      </c>
      <c r="H243" s="34" t="str">
        <f t="shared" si="20"/>
        <v>A</v>
      </c>
      <c r="I243" s="29" t="str">
        <f t="shared" si="16"/>
        <v>TP397880</v>
      </c>
      <c r="J243" s="59">
        <f t="shared" ca="1" si="17"/>
        <v>45885</v>
      </c>
      <c r="K243" s="30">
        <f ca="1">LOOKUP(A243,'QALS - Inspection Lot Record'!A:A,'QALS - Inspection Lot Record'!I:I)</f>
        <v>0.57795138888888886</v>
      </c>
      <c r="L243" s="59">
        <f t="shared" ca="1" si="18"/>
        <v>45885</v>
      </c>
      <c r="M243" s="30">
        <f t="shared" ca="1" si="19"/>
        <v>0.60141203703703705</v>
      </c>
      <c r="N243" s="31"/>
      <c r="O243" s="31">
        <v>7.75</v>
      </c>
      <c r="P243" s="29">
        <v>6</v>
      </c>
      <c r="Q243" s="29">
        <v>9.5</v>
      </c>
    </row>
    <row r="244" spans="1:17" x14ac:dyDescent="0.35">
      <c r="A244" s="26">
        <v>40000002531</v>
      </c>
      <c r="B244" s="31">
        <v>1</v>
      </c>
      <c r="C244" s="29" t="str">
        <f>LOOKUP(A244,'QALS - Inspection Lot Record'!$A$2:$A$361,'QALS - Inspection Lot Record'!$O$2:$O$361)</f>
        <v>Metformin Tablets (200 MG)</v>
      </c>
      <c r="D244" s="31">
        <v>30</v>
      </c>
      <c r="E244" s="29" t="s">
        <v>401</v>
      </c>
      <c r="F244" s="29" t="str">
        <f>LOOKUP(A244,'QALS - Inspection Lot Record'!A:A,'QALS - Inspection Lot Record'!G:G)</f>
        <v>TP397880</v>
      </c>
      <c r="G244" s="59">
        <f ca="1">LOOKUP(A244,'QALS - Inspection Lot Record'!A:A,'QALS - Inspection Lot Record'!E:E)</f>
        <v>45885</v>
      </c>
      <c r="H244" s="34" t="str">
        <f t="shared" si="20"/>
        <v>A</v>
      </c>
      <c r="I244" s="29" t="str">
        <f t="shared" si="16"/>
        <v>TP397880</v>
      </c>
      <c r="J244" s="59">
        <f t="shared" ca="1" si="17"/>
        <v>45885</v>
      </c>
      <c r="K244" s="30">
        <f ca="1">LOOKUP(A244,'QALS - Inspection Lot Record'!A:A,'QALS - Inspection Lot Record'!I:I)</f>
        <v>0.57795138888888886</v>
      </c>
      <c r="L244" s="59">
        <f t="shared" ca="1" si="18"/>
        <v>45885</v>
      </c>
      <c r="M244" s="30">
        <f t="shared" ca="1" si="19"/>
        <v>0.5975462962962963</v>
      </c>
      <c r="N244" s="11" t="s">
        <v>402</v>
      </c>
      <c r="O244" s="31"/>
      <c r="P244" s="29"/>
      <c r="Q244" s="29"/>
    </row>
    <row r="245" spans="1:17" x14ac:dyDescent="0.35">
      <c r="A245" s="26">
        <v>40000002531</v>
      </c>
      <c r="B245" s="31">
        <v>1</v>
      </c>
      <c r="C245" s="29" t="str">
        <f>LOOKUP(A245,'QALS - Inspection Lot Record'!$A$2:$A$361,'QALS - Inspection Lot Record'!$O$2:$O$361)</f>
        <v>Metformin Tablets (200 MG)</v>
      </c>
      <c r="D245" s="31">
        <v>40</v>
      </c>
      <c r="E245" s="29" t="s">
        <v>403</v>
      </c>
      <c r="F245" s="29" t="str">
        <f>LOOKUP(A245,'QALS - Inspection Lot Record'!A:A,'QALS - Inspection Lot Record'!G:G)</f>
        <v>TP397880</v>
      </c>
      <c r="G245" s="59">
        <f ca="1">LOOKUP(A245,'QALS - Inspection Lot Record'!A:A,'QALS - Inspection Lot Record'!E:E)</f>
        <v>45885</v>
      </c>
      <c r="H245" s="34" t="str">
        <f t="shared" si="20"/>
        <v>A</v>
      </c>
      <c r="I245" s="29" t="str">
        <f t="shared" si="16"/>
        <v>TP397880</v>
      </c>
      <c r="J245" s="59">
        <f t="shared" ca="1" si="17"/>
        <v>45885</v>
      </c>
      <c r="K245" s="30">
        <f ca="1">LOOKUP(A245,'QALS - Inspection Lot Record'!A:A,'QALS - Inspection Lot Record'!I:I)</f>
        <v>0.57795138888888886</v>
      </c>
      <c r="L245" s="59">
        <f t="shared" ca="1" si="18"/>
        <v>45885</v>
      </c>
      <c r="M245" s="30">
        <f t="shared" ca="1" si="19"/>
        <v>0.6111805555555555</v>
      </c>
      <c r="N245" s="31"/>
      <c r="O245" s="31">
        <v>0</v>
      </c>
      <c r="P245" s="29">
        <v>0</v>
      </c>
      <c r="Q245" s="29">
        <v>2</v>
      </c>
    </row>
    <row r="246" spans="1:17" x14ac:dyDescent="0.35">
      <c r="A246" s="26">
        <v>40000002531</v>
      </c>
      <c r="B246" s="31">
        <v>1</v>
      </c>
      <c r="C246" s="29" t="str">
        <f>LOOKUP(A246,'QALS - Inspection Lot Record'!$A$2:$A$361,'QALS - Inspection Lot Record'!$O$2:$O$361)</f>
        <v>Metformin Tablets (200 MG)</v>
      </c>
      <c r="D246" s="31">
        <v>50</v>
      </c>
      <c r="E246" s="29" t="s">
        <v>404</v>
      </c>
      <c r="F246" s="29" t="str">
        <f>LOOKUP(A246,'QALS - Inspection Lot Record'!A:A,'QALS - Inspection Lot Record'!G:G)</f>
        <v>TP397880</v>
      </c>
      <c r="G246" s="59">
        <f ca="1">LOOKUP(A246,'QALS - Inspection Lot Record'!A:A,'QALS - Inspection Lot Record'!E:E)</f>
        <v>45885</v>
      </c>
      <c r="H246" s="34" t="str">
        <f t="shared" si="20"/>
        <v>A</v>
      </c>
      <c r="I246" s="29" t="str">
        <f t="shared" si="16"/>
        <v>TP397880</v>
      </c>
      <c r="J246" s="59">
        <f t="shared" ca="1" si="17"/>
        <v>45885</v>
      </c>
      <c r="K246" s="30">
        <f ca="1">LOOKUP(A246,'QALS - Inspection Lot Record'!A:A,'QALS - Inspection Lot Record'!I:I)</f>
        <v>0.57795138888888886</v>
      </c>
      <c r="L246" s="59">
        <f t="shared" ca="1" si="18"/>
        <v>45885</v>
      </c>
      <c r="M246" s="30">
        <f t="shared" ca="1" si="19"/>
        <v>0.60908564814814814</v>
      </c>
      <c r="N246" s="31"/>
      <c r="O246" s="31">
        <v>50</v>
      </c>
      <c r="P246" s="29">
        <v>40</v>
      </c>
      <c r="Q246" s="29">
        <v>60</v>
      </c>
    </row>
    <row r="247" spans="1:17" x14ac:dyDescent="0.35">
      <c r="A247" s="26">
        <v>40000002531</v>
      </c>
      <c r="B247" s="31">
        <v>1</v>
      </c>
      <c r="C247" s="29" t="str">
        <f>LOOKUP(A247,'QALS - Inspection Lot Record'!$A$2:$A$361,'QALS - Inspection Lot Record'!$O$2:$O$361)</f>
        <v>Metformin Tablets (200 MG)</v>
      </c>
      <c r="D247" s="31">
        <v>60</v>
      </c>
      <c r="E247" s="29" t="s">
        <v>405</v>
      </c>
      <c r="F247" s="29" t="str">
        <f>LOOKUP(A247,'QALS - Inspection Lot Record'!A:A,'QALS - Inspection Lot Record'!G:G)</f>
        <v>TP397880</v>
      </c>
      <c r="G247" s="59">
        <f ca="1">LOOKUP(A247,'QALS - Inspection Lot Record'!A:A,'QALS - Inspection Lot Record'!E:E)</f>
        <v>45885</v>
      </c>
      <c r="H247" s="34" t="str">
        <f t="shared" si="20"/>
        <v>A</v>
      </c>
      <c r="I247" s="29" t="str">
        <f t="shared" si="16"/>
        <v>TP397880</v>
      </c>
      <c r="J247" s="59">
        <f t="shared" ca="1" si="17"/>
        <v>45885</v>
      </c>
      <c r="K247" s="30">
        <f ca="1">LOOKUP(A247,'QALS - Inspection Lot Record'!A:A,'QALS - Inspection Lot Record'!I:I)</f>
        <v>0.57795138888888886</v>
      </c>
      <c r="L247" s="59">
        <f t="shared" ca="1" si="18"/>
        <v>45885</v>
      </c>
      <c r="M247" s="30">
        <f t="shared" ca="1" si="19"/>
        <v>0.60572916666666665</v>
      </c>
      <c r="N247" s="31"/>
      <c r="O247" s="31">
        <v>77.5</v>
      </c>
      <c r="P247" s="29">
        <v>70</v>
      </c>
      <c r="Q247" s="29">
        <v>85</v>
      </c>
    </row>
    <row r="248" spans="1:17" x14ac:dyDescent="0.35">
      <c r="A248" s="26">
        <v>40000002531</v>
      </c>
      <c r="B248" s="31">
        <v>1</v>
      </c>
      <c r="C248" s="29" t="str">
        <f>LOOKUP(A248,'QALS - Inspection Lot Record'!$A$2:$A$361,'QALS - Inspection Lot Record'!$O$2:$O$361)</f>
        <v>Metformin Tablets (200 MG)</v>
      </c>
      <c r="D248" s="31">
        <v>70</v>
      </c>
      <c r="E248" s="29" t="s">
        <v>406</v>
      </c>
      <c r="F248" s="29" t="str">
        <f>LOOKUP(A248,'QALS - Inspection Lot Record'!A:A,'QALS - Inspection Lot Record'!G:G)</f>
        <v>TP397880</v>
      </c>
      <c r="G248" s="59">
        <f ca="1">LOOKUP(A248,'QALS - Inspection Lot Record'!A:A,'QALS - Inspection Lot Record'!E:E)</f>
        <v>45885</v>
      </c>
      <c r="H248" s="34" t="str">
        <f t="shared" si="20"/>
        <v>A</v>
      </c>
      <c r="I248" s="29" t="str">
        <f t="shared" si="16"/>
        <v>TP397880</v>
      </c>
      <c r="J248" s="59">
        <f t="shared" ca="1" si="17"/>
        <v>45885</v>
      </c>
      <c r="K248" s="30">
        <f ca="1">LOOKUP(A248,'QALS - Inspection Lot Record'!A:A,'QALS - Inspection Lot Record'!I:I)</f>
        <v>0.57795138888888886</v>
      </c>
      <c r="L248" s="59">
        <f t="shared" ca="1" si="18"/>
        <v>45885</v>
      </c>
      <c r="M248" s="30">
        <f t="shared" ca="1" si="19"/>
        <v>0.61023148148148143</v>
      </c>
      <c r="N248" s="31"/>
      <c r="O248" s="31">
        <v>85</v>
      </c>
      <c r="P248" s="29">
        <v>80</v>
      </c>
      <c r="Q248" s="29">
        <v>90</v>
      </c>
    </row>
    <row r="249" spans="1:17" x14ac:dyDescent="0.35">
      <c r="A249" s="26">
        <v>40000002531</v>
      </c>
      <c r="B249" s="31">
        <v>1</v>
      </c>
      <c r="C249" s="29" t="str">
        <f>LOOKUP(A249,'QALS - Inspection Lot Record'!$A$2:$A$361,'QALS - Inspection Lot Record'!$O$2:$O$361)</f>
        <v>Metformin Tablets (200 MG)</v>
      </c>
      <c r="D249" s="31">
        <v>80</v>
      </c>
      <c r="E249" s="29" t="s">
        <v>407</v>
      </c>
      <c r="F249" s="29" t="str">
        <f>LOOKUP(A249,'QALS - Inspection Lot Record'!A:A,'QALS - Inspection Lot Record'!G:G)</f>
        <v>TP397880</v>
      </c>
      <c r="G249" s="59">
        <f ca="1">LOOKUP(A249,'QALS - Inspection Lot Record'!A:A,'QALS - Inspection Lot Record'!E:E)</f>
        <v>45885</v>
      </c>
      <c r="H249" s="34" t="str">
        <f t="shared" si="20"/>
        <v>A</v>
      </c>
      <c r="I249" s="29" t="str">
        <f t="shared" si="16"/>
        <v>TP397880</v>
      </c>
      <c r="J249" s="59">
        <f t="shared" ca="1" si="17"/>
        <v>45885</v>
      </c>
      <c r="K249" s="30">
        <f ca="1">LOOKUP(A249,'QALS - Inspection Lot Record'!A:A,'QALS - Inspection Lot Record'!I:I)</f>
        <v>0.57795138888888886</v>
      </c>
      <c r="L249" s="59">
        <f t="shared" ca="1" si="18"/>
        <v>45885</v>
      </c>
      <c r="M249" s="30">
        <f t="shared" ca="1" si="19"/>
        <v>0.60730324074074071</v>
      </c>
      <c r="N249" s="31"/>
      <c r="O249" s="31">
        <v>25.5</v>
      </c>
      <c r="P249" s="29">
        <v>23</v>
      </c>
      <c r="Q249" s="29">
        <v>28</v>
      </c>
    </row>
    <row r="250" spans="1:17" x14ac:dyDescent="0.35">
      <c r="A250" s="26">
        <v>40000002532</v>
      </c>
      <c r="B250" s="27">
        <v>1</v>
      </c>
      <c r="C250" s="29" t="str">
        <f>LOOKUP(A250,'QALS - Inspection Lot Record'!$A$2:$A$361,'QALS - Inspection Lot Record'!$O$2:$O$361)</f>
        <v>Metformin Tablets (200 MG)</v>
      </c>
      <c r="D250" s="27">
        <v>10</v>
      </c>
      <c r="E250" s="26" t="s">
        <v>399</v>
      </c>
      <c r="F250" s="29" t="str">
        <f>LOOKUP(A250,'QALS - Inspection Lot Record'!A:A,'QALS - Inspection Lot Record'!G:G)</f>
        <v>GC197258</v>
      </c>
      <c r="G250" s="59">
        <f ca="1">LOOKUP(A250,'QALS - Inspection Lot Record'!A:A,'QALS - Inspection Lot Record'!E:E)</f>
        <v>45885</v>
      </c>
      <c r="H250" s="34" t="str">
        <f t="shared" si="20"/>
        <v>A</v>
      </c>
      <c r="I250" s="29" t="str">
        <f t="shared" si="16"/>
        <v>GC197258</v>
      </c>
      <c r="J250" s="59">
        <f t="shared" ca="1" si="17"/>
        <v>45885</v>
      </c>
      <c r="K250" s="30">
        <f ca="1">LOOKUP(A250,'QALS - Inspection Lot Record'!A:A,'QALS - Inspection Lot Record'!I:I)</f>
        <v>0.16503472222222224</v>
      </c>
      <c r="L250" s="59">
        <f t="shared" ca="1" si="18"/>
        <v>45885</v>
      </c>
      <c r="M250" s="30">
        <f t="shared" ca="1" si="19"/>
        <v>0.18528935185185186</v>
      </c>
      <c r="N250" s="31"/>
      <c r="O250" s="31">
        <v>99</v>
      </c>
      <c r="P250" s="29">
        <v>95</v>
      </c>
      <c r="Q250" s="29">
        <v>103</v>
      </c>
    </row>
    <row r="251" spans="1:17" x14ac:dyDescent="0.35">
      <c r="A251" s="26">
        <v>40000002532</v>
      </c>
      <c r="B251" s="27">
        <v>1</v>
      </c>
      <c r="C251" s="29" t="str">
        <f>LOOKUP(A251,'QALS - Inspection Lot Record'!$A$2:$A$361,'QALS - Inspection Lot Record'!$O$2:$O$361)</f>
        <v>Metformin Tablets (200 MG)</v>
      </c>
      <c r="D251" s="31">
        <v>20</v>
      </c>
      <c r="E251" s="29" t="s">
        <v>400</v>
      </c>
      <c r="F251" s="29" t="str">
        <f>LOOKUP(A251,'QALS - Inspection Lot Record'!A:A,'QALS - Inspection Lot Record'!G:G)</f>
        <v>GC197258</v>
      </c>
      <c r="G251" s="59">
        <f ca="1">LOOKUP(A251,'QALS - Inspection Lot Record'!A:A,'QALS - Inspection Lot Record'!E:E)</f>
        <v>45885</v>
      </c>
      <c r="H251" s="34" t="str">
        <f t="shared" si="20"/>
        <v>A</v>
      </c>
      <c r="I251" s="29" t="str">
        <f t="shared" si="16"/>
        <v>GC197258</v>
      </c>
      <c r="J251" s="59">
        <f t="shared" ca="1" si="17"/>
        <v>45885</v>
      </c>
      <c r="K251" s="30">
        <f ca="1">LOOKUP(A251,'QALS - Inspection Lot Record'!A:A,'QALS - Inspection Lot Record'!I:I)</f>
        <v>0.16503472222222224</v>
      </c>
      <c r="L251" s="59">
        <f t="shared" ca="1" si="18"/>
        <v>45885</v>
      </c>
      <c r="M251" s="30">
        <f t="shared" ca="1" si="19"/>
        <v>0.1915162037037037</v>
      </c>
      <c r="N251" s="31"/>
      <c r="O251" s="31">
        <v>7.75</v>
      </c>
      <c r="P251" s="29">
        <v>6</v>
      </c>
      <c r="Q251" s="29">
        <v>9.5</v>
      </c>
    </row>
    <row r="252" spans="1:17" x14ac:dyDescent="0.35">
      <c r="A252" s="26">
        <v>40000002532</v>
      </c>
      <c r="B252" s="31">
        <v>1</v>
      </c>
      <c r="C252" s="29" t="str">
        <f>LOOKUP(A252,'QALS - Inspection Lot Record'!$A$2:$A$361,'QALS - Inspection Lot Record'!$O$2:$O$361)</f>
        <v>Metformin Tablets (200 MG)</v>
      </c>
      <c r="D252" s="31">
        <v>30</v>
      </c>
      <c r="E252" s="29" t="s">
        <v>401</v>
      </c>
      <c r="F252" s="29" t="str">
        <f>LOOKUP(A252,'QALS - Inspection Lot Record'!A:A,'QALS - Inspection Lot Record'!G:G)</f>
        <v>GC197258</v>
      </c>
      <c r="G252" s="59">
        <f ca="1">LOOKUP(A252,'QALS - Inspection Lot Record'!A:A,'QALS - Inspection Lot Record'!E:E)</f>
        <v>45885</v>
      </c>
      <c r="H252" s="34" t="str">
        <f t="shared" si="20"/>
        <v>A</v>
      </c>
      <c r="I252" s="29" t="str">
        <f t="shared" si="16"/>
        <v>GC197258</v>
      </c>
      <c r="J252" s="59">
        <f t="shared" ca="1" si="17"/>
        <v>45885</v>
      </c>
      <c r="K252" s="30">
        <f ca="1">LOOKUP(A252,'QALS - Inspection Lot Record'!A:A,'QALS - Inspection Lot Record'!I:I)</f>
        <v>0.16503472222222224</v>
      </c>
      <c r="L252" s="59">
        <f t="shared" ca="1" si="18"/>
        <v>45885</v>
      </c>
      <c r="M252" s="30">
        <f t="shared" ca="1" si="19"/>
        <v>0.19538194444444446</v>
      </c>
      <c r="N252" s="11" t="s">
        <v>402</v>
      </c>
      <c r="O252" s="31"/>
      <c r="P252" s="29"/>
      <c r="Q252" s="29"/>
    </row>
    <row r="253" spans="1:17" x14ac:dyDescent="0.35">
      <c r="A253" s="26">
        <v>40000002532</v>
      </c>
      <c r="B253" s="31">
        <v>1</v>
      </c>
      <c r="C253" s="29" t="str">
        <f>LOOKUP(A253,'QALS - Inspection Lot Record'!$A$2:$A$361,'QALS - Inspection Lot Record'!$O$2:$O$361)</f>
        <v>Metformin Tablets (200 MG)</v>
      </c>
      <c r="D253" s="31">
        <v>40</v>
      </c>
      <c r="E253" s="29" t="s">
        <v>403</v>
      </c>
      <c r="F253" s="29" t="str">
        <f>LOOKUP(A253,'QALS - Inspection Lot Record'!A:A,'QALS - Inspection Lot Record'!G:G)</f>
        <v>GC197258</v>
      </c>
      <c r="G253" s="59">
        <f ca="1">LOOKUP(A253,'QALS - Inspection Lot Record'!A:A,'QALS - Inspection Lot Record'!E:E)</f>
        <v>45885</v>
      </c>
      <c r="H253" s="34" t="str">
        <f t="shared" si="20"/>
        <v>A</v>
      </c>
      <c r="I253" s="29" t="str">
        <f t="shared" si="16"/>
        <v>GC197258</v>
      </c>
      <c r="J253" s="59">
        <f t="shared" ca="1" si="17"/>
        <v>45885</v>
      </c>
      <c r="K253" s="30">
        <f ca="1">LOOKUP(A253,'QALS - Inspection Lot Record'!A:A,'QALS - Inspection Lot Record'!I:I)</f>
        <v>0.16503472222222224</v>
      </c>
      <c r="L253" s="59">
        <f t="shared" ca="1" si="18"/>
        <v>45885</v>
      </c>
      <c r="M253" s="30">
        <f t="shared" ca="1" si="19"/>
        <v>0.18829861111111112</v>
      </c>
      <c r="N253" s="31"/>
      <c r="O253" s="31">
        <v>0</v>
      </c>
      <c r="P253" s="29">
        <v>0</v>
      </c>
      <c r="Q253" s="29">
        <v>2</v>
      </c>
    </row>
    <row r="254" spans="1:17" x14ac:dyDescent="0.35">
      <c r="A254" s="26">
        <v>40000002532</v>
      </c>
      <c r="B254" s="31">
        <v>1</v>
      </c>
      <c r="C254" s="29" t="str">
        <f>LOOKUP(A254,'QALS - Inspection Lot Record'!$A$2:$A$361,'QALS - Inspection Lot Record'!$O$2:$O$361)</f>
        <v>Metformin Tablets (200 MG)</v>
      </c>
      <c r="D254" s="31">
        <v>50</v>
      </c>
      <c r="E254" s="29" t="s">
        <v>404</v>
      </c>
      <c r="F254" s="29" t="str">
        <f>LOOKUP(A254,'QALS - Inspection Lot Record'!A:A,'QALS - Inspection Lot Record'!G:G)</f>
        <v>GC197258</v>
      </c>
      <c r="G254" s="59">
        <f ca="1">LOOKUP(A254,'QALS - Inspection Lot Record'!A:A,'QALS - Inspection Lot Record'!E:E)</f>
        <v>45885</v>
      </c>
      <c r="H254" s="34" t="str">
        <f t="shared" si="20"/>
        <v>A</v>
      </c>
      <c r="I254" s="29" t="str">
        <f t="shared" si="16"/>
        <v>GC197258</v>
      </c>
      <c r="J254" s="59">
        <f t="shared" ca="1" si="17"/>
        <v>45885</v>
      </c>
      <c r="K254" s="30">
        <f ca="1">LOOKUP(A254,'QALS - Inspection Lot Record'!A:A,'QALS - Inspection Lot Record'!I:I)</f>
        <v>0.16503472222222224</v>
      </c>
      <c r="L254" s="59">
        <f t="shared" ca="1" si="18"/>
        <v>45885</v>
      </c>
      <c r="M254" s="30">
        <f t="shared" ca="1" si="19"/>
        <v>0.1837152777777778</v>
      </c>
      <c r="N254" s="31"/>
      <c r="O254" s="31">
        <v>50</v>
      </c>
      <c r="P254" s="29">
        <v>40</v>
      </c>
      <c r="Q254" s="29">
        <v>60</v>
      </c>
    </row>
    <row r="255" spans="1:17" x14ac:dyDescent="0.35">
      <c r="A255" s="26">
        <v>40000002532</v>
      </c>
      <c r="B255" s="31">
        <v>1</v>
      </c>
      <c r="C255" s="29" t="str">
        <f>LOOKUP(A255,'QALS - Inspection Lot Record'!$A$2:$A$361,'QALS - Inspection Lot Record'!$O$2:$O$361)</f>
        <v>Metformin Tablets (200 MG)</v>
      </c>
      <c r="D255" s="31">
        <v>60</v>
      </c>
      <c r="E255" s="29" t="s">
        <v>405</v>
      </c>
      <c r="F255" s="29" t="str">
        <f>LOOKUP(A255,'QALS - Inspection Lot Record'!A:A,'QALS - Inspection Lot Record'!G:G)</f>
        <v>GC197258</v>
      </c>
      <c r="G255" s="59">
        <f ca="1">LOOKUP(A255,'QALS - Inspection Lot Record'!A:A,'QALS - Inspection Lot Record'!E:E)</f>
        <v>45885</v>
      </c>
      <c r="H255" s="34" t="str">
        <f t="shared" si="20"/>
        <v>A</v>
      </c>
      <c r="I255" s="29" t="str">
        <f t="shared" si="16"/>
        <v>GC197258</v>
      </c>
      <c r="J255" s="59">
        <f t="shared" ca="1" si="17"/>
        <v>45885</v>
      </c>
      <c r="K255" s="30">
        <f ca="1">LOOKUP(A255,'QALS - Inspection Lot Record'!A:A,'QALS - Inspection Lot Record'!I:I)</f>
        <v>0.16503472222222224</v>
      </c>
      <c r="L255" s="59">
        <f t="shared" ca="1" si="18"/>
        <v>45885</v>
      </c>
      <c r="M255" s="30">
        <f t="shared" ca="1" si="19"/>
        <v>0.19734953703703706</v>
      </c>
      <c r="N255" s="31"/>
      <c r="O255" s="31">
        <v>77.5</v>
      </c>
      <c r="P255" s="29">
        <v>70</v>
      </c>
      <c r="Q255" s="29">
        <v>85</v>
      </c>
    </row>
    <row r="256" spans="1:17" x14ac:dyDescent="0.35">
      <c r="A256" s="26">
        <v>40000002532</v>
      </c>
      <c r="B256" s="31">
        <v>1</v>
      </c>
      <c r="C256" s="29" t="str">
        <f>LOOKUP(A256,'QALS - Inspection Lot Record'!$A$2:$A$361,'QALS - Inspection Lot Record'!$O$2:$O$361)</f>
        <v>Metformin Tablets (200 MG)</v>
      </c>
      <c r="D256" s="31">
        <v>70</v>
      </c>
      <c r="E256" s="29" t="s">
        <v>406</v>
      </c>
      <c r="F256" s="29" t="str">
        <f>LOOKUP(A256,'QALS - Inspection Lot Record'!A:A,'QALS - Inspection Lot Record'!G:G)</f>
        <v>GC197258</v>
      </c>
      <c r="G256" s="59">
        <f ca="1">LOOKUP(A256,'QALS - Inspection Lot Record'!A:A,'QALS - Inspection Lot Record'!E:E)</f>
        <v>45885</v>
      </c>
      <c r="H256" s="34" t="str">
        <f t="shared" si="20"/>
        <v>A</v>
      </c>
      <c r="I256" s="29" t="str">
        <f t="shared" si="16"/>
        <v>GC197258</v>
      </c>
      <c r="J256" s="59">
        <f t="shared" ca="1" si="17"/>
        <v>45885</v>
      </c>
      <c r="K256" s="30">
        <f ca="1">LOOKUP(A256,'QALS - Inspection Lot Record'!A:A,'QALS - Inspection Lot Record'!I:I)</f>
        <v>0.16503472222222224</v>
      </c>
      <c r="L256" s="59">
        <f t="shared" ca="1" si="18"/>
        <v>45885</v>
      </c>
      <c r="M256" s="30">
        <f t="shared" ca="1" si="19"/>
        <v>0.1912615740740741</v>
      </c>
      <c r="N256" s="31"/>
      <c r="O256" s="31">
        <v>85</v>
      </c>
      <c r="P256" s="29">
        <v>80</v>
      </c>
      <c r="Q256" s="29">
        <v>90</v>
      </c>
    </row>
    <row r="257" spans="1:17" x14ac:dyDescent="0.35">
      <c r="A257" s="26">
        <v>40000002532</v>
      </c>
      <c r="B257" s="31">
        <v>1</v>
      </c>
      <c r="C257" s="29" t="str">
        <f>LOOKUP(A257,'QALS - Inspection Lot Record'!$A$2:$A$361,'QALS - Inspection Lot Record'!$O$2:$O$361)</f>
        <v>Metformin Tablets (200 MG)</v>
      </c>
      <c r="D257" s="31">
        <v>80</v>
      </c>
      <c r="E257" s="29" t="s">
        <v>407</v>
      </c>
      <c r="F257" s="29" t="str">
        <f>LOOKUP(A257,'QALS - Inspection Lot Record'!A:A,'QALS - Inspection Lot Record'!G:G)</f>
        <v>GC197258</v>
      </c>
      <c r="G257" s="59">
        <f ca="1">LOOKUP(A257,'QALS - Inspection Lot Record'!A:A,'QALS - Inspection Lot Record'!E:E)</f>
        <v>45885</v>
      </c>
      <c r="H257" s="34" t="str">
        <f t="shared" si="20"/>
        <v>A</v>
      </c>
      <c r="I257" s="29" t="str">
        <f t="shared" si="16"/>
        <v>GC197258</v>
      </c>
      <c r="J257" s="59">
        <f t="shared" ca="1" si="17"/>
        <v>45885</v>
      </c>
      <c r="K257" s="30">
        <f ca="1">LOOKUP(A257,'QALS - Inspection Lot Record'!A:A,'QALS - Inspection Lot Record'!I:I)</f>
        <v>0.16503472222222224</v>
      </c>
      <c r="L257" s="59">
        <f t="shared" ca="1" si="18"/>
        <v>45885</v>
      </c>
      <c r="M257" s="30">
        <f t="shared" ca="1" si="19"/>
        <v>0.1915277777777778</v>
      </c>
      <c r="N257" s="31"/>
      <c r="O257" s="31">
        <v>25.5</v>
      </c>
      <c r="P257" s="29">
        <v>23</v>
      </c>
      <c r="Q257" s="29">
        <v>28</v>
      </c>
    </row>
    <row r="258" spans="1:17" x14ac:dyDescent="0.35">
      <c r="A258" s="26">
        <v>40000002533</v>
      </c>
      <c r="B258" s="27">
        <v>1</v>
      </c>
      <c r="C258" s="29" t="str">
        <f>LOOKUP(A258,'QALS - Inspection Lot Record'!$A$2:$A$361,'QALS - Inspection Lot Record'!$O$2:$O$361)</f>
        <v>Metformin Tablets (500 MG)</v>
      </c>
      <c r="D258" s="27">
        <v>10</v>
      </c>
      <c r="E258" s="26" t="s">
        <v>399</v>
      </c>
      <c r="F258" s="29" t="str">
        <f>LOOKUP(A258,'QALS - Inspection Lot Record'!A:A,'QALS - Inspection Lot Record'!G:G)</f>
        <v>AB406550</v>
      </c>
      <c r="G258" s="59">
        <f ca="1">LOOKUP(A258,'QALS - Inspection Lot Record'!A:A,'QALS - Inspection Lot Record'!E:E)</f>
        <v>45886</v>
      </c>
      <c r="H258" s="34" t="str">
        <f t="shared" si="20"/>
        <v>A</v>
      </c>
      <c r="I258" s="29" t="str">
        <f t="shared" ref="I258:I321" si="21">F258</f>
        <v>AB406550</v>
      </c>
      <c r="J258" s="59">
        <f t="shared" ref="J258:J321" ca="1" si="22">G258</f>
        <v>45886</v>
      </c>
      <c r="K258" s="30">
        <f ca="1">LOOKUP(A258,'QALS - Inspection Lot Record'!A:A,'QALS - Inspection Lot Record'!I:I)</f>
        <v>0.6206828703703704</v>
      </c>
      <c r="L258" s="59">
        <f t="shared" ref="L258:L321" ca="1" si="23">G258</f>
        <v>45886</v>
      </c>
      <c r="M258" s="30">
        <f t="shared" ref="M258:M321" ca="1" si="24">K258+TIME(0,RANDBETWEEN(25,50),RANDBETWEEN(0,59))</f>
        <v>0.64714120370370376</v>
      </c>
      <c r="N258" s="31"/>
      <c r="O258" s="31">
        <v>100</v>
      </c>
      <c r="P258" s="29">
        <v>95</v>
      </c>
      <c r="Q258" s="29">
        <v>105</v>
      </c>
    </row>
    <row r="259" spans="1:17" x14ac:dyDescent="0.35">
      <c r="A259" s="26">
        <v>40000002533</v>
      </c>
      <c r="B259" s="27">
        <v>1</v>
      </c>
      <c r="C259" s="29" t="str">
        <f>LOOKUP(A259,'QALS - Inspection Lot Record'!$A$2:$A$361,'QALS - Inspection Lot Record'!$O$2:$O$361)</f>
        <v>Metformin Tablets (500 MG)</v>
      </c>
      <c r="D259" s="31">
        <v>20</v>
      </c>
      <c r="E259" s="29" t="s">
        <v>400</v>
      </c>
      <c r="F259" s="29" t="str">
        <f>LOOKUP(A259,'QALS - Inspection Lot Record'!A:A,'QALS - Inspection Lot Record'!G:G)</f>
        <v>AB406550</v>
      </c>
      <c r="G259" s="59">
        <f ca="1">LOOKUP(A259,'QALS - Inspection Lot Record'!A:A,'QALS - Inspection Lot Record'!E:E)</f>
        <v>45886</v>
      </c>
      <c r="H259" s="34" t="str">
        <f t="shared" si="20"/>
        <v>A</v>
      </c>
      <c r="I259" s="29" t="str">
        <f t="shared" si="21"/>
        <v>AB406550</v>
      </c>
      <c r="J259" s="59">
        <f t="shared" ca="1" si="22"/>
        <v>45886</v>
      </c>
      <c r="K259" s="30">
        <f ca="1">LOOKUP(A259,'QALS - Inspection Lot Record'!A:A,'QALS - Inspection Lot Record'!I:I)</f>
        <v>0.6206828703703704</v>
      </c>
      <c r="L259" s="59">
        <f t="shared" ca="1" si="23"/>
        <v>45886</v>
      </c>
      <c r="M259" s="30">
        <f t="shared" ca="1" si="24"/>
        <v>0.63899305555555563</v>
      </c>
      <c r="N259" s="31"/>
      <c r="O259" s="31">
        <v>7.25</v>
      </c>
      <c r="P259" s="29">
        <v>3.5</v>
      </c>
      <c r="Q259" s="29">
        <v>11</v>
      </c>
    </row>
    <row r="260" spans="1:17" x14ac:dyDescent="0.35">
      <c r="A260" s="26">
        <v>40000002533</v>
      </c>
      <c r="B260" s="31">
        <v>1</v>
      </c>
      <c r="C260" s="29" t="str">
        <f>LOOKUP(A260,'QALS - Inspection Lot Record'!$A$2:$A$361,'QALS - Inspection Lot Record'!$O$2:$O$361)</f>
        <v>Metformin Tablets (500 MG)</v>
      </c>
      <c r="D260" s="31">
        <v>30</v>
      </c>
      <c r="E260" s="29" t="s">
        <v>401</v>
      </c>
      <c r="F260" s="29" t="str">
        <f>LOOKUP(A260,'QALS - Inspection Lot Record'!A:A,'QALS - Inspection Lot Record'!G:G)</f>
        <v>AB406550</v>
      </c>
      <c r="G260" s="59">
        <f ca="1">LOOKUP(A260,'QALS - Inspection Lot Record'!A:A,'QALS - Inspection Lot Record'!E:E)</f>
        <v>45886</v>
      </c>
      <c r="H260" s="34" t="str">
        <f t="shared" si="20"/>
        <v>A</v>
      </c>
      <c r="I260" s="29" t="str">
        <f t="shared" si="21"/>
        <v>AB406550</v>
      </c>
      <c r="J260" s="59">
        <f t="shared" ca="1" si="22"/>
        <v>45886</v>
      </c>
      <c r="K260" s="30">
        <f ca="1">LOOKUP(A260,'QALS - Inspection Lot Record'!A:A,'QALS - Inspection Lot Record'!I:I)</f>
        <v>0.6206828703703704</v>
      </c>
      <c r="L260" s="59">
        <f t="shared" ca="1" si="23"/>
        <v>45886</v>
      </c>
      <c r="M260" s="30">
        <f t="shared" ca="1" si="24"/>
        <v>0.64692129629629636</v>
      </c>
      <c r="N260" s="11" t="s">
        <v>402</v>
      </c>
      <c r="O260" s="31"/>
      <c r="P260" s="29"/>
      <c r="Q260" s="29"/>
    </row>
    <row r="261" spans="1:17" x14ac:dyDescent="0.35">
      <c r="A261" s="26">
        <v>40000002533</v>
      </c>
      <c r="B261" s="31">
        <v>1</v>
      </c>
      <c r="C261" s="29" t="str">
        <f>LOOKUP(A261,'QALS - Inspection Lot Record'!$A$2:$A$361,'QALS - Inspection Lot Record'!$O$2:$O$361)</f>
        <v>Metformin Tablets (500 MG)</v>
      </c>
      <c r="D261" s="31">
        <v>40</v>
      </c>
      <c r="E261" s="29" t="s">
        <v>403</v>
      </c>
      <c r="F261" s="29" t="str">
        <f>LOOKUP(A261,'QALS - Inspection Lot Record'!A:A,'QALS - Inspection Lot Record'!G:G)</f>
        <v>AB406550</v>
      </c>
      <c r="G261" s="59">
        <f ca="1">LOOKUP(A261,'QALS - Inspection Lot Record'!A:A,'QALS - Inspection Lot Record'!E:E)</f>
        <v>45886</v>
      </c>
      <c r="H261" s="34" t="str">
        <f t="shared" si="20"/>
        <v>A</v>
      </c>
      <c r="I261" s="29" t="str">
        <f t="shared" si="21"/>
        <v>AB406550</v>
      </c>
      <c r="J261" s="59">
        <f t="shared" ca="1" si="22"/>
        <v>45886</v>
      </c>
      <c r="K261" s="30">
        <f ca="1">LOOKUP(A261,'QALS - Inspection Lot Record'!A:A,'QALS - Inspection Lot Record'!I:I)</f>
        <v>0.6206828703703704</v>
      </c>
      <c r="L261" s="59">
        <f t="shared" ca="1" si="23"/>
        <v>45886</v>
      </c>
      <c r="M261" s="30">
        <f t="shared" ca="1" si="24"/>
        <v>0.64907407407407414</v>
      </c>
      <c r="N261" s="31"/>
      <c r="O261" s="31">
        <v>0</v>
      </c>
      <c r="P261" s="29">
        <v>0</v>
      </c>
      <c r="Q261" s="29">
        <v>2</v>
      </c>
    </row>
    <row r="262" spans="1:17" x14ac:dyDescent="0.35">
      <c r="A262" s="26">
        <v>40000002533</v>
      </c>
      <c r="B262" s="31">
        <v>1</v>
      </c>
      <c r="C262" s="29" t="str">
        <f>LOOKUP(A262,'QALS - Inspection Lot Record'!$A$2:$A$361,'QALS - Inspection Lot Record'!$O$2:$O$361)</f>
        <v>Metformin Tablets (500 MG)</v>
      </c>
      <c r="D262" s="31">
        <v>50</v>
      </c>
      <c r="E262" s="29" t="s">
        <v>404</v>
      </c>
      <c r="F262" s="29" t="str">
        <f>LOOKUP(A262,'QALS - Inspection Lot Record'!A:A,'QALS - Inspection Lot Record'!G:G)</f>
        <v>AB406550</v>
      </c>
      <c r="G262" s="59">
        <f ca="1">LOOKUP(A262,'QALS - Inspection Lot Record'!A:A,'QALS - Inspection Lot Record'!E:E)</f>
        <v>45886</v>
      </c>
      <c r="H262" s="34" t="str">
        <f t="shared" si="20"/>
        <v>A</v>
      </c>
      <c r="I262" s="29" t="str">
        <f t="shared" si="21"/>
        <v>AB406550</v>
      </c>
      <c r="J262" s="59">
        <f t="shared" ca="1" si="22"/>
        <v>45886</v>
      </c>
      <c r="K262" s="30">
        <f ca="1">LOOKUP(A262,'QALS - Inspection Lot Record'!A:A,'QALS - Inspection Lot Record'!I:I)</f>
        <v>0.6206828703703704</v>
      </c>
      <c r="L262" s="59">
        <f t="shared" ca="1" si="23"/>
        <v>45886</v>
      </c>
      <c r="M262" s="30">
        <f t="shared" ca="1" si="24"/>
        <v>0.64216435185185183</v>
      </c>
      <c r="N262" s="31"/>
      <c r="O262" s="31">
        <v>50</v>
      </c>
      <c r="P262" s="29">
        <v>40</v>
      </c>
      <c r="Q262" s="29">
        <v>60</v>
      </c>
    </row>
    <row r="263" spans="1:17" x14ac:dyDescent="0.35">
      <c r="A263" s="26">
        <v>40000002533</v>
      </c>
      <c r="B263" s="31">
        <v>1</v>
      </c>
      <c r="C263" s="29" t="str">
        <f>LOOKUP(A263,'QALS - Inspection Lot Record'!$A$2:$A$361,'QALS - Inspection Lot Record'!$O$2:$O$361)</f>
        <v>Metformin Tablets (500 MG)</v>
      </c>
      <c r="D263" s="31">
        <v>60</v>
      </c>
      <c r="E263" s="29" t="s">
        <v>405</v>
      </c>
      <c r="F263" s="29" t="str">
        <f>LOOKUP(A263,'QALS - Inspection Lot Record'!A:A,'QALS - Inspection Lot Record'!G:G)</f>
        <v>AB406550</v>
      </c>
      <c r="G263" s="59">
        <f ca="1">LOOKUP(A263,'QALS - Inspection Lot Record'!A:A,'QALS - Inspection Lot Record'!E:E)</f>
        <v>45886</v>
      </c>
      <c r="H263" s="34" t="str">
        <f t="shared" si="20"/>
        <v>A</v>
      </c>
      <c r="I263" s="29" t="str">
        <f t="shared" si="21"/>
        <v>AB406550</v>
      </c>
      <c r="J263" s="59">
        <f t="shared" ca="1" si="22"/>
        <v>45886</v>
      </c>
      <c r="K263" s="30">
        <f ca="1">LOOKUP(A263,'QALS - Inspection Lot Record'!A:A,'QALS - Inspection Lot Record'!I:I)</f>
        <v>0.6206828703703704</v>
      </c>
      <c r="L263" s="59">
        <f t="shared" ca="1" si="23"/>
        <v>45886</v>
      </c>
      <c r="M263" s="30">
        <f t="shared" ca="1" si="24"/>
        <v>0.6534375</v>
      </c>
      <c r="N263" s="31"/>
      <c r="O263" s="31">
        <v>77.5</v>
      </c>
      <c r="P263" s="29">
        <v>70</v>
      </c>
      <c r="Q263" s="29">
        <v>85</v>
      </c>
    </row>
    <row r="264" spans="1:17" x14ac:dyDescent="0.35">
      <c r="A264" s="26">
        <v>40000002533</v>
      </c>
      <c r="B264" s="31">
        <v>1</v>
      </c>
      <c r="C264" s="29" t="str">
        <f>LOOKUP(A264,'QALS - Inspection Lot Record'!$A$2:$A$361,'QALS - Inspection Lot Record'!$O$2:$O$361)</f>
        <v>Metformin Tablets (500 MG)</v>
      </c>
      <c r="D264" s="31">
        <v>70</v>
      </c>
      <c r="E264" s="29" t="s">
        <v>406</v>
      </c>
      <c r="F264" s="29" t="str">
        <f>LOOKUP(A264,'QALS - Inspection Lot Record'!A:A,'QALS - Inspection Lot Record'!G:G)</f>
        <v>AB406550</v>
      </c>
      <c r="G264" s="59">
        <f ca="1">LOOKUP(A264,'QALS - Inspection Lot Record'!A:A,'QALS - Inspection Lot Record'!E:E)</f>
        <v>45886</v>
      </c>
      <c r="H264" s="34" t="str">
        <f t="shared" si="20"/>
        <v>A</v>
      </c>
      <c r="I264" s="29" t="str">
        <f t="shared" si="21"/>
        <v>AB406550</v>
      </c>
      <c r="J264" s="59">
        <f t="shared" ca="1" si="22"/>
        <v>45886</v>
      </c>
      <c r="K264" s="30">
        <f ca="1">LOOKUP(A264,'QALS - Inspection Lot Record'!A:A,'QALS - Inspection Lot Record'!I:I)</f>
        <v>0.6206828703703704</v>
      </c>
      <c r="L264" s="59">
        <f t="shared" ca="1" si="23"/>
        <v>45886</v>
      </c>
      <c r="M264" s="30">
        <f t="shared" ca="1" si="24"/>
        <v>0.65041666666666664</v>
      </c>
      <c r="N264" s="31"/>
      <c r="O264" s="31">
        <v>85</v>
      </c>
      <c r="P264" s="29">
        <v>80</v>
      </c>
      <c r="Q264" s="29">
        <v>90</v>
      </c>
    </row>
    <row r="265" spans="1:17" x14ac:dyDescent="0.35">
      <c r="A265" s="26">
        <v>40000002533</v>
      </c>
      <c r="B265" s="31">
        <v>1</v>
      </c>
      <c r="C265" s="29" t="str">
        <f>LOOKUP(A265,'QALS - Inspection Lot Record'!$A$2:$A$361,'QALS - Inspection Lot Record'!$O$2:$O$361)</f>
        <v>Metformin Tablets (500 MG)</v>
      </c>
      <c r="D265" s="31">
        <v>80</v>
      </c>
      <c r="E265" s="29" t="s">
        <v>407</v>
      </c>
      <c r="F265" s="29" t="str">
        <f>LOOKUP(A265,'QALS - Inspection Lot Record'!A:A,'QALS - Inspection Lot Record'!G:G)</f>
        <v>AB406550</v>
      </c>
      <c r="G265" s="59">
        <f ca="1">LOOKUP(A265,'QALS - Inspection Lot Record'!A:A,'QALS - Inspection Lot Record'!E:E)</f>
        <v>45886</v>
      </c>
      <c r="H265" s="34" t="str">
        <f t="shared" si="20"/>
        <v>A</v>
      </c>
      <c r="I265" s="29" t="str">
        <f t="shared" si="21"/>
        <v>AB406550</v>
      </c>
      <c r="J265" s="59">
        <f t="shared" ca="1" si="22"/>
        <v>45886</v>
      </c>
      <c r="K265" s="30">
        <f ca="1">LOOKUP(A265,'QALS - Inspection Lot Record'!A:A,'QALS - Inspection Lot Record'!I:I)</f>
        <v>0.6206828703703704</v>
      </c>
      <c r="L265" s="59">
        <f t="shared" ca="1" si="23"/>
        <v>45886</v>
      </c>
      <c r="M265" s="30">
        <f t="shared" ca="1" si="24"/>
        <v>0.65579861111111115</v>
      </c>
      <c r="N265" s="31"/>
      <c r="O265" s="31">
        <v>25.5</v>
      </c>
      <c r="P265" s="29">
        <v>23</v>
      </c>
      <c r="Q265" s="29">
        <v>28</v>
      </c>
    </row>
    <row r="266" spans="1:17" x14ac:dyDescent="0.35">
      <c r="A266" s="26">
        <v>40000002534</v>
      </c>
      <c r="B266" s="27">
        <v>1</v>
      </c>
      <c r="C266" s="29" t="str">
        <f>LOOKUP(A266,'QALS - Inspection Lot Record'!$A$2:$A$361,'QALS - Inspection Lot Record'!$O$2:$O$361)</f>
        <v>Metformin Tablets (200 MG)</v>
      </c>
      <c r="D266" s="27">
        <v>10</v>
      </c>
      <c r="E266" s="26" t="s">
        <v>399</v>
      </c>
      <c r="F266" s="29" t="str">
        <f>LOOKUP(A266,'QALS - Inspection Lot Record'!A:A,'QALS - Inspection Lot Record'!G:G)</f>
        <v>YA284176</v>
      </c>
      <c r="G266" s="59">
        <f ca="1">LOOKUP(A266,'QALS - Inspection Lot Record'!A:A,'QALS - Inspection Lot Record'!E:E)</f>
        <v>45886</v>
      </c>
      <c r="H266" s="34" t="str">
        <f t="shared" ref="H266:H329" si="25">IF(AND(P266&lt;=O266,O266&lt;=Q266),"A","R")</f>
        <v>A</v>
      </c>
      <c r="I266" s="29" t="str">
        <f t="shared" si="21"/>
        <v>YA284176</v>
      </c>
      <c r="J266" s="59">
        <f t="shared" ca="1" si="22"/>
        <v>45886</v>
      </c>
      <c r="K266" s="30">
        <f ca="1">LOOKUP(A266,'QALS - Inspection Lot Record'!A:A,'QALS - Inspection Lot Record'!I:I)</f>
        <v>5.2638888888888888E-2</v>
      </c>
      <c r="L266" s="59">
        <f t="shared" ca="1" si="23"/>
        <v>45886</v>
      </c>
      <c r="M266" s="30">
        <f t="shared" ca="1" si="24"/>
        <v>8.5462962962962963E-2</v>
      </c>
      <c r="N266" s="31"/>
      <c r="O266" s="31">
        <v>99</v>
      </c>
      <c r="P266" s="29">
        <v>95</v>
      </c>
      <c r="Q266" s="29">
        <v>103</v>
      </c>
    </row>
    <row r="267" spans="1:17" x14ac:dyDescent="0.35">
      <c r="A267" s="26">
        <v>40000002534</v>
      </c>
      <c r="B267" s="27">
        <v>1</v>
      </c>
      <c r="C267" s="29" t="str">
        <f>LOOKUP(A267,'QALS - Inspection Lot Record'!$A$2:$A$361,'QALS - Inspection Lot Record'!$O$2:$O$361)</f>
        <v>Metformin Tablets (200 MG)</v>
      </c>
      <c r="D267" s="31">
        <v>20</v>
      </c>
      <c r="E267" s="29" t="s">
        <v>400</v>
      </c>
      <c r="F267" s="29" t="str">
        <f>LOOKUP(A267,'QALS - Inspection Lot Record'!A:A,'QALS - Inspection Lot Record'!G:G)</f>
        <v>YA284176</v>
      </c>
      <c r="G267" s="59">
        <f ca="1">LOOKUP(A267,'QALS - Inspection Lot Record'!A:A,'QALS - Inspection Lot Record'!E:E)</f>
        <v>45886</v>
      </c>
      <c r="H267" s="34" t="str">
        <f t="shared" si="25"/>
        <v>R</v>
      </c>
      <c r="I267" s="29" t="str">
        <f t="shared" si="21"/>
        <v>YA284176</v>
      </c>
      <c r="J267" s="59">
        <f t="shared" ca="1" si="22"/>
        <v>45886</v>
      </c>
      <c r="K267" s="30">
        <f ca="1">LOOKUP(A267,'QALS - Inspection Lot Record'!A:A,'QALS - Inspection Lot Record'!I:I)</f>
        <v>5.2638888888888888E-2</v>
      </c>
      <c r="L267" s="59">
        <f t="shared" ca="1" si="23"/>
        <v>45886</v>
      </c>
      <c r="M267" s="30">
        <f t="shared" ca="1" si="24"/>
        <v>7.9594907407407406E-2</v>
      </c>
      <c r="N267" s="31"/>
      <c r="O267" s="31">
        <v>5</v>
      </c>
      <c r="P267" s="29">
        <v>6</v>
      </c>
      <c r="Q267" s="29">
        <v>9.5</v>
      </c>
    </row>
    <row r="268" spans="1:17" x14ac:dyDescent="0.35">
      <c r="A268" s="26">
        <v>40000002534</v>
      </c>
      <c r="B268" s="31">
        <v>1</v>
      </c>
      <c r="C268" s="29" t="str">
        <f>LOOKUP(A268,'QALS - Inspection Lot Record'!$A$2:$A$361,'QALS - Inspection Lot Record'!$O$2:$O$361)</f>
        <v>Metformin Tablets (200 MG)</v>
      </c>
      <c r="D268" s="31">
        <v>30</v>
      </c>
      <c r="E268" s="29" t="s">
        <v>401</v>
      </c>
      <c r="F268" s="29" t="str">
        <f>LOOKUP(A268,'QALS - Inspection Lot Record'!A:A,'QALS - Inspection Lot Record'!G:G)</f>
        <v>YA284176</v>
      </c>
      <c r="G268" s="59">
        <f ca="1">LOOKUP(A268,'QALS - Inspection Lot Record'!A:A,'QALS - Inspection Lot Record'!E:E)</f>
        <v>45886</v>
      </c>
      <c r="H268" s="34" t="str">
        <f t="shared" si="25"/>
        <v>A</v>
      </c>
      <c r="I268" s="29" t="str">
        <f t="shared" si="21"/>
        <v>YA284176</v>
      </c>
      <c r="J268" s="59">
        <f t="shared" ca="1" si="22"/>
        <v>45886</v>
      </c>
      <c r="K268" s="30">
        <f ca="1">LOOKUP(A268,'QALS - Inspection Lot Record'!A:A,'QALS - Inspection Lot Record'!I:I)</f>
        <v>5.2638888888888888E-2</v>
      </c>
      <c r="L268" s="59">
        <f t="shared" ca="1" si="23"/>
        <v>45886</v>
      </c>
      <c r="M268" s="30">
        <f t="shared" ca="1" si="24"/>
        <v>7.5370370370370365E-2</v>
      </c>
      <c r="N268" s="11" t="s">
        <v>402</v>
      </c>
      <c r="O268" s="31"/>
      <c r="P268" s="29"/>
      <c r="Q268" s="29"/>
    </row>
    <row r="269" spans="1:17" x14ac:dyDescent="0.35">
      <c r="A269" s="26">
        <v>40000002534</v>
      </c>
      <c r="B269" s="31">
        <v>1</v>
      </c>
      <c r="C269" s="29" t="str">
        <f>LOOKUP(A269,'QALS - Inspection Lot Record'!$A$2:$A$361,'QALS - Inspection Lot Record'!$O$2:$O$361)</f>
        <v>Metformin Tablets (200 MG)</v>
      </c>
      <c r="D269" s="31">
        <v>40</v>
      </c>
      <c r="E269" s="29" t="s">
        <v>403</v>
      </c>
      <c r="F269" s="29" t="str">
        <f>LOOKUP(A269,'QALS - Inspection Lot Record'!A:A,'QALS - Inspection Lot Record'!G:G)</f>
        <v>YA284176</v>
      </c>
      <c r="G269" s="59">
        <f ca="1">LOOKUP(A269,'QALS - Inspection Lot Record'!A:A,'QALS - Inspection Lot Record'!E:E)</f>
        <v>45886</v>
      </c>
      <c r="H269" s="34" t="str">
        <f t="shared" si="25"/>
        <v>A</v>
      </c>
      <c r="I269" s="29" t="str">
        <f t="shared" si="21"/>
        <v>YA284176</v>
      </c>
      <c r="J269" s="59">
        <f t="shared" ca="1" si="22"/>
        <v>45886</v>
      </c>
      <c r="K269" s="30">
        <f ca="1">LOOKUP(A269,'QALS - Inspection Lot Record'!A:A,'QALS - Inspection Lot Record'!I:I)</f>
        <v>5.2638888888888888E-2</v>
      </c>
      <c r="L269" s="59">
        <f t="shared" ca="1" si="23"/>
        <v>45886</v>
      </c>
      <c r="M269" s="30">
        <f t="shared" ca="1" si="24"/>
        <v>8.5601851851851846E-2</v>
      </c>
      <c r="N269" s="31"/>
      <c r="O269" s="31">
        <v>0</v>
      </c>
      <c r="P269" s="29">
        <v>0</v>
      </c>
      <c r="Q269" s="29">
        <v>2</v>
      </c>
    </row>
    <row r="270" spans="1:17" x14ac:dyDescent="0.35">
      <c r="A270" s="26">
        <v>40000002534</v>
      </c>
      <c r="B270" s="31">
        <v>1</v>
      </c>
      <c r="C270" s="29" t="str">
        <f>LOOKUP(A270,'QALS - Inspection Lot Record'!$A$2:$A$361,'QALS - Inspection Lot Record'!$O$2:$O$361)</f>
        <v>Metformin Tablets (200 MG)</v>
      </c>
      <c r="D270" s="31">
        <v>50</v>
      </c>
      <c r="E270" s="29" t="s">
        <v>404</v>
      </c>
      <c r="F270" s="29" t="str">
        <f>LOOKUP(A270,'QALS - Inspection Lot Record'!A:A,'QALS - Inspection Lot Record'!G:G)</f>
        <v>YA284176</v>
      </c>
      <c r="G270" s="59">
        <f ca="1">LOOKUP(A270,'QALS - Inspection Lot Record'!A:A,'QALS - Inspection Lot Record'!E:E)</f>
        <v>45886</v>
      </c>
      <c r="H270" s="34" t="str">
        <f t="shared" si="25"/>
        <v>R</v>
      </c>
      <c r="I270" s="29" t="str">
        <f t="shared" si="21"/>
        <v>YA284176</v>
      </c>
      <c r="J270" s="59">
        <f t="shared" ca="1" si="22"/>
        <v>45886</v>
      </c>
      <c r="K270" s="30">
        <f ca="1">LOOKUP(A270,'QALS - Inspection Lot Record'!A:A,'QALS - Inspection Lot Record'!I:I)</f>
        <v>5.2638888888888888E-2</v>
      </c>
      <c r="L270" s="59">
        <f t="shared" ca="1" si="23"/>
        <v>45886</v>
      </c>
      <c r="M270" s="30">
        <f t="shared" ca="1" si="24"/>
        <v>7.8495370370370368E-2</v>
      </c>
      <c r="N270" s="31"/>
      <c r="O270" s="31">
        <v>39</v>
      </c>
      <c r="P270" s="29">
        <v>40</v>
      </c>
      <c r="Q270" s="29">
        <v>60</v>
      </c>
    </row>
    <row r="271" spans="1:17" x14ac:dyDescent="0.35">
      <c r="A271" s="26">
        <v>40000002534</v>
      </c>
      <c r="B271" s="31">
        <v>1</v>
      </c>
      <c r="C271" s="29" t="str">
        <f>LOOKUP(A271,'QALS - Inspection Lot Record'!$A$2:$A$361,'QALS - Inspection Lot Record'!$O$2:$O$361)</f>
        <v>Metformin Tablets (200 MG)</v>
      </c>
      <c r="D271" s="31">
        <v>60</v>
      </c>
      <c r="E271" s="29" t="s">
        <v>405</v>
      </c>
      <c r="F271" s="29" t="str">
        <f>LOOKUP(A271,'QALS - Inspection Lot Record'!A:A,'QALS - Inspection Lot Record'!G:G)</f>
        <v>YA284176</v>
      </c>
      <c r="G271" s="59">
        <f ca="1">LOOKUP(A271,'QALS - Inspection Lot Record'!A:A,'QALS - Inspection Lot Record'!E:E)</f>
        <v>45886</v>
      </c>
      <c r="H271" s="34" t="str">
        <f t="shared" si="25"/>
        <v>A</v>
      </c>
      <c r="I271" s="29" t="str">
        <f t="shared" si="21"/>
        <v>YA284176</v>
      </c>
      <c r="J271" s="59">
        <f t="shared" ca="1" si="22"/>
        <v>45886</v>
      </c>
      <c r="K271" s="30">
        <f ca="1">LOOKUP(A271,'QALS - Inspection Lot Record'!A:A,'QALS - Inspection Lot Record'!I:I)</f>
        <v>5.2638888888888888E-2</v>
      </c>
      <c r="L271" s="59">
        <f t="shared" ca="1" si="23"/>
        <v>45886</v>
      </c>
      <c r="M271" s="30">
        <f t="shared" ca="1" si="24"/>
        <v>7.829861111111111E-2</v>
      </c>
      <c r="N271" s="31"/>
      <c r="O271" s="31">
        <v>77.5</v>
      </c>
      <c r="P271" s="29">
        <v>70</v>
      </c>
      <c r="Q271" s="29">
        <v>85</v>
      </c>
    </row>
    <row r="272" spans="1:17" x14ac:dyDescent="0.35">
      <c r="A272" s="26">
        <v>40000002534</v>
      </c>
      <c r="B272" s="31">
        <v>1</v>
      </c>
      <c r="C272" s="29" t="str">
        <f>LOOKUP(A272,'QALS - Inspection Lot Record'!$A$2:$A$361,'QALS - Inspection Lot Record'!$O$2:$O$361)</f>
        <v>Metformin Tablets (200 MG)</v>
      </c>
      <c r="D272" s="31">
        <v>70</v>
      </c>
      <c r="E272" s="29" t="s">
        <v>406</v>
      </c>
      <c r="F272" s="29" t="str">
        <f>LOOKUP(A272,'QALS - Inspection Lot Record'!A:A,'QALS - Inspection Lot Record'!G:G)</f>
        <v>YA284176</v>
      </c>
      <c r="G272" s="59">
        <f ca="1">LOOKUP(A272,'QALS - Inspection Lot Record'!A:A,'QALS - Inspection Lot Record'!E:E)</f>
        <v>45886</v>
      </c>
      <c r="H272" s="34" t="str">
        <f t="shared" si="25"/>
        <v>A</v>
      </c>
      <c r="I272" s="29" t="str">
        <f t="shared" si="21"/>
        <v>YA284176</v>
      </c>
      <c r="J272" s="59">
        <f t="shared" ca="1" si="22"/>
        <v>45886</v>
      </c>
      <c r="K272" s="30">
        <f ca="1">LOOKUP(A272,'QALS - Inspection Lot Record'!A:A,'QALS - Inspection Lot Record'!I:I)</f>
        <v>5.2638888888888888E-2</v>
      </c>
      <c r="L272" s="59">
        <f t="shared" ca="1" si="23"/>
        <v>45886</v>
      </c>
      <c r="M272" s="30">
        <f t="shared" ca="1" si="24"/>
        <v>8.4189814814814815E-2</v>
      </c>
      <c r="N272" s="31"/>
      <c r="O272" s="31">
        <v>85</v>
      </c>
      <c r="P272" s="29">
        <v>80</v>
      </c>
      <c r="Q272" s="29">
        <v>90</v>
      </c>
    </row>
    <row r="273" spans="1:17" x14ac:dyDescent="0.35">
      <c r="A273" s="26">
        <v>40000002534</v>
      </c>
      <c r="B273" s="31">
        <v>1</v>
      </c>
      <c r="C273" s="29" t="str">
        <f>LOOKUP(A273,'QALS - Inspection Lot Record'!$A$2:$A$361,'QALS - Inspection Lot Record'!$O$2:$O$361)</f>
        <v>Metformin Tablets (200 MG)</v>
      </c>
      <c r="D273" s="31">
        <v>80</v>
      </c>
      <c r="E273" s="29" t="s">
        <v>407</v>
      </c>
      <c r="F273" s="29" t="str">
        <f>LOOKUP(A273,'QALS - Inspection Lot Record'!A:A,'QALS - Inspection Lot Record'!G:G)</f>
        <v>YA284176</v>
      </c>
      <c r="G273" s="59">
        <f ca="1">LOOKUP(A273,'QALS - Inspection Lot Record'!A:A,'QALS - Inspection Lot Record'!E:E)</f>
        <v>45886</v>
      </c>
      <c r="H273" s="34" t="str">
        <f t="shared" si="25"/>
        <v>A</v>
      </c>
      <c r="I273" s="29" t="str">
        <f t="shared" si="21"/>
        <v>YA284176</v>
      </c>
      <c r="J273" s="59">
        <f t="shared" ca="1" si="22"/>
        <v>45886</v>
      </c>
      <c r="K273" s="30">
        <f ca="1">LOOKUP(A273,'QALS - Inspection Lot Record'!A:A,'QALS - Inspection Lot Record'!I:I)</f>
        <v>5.2638888888888888E-2</v>
      </c>
      <c r="L273" s="59">
        <f t="shared" ca="1" si="23"/>
        <v>45886</v>
      </c>
      <c r="M273" s="30">
        <f t="shared" ca="1" si="24"/>
        <v>8.0243055555555554E-2</v>
      </c>
      <c r="N273" s="31"/>
      <c r="O273" s="31">
        <v>25.5</v>
      </c>
      <c r="P273" s="29">
        <v>23</v>
      </c>
      <c r="Q273" s="29">
        <v>28</v>
      </c>
    </row>
    <row r="274" spans="1:17" x14ac:dyDescent="0.35">
      <c r="A274" s="26">
        <v>40000002535</v>
      </c>
      <c r="B274" s="27">
        <v>1</v>
      </c>
      <c r="C274" s="29" t="str">
        <f>LOOKUP(A274,'QALS - Inspection Lot Record'!$A$2:$A$361,'QALS - Inspection Lot Record'!$O$2:$O$361)</f>
        <v>Metformin Tablets (100 MG)</v>
      </c>
      <c r="D274" s="27">
        <v>10</v>
      </c>
      <c r="E274" s="26" t="s">
        <v>399</v>
      </c>
      <c r="F274" s="29" t="str">
        <f>LOOKUP(A274,'QALS - Inspection Lot Record'!A:A,'QALS - Inspection Lot Record'!G:G)</f>
        <v>AB406550</v>
      </c>
      <c r="G274" s="59">
        <f ca="1">LOOKUP(A274,'QALS - Inspection Lot Record'!A:A,'QALS - Inspection Lot Record'!E:E)</f>
        <v>45887</v>
      </c>
      <c r="H274" s="34" t="str">
        <f t="shared" si="25"/>
        <v>A</v>
      </c>
      <c r="I274" s="29" t="str">
        <f t="shared" si="21"/>
        <v>AB406550</v>
      </c>
      <c r="J274" s="59">
        <f t="shared" ca="1" si="22"/>
        <v>45887</v>
      </c>
      <c r="K274" s="30">
        <f ca="1">LOOKUP(A274,'QALS - Inspection Lot Record'!A:A,'QALS - Inspection Lot Record'!I:I)</f>
        <v>0.85609953703703701</v>
      </c>
      <c r="L274" s="59">
        <f t="shared" ca="1" si="23"/>
        <v>45887</v>
      </c>
      <c r="M274" s="30">
        <f t="shared" ca="1" si="24"/>
        <v>0.87399305555555551</v>
      </c>
      <c r="N274" s="31"/>
      <c r="O274" s="31">
        <v>98.5</v>
      </c>
      <c r="P274" s="29">
        <v>95</v>
      </c>
      <c r="Q274" s="29">
        <v>102</v>
      </c>
    </row>
    <row r="275" spans="1:17" x14ac:dyDescent="0.35">
      <c r="A275" s="26">
        <v>40000002535</v>
      </c>
      <c r="B275" s="27">
        <v>1</v>
      </c>
      <c r="C275" s="29" t="str">
        <f>LOOKUP(A275,'QALS - Inspection Lot Record'!$A$2:$A$361,'QALS - Inspection Lot Record'!$O$2:$O$361)</f>
        <v>Metformin Tablets (100 MG)</v>
      </c>
      <c r="D275" s="31">
        <v>20</v>
      </c>
      <c r="E275" s="29" t="s">
        <v>400</v>
      </c>
      <c r="F275" s="29" t="str">
        <f>LOOKUP(A275,'QALS - Inspection Lot Record'!A:A,'QALS - Inspection Lot Record'!G:G)</f>
        <v>AB406550</v>
      </c>
      <c r="G275" s="59">
        <f ca="1">LOOKUP(A275,'QALS - Inspection Lot Record'!A:A,'QALS - Inspection Lot Record'!E:E)</f>
        <v>45887</v>
      </c>
      <c r="H275" s="34" t="str">
        <f t="shared" si="25"/>
        <v>A</v>
      </c>
      <c r="I275" s="29" t="str">
        <f t="shared" si="21"/>
        <v>AB406550</v>
      </c>
      <c r="J275" s="59">
        <f t="shared" ca="1" si="22"/>
        <v>45887</v>
      </c>
      <c r="K275" s="30">
        <f ca="1">LOOKUP(A275,'QALS - Inspection Lot Record'!A:A,'QALS - Inspection Lot Record'!I:I)</f>
        <v>0.85609953703703701</v>
      </c>
      <c r="L275" s="59">
        <f t="shared" ca="1" si="23"/>
        <v>45887</v>
      </c>
      <c r="M275" s="30">
        <f t="shared" ca="1" si="24"/>
        <v>0.88733796296296297</v>
      </c>
      <c r="N275" s="31"/>
      <c r="O275" s="31">
        <v>7.3</v>
      </c>
      <c r="P275" s="29">
        <v>3.5</v>
      </c>
      <c r="Q275" s="29">
        <v>11</v>
      </c>
    </row>
    <row r="276" spans="1:17" x14ac:dyDescent="0.35">
      <c r="A276" s="26">
        <v>40000002535</v>
      </c>
      <c r="B276" s="31">
        <v>1</v>
      </c>
      <c r="C276" s="29" t="str">
        <f>LOOKUP(A276,'QALS - Inspection Lot Record'!$A$2:$A$361,'QALS - Inspection Lot Record'!$O$2:$O$361)</f>
        <v>Metformin Tablets (100 MG)</v>
      </c>
      <c r="D276" s="31">
        <v>30</v>
      </c>
      <c r="E276" s="29" t="s">
        <v>401</v>
      </c>
      <c r="F276" s="29" t="str">
        <f>LOOKUP(A276,'QALS - Inspection Lot Record'!A:A,'QALS - Inspection Lot Record'!G:G)</f>
        <v>AB406550</v>
      </c>
      <c r="G276" s="59">
        <f ca="1">LOOKUP(A276,'QALS - Inspection Lot Record'!A:A,'QALS - Inspection Lot Record'!E:E)</f>
        <v>45887</v>
      </c>
      <c r="H276" s="34" t="str">
        <f t="shared" si="25"/>
        <v>A</v>
      </c>
      <c r="I276" s="29" t="str">
        <f t="shared" si="21"/>
        <v>AB406550</v>
      </c>
      <c r="J276" s="59">
        <f t="shared" ca="1" si="22"/>
        <v>45887</v>
      </c>
      <c r="K276" s="30">
        <f ca="1">LOOKUP(A276,'QALS - Inspection Lot Record'!A:A,'QALS - Inspection Lot Record'!I:I)</f>
        <v>0.85609953703703701</v>
      </c>
      <c r="L276" s="59">
        <f t="shared" ca="1" si="23"/>
        <v>45887</v>
      </c>
      <c r="M276" s="30">
        <f t="shared" ca="1" si="24"/>
        <v>0.87791666666666668</v>
      </c>
      <c r="N276" s="11" t="s">
        <v>402</v>
      </c>
      <c r="O276" s="31"/>
      <c r="P276" s="29"/>
      <c r="Q276" s="29"/>
    </row>
    <row r="277" spans="1:17" x14ac:dyDescent="0.35">
      <c r="A277" s="26">
        <v>40000002535</v>
      </c>
      <c r="B277" s="31">
        <v>1</v>
      </c>
      <c r="C277" s="29" t="str">
        <f>LOOKUP(A277,'QALS - Inspection Lot Record'!$A$2:$A$361,'QALS - Inspection Lot Record'!$O$2:$O$361)</f>
        <v>Metformin Tablets (100 MG)</v>
      </c>
      <c r="D277" s="31">
        <v>40</v>
      </c>
      <c r="E277" s="29" t="s">
        <v>403</v>
      </c>
      <c r="F277" s="29" t="str">
        <f>LOOKUP(A277,'QALS - Inspection Lot Record'!A:A,'QALS - Inspection Lot Record'!G:G)</f>
        <v>AB406550</v>
      </c>
      <c r="G277" s="59">
        <f ca="1">LOOKUP(A277,'QALS - Inspection Lot Record'!A:A,'QALS - Inspection Lot Record'!E:E)</f>
        <v>45887</v>
      </c>
      <c r="H277" s="34" t="str">
        <f t="shared" si="25"/>
        <v>A</v>
      </c>
      <c r="I277" s="29" t="str">
        <f t="shared" si="21"/>
        <v>AB406550</v>
      </c>
      <c r="J277" s="59">
        <f t="shared" ca="1" si="22"/>
        <v>45887</v>
      </c>
      <c r="K277" s="30">
        <f ca="1">LOOKUP(A277,'QALS - Inspection Lot Record'!A:A,'QALS - Inspection Lot Record'!I:I)</f>
        <v>0.85609953703703701</v>
      </c>
      <c r="L277" s="59">
        <f t="shared" ca="1" si="23"/>
        <v>45887</v>
      </c>
      <c r="M277" s="30">
        <f t="shared" ca="1" si="24"/>
        <v>0.87474537037037037</v>
      </c>
      <c r="N277" s="31"/>
      <c r="O277" s="31">
        <v>0.5</v>
      </c>
      <c r="P277" s="29">
        <v>0</v>
      </c>
      <c r="Q277" s="29">
        <v>1</v>
      </c>
    </row>
    <row r="278" spans="1:17" x14ac:dyDescent="0.35">
      <c r="A278" s="26">
        <v>40000002535</v>
      </c>
      <c r="B278" s="31">
        <v>1</v>
      </c>
      <c r="C278" s="29" t="str">
        <f>LOOKUP(A278,'QALS - Inspection Lot Record'!$A$2:$A$361,'QALS - Inspection Lot Record'!$O$2:$O$361)</f>
        <v>Metformin Tablets (100 MG)</v>
      </c>
      <c r="D278" s="31">
        <v>50</v>
      </c>
      <c r="E278" s="29" t="s">
        <v>404</v>
      </c>
      <c r="F278" s="29" t="str">
        <f>LOOKUP(A278,'QALS - Inspection Lot Record'!A:A,'QALS - Inspection Lot Record'!G:G)</f>
        <v>AB406550</v>
      </c>
      <c r="G278" s="59">
        <f ca="1">LOOKUP(A278,'QALS - Inspection Lot Record'!A:A,'QALS - Inspection Lot Record'!E:E)</f>
        <v>45887</v>
      </c>
      <c r="H278" s="34" t="str">
        <f t="shared" si="25"/>
        <v>A</v>
      </c>
      <c r="I278" s="29" t="str">
        <f t="shared" si="21"/>
        <v>AB406550</v>
      </c>
      <c r="J278" s="59">
        <f t="shared" ca="1" si="22"/>
        <v>45887</v>
      </c>
      <c r="K278" s="30">
        <f ca="1">LOOKUP(A278,'QALS - Inspection Lot Record'!A:A,'QALS - Inspection Lot Record'!I:I)</f>
        <v>0.85609953703703701</v>
      </c>
      <c r="L278" s="59">
        <f t="shared" ca="1" si="23"/>
        <v>45887</v>
      </c>
      <c r="M278" s="30">
        <f t="shared" ca="1" si="24"/>
        <v>0.88190972222222219</v>
      </c>
      <c r="N278" s="31"/>
      <c r="O278" s="31">
        <v>42</v>
      </c>
      <c r="P278" s="29">
        <v>40</v>
      </c>
      <c r="Q278" s="29">
        <v>60</v>
      </c>
    </row>
    <row r="279" spans="1:17" x14ac:dyDescent="0.35">
      <c r="A279" s="26">
        <v>40000002535</v>
      </c>
      <c r="B279" s="31">
        <v>1</v>
      </c>
      <c r="C279" s="29" t="str">
        <f>LOOKUP(A279,'QALS - Inspection Lot Record'!$A$2:$A$361,'QALS - Inspection Lot Record'!$O$2:$O$361)</f>
        <v>Metformin Tablets (100 MG)</v>
      </c>
      <c r="D279" s="31">
        <v>60</v>
      </c>
      <c r="E279" s="29" t="s">
        <v>405</v>
      </c>
      <c r="F279" s="29" t="str">
        <f>LOOKUP(A279,'QALS - Inspection Lot Record'!A:A,'QALS - Inspection Lot Record'!G:G)</f>
        <v>AB406550</v>
      </c>
      <c r="G279" s="59">
        <f ca="1">LOOKUP(A279,'QALS - Inspection Lot Record'!A:A,'QALS - Inspection Lot Record'!E:E)</f>
        <v>45887</v>
      </c>
      <c r="H279" s="34" t="str">
        <f t="shared" si="25"/>
        <v>A</v>
      </c>
      <c r="I279" s="29" t="str">
        <f t="shared" si="21"/>
        <v>AB406550</v>
      </c>
      <c r="J279" s="59">
        <f t="shared" ca="1" si="22"/>
        <v>45887</v>
      </c>
      <c r="K279" s="30">
        <f ca="1">LOOKUP(A279,'QALS - Inspection Lot Record'!A:A,'QALS - Inspection Lot Record'!I:I)</f>
        <v>0.85609953703703701</v>
      </c>
      <c r="L279" s="59">
        <f t="shared" ca="1" si="23"/>
        <v>45887</v>
      </c>
      <c r="M279" s="30">
        <f t="shared" ca="1" si="24"/>
        <v>0.885625</v>
      </c>
      <c r="N279" s="31"/>
      <c r="O279" s="31">
        <v>71.8</v>
      </c>
      <c r="P279" s="29">
        <v>70</v>
      </c>
      <c r="Q279" s="29">
        <v>85</v>
      </c>
    </row>
    <row r="280" spans="1:17" x14ac:dyDescent="0.35">
      <c r="A280" s="26">
        <v>40000002535</v>
      </c>
      <c r="B280" s="31">
        <v>1</v>
      </c>
      <c r="C280" s="29" t="str">
        <f>LOOKUP(A280,'QALS - Inspection Lot Record'!$A$2:$A$361,'QALS - Inspection Lot Record'!$O$2:$O$361)</f>
        <v>Metformin Tablets (100 MG)</v>
      </c>
      <c r="D280" s="31">
        <v>70</v>
      </c>
      <c r="E280" s="29" t="s">
        <v>406</v>
      </c>
      <c r="F280" s="29" t="str">
        <f>LOOKUP(A280,'QALS - Inspection Lot Record'!A:A,'QALS - Inspection Lot Record'!G:G)</f>
        <v>AB406550</v>
      </c>
      <c r="G280" s="59">
        <f ca="1">LOOKUP(A280,'QALS - Inspection Lot Record'!A:A,'QALS - Inspection Lot Record'!E:E)</f>
        <v>45887</v>
      </c>
      <c r="H280" s="34" t="str">
        <f t="shared" si="25"/>
        <v>A</v>
      </c>
      <c r="I280" s="29" t="str">
        <f t="shared" si="21"/>
        <v>AB406550</v>
      </c>
      <c r="J280" s="59">
        <f t="shared" ca="1" si="22"/>
        <v>45887</v>
      </c>
      <c r="K280" s="30">
        <f ca="1">LOOKUP(A280,'QALS - Inspection Lot Record'!A:A,'QALS - Inspection Lot Record'!I:I)</f>
        <v>0.85609953703703701</v>
      </c>
      <c r="L280" s="59">
        <f t="shared" ca="1" si="23"/>
        <v>45887</v>
      </c>
      <c r="M280" s="30">
        <f t="shared" ca="1" si="24"/>
        <v>0.8748379629629629</v>
      </c>
      <c r="N280" s="31"/>
      <c r="O280" s="31">
        <v>81.7</v>
      </c>
      <c r="P280" s="29">
        <v>80</v>
      </c>
      <c r="Q280" s="29">
        <v>90</v>
      </c>
    </row>
    <row r="281" spans="1:17" x14ac:dyDescent="0.35">
      <c r="A281" s="26">
        <v>40000002535</v>
      </c>
      <c r="B281" s="31">
        <v>1</v>
      </c>
      <c r="C281" s="29" t="str">
        <f>LOOKUP(A281,'QALS - Inspection Lot Record'!$A$2:$A$361,'QALS - Inspection Lot Record'!$O$2:$O$361)</f>
        <v>Metformin Tablets (100 MG)</v>
      </c>
      <c r="D281" s="31">
        <v>80</v>
      </c>
      <c r="E281" s="29" t="s">
        <v>407</v>
      </c>
      <c r="F281" s="29" t="str">
        <f>LOOKUP(A281,'QALS - Inspection Lot Record'!A:A,'QALS - Inspection Lot Record'!G:G)</f>
        <v>AB406550</v>
      </c>
      <c r="G281" s="59">
        <f ca="1">LOOKUP(A281,'QALS - Inspection Lot Record'!A:A,'QALS - Inspection Lot Record'!E:E)</f>
        <v>45887</v>
      </c>
      <c r="H281" s="34" t="str">
        <f t="shared" si="25"/>
        <v>A</v>
      </c>
      <c r="I281" s="29" t="str">
        <f t="shared" si="21"/>
        <v>AB406550</v>
      </c>
      <c r="J281" s="59">
        <f t="shared" ca="1" si="22"/>
        <v>45887</v>
      </c>
      <c r="K281" s="30">
        <f ca="1">LOOKUP(A281,'QALS - Inspection Lot Record'!A:A,'QALS - Inspection Lot Record'!I:I)</f>
        <v>0.85609953703703701</v>
      </c>
      <c r="L281" s="59">
        <f t="shared" ca="1" si="23"/>
        <v>45887</v>
      </c>
      <c r="M281" s="30">
        <f t="shared" ca="1" si="24"/>
        <v>0.88943287037037033</v>
      </c>
      <c r="N281" s="31"/>
      <c r="O281" s="31">
        <v>24</v>
      </c>
      <c r="P281" s="29">
        <v>23</v>
      </c>
      <c r="Q281" s="29">
        <v>25</v>
      </c>
    </row>
    <row r="282" spans="1:17" x14ac:dyDescent="0.35">
      <c r="A282" s="26">
        <v>40000002536</v>
      </c>
      <c r="B282" s="27">
        <v>1</v>
      </c>
      <c r="C282" s="29" t="str">
        <f>LOOKUP(A282,'QALS - Inspection Lot Record'!$A$2:$A$361,'QALS - Inspection Lot Record'!$O$2:$O$361)</f>
        <v>Metformin Tablets (500 MG)</v>
      </c>
      <c r="D282" s="27">
        <v>10</v>
      </c>
      <c r="E282" s="26" t="s">
        <v>399</v>
      </c>
      <c r="F282" s="29" t="str">
        <f>LOOKUP(A282,'QALS - Inspection Lot Record'!A:A,'QALS - Inspection Lot Record'!G:G)</f>
        <v>TG509538</v>
      </c>
      <c r="G282" s="59">
        <f ca="1">LOOKUP(A282,'QALS - Inspection Lot Record'!A:A,'QALS - Inspection Lot Record'!E:E)</f>
        <v>45887</v>
      </c>
      <c r="H282" s="34" t="str">
        <f t="shared" si="25"/>
        <v>A</v>
      </c>
      <c r="I282" s="29" t="str">
        <f t="shared" si="21"/>
        <v>TG509538</v>
      </c>
      <c r="J282" s="59">
        <f t="shared" ca="1" si="22"/>
        <v>45887</v>
      </c>
      <c r="K282" s="30">
        <f ca="1">LOOKUP(A282,'QALS - Inspection Lot Record'!A:A,'QALS - Inspection Lot Record'!I:I)</f>
        <v>0.22001157407407407</v>
      </c>
      <c r="L282" s="59">
        <f t="shared" ca="1" si="23"/>
        <v>45887</v>
      </c>
      <c r="M282" s="30">
        <f t="shared" ca="1" si="24"/>
        <v>0.25060185185185185</v>
      </c>
      <c r="N282" s="31"/>
      <c r="O282" s="31">
        <v>100</v>
      </c>
      <c r="P282" s="29">
        <v>95</v>
      </c>
      <c r="Q282" s="29">
        <v>105</v>
      </c>
    </row>
    <row r="283" spans="1:17" x14ac:dyDescent="0.35">
      <c r="A283" s="26">
        <v>40000002536</v>
      </c>
      <c r="B283" s="27">
        <v>1</v>
      </c>
      <c r="C283" s="29" t="str">
        <f>LOOKUP(A283,'QALS - Inspection Lot Record'!$A$2:$A$361,'QALS - Inspection Lot Record'!$O$2:$O$361)</f>
        <v>Metformin Tablets (500 MG)</v>
      </c>
      <c r="D283" s="31">
        <v>20</v>
      </c>
      <c r="E283" s="29" t="s">
        <v>400</v>
      </c>
      <c r="F283" s="29" t="str">
        <f>LOOKUP(A283,'QALS - Inspection Lot Record'!A:A,'QALS - Inspection Lot Record'!G:G)</f>
        <v>TG509538</v>
      </c>
      <c r="G283" s="59">
        <f ca="1">LOOKUP(A283,'QALS - Inspection Lot Record'!A:A,'QALS - Inspection Lot Record'!E:E)</f>
        <v>45887</v>
      </c>
      <c r="H283" s="34" t="str">
        <f t="shared" si="25"/>
        <v>A</v>
      </c>
      <c r="I283" s="29" t="str">
        <f t="shared" si="21"/>
        <v>TG509538</v>
      </c>
      <c r="J283" s="59">
        <f t="shared" ca="1" si="22"/>
        <v>45887</v>
      </c>
      <c r="K283" s="30">
        <f ca="1">LOOKUP(A283,'QALS - Inspection Lot Record'!A:A,'QALS - Inspection Lot Record'!I:I)</f>
        <v>0.22001157407407407</v>
      </c>
      <c r="L283" s="59">
        <f t="shared" ca="1" si="23"/>
        <v>45887</v>
      </c>
      <c r="M283" s="30">
        <f t="shared" ca="1" si="24"/>
        <v>0.25170138888888888</v>
      </c>
      <c r="N283" s="31"/>
      <c r="O283" s="31">
        <v>7.25</v>
      </c>
      <c r="P283" s="29">
        <v>3.5</v>
      </c>
      <c r="Q283" s="29">
        <v>11</v>
      </c>
    </row>
    <row r="284" spans="1:17" x14ac:dyDescent="0.35">
      <c r="A284" s="26">
        <v>40000002536</v>
      </c>
      <c r="B284" s="31">
        <v>1</v>
      </c>
      <c r="C284" s="29" t="str">
        <f>LOOKUP(A284,'QALS - Inspection Lot Record'!$A$2:$A$361,'QALS - Inspection Lot Record'!$O$2:$O$361)</f>
        <v>Metformin Tablets (500 MG)</v>
      </c>
      <c r="D284" s="31">
        <v>30</v>
      </c>
      <c r="E284" s="29" t="s">
        <v>401</v>
      </c>
      <c r="F284" s="29" t="str">
        <f>LOOKUP(A284,'QALS - Inspection Lot Record'!A:A,'QALS - Inspection Lot Record'!G:G)</f>
        <v>TG509538</v>
      </c>
      <c r="G284" s="59">
        <f ca="1">LOOKUP(A284,'QALS - Inspection Lot Record'!A:A,'QALS - Inspection Lot Record'!E:E)</f>
        <v>45887</v>
      </c>
      <c r="H284" s="34" t="str">
        <f t="shared" si="25"/>
        <v>A</v>
      </c>
      <c r="I284" s="29" t="str">
        <f t="shared" si="21"/>
        <v>TG509538</v>
      </c>
      <c r="J284" s="59">
        <f t="shared" ca="1" si="22"/>
        <v>45887</v>
      </c>
      <c r="K284" s="30">
        <f ca="1">LOOKUP(A284,'QALS - Inspection Lot Record'!A:A,'QALS - Inspection Lot Record'!I:I)</f>
        <v>0.22001157407407407</v>
      </c>
      <c r="L284" s="59">
        <f t="shared" ca="1" si="23"/>
        <v>45887</v>
      </c>
      <c r="M284" s="30">
        <f t="shared" ca="1" si="24"/>
        <v>0.24814814814814815</v>
      </c>
      <c r="N284" s="11" t="s">
        <v>402</v>
      </c>
      <c r="O284" s="31"/>
      <c r="P284" s="29"/>
      <c r="Q284" s="29"/>
    </row>
    <row r="285" spans="1:17" x14ac:dyDescent="0.35">
      <c r="A285" s="26">
        <v>40000002536</v>
      </c>
      <c r="B285" s="31">
        <v>1</v>
      </c>
      <c r="C285" s="29" t="str">
        <f>LOOKUP(A285,'QALS - Inspection Lot Record'!$A$2:$A$361,'QALS - Inspection Lot Record'!$O$2:$O$361)</f>
        <v>Metformin Tablets (500 MG)</v>
      </c>
      <c r="D285" s="31">
        <v>40</v>
      </c>
      <c r="E285" s="29" t="s">
        <v>403</v>
      </c>
      <c r="F285" s="29" t="str">
        <f>LOOKUP(A285,'QALS - Inspection Lot Record'!A:A,'QALS - Inspection Lot Record'!G:G)</f>
        <v>TG509538</v>
      </c>
      <c r="G285" s="59">
        <f ca="1">LOOKUP(A285,'QALS - Inspection Lot Record'!A:A,'QALS - Inspection Lot Record'!E:E)</f>
        <v>45887</v>
      </c>
      <c r="H285" s="34" t="str">
        <f t="shared" si="25"/>
        <v>R</v>
      </c>
      <c r="I285" s="29" t="str">
        <f t="shared" si="21"/>
        <v>TG509538</v>
      </c>
      <c r="J285" s="59">
        <f t="shared" ca="1" si="22"/>
        <v>45887</v>
      </c>
      <c r="K285" s="30">
        <f ca="1">LOOKUP(A285,'QALS - Inspection Lot Record'!A:A,'QALS - Inspection Lot Record'!I:I)</f>
        <v>0.22001157407407407</v>
      </c>
      <c r="L285" s="59">
        <f t="shared" ca="1" si="23"/>
        <v>45887</v>
      </c>
      <c r="M285" s="30">
        <f t="shared" ca="1" si="24"/>
        <v>0.2386574074074074</v>
      </c>
      <c r="N285" s="31"/>
      <c r="O285" s="31">
        <v>2.2000000000000002</v>
      </c>
      <c r="P285" s="29">
        <v>0</v>
      </c>
      <c r="Q285" s="29">
        <v>2</v>
      </c>
    </row>
    <row r="286" spans="1:17" x14ac:dyDescent="0.35">
      <c r="A286" s="26">
        <v>40000002536</v>
      </c>
      <c r="B286" s="31">
        <v>1</v>
      </c>
      <c r="C286" s="29" t="str">
        <f>LOOKUP(A286,'QALS - Inspection Lot Record'!$A$2:$A$361,'QALS - Inspection Lot Record'!$O$2:$O$361)</f>
        <v>Metformin Tablets (500 MG)</v>
      </c>
      <c r="D286" s="31">
        <v>50</v>
      </c>
      <c r="E286" s="29" t="s">
        <v>404</v>
      </c>
      <c r="F286" s="29" t="str">
        <f>LOOKUP(A286,'QALS - Inspection Lot Record'!A:A,'QALS - Inspection Lot Record'!G:G)</f>
        <v>TG509538</v>
      </c>
      <c r="G286" s="59">
        <f ca="1">LOOKUP(A286,'QALS - Inspection Lot Record'!A:A,'QALS - Inspection Lot Record'!E:E)</f>
        <v>45887</v>
      </c>
      <c r="H286" s="34" t="str">
        <f t="shared" si="25"/>
        <v>A</v>
      </c>
      <c r="I286" s="29" t="str">
        <f t="shared" si="21"/>
        <v>TG509538</v>
      </c>
      <c r="J286" s="59">
        <f t="shared" ca="1" si="22"/>
        <v>45887</v>
      </c>
      <c r="K286" s="30">
        <f ca="1">LOOKUP(A286,'QALS - Inspection Lot Record'!A:A,'QALS - Inspection Lot Record'!I:I)</f>
        <v>0.22001157407407407</v>
      </c>
      <c r="L286" s="59">
        <f t="shared" ca="1" si="23"/>
        <v>45887</v>
      </c>
      <c r="M286" s="30">
        <f t="shared" ca="1" si="24"/>
        <v>0.24770833333333334</v>
      </c>
      <c r="N286" s="31"/>
      <c r="O286" s="31">
        <v>41.3</v>
      </c>
      <c r="P286" s="29">
        <v>40</v>
      </c>
      <c r="Q286" s="29">
        <v>60</v>
      </c>
    </row>
    <row r="287" spans="1:17" x14ac:dyDescent="0.35">
      <c r="A287" s="26">
        <v>40000002536</v>
      </c>
      <c r="B287" s="31">
        <v>1</v>
      </c>
      <c r="C287" s="29" t="str">
        <f>LOOKUP(A287,'QALS - Inspection Lot Record'!$A$2:$A$361,'QALS - Inspection Lot Record'!$O$2:$O$361)</f>
        <v>Metformin Tablets (500 MG)</v>
      </c>
      <c r="D287" s="31">
        <v>60</v>
      </c>
      <c r="E287" s="29" t="s">
        <v>405</v>
      </c>
      <c r="F287" s="29" t="str">
        <f>LOOKUP(A287,'QALS - Inspection Lot Record'!A:A,'QALS - Inspection Lot Record'!G:G)</f>
        <v>TG509538</v>
      </c>
      <c r="G287" s="59">
        <f ca="1">LOOKUP(A287,'QALS - Inspection Lot Record'!A:A,'QALS - Inspection Lot Record'!E:E)</f>
        <v>45887</v>
      </c>
      <c r="H287" s="34" t="str">
        <f t="shared" si="25"/>
        <v>A</v>
      </c>
      <c r="I287" s="29" t="str">
        <f t="shared" si="21"/>
        <v>TG509538</v>
      </c>
      <c r="J287" s="59">
        <f t="shared" ca="1" si="22"/>
        <v>45887</v>
      </c>
      <c r="K287" s="30">
        <f ca="1">LOOKUP(A287,'QALS - Inspection Lot Record'!A:A,'QALS - Inspection Lot Record'!I:I)</f>
        <v>0.22001157407407407</v>
      </c>
      <c r="L287" s="59">
        <f t="shared" ca="1" si="23"/>
        <v>45887</v>
      </c>
      <c r="M287" s="30">
        <f t="shared" ca="1" si="24"/>
        <v>0.25146990740740738</v>
      </c>
      <c r="N287" s="31"/>
      <c r="O287" s="31">
        <v>71.599999999999994</v>
      </c>
      <c r="P287" s="29">
        <v>70</v>
      </c>
      <c r="Q287" s="29">
        <v>85</v>
      </c>
    </row>
    <row r="288" spans="1:17" x14ac:dyDescent="0.35">
      <c r="A288" s="26">
        <v>40000002536</v>
      </c>
      <c r="B288" s="31">
        <v>1</v>
      </c>
      <c r="C288" s="29" t="str">
        <f>LOOKUP(A288,'QALS - Inspection Lot Record'!$A$2:$A$361,'QALS - Inspection Lot Record'!$O$2:$O$361)</f>
        <v>Metformin Tablets (500 MG)</v>
      </c>
      <c r="D288" s="31">
        <v>70</v>
      </c>
      <c r="E288" s="29" t="s">
        <v>406</v>
      </c>
      <c r="F288" s="29" t="str">
        <f>LOOKUP(A288,'QALS - Inspection Lot Record'!A:A,'QALS - Inspection Lot Record'!G:G)</f>
        <v>TG509538</v>
      </c>
      <c r="G288" s="59">
        <f ca="1">LOOKUP(A288,'QALS - Inspection Lot Record'!A:A,'QALS - Inspection Lot Record'!E:E)</f>
        <v>45887</v>
      </c>
      <c r="H288" s="34" t="str">
        <f t="shared" si="25"/>
        <v>A</v>
      </c>
      <c r="I288" s="29" t="str">
        <f t="shared" si="21"/>
        <v>TG509538</v>
      </c>
      <c r="J288" s="59">
        <f t="shared" ca="1" si="22"/>
        <v>45887</v>
      </c>
      <c r="K288" s="30">
        <f ca="1">LOOKUP(A288,'QALS - Inspection Lot Record'!A:A,'QALS - Inspection Lot Record'!I:I)</f>
        <v>0.22001157407407407</v>
      </c>
      <c r="L288" s="59">
        <f t="shared" ca="1" si="23"/>
        <v>45887</v>
      </c>
      <c r="M288" s="30">
        <f t="shared" ca="1" si="24"/>
        <v>0.25243055555555555</v>
      </c>
      <c r="N288" s="31"/>
      <c r="O288" s="31">
        <v>82</v>
      </c>
      <c r="P288" s="29">
        <v>80</v>
      </c>
      <c r="Q288" s="29">
        <v>90</v>
      </c>
    </row>
    <row r="289" spans="1:17" x14ac:dyDescent="0.35">
      <c r="A289" s="26">
        <v>40000002536</v>
      </c>
      <c r="B289" s="31">
        <v>1</v>
      </c>
      <c r="C289" s="29" t="str">
        <f>LOOKUP(A289,'QALS - Inspection Lot Record'!$A$2:$A$361,'QALS - Inspection Lot Record'!$O$2:$O$361)</f>
        <v>Metformin Tablets (500 MG)</v>
      </c>
      <c r="D289" s="31">
        <v>80</v>
      </c>
      <c r="E289" s="29" t="s">
        <v>407</v>
      </c>
      <c r="F289" s="29" t="str">
        <f>LOOKUP(A289,'QALS - Inspection Lot Record'!A:A,'QALS - Inspection Lot Record'!G:G)</f>
        <v>TG509538</v>
      </c>
      <c r="G289" s="59">
        <f ca="1">LOOKUP(A289,'QALS - Inspection Lot Record'!A:A,'QALS - Inspection Lot Record'!E:E)</f>
        <v>45887</v>
      </c>
      <c r="H289" s="34" t="str">
        <f t="shared" si="25"/>
        <v>A</v>
      </c>
      <c r="I289" s="29" t="str">
        <f t="shared" si="21"/>
        <v>TG509538</v>
      </c>
      <c r="J289" s="59">
        <f t="shared" ca="1" si="22"/>
        <v>45887</v>
      </c>
      <c r="K289" s="30">
        <f ca="1">LOOKUP(A289,'QALS - Inspection Lot Record'!A:A,'QALS - Inspection Lot Record'!I:I)</f>
        <v>0.22001157407407407</v>
      </c>
      <c r="L289" s="59">
        <f t="shared" ca="1" si="23"/>
        <v>45887</v>
      </c>
      <c r="M289" s="30">
        <f t="shared" ca="1" si="24"/>
        <v>0.25042824074074072</v>
      </c>
      <c r="N289" s="31"/>
      <c r="O289" s="31">
        <v>25.5</v>
      </c>
      <c r="P289" s="29">
        <v>23</v>
      </c>
      <c r="Q289" s="29">
        <v>28</v>
      </c>
    </row>
    <row r="290" spans="1:17" x14ac:dyDescent="0.35">
      <c r="A290" s="26">
        <v>40000002537</v>
      </c>
      <c r="B290" s="27">
        <v>1</v>
      </c>
      <c r="C290" s="29" t="str">
        <f>LOOKUP(A290,'QALS - Inspection Lot Record'!$A$2:$A$361,'QALS - Inspection Lot Record'!$O$2:$O$361)</f>
        <v>Ibuprofen Tablets (100 MG)</v>
      </c>
      <c r="D290" s="27">
        <v>10</v>
      </c>
      <c r="E290" s="26" t="s">
        <v>399</v>
      </c>
      <c r="F290" s="29" t="str">
        <f>LOOKUP(A290,'QALS - Inspection Lot Record'!A:A,'QALS - Inspection Lot Record'!G:G)</f>
        <v>TP397880</v>
      </c>
      <c r="G290" s="59">
        <f ca="1">LOOKUP(A290,'QALS - Inspection Lot Record'!A:A,'QALS - Inspection Lot Record'!E:E)</f>
        <v>45888</v>
      </c>
      <c r="H290" s="34" t="str">
        <f t="shared" si="25"/>
        <v>A</v>
      </c>
      <c r="I290" s="29" t="str">
        <f t="shared" si="21"/>
        <v>TP397880</v>
      </c>
      <c r="J290" s="59">
        <f t="shared" ca="1" si="22"/>
        <v>45888</v>
      </c>
      <c r="K290" s="30">
        <f ca="1">LOOKUP(A290,'QALS - Inspection Lot Record'!A:A,'QALS - Inspection Lot Record'!I:I)</f>
        <v>0.74059027777777775</v>
      </c>
      <c r="L290" s="59">
        <f t="shared" ca="1" si="23"/>
        <v>45888</v>
      </c>
      <c r="M290" s="30">
        <f t="shared" ca="1" si="24"/>
        <v>0.76040509259259259</v>
      </c>
      <c r="N290" s="31"/>
      <c r="O290" s="31">
        <v>98.5</v>
      </c>
      <c r="P290" s="29">
        <v>95</v>
      </c>
      <c r="Q290" s="29">
        <v>102</v>
      </c>
    </row>
    <row r="291" spans="1:17" x14ac:dyDescent="0.35">
      <c r="A291" s="26">
        <v>40000002537</v>
      </c>
      <c r="B291" s="27">
        <v>1</v>
      </c>
      <c r="C291" s="29" t="str">
        <f>LOOKUP(A291,'QALS - Inspection Lot Record'!$A$2:$A$361,'QALS - Inspection Lot Record'!$O$2:$O$361)</f>
        <v>Ibuprofen Tablets (100 MG)</v>
      </c>
      <c r="D291" s="31">
        <v>20</v>
      </c>
      <c r="E291" s="29" t="s">
        <v>400</v>
      </c>
      <c r="F291" s="29" t="str">
        <f>LOOKUP(A291,'QALS - Inspection Lot Record'!A:A,'QALS - Inspection Lot Record'!G:G)</f>
        <v>TP397880</v>
      </c>
      <c r="G291" s="59">
        <f ca="1">LOOKUP(A291,'QALS - Inspection Lot Record'!A:A,'QALS - Inspection Lot Record'!E:E)</f>
        <v>45888</v>
      </c>
      <c r="H291" s="34" t="str">
        <f t="shared" si="25"/>
        <v>R</v>
      </c>
      <c r="I291" s="29" t="str">
        <f t="shared" si="21"/>
        <v>TP397880</v>
      </c>
      <c r="J291" s="59">
        <f t="shared" ca="1" si="22"/>
        <v>45888</v>
      </c>
      <c r="K291" s="30">
        <f ca="1">LOOKUP(A291,'QALS - Inspection Lot Record'!A:A,'QALS - Inspection Lot Record'!I:I)</f>
        <v>0.74059027777777775</v>
      </c>
      <c r="L291" s="59">
        <f t="shared" ca="1" si="23"/>
        <v>45888</v>
      </c>
      <c r="M291" s="30">
        <f t="shared" ca="1" si="24"/>
        <v>0.76101851851851854</v>
      </c>
      <c r="N291" s="31"/>
      <c r="O291" s="31">
        <v>2.2000000000000002</v>
      </c>
      <c r="P291" s="29">
        <v>3.5</v>
      </c>
      <c r="Q291" s="29">
        <v>11</v>
      </c>
    </row>
    <row r="292" spans="1:17" x14ac:dyDescent="0.35">
      <c r="A292" s="26">
        <v>40000002537</v>
      </c>
      <c r="B292" s="31">
        <v>1</v>
      </c>
      <c r="C292" s="29" t="str">
        <f>LOOKUP(A292,'QALS - Inspection Lot Record'!$A$2:$A$361,'QALS - Inspection Lot Record'!$O$2:$O$361)</f>
        <v>Ibuprofen Tablets (100 MG)</v>
      </c>
      <c r="D292" s="31">
        <v>30</v>
      </c>
      <c r="E292" s="29" t="s">
        <v>401</v>
      </c>
      <c r="F292" s="29" t="str">
        <f>LOOKUP(A292,'QALS - Inspection Lot Record'!A:A,'QALS - Inspection Lot Record'!G:G)</f>
        <v>TP397880</v>
      </c>
      <c r="G292" s="59">
        <f ca="1">LOOKUP(A292,'QALS - Inspection Lot Record'!A:A,'QALS - Inspection Lot Record'!E:E)</f>
        <v>45888</v>
      </c>
      <c r="H292" s="34" t="str">
        <f t="shared" si="25"/>
        <v>A</v>
      </c>
      <c r="I292" s="29" t="str">
        <f t="shared" si="21"/>
        <v>TP397880</v>
      </c>
      <c r="J292" s="59">
        <f t="shared" ca="1" si="22"/>
        <v>45888</v>
      </c>
      <c r="K292" s="30">
        <f ca="1">LOOKUP(A292,'QALS - Inspection Lot Record'!A:A,'QALS - Inspection Lot Record'!I:I)</f>
        <v>0.74059027777777775</v>
      </c>
      <c r="L292" s="59">
        <f t="shared" ca="1" si="23"/>
        <v>45888</v>
      </c>
      <c r="M292" s="30">
        <f t="shared" ca="1" si="24"/>
        <v>0.76446759259259256</v>
      </c>
      <c r="N292" s="11" t="s">
        <v>402</v>
      </c>
      <c r="O292" s="31"/>
      <c r="P292" s="29"/>
      <c r="Q292" s="29"/>
    </row>
    <row r="293" spans="1:17" x14ac:dyDescent="0.35">
      <c r="A293" s="26">
        <v>40000002537</v>
      </c>
      <c r="B293" s="31">
        <v>1</v>
      </c>
      <c r="C293" s="29" t="str">
        <f>LOOKUP(A293,'QALS - Inspection Lot Record'!$A$2:$A$361,'QALS - Inspection Lot Record'!$O$2:$O$361)</f>
        <v>Ibuprofen Tablets (100 MG)</v>
      </c>
      <c r="D293" s="31">
        <v>40</v>
      </c>
      <c r="E293" s="29" t="s">
        <v>403</v>
      </c>
      <c r="F293" s="29" t="str">
        <f>LOOKUP(A293,'QALS - Inspection Lot Record'!A:A,'QALS - Inspection Lot Record'!G:G)</f>
        <v>TP397880</v>
      </c>
      <c r="G293" s="59">
        <f ca="1">LOOKUP(A293,'QALS - Inspection Lot Record'!A:A,'QALS - Inspection Lot Record'!E:E)</f>
        <v>45888</v>
      </c>
      <c r="H293" s="34" t="str">
        <f t="shared" si="25"/>
        <v>A</v>
      </c>
      <c r="I293" s="29" t="str">
        <f t="shared" si="21"/>
        <v>TP397880</v>
      </c>
      <c r="J293" s="59">
        <f t="shared" ca="1" si="22"/>
        <v>45888</v>
      </c>
      <c r="K293" s="30">
        <f ca="1">LOOKUP(A293,'QALS - Inspection Lot Record'!A:A,'QALS - Inspection Lot Record'!I:I)</f>
        <v>0.74059027777777775</v>
      </c>
      <c r="L293" s="59">
        <f t="shared" ca="1" si="23"/>
        <v>45888</v>
      </c>
      <c r="M293" s="30">
        <f t="shared" ca="1" si="24"/>
        <v>0.77278935185185182</v>
      </c>
      <c r="N293" s="31"/>
      <c r="O293" s="31">
        <v>0</v>
      </c>
      <c r="P293" s="29">
        <v>0</v>
      </c>
      <c r="Q293" s="29">
        <v>1</v>
      </c>
    </row>
    <row r="294" spans="1:17" x14ac:dyDescent="0.35">
      <c r="A294" s="26">
        <v>40000002537</v>
      </c>
      <c r="B294" s="31">
        <v>1</v>
      </c>
      <c r="C294" s="29" t="str">
        <f>LOOKUP(A294,'QALS - Inspection Lot Record'!$A$2:$A$361,'QALS - Inspection Lot Record'!$O$2:$O$361)</f>
        <v>Ibuprofen Tablets (100 MG)</v>
      </c>
      <c r="D294" s="31">
        <v>50</v>
      </c>
      <c r="E294" s="29" t="s">
        <v>404</v>
      </c>
      <c r="F294" s="29" t="str">
        <f>LOOKUP(A294,'QALS - Inspection Lot Record'!A:A,'QALS - Inspection Lot Record'!G:G)</f>
        <v>TP397880</v>
      </c>
      <c r="G294" s="59">
        <f ca="1">LOOKUP(A294,'QALS - Inspection Lot Record'!A:A,'QALS - Inspection Lot Record'!E:E)</f>
        <v>45888</v>
      </c>
      <c r="H294" s="34" t="str">
        <f t="shared" si="25"/>
        <v>A</v>
      </c>
      <c r="I294" s="29" t="str">
        <f t="shared" si="21"/>
        <v>TP397880</v>
      </c>
      <c r="J294" s="59">
        <f t="shared" ca="1" si="22"/>
        <v>45888</v>
      </c>
      <c r="K294" s="30">
        <f ca="1">LOOKUP(A294,'QALS - Inspection Lot Record'!A:A,'QALS - Inspection Lot Record'!I:I)</f>
        <v>0.74059027777777775</v>
      </c>
      <c r="L294" s="59">
        <f t="shared" ca="1" si="23"/>
        <v>45888</v>
      </c>
      <c r="M294" s="30">
        <f t="shared" ca="1" si="24"/>
        <v>0.75859953703703698</v>
      </c>
      <c r="N294" s="31"/>
      <c r="O294" s="31">
        <v>50</v>
      </c>
      <c r="P294" s="29">
        <v>40</v>
      </c>
      <c r="Q294" s="29">
        <v>60</v>
      </c>
    </row>
    <row r="295" spans="1:17" x14ac:dyDescent="0.35">
      <c r="A295" s="26">
        <v>40000002537</v>
      </c>
      <c r="B295" s="31">
        <v>1</v>
      </c>
      <c r="C295" s="29" t="str">
        <f>LOOKUP(A295,'QALS - Inspection Lot Record'!$A$2:$A$361,'QALS - Inspection Lot Record'!$O$2:$O$361)</f>
        <v>Ibuprofen Tablets (100 MG)</v>
      </c>
      <c r="D295" s="31">
        <v>60</v>
      </c>
      <c r="E295" s="29" t="s">
        <v>405</v>
      </c>
      <c r="F295" s="29" t="str">
        <f>LOOKUP(A295,'QALS - Inspection Lot Record'!A:A,'QALS - Inspection Lot Record'!G:G)</f>
        <v>TP397880</v>
      </c>
      <c r="G295" s="59">
        <f ca="1">LOOKUP(A295,'QALS - Inspection Lot Record'!A:A,'QALS - Inspection Lot Record'!E:E)</f>
        <v>45888</v>
      </c>
      <c r="H295" s="34" t="str">
        <f t="shared" si="25"/>
        <v>A</v>
      </c>
      <c r="I295" s="29" t="str">
        <f t="shared" si="21"/>
        <v>TP397880</v>
      </c>
      <c r="J295" s="59">
        <f t="shared" ca="1" si="22"/>
        <v>45888</v>
      </c>
      <c r="K295" s="30">
        <f ca="1">LOOKUP(A295,'QALS - Inspection Lot Record'!A:A,'QALS - Inspection Lot Record'!I:I)</f>
        <v>0.74059027777777775</v>
      </c>
      <c r="L295" s="59">
        <f t="shared" ca="1" si="23"/>
        <v>45888</v>
      </c>
      <c r="M295" s="30">
        <f t="shared" ca="1" si="24"/>
        <v>0.76542824074074067</v>
      </c>
      <c r="N295" s="31"/>
      <c r="O295" s="31">
        <v>73</v>
      </c>
      <c r="P295" s="29">
        <v>70</v>
      </c>
      <c r="Q295" s="29">
        <v>85</v>
      </c>
    </row>
    <row r="296" spans="1:17" x14ac:dyDescent="0.35">
      <c r="A296" s="26">
        <v>40000002537</v>
      </c>
      <c r="B296" s="31">
        <v>1</v>
      </c>
      <c r="C296" s="29" t="str">
        <f>LOOKUP(A296,'QALS - Inspection Lot Record'!$A$2:$A$361,'QALS - Inspection Lot Record'!$O$2:$O$361)</f>
        <v>Ibuprofen Tablets (100 MG)</v>
      </c>
      <c r="D296" s="31">
        <v>70</v>
      </c>
      <c r="E296" s="29" t="s">
        <v>406</v>
      </c>
      <c r="F296" s="29" t="str">
        <f>LOOKUP(A296,'QALS - Inspection Lot Record'!A:A,'QALS - Inspection Lot Record'!G:G)</f>
        <v>TP397880</v>
      </c>
      <c r="G296" s="59">
        <f ca="1">LOOKUP(A296,'QALS - Inspection Lot Record'!A:A,'QALS - Inspection Lot Record'!E:E)</f>
        <v>45888</v>
      </c>
      <c r="H296" s="34" t="str">
        <f t="shared" si="25"/>
        <v>R</v>
      </c>
      <c r="I296" s="29" t="str">
        <f t="shared" si="21"/>
        <v>TP397880</v>
      </c>
      <c r="J296" s="59">
        <f t="shared" ca="1" si="22"/>
        <v>45888</v>
      </c>
      <c r="K296" s="30">
        <f ca="1">LOOKUP(A296,'QALS - Inspection Lot Record'!A:A,'QALS - Inspection Lot Record'!I:I)</f>
        <v>0.74059027777777775</v>
      </c>
      <c r="L296" s="59">
        <f t="shared" ca="1" si="23"/>
        <v>45888</v>
      </c>
      <c r="M296" s="30">
        <f t="shared" ca="1" si="24"/>
        <v>0.77379629629629632</v>
      </c>
      <c r="N296" s="31"/>
      <c r="O296" s="31">
        <v>78.5</v>
      </c>
      <c r="P296" s="29">
        <v>80</v>
      </c>
      <c r="Q296" s="29">
        <v>90</v>
      </c>
    </row>
    <row r="297" spans="1:17" x14ac:dyDescent="0.35">
      <c r="A297" s="26">
        <v>40000002537</v>
      </c>
      <c r="B297" s="31">
        <v>1</v>
      </c>
      <c r="C297" s="29" t="str">
        <f>LOOKUP(A297,'QALS - Inspection Lot Record'!$A$2:$A$361,'QALS - Inspection Lot Record'!$O$2:$O$361)</f>
        <v>Ibuprofen Tablets (100 MG)</v>
      </c>
      <c r="D297" s="31">
        <v>80</v>
      </c>
      <c r="E297" s="29" t="s">
        <v>407</v>
      </c>
      <c r="F297" s="29" t="str">
        <f>LOOKUP(A297,'QALS - Inspection Lot Record'!A:A,'QALS - Inspection Lot Record'!G:G)</f>
        <v>TP397880</v>
      </c>
      <c r="G297" s="59">
        <f ca="1">LOOKUP(A297,'QALS - Inspection Lot Record'!A:A,'QALS - Inspection Lot Record'!E:E)</f>
        <v>45888</v>
      </c>
      <c r="H297" s="34" t="str">
        <f t="shared" si="25"/>
        <v>R</v>
      </c>
      <c r="I297" s="29" t="str">
        <f t="shared" si="21"/>
        <v>TP397880</v>
      </c>
      <c r="J297" s="59">
        <f t="shared" ca="1" si="22"/>
        <v>45888</v>
      </c>
      <c r="K297" s="30">
        <f ca="1">LOOKUP(A297,'QALS - Inspection Lot Record'!A:A,'QALS - Inspection Lot Record'!I:I)</f>
        <v>0.74059027777777775</v>
      </c>
      <c r="L297" s="59">
        <f t="shared" ca="1" si="23"/>
        <v>45888</v>
      </c>
      <c r="M297" s="30">
        <f t="shared" ca="1" si="24"/>
        <v>0.76219907407407406</v>
      </c>
      <c r="N297" s="31"/>
      <c r="O297" s="31">
        <v>21.9</v>
      </c>
      <c r="P297" s="29">
        <v>23</v>
      </c>
      <c r="Q297" s="29">
        <v>25</v>
      </c>
    </row>
    <row r="298" spans="1:17" x14ac:dyDescent="0.35">
      <c r="A298" s="26">
        <v>40000002538</v>
      </c>
      <c r="B298" s="27">
        <v>1</v>
      </c>
      <c r="C298" s="29" t="str">
        <f>LOOKUP(A298,'QALS - Inspection Lot Record'!$A$2:$A$361,'QALS - Inspection Lot Record'!$O$2:$O$361)</f>
        <v>Aspirin Tablets (500 MG)</v>
      </c>
      <c r="D298" s="27">
        <v>10</v>
      </c>
      <c r="E298" s="26" t="s">
        <v>399</v>
      </c>
      <c r="F298" s="29" t="str">
        <f>LOOKUP(A298,'QALS - Inspection Lot Record'!A:A,'QALS - Inspection Lot Record'!G:G)</f>
        <v>GC197258</v>
      </c>
      <c r="G298" s="59">
        <f ca="1">LOOKUP(A298,'QALS - Inspection Lot Record'!A:A,'QALS - Inspection Lot Record'!E:E)</f>
        <v>45888</v>
      </c>
      <c r="H298" s="34" t="str">
        <f t="shared" si="25"/>
        <v>A</v>
      </c>
      <c r="I298" s="29" t="str">
        <f t="shared" si="21"/>
        <v>GC197258</v>
      </c>
      <c r="J298" s="59">
        <f t="shared" ca="1" si="22"/>
        <v>45888</v>
      </c>
      <c r="K298" s="30">
        <f ca="1">LOOKUP(A298,'QALS - Inspection Lot Record'!A:A,'QALS - Inspection Lot Record'!I:I)</f>
        <v>3.6307870370370372E-2</v>
      </c>
      <c r="L298" s="59">
        <f t="shared" ca="1" si="23"/>
        <v>45888</v>
      </c>
      <c r="M298" s="30">
        <f t="shared" ca="1" si="24"/>
        <v>6.8715277777777778E-2</v>
      </c>
      <c r="N298" s="31"/>
      <c r="O298" s="31">
        <v>100</v>
      </c>
      <c r="P298" s="29">
        <v>95</v>
      </c>
      <c r="Q298" s="29">
        <v>105</v>
      </c>
    </row>
    <row r="299" spans="1:17" x14ac:dyDescent="0.35">
      <c r="A299" s="26">
        <v>40000002538</v>
      </c>
      <c r="B299" s="27">
        <v>1</v>
      </c>
      <c r="C299" s="29" t="str">
        <f>LOOKUP(A299,'QALS - Inspection Lot Record'!$A$2:$A$361,'QALS - Inspection Lot Record'!$O$2:$O$361)</f>
        <v>Aspirin Tablets (500 MG)</v>
      </c>
      <c r="D299" s="31">
        <v>20</v>
      </c>
      <c r="E299" s="29" t="s">
        <v>400</v>
      </c>
      <c r="F299" s="29" t="str">
        <f>LOOKUP(A299,'QALS - Inspection Lot Record'!A:A,'QALS - Inspection Lot Record'!G:G)</f>
        <v>GC197258</v>
      </c>
      <c r="G299" s="59">
        <f ca="1">LOOKUP(A299,'QALS - Inspection Lot Record'!A:A,'QALS - Inspection Lot Record'!E:E)</f>
        <v>45888</v>
      </c>
      <c r="H299" s="34" t="str">
        <f t="shared" si="25"/>
        <v>A</v>
      </c>
      <c r="I299" s="29" t="str">
        <f t="shared" si="21"/>
        <v>GC197258</v>
      </c>
      <c r="J299" s="59">
        <f t="shared" ca="1" si="22"/>
        <v>45888</v>
      </c>
      <c r="K299" s="30">
        <f ca="1">LOOKUP(A299,'QALS - Inspection Lot Record'!A:A,'QALS - Inspection Lot Record'!I:I)</f>
        <v>3.6307870370370372E-2</v>
      </c>
      <c r="L299" s="59">
        <f t="shared" ca="1" si="23"/>
        <v>45888</v>
      </c>
      <c r="M299" s="30">
        <f t="shared" ca="1" si="24"/>
        <v>6.4525462962962965E-2</v>
      </c>
      <c r="N299" s="31"/>
      <c r="O299" s="31">
        <v>7.25</v>
      </c>
      <c r="P299" s="29">
        <v>3.5</v>
      </c>
      <c r="Q299" s="29">
        <v>11</v>
      </c>
    </row>
    <row r="300" spans="1:17" x14ac:dyDescent="0.35">
      <c r="A300" s="26">
        <v>40000002538</v>
      </c>
      <c r="B300" s="31">
        <v>1</v>
      </c>
      <c r="C300" s="29" t="str">
        <f>LOOKUP(A300,'QALS - Inspection Lot Record'!$A$2:$A$361,'QALS - Inspection Lot Record'!$O$2:$O$361)</f>
        <v>Aspirin Tablets (500 MG)</v>
      </c>
      <c r="D300" s="31">
        <v>30</v>
      </c>
      <c r="E300" s="29" t="s">
        <v>401</v>
      </c>
      <c r="F300" s="29" t="str">
        <f>LOOKUP(A300,'QALS - Inspection Lot Record'!A:A,'QALS - Inspection Lot Record'!G:G)</f>
        <v>GC197258</v>
      </c>
      <c r="G300" s="59">
        <f ca="1">LOOKUP(A300,'QALS - Inspection Lot Record'!A:A,'QALS - Inspection Lot Record'!E:E)</f>
        <v>45888</v>
      </c>
      <c r="H300" s="34" t="str">
        <f t="shared" si="25"/>
        <v>A</v>
      </c>
      <c r="I300" s="29" t="str">
        <f t="shared" si="21"/>
        <v>GC197258</v>
      </c>
      <c r="J300" s="59">
        <f t="shared" ca="1" si="22"/>
        <v>45888</v>
      </c>
      <c r="K300" s="30">
        <f ca="1">LOOKUP(A300,'QALS - Inspection Lot Record'!A:A,'QALS - Inspection Lot Record'!I:I)</f>
        <v>3.6307870370370372E-2</v>
      </c>
      <c r="L300" s="59">
        <f t="shared" ca="1" si="23"/>
        <v>45888</v>
      </c>
      <c r="M300" s="30">
        <f t="shared" ca="1" si="24"/>
        <v>6.9293981481481484E-2</v>
      </c>
      <c r="N300" s="11" t="s">
        <v>402</v>
      </c>
      <c r="O300" s="31"/>
      <c r="P300" s="29"/>
      <c r="Q300" s="29"/>
    </row>
    <row r="301" spans="1:17" x14ac:dyDescent="0.35">
      <c r="A301" s="26">
        <v>40000002538</v>
      </c>
      <c r="B301" s="31">
        <v>1</v>
      </c>
      <c r="C301" s="29" t="str">
        <f>LOOKUP(A301,'QALS - Inspection Lot Record'!$A$2:$A$361,'QALS - Inspection Lot Record'!$O$2:$O$361)</f>
        <v>Aspirin Tablets (500 MG)</v>
      </c>
      <c r="D301" s="31">
        <v>40</v>
      </c>
      <c r="E301" s="29" t="s">
        <v>403</v>
      </c>
      <c r="F301" s="29" t="str">
        <f>LOOKUP(A301,'QALS - Inspection Lot Record'!A:A,'QALS - Inspection Lot Record'!G:G)</f>
        <v>GC197258</v>
      </c>
      <c r="G301" s="59">
        <f ca="1">LOOKUP(A301,'QALS - Inspection Lot Record'!A:A,'QALS - Inspection Lot Record'!E:E)</f>
        <v>45888</v>
      </c>
      <c r="H301" s="34" t="str">
        <f t="shared" si="25"/>
        <v>A</v>
      </c>
      <c r="I301" s="29" t="str">
        <f t="shared" si="21"/>
        <v>GC197258</v>
      </c>
      <c r="J301" s="59">
        <f t="shared" ca="1" si="22"/>
        <v>45888</v>
      </c>
      <c r="K301" s="30">
        <f ca="1">LOOKUP(A301,'QALS - Inspection Lot Record'!A:A,'QALS - Inspection Lot Record'!I:I)</f>
        <v>3.6307870370370372E-2</v>
      </c>
      <c r="L301" s="59">
        <f t="shared" ca="1" si="23"/>
        <v>45888</v>
      </c>
      <c r="M301" s="30">
        <f t="shared" ca="1" si="24"/>
        <v>5.482638888888889E-2</v>
      </c>
      <c r="N301" s="31"/>
      <c r="O301" s="31">
        <v>0</v>
      </c>
      <c r="P301" s="29">
        <v>0</v>
      </c>
      <c r="Q301" s="29">
        <v>2.5</v>
      </c>
    </row>
    <row r="302" spans="1:17" x14ac:dyDescent="0.35">
      <c r="A302" s="26">
        <v>40000002538</v>
      </c>
      <c r="B302" s="31">
        <v>1</v>
      </c>
      <c r="C302" s="29" t="str">
        <f>LOOKUP(A302,'QALS - Inspection Lot Record'!$A$2:$A$361,'QALS - Inspection Lot Record'!$O$2:$O$361)</f>
        <v>Aspirin Tablets (500 MG)</v>
      </c>
      <c r="D302" s="31">
        <v>50</v>
      </c>
      <c r="E302" s="29" t="s">
        <v>404</v>
      </c>
      <c r="F302" s="29" t="str">
        <f>LOOKUP(A302,'QALS - Inspection Lot Record'!A:A,'QALS - Inspection Lot Record'!G:G)</f>
        <v>GC197258</v>
      </c>
      <c r="G302" s="59">
        <f ca="1">LOOKUP(A302,'QALS - Inspection Lot Record'!A:A,'QALS - Inspection Lot Record'!E:E)</f>
        <v>45888</v>
      </c>
      <c r="H302" s="34" t="str">
        <f t="shared" si="25"/>
        <v>A</v>
      </c>
      <c r="I302" s="29" t="str">
        <f t="shared" si="21"/>
        <v>GC197258</v>
      </c>
      <c r="J302" s="59">
        <f t="shared" ca="1" si="22"/>
        <v>45888</v>
      </c>
      <c r="K302" s="30">
        <f ca="1">LOOKUP(A302,'QALS - Inspection Lot Record'!A:A,'QALS - Inspection Lot Record'!I:I)</f>
        <v>3.6307870370370372E-2</v>
      </c>
      <c r="L302" s="59">
        <f t="shared" ca="1" si="23"/>
        <v>45888</v>
      </c>
      <c r="M302" s="30">
        <f t="shared" ca="1" si="24"/>
        <v>6.4444444444444443E-2</v>
      </c>
      <c r="N302" s="31"/>
      <c r="O302" s="31">
        <v>50</v>
      </c>
      <c r="P302" s="29">
        <v>40</v>
      </c>
      <c r="Q302" s="29">
        <v>60</v>
      </c>
    </row>
    <row r="303" spans="1:17" x14ac:dyDescent="0.35">
      <c r="A303" s="26">
        <v>40000002538</v>
      </c>
      <c r="B303" s="31">
        <v>1</v>
      </c>
      <c r="C303" s="29" t="str">
        <f>LOOKUP(A303,'QALS - Inspection Lot Record'!$A$2:$A$361,'QALS - Inspection Lot Record'!$O$2:$O$361)</f>
        <v>Aspirin Tablets (500 MG)</v>
      </c>
      <c r="D303" s="31">
        <v>60</v>
      </c>
      <c r="E303" s="29" t="s">
        <v>405</v>
      </c>
      <c r="F303" s="29" t="str">
        <f>LOOKUP(A303,'QALS - Inspection Lot Record'!A:A,'QALS - Inspection Lot Record'!G:G)</f>
        <v>GC197258</v>
      </c>
      <c r="G303" s="59">
        <f ca="1">LOOKUP(A303,'QALS - Inspection Lot Record'!A:A,'QALS - Inspection Lot Record'!E:E)</f>
        <v>45888</v>
      </c>
      <c r="H303" s="34" t="str">
        <f t="shared" si="25"/>
        <v>A</v>
      </c>
      <c r="I303" s="29" t="str">
        <f t="shared" si="21"/>
        <v>GC197258</v>
      </c>
      <c r="J303" s="59">
        <f t="shared" ca="1" si="22"/>
        <v>45888</v>
      </c>
      <c r="K303" s="30">
        <f ca="1">LOOKUP(A303,'QALS - Inspection Lot Record'!A:A,'QALS - Inspection Lot Record'!I:I)</f>
        <v>3.6307870370370372E-2</v>
      </c>
      <c r="L303" s="59">
        <f t="shared" ca="1" si="23"/>
        <v>45888</v>
      </c>
      <c r="M303" s="30">
        <f t="shared" ca="1" si="24"/>
        <v>6.2650462962962963E-2</v>
      </c>
      <c r="N303" s="31"/>
      <c r="O303" s="31">
        <v>77.5</v>
      </c>
      <c r="P303" s="29">
        <v>70</v>
      </c>
      <c r="Q303" s="29">
        <v>85</v>
      </c>
    </row>
    <row r="304" spans="1:17" x14ac:dyDescent="0.35">
      <c r="A304" s="26">
        <v>40000002538</v>
      </c>
      <c r="B304" s="31">
        <v>1</v>
      </c>
      <c r="C304" s="29" t="str">
        <f>LOOKUP(A304,'QALS - Inspection Lot Record'!$A$2:$A$361,'QALS - Inspection Lot Record'!$O$2:$O$361)</f>
        <v>Aspirin Tablets (500 MG)</v>
      </c>
      <c r="D304" s="31">
        <v>70</v>
      </c>
      <c r="E304" s="29" t="s">
        <v>406</v>
      </c>
      <c r="F304" s="29" t="str">
        <f>LOOKUP(A304,'QALS - Inspection Lot Record'!A:A,'QALS - Inspection Lot Record'!G:G)</f>
        <v>GC197258</v>
      </c>
      <c r="G304" s="59">
        <f ca="1">LOOKUP(A304,'QALS - Inspection Lot Record'!A:A,'QALS - Inspection Lot Record'!E:E)</f>
        <v>45888</v>
      </c>
      <c r="H304" s="34" t="str">
        <f t="shared" si="25"/>
        <v>A</v>
      </c>
      <c r="I304" s="29" t="str">
        <f t="shared" si="21"/>
        <v>GC197258</v>
      </c>
      <c r="J304" s="59">
        <f t="shared" ca="1" si="22"/>
        <v>45888</v>
      </c>
      <c r="K304" s="30">
        <f ca="1">LOOKUP(A304,'QALS - Inspection Lot Record'!A:A,'QALS - Inspection Lot Record'!I:I)</f>
        <v>3.6307870370370372E-2</v>
      </c>
      <c r="L304" s="59">
        <f t="shared" ca="1" si="23"/>
        <v>45888</v>
      </c>
      <c r="M304" s="30">
        <f t="shared" ca="1" si="24"/>
        <v>6.8634259259259256E-2</v>
      </c>
      <c r="N304" s="31"/>
      <c r="O304" s="31">
        <v>85</v>
      </c>
      <c r="P304" s="29">
        <v>80</v>
      </c>
      <c r="Q304" s="29">
        <v>90</v>
      </c>
    </row>
    <row r="305" spans="1:17" x14ac:dyDescent="0.35">
      <c r="A305" s="26">
        <v>40000002538</v>
      </c>
      <c r="B305" s="31">
        <v>1</v>
      </c>
      <c r="C305" s="29" t="str">
        <f>LOOKUP(A305,'QALS - Inspection Lot Record'!$A$2:$A$361,'QALS - Inspection Lot Record'!$O$2:$O$361)</f>
        <v>Aspirin Tablets (500 MG)</v>
      </c>
      <c r="D305" s="31">
        <v>80</v>
      </c>
      <c r="E305" s="29" t="s">
        <v>407</v>
      </c>
      <c r="F305" s="29" t="str">
        <f>LOOKUP(A305,'QALS - Inspection Lot Record'!A:A,'QALS - Inspection Lot Record'!G:G)</f>
        <v>GC197258</v>
      </c>
      <c r="G305" s="59">
        <f ca="1">LOOKUP(A305,'QALS - Inspection Lot Record'!A:A,'QALS - Inspection Lot Record'!E:E)</f>
        <v>45888</v>
      </c>
      <c r="H305" s="34" t="str">
        <f t="shared" si="25"/>
        <v>A</v>
      </c>
      <c r="I305" s="29" t="str">
        <f t="shared" si="21"/>
        <v>GC197258</v>
      </c>
      <c r="J305" s="59">
        <f t="shared" ca="1" si="22"/>
        <v>45888</v>
      </c>
      <c r="K305" s="30">
        <f ca="1">LOOKUP(A305,'QALS - Inspection Lot Record'!A:A,'QALS - Inspection Lot Record'!I:I)</f>
        <v>3.6307870370370372E-2</v>
      </c>
      <c r="L305" s="59">
        <f t="shared" ca="1" si="23"/>
        <v>45888</v>
      </c>
      <c r="M305" s="30">
        <f t="shared" ca="1" si="24"/>
        <v>6.6747685185185188E-2</v>
      </c>
      <c r="N305" s="31"/>
      <c r="O305" s="31">
        <v>25.5</v>
      </c>
      <c r="P305" s="29">
        <v>23</v>
      </c>
      <c r="Q305" s="29">
        <v>28</v>
      </c>
    </row>
    <row r="306" spans="1:17" x14ac:dyDescent="0.35">
      <c r="A306" s="26">
        <v>40000002539</v>
      </c>
      <c r="B306" s="27">
        <v>1</v>
      </c>
      <c r="C306" s="29" t="str">
        <f>LOOKUP(A306,'QALS - Inspection Lot Record'!$A$2:$A$361,'QALS - Inspection Lot Record'!$O$2:$O$361)</f>
        <v>Ibuprofen Tablets (100 MG)</v>
      </c>
      <c r="D306" s="27">
        <v>10</v>
      </c>
      <c r="E306" s="26" t="s">
        <v>399</v>
      </c>
      <c r="F306" s="29" t="str">
        <f>LOOKUP(A306,'QALS - Inspection Lot Record'!A:A,'QALS - Inspection Lot Record'!G:G)</f>
        <v>ZK384180</v>
      </c>
      <c r="G306" s="59">
        <f ca="1">LOOKUP(A306,'QALS - Inspection Lot Record'!A:A,'QALS - Inspection Lot Record'!E:E)</f>
        <v>45889</v>
      </c>
      <c r="H306" s="34" t="str">
        <f t="shared" si="25"/>
        <v>A</v>
      </c>
      <c r="I306" s="29" t="str">
        <f t="shared" si="21"/>
        <v>ZK384180</v>
      </c>
      <c r="J306" s="59">
        <f t="shared" ca="1" si="22"/>
        <v>45889</v>
      </c>
      <c r="K306" s="30">
        <f ca="1">LOOKUP(A306,'QALS - Inspection Lot Record'!A:A,'QALS - Inspection Lot Record'!I:I)</f>
        <v>0.62072916666666667</v>
      </c>
      <c r="L306" s="59">
        <f t="shared" ca="1" si="23"/>
        <v>45889</v>
      </c>
      <c r="M306" s="30">
        <f t="shared" ca="1" si="24"/>
        <v>0.65165509259259258</v>
      </c>
      <c r="N306" s="31"/>
      <c r="O306" s="31">
        <v>98.5</v>
      </c>
      <c r="P306" s="29">
        <v>95</v>
      </c>
      <c r="Q306" s="29">
        <v>102</v>
      </c>
    </row>
    <row r="307" spans="1:17" x14ac:dyDescent="0.35">
      <c r="A307" s="26">
        <v>40000002539</v>
      </c>
      <c r="B307" s="27">
        <v>1</v>
      </c>
      <c r="C307" s="29" t="str">
        <f>LOOKUP(A307,'QALS - Inspection Lot Record'!$A$2:$A$361,'QALS - Inspection Lot Record'!$O$2:$O$361)</f>
        <v>Ibuprofen Tablets (100 MG)</v>
      </c>
      <c r="D307" s="31">
        <v>20</v>
      </c>
      <c r="E307" s="29" t="s">
        <v>400</v>
      </c>
      <c r="F307" s="29" t="str">
        <f>LOOKUP(A307,'QALS - Inspection Lot Record'!A:A,'QALS - Inspection Lot Record'!G:G)</f>
        <v>ZK384180</v>
      </c>
      <c r="G307" s="59">
        <f ca="1">LOOKUP(A307,'QALS - Inspection Lot Record'!A:A,'QALS - Inspection Lot Record'!E:E)</f>
        <v>45889</v>
      </c>
      <c r="H307" s="34" t="str">
        <f t="shared" si="25"/>
        <v>A</v>
      </c>
      <c r="I307" s="29" t="str">
        <f t="shared" si="21"/>
        <v>ZK384180</v>
      </c>
      <c r="J307" s="59">
        <f t="shared" ca="1" si="22"/>
        <v>45889</v>
      </c>
      <c r="K307" s="30">
        <f ca="1">LOOKUP(A307,'QALS - Inspection Lot Record'!A:A,'QALS - Inspection Lot Record'!I:I)</f>
        <v>0.62072916666666667</v>
      </c>
      <c r="L307" s="59">
        <f t="shared" ca="1" si="23"/>
        <v>45889</v>
      </c>
      <c r="M307" s="30">
        <f t="shared" ca="1" si="24"/>
        <v>0.64962962962962967</v>
      </c>
      <c r="N307" s="31"/>
      <c r="O307" s="31">
        <v>7.3</v>
      </c>
      <c r="P307" s="29">
        <v>3.5</v>
      </c>
      <c r="Q307" s="29">
        <v>11</v>
      </c>
    </row>
    <row r="308" spans="1:17" x14ac:dyDescent="0.35">
      <c r="A308" s="26">
        <v>40000002539</v>
      </c>
      <c r="B308" s="31">
        <v>1</v>
      </c>
      <c r="C308" s="29" t="str">
        <f>LOOKUP(A308,'QALS - Inspection Lot Record'!$A$2:$A$361,'QALS - Inspection Lot Record'!$O$2:$O$361)</f>
        <v>Ibuprofen Tablets (100 MG)</v>
      </c>
      <c r="D308" s="31">
        <v>30</v>
      </c>
      <c r="E308" s="29" t="s">
        <v>401</v>
      </c>
      <c r="F308" s="29" t="str">
        <f>LOOKUP(A308,'QALS - Inspection Lot Record'!A:A,'QALS - Inspection Lot Record'!G:G)</f>
        <v>ZK384180</v>
      </c>
      <c r="G308" s="59">
        <f ca="1">LOOKUP(A308,'QALS - Inspection Lot Record'!A:A,'QALS - Inspection Lot Record'!E:E)</f>
        <v>45889</v>
      </c>
      <c r="H308" s="34" t="str">
        <f t="shared" si="25"/>
        <v>A</v>
      </c>
      <c r="I308" s="29" t="str">
        <f t="shared" si="21"/>
        <v>ZK384180</v>
      </c>
      <c r="J308" s="59">
        <f t="shared" ca="1" si="22"/>
        <v>45889</v>
      </c>
      <c r="K308" s="30">
        <f ca="1">LOOKUP(A308,'QALS - Inspection Lot Record'!A:A,'QALS - Inspection Lot Record'!I:I)</f>
        <v>0.62072916666666667</v>
      </c>
      <c r="L308" s="59">
        <f t="shared" ca="1" si="23"/>
        <v>45889</v>
      </c>
      <c r="M308" s="30">
        <f t="shared" ca="1" si="24"/>
        <v>0.64467592592592593</v>
      </c>
      <c r="N308" s="11" t="s">
        <v>402</v>
      </c>
      <c r="O308" s="31"/>
      <c r="P308" s="29"/>
      <c r="Q308" s="29"/>
    </row>
    <row r="309" spans="1:17" x14ac:dyDescent="0.35">
      <c r="A309" s="26">
        <v>40000002539</v>
      </c>
      <c r="B309" s="31">
        <v>1</v>
      </c>
      <c r="C309" s="29" t="str">
        <f>LOOKUP(A309,'QALS - Inspection Lot Record'!$A$2:$A$361,'QALS - Inspection Lot Record'!$O$2:$O$361)</f>
        <v>Ibuprofen Tablets (100 MG)</v>
      </c>
      <c r="D309" s="31">
        <v>40</v>
      </c>
      <c r="E309" s="29" t="s">
        <v>403</v>
      </c>
      <c r="F309" s="29" t="str">
        <f>LOOKUP(A309,'QALS - Inspection Lot Record'!A:A,'QALS - Inspection Lot Record'!G:G)</f>
        <v>ZK384180</v>
      </c>
      <c r="G309" s="59">
        <f ca="1">LOOKUP(A309,'QALS - Inspection Lot Record'!A:A,'QALS - Inspection Lot Record'!E:E)</f>
        <v>45889</v>
      </c>
      <c r="H309" s="34" t="str">
        <f t="shared" si="25"/>
        <v>A</v>
      </c>
      <c r="I309" s="29" t="str">
        <f t="shared" si="21"/>
        <v>ZK384180</v>
      </c>
      <c r="J309" s="59">
        <f t="shared" ca="1" si="22"/>
        <v>45889</v>
      </c>
      <c r="K309" s="30">
        <f ca="1">LOOKUP(A309,'QALS - Inspection Lot Record'!A:A,'QALS - Inspection Lot Record'!I:I)</f>
        <v>0.62072916666666667</v>
      </c>
      <c r="L309" s="59">
        <f t="shared" ca="1" si="23"/>
        <v>45889</v>
      </c>
      <c r="M309" s="30">
        <f t="shared" ca="1" si="24"/>
        <v>0.64057870370370373</v>
      </c>
      <c r="N309" s="31"/>
      <c r="O309" s="31">
        <v>0.5</v>
      </c>
      <c r="P309" s="29">
        <v>0</v>
      </c>
      <c r="Q309" s="29">
        <v>1</v>
      </c>
    </row>
    <row r="310" spans="1:17" x14ac:dyDescent="0.35">
      <c r="A310" s="26">
        <v>40000002539</v>
      </c>
      <c r="B310" s="31">
        <v>1</v>
      </c>
      <c r="C310" s="29" t="str">
        <f>LOOKUP(A310,'QALS - Inspection Lot Record'!$A$2:$A$361,'QALS - Inspection Lot Record'!$O$2:$O$361)</f>
        <v>Ibuprofen Tablets (100 MG)</v>
      </c>
      <c r="D310" s="31">
        <v>50</v>
      </c>
      <c r="E310" s="29" t="s">
        <v>404</v>
      </c>
      <c r="F310" s="29" t="str">
        <f>LOOKUP(A310,'QALS - Inspection Lot Record'!A:A,'QALS - Inspection Lot Record'!G:G)</f>
        <v>ZK384180</v>
      </c>
      <c r="G310" s="59">
        <f ca="1">LOOKUP(A310,'QALS - Inspection Lot Record'!A:A,'QALS - Inspection Lot Record'!E:E)</f>
        <v>45889</v>
      </c>
      <c r="H310" s="34" t="str">
        <f t="shared" si="25"/>
        <v>A</v>
      </c>
      <c r="I310" s="29" t="str">
        <f t="shared" si="21"/>
        <v>ZK384180</v>
      </c>
      <c r="J310" s="59">
        <f t="shared" ca="1" si="22"/>
        <v>45889</v>
      </c>
      <c r="K310" s="30">
        <f ca="1">LOOKUP(A310,'QALS - Inspection Lot Record'!A:A,'QALS - Inspection Lot Record'!I:I)</f>
        <v>0.62072916666666667</v>
      </c>
      <c r="L310" s="59">
        <f t="shared" ca="1" si="23"/>
        <v>45889</v>
      </c>
      <c r="M310" s="30">
        <f t="shared" ca="1" si="24"/>
        <v>0.64766203703703706</v>
      </c>
      <c r="N310" s="31"/>
      <c r="O310" s="31">
        <v>41.1</v>
      </c>
      <c r="P310" s="29">
        <v>40</v>
      </c>
      <c r="Q310" s="29">
        <v>60</v>
      </c>
    </row>
    <row r="311" spans="1:17" x14ac:dyDescent="0.35">
      <c r="A311" s="26">
        <v>40000002539</v>
      </c>
      <c r="B311" s="31">
        <v>1</v>
      </c>
      <c r="C311" s="29" t="str">
        <f>LOOKUP(A311,'QALS - Inspection Lot Record'!$A$2:$A$361,'QALS - Inspection Lot Record'!$O$2:$O$361)</f>
        <v>Ibuprofen Tablets (100 MG)</v>
      </c>
      <c r="D311" s="31">
        <v>60</v>
      </c>
      <c r="E311" s="29" t="s">
        <v>405</v>
      </c>
      <c r="F311" s="29" t="str">
        <f>LOOKUP(A311,'QALS - Inspection Lot Record'!A:A,'QALS - Inspection Lot Record'!G:G)</f>
        <v>ZK384180</v>
      </c>
      <c r="G311" s="59">
        <f ca="1">LOOKUP(A311,'QALS - Inspection Lot Record'!A:A,'QALS - Inspection Lot Record'!E:E)</f>
        <v>45889</v>
      </c>
      <c r="H311" s="34" t="str">
        <f t="shared" si="25"/>
        <v>A</v>
      </c>
      <c r="I311" s="29" t="str">
        <f t="shared" si="21"/>
        <v>ZK384180</v>
      </c>
      <c r="J311" s="59">
        <f t="shared" ca="1" si="22"/>
        <v>45889</v>
      </c>
      <c r="K311" s="30">
        <f ca="1">LOOKUP(A311,'QALS - Inspection Lot Record'!A:A,'QALS - Inspection Lot Record'!I:I)</f>
        <v>0.62072916666666667</v>
      </c>
      <c r="L311" s="59">
        <f t="shared" ca="1" si="23"/>
        <v>45889</v>
      </c>
      <c r="M311" s="30">
        <f t="shared" ca="1" si="24"/>
        <v>0.65209490740740739</v>
      </c>
      <c r="N311" s="31"/>
      <c r="O311" s="31">
        <v>72</v>
      </c>
      <c r="P311" s="29">
        <v>70</v>
      </c>
      <c r="Q311" s="29">
        <v>85</v>
      </c>
    </row>
    <row r="312" spans="1:17" x14ac:dyDescent="0.35">
      <c r="A312" s="26">
        <v>40000002539</v>
      </c>
      <c r="B312" s="31">
        <v>1</v>
      </c>
      <c r="C312" s="29" t="str">
        <f>LOOKUP(A312,'QALS - Inspection Lot Record'!$A$2:$A$361,'QALS - Inspection Lot Record'!$O$2:$O$361)</f>
        <v>Ibuprofen Tablets (100 MG)</v>
      </c>
      <c r="D312" s="31">
        <v>70</v>
      </c>
      <c r="E312" s="29" t="s">
        <v>406</v>
      </c>
      <c r="F312" s="29" t="str">
        <f>LOOKUP(A312,'QALS - Inspection Lot Record'!A:A,'QALS - Inspection Lot Record'!G:G)</f>
        <v>ZK384180</v>
      </c>
      <c r="G312" s="59">
        <f ca="1">LOOKUP(A312,'QALS - Inspection Lot Record'!A:A,'QALS - Inspection Lot Record'!E:E)</f>
        <v>45889</v>
      </c>
      <c r="H312" s="34" t="str">
        <f t="shared" si="25"/>
        <v>A</v>
      </c>
      <c r="I312" s="29" t="str">
        <f t="shared" si="21"/>
        <v>ZK384180</v>
      </c>
      <c r="J312" s="59">
        <f t="shared" ca="1" si="22"/>
        <v>45889</v>
      </c>
      <c r="K312" s="30">
        <f ca="1">LOOKUP(A312,'QALS - Inspection Lot Record'!A:A,'QALS - Inspection Lot Record'!I:I)</f>
        <v>0.62072916666666667</v>
      </c>
      <c r="L312" s="59">
        <f t="shared" ca="1" si="23"/>
        <v>45889</v>
      </c>
      <c r="M312" s="30">
        <f t="shared" ca="1" si="24"/>
        <v>0.65241898148148147</v>
      </c>
      <c r="N312" s="31"/>
      <c r="O312" s="31">
        <v>81.7</v>
      </c>
      <c r="P312" s="29">
        <v>80</v>
      </c>
      <c r="Q312" s="29">
        <v>90</v>
      </c>
    </row>
    <row r="313" spans="1:17" x14ac:dyDescent="0.35">
      <c r="A313" s="26">
        <v>40000002539</v>
      </c>
      <c r="B313" s="31">
        <v>1</v>
      </c>
      <c r="C313" s="29" t="str">
        <f>LOOKUP(A313,'QALS - Inspection Lot Record'!$A$2:$A$361,'QALS - Inspection Lot Record'!$O$2:$O$361)</f>
        <v>Ibuprofen Tablets (100 MG)</v>
      </c>
      <c r="D313" s="31">
        <v>80</v>
      </c>
      <c r="E313" s="29" t="s">
        <v>407</v>
      </c>
      <c r="F313" s="29" t="str">
        <f>LOOKUP(A313,'QALS - Inspection Lot Record'!A:A,'QALS - Inspection Lot Record'!G:G)</f>
        <v>ZK384180</v>
      </c>
      <c r="G313" s="59">
        <f ca="1">LOOKUP(A313,'QALS - Inspection Lot Record'!A:A,'QALS - Inspection Lot Record'!E:E)</f>
        <v>45889</v>
      </c>
      <c r="H313" s="34" t="str">
        <f t="shared" si="25"/>
        <v>A</v>
      </c>
      <c r="I313" s="29" t="str">
        <f t="shared" si="21"/>
        <v>ZK384180</v>
      </c>
      <c r="J313" s="59">
        <f t="shared" ca="1" si="22"/>
        <v>45889</v>
      </c>
      <c r="K313" s="30">
        <f ca="1">LOOKUP(A313,'QALS - Inspection Lot Record'!A:A,'QALS - Inspection Lot Record'!I:I)</f>
        <v>0.62072916666666667</v>
      </c>
      <c r="L313" s="59">
        <f t="shared" ca="1" si="23"/>
        <v>45889</v>
      </c>
      <c r="M313" s="30">
        <f t="shared" ca="1" si="24"/>
        <v>0.63825231481481481</v>
      </c>
      <c r="N313" s="31"/>
      <c r="O313" s="31">
        <v>24</v>
      </c>
      <c r="P313" s="29">
        <v>23</v>
      </c>
      <c r="Q313" s="29">
        <v>25</v>
      </c>
    </row>
    <row r="314" spans="1:17" x14ac:dyDescent="0.35">
      <c r="A314" s="26">
        <v>40000002540</v>
      </c>
      <c r="B314" s="27">
        <v>1</v>
      </c>
      <c r="C314" s="29" t="str">
        <f>LOOKUP(A314,'QALS - Inspection Lot Record'!$A$2:$A$361,'QALS - Inspection Lot Record'!$O$2:$O$361)</f>
        <v>Metformin Tablets (200 MG)</v>
      </c>
      <c r="D314" s="27">
        <v>10</v>
      </c>
      <c r="E314" s="26" t="s">
        <v>399</v>
      </c>
      <c r="F314" s="29" t="str">
        <f>LOOKUP(A314,'QALS - Inspection Lot Record'!A:A,'QALS - Inspection Lot Record'!G:G)</f>
        <v>GC197258</v>
      </c>
      <c r="G314" s="59">
        <f ca="1">LOOKUP(A314,'QALS - Inspection Lot Record'!A:A,'QALS - Inspection Lot Record'!E:E)</f>
        <v>45889</v>
      </c>
      <c r="H314" s="34" t="str">
        <f t="shared" si="25"/>
        <v>A</v>
      </c>
      <c r="I314" s="29" t="str">
        <f t="shared" si="21"/>
        <v>GC197258</v>
      </c>
      <c r="J314" s="59">
        <f t="shared" ca="1" si="22"/>
        <v>45889</v>
      </c>
      <c r="K314" s="30">
        <f ca="1">LOOKUP(A314,'QALS - Inspection Lot Record'!A:A,'QALS - Inspection Lot Record'!I:I)</f>
        <v>0.34909722222222223</v>
      </c>
      <c r="L314" s="59">
        <f t="shared" ca="1" si="23"/>
        <v>45889</v>
      </c>
      <c r="M314" s="30">
        <f t="shared" ca="1" si="24"/>
        <v>0.38097222222222221</v>
      </c>
      <c r="N314" s="31"/>
      <c r="O314" s="31">
        <v>99</v>
      </c>
      <c r="P314" s="29">
        <v>95</v>
      </c>
      <c r="Q314" s="29">
        <v>103</v>
      </c>
    </row>
    <row r="315" spans="1:17" x14ac:dyDescent="0.35">
      <c r="A315" s="26">
        <v>40000002540</v>
      </c>
      <c r="B315" s="27">
        <v>1</v>
      </c>
      <c r="C315" s="29" t="str">
        <f>LOOKUP(A315,'QALS - Inspection Lot Record'!$A$2:$A$361,'QALS - Inspection Lot Record'!$O$2:$O$361)</f>
        <v>Metformin Tablets (200 MG)</v>
      </c>
      <c r="D315" s="31">
        <v>20</v>
      </c>
      <c r="E315" s="29" t="s">
        <v>400</v>
      </c>
      <c r="F315" s="29" t="str">
        <f>LOOKUP(A315,'QALS - Inspection Lot Record'!A:A,'QALS - Inspection Lot Record'!G:G)</f>
        <v>GC197258</v>
      </c>
      <c r="G315" s="59">
        <f ca="1">LOOKUP(A315,'QALS - Inspection Lot Record'!A:A,'QALS - Inspection Lot Record'!E:E)</f>
        <v>45889</v>
      </c>
      <c r="H315" s="34" t="str">
        <f t="shared" si="25"/>
        <v>A</v>
      </c>
      <c r="I315" s="29" t="str">
        <f t="shared" si="21"/>
        <v>GC197258</v>
      </c>
      <c r="J315" s="59">
        <f t="shared" ca="1" si="22"/>
        <v>45889</v>
      </c>
      <c r="K315" s="30">
        <f ca="1">LOOKUP(A315,'QALS - Inspection Lot Record'!A:A,'QALS - Inspection Lot Record'!I:I)</f>
        <v>0.34909722222222223</v>
      </c>
      <c r="L315" s="59">
        <f t="shared" ca="1" si="23"/>
        <v>45889</v>
      </c>
      <c r="M315" s="30">
        <f t="shared" ca="1" si="24"/>
        <v>0.38116898148148148</v>
      </c>
      <c r="N315" s="31"/>
      <c r="O315" s="31">
        <v>7.8</v>
      </c>
      <c r="P315" s="29">
        <v>6</v>
      </c>
      <c r="Q315" s="29">
        <v>9.5</v>
      </c>
    </row>
    <row r="316" spans="1:17" x14ac:dyDescent="0.35">
      <c r="A316" s="26">
        <v>40000002540</v>
      </c>
      <c r="B316" s="31">
        <v>1</v>
      </c>
      <c r="C316" s="29" t="str">
        <f>LOOKUP(A316,'QALS - Inspection Lot Record'!$A$2:$A$361,'QALS - Inspection Lot Record'!$O$2:$O$361)</f>
        <v>Metformin Tablets (200 MG)</v>
      </c>
      <c r="D316" s="31">
        <v>30</v>
      </c>
      <c r="E316" s="29" t="s">
        <v>401</v>
      </c>
      <c r="F316" s="29" t="str">
        <f>LOOKUP(A316,'QALS - Inspection Lot Record'!A:A,'QALS - Inspection Lot Record'!G:G)</f>
        <v>GC197258</v>
      </c>
      <c r="G316" s="59">
        <f ca="1">LOOKUP(A316,'QALS - Inspection Lot Record'!A:A,'QALS - Inspection Lot Record'!E:E)</f>
        <v>45889</v>
      </c>
      <c r="H316" s="34" t="str">
        <f t="shared" si="25"/>
        <v>A</v>
      </c>
      <c r="I316" s="29" t="str">
        <f t="shared" si="21"/>
        <v>GC197258</v>
      </c>
      <c r="J316" s="59">
        <f t="shared" ca="1" si="22"/>
        <v>45889</v>
      </c>
      <c r="K316" s="30">
        <f ca="1">LOOKUP(A316,'QALS - Inspection Lot Record'!A:A,'QALS - Inspection Lot Record'!I:I)</f>
        <v>0.34909722222222223</v>
      </c>
      <c r="L316" s="59">
        <f t="shared" ca="1" si="23"/>
        <v>45889</v>
      </c>
      <c r="M316" s="30">
        <f t="shared" ca="1" si="24"/>
        <v>0.37016203703703704</v>
      </c>
      <c r="N316" s="11" t="s">
        <v>402</v>
      </c>
      <c r="O316" s="31"/>
      <c r="P316" s="29"/>
      <c r="Q316" s="29"/>
    </row>
    <row r="317" spans="1:17" x14ac:dyDescent="0.35">
      <c r="A317" s="26">
        <v>40000002540</v>
      </c>
      <c r="B317" s="31">
        <v>1</v>
      </c>
      <c r="C317" s="29" t="str">
        <f>LOOKUP(A317,'QALS - Inspection Lot Record'!$A$2:$A$361,'QALS - Inspection Lot Record'!$O$2:$O$361)</f>
        <v>Metformin Tablets (200 MG)</v>
      </c>
      <c r="D317" s="31">
        <v>40</v>
      </c>
      <c r="E317" s="29" t="s">
        <v>403</v>
      </c>
      <c r="F317" s="29" t="str">
        <f>LOOKUP(A317,'QALS - Inspection Lot Record'!A:A,'QALS - Inspection Lot Record'!G:G)</f>
        <v>GC197258</v>
      </c>
      <c r="G317" s="59">
        <f ca="1">LOOKUP(A317,'QALS - Inspection Lot Record'!A:A,'QALS - Inspection Lot Record'!E:E)</f>
        <v>45889</v>
      </c>
      <c r="H317" s="34" t="str">
        <f t="shared" si="25"/>
        <v>R</v>
      </c>
      <c r="I317" s="29" t="str">
        <f t="shared" si="21"/>
        <v>GC197258</v>
      </c>
      <c r="J317" s="59">
        <f t="shared" ca="1" si="22"/>
        <v>45889</v>
      </c>
      <c r="K317" s="30">
        <f ca="1">LOOKUP(A317,'QALS - Inspection Lot Record'!A:A,'QALS - Inspection Lot Record'!I:I)</f>
        <v>0.34909722222222223</v>
      </c>
      <c r="L317" s="59">
        <f t="shared" ca="1" si="23"/>
        <v>45889</v>
      </c>
      <c r="M317" s="30">
        <f t="shared" ca="1" si="24"/>
        <v>0.37153935185185183</v>
      </c>
      <c r="N317" s="31"/>
      <c r="O317" s="31">
        <v>2.1</v>
      </c>
      <c r="P317" s="29">
        <v>0</v>
      </c>
      <c r="Q317" s="29">
        <v>2</v>
      </c>
    </row>
    <row r="318" spans="1:17" x14ac:dyDescent="0.35">
      <c r="A318" s="26">
        <v>40000002540</v>
      </c>
      <c r="B318" s="31">
        <v>1</v>
      </c>
      <c r="C318" s="29" t="str">
        <f>LOOKUP(A318,'QALS - Inspection Lot Record'!$A$2:$A$361,'QALS - Inspection Lot Record'!$O$2:$O$361)</f>
        <v>Metformin Tablets (200 MG)</v>
      </c>
      <c r="D318" s="31">
        <v>50</v>
      </c>
      <c r="E318" s="29" t="s">
        <v>404</v>
      </c>
      <c r="F318" s="29" t="str">
        <f>LOOKUP(A318,'QALS - Inspection Lot Record'!A:A,'QALS - Inspection Lot Record'!G:G)</f>
        <v>GC197258</v>
      </c>
      <c r="G318" s="59">
        <f ca="1">LOOKUP(A318,'QALS - Inspection Lot Record'!A:A,'QALS - Inspection Lot Record'!E:E)</f>
        <v>45889</v>
      </c>
      <c r="H318" s="34" t="str">
        <f t="shared" si="25"/>
        <v>A</v>
      </c>
      <c r="I318" s="29" t="str">
        <f t="shared" si="21"/>
        <v>GC197258</v>
      </c>
      <c r="J318" s="59">
        <f t="shared" ca="1" si="22"/>
        <v>45889</v>
      </c>
      <c r="K318" s="30">
        <f ca="1">LOOKUP(A318,'QALS - Inspection Lot Record'!A:A,'QALS - Inspection Lot Record'!I:I)</f>
        <v>0.34909722222222223</v>
      </c>
      <c r="L318" s="59">
        <f t="shared" ca="1" si="23"/>
        <v>45889</v>
      </c>
      <c r="M318" s="30">
        <f t="shared" ca="1" si="24"/>
        <v>0.37048611111111113</v>
      </c>
      <c r="N318" s="31"/>
      <c r="O318" s="31">
        <v>41.7</v>
      </c>
      <c r="P318" s="29">
        <v>40</v>
      </c>
      <c r="Q318" s="29">
        <v>60</v>
      </c>
    </row>
    <row r="319" spans="1:17" x14ac:dyDescent="0.35">
      <c r="A319" s="26">
        <v>40000002540</v>
      </c>
      <c r="B319" s="31">
        <v>1</v>
      </c>
      <c r="C319" s="29" t="str">
        <f>LOOKUP(A319,'QALS - Inspection Lot Record'!$A$2:$A$361,'QALS - Inspection Lot Record'!$O$2:$O$361)</f>
        <v>Metformin Tablets (200 MG)</v>
      </c>
      <c r="D319" s="31">
        <v>60</v>
      </c>
      <c r="E319" s="29" t="s">
        <v>405</v>
      </c>
      <c r="F319" s="29" t="str">
        <f>LOOKUP(A319,'QALS - Inspection Lot Record'!A:A,'QALS - Inspection Lot Record'!G:G)</f>
        <v>GC197258</v>
      </c>
      <c r="G319" s="59">
        <f ca="1">LOOKUP(A319,'QALS - Inspection Lot Record'!A:A,'QALS - Inspection Lot Record'!E:E)</f>
        <v>45889</v>
      </c>
      <c r="H319" s="34" t="str">
        <f t="shared" si="25"/>
        <v>A</v>
      </c>
      <c r="I319" s="29" t="str">
        <f t="shared" si="21"/>
        <v>GC197258</v>
      </c>
      <c r="J319" s="59">
        <f t="shared" ca="1" si="22"/>
        <v>45889</v>
      </c>
      <c r="K319" s="30">
        <f ca="1">LOOKUP(A319,'QALS - Inspection Lot Record'!A:A,'QALS - Inspection Lot Record'!I:I)</f>
        <v>0.34909722222222223</v>
      </c>
      <c r="L319" s="59">
        <f t="shared" ca="1" si="23"/>
        <v>45889</v>
      </c>
      <c r="M319" s="30">
        <f t="shared" ca="1" si="24"/>
        <v>0.37923611111111111</v>
      </c>
      <c r="N319" s="31"/>
      <c r="O319" s="31">
        <v>71.900000000000006</v>
      </c>
      <c r="P319" s="29">
        <v>70</v>
      </c>
      <c r="Q319" s="29">
        <v>85</v>
      </c>
    </row>
    <row r="320" spans="1:17" x14ac:dyDescent="0.35">
      <c r="A320" s="26">
        <v>40000002540</v>
      </c>
      <c r="B320" s="31">
        <v>1</v>
      </c>
      <c r="C320" s="29" t="str">
        <f>LOOKUP(A320,'QALS - Inspection Lot Record'!$A$2:$A$361,'QALS - Inspection Lot Record'!$O$2:$O$361)</f>
        <v>Metformin Tablets (200 MG)</v>
      </c>
      <c r="D320" s="31">
        <v>70</v>
      </c>
      <c r="E320" s="29" t="s">
        <v>406</v>
      </c>
      <c r="F320" s="29" t="str">
        <f>LOOKUP(A320,'QALS - Inspection Lot Record'!A:A,'QALS - Inspection Lot Record'!G:G)</f>
        <v>GC197258</v>
      </c>
      <c r="G320" s="59">
        <f ca="1">LOOKUP(A320,'QALS - Inspection Lot Record'!A:A,'QALS - Inspection Lot Record'!E:E)</f>
        <v>45889</v>
      </c>
      <c r="H320" s="34" t="str">
        <f t="shared" si="25"/>
        <v>A</v>
      </c>
      <c r="I320" s="29" t="str">
        <f t="shared" si="21"/>
        <v>GC197258</v>
      </c>
      <c r="J320" s="59">
        <f t="shared" ca="1" si="22"/>
        <v>45889</v>
      </c>
      <c r="K320" s="30">
        <f ca="1">LOOKUP(A320,'QALS - Inspection Lot Record'!A:A,'QALS - Inspection Lot Record'!I:I)</f>
        <v>0.34909722222222223</v>
      </c>
      <c r="L320" s="59">
        <f t="shared" ca="1" si="23"/>
        <v>45889</v>
      </c>
      <c r="M320" s="30">
        <f t="shared" ca="1" si="24"/>
        <v>0.37546296296296294</v>
      </c>
      <c r="N320" s="31"/>
      <c r="O320" s="31">
        <v>81.3</v>
      </c>
      <c r="P320" s="29">
        <v>80</v>
      </c>
      <c r="Q320" s="29">
        <v>90</v>
      </c>
    </row>
    <row r="321" spans="1:17" x14ac:dyDescent="0.35">
      <c r="A321" s="26">
        <v>40000002540</v>
      </c>
      <c r="B321" s="31">
        <v>1</v>
      </c>
      <c r="C321" s="29" t="str">
        <f>LOOKUP(A321,'QALS - Inspection Lot Record'!$A$2:$A$361,'QALS - Inspection Lot Record'!$O$2:$O$361)</f>
        <v>Metformin Tablets (200 MG)</v>
      </c>
      <c r="D321" s="31">
        <v>80</v>
      </c>
      <c r="E321" s="29" t="s">
        <v>407</v>
      </c>
      <c r="F321" s="29" t="str">
        <f>LOOKUP(A321,'QALS - Inspection Lot Record'!A:A,'QALS - Inspection Lot Record'!G:G)</f>
        <v>GC197258</v>
      </c>
      <c r="G321" s="59">
        <f ca="1">LOOKUP(A321,'QALS - Inspection Lot Record'!A:A,'QALS - Inspection Lot Record'!E:E)</f>
        <v>45889</v>
      </c>
      <c r="H321" s="34" t="str">
        <f t="shared" si="25"/>
        <v>A</v>
      </c>
      <c r="I321" s="29" t="str">
        <f t="shared" si="21"/>
        <v>GC197258</v>
      </c>
      <c r="J321" s="59">
        <f t="shared" ca="1" si="22"/>
        <v>45889</v>
      </c>
      <c r="K321" s="30">
        <f ca="1">LOOKUP(A321,'QALS - Inspection Lot Record'!A:A,'QALS - Inspection Lot Record'!I:I)</f>
        <v>0.34909722222222223</v>
      </c>
      <c r="L321" s="59">
        <f t="shared" ca="1" si="23"/>
        <v>45889</v>
      </c>
      <c r="M321" s="30">
        <f t="shared" ca="1" si="24"/>
        <v>0.37168981481481483</v>
      </c>
      <c r="N321" s="31"/>
      <c r="O321" s="31">
        <v>25.5</v>
      </c>
      <c r="P321" s="29">
        <v>23</v>
      </c>
      <c r="Q321" s="29">
        <v>28</v>
      </c>
    </row>
    <row r="322" spans="1:17" x14ac:dyDescent="0.35">
      <c r="A322" s="26">
        <v>40000002541</v>
      </c>
      <c r="B322" s="27">
        <v>1</v>
      </c>
      <c r="C322" s="29" t="str">
        <f>LOOKUP(A322,'QALS - Inspection Lot Record'!$A$2:$A$361,'QALS - Inspection Lot Record'!$O$2:$O$361)</f>
        <v>Metformin Tablets (100 MG)</v>
      </c>
      <c r="D322" s="27">
        <v>10</v>
      </c>
      <c r="E322" s="26" t="s">
        <v>399</v>
      </c>
      <c r="F322" s="29" t="str">
        <f>LOOKUP(A322,'QALS - Inspection Lot Record'!A:A,'QALS - Inspection Lot Record'!G:G)</f>
        <v>ZK384180</v>
      </c>
      <c r="G322" s="59">
        <f ca="1">LOOKUP(A322,'QALS - Inspection Lot Record'!A:A,'QALS - Inspection Lot Record'!E:E)</f>
        <v>45890</v>
      </c>
      <c r="H322" s="34" t="str">
        <f t="shared" si="25"/>
        <v>A</v>
      </c>
      <c r="I322" s="29" t="str">
        <f t="shared" ref="I322:I385" si="26">F322</f>
        <v>ZK384180</v>
      </c>
      <c r="J322" s="59">
        <f t="shared" ref="J322:J385" ca="1" si="27">G322</f>
        <v>45890</v>
      </c>
      <c r="K322" s="30">
        <f ca="1">LOOKUP(A322,'QALS - Inspection Lot Record'!A:A,'QALS - Inspection Lot Record'!I:I)</f>
        <v>0.51862268518518517</v>
      </c>
      <c r="L322" s="59">
        <f t="shared" ref="L322:L385" ca="1" si="28">G322</f>
        <v>45890</v>
      </c>
      <c r="M322" s="30">
        <f t="shared" ref="M322:M385" ca="1" si="29">K322+TIME(0,RANDBETWEEN(25,50),RANDBETWEEN(0,59))</f>
        <v>0.53905092592592596</v>
      </c>
      <c r="N322" s="31"/>
      <c r="O322" s="31">
        <v>98.5</v>
      </c>
      <c r="P322" s="29">
        <v>95</v>
      </c>
      <c r="Q322" s="29">
        <v>102</v>
      </c>
    </row>
    <row r="323" spans="1:17" x14ac:dyDescent="0.35">
      <c r="A323" s="26">
        <v>40000002541</v>
      </c>
      <c r="B323" s="27">
        <v>1</v>
      </c>
      <c r="C323" s="29" t="str">
        <f>LOOKUP(A323,'QALS - Inspection Lot Record'!$A$2:$A$361,'QALS - Inspection Lot Record'!$O$2:$O$361)</f>
        <v>Metformin Tablets (100 MG)</v>
      </c>
      <c r="D323" s="31">
        <v>20</v>
      </c>
      <c r="E323" s="29" t="s">
        <v>400</v>
      </c>
      <c r="F323" s="29" t="str">
        <f>LOOKUP(A323,'QALS - Inspection Lot Record'!A:A,'QALS - Inspection Lot Record'!G:G)</f>
        <v>ZK384180</v>
      </c>
      <c r="G323" s="59">
        <f ca="1">LOOKUP(A323,'QALS - Inspection Lot Record'!A:A,'QALS - Inspection Lot Record'!E:E)</f>
        <v>45890</v>
      </c>
      <c r="H323" s="34" t="str">
        <f t="shared" si="25"/>
        <v>A</v>
      </c>
      <c r="I323" s="29" t="str">
        <f t="shared" si="26"/>
        <v>ZK384180</v>
      </c>
      <c r="J323" s="59">
        <f t="shared" ca="1" si="27"/>
        <v>45890</v>
      </c>
      <c r="K323" s="30">
        <f ca="1">LOOKUP(A323,'QALS - Inspection Lot Record'!A:A,'QALS - Inspection Lot Record'!I:I)</f>
        <v>0.51862268518518517</v>
      </c>
      <c r="L323" s="59">
        <f t="shared" ca="1" si="28"/>
        <v>45890</v>
      </c>
      <c r="M323" s="30">
        <f t="shared" ca="1" si="29"/>
        <v>0.54831018518518515</v>
      </c>
      <c r="N323" s="31"/>
      <c r="O323" s="31">
        <v>7.25</v>
      </c>
      <c r="P323" s="29">
        <v>3.5</v>
      </c>
      <c r="Q323" s="29">
        <v>11</v>
      </c>
    </row>
    <row r="324" spans="1:17" x14ac:dyDescent="0.35">
      <c r="A324" s="26">
        <v>40000002541</v>
      </c>
      <c r="B324" s="31">
        <v>1</v>
      </c>
      <c r="C324" s="29" t="str">
        <f>LOOKUP(A324,'QALS - Inspection Lot Record'!$A$2:$A$361,'QALS - Inspection Lot Record'!$O$2:$O$361)</f>
        <v>Metformin Tablets (100 MG)</v>
      </c>
      <c r="D324" s="31">
        <v>30</v>
      </c>
      <c r="E324" s="29" t="s">
        <v>401</v>
      </c>
      <c r="F324" s="29" t="str">
        <f>LOOKUP(A324,'QALS - Inspection Lot Record'!A:A,'QALS - Inspection Lot Record'!G:G)</f>
        <v>ZK384180</v>
      </c>
      <c r="G324" s="59">
        <f ca="1">LOOKUP(A324,'QALS - Inspection Lot Record'!A:A,'QALS - Inspection Lot Record'!E:E)</f>
        <v>45890</v>
      </c>
      <c r="H324" s="34" t="str">
        <f t="shared" si="25"/>
        <v>A</v>
      </c>
      <c r="I324" s="29" t="str">
        <f t="shared" si="26"/>
        <v>ZK384180</v>
      </c>
      <c r="J324" s="59">
        <f t="shared" ca="1" si="27"/>
        <v>45890</v>
      </c>
      <c r="K324" s="30">
        <f ca="1">LOOKUP(A324,'QALS - Inspection Lot Record'!A:A,'QALS - Inspection Lot Record'!I:I)</f>
        <v>0.51862268518518517</v>
      </c>
      <c r="L324" s="59">
        <f t="shared" ca="1" si="28"/>
        <v>45890</v>
      </c>
      <c r="M324" s="30">
        <f t="shared" ca="1" si="29"/>
        <v>0.54358796296296297</v>
      </c>
      <c r="N324" s="11" t="s">
        <v>402</v>
      </c>
      <c r="O324" s="31"/>
      <c r="P324" s="29"/>
      <c r="Q324" s="29"/>
    </row>
    <row r="325" spans="1:17" x14ac:dyDescent="0.35">
      <c r="A325" s="26">
        <v>40000002541</v>
      </c>
      <c r="B325" s="31">
        <v>1</v>
      </c>
      <c r="C325" s="29" t="str">
        <f>LOOKUP(A325,'QALS - Inspection Lot Record'!$A$2:$A$361,'QALS - Inspection Lot Record'!$O$2:$O$361)</f>
        <v>Metformin Tablets (100 MG)</v>
      </c>
      <c r="D325" s="31">
        <v>40</v>
      </c>
      <c r="E325" s="29" t="s">
        <v>403</v>
      </c>
      <c r="F325" s="29" t="str">
        <f>LOOKUP(A325,'QALS - Inspection Lot Record'!A:A,'QALS - Inspection Lot Record'!G:G)</f>
        <v>ZK384180</v>
      </c>
      <c r="G325" s="59">
        <f ca="1">LOOKUP(A325,'QALS - Inspection Lot Record'!A:A,'QALS - Inspection Lot Record'!E:E)</f>
        <v>45890</v>
      </c>
      <c r="H325" s="34" t="str">
        <f t="shared" si="25"/>
        <v>A</v>
      </c>
      <c r="I325" s="29" t="str">
        <f t="shared" si="26"/>
        <v>ZK384180</v>
      </c>
      <c r="J325" s="59">
        <f t="shared" ca="1" si="27"/>
        <v>45890</v>
      </c>
      <c r="K325" s="30">
        <f ca="1">LOOKUP(A325,'QALS - Inspection Lot Record'!A:A,'QALS - Inspection Lot Record'!I:I)</f>
        <v>0.51862268518518517</v>
      </c>
      <c r="L325" s="59">
        <f t="shared" ca="1" si="28"/>
        <v>45890</v>
      </c>
      <c r="M325" s="30">
        <f t="shared" ca="1" si="29"/>
        <v>0.55212962962962964</v>
      </c>
      <c r="N325" s="31"/>
      <c r="O325" s="31">
        <v>0</v>
      </c>
      <c r="P325" s="29">
        <v>0</v>
      </c>
      <c r="Q325" s="29">
        <v>1</v>
      </c>
    </row>
    <row r="326" spans="1:17" x14ac:dyDescent="0.35">
      <c r="A326" s="26">
        <v>40000002541</v>
      </c>
      <c r="B326" s="31">
        <v>1</v>
      </c>
      <c r="C326" s="29" t="str">
        <f>LOOKUP(A326,'QALS - Inspection Lot Record'!$A$2:$A$361,'QALS - Inspection Lot Record'!$O$2:$O$361)</f>
        <v>Metformin Tablets (100 MG)</v>
      </c>
      <c r="D326" s="31">
        <v>50</v>
      </c>
      <c r="E326" s="29" t="s">
        <v>404</v>
      </c>
      <c r="F326" s="29" t="str">
        <f>LOOKUP(A326,'QALS - Inspection Lot Record'!A:A,'QALS - Inspection Lot Record'!G:G)</f>
        <v>ZK384180</v>
      </c>
      <c r="G326" s="59">
        <f ca="1">LOOKUP(A326,'QALS - Inspection Lot Record'!A:A,'QALS - Inspection Lot Record'!E:E)</f>
        <v>45890</v>
      </c>
      <c r="H326" s="34" t="str">
        <f t="shared" si="25"/>
        <v>A</v>
      </c>
      <c r="I326" s="29" t="str">
        <f t="shared" si="26"/>
        <v>ZK384180</v>
      </c>
      <c r="J326" s="59">
        <f t="shared" ca="1" si="27"/>
        <v>45890</v>
      </c>
      <c r="K326" s="30">
        <f ca="1">LOOKUP(A326,'QALS - Inspection Lot Record'!A:A,'QALS - Inspection Lot Record'!I:I)</f>
        <v>0.51862268518518517</v>
      </c>
      <c r="L326" s="59">
        <f t="shared" ca="1" si="28"/>
        <v>45890</v>
      </c>
      <c r="M326" s="30">
        <f t="shared" ca="1" si="29"/>
        <v>0.55010416666666662</v>
      </c>
      <c r="N326" s="31"/>
      <c r="O326" s="31">
        <v>50</v>
      </c>
      <c r="P326" s="29">
        <v>40</v>
      </c>
      <c r="Q326" s="29">
        <v>60</v>
      </c>
    </row>
    <row r="327" spans="1:17" x14ac:dyDescent="0.35">
      <c r="A327" s="26">
        <v>40000002541</v>
      </c>
      <c r="B327" s="31">
        <v>1</v>
      </c>
      <c r="C327" s="29" t="str">
        <f>LOOKUP(A327,'QALS - Inspection Lot Record'!$A$2:$A$361,'QALS - Inspection Lot Record'!$O$2:$O$361)</f>
        <v>Metformin Tablets (100 MG)</v>
      </c>
      <c r="D327" s="31">
        <v>60</v>
      </c>
      <c r="E327" s="29" t="s">
        <v>405</v>
      </c>
      <c r="F327" s="29" t="str">
        <f>LOOKUP(A327,'QALS - Inspection Lot Record'!A:A,'QALS - Inspection Lot Record'!G:G)</f>
        <v>ZK384180</v>
      </c>
      <c r="G327" s="59">
        <f ca="1">LOOKUP(A327,'QALS - Inspection Lot Record'!A:A,'QALS - Inspection Lot Record'!E:E)</f>
        <v>45890</v>
      </c>
      <c r="H327" s="34" t="str">
        <f t="shared" si="25"/>
        <v>A</v>
      </c>
      <c r="I327" s="29" t="str">
        <f t="shared" si="26"/>
        <v>ZK384180</v>
      </c>
      <c r="J327" s="59">
        <f t="shared" ca="1" si="27"/>
        <v>45890</v>
      </c>
      <c r="K327" s="30">
        <f ca="1">LOOKUP(A327,'QALS - Inspection Lot Record'!A:A,'QALS - Inspection Lot Record'!I:I)</f>
        <v>0.51862268518518517</v>
      </c>
      <c r="L327" s="59">
        <f t="shared" ca="1" si="28"/>
        <v>45890</v>
      </c>
      <c r="M327" s="30">
        <f t="shared" ca="1" si="29"/>
        <v>0.54428240740740741</v>
      </c>
      <c r="N327" s="31"/>
      <c r="O327" s="31">
        <v>77.5</v>
      </c>
      <c r="P327" s="29">
        <v>70</v>
      </c>
      <c r="Q327" s="29">
        <v>85</v>
      </c>
    </row>
    <row r="328" spans="1:17" x14ac:dyDescent="0.35">
      <c r="A328" s="26">
        <v>40000002541</v>
      </c>
      <c r="B328" s="31">
        <v>1</v>
      </c>
      <c r="C328" s="29" t="str">
        <f>LOOKUP(A328,'QALS - Inspection Lot Record'!$A$2:$A$361,'QALS - Inspection Lot Record'!$O$2:$O$361)</f>
        <v>Metformin Tablets (100 MG)</v>
      </c>
      <c r="D328" s="31">
        <v>70</v>
      </c>
      <c r="E328" s="29" t="s">
        <v>406</v>
      </c>
      <c r="F328" s="29" t="str">
        <f>LOOKUP(A328,'QALS - Inspection Lot Record'!A:A,'QALS - Inspection Lot Record'!G:G)</f>
        <v>ZK384180</v>
      </c>
      <c r="G328" s="59">
        <f ca="1">LOOKUP(A328,'QALS - Inspection Lot Record'!A:A,'QALS - Inspection Lot Record'!E:E)</f>
        <v>45890</v>
      </c>
      <c r="H328" s="34" t="str">
        <f t="shared" si="25"/>
        <v>A</v>
      </c>
      <c r="I328" s="29" t="str">
        <f t="shared" si="26"/>
        <v>ZK384180</v>
      </c>
      <c r="J328" s="59">
        <f t="shared" ca="1" si="27"/>
        <v>45890</v>
      </c>
      <c r="K328" s="30">
        <f ca="1">LOOKUP(A328,'QALS - Inspection Lot Record'!A:A,'QALS - Inspection Lot Record'!I:I)</f>
        <v>0.51862268518518517</v>
      </c>
      <c r="L328" s="59">
        <f t="shared" ca="1" si="28"/>
        <v>45890</v>
      </c>
      <c r="M328" s="30">
        <f t="shared" ca="1" si="29"/>
        <v>0.55339120370370365</v>
      </c>
      <c r="N328" s="31"/>
      <c r="O328" s="31">
        <v>85</v>
      </c>
      <c r="P328" s="29">
        <v>80</v>
      </c>
      <c r="Q328" s="29">
        <v>90</v>
      </c>
    </row>
    <row r="329" spans="1:17" x14ac:dyDescent="0.35">
      <c r="A329" s="26">
        <v>40000002541</v>
      </c>
      <c r="B329" s="31">
        <v>1</v>
      </c>
      <c r="C329" s="29" t="str">
        <f>LOOKUP(A329,'QALS - Inspection Lot Record'!$A$2:$A$361,'QALS - Inspection Lot Record'!$O$2:$O$361)</f>
        <v>Metformin Tablets (100 MG)</v>
      </c>
      <c r="D329" s="31">
        <v>80</v>
      </c>
      <c r="E329" s="29" t="s">
        <v>407</v>
      </c>
      <c r="F329" s="29" t="str">
        <f>LOOKUP(A329,'QALS - Inspection Lot Record'!A:A,'QALS - Inspection Lot Record'!G:G)</f>
        <v>ZK384180</v>
      </c>
      <c r="G329" s="59">
        <f ca="1">LOOKUP(A329,'QALS - Inspection Lot Record'!A:A,'QALS - Inspection Lot Record'!E:E)</f>
        <v>45890</v>
      </c>
      <c r="H329" s="34" t="str">
        <f t="shared" si="25"/>
        <v>R</v>
      </c>
      <c r="I329" s="29" t="str">
        <f t="shared" si="26"/>
        <v>ZK384180</v>
      </c>
      <c r="J329" s="59">
        <f t="shared" ca="1" si="27"/>
        <v>45890</v>
      </c>
      <c r="K329" s="30">
        <f ca="1">LOOKUP(A329,'QALS - Inspection Lot Record'!A:A,'QALS - Inspection Lot Record'!I:I)</f>
        <v>0.51862268518518517</v>
      </c>
      <c r="L329" s="59">
        <f t="shared" ca="1" si="28"/>
        <v>45890</v>
      </c>
      <c r="M329" s="30">
        <f t="shared" ca="1" si="29"/>
        <v>0.54888888888888887</v>
      </c>
      <c r="N329" s="31"/>
      <c r="O329" s="31">
        <v>22</v>
      </c>
      <c r="P329" s="29">
        <v>23</v>
      </c>
      <c r="Q329" s="29">
        <v>25</v>
      </c>
    </row>
    <row r="330" spans="1:17" x14ac:dyDescent="0.35">
      <c r="A330" s="26">
        <v>40000002542</v>
      </c>
      <c r="B330" s="27">
        <v>1</v>
      </c>
      <c r="C330" s="29" t="str">
        <f>LOOKUP(A330,'QALS - Inspection Lot Record'!$A$2:$A$361,'QALS - Inspection Lot Record'!$O$2:$O$361)</f>
        <v>Metformin Tablets (500 MG)</v>
      </c>
      <c r="D330" s="27">
        <v>10</v>
      </c>
      <c r="E330" s="26" t="s">
        <v>399</v>
      </c>
      <c r="F330" s="29" t="str">
        <f>LOOKUP(A330,'QALS - Inspection Lot Record'!A:A,'QALS - Inspection Lot Record'!G:G)</f>
        <v>TG509538</v>
      </c>
      <c r="G330" s="59">
        <f ca="1">LOOKUP(A330,'QALS - Inspection Lot Record'!A:A,'QALS - Inspection Lot Record'!E:E)</f>
        <v>45890</v>
      </c>
      <c r="H330" s="34" t="str">
        <f t="shared" ref="H330:H393" si="30">IF(AND(P330&lt;=O330,O330&lt;=Q330),"A","R")</f>
        <v>R</v>
      </c>
      <c r="I330" s="29" t="str">
        <f t="shared" si="26"/>
        <v>TG509538</v>
      </c>
      <c r="J330" s="59">
        <f t="shared" ca="1" si="27"/>
        <v>45890</v>
      </c>
      <c r="K330" s="30">
        <f ca="1">LOOKUP(A330,'QALS - Inspection Lot Record'!A:A,'QALS - Inspection Lot Record'!I:I)</f>
        <v>9.0405092592592592E-2</v>
      </c>
      <c r="L330" s="59">
        <f t="shared" ca="1" si="28"/>
        <v>45890</v>
      </c>
      <c r="M330" s="30">
        <f t="shared" ca="1" si="29"/>
        <v>0.12020833333333333</v>
      </c>
      <c r="N330" s="31"/>
      <c r="O330" s="31">
        <v>93.1</v>
      </c>
      <c r="P330" s="29">
        <v>95</v>
      </c>
      <c r="Q330" s="29">
        <v>105</v>
      </c>
    </row>
    <row r="331" spans="1:17" x14ac:dyDescent="0.35">
      <c r="A331" s="26">
        <v>40000002542</v>
      </c>
      <c r="B331" s="27">
        <v>1</v>
      </c>
      <c r="C331" s="29" t="str">
        <f>LOOKUP(A331,'QALS - Inspection Lot Record'!$A$2:$A$361,'QALS - Inspection Lot Record'!$O$2:$O$361)</f>
        <v>Metformin Tablets (500 MG)</v>
      </c>
      <c r="D331" s="31">
        <v>20</v>
      </c>
      <c r="E331" s="29" t="s">
        <v>400</v>
      </c>
      <c r="F331" s="29" t="str">
        <f>LOOKUP(A331,'QALS - Inspection Lot Record'!A:A,'QALS - Inspection Lot Record'!G:G)</f>
        <v>TG509538</v>
      </c>
      <c r="G331" s="59">
        <f ca="1">LOOKUP(A331,'QALS - Inspection Lot Record'!A:A,'QALS - Inspection Lot Record'!E:E)</f>
        <v>45890</v>
      </c>
      <c r="H331" s="34" t="str">
        <f t="shared" si="30"/>
        <v>A</v>
      </c>
      <c r="I331" s="29" t="str">
        <f t="shared" si="26"/>
        <v>TG509538</v>
      </c>
      <c r="J331" s="59">
        <f t="shared" ca="1" si="27"/>
        <v>45890</v>
      </c>
      <c r="K331" s="30">
        <f ca="1">LOOKUP(A331,'QALS - Inspection Lot Record'!A:A,'QALS - Inspection Lot Record'!I:I)</f>
        <v>9.0405092592592592E-2</v>
      </c>
      <c r="L331" s="59">
        <f t="shared" ca="1" si="28"/>
        <v>45890</v>
      </c>
      <c r="M331" s="30">
        <f t="shared" ca="1" si="29"/>
        <v>0.12104166666666666</v>
      </c>
      <c r="N331" s="31"/>
      <c r="O331" s="31">
        <v>7.25</v>
      </c>
      <c r="P331" s="29">
        <v>3.5</v>
      </c>
      <c r="Q331" s="29">
        <v>11</v>
      </c>
    </row>
    <row r="332" spans="1:17" x14ac:dyDescent="0.35">
      <c r="A332" s="26">
        <v>40000002542</v>
      </c>
      <c r="B332" s="31">
        <v>1</v>
      </c>
      <c r="C332" s="29" t="str">
        <f>LOOKUP(A332,'QALS - Inspection Lot Record'!$A$2:$A$361,'QALS - Inspection Lot Record'!$O$2:$O$361)</f>
        <v>Metformin Tablets (500 MG)</v>
      </c>
      <c r="D332" s="31">
        <v>30</v>
      </c>
      <c r="E332" s="29" t="s">
        <v>401</v>
      </c>
      <c r="F332" s="29" t="str">
        <f>LOOKUP(A332,'QALS - Inspection Lot Record'!A:A,'QALS - Inspection Lot Record'!G:G)</f>
        <v>TG509538</v>
      </c>
      <c r="G332" s="59">
        <f ca="1">LOOKUP(A332,'QALS - Inspection Lot Record'!A:A,'QALS - Inspection Lot Record'!E:E)</f>
        <v>45890</v>
      </c>
      <c r="H332" s="34" t="str">
        <f t="shared" si="30"/>
        <v>A</v>
      </c>
      <c r="I332" s="29" t="str">
        <f t="shared" si="26"/>
        <v>TG509538</v>
      </c>
      <c r="J332" s="59">
        <f t="shared" ca="1" si="27"/>
        <v>45890</v>
      </c>
      <c r="K332" s="30">
        <f ca="1">LOOKUP(A332,'QALS - Inspection Lot Record'!A:A,'QALS - Inspection Lot Record'!I:I)</f>
        <v>9.0405092592592592E-2</v>
      </c>
      <c r="L332" s="59">
        <f t="shared" ca="1" si="28"/>
        <v>45890</v>
      </c>
      <c r="M332" s="30">
        <f t="shared" ca="1" si="29"/>
        <v>0.12310185185185185</v>
      </c>
      <c r="N332" s="11" t="s">
        <v>402</v>
      </c>
      <c r="O332" s="31"/>
      <c r="P332" s="29"/>
      <c r="Q332" s="29"/>
    </row>
    <row r="333" spans="1:17" x14ac:dyDescent="0.35">
      <c r="A333" s="26">
        <v>40000002542</v>
      </c>
      <c r="B333" s="31">
        <v>1</v>
      </c>
      <c r="C333" s="29" t="str">
        <f>LOOKUP(A333,'QALS - Inspection Lot Record'!$A$2:$A$361,'QALS - Inspection Lot Record'!$O$2:$O$361)</f>
        <v>Metformin Tablets (500 MG)</v>
      </c>
      <c r="D333" s="31">
        <v>40</v>
      </c>
      <c r="E333" s="29" t="s">
        <v>403</v>
      </c>
      <c r="F333" s="29" t="str">
        <f>LOOKUP(A333,'QALS - Inspection Lot Record'!A:A,'QALS - Inspection Lot Record'!G:G)</f>
        <v>TG509538</v>
      </c>
      <c r="G333" s="59">
        <f ca="1">LOOKUP(A333,'QALS - Inspection Lot Record'!A:A,'QALS - Inspection Lot Record'!E:E)</f>
        <v>45890</v>
      </c>
      <c r="H333" s="34" t="str">
        <f t="shared" si="30"/>
        <v>A</v>
      </c>
      <c r="I333" s="29" t="str">
        <f t="shared" si="26"/>
        <v>TG509538</v>
      </c>
      <c r="J333" s="59">
        <f t="shared" ca="1" si="27"/>
        <v>45890</v>
      </c>
      <c r="K333" s="30">
        <f ca="1">LOOKUP(A333,'QALS - Inspection Lot Record'!A:A,'QALS - Inspection Lot Record'!I:I)</f>
        <v>9.0405092592592592E-2</v>
      </c>
      <c r="L333" s="59">
        <f t="shared" ca="1" si="28"/>
        <v>45890</v>
      </c>
      <c r="M333" s="30">
        <f t="shared" ca="1" si="29"/>
        <v>0.1203125</v>
      </c>
      <c r="N333" s="31"/>
      <c r="O333" s="31">
        <v>0</v>
      </c>
      <c r="P333" s="29">
        <v>0</v>
      </c>
      <c r="Q333" s="29">
        <v>2</v>
      </c>
    </row>
    <row r="334" spans="1:17" x14ac:dyDescent="0.35">
      <c r="A334" s="26">
        <v>40000002542</v>
      </c>
      <c r="B334" s="31">
        <v>1</v>
      </c>
      <c r="C334" s="29" t="str">
        <f>LOOKUP(A334,'QALS - Inspection Lot Record'!$A$2:$A$361,'QALS - Inspection Lot Record'!$O$2:$O$361)</f>
        <v>Metformin Tablets (500 MG)</v>
      </c>
      <c r="D334" s="31">
        <v>50</v>
      </c>
      <c r="E334" s="29" t="s">
        <v>404</v>
      </c>
      <c r="F334" s="29" t="str">
        <f>LOOKUP(A334,'QALS - Inspection Lot Record'!A:A,'QALS - Inspection Lot Record'!G:G)</f>
        <v>TG509538</v>
      </c>
      <c r="G334" s="59">
        <f ca="1">LOOKUP(A334,'QALS - Inspection Lot Record'!A:A,'QALS - Inspection Lot Record'!E:E)</f>
        <v>45890</v>
      </c>
      <c r="H334" s="34" t="str">
        <f t="shared" si="30"/>
        <v>A</v>
      </c>
      <c r="I334" s="29" t="str">
        <f t="shared" si="26"/>
        <v>TG509538</v>
      </c>
      <c r="J334" s="59">
        <f t="shared" ca="1" si="27"/>
        <v>45890</v>
      </c>
      <c r="K334" s="30">
        <f ca="1">LOOKUP(A334,'QALS - Inspection Lot Record'!A:A,'QALS - Inspection Lot Record'!I:I)</f>
        <v>9.0405092592592592E-2</v>
      </c>
      <c r="L334" s="59">
        <f t="shared" ca="1" si="28"/>
        <v>45890</v>
      </c>
      <c r="M334" s="30">
        <f t="shared" ca="1" si="29"/>
        <v>0.11994212962962963</v>
      </c>
      <c r="N334" s="31"/>
      <c r="O334" s="31">
        <v>50</v>
      </c>
      <c r="P334" s="29">
        <v>40</v>
      </c>
      <c r="Q334" s="29">
        <v>60</v>
      </c>
    </row>
    <row r="335" spans="1:17" x14ac:dyDescent="0.35">
      <c r="A335" s="26">
        <v>40000002542</v>
      </c>
      <c r="B335" s="31">
        <v>1</v>
      </c>
      <c r="C335" s="29" t="str">
        <f>LOOKUP(A335,'QALS - Inspection Lot Record'!$A$2:$A$361,'QALS - Inspection Lot Record'!$O$2:$O$361)</f>
        <v>Metformin Tablets (500 MG)</v>
      </c>
      <c r="D335" s="31">
        <v>60</v>
      </c>
      <c r="E335" s="29" t="s">
        <v>405</v>
      </c>
      <c r="F335" s="29" t="str">
        <f>LOOKUP(A335,'QALS - Inspection Lot Record'!A:A,'QALS - Inspection Lot Record'!G:G)</f>
        <v>TG509538</v>
      </c>
      <c r="G335" s="59">
        <f ca="1">LOOKUP(A335,'QALS - Inspection Lot Record'!A:A,'QALS - Inspection Lot Record'!E:E)</f>
        <v>45890</v>
      </c>
      <c r="H335" s="34" t="str">
        <f t="shared" si="30"/>
        <v>A</v>
      </c>
      <c r="I335" s="29" t="str">
        <f t="shared" si="26"/>
        <v>TG509538</v>
      </c>
      <c r="J335" s="59">
        <f t="shared" ca="1" si="27"/>
        <v>45890</v>
      </c>
      <c r="K335" s="30">
        <f ca="1">LOOKUP(A335,'QALS - Inspection Lot Record'!A:A,'QALS - Inspection Lot Record'!I:I)</f>
        <v>9.0405092592592592E-2</v>
      </c>
      <c r="L335" s="59">
        <f t="shared" ca="1" si="28"/>
        <v>45890</v>
      </c>
      <c r="M335" s="30">
        <f t="shared" ca="1" si="29"/>
        <v>0.11069444444444444</v>
      </c>
      <c r="N335" s="31"/>
      <c r="O335" s="31">
        <v>77.5</v>
      </c>
      <c r="P335" s="29">
        <v>70</v>
      </c>
      <c r="Q335" s="29">
        <v>85</v>
      </c>
    </row>
    <row r="336" spans="1:17" x14ac:dyDescent="0.35">
      <c r="A336" s="26">
        <v>40000002542</v>
      </c>
      <c r="B336" s="31">
        <v>1</v>
      </c>
      <c r="C336" s="29" t="str">
        <f>LOOKUP(A336,'QALS - Inspection Lot Record'!$A$2:$A$361,'QALS - Inspection Lot Record'!$O$2:$O$361)</f>
        <v>Metformin Tablets (500 MG)</v>
      </c>
      <c r="D336" s="31">
        <v>70</v>
      </c>
      <c r="E336" s="29" t="s">
        <v>406</v>
      </c>
      <c r="F336" s="29" t="str">
        <f>LOOKUP(A336,'QALS - Inspection Lot Record'!A:A,'QALS - Inspection Lot Record'!G:G)</f>
        <v>TG509538</v>
      </c>
      <c r="G336" s="59">
        <f ca="1">LOOKUP(A336,'QALS - Inspection Lot Record'!A:A,'QALS - Inspection Lot Record'!E:E)</f>
        <v>45890</v>
      </c>
      <c r="H336" s="34" t="str">
        <f t="shared" si="30"/>
        <v>A</v>
      </c>
      <c r="I336" s="29" t="str">
        <f t="shared" si="26"/>
        <v>TG509538</v>
      </c>
      <c r="J336" s="59">
        <f t="shared" ca="1" si="27"/>
        <v>45890</v>
      </c>
      <c r="K336" s="30">
        <f ca="1">LOOKUP(A336,'QALS - Inspection Lot Record'!A:A,'QALS - Inspection Lot Record'!I:I)</f>
        <v>9.0405092592592592E-2</v>
      </c>
      <c r="L336" s="59">
        <f t="shared" ca="1" si="28"/>
        <v>45890</v>
      </c>
      <c r="M336" s="30">
        <f t="shared" ca="1" si="29"/>
        <v>0.10795138888888889</v>
      </c>
      <c r="N336" s="31"/>
      <c r="O336" s="31">
        <v>85</v>
      </c>
      <c r="P336" s="29">
        <v>80</v>
      </c>
      <c r="Q336" s="29">
        <v>90</v>
      </c>
    </row>
    <row r="337" spans="1:17" x14ac:dyDescent="0.35">
      <c r="A337" s="26">
        <v>40000002542</v>
      </c>
      <c r="B337" s="31">
        <v>1</v>
      </c>
      <c r="C337" s="29" t="str">
        <f>LOOKUP(A337,'QALS - Inspection Lot Record'!$A$2:$A$361,'QALS - Inspection Lot Record'!$O$2:$O$361)</f>
        <v>Metformin Tablets (500 MG)</v>
      </c>
      <c r="D337" s="31">
        <v>80</v>
      </c>
      <c r="E337" s="29" t="s">
        <v>407</v>
      </c>
      <c r="F337" s="29" t="str">
        <f>LOOKUP(A337,'QALS - Inspection Lot Record'!A:A,'QALS - Inspection Lot Record'!G:G)</f>
        <v>TG509538</v>
      </c>
      <c r="G337" s="59">
        <f ca="1">LOOKUP(A337,'QALS - Inspection Lot Record'!A:A,'QALS - Inspection Lot Record'!E:E)</f>
        <v>45890</v>
      </c>
      <c r="H337" s="34" t="str">
        <f t="shared" si="30"/>
        <v>A</v>
      </c>
      <c r="I337" s="29" t="str">
        <f t="shared" si="26"/>
        <v>TG509538</v>
      </c>
      <c r="J337" s="59">
        <f t="shared" ca="1" si="27"/>
        <v>45890</v>
      </c>
      <c r="K337" s="30">
        <f ca="1">LOOKUP(A337,'QALS - Inspection Lot Record'!A:A,'QALS - Inspection Lot Record'!I:I)</f>
        <v>9.0405092592592592E-2</v>
      </c>
      <c r="L337" s="59">
        <f t="shared" ca="1" si="28"/>
        <v>45890</v>
      </c>
      <c r="M337" s="30">
        <f t="shared" ca="1" si="29"/>
        <v>0.12460648148148148</v>
      </c>
      <c r="N337" s="31"/>
      <c r="O337" s="31">
        <v>25.5</v>
      </c>
      <c r="P337" s="29">
        <v>23</v>
      </c>
      <c r="Q337" s="29">
        <v>28</v>
      </c>
    </row>
    <row r="338" spans="1:17" x14ac:dyDescent="0.35">
      <c r="A338" s="26">
        <v>40000002543</v>
      </c>
      <c r="B338" s="27">
        <v>1</v>
      </c>
      <c r="C338" s="29" t="str">
        <f>LOOKUP(A338,'QALS - Inspection Lot Record'!$A$2:$A$361,'QALS - Inspection Lot Record'!$O$2:$O$361)</f>
        <v>Metformin Tablets (100 MG)</v>
      </c>
      <c r="D338" s="27">
        <v>10</v>
      </c>
      <c r="E338" s="26" t="s">
        <v>399</v>
      </c>
      <c r="F338" s="29" t="str">
        <f>LOOKUP(A338,'QALS - Inspection Lot Record'!A:A,'QALS - Inspection Lot Record'!G:G)</f>
        <v>TP397880</v>
      </c>
      <c r="G338" s="59">
        <f ca="1">LOOKUP(A338,'QALS - Inspection Lot Record'!A:A,'QALS - Inspection Lot Record'!E:E)</f>
        <v>45891</v>
      </c>
      <c r="H338" s="34" t="str">
        <f t="shared" si="30"/>
        <v>A</v>
      </c>
      <c r="I338" s="29" t="str">
        <f t="shared" si="26"/>
        <v>TP397880</v>
      </c>
      <c r="J338" s="59">
        <f t="shared" ca="1" si="27"/>
        <v>45891</v>
      </c>
      <c r="K338" s="30">
        <f ca="1">LOOKUP(A338,'QALS - Inspection Lot Record'!A:A,'QALS - Inspection Lot Record'!I:I)</f>
        <v>0.5753935185185185</v>
      </c>
      <c r="L338" s="59">
        <f t="shared" ca="1" si="28"/>
        <v>45891</v>
      </c>
      <c r="M338" s="30">
        <f t="shared" ca="1" si="29"/>
        <v>0.61008101851851848</v>
      </c>
      <c r="N338" s="31"/>
      <c r="O338" s="31">
        <v>98.5</v>
      </c>
      <c r="P338" s="29">
        <v>95</v>
      </c>
      <c r="Q338" s="29">
        <v>102</v>
      </c>
    </row>
    <row r="339" spans="1:17" x14ac:dyDescent="0.35">
      <c r="A339" s="26">
        <v>40000002543</v>
      </c>
      <c r="B339" s="27">
        <v>1</v>
      </c>
      <c r="C339" s="29" t="str">
        <f>LOOKUP(A339,'QALS - Inspection Lot Record'!$A$2:$A$361,'QALS - Inspection Lot Record'!$O$2:$O$361)</f>
        <v>Metformin Tablets (100 MG)</v>
      </c>
      <c r="D339" s="31">
        <v>20</v>
      </c>
      <c r="E339" s="29" t="s">
        <v>400</v>
      </c>
      <c r="F339" s="29" t="str">
        <f>LOOKUP(A339,'QALS - Inspection Lot Record'!A:A,'QALS - Inspection Lot Record'!G:G)</f>
        <v>TP397880</v>
      </c>
      <c r="G339" s="59">
        <f ca="1">LOOKUP(A339,'QALS - Inspection Lot Record'!A:A,'QALS - Inspection Lot Record'!E:E)</f>
        <v>45891</v>
      </c>
      <c r="H339" s="34" t="str">
        <f t="shared" si="30"/>
        <v>A</v>
      </c>
      <c r="I339" s="29" t="str">
        <f t="shared" si="26"/>
        <v>TP397880</v>
      </c>
      <c r="J339" s="59">
        <f t="shared" ca="1" si="27"/>
        <v>45891</v>
      </c>
      <c r="K339" s="30">
        <f ca="1">LOOKUP(A339,'QALS - Inspection Lot Record'!A:A,'QALS - Inspection Lot Record'!I:I)</f>
        <v>0.5753935185185185</v>
      </c>
      <c r="L339" s="59">
        <f t="shared" ca="1" si="28"/>
        <v>45891</v>
      </c>
      <c r="M339" s="30">
        <f t="shared" ca="1" si="29"/>
        <v>0.59896990740740741</v>
      </c>
      <c r="N339" s="31"/>
      <c r="O339" s="31">
        <v>7.3</v>
      </c>
      <c r="P339" s="29">
        <v>3.5</v>
      </c>
      <c r="Q339" s="29">
        <v>11</v>
      </c>
    </row>
    <row r="340" spans="1:17" x14ac:dyDescent="0.35">
      <c r="A340" s="26">
        <v>40000002543</v>
      </c>
      <c r="B340" s="31">
        <v>1</v>
      </c>
      <c r="C340" s="29" t="str">
        <f>LOOKUP(A340,'QALS - Inspection Lot Record'!$A$2:$A$361,'QALS - Inspection Lot Record'!$O$2:$O$361)</f>
        <v>Metformin Tablets (100 MG)</v>
      </c>
      <c r="D340" s="31">
        <v>30</v>
      </c>
      <c r="E340" s="29" t="s">
        <v>401</v>
      </c>
      <c r="F340" s="29" t="str">
        <f>LOOKUP(A340,'QALS - Inspection Lot Record'!A:A,'QALS - Inspection Lot Record'!G:G)</f>
        <v>TP397880</v>
      </c>
      <c r="G340" s="59">
        <f ca="1">LOOKUP(A340,'QALS - Inspection Lot Record'!A:A,'QALS - Inspection Lot Record'!E:E)</f>
        <v>45891</v>
      </c>
      <c r="H340" s="34" t="str">
        <f t="shared" si="30"/>
        <v>A</v>
      </c>
      <c r="I340" s="29" t="str">
        <f t="shared" si="26"/>
        <v>TP397880</v>
      </c>
      <c r="J340" s="59">
        <f t="shared" ca="1" si="27"/>
        <v>45891</v>
      </c>
      <c r="K340" s="30">
        <f ca="1">LOOKUP(A340,'QALS - Inspection Lot Record'!A:A,'QALS - Inspection Lot Record'!I:I)</f>
        <v>0.5753935185185185</v>
      </c>
      <c r="L340" s="59">
        <f t="shared" ca="1" si="28"/>
        <v>45891</v>
      </c>
      <c r="M340" s="30">
        <f t="shared" ca="1" si="29"/>
        <v>0.60273148148148148</v>
      </c>
      <c r="N340" s="11" t="s">
        <v>402</v>
      </c>
      <c r="O340" s="31"/>
      <c r="P340" s="29"/>
      <c r="Q340" s="29"/>
    </row>
    <row r="341" spans="1:17" x14ac:dyDescent="0.35">
      <c r="A341" s="26">
        <v>40000002543</v>
      </c>
      <c r="B341" s="31">
        <v>1</v>
      </c>
      <c r="C341" s="29" t="str">
        <f>LOOKUP(A341,'QALS - Inspection Lot Record'!$A$2:$A$361,'QALS - Inspection Lot Record'!$O$2:$O$361)</f>
        <v>Metformin Tablets (100 MG)</v>
      </c>
      <c r="D341" s="31">
        <v>40</v>
      </c>
      <c r="E341" s="29" t="s">
        <v>403</v>
      </c>
      <c r="F341" s="29" t="str">
        <f>LOOKUP(A341,'QALS - Inspection Lot Record'!A:A,'QALS - Inspection Lot Record'!G:G)</f>
        <v>TP397880</v>
      </c>
      <c r="G341" s="59">
        <f ca="1">LOOKUP(A341,'QALS - Inspection Lot Record'!A:A,'QALS - Inspection Lot Record'!E:E)</f>
        <v>45891</v>
      </c>
      <c r="H341" s="34" t="str">
        <f t="shared" si="30"/>
        <v>A</v>
      </c>
      <c r="I341" s="29" t="str">
        <f t="shared" si="26"/>
        <v>TP397880</v>
      </c>
      <c r="J341" s="59">
        <f t="shared" ca="1" si="27"/>
        <v>45891</v>
      </c>
      <c r="K341" s="30">
        <f ca="1">LOOKUP(A341,'QALS - Inspection Lot Record'!A:A,'QALS - Inspection Lot Record'!I:I)</f>
        <v>0.5753935185185185</v>
      </c>
      <c r="L341" s="59">
        <f t="shared" ca="1" si="28"/>
        <v>45891</v>
      </c>
      <c r="M341" s="30">
        <f t="shared" ca="1" si="29"/>
        <v>0.60543981481481479</v>
      </c>
      <c r="N341" s="31"/>
      <c r="O341" s="31">
        <v>0.5</v>
      </c>
      <c r="P341" s="29">
        <v>0</v>
      </c>
      <c r="Q341" s="29">
        <v>1</v>
      </c>
    </row>
    <row r="342" spans="1:17" x14ac:dyDescent="0.35">
      <c r="A342" s="26">
        <v>40000002543</v>
      </c>
      <c r="B342" s="31">
        <v>1</v>
      </c>
      <c r="C342" s="29" t="str">
        <f>LOOKUP(A342,'QALS - Inspection Lot Record'!$A$2:$A$361,'QALS - Inspection Lot Record'!$O$2:$O$361)</f>
        <v>Metformin Tablets (100 MG)</v>
      </c>
      <c r="D342" s="31">
        <v>50</v>
      </c>
      <c r="E342" s="29" t="s">
        <v>404</v>
      </c>
      <c r="F342" s="29" t="str">
        <f>LOOKUP(A342,'QALS - Inspection Lot Record'!A:A,'QALS - Inspection Lot Record'!G:G)</f>
        <v>TP397880</v>
      </c>
      <c r="G342" s="59">
        <f ca="1">LOOKUP(A342,'QALS - Inspection Lot Record'!A:A,'QALS - Inspection Lot Record'!E:E)</f>
        <v>45891</v>
      </c>
      <c r="H342" s="34" t="str">
        <f t="shared" si="30"/>
        <v>A</v>
      </c>
      <c r="I342" s="29" t="str">
        <f t="shared" si="26"/>
        <v>TP397880</v>
      </c>
      <c r="J342" s="59">
        <f t="shared" ca="1" si="27"/>
        <v>45891</v>
      </c>
      <c r="K342" s="30">
        <f ca="1">LOOKUP(A342,'QALS - Inspection Lot Record'!A:A,'QALS - Inspection Lot Record'!I:I)</f>
        <v>0.5753935185185185</v>
      </c>
      <c r="L342" s="59">
        <f t="shared" ca="1" si="28"/>
        <v>45891</v>
      </c>
      <c r="M342" s="30">
        <f t="shared" ca="1" si="29"/>
        <v>0.60170138888888891</v>
      </c>
      <c r="N342" s="31"/>
      <c r="O342" s="31">
        <v>41.1</v>
      </c>
      <c r="P342" s="29">
        <v>40</v>
      </c>
      <c r="Q342" s="29">
        <v>60</v>
      </c>
    </row>
    <row r="343" spans="1:17" x14ac:dyDescent="0.35">
      <c r="A343" s="26">
        <v>40000002543</v>
      </c>
      <c r="B343" s="31">
        <v>1</v>
      </c>
      <c r="C343" s="29" t="str">
        <f>LOOKUP(A343,'QALS - Inspection Lot Record'!$A$2:$A$361,'QALS - Inspection Lot Record'!$O$2:$O$361)</f>
        <v>Metformin Tablets (100 MG)</v>
      </c>
      <c r="D343" s="31">
        <v>60</v>
      </c>
      <c r="E343" s="29" t="s">
        <v>405</v>
      </c>
      <c r="F343" s="29" t="str">
        <f>LOOKUP(A343,'QALS - Inspection Lot Record'!A:A,'QALS - Inspection Lot Record'!G:G)</f>
        <v>TP397880</v>
      </c>
      <c r="G343" s="59">
        <f ca="1">LOOKUP(A343,'QALS - Inspection Lot Record'!A:A,'QALS - Inspection Lot Record'!E:E)</f>
        <v>45891</v>
      </c>
      <c r="H343" s="34" t="str">
        <f t="shared" si="30"/>
        <v>A</v>
      </c>
      <c r="I343" s="29" t="str">
        <f t="shared" si="26"/>
        <v>TP397880</v>
      </c>
      <c r="J343" s="59">
        <f t="shared" ca="1" si="27"/>
        <v>45891</v>
      </c>
      <c r="K343" s="30">
        <f ca="1">LOOKUP(A343,'QALS - Inspection Lot Record'!A:A,'QALS - Inspection Lot Record'!I:I)</f>
        <v>0.5753935185185185</v>
      </c>
      <c r="L343" s="59">
        <f t="shared" ca="1" si="28"/>
        <v>45891</v>
      </c>
      <c r="M343" s="30">
        <f t="shared" ca="1" si="29"/>
        <v>0.60582175925925918</v>
      </c>
      <c r="N343" s="31"/>
      <c r="O343" s="31">
        <v>71</v>
      </c>
      <c r="P343" s="29">
        <v>70</v>
      </c>
      <c r="Q343" s="29">
        <v>85</v>
      </c>
    </row>
    <row r="344" spans="1:17" x14ac:dyDescent="0.35">
      <c r="A344" s="26">
        <v>40000002543</v>
      </c>
      <c r="B344" s="31">
        <v>1</v>
      </c>
      <c r="C344" s="29" t="str">
        <f>LOOKUP(A344,'QALS - Inspection Lot Record'!$A$2:$A$361,'QALS - Inspection Lot Record'!$O$2:$O$361)</f>
        <v>Metformin Tablets (100 MG)</v>
      </c>
      <c r="D344" s="31">
        <v>70</v>
      </c>
      <c r="E344" s="29" t="s">
        <v>406</v>
      </c>
      <c r="F344" s="29" t="str">
        <f>LOOKUP(A344,'QALS - Inspection Lot Record'!A:A,'QALS - Inspection Lot Record'!G:G)</f>
        <v>TP397880</v>
      </c>
      <c r="G344" s="59">
        <f ca="1">LOOKUP(A344,'QALS - Inspection Lot Record'!A:A,'QALS - Inspection Lot Record'!E:E)</f>
        <v>45891</v>
      </c>
      <c r="H344" s="34" t="str">
        <f t="shared" si="30"/>
        <v>A</v>
      </c>
      <c r="I344" s="29" t="str">
        <f t="shared" si="26"/>
        <v>TP397880</v>
      </c>
      <c r="J344" s="59">
        <f t="shared" ca="1" si="27"/>
        <v>45891</v>
      </c>
      <c r="K344" s="30">
        <f ca="1">LOOKUP(A344,'QALS - Inspection Lot Record'!A:A,'QALS - Inspection Lot Record'!I:I)</f>
        <v>0.5753935185185185</v>
      </c>
      <c r="L344" s="59">
        <f t="shared" ca="1" si="28"/>
        <v>45891</v>
      </c>
      <c r="M344" s="30">
        <f t="shared" ca="1" si="29"/>
        <v>0.59736111111111112</v>
      </c>
      <c r="N344" s="31"/>
      <c r="O344" s="31">
        <v>81.599999999999994</v>
      </c>
      <c r="P344" s="29">
        <v>80</v>
      </c>
      <c r="Q344" s="29">
        <v>90</v>
      </c>
    </row>
    <row r="345" spans="1:17" x14ac:dyDescent="0.35">
      <c r="A345" s="26">
        <v>40000002543</v>
      </c>
      <c r="B345" s="31">
        <v>1</v>
      </c>
      <c r="C345" s="29" t="str">
        <f>LOOKUP(A345,'QALS - Inspection Lot Record'!$A$2:$A$361,'QALS - Inspection Lot Record'!$O$2:$O$361)</f>
        <v>Metformin Tablets (100 MG)</v>
      </c>
      <c r="D345" s="31">
        <v>80</v>
      </c>
      <c r="E345" s="29" t="s">
        <v>407</v>
      </c>
      <c r="F345" s="29" t="str">
        <f>LOOKUP(A345,'QALS - Inspection Lot Record'!A:A,'QALS - Inspection Lot Record'!G:G)</f>
        <v>TP397880</v>
      </c>
      <c r="G345" s="59">
        <f ca="1">LOOKUP(A345,'QALS - Inspection Lot Record'!A:A,'QALS - Inspection Lot Record'!E:E)</f>
        <v>45891</v>
      </c>
      <c r="H345" s="34" t="str">
        <f t="shared" si="30"/>
        <v>A</v>
      </c>
      <c r="I345" s="29" t="str">
        <f t="shared" si="26"/>
        <v>TP397880</v>
      </c>
      <c r="J345" s="59">
        <f t="shared" ca="1" si="27"/>
        <v>45891</v>
      </c>
      <c r="K345" s="30">
        <f ca="1">LOOKUP(A345,'QALS - Inspection Lot Record'!A:A,'QALS - Inspection Lot Record'!I:I)</f>
        <v>0.5753935185185185</v>
      </c>
      <c r="L345" s="59">
        <f t="shared" ca="1" si="28"/>
        <v>45891</v>
      </c>
      <c r="M345" s="30">
        <f t="shared" ca="1" si="29"/>
        <v>0.59456018518518516</v>
      </c>
      <c r="N345" s="31"/>
      <c r="O345" s="31">
        <v>24</v>
      </c>
      <c r="P345" s="29">
        <v>23</v>
      </c>
      <c r="Q345" s="29">
        <v>25</v>
      </c>
    </row>
    <row r="346" spans="1:17" x14ac:dyDescent="0.35">
      <c r="A346" s="26">
        <v>40000002544</v>
      </c>
      <c r="B346" s="27">
        <v>1</v>
      </c>
      <c r="C346" s="29" t="str">
        <f>LOOKUP(A346,'QALS - Inspection Lot Record'!$A$2:$A$361,'QALS - Inspection Lot Record'!$O$2:$O$361)</f>
        <v>Ibuprofen Tablets (100 MG)</v>
      </c>
      <c r="D346" s="27">
        <v>10</v>
      </c>
      <c r="E346" s="26" t="s">
        <v>399</v>
      </c>
      <c r="F346" s="29" t="str">
        <f>LOOKUP(A346,'QALS - Inspection Lot Record'!A:A,'QALS - Inspection Lot Record'!G:G)</f>
        <v>GC197258</v>
      </c>
      <c r="G346" s="59">
        <f ca="1">LOOKUP(A346,'QALS - Inspection Lot Record'!A:A,'QALS - Inspection Lot Record'!E:E)</f>
        <v>45891</v>
      </c>
      <c r="H346" s="34" t="str">
        <f t="shared" si="30"/>
        <v>A</v>
      </c>
      <c r="I346" s="29" t="str">
        <f t="shared" si="26"/>
        <v>GC197258</v>
      </c>
      <c r="J346" s="59">
        <f t="shared" ca="1" si="27"/>
        <v>45891</v>
      </c>
      <c r="K346" s="30">
        <f ca="1">LOOKUP(A346,'QALS - Inspection Lot Record'!A:A,'QALS - Inspection Lot Record'!I:I)</f>
        <v>0.29206018518518517</v>
      </c>
      <c r="L346" s="59">
        <f t="shared" ca="1" si="28"/>
        <v>45891</v>
      </c>
      <c r="M346" s="30">
        <f t="shared" ca="1" si="29"/>
        <v>0.31902777777777774</v>
      </c>
      <c r="N346" s="31"/>
      <c r="O346" s="31">
        <v>98.5</v>
      </c>
      <c r="P346" s="29">
        <v>95</v>
      </c>
      <c r="Q346" s="29">
        <v>102</v>
      </c>
    </row>
    <row r="347" spans="1:17" x14ac:dyDescent="0.35">
      <c r="A347" s="26">
        <v>40000002544</v>
      </c>
      <c r="B347" s="27">
        <v>1</v>
      </c>
      <c r="C347" s="29" t="str">
        <f>LOOKUP(A347,'QALS - Inspection Lot Record'!$A$2:$A$361,'QALS - Inspection Lot Record'!$O$2:$O$361)</f>
        <v>Ibuprofen Tablets (100 MG)</v>
      </c>
      <c r="D347" s="31">
        <v>20</v>
      </c>
      <c r="E347" s="29" t="s">
        <v>400</v>
      </c>
      <c r="F347" s="29" t="str">
        <f>LOOKUP(A347,'QALS - Inspection Lot Record'!A:A,'QALS - Inspection Lot Record'!G:G)</f>
        <v>GC197258</v>
      </c>
      <c r="G347" s="59">
        <f ca="1">LOOKUP(A347,'QALS - Inspection Lot Record'!A:A,'QALS - Inspection Lot Record'!E:E)</f>
        <v>45891</v>
      </c>
      <c r="H347" s="34" t="str">
        <f t="shared" si="30"/>
        <v>A</v>
      </c>
      <c r="I347" s="29" t="str">
        <f t="shared" si="26"/>
        <v>GC197258</v>
      </c>
      <c r="J347" s="59">
        <f t="shared" ca="1" si="27"/>
        <v>45891</v>
      </c>
      <c r="K347" s="30">
        <f ca="1">LOOKUP(A347,'QALS - Inspection Lot Record'!A:A,'QALS - Inspection Lot Record'!I:I)</f>
        <v>0.29206018518518517</v>
      </c>
      <c r="L347" s="59">
        <f t="shared" ca="1" si="28"/>
        <v>45891</v>
      </c>
      <c r="M347" s="30">
        <f t="shared" ca="1" si="29"/>
        <v>0.31130787037037033</v>
      </c>
      <c r="N347" s="31"/>
      <c r="O347" s="31">
        <v>7.3</v>
      </c>
      <c r="P347" s="29">
        <v>3.5</v>
      </c>
      <c r="Q347" s="29">
        <v>11</v>
      </c>
    </row>
    <row r="348" spans="1:17" x14ac:dyDescent="0.35">
      <c r="A348" s="26">
        <v>40000002544</v>
      </c>
      <c r="B348" s="31">
        <v>1</v>
      </c>
      <c r="C348" s="29" t="str">
        <f>LOOKUP(A348,'QALS - Inspection Lot Record'!$A$2:$A$361,'QALS - Inspection Lot Record'!$O$2:$O$361)</f>
        <v>Ibuprofen Tablets (100 MG)</v>
      </c>
      <c r="D348" s="31">
        <v>30</v>
      </c>
      <c r="E348" s="29" t="s">
        <v>401</v>
      </c>
      <c r="F348" s="29" t="str">
        <f>LOOKUP(A348,'QALS - Inspection Lot Record'!A:A,'QALS - Inspection Lot Record'!G:G)</f>
        <v>GC197258</v>
      </c>
      <c r="G348" s="59">
        <f ca="1">LOOKUP(A348,'QALS - Inspection Lot Record'!A:A,'QALS - Inspection Lot Record'!E:E)</f>
        <v>45891</v>
      </c>
      <c r="H348" s="34" t="str">
        <f t="shared" si="30"/>
        <v>A</v>
      </c>
      <c r="I348" s="29" t="str">
        <f t="shared" si="26"/>
        <v>GC197258</v>
      </c>
      <c r="J348" s="59">
        <f t="shared" ca="1" si="27"/>
        <v>45891</v>
      </c>
      <c r="K348" s="30">
        <f ca="1">LOOKUP(A348,'QALS - Inspection Lot Record'!A:A,'QALS - Inspection Lot Record'!I:I)</f>
        <v>0.29206018518518517</v>
      </c>
      <c r="L348" s="59">
        <f t="shared" ca="1" si="28"/>
        <v>45891</v>
      </c>
      <c r="M348" s="30">
        <f t="shared" ca="1" si="29"/>
        <v>0.32689814814814816</v>
      </c>
      <c r="N348" s="11" t="s">
        <v>402</v>
      </c>
      <c r="O348" s="31"/>
      <c r="P348" s="29"/>
      <c r="Q348" s="29"/>
    </row>
    <row r="349" spans="1:17" x14ac:dyDescent="0.35">
      <c r="A349" s="26">
        <v>40000002544</v>
      </c>
      <c r="B349" s="31">
        <v>1</v>
      </c>
      <c r="C349" s="29" t="str">
        <f>LOOKUP(A349,'QALS - Inspection Lot Record'!$A$2:$A$361,'QALS - Inspection Lot Record'!$O$2:$O$361)</f>
        <v>Ibuprofen Tablets (100 MG)</v>
      </c>
      <c r="D349" s="31">
        <v>40</v>
      </c>
      <c r="E349" s="29" t="s">
        <v>403</v>
      </c>
      <c r="F349" s="29" t="str">
        <f>LOOKUP(A349,'QALS - Inspection Lot Record'!A:A,'QALS - Inspection Lot Record'!G:G)</f>
        <v>GC197258</v>
      </c>
      <c r="G349" s="59">
        <f ca="1">LOOKUP(A349,'QALS - Inspection Lot Record'!A:A,'QALS - Inspection Lot Record'!E:E)</f>
        <v>45891</v>
      </c>
      <c r="H349" s="34" t="str">
        <f t="shared" si="30"/>
        <v>A</v>
      </c>
      <c r="I349" s="29" t="str">
        <f t="shared" si="26"/>
        <v>GC197258</v>
      </c>
      <c r="J349" s="59">
        <f t="shared" ca="1" si="27"/>
        <v>45891</v>
      </c>
      <c r="K349" s="30">
        <f ca="1">LOOKUP(A349,'QALS - Inspection Lot Record'!A:A,'QALS - Inspection Lot Record'!I:I)</f>
        <v>0.29206018518518517</v>
      </c>
      <c r="L349" s="59">
        <f t="shared" ca="1" si="28"/>
        <v>45891</v>
      </c>
      <c r="M349" s="30">
        <f t="shared" ca="1" si="29"/>
        <v>0.3125</v>
      </c>
      <c r="N349" s="31"/>
      <c r="O349" s="31">
        <v>0.5</v>
      </c>
      <c r="P349" s="29">
        <v>0</v>
      </c>
      <c r="Q349" s="29">
        <v>1</v>
      </c>
    </row>
    <row r="350" spans="1:17" x14ac:dyDescent="0.35">
      <c r="A350" s="26">
        <v>40000002544</v>
      </c>
      <c r="B350" s="31">
        <v>1</v>
      </c>
      <c r="C350" s="29" t="str">
        <f>LOOKUP(A350,'QALS - Inspection Lot Record'!$A$2:$A$361,'QALS - Inspection Lot Record'!$O$2:$O$361)</f>
        <v>Ibuprofen Tablets (100 MG)</v>
      </c>
      <c r="D350" s="31">
        <v>50</v>
      </c>
      <c r="E350" s="29" t="s">
        <v>404</v>
      </c>
      <c r="F350" s="29" t="str">
        <f>LOOKUP(A350,'QALS - Inspection Lot Record'!A:A,'QALS - Inspection Lot Record'!G:G)</f>
        <v>GC197258</v>
      </c>
      <c r="G350" s="59">
        <f ca="1">LOOKUP(A350,'QALS - Inspection Lot Record'!A:A,'QALS - Inspection Lot Record'!E:E)</f>
        <v>45891</v>
      </c>
      <c r="H350" s="34" t="str">
        <f t="shared" si="30"/>
        <v>A</v>
      </c>
      <c r="I350" s="29" t="str">
        <f t="shared" si="26"/>
        <v>GC197258</v>
      </c>
      <c r="J350" s="59">
        <f t="shared" ca="1" si="27"/>
        <v>45891</v>
      </c>
      <c r="K350" s="30">
        <f ca="1">LOOKUP(A350,'QALS - Inspection Lot Record'!A:A,'QALS - Inspection Lot Record'!I:I)</f>
        <v>0.29206018518518517</v>
      </c>
      <c r="L350" s="59">
        <f t="shared" ca="1" si="28"/>
        <v>45891</v>
      </c>
      <c r="M350" s="30">
        <f t="shared" ca="1" si="29"/>
        <v>0.32052083333333331</v>
      </c>
      <c r="N350" s="31"/>
      <c r="O350" s="31">
        <v>41.2</v>
      </c>
      <c r="P350" s="29">
        <v>40</v>
      </c>
      <c r="Q350" s="29">
        <v>60</v>
      </c>
    </row>
    <row r="351" spans="1:17" x14ac:dyDescent="0.35">
      <c r="A351" s="26">
        <v>40000002544</v>
      </c>
      <c r="B351" s="31">
        <v>1</v>
      </c>
      <c r="C351" s="29" t="str">
        <f>LOOKUP(A351,'QALS - Inspection Lot Record'!$A$2:$A$361,'QALS - Inspection Lot Record'!$O$2:$O$361)</f>
        <v>Ibuprofen Tablets (100 MG)</v>
      </c>
      <c r="D351" s="31">
        <v>60</v>
      </c>
      <c r="E351" s="29" t="s">
        <v>405</v>
      </c>
      <c r="F351" s="29" t="str">
        <f>LOOKUP(A351,'QALS - Inspection Lot Record'!A:A,'QALS - Inspection Lot Record'!G:G)</f>
        <v>GC197258</v>
      </c>
      <c r="G351" s="59">
        <f ca="1">LOOKUP(A351,'QALS - Inspection Lot Record'!A:A,'QALS - Inspection Lot Record'!E:E)</f>
        <v>45891</v>
      </c>
      <c r="H351" s="34" t="str">
        <f t="shared" si="30"/>
        <v>A</v>
      </c>
      <c r="I351" s="29" t="str">
        <f t="shared" si="26"/>
        <v>GC197258</v>
      </c>
      <c r="J351" s="59">
        <f t="shared" ca="1" si="27"/>
        <v>45891</v>
      </c>
      <c r="K351" s="30">
        <f ca="1">LOOKUP(A351,'QALS - Inspection Lot Record'!A:A,'QALS - Inspection Lot Record'!I:I)</f>
        <v>0.29206018518518517</v>
      </c>
      <c r="L351" s="59">
        <f t="shared" ca="1" si="28"/>
        <v>45891</v>
      </c>
      <c r="M351" s="30">
        <f t="shared" ca="1" si="29"/>
        <v>0.3193171296296296</v>
      </c>
      <c r="N351" s="31"/>
      <c r="O351" s="31">
        <v>71.099999999999994</v>
      </c>
      <c r="P351" s="29">
        <v>70</v>
      </c>
      <c r="Q351" s="29">
        <v>85</v>
      </c>
    </row>
    <row r="352" spans="1:17" x14ac:dyDescent="0.35">
      <c r="A352" s="26">
        <v>40000002544</v>
      </c>
      <c r="B352" s="31">
        <v>1</v>
      </c>
      <c r="C352" s="29" t="str">
        <f>LOOKUP(A352,'QALS - Inspection Lot Record'!$A$2:$A$361,'QALS - Inspection Lot Record'!$O$2:$O$361)</f>
        <v>Ibuprofen Tablets (100 MG)</v>
      </c>
      <c r="D352" s="31">
        <v>70</v>
      </c>
      <c r="E352" s="29" t="s">
        <v>406</v>
      </c>
      <c r="F352" s="29" t="str">
        <f>LOOKUP(A352,'QALS - Inspection Lot Record'!A:A,'QALS - Inspection Lot Record'!G:G)</f>
        <v>GC197258</v>
      </c>
      <c r="G352" s="59">
        <f ca="1">LOOKUP(A352,'QALS - Inspection Lot Record'!A:A,'QALS - Inspection Lot Record'!E:E)</f>
        <v>45891</v>
      </c>
      <c r="H352" s="34" t="str">
        <f t="shared" si="30"/>
        <v>A</v>
      </c>
      <c r="I352" s="29" t="str">
        <f t="shared" si="26"/>
        <v>GC197258</v>
      </c>
      <c r="J352" s="59">
        <f t="shared" ca="1" si="27"/>
        <v>45891</v>
      </c>
      <c r="K352" s="30">
        <f ca="1">LOOKUP(A352,'QALS - Inspection Lot Record'!A:A,'QALS - Inspection Lot Record'!I:I)</f>
        <v>0.29206018518518517</v>
      </c>
      <c r="L352" s="59">
        <f t="shared" ca="1" si="28"/>
        <v>45891</v>
      </c>
      <c r="M352" s="30">
        <f t="shared" ca="1" si="29"/>
        <v>0.32260416666666664</v>
      </c>
      <c r="N352" s="31"/>
      <c r="O352" s="31">
        <v>81.5</v>
      </c>
      <c r="P352" s="29">
        <v>80</v>
      </c>
      <c r="Q352" s="29">
        <v>90</v>
      </c>
    </row>
    <row r="353" spans="1:17" x14ac:dyDescent="0.35">
      <c r="A353" s="26">
        <v>40000002544</v>
      </c>
      <c r="B353" s="31">
        <v>1</v>
      </c>
      <c r="C353" s="29" t="str">
        <f>LOOKUP(A353,'QALS - Inspection Lot Record'!$A$2:$A$361,'QALS - Inspection Lot Record'!$O$2:$O$361)</f>
        <v>Ibuprofen Tablets (100 MG)</v>
      </c>
      <c r="D353" s="31">
        <v>80</v>
      </c>
      <c r="E353" s="29" t="s">
        <v>407</v>
      </c>
      <c r="F353" s="29" t="str">
        <f>LOOKUP(A353,'QALS - Inspection Lot Record'!A:A,'QALS - Inspection Lot Record'!G:G)</f>
        <v>GC197258</v>
      </c>
      <c r="G353" s="59">
        <f ca="1">LOOKUP(A353,'QALS - Inspection Lot Record'!A:A,'QALS - Inspection Lot Record'!E:E)</f>
        <v>45891</v>
      </c>
      <c r="H353" s="34" t="str">
        <f t="shared" si="30"/>
        <v>A</v>
      </c>
      <c r="I353" s="29" t="str">
        <f t="shared" si="26"/>
        <v>GC197258</v>
      </c>
      <c r="J353" s="59">
        <f t="shared" ca="1" si="27"/>
        <v>45891</v>
      </c>
      <c r="K353" s="30">
        <f ca="1">LOOKUP(A353,'QALS - Inspection Lot Record'!A:A,'QALS - Inspection Lot Record'!I:I)</f>
        <v>0.29206018518518517</v>
      </c>
      <c r="L353" s="59">
        <f t="shared" ca="1" si="28"/>
        <v>45891</v>
      </c>
      <c r="M353" s="30">
        <f t="shared" ca="1" si="29"/>
        <v>0.32318287037037036</v>
      </c>
      <c r="N353" s="31"/>
      <c r="O353" s="31">
        <v>24</v>
      </c>
      <c r="P353" s="29">
        <v>23</v>
      </c>
      <c r="Q353" s="29">
        <v>25</v>
      </c>
    </row>
    <row r="354" spans="1:17" x14ac:dyDescent="0.35">
      <c r="A354" s="26">
        <v>40000002545</v>
      </c>
      <c r="B354" s="27">
        <v>1</v>
      </c>
      <c r="C354" s="29" t="str">
        <f>LOOKUP(A354,'QALS - Inspection Lot Record'!$A$2:$A$361,'QALS - Inspection Lot Record'!$O$2:$O$361)</f>
        <v>Metformin Tablets (200 MG)</v>
      </c>
      <c r="D354" s="27">
        <v>10</v>
      </c>
      <c r="E354" s="26" t="s">
        <v>399</v>
      </c>
      <c r="F354" s="29" t="str">
        <f>LOOKUP(A354,'QALS - Inspection Lot Record'!A:A,'QALS - Inspection Lot Record'!G:G)</f>
        <v>TP397880</v>
      </c>
      <c r="G354" s="59">
        <f ca="1">LOOKUP(A354,'QALS - Inspection Lot Record'!A:A,'QALS - Inspection Lot Record'!E:E)</f>
        <v>45892</v>
      </c>
      <c r="H354" s="34" t="str">
        <f t="shared" si="30"/>
        <v>A</v>
      </c>
      <c r="I354" s="29" t="str">
        <f t="shared" si="26"/>
        <v>TP397880</v>
      </c>
      <c r="J354" s="59">
        <f t="shared" ca="1" si="27"/>
        <v>45892</v>
      </c>
      <c r="K354" s="30">
        <f ca="1">LOOKUP(A354,'QALS - Inspection Lot Record'!A:A,'QALS - Inspection Lot Record'!I:I)</f>
        <v>0.54116898148148151</v>
      </c>
      <c r="L354" s="59">
        <f t="shared" ca="1" si="28"/>
        <v>45892</v>
      </c>
      <c r="M354" s="30">
        <f t="shared" ca="1" si="29"/>
        <v>0.56666666666666665</v>
      </c>
      <c r="N354" s="31"/>
      <c r="O354" s="31">
        <v>99</v>
      </c>
      <c r="P354" s="29">
        <v>95</v>
      </c>
      <c r="Q354" s="29">
        <v>103</v>
      </c>
    </row>
    <row r="355" spans="1:17" x14ac:dyDescent="0.35">
      <c r="A355" s="26">
        <v>40000002545</v>
      </c>
      <c r="B355" s="27">
        <v>1</v>
      </c>
      <c r="C355" s="29" t="str">
        <f>LOOKUP(A355,'QALS - Inspection Lot Record'!$A$2:$A$361,'QALS - Inspection Lot Record'!$O$2:$O$361)</f>
        <v>Metformin Tablets (200 MG)</v>
      </c>
      <c r="D355" s="31">
        <v>20</v>
      </c>
      <c r="E355" s="29" t="s">
        <v>400</v>
      </c>
      <c r="F355" s="29" t="str">
        <f>LOOKUP(A355,'QALS - Inspection Lot Record'!A:A,'QALS - Inspection Lot Record'!G:G)</f>
        <v>TP397880</v>
      </c>
      <c r="G355" s="59">
        <f ca="1">LOOKUP(A355,'QALS - Inspection Lot Record'!A:A,'QALS - Inspection Lot Record'!E:E)</f>
        <v>45892</v>
      </c>
      <c r="H355" s="34" t="str">
        <f t="shared" si="30"/>
        <v>A</v>
      </c>
      <c r="I355" s="29" t="str">
        <f t="shared" si="26"/>
        <v>TP397880</v>
      </c>
      <c r="J355" s="59">
        <f t="shared" ca="1" si="27"/>
        <v>45892</v>
      </c>
      <c r="K355" s="30">
        <f ca="1">LOOKUP(A355,'QALS - Inspection Lot Record'!A:A,'QALS - Inspection Lot Record'!I:I)</f>
        <v>0.54116898148148151</v>
      </c>
      <c r="L355" s="59">
        <f t="shared" ca="1" si="28"/>
        <v>45892</v>
      </c>
      <c r="M355" s="30">
        <f t="shared" ca="1" si="29"/>
        <v>0.56550925925925932</v>
      </c>
      <c r="N355" s="31"/>
      <c r="O355" s="31">
        <v>7.75</v>
      </c>
      <c r="P355" s="29">
        <v>6</v>
      </c>
      <c r="Q355" s="29">
        <v>9.5</v>
      </c>
    </row>
    <row r="356" spans="1:17" x14ac:dyDescent="0.35">
      <c r="A356" s="26">
        <v>40000002545</v>
      </c>
      <c r="B356" s="31">
        <v>1</v>
      </c>
      <c r="C356" s="29" t="str">
        <f>LOOKUP(A356,'QALS - Inspection Lot Record'!$A$2:$A$361,'QALS - Inspection Lot Record'!$O$2:$O$361)</f>
        <v>Metformin Tablets (200 MG)</v>
      </c>
      <c r="D356" s="31">
        <v>30</v>
      </c>
      <c r="E356" s="29" t="s">
        <v>401</v>
      </c>
      <c r="F356" s="29" t="str">
        <f>LOOKUP(A356,'QALS - Inspection Lot Record'!A:A,'QALS - Inspection Lot Record'!G:G)</f>
        <v>TP397880</v>
      </c>
      <c r="G356" s="59">
        <f ca="1">LOOKUP(A356,'QALS - Inspection Lot Record'!A:A,'QALS - Inspection Lot Record'!E:E)</f>
        <v>45892</v>
      </c>
      <c r="H356" s="34" t="str">
        <f t="shared" si="30"/>
        <v>A</v>
      </c>
      <c r="I356" s="29" t="str">
        <f t="shared" si="26"/>
        <v>TP397880</v>
      </c>
      <c r="J356" s="59">
        <f t="shared" ca="1" si="27"/>
        <v>45892</v>
      </c>
      <c r="K356" s="30">
        <f ca="1">LOOKUP(A356,'QALS - Inspection Lot Record'!A:A,'QALS - Inspection Lot Record'!I:I)</f>
        <v>0.54116898148148151</v>
      </c>
      <c r="L356" s="59">
        <f t="shared" ca="1" si="28"/>
        <v>45892</v>
      </c>
      <c r="M356" s="30">
        <f t="shared" ca="1" si="29"/>
        <v>0.56268518518518518</v>
      </c>
      <c r="N356" s="11" t="s">
        <v>402</v>
      </c>
      <c r="O356" s="31"/>
      <c r="P356" s="29"/>
      <c r="Q356" s="29"/>
    </row>
    <row r="357" spans="1:17" x14ac:dyDescent="0.35">
      <c r="A357" s="26">
        <v>40000002545</v>
      </c>
      <c r="B357" s="31">
        <v>1</v>
      </c>
      <c r="C357" s="29" t="str">
        <f>LOOKUP(A357,'QALS - Inspection Lot Record'!$A$2:$A$361,'QALS - Inspection Lot Record'!$O$2:$O$361)</f>
        <v>Metformin Tablets (200 MG)</v>
      </c>
      <c r="D357" s="31">
        <v>40</v>
      </c>
      <c r="E357" s="29" t="s">
        <v>403</v>
      </c>
      <c r="F357" s="29" t="str">
        <f>LOOKUP(A357,'QALS - Inspection Lot Record'!A:A,'QALS - Inspection Lot Record'!G:G)</f>
        <v>TP397880</v>
      </c>
      <c r="G357" s="59">
        <f ca="1">LOOKUP(A357,'QALS - Inspection Lot Record'!A:A,'QALS - Inspection Lot Record'!E:E)</f>
        <v>45892</v>
      </c>
      <c r="H357" s="34" t="str">
        <f t="shared" si="30"/>
        <v>A</v>
      </c>
      <c r="I357" s="29" t="str">
        <f t="shared" si="26"/>
        <v>TP397880</v>
      </c>
      <c r="J357" s="59">
        <f t="shared" ca="1" si="27"/>
        <v>45892</v>
      </c>
      <c r="K357" s="30">
        <f ca="1">LOOKUP(A357,'QALS - Inspection Lot Record'!A:A,'QALS - Inspection Lot Record'!I:I)</f>
        <v>0.54116898148148151</v>
      </c>
      <c r="L357" s="59">
        <f t="shared" ca="1" si="28"/>
        <v>45892</v>
      </c>
      <c r="M357" s="30">
        <f t="shared" ca="1" si="29"/>
        <v>0.5730439814814815</v>
      </c>
      <c r="N357" s="31"/>
      <c r="O357" s="31">
        <v>0</v>
      </c>
      <c r="P357" s="29">
        <v>0</v>
      </c>
      <c r="Q357" s="29">
        <v>2</v>
      </c>
    </row>
    <row r="358" spans="1:17" x14ac:dyDescent="0.35">
      <c r="A358" s="26">
        <v>40000002545</v>
      </c>
      <c r="B358" s="31">
        <v>1</v>
      </c>
      <c r="C358" s="29" t="str">
        <f>LOOKUP(A358,'QALS - Inspection Lot Record'!$A$2:$A$361,'QALS - Inspection Lot Record'!$O$2:$O$361)</f>
        <v>Metformin Tablets (200 MG)</v>
      </c>
      <c r="D358" s="31">
        <v>50</v>
      </c>
      <c r="E358" s="29" t="s">
        <v>404</v>
      </c>
      <c r="F358" s="29" t="str">
        <f>LOOKUP(A358,'QALS - Inspection Lot Record'!A:A,'QALS - Inspection Lot Record'!G:G)</f>
        <v>TP397880</v>
      </c>
      <c r="G358" s="59">
        <f ca="1">LOOKUP(A358,'QALS - Inspection Lot Record'!A:A,'QALS - Inspection Lot Record'!E:E)</f>
        <v>45892</v>
      </c>
      <c r="H358" s="34" t="str">
        <f t="shared" si="30"/>
        <v>A</v>
      </c>
      <c r="I358" s="29" t="str">
        <f t="shared" si="26"/>
        <v>TP397880</v>
      </c>
      <c r="J358" s="59">
        <f t="shared" ca="1" si="27"/>
        <v>45892</v>
      </c>
      <c r="K358" s="30">
        <f ca="1">LOOKUP(A358,'QALS - Inspection Lot Record'!A:A,'QALS - Inspection Lot Record'!I:I)</f>
        <v>0.54116898148148151</v>
      </c>
      <c r="L358" s="59">
        <f t="shared" ca="1" si="28"/>
        <v>45892</v>
      </c>
      <c r="M358" s="30">
        <f t="shared" ca="1" si="29"/>
        <v>0.56625000000000003</v>
      </c>
      <c r="N358" s="31"/>
      <c r="O358" s="31">
        <v>50</v>
      </c>
      <c r="P358" s="29">
        <v>40</v>
      </c>
      <c r="Q358" s="29">
        <v>60</v>
      </c>
    </row>
    <row r="359" spans="1:17" x14ac:dyDescent="0.35">
      <c r="A359" s="26">
        <v>40000002545</v>
      </c>
      <c r="B359" s="31">
        <v>1</v>
      </c>
      <c r="C359" s="29" t="str">
        <f>LOOKUP(A359,'QALS - Inspection Lot Record'!$A$2:$A$361,'QALS - Inspection Lot Record'!$O$2:$O$361)</f>
        <v>Metformin Tablets (200 MG)</v>
      </c>
      <c r="D359" s="31">
        <v>60</v>
      </c>
      <c r="E359" s="29" t="s">
        <v>405</v>
      </c>
      <c r="F359" s="29" t="str">
        <f>LOOKUP(A359,'QALS - Inspection Lot Record'!A:A,'QALS - Inspection Lot Record'!G:G)</f>
        <v>TP397880</v>
      </c>
      <c r="G359" s="59">
        <f ca="1">LOOKUP(A359,'QALS - Inspection Lot Record'!A:A,'QALS - Inspection Lot Record'!E:E)</f>
        <v>45892</v>
      </c>
      <c r="H359" s="34" t="str">
        <f t="shared" si="30"/>
        <v>A</v>
      </c>
      <c r="I359" s="29" t="str">
        <f t="shared" si="26"/>
        <v>TP397880</v>
      </c>
      <c r="J359" s="59">
        <f t="shared" ca="1" si="27"/>
        <v>45892</v>
      </c>
      <c r="K359" s="30">
        <f ca="1">LOOKUP(A359,'QALS - Inspection Lot Record'!A:A,'QALS - Inspection Lot Record'!I:I)</f>
        <v>0.54116898148148151</v>
      </c>
      <c r="L359" s="59">
        <f t="shared" ca="1" si="28"/>
        <v>45892</v>
      </c>
      <c r="M359" s="30">
        <f t="shared" ca="1" si="29"/>
        <v>0.56192129629629628</v>
      </c>
      <c r="N359" s="31"/>
      <c r="O359" s="31">
        <v>77.5</v>
      </c>
      <c r="P359" s="29">
        <v>70</v>
      </c>
      <c r="Q359" s="29">
        <v>85</v>
      </c>
    </row>
    <row r="360" spans="1:17" x14ac:dyDescent="0.35">
      <c r="A360" s="26">
        <v>40000002545</v>
      </c>
      <c r="B360" s="31">
        <v>1</v>
      </c>
      <c r="C360" s="29" t="str">
        <f>LOOKUP(A360,'QALS - Inspection Lot Record'!$A$2:$A$361,'QALS - Inspection Lot Record'!$O$2:$O$361)</f>
        <v>Metformin Tablets (200 MG)</v>
      </c>
      <c r="D360" s="31">
        <v>70</v>
      </c>
      <c r="E360" s="29" t="s">
        <v>406</v>
      </c>
      <c r="F360" s="29" t="str">
        <f>LOOKUP(A360,'QALS - Inspection Lot Record'!A:A,'QALS - Inspection Lot Record'!G:G)</f>
        <v>TP397880</v>
      </c>
      <c r="G360" s="59">
        <f ca="1">LOOKUP(A360,'QALS - Inspection Lot Record'!A:A,'QALS - Inspection Lot Record'!E:E)</f>
        <v>45892</v>
      </c>
      <c r="H360" s="34" t="str">
        <f t="shared" si="30"/>
        <v>A</v>
      </c>
      <c r="I360" s="29" t="str">
        <f t="shared" si="26"/>
        <v>TP397880</v>
      </c>
      <c r="J360" s="59">
        <f t="shared" ca="1" si="27"/>
        <v>45892</v>
      </c>
      <c r="K360" s="30">
        <f ca="1">LOOKUP(A360,'QALS - Inspection Lot Record'!A:A,'QALS - Inspection Lot Record'!I:I)</f>
        <v>0.54116898148148151</v>
      </c>
      <c r="L360" s="59">
        <f t="shared" ca="1" si="28"/>
        <v>45892</v>
      </c>
      <c r="M360" s="30">
        <f t="shared" ca="1" si="29"/>
        <v>0.57472222222222225</v>
      </c>
      <c r="N360" s="31"/>
      <c r="O360" s="31">
        <v>85</v>
      </c>
      <c r="P360" s="29">
        <v>80</v>
      </c>
      <c r="Q360" s="29">
        <v>90</v>
      </c>
    </row>
    <row r="361" spans="1:17" x14ac:dyDescent="0.35">
      <c r="A361" s="26">
        <v>40000002545</v>
      </c>
      <c r="B361" s="31">
        <v>1</v>
      </c>
      <c r="C361" s="29" t="str">
        <f>LOOKUP(A361,'QALS - Inspection Lot Record'!$A$2:$A$361,'QALS - Inspection Lot Record'!$O$2:$O$361)</f>
        <v>Metformin Tablets (200 MG)</v>
      </c>
      <c r="D361" s="31">
        <v>80</v>
      </c>
      <c r="E361" s="29" t="s">
        <v>407</v>
      </c>
      <c r="F361" s="29" t="str">
        <f>LOOKUP(A361,'QALS - Inspection Lot Record'!A:A,'QALS - Inspection Lot Record'!G:G)</f>
        <v>TP397880</v>
      </c>
      <c r="G361" s="59">
        <f ca="1">LOOKUP(A361,'QALS - Inspection Lot Record'!A:A,'QALS - Inspection Lot Record'!E:E)</f>
        <v>45892</v>
      </c>
      <c r="H361" s="34" t="str">
        <f t="shared" si="30"/>
        <v>R</v>
      </c>
      <c r="I361" s="29" t="str">
        <f t="shared" si="26"/>
        <v>TP397880</v>
      </c>
      <c r="J361" s="59">
        <f t="shared" ca="1" si="27"/>
        <v>45892</v>
      </c>
      <c r="K361" s="30">
        <f ca="1">LOOKUP(A361,'QALS - Inspection Lot Record'!A:A,'QALS - Inspection Lot Record'!I:I)</f>
        <v>0.54116898148148151</v>
      </c>
      <c r="L361" s="59">
        <f t="shared" ca="1" si="28"/>
        <v>45892</v>
      </c>
      <c r="M361" s="30">
        <f t="shared" ca="1" si="29"/>
        <v>0.57447916666666665</v>
      </c>
      <c r="N361" s="31"/>
      <c r="O361" s="31">
        <v>21.1</v>
      </c>
      <c r="P361" s="29">
        <v>23</v>
      </c>
      <c r="Q361" s="29">
        <v>28</v>
      </c>
    </row>
    <row r="362" spans="1:17" x14ac:dyDescent="0.35">
      <c r="A362" s="26">
        <v>40000002546</v>
      </c>
      <c r="B362" s="27">
        <v>1</v>
      </c>
      <c r="C362" s="29" t="str">
        <f>LOOKUP(A362,'QALS - Inspection Lot Record'!$A$2:$A$361,'QALS - Inspection Lot Record'!$O$2:$O$361)</f>
        <v>Metformin Tablets (500 MG)</v>
      </c>
      <c r="D362" s="27">
        <v>10</v>
      </c>
      <c r="E362" s="26" t="s">
        <v>399</v>
      </c>
      <c r="F362" s="29" t="str">
        <f>LOOKUP(A362,'QALS - Inspection Lot Record'!A:A,'QALS - Inspection Lot Record'!G:G)</f>
        <v>YA284176</v>
      </c>
      <c r="G362" s="59">
        <f ca="1">LOOKUP(A362,'QALS - Inspection Lot Record'!A:A,'QALS - Inspection Lot Record'!E:E)</f>
        <v>45892</v>
      </c>
      <c r="H362" s="34" t="str">
        <f t="shared" si="30"/>
        <v>A</v>
      </c>
      <c r="I362" s="29" t="str">
        <f t="shared" si="26"/>
        <v>YA284176</v>
      </c>
      <c r="J362" s="59">
        <f t="shared" ca="1" si="27"/>
        <v>45892</v>
      </c>
      <c r="K362" s="30">
        <f ca="1">LOOKUP(A362,'QALS - Inspection Lot Record'!A:A,'QALS - Inspection Lot Record'!I:I)</f>
        <v>3.9027777777777779E-2</v>
      </c>
      <c r="L362" s="59">
        <f t="shared" ca="1" si="28"/>
        <v>45892</v>
      </c>
      <c r="M362" s="30">
        <f t="shared" ca="1" si="29"/>
        <v>6.6597222222222224E-2</v>
      </c>
      <c r="N362" s="31"/>
      <c r="O362" s="31">
        <v>100</v>
      </c>
      <c r="P362" s="29">
        <v>95</v>
      </c>
      <c r="Q362" s="29">
        <v>105</v>
      </c>
    </row>
    <row r="363" spans="1:17" x14ac:dyDescent="0.35">
      <c r="A363" s="26">
        <v>40000002546</v>
      </c>
      <c r="B363" s="27">
        <v>1</v>
      </c>
      <c r="C363" s="29" t="str">
        <f>LOOKUP(A363,'QALS - Inspection Lot Record'!$A$2:$A$361,'QALS - Inspection Lot Record'!$O$2:$O$361)</f>
        <v>Metformin Tablets (500 MG)</v>
      </c>
      <c r="D363" s="31">
        <v>20</v>
      </c>
      <c r="E363" s="29" t="s">
        <v>400</v>
      </c>
      <c r="F363" s="29" t="str">
        <f>LOOKUP(A363,'QALS - Inspection Lot Record'!A:A,'QALS - Inspection Lot Record'!G:G)</f>
        <v>YA284176</v>
      </c>
      <c r="G363" s="59">
        <f ca="1">LOOKUP(A363,'QALS - Inspection Lot Record'!A:A,'QALS - Inspection Lot Record'!E:E)</f>
        <v>45892</v>
      </c>
      <c r="H363" s="34" t="str">
        <f t="shared" si="30"/>
        <v>A</v>
      </c>
      <c r="I363" s="29" t="str">
        <f t="shared" si="26"/>
        <v>YA284176</v>
      </c>
      <c r="J363" s="59">
        <f t="shared" ca="1" si="27"/>
        <v>45892</v>
      </c>
      <c r="K363" s="30">
        <f ca="1">LOOKUP(A363,'QALS - Inspection Lot Record'!A:A,'QALS - Inspection Lot Record'!I:I)</f>
        <v>3.9027777777777779E-2</v>
      </c>
      <c r="L363" s="59">
        <f t="shared" ca="1" si="28"/>
        <v>45892</v>
      </c>
      <c r="M363" s="30">
        <f t="shared" ca="1" si="29"/>
        <v>6.5601851851851856E-2</v>
      </c>
      <c r="N363" s="31"/>
      <c r="O363" s="31">
        <v>7.25</v>
      </c>
      <c r="P363" s="29">
        <v>3.5</v>
      </c>
      <c r="Q363" s="29">
        <v>11</v>
      </c>
    </row>
    <row r="364" spans="1:17" x14ac:dyDescent="0.35">
      <c r="A364" s="26">
        <v>40000002546</v>
      </c>
      <c r="B364" s="31">
        <v>1</v>
      </c>
      <c r="C364" s="29" t="str">
        <f>LOOKUP(A364,'QALS - Inspection Lot Record'!$A$2:$A$361,'QALS - Inspection Lot Record'!$O$2:$O$361)</f>
        <v>Metformin Tablets (500 MG)</v>
      </c>
      <c r="D364" s="31">
        <v>30</v>
      </c>
      <c r="E364" s="29" t="s">
        <v>401</v>
      </c>
      <c r="F364" s="29" t="str">
        <f>LOOKUP(A364,'QALS - Inspection Lot Record'!A:A,'QALS - Inspection Lot Record'!G:G)</f>
        <v>YA284176</v>
      </c>
      <c r="G364" s="59">
        <f ca="1">LOOKUP(A364,'QALS - Inspection Lot Record'!A:A,'QALS - Inspection Lot Record'!E:E)</f>
        <v>45892</v>
      </c>
      <c r="H364" s="34" t="str">
        <f t="shared" si="30"/>
        <v>A</v>
      </c>
      <c r="I364" s="29" t="str">
        <f t="shared" si="26"/>
        <v>YA284176</v>
      </c>
      <c r="J364" s="59">
        <f t="shared" ca="1" si="27"/>
        <v>45892</v>
      </c>
      <c r="K364" s="30">
        <f ca="1">LOOKUP(A364,'QALS - Inspection Lot Record'!A:A,'QALS - Inspection Lot Record'!I:I)</f>
        <v>3.9027777777777779E-2</v>
      </c>
      <c r="L364" s="59">
        <f t="shared" ca="1" si="28"/>
        <v>45892</v>
      </c>
      <c r="M364" s="30">
        <f t="shared" ca="1" si="29"/>
        <v>6.4884259259259253E-2</v>
      </c>
      <c r="N364" s="11" t="s">
        <v>402</v>
      </c>
      <c r="O364" s="31"/>
      <c r="P364" s="29"/>
      <c r="Q364" s="29"/>
    </row>
    <row r="365" spans="1:17" x14ac:dyDescent="0.35">
      <c r="A365" s="26">
        <v>40000002546</v>
      </c>
      <c r="B365" s="31">
        <v>1</v>
      </c>
      <c r="C365" s="29" t="str">
        <f>LOOKUP(A365,'QALS - Inspection Lot Record'!$A$2:$A$361,'QALS - Inspection Lot Record'!$O$2:$O$361)</f>
        <v>Metformin Tablets (500 MG)</v>
      </c>
      <c r="D365" s="31">
        <v>40</v>
      </c>
      <c r="E365" s="29" t="s">
        <v>403</v>
      </c>
      <c r="F365" s="29" t="str">
        <f>LOOKUP(A365,'QALS - Inspection Lot Record'!A:A,'QALS - Inspection Lot Record'!G:G)</f>
        <v>YA284176</v>
      </c>
      <c r="G365" s="59">
        <f ca="1">LOOKUP(A365,'QALS - Inspection Lot Record'!A:A,'QALS - Inspection Lot Record'!E:E)</f>
        <v>45892</v>
      </c>
      <c r="H365" s="34" t="str">
        <f t="shared" si="30"/>
        <v>A</v>
      </c>
      <c r="I365" s="29" t="str">
        <f t="shared" si="26"/>
        <v>YA284176</v>
      </c>
      <c r="J365" s="59">
        <f t="shared" ca="1" si="27"/>
        <v>45892</v>
      </c>
      <c r="K365" s="30">
        <f ca="1">LOOKUP(A365,'QALS - Inspection Lot Record'!A:A,'QALS - Inspection Lot Record'!I:I)</f>
        <v>3.9027777777777779E-2</v>
      </c>
      <c r="L365" s="59">
        <f t="shared" ca="1" si="28"/>
        <v>45892</v>
      </c>
      <c r="M365" s="30">
        <f t="shared" ca="1" si="29"/>
        <v>7.0300925925925933E-2</v>
      </c>
      <c r="N365" s="31"/>
      <c r="O365" s="31">
        <v>0</v>
      </c>
      <c r="P365" s="29">
        <v>0</v>
      </c>
      <c r="Q365" s="29">
        <v>2</v>
      </c>
    </row>
    <row r="366" spans="1:17" x14ac:dyDescent="0.35">
      <c r="A366" s="26">
        <v>40000002546</v>
      </c>
      <c r="B366" s="31">
        <v>1</v>
      </c>
      <c r="C366" s="29" t="str">
        <f>LOOKUP(A366,'QALS - Inspection Lot Record'!$A$2:$A$361,'QALS - Inspection Lot Record'!$O$2:$O$361)</f>
        <v>Metformin Tablets (500 MG)</v>
      </c>
      <c r="D366" s="31">
        <v>50</v>
      </c>
      <c r="E366" s="29" t="s">
        <v>404</v>
      </c>
      <c r="F366" s="29" t="str">
        <f>LOOKUP(A366,'QALS - Inspection Lot Record'!A:A,'QALS - Inspection Lot Record'!G:G)</f>
        <v>YA284176</v>
      </c>
      <c r="G366" s="59">
        <f ca="1">LOOKUP(A366,'QALS - Inspection Lot Record'!A:A,'QALS - Inspection Lot Record'!E:E)</f>
        <v>45892</v>
      </c>
      <c r="H366" s="34" t="str">
        <f t="shared" si="30"/>
        <v>A</v>
      </c>
      <c r="I366" s="29" t="str">
        <f t="shared" si="26"/>
        <v>YA284176</v>
      </c>
      <c r="J366" s="59">
        <f t="shared" ca="1" si="27"/>
        <v>45892</v>
      </c>
      <c r="K366" s="30">
        <f ca="1">LOOKUP(A366,'QALS - Inspection Lot Record'!A:A,'QALS - Inspection Lot Record'!I:I)</f>
        <v>3.9027777777777779E-2</v>
      </c>
      <c r="L366" s="59">
        <f t="shared" ca="1" si="28"/>
        <v>45892</v>
      </c>
      <c r="M366" s="30">
        <f t="shared" ca="1" si="29"/>
        <v>6.6516203703703702E-2</v>
      </c>
      <c r="N366" s="31"/>
      <c r="O366" s="31">
        <v>50</v>
      </c>
      <c r="P366" s="29">
        <v>40</v>
      </c>
      <c r="Q366" s="29">
        <v>60</v>
      </c>
    </row>
    <row r="367" spans="1:17" x14ac:dyDescent="0.35">
      <c r="A367" s="26">
        <v>40000002546</v>
      </c>
      <c r="B367" s="31">
        <v>1</v>
      </c>
      <c r="C367" s="29" t="str">
        <f>LOOKUP(A367,'QALS - Inspection Lot Record'!$A$2:$A$361,'QALS - Inspection Lot Record'!$O$2:$O$361)</f>
        <v>Metformin Tablets (500 MG)</v>
      </c>
      <c r="D367" s="31">
        <v>60</v>
      </c>
      <c r="E367" s="29" t="s">
        <v>405</v>
      </c>
      <c r="F367" s="29" t="str">
        <f>LOOKUP(A367,'QALS - Inspection Lot Record'!A:A,'QALS - Inspection Lot Record'!G:G)</f>
        <v>YA284176</v>
      </c>
      <c r="G367" s="59">
        <f ca="1">LOOKUP(A367,'QALS - Inspection Lot Record'!A:A,'QALS - Inspection Lot Record'!E:E)</f>
        <v>45892</v>
      </c>
      <c r="H367" s="34" t="str">
        <f t="shared" si="30"/>
        <v>A</v>
      </c>
      <c r="I367" s="29" t="str">
        <f t="shared" si="26"/>
        <v>YA284176</v>
      </c>
      <c r="J367" s="59">
        <f t="shared" ca="1" si="27"/>
        <v>45892</v>
      </c>
      <c r="K367" s="30">
        <f ca="1">LOOKUP(A367,'QALS - Inspection Lot Record'!A:A,'QALS - Inspection Lot Record'!I:I)</f>
        <v>3.9027777777777779E-2</v>
      </c>
      <c r="L367" s="59">
        <f t="shared" ca="1" si="28"/>
        <v>45892</v>
      </c>
      <c r="M367" s="30">
        <f t="shared" ca="1" si="29"/>
        <v>6.0694444444444447E-2</v>
      </c>
      <c r="N367" s="31"/>
      <c r="O367" s="31">
        <v>77.5</v>
      </c>
      <c r="P367" s="29">
        <v>70</v>
      </c>
      <c r="Q367" s="29">
        <v>85</v>
      </c>
    </row>
    <row r="368" spans="1:17" x14ac:dyDescent="0.35">
      <c r="A368" s="26">
        <v>40000002546</v>
      </c>
      <c r="B368" s="31">
        <v>1</v>
      </c>
      <c r="C368" s="29" t="str">
        <f>LOOKUP(A368,'QALS - Inspection Lot Record'!$A$2:$A$361,'QALS - Inspection Lot Record'!$O$2:$O$361)</f>
        <v>Metformin Tablets (500 MG)</v>
      </c>
      <c r="D368" s="31">
        <v>70</v>
      </c>
      <c r="E368" s="29" t="s">
        <v>406</v>
      </c>
      <c r="F368" s="29" t="str">
        <f>LOOKUP(A368,'QALS - Inspection Lot Record'!A:A,'QALS - Inspection Lot Record'!G:G)</f>
        <v>YA284176</v>
      </c>
      <c r="G368" s="59">
        <f ca="1">LOOKUP(A368,'QALS - Inspection Lot Record'!A:A,'QALS - Inspection Lot Record'!E:E)</f>
        <v>45892</v>
      </c>
      <c r="H368" s="34" t="str">
        <f t="shared" si="30"/>
        <v>A</v>
      </c>
      <c r="I368" s="29" t="str">
        <f t="shared" si="26"/>
        <v>YA284176</v>
      </c>
      <c r="J368" s="59">
        <f t="shared" ca="1" si="27"/>
        <v>45892</v>
      </c>
      <c r="K368" s="30">
        <f ca="1">LOOKUP(A368,'QALS - Inspection Lot Record'!A:A,'QALS - Inspection Lot Record'!I:I)</f>
        <v>3.9027777777777779E-2</v>
      </c>
      <c r="L368" s="59">
        <f t="shared" ca="1" si="28"/>
        <v>45892</v>
      </c>
      <c r="M368" s="30">
        <f t="shared" ca="1" si="29"/>
        <v>7.0879629629629626E-2</v>
      </c>
      <c r="N368" s="31"/>
      <c r="O368" s="31">
        <v>85</v>
      </c>
      <c r="P368" s="29">
        <v>80</v>
      </c>
      <c r="Q368" s="29">
        <v>90</v>
      </c>
    </row>
    <row r="369" spans="1:17" x14ac:dyDescent="0.35">
      <c r="A369" s="26">
        <v>40000002546</v>
      </c>
      <c r="B369" s="31">
        <v>1</v>
      </c>
      <c r="C369" s="29" t="str">
        <f>LOOKUP(A369,'QALS - Inspection Lot Record'!$A$2:$A$361,'QALS - Inspection Lot Record'!$O$2:$O$361)</f>
        <v>Metformin Tablets (500 MG)</v>
      </c>
      <c r="D369" s="31">
        <v>80</v>
      </c>
      <c r="E369" s="29" t="s">
        <v>407</v>
      </c>
      <c r="F369" s="29" t="str">
        <f>LOOKUP(A369,'QALS - Inspection Lot Record'!A:A,'QALS - Inspection Lot Record'!G:G)</f>
        <v>YA284176</v>
      </c>
      <c r="G369" s="59">
        <f ca="1">LOOKUP(A369,'QALS - Inspection Lot Record'!A:A,'QALS - Inspection Lot Record'!E:E)</f>
        <v>45892</v>
      </c>
      <c r="H369" s="34" t="str">
        <f t="shared" si="30"/>
        <v>A</v>
      </c>
      <c r="I369" s="29" t="str">
        <f t="shared" si="26"/>
        <v>YA284176</v>
      </c>
      <c r="J369" s="59">
        <f t="shared" ca="1" si="27"/>
        <v>45892</v>
      </c>
      <c r="K369" s="30">
        <f ca="1">LOOKUP(A369,'QALS - Inspection Lot Record'!A:A,'QALS - Inspection Lot Record'!I:I)</f>
        <v>3.9027777777777779E-2</v>
      </c>
      <c r="L369" s="59">
        <f t="shared" ca="1" si="28"/>
        <v>45892</v>
      </c>
      <c r="M369" s="30">
        <f t="shared" ca="1" si="29"/>
        <v>6.0543981481481483E-2</v>
      </c>
      <c r="N369" s="31"/>
      <c r="O369" s="31">
        <v>25.5</v>
      </c>
      <c r="P369" s="29">
        <v>23</v>
      </c>
      <c r="Q369" s="29">
        <v>28</v>
      </c>
    </row>
    <row r="370" spans="1:17" x14ac:dyDescent="0.35">
      <c r="A370" s="26">
        <v>40000002547</v>
      </c>
      <c r="B370" s="27">
        <v>1</v>
      </c>
      <c r="C370" s="29" t="str">
        <f>LOOKUP(A370,'QALS - Inspection Lot Record'!$A$2:$A$361,'QALS - Inspection Lot Record'!$O$2:$O$361)</f>
        <v>Aspirin Tablets (500 MG)</v>
      </c>
      <c r="D370" s="27">
        <v>10</v>
      </c>
      <c r="E370" s="26" t="s">
        <v>399</v>
      </c>
      <c r="F370" s="29" t="str">
        <f>LOOKUP(A370,'QALS - Inspection Lot Record'!A:A,'QALS - Inspection Lot Record'!G:G)</f>
        <v>AB406550</v>
      </c>
      <c r="G370" s="59">
        <f ca="1">LOOKUP(A370,'QALS - Inspection Lot Record'!A:A,'QALS - Inspection Lot Record'!E:E)</f>
        <v>45893</v>
      </c>
      <c r="H370" s="34" t="str">
        <f t="shared" si="30"/>
        <v>A</v>
      </c>
      <c r="I370" s="29" t="str">
        <f t="shared" si="26"/>
        <v>AB406550</v>
      </c>
      <c r="J370" s="59">
        <f t="shared" ca="1" si="27"/>
        <v>45893</v>
      </c>
      <c r="K370" s="30">
        <f ca="1">LOOKUP(A370,'QALS - Inspection Lot Record'!A:A,'QALS - Inspection Lot Record'!I:I)</f>
        <v>0.77115740740740746</v>
      </c>
      <c r="L370" s="59">
        <f t="shared" ca="1" si="28"/>
        <v>45893</v>
      </c>
      <c r="M370" s="30">
        <f t="shared" ca="1" si="29"/>
        <v>0.80086805555555562</v>
      </c>
      <c r="N370" s="31"/>
      <c r="O370" s="31">
        <v>100</v>
      </c>
      <c r="P370" s="29">
        <v>95</v>
      </c>
      <c r="Q370" s="29">
        <v>105</v>
      </c>
    </row>
    <row r="371" spans="1:17" x14ac:dyDescent="0.35">
      <c r="A371" s="26">
        <v>40000002547</v>
      </c>
      <c r="B371" s="27">
        <v>1</v>
      </c>
      <c r="C371" s="29" t="str">
        <f>LOOKUP(A371,'QALS - Inspection Lot Record'!$A$2:$A$361,'QALS - Inspection Lot Record'!$O$2:$O$361)</f>
        <v>Aspirin Tablets (500 MG)</v>
      </c>
      <c r="D371" s="31">
        <v>20</v>
      </c>
      <c r="E371" s="29" t="s">
        <v>400</v>
      </c>
      <c r="F371" s="29" t="str">
        <f>LOOKUP(A371,'QALS - Inspection Lot Record'!A:A,'QALS - Inspection Lot Record'!G:G)</f>
        <v>AB406550</v>
      </c>
      <c r="G371" s="59">
        <f ca="1">LOOKUP(A371,'QALS - Inspection Lot Record'!A:A,'QALS - Inspection Lot Record'!E:E)</f>
        <v>45893</v>
      </c>
      <c r="H371" s="34" t="str">
        <f t="shared" si="30"/>
        <v>A</v>
      </c>
      <c r="I371" s="29" t="str">
        <f t="shared" si="26"/>
        <v>AB406550</v>
      </c>
      <c r="J371" s="59">
        <f t="shared" ca="1" si="27"/>
        <v>45893</v>
      </c>
      <c r="K371" s="30">
        <f ca="1">LOOKUP(A371,'QALS - Inspection Lot Record'!A:A,'QALS - Inspection Lot Record'!I:I)</f>
        <v>0.77115740740740746</v>
      </c>
      <c r="L371" s="59">
        <f t="shared" ca="1" si="28"/>
        <v>45893</v>
      </c>
      <c r="M371" s="30">
        <f t="shared" ca="1" si="29"/>
        <v>0.80020833333333341</v>
      </c>
      <c r="N371" s="31"/>
      <c r="O371" s="31">
        <v>7.3</v>
      </c>
      <c r="P371" s="29">
        <v>3.5</v>
      </c>
      <c r="Q371" s="29">
        <v>11</v>
      </c>
    </row>
    <row r="372" spans="1:17" x14ac:dyDescent="0.35">
      <c r="A372" s="26">
        <v>40000002547</v>
      </c>
      <c r="B372" s="31">
        <v>1</v>
      </c>
      <c r="C372" s="29" t="str">
        <f>LOOKUP(A372,'QALS - Inspection Lot Record'!$A$2:$A$361,'QALS - Inspection Lot Record'!$O$2:$O$361)</f>
        <v>Aspirin Tablets (500 MG)</v>
      </c>
      <c r="D372" s="31">
        <v>30</v>
      </c>
      <c r="E372" s="29" t="s">
        <v>401</v>
      </c>
      <c r="F372" s="29" t="str">
        <f>LOOKUP(A372,'QALS - Inspection Lot Record'!A:A,'QALS - Inspection Lot Record'!G:G)</f>
        <v>AB406550</v>
      </c>
      <c r="G372" s="59">
        <f ca="1">LOOKUP(A372,'QALS - Inspection Lot Record'!A:A,'QALS - Inspection Lot Record'!E:E)</f>
        <v>45893</v>
      </c>
      <c r="H372" s="34" t="str">
        <f t="shared" si="30"/>
        <v>A</v>
      </c>
      <c r="I372" s="29" t="str">
        <f t="shared" si="26"/>
        <v>AB406550</v>
      </c>
      <c r="J372" s="59">
        <f t="shared" ca="1" si="27"/>
        <v>45893</v>
      </c>
      <c r="K372" s="30">
        <f ca="1">LOOKUP(A372,'QALS - Inspection Lot Record'!A:A,'QALS - Inspection Lot Record'!I:I)</f>
        <v>0.77115740740740746</v>
      </c>
      <c r="L372" s="59">
        <f t="shared" ca="1" si="28"/>
        <v>45893</v>
      </c>
      <c r="M372" s="30">
        <f t="shared" ca="1" si="29"/>
        <v>0.79341435185185194</v>
      </c>
      <c r="N372" s="11" t="s">
        <v>402</v>
      </c>
      <c r="O372" s="31"/>
      <c r="P372" s="29"/>
      <c r="Q372" s="29"/>
    </row>
    <row r="373" spans="1:17" x14ac:dyDescent="0.35">
      <c r="A373" s="26">
        <v>40000002547</v>
      </c>
      <c r="B373" s="31">
        <v>1</v>
      </c>
      <c r="C373" s="29" t="str">
        <f>LOOKUP(A373,'QALS - Inspection Lot Record'!$A$2:$A$361,'QALS - Inspection Lot Record'!$O$2:$O$361)</f>
        <v>Aspirin Tablets (500 MG)</v>
      </c>
      <c r="D373" s="31">
        <v>40</v>
      </c>
      <c r="E373" s="29" t="s">
        <v>403</v>
      </c>
      <c r="F373" s="29" t="str">
        <f>LOOKUP(A373,'QALS - Inspection Lot Record'!A:A,'QALS - Inspection Lot Record'!G:G)</f>
        <v>AB406550</v>
      </c>
      <c r="G373" s="59">
        <f ca="1">LOOKUP(A373,'QALS - Inspection Lot Record'!A:A,'QALS - Inspection Lot Record'!E:E)</f>
        <v>45893</v>
      </c>
      <c r="H373" s="34" t="str">
        <f t="shared" si="30"/>
        <v>R</v>
      </c>
      <c r="I373" s="29" t="str">
        <f t="shared" si="26"/>
        <v>AB406550</v>
      </c>
      <c r="J373" s="59">
        <f t="shared" ca="1" si="27"/>
        <v>45893</v>
      </c>
      <c r="K373" s="30">
        <f ca="1">LOOKUP(A373,'QALS - Inspection Lot Record'!A:A,'QALS - Inspection Lot Record'!I:I)</f>
        <v>0.77115740740740746</v>
      </c>
      <c r="L373" s="59">
        <f t="shared" ca="1" si="28"/>
        <v>45893</v>
      </c>
      <c r="M373" s="30">
        <f t="shared" ca="1" si="29"/>
        <v>0.80579861111111117</v>
      </c>
      <c r="N373" s="31"/>
      <c r="O373" s="31">
        <v>3</v>
      </c>
      <c r="P373" s="29">
        <v>0</v>
      </c>
      <c r="Q373" s="29">
        <v>2.5</v>
      </c>
    </row>
    <row r="374" spans="1:17" x14ac:dyDescent="0.35">
      <c r="A374" s="26">
        <v>40000002547</v>
      </c>
      <c r="B374" s="31">
        <v>1</v>
      </c>
      <c r="C374" s="29" t="str">
        <f>LOOKUP(A374,'QALS - Inspection Lot Record'!$A$2:$A$361,'QALS - Inspection Lot Record'!$O$2:$O$361)</f>
        <v>Aspirin Tablets (500 MG)</v>
      </c>
      <c r="D374" s="31">
        <v>50</v>
      </c>
      <c r="E374" s="29" t="s">
        <v>404</v>
      </c>
      <c r="F374" s="29" t="str">
        <f>LOOKUP(A374,'QALS - Inspection Lot Record'!A:A,'QALS - Inspection Lot Record'!G:G)</f>
        <v>AB406550</v>
      </c>
      <c r="G374" s="59">
        <f ca="1">LOOKUP(A374,'QALS - Inspection Lot Record'!A:A,'QALS - Inspection Lot Record'!E:E)</f>
        <v>45893</v>
      </c>
      <c r="H374" s="34" t="str">
        <f t="shared" si="30"/>
        <v>A</v>
      </c>
      <c r="I374" s="29" t="str">
        <f t="shared" si="26"/>
        <v>AB406550</v>
      </c>
      <c r="J374" s="59">
        <f t="shared" ca="1" si="27"/>
        <v>45893</v>
      </c>
      <c r="K374" s="30">
        <f ca="1">LOOKUP(A374,'QALS - Inspection Lot Record'!A:A,'QALS - Inspection Lot Record'!I:I)</f>
        <v>0.77115740740740746</v>
      </c>
      <c r="L374" s="59">
        <f t="shared" ca="1" si="28"/>
        <v>45893</v>
      </c>
      <c r="M374" s="30">
        <f t="shared" ca="1" si="29"/>
        <v>0.80528935185185191</v>
      </c>
      <c r="N374" s="31"/>
      <c r="O374" s="31">
        <v>41</v>
      </c>
      <c r="P374" s="29">
        <v>40</v>
      </c>
      <c r="Q374" s="29">
        <v>60</v>
      </c>
    </row>
    <row r="375" spans="1:17" x14ac:dyDescent="0.35">
      <c r="A375" s="26">
        <v>40000002547</v>
      </c>
      <c r="B375" s="31">
        <v>1</v>
      </c>
      <c r="C375" s="29" t="str">
        <f>LOOKUP(A375,'QALS - Inspection Lot Record'!$A$2:$A$361,'QALS - Inspection Lot Record'!$O$2:$O$361)</f>
        <v>Aspirin Tablets (500 MG)</v>
      </c>
      <c r="D375" s="31">
        <v>60</v>
      </c>
      <c r="E375" s="29" t="s">
        <v>405</v>
      </c>
      <c r="F375" s="29" t="str">
        <f>LOOKUP(A375,'QALS - Inspection Lot Record'!A:A,'QALS - Inspection Lot Record'!G:G)</f>
        <v>AB406550</v>
      </c>
      <c r="G375" s="59">
        <f ca="1">LOOKUP(A375,'QALS - Inspection Lot Record'!A:A,'QALS - Inspection Lot Record'!E:E)</f>
        <v>45893</v>
      </c>
      <c r="H375" s="34" t="str">
        <f t="shared" si="30"/>
        <v>A</v>
      </c>
      <c r="I375" s="29" t="str">
        <f t="shared" si="26"/>
        <v>AB406550</v>
      </c>
      <c r="J375" s="59">
        <f t="shared" ca="1" si="27"/>
        <v>45893</v>
      </c>
      <c r="K375" s="30">
        <f ca="1">LOOKUP(A375,'QALS - Inspection Lot Record'!A:A,'QALS - Inspection Lot Record'!I:I)</f>
        <v>0.77115740740740746</v>
      </c>
      <c r="L375" s="59">
        <f t="shared" ca="1" si="28"/>
        <v>45893</v>
      </c>
      <c r="M375" s="30">
        <f t="shared" ca="1" si="29"/>
        <v>0.7970370370370371</v>
      </c>
      <c r="N375" s="31"/>
      <c r="O375" s="31">
        <v>71</v>
      </c>
      <c r="P375" s="29">
        <v>70</v>
      </c>
      <c r="Q375" s="29">
        <v>85</v>
      </c>
    </row>
    <row r="376" spans="1:17" x14ac:dyDescent="0.35">
      <c r="A376" s="26">
        <v>40000002547</v>
      </c>
      <c r="B376" s="31">
        <v>1</v>
      </c>
      <c r="C376" s="29" t="str">
        <f>LOOKUP(A376,'QALS - Inspection Lot Record'!$A$2:$A$361,'QALS - Inspection Lot Record'!$O$2:$O$361)</f>
        <v>Aspirin Tablets (500 MG)</v>
      </c>
      <c r="D376" s="31">
        <v>70</v>
      </c>
      <c r="E376" s="29" t="s">
        <v>406</v>
      </c>
      <c r="F376" s="29" t="str">
        <f>LOOKUP(A376,'QALS - Inspection Lot Record'!A:A,'QALS - Inspection Lot Record'!G:G)</f>
        <v>AB406550</v>
      </c>
      <c r="G376" s="59">
        <f ca="1">LOOKUP(A376,'QALS - Inspection Lot Record'!A:A,'QALS - Inspection Lot Record'!E:E)</f>
        <v>45893</v>
      </c>
      <c r="H376" s="34" t="str">
        <f t="shared" si="30"/>
        <v>A</v>
      </c>
      <c r="I376" s="29" t="str">
        <f t="shared" si="26"/>
        <v>AB406550</v>
      </c>
      <c r="J376" s="59">
        <f t="shared" ca="1" si="27"/>
        <v>45893</v>
      </c>
      <c r="K376" s="30">
        <f ca="1">LOOKUP(A376,'QALS - Inspection Lot Record'!A:A,'QALS - Inspection Lot Record'!I:I)</f>
        <v>0.77115740740740746</v>
      </c>
      <c r="L376" s="59">
        <f t="shared" ca="1" si="28"/>
        <v>45893</v>
      </c>
      <c r="M376" s="30">
        <f t="shared" ca="1" si="29"/>
        <v>0.79776620370370377</v>
      </c>
      <c r="N376" s="31"/>
      <c r="O376" s="31">
        <v>81.2</v>
      </c>
      <c r="P376" s="29">
        <v>80</v>
      </c>
      <c r="Q376" s="29">
        <v>90</v>
      </c>
    </row>
    <row r="377" spans="1:17" x14ac:dyDescent="0.35">
      <c r="A377" s="26">
        <v>40000002547</v>
      </c>
      <c r="B377" s="31">
        <v>1</v>
      </c>
      <c r="C377" s="29" t="str">
        <f>LOOKUP(A377,'QALS - Inspection Lot Record'!$A$2:$A$361,'QALS - Inspection Lot Record'!$O$2:$O$361)</f>
        <v>Aspirin Tablets (500 MG)</v>
      </c>
      <c r="D377" s="31">
        <v>80</v>
      </c>
      <c r="E377" s="29" t="s">
        <v>407</v>
      </c>
      <c r="F377" s="29" t="str">
        <f>LOOKUP(A377,'QALS - Inspection Lot Record'!A:A,'QALS - Inspection Lot Record'!G:G)</f>
        <v>AB406550</v>
      </c>
      <c r="G377" s="59">
        <f ca="1">LOOKUP(A377,'QALS - Inspection Lot Record'!A:A,'QALS - Inspection Lot Record'!E:E)</f>
        <v>45893</v>
      </c>
      <c r="H377" s="34" t="str">
        <f t="shared" si="30"/>
        <v>A</v>
      </c>
      <c r="I377" s="29" t="str">
        <f t="shared" si="26"/>
        <v>AB406550</v>
      </c>
      <c r="J377" s="59">
        <f t="shared" ca="1" si="27"/>
        <v>45893</v>
      </c>
      <c r="K377" s="30">
        <f ca="1">LOOKUP(A377,'QALS - Inspection Lot Record'!A:A,'QALS - Inspection Lot Record'!I:I)</f>
        <v>0.77115740740740746</v>
      </c>
      <c r="L377" s="59">
        <f t="shared" ca="1" si="28"/>
        <v>45893</v>
      </c>
      <c r="M377" s="30">
        <f t="shared" ca="1" si="29"/>
        <v>0.78918981481481487</v>
      </c>
      <c r="N377" s="31"/>
      <c r="O377" s="31">
        <v>25.5</v>
      </c>
      <c r="P377" s="29">
        <v>23</v>
      </c>
      <c r="Q377" s="29">
        <v>28</v>
      </c>
    </row>
    <row r="378" spans="1:17" x14ac:dyDescent="0.35">
      <c r="A378" s="26">
        <v>40000002548</v>
      </c>
      <c r="B378" s="27">
        <v>1</v>
      </c>
      <c r="C378" s="29" t="str">
        <f>LOOKUP(A378,'QALS - Inspection Lot Record'!$A$2:$A$361,'QALS - Inspection Lot Record'!$O$2:$O$361)</f>
        <v>Ibuprofen Tablets (100 MG)</v>
      </c>
      <c r="D378" s="27">
        <v>10</v>
      </c>
      <c r="E378" s="26" t="s">
        <v>399</v>
      </c>
      <c r="F378" s="29" t="str">
        <f>LOOKUP(A378,'QALS - Inspection Lot Record'!A:A,'QALS - Inspection Lot Record'!G:G)</f>
        <v>GC197258</v>
      </c>
      <c r="G378" s="59">
        <f ca="1">LOOKUP(A378,'QALS - Inspection Lot Record'!A:A,'QALS - Inspection Lot Record'!E:E)</f>
        <v>45893</v>
      </c>
      <c r="H378" s="34" t="str">
        <f t="shared" si="30"/>
        <v>A</v>
      </c>
      <c r="I378" s="29" t="str">
        <f t="shared" si="26"/>
        <v>GC197258</v>
      </c>
      <c r="J378" s="59">
        <f t="shared" ca="1" si="27"/>
        <v>45893</v>
      </c>
      <c r="K378" s="30">
        <f ca="1">LOOKUP(A378,'QALS - Inspection Lot Record'!A:A,'QALS - Inspection Lot Record'!I:I)</f>
        <v>0.20364583333333333</v>
      </c>
      <c r="L378" s="59">
        <f t="shared" ca="1" si="28"/>
        <v>45893</v>
      </c>
      <c r="M378" s="30">
        <f t="shared" ca="1" si="29"/>
        <v>0.23442129629629629</v>
      </c>
      <c r="N378" s="31"/>
      <c r="O378" s="31">
        <v>98.5</v>
      </c>
      <c r="P378" s="29">
        <v>95</v>
      </c>
      <c r="Q378" s="29">
        <v>102</v>
      </c>
    </row>
    <row r="379" spans="1:17" x14ac:dyDescent="0.35">
      <c r="A379" s="26">
        <v>40000002548</v>
      </c>
      <c r="B379" s="27">
        <v>1</v>
      </c>
      <c r="C379" s="29" t="str">
        <f>LOOKUP(A379,'QALS - Inspection Lot Record'!$A$2:$A$361,'QALS - Inspection Lot Record'!$O$2:$O$361)</f>
        <v>Ibuprofen Tablets (100 MG)</v>
      </c>
      <c r="D379" s="31">
        <v>20</v>
      </c>
      <c r="E379" s="29" t="s">
        <v>400</v>
      </c>
      <c r="F379" s="29" t="str">
        <f>LOOKUP(A379,'QALS - Inspection Lot Record'!A:A,'QALS - Inspection Lot Record'!G:G)</f>
        <v>GC197258</v>
      </c>
      <c r="G379" s="59">
        <f ca="1">LOOKUP(A379,'QALS - Inspection Lot Record'!A:A,'QALS - Inspection Lot Record'!E:E)</f>
        <v>45893</v>
      </c>
      <c r="H379" s="34" t="str">
        <f t="shared" si="30"/>
        <v>A</v>
      </c>
      <c r="I379" s="29" t="str">
        <f t="shared" si="26"/>
        <v>GC197258</v>
      </c>
      <c r="J379" s="59">
        <f t="shared" ca="1" si="27"/>
        <v>45893</v>
      </c>
      <c r="K379" s="30">
        <f ca="1">LOOKUP(A379,'QALS - Inspection Lot Record'!A:A,'QALS - Inspection Lot Record'!I:I)</f>
        <v>0.20364583333333333</v>
      </c>
      <c r="L379" s="59">
        <f t="shared" ca="1" si="28"/>
        <v>45893</v>
      </c>
      <c r="M379" s="30">
        <f t="shared" ca="1" si="29"/>
        <v>0.22488425925925926</v>
      </c>
      <c r="N379" s="31"/>
      <c r="O379" s="31">
        <v>7.3</v>
      </c>
      <c r="P379" s="29">
        <v>3.5</v>
      </c>
      <c r="Q379" s="29">
        <v>11</v>
      </c>
    </row>
    <row r="380" spans="1:17" x14ac:dyDescent="0.35">
      <c r="A380" s="26">
        <v>40000002548</v>
      </c>
      <c r="B380" s="31">
        <v>1</v>
      </c>
      <c r="C380" s="29" t="str">
        <f>LOOKUP(A380,'QALS - Inspection Lot Record'!$A$2:$A$361,'QALS - Inspection Lot Record'!$O$2:$O$361)</f>
        <v>Ibuprofen Tablets (100 MG)</v>
      </c>
      <c r="D380" s="31">
        <v>30</v>
      </c>
      <c r="E380" s="29" t="s">
        <v>401</v>
      </c>
      <c r="F380" s="29" t="str">
        <f>LOOKUP(A380,'QALS - Inspection Lot Record'!A:A,'QALS - Inspection Lot Record'!G:G)</f>
        <v>GC197258</v>
      </c>
      <c r="G380" s="59">
        <f ca="1">LOOKUP(A380,'QALS - Inspection Lot Record'!A:A,'QALS - Inspection Lot Record'!E:E)</f>
        <v>45893</v>
      </c>
      <c r="H380" s="34" t="str">
        <f t="shared" si="30"/>
        <v>A</v>
      </c>
      <c r="I380" s="29" t="str">
        <f t="shared" si="26"/>
        <v>GC197258</v>
      </c>
      <c r="J380" s="59">
        <f t="shared" ca="1" si="27"/>
        <v>45893</v>
      </c>
      <c r="K380" s="30">
        <f ca="1">LOOKUP(A380,'QALS - Inspection Lot Record'!A:A,'QALS - Inspection Lot Record'!I:I)</f>
        <v>0.20364583333333333</v>
      </c>
      <c r="L380" s="59">
        <f t="shared" ca="1" si="28"/>
        <v>45893</v>
      </c>
      <c r="M380" s="30">
        <f t="shared" ca="1" si="29"/>
        <v>0.22385416666666666</v>
      </c>
      <c r="N380" s="11" t="s">
        <v>402</v>
      </c>
      <c r="O380" s="31"/>
      <c r="P380" s="29"/>
      <c r="Q380" s="29"/>
    </row>
    <row r="381" spans="1:17" x14ac:dyDescent="0.35">
      <c r="A381" s="26">
        <v>40000002548</v>
      </c>
      <c r="B381" s="31">
        <v>1</v>
      </c>
      <c r="C381" s="29" t="str">
        <f>LOOKUP(A381,'QALS - Inspection Lot Record'!$A$2:$A$361,'QALS - Inspection Lot Record'!$O$2:$O$361)</f>
        <v>Ibuprofen Tablets (100 MG)</v>
      </c>
      <c r="D381" s="31">
        <v>40</v>
      </c>
      <c r="E381" s="29" t="s">
        <v>403</v>
      </c>
      <c r="F381" s="29" t="str">
        <f>LOOKUP(A381,'QALS - Inspection Lot Record'!A:A,'QALS - Inspection Lot Record'!G:G)</f>
        <v>GC197258</v>
      </c>
      <c r="G381" s="59">
        <f ca="1">LOOKUP(A381,'QALS - Inspection Lot Record'!A:A,'QALS - Inspection Lot Record'!E:E)</f>
        <v>45893</v>
      </c>
      <c r="H381" s="34" t="str">
        <f t="shared" si="30"/>
        <v>R</v>
      </c>
      <c r="I381" s="29" t="str">
        <f t="shared" si="26"/>
        <v>GC197258</v>
      </c>
      <c r="J381" s="59">
        <f t="shared" ca="1" si="27"/>
        <v>45893</v>
      </c>
      <c r="K381" s="30">
        <f ca="1">LOOKUP(A381,'QALS - Inspection Lot Record'!A:A,'QALS - Inspection Lot Record'!I:I)</f>
        <v>0.20364583333333333</v>
      </c>
      <c r="L381" s="59">
        <f t="shared" ca="1" si="28"/>
        <v>45893</v>
      </c>
      <c r="M381" s="30">
        <f t="shared" ca="1" si="29"/>
        <v>0.22458333333333333</v>
      </c>
      <c r="N381" s="31"/>
      <c r="O381" s="31">
        <v>1.2</v>
      </c>
      <c r="P381" s="29">
        <v>0</v>
      </c>
      <c r="Q381" s="29">
        <v>1</v>
      </c>
    </row>
    <row r="382" spans="1:17" x14ac:dyDescent="0.35">
      <c r="A382" s="26">
        <v>40000002548</v>
      </c>
      <c r="B382" s="31">
        <v>1</v>
      </c>
      <c r="C382" s="29" t="str">
        <f>LOOKUP(A382,'QALS - Inspection Lot Record'!$A$2:$A$361,'QALS - Inspection Lot Record'!$O$2:$O$361)</f>
        <v>Ibuprofen Tablets (100 MG)</v>
      </c>
      <c r="D382" s="31">
        <v>50</v>
      </c>
      <c r="E382" s="29" t="s">
        <v>404</v>
      </c>
      <c r="F382" s="29" t="str">
        <f>LOOKUP(A382,'QALS - Inspection Lot Record'!A:A,'QALS - Inspection Lot Record'!G:G)</f>
        <v>GC197258</v>
      </c>
      <c r="G382" s="59">
        <f ca="1">LOOKUP(A382,'QALS - Inspection Lot Record'!A:A,'QALS - Inspection Lot Record'!E:E)</f>
        <v>45893</v>
      </c>
      <c r="H382" s="34" t="str">
        <f t="shared" si="30"/>
        <v>A</v>
      </c>
      <c r="I382" s="29" t="str">
        <f t="shared" si="26"/>
        <v>GC197258</v>
      </c>
      <c r="J382" s="59">
        <f t="shared" ca="1" si="27"/>
        <v>45893</v>
      </c>
      <c r="K382" s="30">
        <f ca="1">LOOKUP(A382,'QALS - Inspection Lot Record'!A:A,'QALS - Inspection Lot Record'!I:I)</f>
        <v>0.20364583333333333</v>
      </c>
      <c r="L382" s="59">
        <f t="shared" ca="1" si="28"/>
        <v>45893</v>
      </c>
      <c r="M382" s="30">
        <f t="shared" ca="1" si="29"/>
        <v>0.22376157407407407</v>
      </c>
      <c r="N382" s="31"/>
      <c r="O382" s="31">
        <v>41.3</v>
      </c>
      <c r="P382" s="29">
        <v>40</v>
      </c>
      <c r="Q382" s="29">
        <v>60</v>
      </c>
    </row>
    <row r="383" spans="1:17" x14ac:dyDescent="0.35">
      <c r="A383" s="26">
        <v>40000002548</v>
      </c>
      <c r="B383" s="31">
        <v>1</v>
      </c>
      <c r="C383" s="29" t="str">
        <f>LOOKUP(A383,'QALS - Inspection Lot Record'!$A$2:$A$361,'QALS - Inspection Lot Record'!$O$2:$O$361)</f>
        <v>Ibuprofen Tablets (100 MG)</v>
      </c>
      <c r="D383" s="31">
        <v>60</v>
      </c>
      <c r="E383" s="29" t="s">
        <v>405</v>
      </c>
      <c r="F383" s="29" t="str">
        <f>LOOKUP(A383,'QALS - Inspection Lot Record'!A:A,'QALS - Inspection Lot Record'!G:G)</f>
        <v>GC197258</v>
      </c>
      <c r="G383" s="59">
        <f ca="1">LOOKUP(A383,'QALS - Inspection Lot Record'!A:A,'QALS - Inspection Lot Record'!E:E)</f>
        <v>45893</v>
      </c>
      <c r="H383" s="34" t="str">
        <f t="shared" si="30"/>
        <v>A</v>
      </c>
      <c r="I383" s="29" t="str">
        <f t="shared" si="26"/>
        <v>GC197258</v>
      </c>
      <c r="J383" s="59">
        <f t="shared" ca="1" si="27"/>
        <v>45893</v>
      </c>
      <c r="K383" s="30">
        <f ca="1">LOOKUP(A383,'QALS - Inspection Lot Record'!A:A,'QALS - Inspection Lot Record'!I:I)</f>
        <v>0.20364583333333333</v>
      </c>
      <c r="L383" s="59">
        <f t="shared" ca="1" si="28"/>
        <v>45893</v>
      </c>
      <c r="M383" s="30">
        <f t="shared" ca="1" si="29"/>
        <v>0.22131944444444446</v>
      </c>
      <c r="N383" s="31"/>
      <c r="O383" s="31">
        <v>72</v>
      </c>
      <c r="P383" s="29">
        <v>70</v>
      </c>
      <c r="Q383" s="29">
        <v>85</v>
      </c>
    </row>
    <row r="384" spans="1:17" x14ac:dyDescent="0.35">
      <c r="A384" s="26">
        <v>40000002548</v>
      </c>
      <c r="B384" s="31">
        <v>1</v>
      </c>
      <c r="C384" s="29" t="str">
        <f>LOOKUP(A384,'QALS - Inspection Lot Record'!$A$2:$A$361,'QALS - Inspection Lot Record'!$O$2:$O$361)</f>
        <v>Ibuprofen Tablets (100 MG)</v>
      </c>
      <c r="D384" s="31">
        <v>70</v>
      </c>
      <c r="E384" s="29" t="s">
        <v>406</v>
      </c>
      <c r="F384" s="29" t="str">
        <f>LOOKUP(A384,'QALS - Inspection Lot Record'!A:A,'QALS - Inspection Lot Record'!G:G)</f>
        <v>GC197258</v>
      </c>
      <c r="G384" s="59">
        <f ca="1">LOOKUP(A384,'QALS - Inspection Lot Record'!A:A,'QALS - Inspection Lot Record'!E:E)</f>
        <v>45893</v>
      </c>
      <c r="H384" s="34" t="str">
        <f t="shared" si="30"/>
        <v>A</v>
      </c>
      <c r="I384" s="29" t="str">
        <f t="shared" si="26"/>
        <v>GC197258</v>
      </c>
      <c r="J384" s="59">
        <f t="shared" ca="1" si="27"/>
        <v>45893</v>
      </c>
      <c r="K384" s="30">
        <f ca="1">LOOKUP(A384,'QALS - Inspection Lot Record'!A:A,'QALS - Inspection Lot Record'!I:I)</f>
        <v>0.20364583333333333</v>
      </c>
      <c r="L384" s="59">
        <f t="shared" ca="1" si="28"/>
        <v>45893</v>
      </c>
      <c r="M384" s="30">
        <f t="shared" ca="1" si="29"/>
        <v>0.2225462962962963</v>
      </c>
      <c r="N384" s="31"/>
      <c r="O384" s="31">
        <v>81.3</v>
      </c>
      <c r="P384" s="29">
        <v>80</v>
      </c>
      <c r="Q384" s="29">
        <v>90</v>
      </c>
    </row>
    <row r="385" spans="1:17" x14ac:dyDescent="0.35">
      <c r="A385" s="26">
        <v>40000002548</v>
      </c>
      <c r="B385" s="31">
        <v>1</v>
      </c>
      <c r="C385" s="29" t="str">
        <f>LOOKUP(A385,'QALS - Inspection Lot Record'!$A$2:$A$361,'QALS - Inspection Lot Record'!$O$2:$O$361)</f>
        <v>Ibuprofen Tablets (100 MG)</v>
      </c>
      <c r="D385" s="31">
        <v>80</v>
      </c>
      <c r="E385" s="29" t="s">
        <v>407</v>
      </c>
      <c r="F385" s="29" t="str">
        <f>LOOKUP(A385,'QALS - Inspection Lot Record'!A:A,'QALS - Inspection Lot Record'!G:G)</f>
        <v>GC197258</v>
      </c>
      <c r="G385" s="59">
        <f ca="1">LOOKUP(A385,'QALS - Inspection Lot Record'!A:A,'QALS - Inspection Lot Record'!E:E)</f>
        <v>45893</v>
      </c>
      <c r="H385" s="34" t="str">
        <f t="shared" si="30"/>
        <v>A</v>
      </c>
      <c r="I385" s="29" t="str">
        <f t="shared" si="26"/>
        <v>GC197258</v>
      </c>
      <c r="J385" s="59">
        <f t="shared" ca="1" si="27"/>
        <v>45893</v>
      </c>
      <c r="K385" s="30">
        <f ca="1">LOOKUP(A385,'QALS - Inspection Lot Record'!A:A,'QALS - Inspection Lot Record'!I:I)</f>
        <v>0.20364583333333333</v>
      </c>
      <c r="L385" s="59">
        <f t="shared" ca="1" si="28"/>
        <v>45893</v>
      </c>
      <c r="M385" s="30">
        <f t="shared" ca="1" si="29"/>
        <v>0.23851851851851852</v>
      </c>
      <c r="N385" s="31"/>
      <c r="O385" s="31">
        <v>24</v>
      </c>
      <c r="P385" s="29">
        <v>23</v>
      </c>
      <c r="Q385" s="29">
        <v>25</v>
      </c>
    </row>
    <row r="386" spans="1:17" x14ac:dyDescent="0.35">
      <c r="A386" s="26">
        <v>40000002549</v>
      </c>
      <c r="B386" s="27">
        <v>1</v>
      </c>
      <c r="C386" s="29" t="str">
        <f>LOOKUP(A386,'QALS - Inspection Lot Record'!$A$2:$A$361,'QALS - Inspection Lot Record'!$O$2:$O$361)</f>
        <v>Metformin Tablets (200 MG)</v>
      </c>
      <c r="D386" s="27">
        <v>10</v>
      </c>
      <c r="E386" s="26" t="s">
        <v>399</v>
      </c>
      <c r="F386" s="29" t="str">
        <f>LOOKUP(A386,'QALS - Inspection Lot Record'!A:A,'QALS - Inspection Lot Record'!G:G)</f>
        <v>TP397880</v>
      </c>
      <c r="G386" s="59">
        <f ca="1">LOOKUP(A386,'QALS - Inspection Lot Record'!A:A,'QALS - Inspection Lot Record'!E:E)</f>
        <v>45894</v>
      </c>
      <c r="H386" s="34" t="str">
        <f t="shared" si="30"/>
        <v>A</v>
      </c>
      <c r="I386" s="29" t="str">
        <f t="shared" ref="I386:I449" si="31">F386</f>
        <v>TP397880</v>
      </c>
      <c r="J386" s="59">
        <f t="shared" ref="J386:J449" ca="1" si="32">G386</f>
        <v>45894</v>
      </c>
      <c r="K386" s="30">
        <f ca="1">LOOKUP(A386,'QALS - Inspection Lot Record'!A:A,'QALS - Inspection Lot Record'!I:I)</f>
        <v>0.80862268518518521</v>
      </c>
      <c r="L386" s="59">
        <f t="shared" ref="L386:L449" ca="1" si="33">G386</f>
        <v>45894</v>
      </c>
      <c r="M386" s="30">
        <f t="shared" ref="M386:M449" ca="1" si="34">K386+TIME(0,RANDBETWEEN(25,50),RANDBETWEEN(0,59))</f>
        <v>0.84031250000000002</v>
      </c>
      <c r="N386" s="31"/>
      <c r="O386" s="31">
        <v>99</v>
      </c>
      <c r="P386" s="29">
        <v>95</v>
      </c>
      <c r="Q386" s="29">
        <v>103</v>
      </c>
    </row>
    <row r="387" spans="1:17" x14ac:dyDescent="0.35">
      <c r="A387" s="26">
        <v>40000002549</v>
      </c>
      <c r="B387" s="27">
        <v>1</v>
      </c>
      <c r="C387" s="29" t="str">
        <f>LOOKUP(A387,'QALS - Inspection Lot Record'!$A$2:$A$361,'QALS - Inspection Lot Record'!$O$2:$O$361)</f>
        <v>Metformin Tablets (200 MG)</v>
      </c>
      <c r="D387" s="31">
        <v>20</v>
      </c>
      <c r="E387" s="29" t="s">
        <v>400</v>
      </c>
      <c r="F387" s="29" t="str">
        <f>LOOKUP(A387,'QALS - Inspection Lot Record'!A:A,'QALS - Inspection Lot Record'!G:G)</f>
        <v>TP397880</v>
      </c>
      <c r="G387" s="59">
        <f ca="1">LOOKUP(A387,'QALS - Inspection Lot Record'!A:A,'QALS - Inspection Lot Record'!E:E)</f>
        <v>45894</v>
      </c>
      <c r="H387" s="34" t="str">
        <f t="shared" si="30"/>
        <v>A</v>
      </c>
      <c r="I387" s="29" t="str">
        <f t="shared" si="31"/>
        <v>TP397880</v>
      </c>
      <c r="J387" s="59">
        <f t="shared" ca="1" si="32"/>
        <v>45894</v>
      </c>
      <c r="K387" s="30">
        <f ca="1">LOOKUP(A387,'QALS - Inspection Lot Record'!A:A,'QALS - Inspection Lot Record'!I:I)</f>
        <v>0.80862268518518521</v>
      </c>
      <c r="L387" s="59">
        <f t="shared" ca="1" si="33"/>
        <v>45894</v>
      </c>
      <c r="M387" s="30">
        <f t="shared" ca="1" si="34"/>
        <v>0.83578703703703705</v>
      </c>
      <c r="N387" s="31"/>
      <c r="O387" s="31">
        <v>7.75</v>
      </c>
      <c r="P387" s="29">
        <v>6</v>
      </c>
      <c r="Q387" s="29">
        <v>9.5</v>
      </c>
    </row>
    <row r="388" spans="1:17" x14ac:dyDescent="0.35">
      <c r="A388" s="26">
        <v>40000002549</v>
      </c>
      <c r="B388" s="31">
        <v>1</v>
      </c>
      <c r="C388" s="29" t="str">
        <f>LOOKUP(A388,'QALS - Inspection Lot Record'!$A$2:$A$361,'QALS - Inspection Lot Record'!$O$2:$O$361)</f>
        <v>Metformin Tablets (200 MG)</v>
      </c>
      <c r="D388" s="31">
        <v>30</v>
      </c>
      <c r="E388" s="29" t="s">
        <v>401</v>
      </c>
      <c r="F388" s="29" t="str">
        <f>LOOKUP(A388,'QALS - Inspection Lot Record'!A:A,'QALS - Inspection Lot Record'!G:G)</f>
        <v>TP397880</v>
      </c>
      <c r="G388" s="59">
        <f ca="1">LOOKUP(A388,'QALS - Inspection Lot Record'!A:A,'QALS - Inspection Lot Record'!E:E)</f>
        <v>45894</v>
      </c>
      <c r="H388" s="34" t="str">
        <f t="shared" si="30"/>
        <v>A</v>
      </c>
      <c r="I388" s="29" t="str">
        <f t="shared" si="31"/>
        <v>TP397880</v>
      </c>
      <c r="J388" s="59">
        <f t="shared" ca="1" si="32"/>
        <v>45894</v>
      </c>
      <c r="K388" s="30">
        <f ca="1">LOOKUP(A388,'QALS - Inspection Lot Record'!A:A,'QALS - Inspection Lot Record'!I:I)</f>
        <v>0.80862268518518521</v>
      </c>
      <c r="L388" s="59">
        <f t="shared" ca="1" si="33"/>
        <v>45894</v>
      </c>
      <c r="M388" s="30">
        <f t="shared" ca="1" si="34"/>
        <v>0.83833333333333337</v>
      </c>
      <c r="N388" s="11" t="s">
        <v>402</v>
      </c>
      <c r="O388" s="31"/>
      <c r="P388" s="29"/>
      <c r="Q388" s="29"/>
    </row>
    <row r="389" spans="1:17" x14ac:dyDescent="0.35">
      <c r="A389" s="26">
        <v>40000002549</v>
      </c>
      <c r="B389" s="31">
        <v>1</v>
      </c>
      <c r="C389" s="29" t="str">
        <f>LOOKUP(A389,'QALS - Inspection Lot Record'!$A$2:$A$361,'QALS - Inspection Lot Record'!$O$2:$O$361)</f>
        <v>Metformin Tablets (200 MG)</v>
      </c>
      <c r="D389" s="31">
        <v>40</v>
      </c>
      <c r="E389" s="29" t="s">
        <v>403</v>
      </c>
      <c r="F389" s="29" t="str">
        <f>LOOKUP(A389,'QALS - Inspection Lot Record'!A:A,'QALS - Inspection Lot Record'!G:G)</f>
        <v>TP397880</v>
      </c>
      <c r="G389" s="59">
        <f ca="1">LOOKUP(A389,'QALS - Inspection Lot Record'!A:A,'QALS - Inspection Lot Record'!E:E)</f>
        <v>45894</v>
      </c>
      <c r="H389" s="34" t="str">
        <f t="shared" si="30"/>
        <v>A</v>
      </c>
      <c r="I389" s="29" t="str">
        <f t="shared" si="31"/>
        <v>TP397880</v>
      </c>
      <c r="J389" s="59">
        <f t="shared" ca="1" si="32"/>
        <v>45894</v>
      </c>
      <c r="K389" s="30">
        <f ca="1">LOOKUP(A389,'QALS - Inspection Lot Record'!A:A,'QALS - Inspection Lot Record'!I:I)</f>
        <v>0.80862268518518521</v>
      </c>
      <c r="L389" s="59">
        <f t="shared" ca="1" si="33"/>
        <v>45894</v>
      </c>
      <c r="M389" s="30">
        <f t="shared" ca="1" si="34"/>
        <v>0.83649305555555553</v>
      </c>
      <c r="N389" s="31"/>
      <c r="O389" s="31">
        <v>0</v>
      </c>
      <c r="P389" s="29">
        <v>0</v>
      </c>
      <c r="Q389" s="29">
        <v>2</v>
      </c>
    </row>
    <row r="390" spans="1:17" x14ac:dyDescent="0.35">
      <c r="A390" s="26">
        <v>40000002549</v>
      </c>
      <c r="B390" s="31">
        <v>1</v>
      </c>
      <c r="C390" s="29" t="str">
        <f>LOOKUP(A390,'QALS - Inspection Lot Record'!$A$2:$A$361,'QALS - Inspection Lot Record'!$O$2:$O$361)</f>
        <v>Metformin Tablets (200 MG)</v>
      </c>
      <c r="D390" s="31">
        <v>50</v>
      </c>
      <c r="E390" s="29" t="s">
        <v>404</v>
      </c>
      <c r="F390" s="29" t="str">
        <f>LOOKUP(A390,'QALS - Inspection Lot Record'!A:A,'QALS - Inspection Lot Record'!G:G)</f>
        <v>TP397880</v>
      </c>
      <c r="G390" s="59">
        <f ca="1">LOOKUP(A390,'QALS - Inspection Lot Record'!A:A,'QALS - Inspection Lot Record'!E:E)</f>
        <v>45894</v>
      </c>
      <c r="H390" s="34" t="str">
        <f t="shared" si="30"/>
        <v>A</v>
      </c>
      <c r="I390" s="29" t="str">
        <f t="shared" si="31"/>
        <v>TP397880</v>
      </c>
      <c r="J390" s="59">
        <f t="shared" ca="1" si="32"/>
        <v>45894</v>
      </c>
      <c r="K390" s="30">
        <f ca="1">LOOKUP(A390,'QALS - Inspection Lot Record'!A:A,'QALS - Inspection Lot Record'!I:I)</f>
        <v>0.80862268518518521</v>
      </c>
      <c r="L390" s="59">
        <f t="shared" ca="1" si="33"/>
        <v>45894</v>
      </c>
      <c r="M390" s="30">
        <f t="shared" ca="1" si="34"/>
        <v>0.83731481481481485</v>
      </c>
      <c r="N390" s="31"/>
      <c r="O390" s="31">
        <v>50</v>
      </c>
      <c r="P390" s="29">
        <v>40</v>
      </c>
      <c r="Q390" s="29">
        <v>60</v>
      </c>
    </row>
    <row r="391" spans="1:17" x14ac:dyDescent="0.35">
      <c r="A391" s="26">
        <v>40000002549</v>
      </c>
      <c r="B391" s="31">
        <v>1</v>
      </c>
      <c r="C391" s="29" t="str">
        <f>LOOKUP(A391,'QALS - Inspection Lot Record'!$A$2:$A$361,'QALS - Inspection Lot Record'!$O$2:$O$361)</f>
        <v>Metformin Tablets (200 MG)</v>
      </c>
      <c r="D391" s="31">
        <v>60</v>
      </c>
      <c r="E391" s="29" t="s">
        <v>405</v>
      </c>
      <c r="F391" s="29" t="str">
        <f>LOOKUP(A391,'QALS - Inspection Lot Record'!A:A,'QALS - Inspection Lot Record'!G:G)</f>
        <v>TP397880</v>
      </c>
      <c r="G391" s="59">
        <f ca="1">LOOKUP(A391,'QALS - Inspection Lot Record'!A:A,'QALS - Inspection Lot Record'!E:E)</f>
        <v>45894</v>
      </c>
      <c r="H391" s="34" t="str">
        <f t="shared" si="30"/>
        <v>A</v>
      </c>
      <c r="I391" s="29" t="str">
        <f t="shared" si="31"/>
        <v>TP397880</v>
      </c>
      <c r="J391" s="59">
        <f t="shared" ca="1" si="32"/>
        <v>45894</v>
      </c>
      <c r="K391" s="30">
        <f ca="1">LOOKUP(A391,'QALS - Inspection Lot Record'!A:A,'QALS - Inspection Lot Record'!I:I)</f>
        <v>0.80862268518518521</v>
      </c>
      <c r="L391" s="59">
        <f t="shared" ca="1" si="33"/>
        <v>45894</v>
      </c>
      <c r="M391" s="30">
        <f t="shared" ca="1" si="34"/>
        <v>0.82797453703703705</v>
      </c>
      <c r="N391" s="31"/>
      <c r="O391" s="31">
        <v>77.5</v>
      </c>
      <c r="P391" s="29">
        <v>70</v>
      </c>
      <c r="Q391" s="29">
        <v>85</v>
      </c>
    </row>
    <row r="392" spans="1:17" x14ac:dyDescent="0.35">
      <c r="A392" s="26">
        <v>40000002549</v>
      </c>
      <c r="B392" s="31">
        <v>1</v>
      </c>
      <c r="C392" s="29" t="str">
        <f>LOOKUP(A392,'QALS - Inspection Lot Record'!$A$2:$A$361,'QALS - Inspection Lot Record'!$O$2:$O$361)</f>
        <v>Metformin Tablets (200 MG)</v>
      </c>
      <c r="D392" s="31">
        <v>70</v>
      </c>
      <c r="E392" s="29" t="s">
        <v>406</v>
      </c>
      <c r="F392" s="29" t="str">
        <f>LOOKUP(A392,'QALS - Inspection Lot Record'!A:A,'QALS - Inspection Lot Record'!G:G)</f>
        <v>TP397880</v>
      </c>
      <c r="G392" s="59">
        <f ca="1">LOOKUP(A392,'QALS - Inspection Lot Record'!A:A,'QALS - Inspection Lot Record'!E:E)</f>
        <v>45894</v>
      </c>
      <c r="H392" s="34" t="str">
        <f t="shared" si="30"/>
        <v>A</v>
      </c>
      <c r="I392" s="29" t="str">
        <f t="shared" si="31"/>
        <v>TP397880</v>
      </c>
      <c r="J392" s="59">
        <f t="shared" ca="1" si="32"/>
        <v>45894</v>
      </c>
      <c r="K392" s="30">
        <f ca="1">LOOKUP(A392,'QALS - Inspection Lot Record'!A:A,'QALS - Inspection Lot Record'!I:I)</f>
        <v>0.80862268518518521</v>
      </c>
      <c r="L392" s="59">
        <f t="shared" ca="1" si="33"/>
        <v>45894</v>
      </c>
      <c r="M392" s="30">
        <f t="shared" ca="1" si="34"/>
        <v>0.82990740740740743</v>
      </c>
      <c r="N392" s="31"/>
      <c r="O392" s="31">
        <v>85</v>
      </c>
      <c r="P392" s="29">
        <v>80</v>
      </c>
      <c r="Q392" s="29">
        <v>90</v>
      </c>
    </row>
    <row r="393" spans="1:17" x14ac:dyDescent="0.35">
      <c r="A393" s="26">
        <v>40000002549</v>
      </c>
      <c r="B393" s="31">
        <v>1</v>
      </c>
      <c r="C393" s="29" t="str">
        <f>LOOKUP(A393,'QALS - Inspection Lot Record'!$A$2:$A$361,'QALS - Inspection Lot Record'!$O$2:$O$361)</f>
        <v>Metformin Tablets (200 MG)</v>
      </c>
      <c r="D393" s="31">
        <v>80</v>
      </c>
      <c r="E393" s="29" t="s">
        <v>407</v>
      </c>
      <c r="F393" s="29" t="str">
        <f>LOOKUP(A393,'QALS - Inspection Lot Record'!A:A,'QALS - Inspection Lot Record'!G:G)</f>
        <v>TP397880</v>
      </c>
      <c r="G393" s="59">
        <f ca="1">LOOKUP(A393,'QALS - Inspection Lot Record'!A:A,'QALS - Inspection Lot Record'!E:E)</f>
        <v>45894</v>
      </c>
      <c r="H393" s="34" t="str">
        <f t="shared" si="30"/>
        <v>R</v>
      </c>
      <c r="I393" s="29" t="str">
        <f t="shared" si="31"/>
        <v>TP397880</v>
      </c>
      <c r="J393" s="59">
        <f t="shared" ca="1" si="32"/>
        <v>45894</v>
      </c>
      <c r="K393" s="30">
        <f ca="1">LOOKUP(A393,'QALS - Inspection Lot Record'!A:A,'QALS - Inspection Lot Record'!I:I)</f>
        <v>0.80862268518518521</v>
      </c>
      <c r="L393" s="59">
        <f t="shared" ca="1" si="33"/>
        <v>45894</v>
      </c>
      <c r="M393" s="30">
        <f t="shared" ca="1" si="34"/>
        <v>0.83528935185185182</v>
      </c>
      <c r="N393" s="31"/>
      <c r="O393" s="31">
        <v>21.8</v>
      </c>
      <c r="P393" s="29">
        <v>23</v>
      </c>
      <c r="Q393" s="29">
        <v>28</v>
      </c>
    </row>
    <row r="394" spans="1:17" x14ac:dyDescent="0.35">
      <c r="A394" s="26">
        <v>40000002550</v>
      </c>
      <c r="B394" s="27">
        <v>1</v>
      </c>
      <c r="C394" s="29" t="str">
        <f>LOOKUP(A394,'QALS - Inspection Lot Record'!$A$2:$A$361,'QALS - Inspection Lot Record'!$O$2:$O$361)</f>
        <v>Metformin Tablets (100 MG)</v>
      </c>
      <c r="D394" s="27">
        <v>10</v>
      </c>
      <c r="E394" s="26" t="s">
        <v>399</v>
      </c>
      <c r="F394" s="29" t="str">
        <f>LOOKUP(A394,'QALS - Inspection Lot Record'!A:A,'QALS - Inspection Lot Record'!G:G)</f>
        <v>GC197258</v>
      </c>
      <c r="G394" s="59">
        <f ca="1">LOOKUP(A394,'QALS - Inspection Lot Record'!A:A,'QALS - Inspection Lot Record'!E:E)</f>
        <v>45894</v>
      </c>
      <c r="H394" s="34" t="str">
        <f t="shared" ref="H394:H457" si="35">IF(AND(P394&lt;=O394,O394&lt;=Q394),"A","R")</f>
        <v>A</v>
      </c>
      <c r="I394" s="29" t="str">
        <f t="shared" si="31"/>
        <v>GC197258</v>
      </c>
      <c r="J394" s="59">
        <f t="shared" ca="1" si="32"/>
        <v>45894</v>
      </c>
      <c r="K394" s="30">
        <f ca="1">LOOKUP(A394,'QALS - Inspection Lot Record'!A:A,'QALS - Inspection Lot Record'!I:I)</f>
        <v>0.14810185185185185</v>
      </c>
      <c r="L394" s="59">
        <f t="shared" ca="1" si="33"/>
        <v>45894</v>
      </c>
      <c r="M394" s="30">
        <f t="shared" ca="1" si="34"/>
        <v>0.17173611111111109</v>
      </c>
      <c r="N394" s="31"/>
      <c r="O394" s="31">
        <v>98.5</v>
      </c>
      <c r="P394" s="29">
        <v>95</v>
      </c>
      <c r="Q394" s="29">
        <v>102</v>
      </c>
    </row>
    <row r="395" spans="1:17" x14ac:dyDescent="0.35">
      <c r="A395" s="26">
        <v>40000002550</v>
      </c>
      <c r="B395" s="27">
        <v>1</v>
      </c>
      <c r="C395" s="29" t="str">
        <f>LOOKUP(A395,'QALS - Inspection Lot Record'!$A$2:$A$361,'QALS - Inspection Lot Record'!$O$2:$O$361)</f>
        <v>Metformin Tablets (100 MG)</v>
      </c>
      <c r="D395" s="31">
        <v>20</v>
      </c>
      <c r="E395" s="29" t="s">
        <v>400</v>
      </c>
      <c r="F395" s="29" t="str">
        <f>LOOKUP(A395,'QALS - Inspection Lot Record'!A:A,'QALS - Inspection Lot Record'!G:G)</f>
        <v>GC197258</v>
      </c>
      <c r="G395" s="59">
        <f ca="1">LOOKUP(A395,'QALS - Inspection Lot Record'!A:A,'QALS - Inspection Lot Record'!E:E)</f>
        <v>45894</v>
      </c>
      <c r="H395" s="34" t="str">
        <f t="shared" si="35"/>
        <v>R</v>
      </c>
      <c r="I395" s="29" t="str">
        <f t="shared" si="31"/>
        <v>GC197258</v>
      </c>
      <c r="J395" s="59">
        <f t="shared" ca="1" si="32"/>
        <v>45894</v>
      </c>
      <c r="K395" s="30">
        <f ca="1">LOOKUP(A395,'QALS - Inspection Lot Record'!A:A,'QALS - Inspection Lot Record'!I:I)</f>
        <v>0.14810185185185185</v>
      </c>
      <c r="L395" s="59">
        <f t="shared" ca="1" si="33"/>
        <v>45894</v>
      </c>
      <c r="M395" s="30">
        <f t="shared" ca="1" si="34"/>
        <v>0.17119212962962962</v>
      </c>
      <c r="N395" s="31"/>
      <c r="O395" s="31">
        <v>2.2999999999999998</v>
      </c>
      <c r="P395" s="29">
        <v>3.5</v>
      </c>
      <c r="Q395" s="29">
        <v>11</v>
      </c>
    </row>
    <row r="396" spans="1:17" x14ac:dyDescent="0.35">
      <c r="A396" s="26">
        <v>40000002550</v>
      </c>
      <c r="B396" s="31">
        <v>1</v>
      </c>
      <c r="C396" s="29" t="str">
        <f>LOOKUP(A396,'QALS - Inspection Lot Record'!$A$2:$A$361,'QALS - Inspection Lot Record'!$O$2:$O$361)</f>
        <v>Metformin Tablets (100 MG)</v>
      </c>
      <c r="D396" s="31">
        <v>30</v>
      </c>
      <c r="E396" s="29" t="s">
        <v>401</v>
      </c>
      <c r="F396" s="29" t="str">
        <f>LOOKUP(A396,'QALS - Inspection Lot Record'!A:A,'QALS - Inspection Lot Record'!G:G)</f>
        <v>GC197258</v>
      </c>
      <c r="G396" s="59">
        <f ca="1">LOOKUP(A396,'QALS - Inspection Lot Record'!A:A,'QALS - Inspection Lot Record'!E:E)</f>
        <v>45894</v>
      </c>
      <c r="H396" s="34" t="str">
        <f t="shared" si="35"/>
        <v>A</v>
      </c>
      <c r="I396" s="29" t="str">
        <f t="shared" si="31"/>
        <v>GC197258</v>
      </c>
      <c r="J396" s="59">
        <f t="shared" ca="1" si="32"/>
        <v>45894</v>
      </c>
      <c r="K396" s="30">
        <f ca="1">LOOKUP(A396,'QALS - Inspection Lot Record'!A:A,'QALS - Inspection Lot Record'!I:I)</f>
        <v>0.14810185185185185</v>
      </c>
      <c r="L396" s="59">
        <f t="shared" ca="1" si="33"/>
        <v>45894</v>
      </c>
      <c r="M396" s="30">
        <f t="shared" ca="1" si="34"/>
        <v>0.18013888888888888</v>
      </c>
      <c r="N396" s="11" t="s">
        <v>402</v>
      </c>
      <c r="O396" s="31"/>
      <c r="P396" s="29"/>
      <c r="Q396" s="29"/>
    </row>
    <row r="397" spans="1:17" x14ac:dyDescent="0.35">
      <c r="A397" s="26">
        <v>40000002550</v>
      </c>
      <c r="B397" s="31">
        <v>1</v>
      </c>
      <c r="C397" s="29" t="str">
        <f>LOOKUP(A397,'QALS - Inspection Lot Record'!$A$2:$A$361,'QALS - Inspection Lot Record'!$O$2:$O$361)</f>
        <v>Metformin Tablets (100 MG)</v>
      </c>
      <c r="D397" s="31">
        <v>40</v>
      </c>
      <c r="E397" s="29" t="s">
        <v>403</v>
      </c>
      <c r="F397" s="29" t="str">
        <f>LOOKUP(A397,'QALS - Inspection Lot Record'!A:A,'QALS - Inspection Lot Record'!G:G)</f>
        <v>GC197258</v>
      </c>
      <c r="G397" s="59">
        <f ca="1">LOOKUP(A397,'QALS - Inspection Lot Record'!A:A,'QALS - Inspection Lot Record'!E:E)</f>
        <v>45894</v>
      </c>
      <c r="H397" s="34" t="str">
        <f t="shared" si="35"/>
        <v>A</v>
      </c>
      <c r="I397" s="29" t="str">
        <f t="shared" si="31"/>
        <v>GC197258</v>
      </c>
      <c r="J397" s="59">
        <f t="shared" ca="1" si="32"/>
        <v>45894</v>
      </c>
      <c r="K397" s="30">
        <f ca="1">LOOKUP(A397,'QALS - Inspection Lot Record'!A:A,'QALS - Inspection Lot Record'!I:I)</f>
        <v>0.14810185185185185</v>
      </c>
      <c r="L397" s="59">
        <f t="shared" ca="1" si="33"/>
        <v>45894</v>
      </c>
      <c r="M397" s="30">
        <f t="shared" ca="1" si="34"/>
        <v>0.16582175925925924</v>
      </c>
      <c r="N397" s="31"/>
      <c r="O397" s="31">
        <v>0</v>
      </c>
      <c r="P397" s="29">
        <v>0</v>
      </c>
      <c r="Q397" s="29">
        <v>1</v>
      </c>
    </row>
    <row r="398" spans="1:17" x14ac:dyDescent="0.35">
      <c r="A398" s="26">
        <v>40000002550</v>
      </c>
      <c r="B398" s="31">
        <v>1</v>
      </c>
      <c r="C398" s="29" t="str">
        <f>LOOKUP(A398,'QALS - Inspection Lot Record'!$A$2:$A$361,'QALS - Inspection Lot Record'!$O$2:$O$361)</f>
        <v>Metformin Tablets (100 MG)</v>
      </c>
      <c r="D398" s="31">
        <v>50</v>
      </c>
      <c r="E398" s="29" t="s">
        <v>404</v>
      </c>
      <c r="F398" s="29" t="str">
        <f>LOOKUP(A398,'QALS - Inspection Lot Record'!A:A,'QALS - Inspection Lot Record'!G:G)</f>
        <v>GC197258</v>
      </c>
      <c r="G398" s="59">
        <f ca="1">LOOKUP(A398,'QALS - Inspection Lot Record'!A:A,'QALS - Inspection Lot Record'!E:E)</f>
        <v>45894</v>
      </c>
      <c r="H398" s="34" t="str">
        <f t="shared" si="35"/>
        <v>A</v>
      </c>
      <c r="I398" s="29" t="str">
        <f t="shared" si="31"/>
        <v>GC197258</v>
      </c>
      <c r="J398" s="59">
        <f t="shared" ca="1" si="32"/>
        <v>45894</v>
      </c>
      <c r="K398" s="30">
        <f ca="1">LOOKUP(A398,'QALS - Inspection Lot Record'!A:A,'QALS - Inspection Lot Record'!I:I)</f>
        <v>0.14810185185185185</v>
      </c>
      <c r="L398" s="59">
        <f t="shared" ca="1" si="33"/>
        <v>45894</v>
      </c>
      <c r="M398" s="30">
        <f t="shared" ca="1" si="34"/>
        <v>0.17729166666666665</v>
      </c>
      <c r="N398" s="31"/>
      <c r="O398" s="31">
        <v>50</v>
      </c>
      <c r="P398" s="29">
        <v>40</v>
      </c>
      <c r="Q398" s="29">
        <v>60</v>
      </c>
    </row>
    <row r="399" spans="1:17" x14ac:dyDescent="0.35">
      <c r="A399" s="26">
        <v>40000002550</v>
      </c>
      <c r="B399" s="31">
        <v>1</v>
      </c>
      <c r="C399" s="29" t="str">
        <f>LOOKUP(A399,'QALS - Inspection Lot Record'!$A$2:$A$361,'QALS - Inspection Lot Record'!$O$2:$O$361)</f>
        <v>Metformin Tablets (100 MG)</v>
      </c>
      <c r="D399" s="31">
        <v>60</v>
      </c>
      <c r="E399" s="29" t="s">
        <v>405</v>
      </c>
      <c r="F399" s="29" t="str">
        <f>LOOKUP(A399,'QALS - Inspection Lot Record'!A:A,'QALS - Inspection Lot Record'!G:G)</f>
        <v>GC197258</v>
      </c>
      <c r="G399" s="59">
        <f ca="1">LOOKUP(A399,'QALS - Inspection Lot Record'!A:A,'QALS - Inspection Lot Record'!E:E)</f>
        <v>45894</v>
      </c>
      <c r="H399" s="34" t="str">
        <f t="shared" si="35"/>
        <v>A</v>
      </c>
      <c r="I399" s="29" t="str">
        <f t="shared" si="31"/>
        <v>GC197258</v>
      </c>
      <c r="J399" s="59">
        <f t="shared" ca="1" si="32"/>
        <v>45894</v>
      </c>
      <c r="K399" s="30">
        <f ca="1">LOOKUP(A399,'QALS - Inspection Lot Record'!A:A,'QALS - Inspection Lot Record'!I:I)</f>
        <v>0.14810185185185185</v>
      </c>
      <c r="L399" s="59">
        <f t="shared" ca="1" si="33"/>
        <v>45894</v>
      </c>
      <c r="M399" s="30">
        <f t="shared" ca="1" si="34"/>
        <v>0.1746412037037037</v>
      </c>
      <c r="N399" s="31"/>
      <c r="O399" s="31">
        <v>77.5</v>
      </c>
      <c r="P399" s="29">
        <v>70</v>
      </c>
      <c r="Q399" s="29">
        <v>85</v>
      </c>
    </row>
    <row r="400" spans="1:17" x14ac:dyDescent="0.35">
      <c r="A400" s="26">
        <v>40000002550</v>
      </c>
      <c r="B400" s="31">
        <v>1</v>
      </c>
      <c r="C400" s="29" t="str">
        <f>LOOKUP(A400,'QALS - Inspection Lot Record'!$A$2:$A$361,'QALS - Inspection Lot Record'!$O$2:$O$361)</f>
        <v>Metformin Tablets (100 MG)</v>
      </c>
      <c r="D400" s="31">
        <v>70</v>
      </c>
      <c r="E400" s="29" t="s">
        <v>406</v>
      </c>
      <c r="F400" s="29" t="str">
        <f>LOOKUP(A400,'QALS - Inspection Lot Record'!A:A,'QALS - Inspection Lot Record'!G:G)</f>
        <v>GC197258</v>
      </c>
      <c r="G400" s="59">
        <f ca="1">LOOKUP(A400,'QALS - Inspection Lot Record'!A:A,'QALS - Inspection Lot Record'!E:E)</f>
        <v>45894</v>
      </c>
      <c r="H400" s="34" t="str">
        <f t="shared" si="35"/>
        <v>R</v>
      </c>
      <c r="I400" s="29" t="str">
        <f t="shared" si="31"/>
        <v>GC197258</v>
      </c>
      <c r="J400" s="59">
        <f t="shared" ca="1" si="32"/>
        <v>45894</v>
      </c>
      <c r="K400" s="30">
        <f ca="1">LOOKUP(A400,'QALS - Inspection Lot Record'!A:A,'QALS - Inspection Lot Record'!I:I)</f>
        <v>0.14810185185185185</v>
      </c>
      <c r="L400" s="59">
        <f t="shared" ca="1" si="33"/>
        <v>45894</v>
      </c>
      <c r="M400" s="30">
        <f t="shared" ca="1" si="34"/>
        <v>0.17678240740740742</v>
      </c>
      <c r="N400" s="31"/>
      <c r="O400" s="31">
        <v>78.400000000000006</v>
      </c>
      <c r="P400" s="29">
        <v>80</v>
      </c>
      <c r="Q400" s="29">
        <v>90</v>
      </c>
    </row>
    <row r="401" spans="1:17" x14ac:dyDescent="0.35">
      <c r="A401" s="26">
        <v>40000002550</v>
      </c>
      <c r="B401" s="31">
        <v>1</v>
      </c>
      <c r="C401" s="29" t="str">
        <f>LOOKUP(A401,'QALS - Inspection Lot Record'!$A$2:$A$361,'QALS - Inspection Lot Record'!$O$2:$O$361)</f>
        <v>Metformin Tablets (100 MG)</v>
      </c>
      <c r="D401" s="31">
        <v>80</v>
      </c>
      <c r="E401" s="29" t="s">
        <v>407</v>
      </c>
      <c r="F401" s="29" t="str">
        <f>LOOKUP(A401,'QALS - Inspection Lot Record'!A:A,'QALS - Inspection Lot Record'!G:G)</f>
        <v>GC197258</v>
      </c>
      <c r="G401" s="59">
        <f ca="1">LOOKUP(A401,'QALS - Inspection Lot Record'!A:A,'QALS - Inspection Lot Record'!E:E)</f>
        <v>45894</v>
      </c>
      <c r="H401" s="34" t="str">
        <f t="shared" si="35"/>
        <v>A</v>
      </c>
      <c r="I401" s="29" t="str">
        <f t="shared" si="31"/>
        <v>GC197258</v>
      </c>
      <c r="J401" s="59">
        <f t="shared" ca="1" si="32"/>
        <v>45894</v>
      </c>
      <c r="K401" s="30">
        <f ca="1">LOOKUP(A401,'QALS - Inspection Lot Record'!A:A,'QALS - Inspection Lot Record'!I:I)</f>
        <v>0.14810185185185185</v>
      </c>
      <c r="L401" s="59">
        <f t="shared" ca="1" si="33"/>
        <v>45894</v>
      </c>
      <c r="M401" s="30">
        <f t="shared" ca="1" si="34"/>
        <v>0.18185185185185185</v>
      </c>
      <c r="N401" s="31"/>
      <c r="O401" s="31">
        <v>24</v>
      </c>
      <c r="P401" s="29">
        <v>23</v>
      </c>
      <c r="Q401" s="29">
        <v>25</v>
      </c>
    </row>
    <row r="402" spans="1:17" x14ac:dyDescent="0.35">
      <c r="A402" s="26">
        <v>40000002551</v>
      </c>
      <c r="B402" s="27">
        <v>1</v>
      </c>
      <c r="C402" s="29" t="str">
        <f>LOOKUP(A402,'QALS - Inspection Lot Record'!$A$2:$A$361,'QALS - Inspection Lot Record'!$O$2:$O$361)</f>
        <v>Metformin Tablets (100 MG)</v>
      </c>
      <c r="D402" s="27">
        <v>10</v>
      </c>
      <c r="E402" s="26" t="s">
        <v>399</v>
      </c>
      <c r="F402" s="29" t="str">
        <f>LOOKUP(A402,'QALS - Inspection Lot Record'!A:A,'QALS - Inspection Lot Record'!G:G)</f>
        <v>TP397880</v>
      </c>
      <c r="G402" s="59">
        <f ca="1">LOOKUP(A402,'QALS - Inspection Lot Record'!A:A,'QALS - Inspection Lot Record'!E:E)</f>
        <v>45895</v>
      </c>
      <c r="H402" s="34" t="str">
        <f t="shared" si="35"/>
        <v>A</v>
      </c>
      <c r="I402" s="29" t="str">
        <f t="shared" si="31"/>
        <v>TP397880</v>
      </c>
      <c r="J402" s="59">
        <f t="shared" ca="1" si="32"/>
        <v>45895</v>
      </c>
      <c r="K402" s="30">
        <f ca="1">LOOKUP(A402,'QALS - Inspection Lot Record'!A:A,'QALS - Inspection Lot Record'!I:I)</f>
        <v>0.82490740740740742</v>
      </c>
      <c r="L402" s="59">
        <f t="shared" ca="1" si="33"/>
        <v>45895</v>
      </c>
      <c r="M402" s="30">
        <f t="shared" ca="1" si="34"/>
        <v>0.84972222222222227</v>
      </c>
      <c r="N402" s="31"/>
      <c r="O402" s="31">
        <v>98.5</v>
      </c>
      <c r="P402" s="29">
        <v>95</v>
      </c>
      <c r="Q402" s="29">
        <v>102</v>
      </c>
    </row>
    <row r="403" spans="1:17" x14ac:dyDescent="0.35">
      <c r="A403" s="26">
        <v>40000002551</v>
      </c>
      <c r="B403" s="27">
        <v>1</v>
      </c>
      <c r="C403" s="29" t="str">
        <f>LOOKUP(A403,'QALS - Inspection Lot Record'!$A$2:$A$361,'QALS - Inspection Lot Record'!$O$2:$O$361)</f>
        <v>Metformin Tablets (100 MG)</v>
      </c>
      <c r="D403" s="31">
        <v>20</v>
      </c>
      <c r="E403" s="29" t="s">
        <v>400</v>
      </c>
      <c r="F403" s="29" t="str">
        <f>LOOKUP(A403,'QALS - Inspection Lot Record'!A:A,'QALS - Inspection Lot Record'!G:G)</f>
        <v>TP397880</v>
      </c>
      <c r="G403" s="59">
        <f ca="1">LOOKUP(A403,'QALS - Inspection Lot Record'!A:A,'QALS - Inspection Lot Record'!E:E)</f>
        <v>45895</v>
      </c>
      <c r="H403" s="34" t="str">
        <f t="shared" si="35"/>
        <v>A</v>
      </c>
      <c r="I403" s="29" t="str">
        <f t="shared" si="31"/>
        <v>TP397880</v>
      </c>
      <c r="J403" s="59">
        <f t="shared" ca="1" si="32"/>
        <v>45895</v>
      </c>
      <c r="K403" s="30">
        <f ca="1">LOOKUP(A403,'QALS - Inspection Lot Record'!A:A,'QALS - Inspection Lot Record'!I:I)</f>
        <v>0.82490740740740742</v>
      </c>
      <c r="L403" s="59">
        <f t="shared" ca="1" si="33"/>
        <v>45895</v>
      </c>
      <c r="M403" s="30">
        <f t="shared" ca="1" si="34"/>
        <v>0.85768518518518522</v>
      </c>
      <c r="N403" s="31"/>
      <c r="O403" s="31">
        <v>7.3</v>
      </c>
      <c r="P403" s="29">
        <v>3.5</v>
      </c>
      <c r="Q403" s="29">
        <v>11</v>
      </c>
    </row>
    <row r="404" spans="1:17" x14ac:dyDescent="0.35">
      <c r="A404" s="26">
        <v>40000002551</v>
      </c>
      <c r="B404" s="31">
        <v>1</v>
      </c>
      <c r="C404" s="29" t="str">
        <f>LOOKUP(A404,'QALS - Inspection Lot Record'!$A$2:$A$361,'QALS - Inspection Lot Record'!$O$2:$O$361)</f>
        <v>Metformin Tablets (100 MG)</v>
      </c>
      <c r="D404" s="31">
        <v>30</v>
      </c>
      <c r="E404" s="29" t="s">
        <v>401</v>
      </c>
      <c r="F404" s="29" t="str">
        <f>LOOKUP(A404,'QALS - Inspection Lot Record'!A:A,'QALS - Inspection Lot Record'!G:G)</f>
        <v>TP397880</v>
      </c>
      <c r="G404" s="59">
        <f ca="1">LOOKUP(A404,'QALS - Inspection Lot Record'!A:A,'QALS - Inspection Lot Record'!E:E)</f>
        <v>45895</v>
      </c>
      <c r="H404" s="34" t="str">
        <f t="shared" si="35"/>
        <v>A</v>
      </c>
      <c r="I404" s="29" t="str">
        <f t="shared" si="31"/>
        <v>TP397880</v>
      </c>
      <c r="J404" s="59">
        <f t="shared" ca="1" si="32"/>
        <v>45895</v>
      </c>
      <c r="K404" s="30">
        <f ca="1">LOOKUP(A404,'QALS - Inspection Lot Record'!A:A,'QALS - Inspection Lot Record'!I:I)</f>
        <v>0.82490740740740742</v>
      </c>
      <c r="L404" s="59">
        <f t="shared" ca="1" si="33"/>
        <v>45895</v>
      </c>
      <c r="M404" s="30">
        <f t="shared" ca="1" si="34"/>
        <v>0.85289351851851858</v>
      </c>
      <c r="N404" s="11" t="s">
        <v>402</v>
      </c>
      <c r="O404" s="31"/>
      <c r="P404" s="29"/>
      <c r="Q404" s="29"/>
    </row>
    <row r="405" spans="1:17" x14ac:dyDescent="0.35">
      <c r="A405" s="26">
        <v>40000002551</v>
      </c>
      <c r="B405" s="31">
        <v>1</v>
      </c>
      <c r="C405" s="29" t="str">
        <f>LOOKUP(A405,'QALS - Inspection Lot Record'!$A$2:$A$361,'QALS - Inspection Lot Record'!$O$2:$O$361)</f>
        <v>Metformin Tablets (100 MG)</v>
      </c>
      <c r="D405" s="31">
        <v>40</v>
      </c>
      <c r="E405" s="29" t="s">
        <v>403</v>
      </c>
      <c r="F405" s="29" t="str">
        <f>LOOKUP(A405,'QALS - Inspection Lot Record'!A:A,'QALS - Inspection Lot Record'!G:G)</f>
        <v>TP397880</v>
      </c>
      <c r="G405" s="59">
        <f ca="1">LOOKUP(A405,'QALS - Inspection Lot Record'!A:A,'QALS - Inspection Lot Record'!E:E)</f>
        <v>45895</v>
      </c>
      <c r="H405" s="34" t="str">
        <f t="shared" si="35"/>
        <v>A</v>
      </c>
      <c r="I405" s="29" t="str">
        <f t="shared" si="31"/>
        <v>TP397880</v>
      </c>
      <c r="J405" s="59">
        <f t="shared" ca="1" si="32"/>
        <v>45895</v>
      </c>
      <c r="K405" s="30">
        <f ca="1">LOOKUP(A405,'QALS - Inspection Lot Record'!A:A,'QALS - Inspection Lot Record'!I:I)</f>
        <v>0.82490740740740742</v>
      </c>
      <c r="L405" s="59">
        <f t="shared" ca="1" si="33"/>
        <v>45895</v>
      </c>
      <c r="M405" s="30">
        <f t="shared" ca="1" si="34"/>
        <v>0.85734953703703709</v>
      </c>
      <c r="N405" s="31"/>
      <c r="O405" s="31">
        <v>0.5</v>
      </c>
      <c r="P405" s="29">
        <v>0</v>
      </c>
      <c r="Q405" s="29">
        <v>1</v>
      </c>
    </row>
    <row r="406" spans="1:17" x14ac:dyDescent="0.35">
      <c r="A406" s="26">
        <v>40000002551</v>
      </c>
      <c r="B406" s="31">
        <v>1</v>
      </c>
      <c r="C406" s="29" t="str">
        <f>LOOKUP(A406,'QALS - Inspection Lot Record'!$A$2:$A$361,'QALS - Inspection Lot Record'!$O$2:$O$361)</f>
        <v>Metformin Tablets (100 MG)</v>
      </c>
      <c r="D406" s="31">
        <v>50</v>
      </c>
      <c r="E406" s="29" t="s">
        <v>404</v>
      </c>
      <c r="F406" s="29" t="str">
        <f>LOOKUP(A406,'QALS - Inspection Lot Record'!A:A,'QALS - Inspection Lot Record'!G:G)</f>
        <v>TP397880</v>
      </c>
      <c r="G406" s="59">
        <f ca="1">LOOKUP(A406,'QALS - Inspection Lot Record'!A:A,'QALS - Inspection Lot Record'!E:E)</f>
        <v>45895</v>
      </c>
      <c r="H406" s="34" t="str">
        <f t="shared" si="35"/>
        <v>A</v>
      </c>
      <c r="I406" s="29" t="str">
        <f t="shared" si="31"/>
        <v>TP397880</v>
      </c>
      <c r="J406" s="59">
        <f t="shared" ca="1" si="32"/>
        <v>45895</v>
      </c>
      <c r="K406" s="30">
        <f ca="1">LOOKUP(A406,'QALS - Inspection Lot Record'!A:A,'QALS - Inspection Lot Record'!I:I)</f>
        <v>0.82490740740740742</v>
      </c>
      <c r="L406" s="59">
        <f t="shared" ca="1" si="33"/>
        <v>45895</v>
      </c>
      <c r="M406" s="30">
        <f t="shared" ca="1" si="34"/>
        <v>0.85506944444444444</v>
      </c>
      <c r="N406" s="31"/>
      <c r="O406" s="31">
        <v>42</v>
      </c>
      <c r="P406" s="29">
        <v>40</v>
      </c>
      <c r="Q406" s="29">
        <v>60</v>
      </c>
    </row>
    <row r="407" spans="1:17" x14ac:dyDescent="0.35">
      <c r="A407" s="26">
        <v>40000002551</v>
      </c>
      <c r="B407" s="31">
        <v>1</v>
      </c>
      <c r="C407" s="29" t="str">
        <f>LOOKUP(A407,'QALS - Inspection Lot Record'!$A$2:$A$361,'QALS - Inspection Lot Record'!$O$2:$O$361)</f>
        <v>Metformin Tablets (100 MG)</v>
      </c>
      <c r="D407" s="31">
        <v>60</v>
      </c>
      <c r="E407" s="29" t="s">
        <v>405</v>
      </c>
      <c r="F407" s="29" t="str">
        <f>LOOKUP(A407,'QALS - Inspection Lot Record'!A:A,'QALS - Inspection Lot Record'!G:G)</f>
        <v>TP397880</v>
      </c>
      <c r="G407" s="59">
        <f ca="1">LOOKUP(A407,'QALS - Inspection Lot Record'!A:A,'QALS - Inspection Lot Record'!E:E)</f>
        <v>45895</v>
      </c>
      <c r="H407" s="34" t="str">
        <f t="shared" si="35"/>
        <v>A</v>
      </c>
      <c r="I407" s="29" t="str">
        <f t="shared" si="31"/>
        <v>TP397880</v>
      </c>
      <c r="J407" s="59">
        <f t="shared" ca="1" si="32"/>
        <v>45895</v>
      </c>
      <c r="K407" s="30">
        <f ca="1">LOOKUP(A407,'QALS - Inspection Lot Record'!A:A,'QALS - Inspection Lot Record'!I:I)</f>
        <v>0.82490740740740742</v>
      </c>
      <c r="L407" s="59">
        <f t="shared" ca="1" si="33"/>
        <v>45895</v>
      </c>
      <c r="M407" s="30">
        <f t="shared" ca="1" si="34"/>
        <v>0.85857638888888888</v>
      </c>
      <c r="N407" s="31"/>
      <c r="O407" s="31">
        <v>72</v>
      </c>
      <c r="P407" s="29">
        <v>70</v>
      </c>
      <c r="Q407" s="29">
        <v>85</v>
      </c>
    </row>
    <row r="408" spans="1:17" x14ac:dyDescent="0.35">
      <c r="A408" s="26">
        <v>40000002551</v>
      </c>
      <c r="B408" s="31">
        <v>1</v>
      </c>
      <c r="C408" s="29" t="str">
        <f>LOOKUP(A408,'QALS - Inspection Lot Record'!$A$2:$A$361,'QALS - Inspection Lot Record'!$O$2:$O$361)</f>
        <v>Metformin Tablets (100 MG)</v>
      </c>
      <c r="D408" s="31">
        <v>70</v>
      </c>
      <c r="E408" s="29" t="s">
        <v>406</v>
      </c>
      <c r="F408" s="29" t="str">
        <f>LOOKUP(A408,'QALS - Inspection Lot Record'!A:A,'QALS - Inspection Lot Record'!G:G)</f>
        <v>TP397880</v>
      </c>
      <c r="G408" s="59">
        <f ca="1">LOOKUP(A408,'QALS - Inspection Lot Record'!A:A,'QALS - Inspection Lot Record'!E:E)</f>
        <v>45895</v>
      </c>
      <c r="H408" s="34" t="str">
        <f t="shared" si="35"/>
        <v>A</v>
      </c>
      <c r="I408" s="29" t="str">
        <f t="shared" si="31"/>
        <v>TP397880</v>
      </c>
      <c r="J408" s="59">
        <f t="shared" ca="1" si="32"/>
        <v>45895</v>
      </c>
      <c r="K408" s="30">
        <f ca="1">LOOKUP(A408,'QALS - Inspection Lot Record'!A:A,'QALS - Inspection Lot Record'!I:I)</f>
        <v>0.82490740740740742</v>
      </c>
      <c r="L408" s="59">
        <f t="shared" ca="1" si="33"/>
        <v>45895</v>
      </c>
      <c r="M408" s="30">
        <f t="shared" ca="1" si="34"/>
        <v>0.84814814814814821</v>
      </c>
      <c r="N408" s="31"/>
      <c r="O408" s="31">
        <v>81</v>
      </c>
      <c r="P408" s="29">
        <v>80</v>
      </c>
      <c r="Q408" s="29">
        <v>90</v>
      </c>
    </row>
    <row r="409" spans="1:17" x14ac:dyDescent="0.35">
      <c r="A409" s="26">
        <v>40000002551</v>
      </c>
      <c r="B409" s="31">
        <v>1</v>
      </c>
      <c r="C409" s="29" t="str">
        <f>LOOKUP(A409,'QALS - Inspection Lot Record'!$A$2:$A$361,'QALS - Inspection Lot Record'!$O$2:$O$361)</f>
        <v>Metformin Tablets (100 MG)</v>
      </c>
      <c r="D409" s="31">
        <v>80</v>
      </c>
      <c r="E409" s="29" t="s">
        <v>407</v>
      </c>
      <c r="F409" s="29" t="str">
        <f>LOOKUP(A409,'QALS - Inspection Lot Record'!A:A,'QALS - Inspection Lot Record'!G:G)</f>
        <v>TP397880</v>
      </c>
      <c r="G409" s="59">
        <f ca="1">LOOKUP(A409,'QALS - Inspection Lot Record'!A:A,'QALS - Inspection Lot Record'!E:E)</f>
        <v>45895</v>
      </c>
      <c r="H409" s="34" t="str">
        <f t="shared" si="35"/>
        <v>A</v>
      </c>
      <c r="I409" s="29" t="str">
        <f t="shared" si="31"/>
        <v>TP397880</v>
      </c>
      <c r="J409" s="59">
        <f t="shared" ca="1" si="32"/>
        <v>45895</v>
      </c>
      <c r="K409" s="30">
        <f ca="1">LOOKUP(A409,'QALS - Inspection Lot Record'!A:A,'QALS - Inspection Lot Record'!I:I)</f>
        <v>0.82490740740740742</v>
      </c>
      <c r="L409" s="59">
        <f t="shared" ca="1" si="33"/>
        <v>45895</v>
      </c>
      <c r="M409" s="30">
        <f t="shared" ca="1" si="34"/>
        <v>0.84945601851851849</v>
      </c>
      <c r="N409" s="31"/>
      <c r="O409" s="31">
        <v>24</v>
      </c>
      <c r="P409" s="29">
        <v>23</v>
      </c>
      <c r="Q409" s="29">
        <v>25</v>
      </c>
    </row>
    <row r="410" spans="1:17" x14ac:dyDescent="0.35">
      <c r="A410" s="26">
        <v>40000002552</v>
      </c>
      <c r="B410" s="27">
        <v>1</v>
      </c>
      <c r="C410" s="29" t="str">
        <f>LOOKUP(A410,'QALS - Inspection Lot Record'!$A$2:$A$361,'QALS - Inspection Lot Record'!$O$2:$O$361)</f>
        <v>Ibuprofen Tablets (100 MG)</v>
      </c>
      <c r="D410" s="27">
        <v>10</v>
      </c>
      <c r="E410" s="26" t="s">
        <v>399</v>
      </c>
      <c r="F410" s="29" t="str">
        <f>LOOKUP(A410,'QALS - Inspection Lot Record'!A:A,'QALS - Inspection Lot Record'!G:G)</f>
        <v>YA284176</v>
      </c>
      <c r="G410" s="59">
        <f ca="1">LOOKUP(A410,'QALS - Inspection Lot Record'!A:A,'QALS - Inspection Lot Record'!E:E)</f>
        <v>45895</v>
      </c>
      <c r="H410" s="34" t="str">
        <f t="shared" si="35"/>
        <v>A</v>
      </c>
      <c r="I410" s="29" t="str">
        <f t="shared" si="31"/>
        <v>YA284176</v>
      </c>
      <c r="J410" s="59">
        <f t="shared" ca="1" si="32"/>
        <v>45895</v>
      </c>
      <c r="K410" s="30">
        <f ca="1">LOOKUP(A410,'QALS - Inspection Lot Record'!A:A,'QALS - Inspection Lot Record'!I:I)</f>
        <v>1.7951388888888888E-2</v>
      </c>
      <c r="L410" s="59">
        <f t="shared" ca="1" si="33"/>
        <v>45895</v>
      </c>
      <c r="M410" s="30">
        <f t="shared" ca="1" si="34"/>
        <v>5.047453703703704E-2</v>
      </c>
      <c r="N410" s="31"/>
      <c r="O410" s="31">
        <v>98.5</v>
      </c>
      <c r="P410" s="29">
        <v>95</v>
      </c>
      <c r="Q410" s="29">
        <v>102</v>
      </c>
    </row>
    <row r="411" spans="1:17" x14ac:dyDescent="0.35">
      <c r="A411" s="26">
        <v>40000002552</v>
      </c>
      <c r="B411" s="27">
        <v>1</v>
      </c>
      <c r="C411" s="29" t="str">
        <f>LOOKUP(A411,'QALS - Inspection Lot Record'!$A$2:$A$361,'QALS - Inspection Lot Record'!$O$2:$O$361)</f>
        <v>Ibuprofen Tablets (100 MG)</v>
      </c>
      <c r="D411" s="31">
        <v>20</v>
      </c>
      <c r="E411" s="29" t="s">
        <v>400</v>
      </c>
      <c r="F411" s="29" t="str">
        <f>LOOKUP(A411,'QALS - Inspection Lot Record'!A:A,'QALS - Inspection Lot Record'!G:G)</f>
        <v>YA284176</v>
      </c>
      <c r="G411" s="59">
        <f ca="1">LOOKUP(A411,'QALS - Inspection Lot Record'!A:A,'QALS - Inspection Lot Record'!E:E)</f>
        <v>45895</v>
      </c>
      <c r="H411" s="34" t="str">
        <f t="shared" si="35"/>
        <v>A</v>
      </c>
      <c r="I411" s="29" t="str">
        <f t="shared" si="31"/>
        <v>YA284176</v>
      </c>
      <c r="J411" s="59">
        <f t="shared" ca="1" si="32"/>
        <v>45895</v>
      </c>
      <c r="K411" s="30">
        <f ca="1">LOOKUP(A411,'QALS - Inspection Lot Record'!A:A,'QALS - Inspection Lot Record'!I:I)</f>
        <v>1.7951388888888888E-2</v>
      </c>
      <c r="L411" s="59">
        <f t="shared" ca="1" si="33"/>
        <v>45895</v>
      </c>
      <c r="M411" s="30">
        <f t="shared" ca="1" si="34"/>
        <v>5.1759259259259255E-2</v>
      </c>
      <c r="N411" s="31"/>
      <c r="O411" s="31">
        <v>7.3</v>
      </c>
      <c r="P411" s="29">
        <v>3.5</v>
      </c>
      <c r="Q411" s="29">
        <v>11</v>
      </c>
    </row>
    <row r="412" spans="1:17" x14ac:dyDescent="0.35">
      <c r="A412" s="26">
        <v>40000002552</v>
      </c>
      <c r="B412" s="31">
        <v>1</v>
      </c>
      <c r="C412" s="29" t="str">
        <f>LOOKUP(A412,'QALS - Inspection Lot Record'!$A$2:$A$361,'QALS - Inspection Lot Record'!$O$2:$O$361)</f>
        <v>Ibuprofen Tablets (100 MG)</v>
      </c>
      <c r="D412" s="31">
        <v>30</v>
      </c>
      <c r="E412" s="29" t="s">
        <v>401</v>
      </c>
      <c r="F412" s="29" t="str">
        <f>LOOKUP(A412,'QALS - Inspection Lot Record'!A:A,'QALS - Inspection Lot Record'!G:G)</f>
        <v>YA284176</v>
      </c>
      <c r="G412" s="59">
        <f ca="1">LOOKUP(A412,'QALS - Inspection Lot Record'!A:A,'QALS - Inspection Lot Record'!E:E)</f>
        <v>45895</v>
      </c>
      <c r="H412" s="34" t="str">
        <f t="shared" si="35"/>
        <v>A</v>
      </c>
      <c r="I412" s="29" t="str">
        <f t="shared" si="31"/>
        <v>YA284176</v>
      </c>
      <c r="J412" s="59">
        <f t="shared" ca="1" si="32"/>
        <v>45895</v>
      </c>
      <c r="K412" s="30">
        <f ca="1">LOOKUP(A412,'QALS - Inspection Lot Record'!A:A,'QALS - Inspection Lot Record'!I:I)</f>
        <v>1.7951388888888888E-2</v>
      </c>
      <c r="L412" s="59">
        <f t="shared" ca="1" si="33"/>
        <v>45895</v>
      </c>
      <c r="M412" s="30">
        <f t="shared" ca="1" si="34"/>
        <v>4.2361111111111113E-2</v>
      </c>
      <c r="N412" s="11" t="s">
        <v>402</v>
      </c>
      <c r="O412" s="31"/>
      <c r="P412" s="29"/>
      <c r="Q412" s="29"/>
    </row>
    <row r="413" spans="1:17" x14ac:dyDescent="0.35">
      <c r="A413" s="26">
        <v>40000002552</v>
      </c>
      <c r="B413" s="31">
        <v>1</v>
      </c>
      <c r="C413" s="29" t="str">
        <f>LOOKUP(A413,'QALS - Inspection Lot Record'!$A$2:$A$361,'QALS - Inspection Lot Record'!$O$2:$O$361)</f>
        <v>Ibuprofen Tablets (100 MG)</v>
      </c>
      <c r="D413" s="31">
        <v>40</v>
      </c>
      <c r="E413" s="29" t="s">
        <v>403</v>
      </c>
      <c r="F413" s="29" t="str">
        <f>LOOKUP(A413,'QALS - Inspection Lot Record'!A:A,'QALS - Inspection Lot Record'!G:G)</f>
        <v>YA284176</v>
      </c>
      <c r="G413" s="59">
        <f ca="1">LOOKUP(A413,'QALS - Inspection Lot Record'!A:A,'QALS - Inspection Lot Record'!E:E)</f>
        <v>45895</v>
      </c>
      <c r="H413" s="34" t="str">
        <f t="shared" si="35"/>
        <v>A</v>
      </c>
      <c r="I413" s="29" t="str">
        <f t="shared" si="31"/>
        <v>YA284176</v>
      </c>
      <c r="J413" s="59">
        <f t="shared" ca="1" si="32"/>
        <v>45895</v>
      </c>
      <c r="K413" s="30">
        <f ca="1">LOOKUP(A413,'QALS - Inspection Lot Record'!A:A,'QALS - Inspection Lot Record'!I:I)</f>
        <v>1.7951388888888888E-2</v>
      </c>
      <c r="L413" s="59">
        <f t="shared" ca="1" si="33"/>
        <v>45895</v>
      </c>
      <c r="M413" s="30">
        <f t="shared" ca="1" si="34"/>
        <v>3.8715277777777779E-2</v>
      </c>
      <c r="N413" s="31"/>
      <c r="O413" s="31">
        <v>0.5</v>
      </c>
      <c r="P413" s="29">
        <v>0</v>
      </c>
      <c r="Q413" s="29">
        <v>1</v>
      </c>
    </row>
    <row r="414" spans="1:17" x14ac:dyDescent="0.35">
      <c r="A414" s="26">
        <v>40000002552</v>
      </c>
      <c r="B414" s="31">
        <v>1</v>
      </c>
      <c r="C414" s="29" t="str">
        <f>LOOKUP(A414,'QALS - Inspection Lot Record'!$A$2:$A$361,'QALS - Inspection Lot Record'!$O$2:$O$361)</f>
        <v>Ibuprofen Tablets (100 MG)</v>
      </c>
      <c r="D414" s="31">
        <v>50</v>
      </c>
      <c r="E414" s="29" t="s">
        <v>404</v>
      </c>
      <c r="F414" s="29" t="str">
        <f>LOOKUP(A414,'QALS - Inspection Lot Record'!A:A,'QALS - Inspection Lot Record'!G:G)</f>
        <v>YA284176</v>
      </c>
      <c r="G414" s="59">
        <f ca="1">LOOKUP(A414,'QALS - Inspection Lot Record'!A:A,'QALS - Inspection Lot Record'!E:E)</f>
        <v>45895</v>
      </c>
      <c r="H414" s="34" t="str">
        <f t="shared" si="35"/>
        <v>A</v>
      </c>
      <c r="I414" s="29" t="str">
        <f t="shared" si="31"/>
        <v>YA284176</v>
      </c>
      <c r="J414" s="59">
        <f t="shared" ca="1" si="32"/>
        <v>45895</v>
      </c>
      <c r="K414" s="30">
        <f ca="1">LOOKUP(A414,'QALS - Inspection Lot Record'!A:A,'QALS - Inspection Lot Record'!I:I)</f>
        <v>1.7951388888888888E-2</v>
      </c>
      <c r="L414" s="59">
        <f t="shared" ca="1" si="33"/>
        <v>45895</v>
      </c>
      <c r="M414" s="30">
        <f t="shared" ca="1" si="34"/>
        <v>4.0960648148148149E-2</v>
      </c>
      <c r="N414" s="31"/>
      <c r="O414" s="31">
        <v>42</v>
      </c>
      <c r="P414" s="29">
        <v>40</v>
      </c>
      <c r="Q414" s="29">
        <v>60</v>
      </c>
    </row>
    <row r="415" spans="1:17" x14ac:dyDescent="0.35">
      <c r="A415" s="26">
        <v>40000002552</v>
      </c>
      <c r="B415" s="31">
        <v>1</v>
      </c>
      <c r="C415" s="29" t="str">
        <f>LOOKUP(A415,'QALS - Inspection Lot Record'!$A$2:$A$361,'QALS - Inspection Lot Record'!$O$2:$O$361)</f>
        <v>Ibuprofen Tablets (100 MG)</v>
      </c>
      <c r="D415" s="31">
        <v>60</v>
      </c>
      <c r="E415" s="29" t="s">
        <v>405</v>
      </c>
      <c r="F415" s="29" t="str">
        <f>LOOKUP(A415,'QALS - Inspection Lot Record'!A:A,'QALS - Inspection Lot Record'!G:G)</f>
        <v>YA284176</v>
      </c>
      <c r="G415" s="59">
        <f ca="1">LOOKUP(A415,'QALS - Inspection Lot Record'!A:A,'QALS - Inspection Lot Record'!E:E)</f>
        <v>45895</v>
      </c>
      <c r="H415" s="34" t="str">
        <f t="shared" si="35"/>
        <v>A</v>
      </c>
      <c r="I415" s="29" t="str">
        <f t="shared" si="31"/>
        <v>YA284176</v>
      </c>
      <c r="J415" s="59">
        <f t="shared" ca="1" si="32"/>
        <v>45895</v>
      </c>
      <c r="K415" s="30">
        <f ca="1">LOOKUP(A415,'QALS - Inspection Lot Record'!A:A,'QALS - Inspection Lot Record'!I:I)</f>
        <v>1.7951388888888888E-2</v>
      </c>
      <c r="L415" s="59">
        <f t="shared" ca="1" si="33"/>
        <v>45895</v>
      </c>
      <c r="M415" s="30">
        <f t="shared" ca="1" si="34"/>
        <v>4.3321759259259254E-2</v>
      </c>
      <c r="N415" s="31"/>
      <c r="O415" s="31">
        <v>71.900000000000006</v>
      </c>
      <c r="P415" s="29">
        <v>70</v>
      </c>
      <c r="Q415" s="29">
        <v>85</v>
      </c>
    </row>
    <row r="416" spans="1:17" x14ac:dyDescent="0.35">
      <c r="A416" s="26">
        <v>40000002552</v>
      </c>
      <c r="B416" s="31">
        <v>1</v>
      </c>
      <c r="C416" s="29" t="str">
        <f>LOOKUP(A416,'QALS - Inspection Lot Record'!$A$2:$A$361,'QALS - Inspection Lot Record'!$O$2:$O$361)</f>
        <v>Ibuprofen Tablets (100 MG)</v>
      </c>
      <c r="D416" s="31">
        <v>70</v>
      </c>
      <c r="E416" s="29" t="s">
        <v>406</v>
      </c>
      <c r="F416" s="29" t="str">
        <f>LOOKUP(A416,'QALS - Inspection Lot Record'!A:A,'QALS - Inspection Lot Record'!G:G)</f>
        <v>YA284176</v>
      </c>
      <c r="G416" s="59">
        <f ca="1">LOOKUP(A416,'QALS - Inspection Lot Record'!A:A,'QALS - Inspection Lot Record'!E:E)</f>
        <v>45895</v>
      </c>
      <c r="H416" s="34" t="str">
        <f t="shared" si="35"/>
        <v>A</v>
      </c>
      <c r="I416" s="29" t="str">
        <f t="shared" si="31"/>
        <v>YA284176</v>
      </c>
      <c r="J416" s="59">
        <f t="shared" ca="1" si="32"/>
        <v>45895</v>
      </c>
      <c r="K416" s="30">
        <f ca="1">LOOKUP(A416,'QALS - Inspection Lot Record'!A:A,'QALS - Inspection Lot Record'!I:I)</f>
        <v>1.7951388888888888E-2</v>
      </c>
      <c r="L416" s="59">
        <f t="shared" ca="1" si="33"/>
        <v>45895</v>
      </c>
      <c r="M416" s="30">
        <f t="shared" ca="1" si="34"/>
        <v>3.7048611111111115E-2</v>
      </c>
      <c r="N416" s="31"/>
      <c r="O416" s="31">
        <v>81.2</v>
      </c>
      <c r="P416" s="29">
        <v>80</v>
      </c>
      <c r="Q416" s="29">
        <v>90</v>
      </c>
    </row>
    <row r="417" spans="1:17" x14ac:dyDescent="0.35">
      <c r="A417" s="26">
        <v>40000002552</v>
      </c>
      <c r="B417" s="31">
        <v>1</v>
      </c>
      <c r="C417" s="29" t="str">
        <f>LOOKUP(A417,'QALS - Inspection Lot Record'!$A$2:$A$361,'QALS - Inspection Lot Record'!$O$2:$O$361)</f>
        <v>Ibuprofen Tablets (100 MG)</v>
      </c>
      <c r="D417" s="31">
        <v>80</v>
      </c>
      <c r="E417" s="29" t="s">
        <v>407</v>
      </c>
      <c r="F417" s="29" t="str">
        <f>LOOKUP(A417,'QALS - Inspection Lot Record'!A:A,'QALS - Inspection Lot Record'!G:G)</f>
        <v>YA284176</v>
      </c>
      <c r="G417" s="59">
        <f ca="1">LOOKUP(A417,'QALS - Inspection Lot Record'!A:A,'QALS - Inspection Lot Record'!E:E)</f>
        <v>45895</v>
      </c>
      <c r="H417" s="34" t="str">
        <f t="shared" si="35"/>
        <v>A</v>
      </c>
      <c r="I417" s="29" t="str">
        <f t="shared" si="31"/>
        <v>YA284176</v>
      </c>
      <c r="J417" s="59">
        <f t="shared" ca="1" si="32"/>
        <v>45895</v>
      </c>
      <c r="K417" s="30">
        <f ca="1">LOOKUP(A417,'QALS - Inspection Lot Record'!A:A,'QALS - Inspection Lot Record'!I:I)</f>
        <v>1.7951388888888888E-2</v>
      </c>
      <c r="L417" s="59">
        <f t="shared" ca="1" si="33"/>
        <v>45895</v>
      </c>
      <c r="M417" s="30">
        <f t="shared" ca="1" si="34"/>
        <v>3.9687500000000001E-2</v>
      </c>
      <c r="N417" s="31"/>
      <c r="O417" s="31">
        <v>24</v>
      </c>
      <c r="P417" s="29">
        <v>23</v>
      </c>
      <c r="Q417" s="29">
        <v>25</v>
      </c>
    </row>
    <row r="418" spans="1:17" x14ac:dyDescent="0.35">
      <c r="A418" s="26">
        <v>40000002553</v>
      </c>
      <c r="B418" s="27">
        <v>1</v>
      </c>
      <c r="C418" s="29" t="str">
        <f>LOOKUP(A418,'QALS - Inspection Lot Record'!$A$2:$A$361,'QALS - Inspection Lot Record'!$O$2:$O$361)</f>
        <v>Aspirin Tablets (500 MG)</v>
      </c>
      <c r="D418" s="27">
        <v>10</v>
      </c>
      <c r="E418" s="26" t="s">
        <v>399</v>
      </c>
      <c r="F418" s="29" t="str">
        <f>LOOKUP(A418,'QALS - Inspection Lot Record'!A:A,'QALS - Inspection Lot Record'!G:G)</f>
        <v>AB406550</v>
      </c>
      <c r="G418" s="59">
        <f ca="1">LOOKUP(A418,'QALS - Inspection Lot Record'!A:A,'QALS - Inspection Lot Record'!E:E)</f>
        <v>45896</v>
      </c>
      <c r="H418" s="34" t="str">
        <f t="shared" si="35"/>
        <v>A</v>
      </c>
      <c r="I418" s="29" t="str">
        <f t="shared" si="31"/>
        <v>AB406550</v>
      </c>
      <c r="J418" s="59">
        <f t="shared" ca="1" si="32"/>
        <v>45896</v>
      </c>
      <c r="K418" s="30">
        <f ca="1">LOOKUP(A418,'QALS - Inspection Lot Record'!A:A,'QALS - Inspection Lot Record'!I:I)</f>
        <v>0.81084490740740744</v>
      </c>
      <c r="L418" s="59">
        <f t="shared" ca="1" si="33"/>
        <v>45896</v>
      </c>
      <c r="M418" s="30">
        <f t="shared" ca="1" si="34"/>
        <v>0.84550925925925924</v>
      </c>
      <c r="N418" s="31"/>
      <c r="O418" s="31">
        <v>100</v>
      </c>
      <c r="P418" s="29">
        <v>95</v>
      </c>
      <c r="Q418" s="29">
        <v>105</v>
      </c>
    </row>
    <row r="419" spans="1:17" x14ac:dyDescent="0.35">
      <c r="A419" s="26">
        <v>40000002553</v>
      </c>
      <c r="B419" s="27">
        <v>1</v>
      </c>
      <c r="C419" s="29" t="str">
        <f>LOOKUP(A419,'QALS - Inspection Lot Record'!$A$2:$A$361,'QALS - Inspection Lot Record'!$O$2:$O$361)</f>
        <v>Aspirin Tablets (500 MG)</v>
      </c>
      <c r="D419" s="31">
        <v>20</v>
      </c>
      <c r="E419" s="29" t="s">
        <v>400</v>
      </c>
      <c r="F419" s="29" t="str">
        <f>LOOKUP(A419,'QALS - Inspection Lot Record'!A:A,'QALS - Inspection Lot Record'!G:G)</f>
        <v>AB406550</v>
      </c>
      <c r="G419" s="59">
        <f ca="1">LOOKUP(A419,'QALS - Inspection Lot Record'!A:A,'QALS - Inspection Lot Record'!E:E)</f>
        <v>45896</v>
      </c>
      <c r="H419" s="34" t="str">
        <f t="shared" si="35"/>
        <v>A</v>
      </c>
      <c r="I419" s="29" t="str">
        <f t="shared" si="31"/>
        <v>AB406550</v>
      </c>
      <c r="J419" s="59">
        <f t="shared" ca="1" si="32"/>
        <v>45896</v>
      </c>
      <c r="K419" s="30">
        <f ca="1">LOOKUP(A419,'QALS - Inspection Lot Record'!A:A,'QALS - Inspection Lot Record'!I:I)</f>
        <v>0.81084490740740744</v>
      </c>
      <c r="L419" s="59">
        <f t="shared" ca="1" si="33"/>
        <v>45896</v>
      </c>
      <c r="M419" s="30">
        <f t="shared" ca="1" si="34"/>
        <v>0.83908564814814823</v>
      </c>
      <c r="N419" s="31"/>
      <c r="O419" s="31">
        <v>7.25</v>
      </c>
      <c r="P419" s="29">
        <v>3.5</v>
      </c>
      <c r="Q419" s="29">
        <v>11</v>
      </c>
    </row>
    <row r="420" spans="1:17" x14ac:dyDescent="0.35">
      <c r="A420" s="26">
        <v>40000002553</v>
      </c>
      <c r="B420" s="31">
        <v>1</v>
      </c>
      <c r="C420" s="29" t="str">
        <f>LOOKUP(A420,'QALS - Inspection Lot Record'!$A$2:$A$361,'QALS - Inspection Lot Record'!$O$2:$O$361)</f>
        <v>Aspirin Tablets (500 MG)</v>
      </c>
      <c r="D420" s="31">
        <v>30</v>
      </c>
      <c r="E420" s="29" t="s">
        <v>401</v>
      </c>
      <c r="F420" s="29" t="str">
        <f>LOOKUP(A420,'QALS - Inspection Lot Record'!A:A,'QALS - Inspection Lot Record'!G:G)</f>
        <v>AB406550</v>
      </c>
      <c r="G420" s="59">
        <f ca="1">LOOKUP(A420,'QALS - Inspection Lot Record'!A:A,'QALS - Inspection Lot Record'!E:E)</f>
        <v>45896</v>
      </c>
      <c r="H420" s="34" t="str">
        <f t="shared" si="35"/>
        <v>A</v>
      </c>
      <c r="I420" s="29" t="str">
        <f t="shared" si="31"/>
        <v>AB406550</v>
      </c>
      <c r="J420" s="59">
        <f t="shared" ca="1" si="32"/>
        <v>45896</v>
      </c>
      <c r="K420" s="30">
        <f ca="1">LOOKUP(A420,'QALS - Inspection Lot Record'!A:A,'QALS - Inspection Lot Record'!I:I)</f>
        <v>0.81084490740740744</v>
      </c>
      <c r="L420" s="59">
        <f t="shared" ca="1" si="33"/>
        <v>45896</v>
      </c>
      <c r="M420" s="30">
        <f t="shared" ca="1" si="34"/>
        <v>0.8401967592592593</v>
      </c>
      <c r="N420" s="11" t="s">
        <v>402</v>
      </c>
      <c r="O420" s="31"/>
      <c r="P420" s="29"/>
      <c r="Q420" s="29"/>
    </row>
    <row r="421" spans="1:17" x14ac:dyDescent="0.35">
      <c r="A421" s="26">
        <v>40000002553</v>
      </c>
      <c r="B421" s="31">
        <v>1</v>
      </c>
      <c r="C421" s="29" t="str">
        <f>LOOKUP(A421,'QALS - Inspection Lot Record'!$A$2:$A$361,'QALS - Inspection Lot Record'!$O$2:$O$361)</f>
        <v>Aspirin Tablets (500 MG)</v>
      </c>
      <c r="D421" s="31">
        <v>40</v>
      </c>
      <c r="E421" s="29" t="s">
        <v>403</v>
      </c>
      <c r="F421" s="29" t="str">
        <f>LOOKUP(A421,'QALS - Inspection Lot Record'!A:A,'QALS - Inspection Lot Record'!G:G)</f>
        <v>AB406550</v>
      </c>
      <c r="G421" s="59">
        <f ca="1">LOOKUP(A421,'QALS - Inspection Lot Record'!A:A,'QALS - Inspection Lot Record'!E:E)</f>
        <v>45896</v>
      </c>
      <c r="H421" s="34" t="str">
        <f t="shared" si="35"/>
        <v>A</v>
      </c>
      <c r="I421" s="29" t="str">
        <f t="shared" si="31"/>
        <v>AB406550</v>
      </c>
      <c r="J421" s="59">
        <f t="shared" ca="1" si="32"/>
        <v>45896</v>
      </c>
      <c r="K421" s="30">
        <f ca="1">LOOKUP(A421,'QALS - Inspection Lot Record'!A:A,'QALS - Inspection Lot Record'!I:I)</f>
        <v>0.81084490740740744</v>
      </c>
      <c r="L421" s="59">
        <f t="shared" ca="1" si="33"/>
        <v>45896</v>
      </c>
      <c r="M421" s="30">
        <f t="shared" ca="1" si="34"/>
        <v>0.83342592592592601</v>
      </c>
      <c r="N421" s="31"/>
      <c r="O421" s="31">
        <v>0</v>
      </c>
      <c r="P421" s="29">
        <v>0</v>
      </c>
      <c r="Q421" s="29">
        <v>2.5</v>
      </c>
    </row>
    <row r="422" spans="1:17" x14ac:dyDescent="0.35">
      <c r="A422" s="26">
        <v>40000002553</v>
      </c>
      <c r="B422" s="31">
        <v>1</v>
      </c>
      <c r="C422" s="29" t="str">
        <f>LOOKUP(A422,'QALS - Inspection Lot Record'!$A$2:$A$361,'QALS - Inspection Lot Record'!$O$2:$O$361)</f>
        <v>Aspirin Tablets (500 MG)</v>
      </c>
      <c r="D422" s="31">
        <v>50</v>
      </c>
      <c r="E422" s="29" t="s">
        <v>404</v>
      </c>
      <c r="F422" s="29" t="str">
        <f>LOOKUP(A422,'QALS - Inspection Lot Record'!A:A,'QALS - Inspection Lot Record'!G:G)</f>
        <v>AB406550</v>
      </c>
      <c r="G422" s="59">
        <f ca="1">LOOKUP(A422,'QALS - Inspection Lot Record'!A:A,'QALS - Inspection Lot Record'!E:E)</f>
        <v>45896</v>
      </c>
      <c r="H422" s="34" t="str">
        <f t="shared" si="35"/>
        <v>R</v>
      </c>
      <c r="I422" s="29" t="str">
        <f t="shared" si="31"/>
        <v>AB406550</v>
      </c>
      <c r="J422" s="59">
        <f t="shared" ca="1" si="32"/>
        <v>45896</v>
      </c>
      <c r="K422" s="30">
        <f ca="1">LOOKUP(A422,'QALS - Inspection Lot Record'!A:A,'QALS - Inspection Lot Record'!I:I)</f>
        <v>0.81084490740740744</v>
      </c>
      <c r="L422" s="59">
        <f t="shared" ca="1" si="33"/>
        <v>45896</v>
      </c>
      <c r="M422" s="30">
        <f t="shared" ca="1" si="34"/>
        <v>0.82908564814814822</v>
      </c>
      <c r="N422" s="31"/>
      <c r="O422" s="31">
        <v>38.700000000000003</v>
      </c>
      <c r="P422" s="29">
        <v>40</v>
      </c>
      <c r="Q422" s="29">
        <v>60</v>
      </c>
    </row>
    <row r="423" spans="1:17" x14ac:dyDescent="0.35">
      <c r="A423" s="26">
        <v>40000002553</v>
      </c>
      <c r="B423" s="31">
        <v>1</v>
      </c>
      <c r="C423" s="29" t="str">
        <f>LOOKUP(A423,'QALS - Inspection Lot Record'!$A$2:$A$361,'QALS - Inspection Lot Record'!$O$2:$O$361)</f>
        <v>Aspirin Tablets (500 MG)</v>
      </c>
      <c r="D423" s="31">
        <v>60</v>
      </c>
      <c r="E423" s="29" t="s">
        <v>405</v>
      </c>
      <c r="F423" s="29" t="str">
        <f>LOOKUP(A423,'QALS - Inspection Lot Record'!A:A,'QALS - Inspection Lot Record'!G:G)</f>
        <v>AB406550</v>
      </c>
      <c r="G423" s="59">
        <f ca="1">LOOKUP(A423,'QALS - Inspection Lot Record'!A:A,'QALS - Inspection Lot Record'!E:E)</f>
        <v>45896</v>
      </c>
      <c r="H423" s="34" t="str">
        <f t="shared" si="35"/>
        <v>A</v>
      </c>
      <c r="I423" s="29" t="str">
        <f t="shared" si="31"/>
        <v>AB406550</v>
      </c>
      <c r="J423" s="59">
        <f t="shared" ca="1" si="32"/>
        <v>45896</v>
      </c>
      <c r="K423" s="30">
        <f ca="1">LOOKUP(A423,'QALS - Inspection Lot Record'!A:A,'QALS - Inspection Lot Record'!I:I)</f>
        <v>0.81084490740740744</v>
      </c>
      <c r="L423" s="59">
        <f t="shared" ca="1" si="33"/>
        <v>45896</v>
      </c>
      <c r="M423" s="30">
        <f t="shared" ca="1" si="34"/>
        <v>0.84434027777777776</v>
      </c>
      <c r="N423" s="31"/>
      <c r="O423" s="31">
        <v>77.5</v>
      </c>
      <c r="P423" s="29">
        <v>70</v>
      </c>
      <c r="Q423" s="29">
        <v>85</v>
      </c>
    </row>
    <row r="424" spans="1:17" x14ac:dyDescent="0.35">
      <c r="A424" s="26">
        <v>40000002553</v>
      </c>
      <c r="B424" s="31">
        <v>1</v>
      </c>
      <c r="C424" s="29" t="str">
        <f>LOOKUP(A424,'QALS - Inspection Lot Record'!$A$2:$A$361,'QALS - Inspection Lot Record'!$O$2:$O$361)</f>
        <v>Aspirin Tablets (500 MG)</v>
      </c>
      <c r="D424" s="31">
        <v>70</v>
      </c>
      <c r="E424" s="29" t="s">
        <v>406</v>
      </c>
      <c r="F424" s="29" t="str">
        <f>LOOKUP(A424,'QALS - Inspection Lot Record'!A:A,'QALS - Inspection Lot Record'!G:G)</f>
        <v>AB406550</v>
      </c>
      <c r="G424" s="59">
        <f ca="1">LOOKUP(A424,'QALS - Inspection Lot Record'!A:A,'QALS - Inspection Lot Record'!E:E)</f>
        <v>45896</v>
      </c>
      <c r="H424" s="34" t="str">
        <f t="shared" si="35"/>
        <v>A</v>
      </c>
      <c r="I424" s="29" t="str">
        <f t="shared" si="31"/>
        <v>AB406550</v>
      </c>
      <c r="J424" s="59">
        <f t="shared" ca="1" si="32"/>
        <v>45896</v>
      </c>
      <c r="K424" s="30">
        <f ca="1">LOOKUP(A424,'QALS - Inspection Lot Record'!A:A,'QALS - Inspection Lot Record'!I:I)</f>
        <v>0.81084490740740744</v>
      </c>
      <c r="L424" s="59">
        <f t="shared" ca="1" si="33"/>
        <v>45896</v>
      </c>
      <c r="M424" s="30">
        <f t="shared" ca="1" si="34"/>
        <v>0.82993055555555562</v>
      </c>
      <c r="N424" s="31"/>
      <c r="O424" s="31">
        <v>85</v>
      </c>
      <c r="P424" s="29">
        <v>80</v>
      </c>
      <c r="Q424" s="29">
        <v>90</v>
      </c>
    </row>
    <row r="425" spans="1:17" x14ac:dyDescent="0.35">
      <c r="A425" s="26">
        <v>40000002553</v>
      </c>
      <c r="B425" s="31">
        <v>1</v>
      </c>
      <c r="C425" s="29" t="str">
        <f>LOOKUP(A425,'QALS - Inspection Lot Record'!$A$2:$A$361,'QALS - Inspection Lot Record'!$O$2:$O$361)</f>
        <v>Aspirin Tablets (500 MG)</v>
      </c>
      <c r="D425" s="31">
        <v>80</v>
      </c>
      <c r="E425" s="29" t="s">
        <v>407</v>
      </c>
      <c r="F425" s="29" t="str">
        <f>LOOKUP(A425,'QALS - Inspection Lot Record'!A:A,'QALS - Inspection Lot Record'!G:G)</f>
        <v>AB406550</v>
      </c>
      <c r="G425" s="59">
        <f ca="1">LOOKUP(A425,'QALS - Inspection Lot Record'!A:A,'QALS - Inspection Lot Record'!E:E)</f>
        <v>45896</v>
      </c>
      <c r="H425" s="34" t="str">
        <f t="shared" si="35"/>
        <v>R</v>
      </c>
      <c r="I425" s="29" t="str">
        <f t="shared" si="31"/>
        <v>AB406550</v>
      </c>
      <c r="J425" s="59">
        <f t="shared" ca="1" si="32"/>
        <v>45896</v>
      </c>
      <c r="K425" s="30">
        <f ca="1">LOOKUP(A425,'QALS - Inspection Lot Record'!A:A,'QALS - Inspection Lot Record'!I:I)</f>
        <v>0.81084490740740744</v>
      </c>
      <c r="L425" s="59">
        <f t="shared" ca="1" si="33"/>
        <v>45896</v>
      </c>
      <c r="M425" s="30">
        <f t="shared" ca="1" si="34"/>
        <v>0.8429282407407408</v>
      </c>
      <c r="N425" s="31"/>
      <c r="O425" s="31">
        <v>21.8</v>
      </c>
      <c r="P425" s="29">
        <v>23</v>
      </c>
      <c r="Q425" s="29">
        <v>28</v>
      </c>
    </row>
    <row r="426" spans="1:17" x14ac:dyDescent="0.35">
      <c r="A426" s="26">
        <v>40000002554</v>
      </c>
      <c r="B426" s="27">
        <v>1</v>
      </c>
      <c r="C426" s="29" t="str">
        <f>LOOKUP(A426,'QALS - Inspection Lot Record'!$A$2:$A$361,'QALS - Inspection Lot Record'!$O$2:$O$361)</f>
        <v>Ibuprofen Tablets (100 MG)</v>
      </c>
      <c r="D426" s="27">
        <v>10</v>
      </c>
      <c r="E426" s="26" t="s">
        <v>399</v>
      </c>
      <c r="F426" s="29" t="str">
        <f>LOOKUP(A426,'QALS - Inspection Lot Record'!A:A,'QALS - Inspection Lot Record'!G:G)</f>
        <v>TG509538</v>
      </c>
      <c r="G426" s="59">
        <f ca="1">LOOKUP(A426,'QALS - Inspection Lot Record'!A:A,'QALS - Inspection Lot Record'!E:E)</f>
        <v>45896</v>
      </c>
      <c r="H426" s="34" t="str">
        <f t="shared" si="35"/>
        <v>A</v>
      </c>
      <c r="I426" s="29" t="str">
        <f t="shared" si="31"/>
        <v>TG509538</v>
      </c>
      <c r="J426" s="59">
        <f t="shared" ca="1" si="32"/>
        <v>45896</v>
      </c>
      <c r="K426" s="30">
        <f ca="1">LOOKUP(A426,'QALS - Inspection Lot Record'!A:A,'QALS - Inspection Lot Record'!I:I)</f>
        <v>9.1562500000000005E-2</v>
      </c>
      <c r="L426" s="59">
        <f t="shared" ca="1" si="33"/>
        <v>45896</v>
      </c>
      <c r="M426" s="30">
        <f t="shared" ca="1" si="34"/>
        <v>0.1255324074074074</v>
      </c>
      <c r="N426" s="31"/>
      <c r="O426" s="31">
        <v>98.5</v>
      </c>
      <c r="P426" s="29">
        <v>95</v>
      </c>
      <c r="Q426" s="29">
        <v>102</v>
      </c>
    </row>
    <row r="427" spans="1:17" x14ac:dyDescent="0.35">
      <c r="A427" s="26">
        <v>40000002554</v>
      </c>
      <c r="B427" s="27">
        <v>1</v>
      </c>
      <c r="C427" s="29" t="str">
        <f>LOOKUP(A427,'QALS - Inspection Lot Record'!$A$2:$A$361,'QALS - Inspection Lot Record'!$O$2:$O$361)</f>
        <v>Ibuprofen Tablets (100 MG)</v>
      </c>
      <c r="D427" s="31">
        <v>20</v>
      </c>
      <c r="E427" s="29" t="s">
        <v>400</v>
      </c>
      <c r="F427" s="29" t="str">
        <f>LOOKUP(A427,'QALS - Inspection Lot Record'!A:A,'QALS - Inspection Lot Record'!G:G)</f>
        <v>TG509538</v>
      </c>
      <c r="G427" s="59">
        <f ca="1">LOOKUP(A427,'QALS - Inspection Lot Record'!A:A,'QALS - Inspection Lot Record'!E:E)</f>
        <v>45896</v>
      </c>
      <c r="H427" s="34" t="str">
        <f t="shared" si="35"/>
        <v>A</v>
      </c>
      <c r="I427" s="29" t="str">
        <f t="shared" si="31"/>
        <v>TG509538</v>
      </c>
      <c r="J427" s="59">
        <f t="shared" ca="1" si="32"/>
        <v>45896</v>
      </c>
      <c r="K427" s="30">
        <f ca="1">LOOKUP(A427,'QALS - Inspection Lot Record'!A:A,'QALS - Inspection Lot Record'!I:I)</f>
        <v>9.1562500000000005E-2</v>
      </c>
      <c r="L427" s="59">
        <f t="shared" ca="1" si="33"/>
        <v>45896</v>
      </c>
      <c r="M427" s="30">
        <f t="shared" ca="1" si="34"/>
        <v>0.11265046296296297</v>
      </c>
      <c r="N427" s="31"/>
      <c r="O427" s="31">
        <v>7.25</v>
      </c>
      <c r="P427" s="29">
        <v>3.5</v>
      </c>
      <c r="Q427" s="29">
        <v>11</v>
      </c>
    </row>
    <row r="428" spans="1:17" x14ac:dyDescent="0.35">
      <c r="A428" s="26">
        <v>40000002554</v>
      </c>
      <c r="B428" s="31">
        <v>1</v>
      </c>
      <c r="C428" s="29" t="str">
        <f>LOOKUP(A428,'QALS - Inspection Lot Record'!$A$2:$A$361,'QALS - Inspection Lot Record'!$O$2:$O$361)</f>
        <v>Ibuprofen Tablets (100 MG)</v>
      </c>
      <c r="D428" s="31">
        <v>30</v>
      </c>
      <c r="E428" s="29" t="s">
        <v>401</v>
      </c>
      <c r="F428" s="29" t="str">
        <f>LOOKUP(A428,'QALS - Inspection Lot Record'!A:A,'QALS - Inspection Lot Record'!G:G)</f>
        <v>TG509538</v>
      </c>
      <c r="G428" s="59">
        <f ca="1">LOOKUP(A428,'QALS - Inspection Lot Record'!A:A,'QALS - Inspection Lot Record'!E:E)</f>
        <v>45896</v>
      </c>
      <c r="H428" s="34" t="str">
        <f t="shared" si="35"/>
        <v>A</v>
      </c>
      <c r="I428" s="29" t="str">
        <f t="shared" si="31"/>
        <v>TG509538</v>
      </c>
      <c r="J428" s="59">
        <f t="shared" ca="1" si="32"/>
        <v>45896</v>
      </c>
      <c r="K428" s="30">
        <f ca="1">LOOKUP(A428,'QALS - Inspection Lot Record'!A:A,'QALS - Inspection Lot Record'!I:I)</f>
        <v>9.1562500000000005E-2</v>
      </c>
      <c r="L428" s="59">
        <f t="shared" ca="1" si="33"/>
        <v>45896</v>
      </c>
      <c r="M428" s="30">
        <f t="shared" ca="1" si="34"/>
        <v>0.12524305555555557</v>
      </c>
      <c r="N428" s="11" t="s">
        <v>402</v>
      </c>
      <c r="O428" s="31"/>
      <c r="P428" s="29"/>
      <c r="Q428" s="29"/>
    </row>
    <row r="429" spans="1:17" x14ac:dyDescent="0.35">
      <c r="A429" s="26">
        <v>40000002554</v>
      </c>
      <c r="B429" s="31">
        <v>1</v>
      </c>
      <c r="C429" s="29" t="str">
        <f>LOOKUP(A429,'QALS - Inspection Lot Record'!$A$2:$A$361,'QALS - Inspection Lot Record'!$O$2:$O$361)</f>
        <v>Ibuprofen Tablets (100 MG)</v>
      </c>
      <c r="D429" s="31">
        <v>40</v>
      </c>
      <c r="E429" s="29" t="s">
        <v>403</v>
      </c>
      <c r="F429" s="29" t="str">
        <f>LOOKUP(A429,'QALS - Inspection Lot Record'!A:A,'QALS - Inspection Lot Record'!G:G)</f>
        <v>TG509538</v>
      </c>
      <c r="G429" s="59">
        <f ca="1">LOOKUP(A429,'QALS - Inspection Lot Record'!A:A,'QALS - Inspection Lot Record'!E:E)</f>
        <v>45896</v>
      </c>
      <c r="H429" s="34" t="str">
        <f t="shared" si="35"/>
        <v>A</v>
      </c>
      <c r="I429" s="29" t="str">
        <f t="shared" si="31"/>
        <v>TG509538</v>
      </c>
      <c r="J429" s="59">
        <f t="shared" ca="1" si="32"/>
        <v>45896</v>
      </c>
      <c r="K429" s="30">
        <f ca="1">LOOKUP(A429,'QALS - Inspection Lot Record'!A:A,'QALS - Inspection Lot Record'!I:I)</f>
        <v>9.1562500000000005E-2</v>
      </c>
      <c r="L429" s="59">
        <f t="shared" ca="1" si="33"/>
        <v>45896</v>
      </c>
      <c r="M429" s="30">
        <f t="shared" ca="1" si="34"/>
        <v>0.10986111111111112</v>
      </c>
      <c r="N429" s="31"/>
      <c r="O429" s="31">
        <v>0</v>
      </c>
      <c r="P429" s="29">
        <v>0</v>
      </c>
      <c r="Q429" s="29">
        <v>1</v>
      </c>
    </row>
    <row r="430" spans="1:17" x14ac:dyDescent="0.35">
      <c r="A430" s="26">
        <v>40000002554</v>
      </c>
      <c r="B430" s="31">
        <v>1</v>
      </c>
      <c r="C430" s="29" t="str">
        <f>LOOKUP(A430,'QALS - Inspection Lot Record'!$A$2:$A$361,'QALS - Inspection Lot Record'!$O$2:$O$361)</f>
        <v>Ibuprofen Tablets (100 MG)</v>
      </c>
      <c r="D430" s="31">
        <v>50</v>
      </c>
      <c r="E430" s="29" t="s">
        <v>404</v>
      </c>
      <c r="F430" s="29" t="str">
        <f>LOOKUP(A430,'QALS - Inspection Lot Record'!A:A,'QALS - Inspection Lot Record'!G:G)</f>
        <v>TG509538</v>
      </c>
      <c r="G430" s="59">
        <f ca="1">LOOKUP(A430,'QALS - Inspection Lot Record'!A:A,'QALS - Inspection Lot Record'!E:E)</f>
        <v>45896</v>
      </c>
      <c r="H430" s="34" t="str">
        <f t="shared" si="35"/>
        <v>A</v>
      </c>
      <c r="I430" s="29" t="str">
        <f t="shared" si="31"/>
        <v>TG509538</v>
      </c>
      <c r="J430" s="59">
        <f t="shared" ca="1" si="32"/>
        <v>45896</v>
      </c>
      <c r="K430" s="30">
        <f ca="1">LOOKUP(A430,'QALS - Inspection Lot Record'!A:A,'QALS - Inspection Lot Record'!I:I)</f>
        <v>9.1562500000000005E-2</v>
      </c>
      <c r="L430" s="59">
        <f t="shared" ca="1" si="33"/>
        <v>45896</v>
      </c>
      <c r="M430" s="30">
        <f t="shared" ca="1" si="34"/>
        <v>0.12048611111111111</v>
      </c>
      <c r="N430" s="31"/>
      <c r="O430" s="31">
        <v>50</v>
      </c>
      <c r="P430" s="29">
        <v>40</v>
      </c>
      <c r="Q430" s="29">
        <v>60</v>
      </c>
    </row>
    <row r="431" spans="1:17" x14ac:dyDescent="0.35">
      <c r="A431" s="26">
        <v>40000002554</v>
      </c>
      <c r="B431" s="31">
        <v>1</v>
      </c>
      <c r="C431" s="29" t="str">
        <f>LOOKUP(A431,'QALS - Inspection Lot Record'!$A$2:$A$361,'QALS - Inspection Lot Record'!$O$2:$O$361)</f>
        <v>Ibuprofen Tablets (100 MG)</v>
      </c>
      <c r="D431" s="31">
        <v>60</v>
      </c>
      <c r="E431" s="29" t="s">
        <v>405</v>
      </c>
      <c r="F431" s="29" t="str">
        <f>LOOKUP(A431,'QALS - Inspection Lot Record'!A:A,'QALS - Inspection Lot Record'!G:G)</f>
        <v>TG509538</v>
      </c>
      <c r="G431" s="59">
        <f ca="1">LOOKUP(A431,'QALS - Inspection Lot Record'!A:A,'QALS - Inspection Lot Record'!E:E)</f>
        <v>45896</v>
      </c>
      <c r="H431" s="34" t="str">
        <f t="shared" si="35"/>
        <v>A</v>
      </c>
      <c r="I431" s="29" t="str">
        <f t="shared" si="31"/>
        <v>TG509538</v>
      </c>
      <c r="J431" s="59">
        <f t="shared" ca="1" si="32"/>
        <v>45896</v>
      </c>
      <c r="K431" s="30">
        <f ca="1">LOOKUP(A431,'QALS - Inspection Lot Record'!A:A,'QALS - Inspection Lot Record'!I:I)</f>
        <v>9.1562500000000005E-2</v>
      </c>
      <c r="L431" s="59">
        <f t="shared" ca="1" si="33"/>
        <v>45896</v>
      </c>
      <c r="M431" s="30">
        <f t="shared" ca="1" si="34"/>
        <v>0.12320601851851852</v>
      </c>
      <c r="N431" s="31"/>
      <c r="O431" s="31">
        <v>77.5</v>
      </c>
      <c r="P431" s="29">
        <v>70</v>
      </c>
      <c r="Q431" s="29">
        <v>85</v>
      </c>
    </row>
    <row r="432" spans="1:17" x14ac:dyDescent="0.35">
      <c r="A432" s="26">
        <v>40000002554</v>
      </c>
      <c r="B432" s="31">
        <v>1</v>
      </c>
      <c r="C432" s="29" t="str">
        <f>LOOKUP(A432,'QALS - Inspection Lot Record'!$A$2:$A$361,'QALS - Inspection Lot Record'!$O$2:$O$361)</f>
        <v>Ibuprofen Tablets (100 MG)</v>
      </c>
      <c r="D432" s="31">
        <v>70</v>
      </c>
      <c r="E432" s="29" t="s">
        <v>406</v>
      </c>
      <c r="F432" s="29" t="str">
        <f>LOOKUP(A432,'QALS - Inspection Lot Record'!A:A,'QALS - Inspection Lot Record'!G:G)</f>
        <v>TG509538</v>
      </c>
      <c r="G432" s="59">
        <f ca="1">LOOKUP(A432,'QALS - Inspection Lot Record'!A:A,'QALS - Inspection Lot Record'!E:E)</f>
        <v>45896</v>
      </c>
      <c r="H432" s="34" t="str">
        <f t="shared" si="35"/>
        <v>A</v>
      </c>
      <c r="I432" s="29" t="str">
        <f t="shared" si="31"/>
        <v>TG509538</v>
      </c>
      <c r="J432" s="59">
        <f t="shared" ca="1" si="32"/>
        <v>45896</v>
      </c>
      <c r="K432" s="30">
        <f ca="1">LOOKUP(A432,'QALS - Inspection Lot Record'!A:A,'QALS - Inspection Lot Record'!I:I)</f>
        <v>9.1562500000000005E-2</v>
      </c>
      <c r="L432" s="59">
        <f t="shared" ca="1" si="33"/>
        <v>45896</v>
      </c>
      <c r="M432" s="30">
        <f t="shared" ca="1" si="34"/>
        <v>0.11548611111111112</v>
      </c>
      <c r="N432" s="31"/>
      <c r="O432" s="31">
        <v>85</v>
      </c>
      <c r="P432" s="29">
        <v>80</v>
      </c>
      <c r="Q432" s="29">
        <v>90</v>
      </c>
    </row>
    <row r="433" spans="1:17" x14ac:dyDescent="0.35">
      <c r="A433" s="26">
        <v>40000002554</v>
      </c>
      <c r="B433" s="31">
        <v>1</v>
      </c>
      <c r="C433" s="29" t="str">
        <f>LOOKUP(A433,'QALS - Inspection Lot Record'!$A$2:$A$361,'QALS - Inspection Lot Record'!$O$2:$O$361)</f>
        <v>Ibuprofen Tablets (100 MG)</v>
      </c>
      <c r="D433" s="31">
        <v>80</v>
      </c>
      <c r="E433" s="29" t="s">
        <v>407</v>
      </c>
      <c r="F433" s="29" t="str">
        <f>LOOKUP(A433,'QALS - Inspection Lot Record'!A:A,'QALS - Inspection Lot Record'!G:G)</f>
        <v>TG509538</v>
      </c>
      <c r="G433" s="59">
        <f ca="1">LOOKUP(A433,'QALS - Inspection Lot Record'!A:A,'QALS - Inspection Lot Record'!E:E)</f>
        <v>45896</v>
      </c>
      <c r="H433" s="34" t="str">
        <f t="shared" si="35"/>
        <v>A</v>
      </c>
      <c r="I433" s="29" t="str">
        <f t="shared" si="31"/>
        <v>TG509538</v>
      </c>
      <c r="J433" s="59">
        <f t="shared" ca="1" si="32"/>
        <v>45896</v>
      </c>
      <c r="K433" s="30">
        <f ca="1">LOOKUP(A433,'QALS - Inspection Lot Record'!A:A,'QALS - Inspection Lot Record'!I:I)</f>
        <v>9.1562500000000005E-2</v>
      </c>
      <c r="L433" s="59">
        <f t="shared" ca="1" si="33"/>
        <v>45896</v>
      </c>
      <c r="M433" s="30">
        <f t="shared" ca="1" si="34"/>
        <v>0.10968750000000001</v>
      </c>
      <c r="N433" s="31"/>
      <c r="O433" s="31">
        <v>24</v>
      </c>
      <c r="P433" s="29">
        <v>23</v>
      </c>
      <c r="Q433" s="29">
        <v>25</v>
      </c>
    </row>
    <row r="434" spans="1:17" x14ac:dyDescent="0.35">
      <c r="A434" s="26">
        <v>40000002555</v>
      </c>
      <c r="B434" s="27">
        <v>1</v>
      </c>
      <c r="C434" s="29" t="str">
        <f>LOOKUP(A434,'QALS - Inspection Lot Record'!$A$2:$A$361,'QALS - Inspection Lot Record'!$O$2:$O$361)</f>
        <v>Aspirin Tablets (500 MG)</v>
      </c>
      <c r="D434" s="27">
        <v>10</v>
      </c>
      <c r="E434" s="26" t="s">
        <v>399</v>
      </c>
      <c r="F434" s="29" t="str">
        <f>LOOKUP(A434,'QALS - Inspection Lot Record'!A:A,'QALS - Inspection Lot Record'!G:G)</f>
        <v>TP397880</v>
      </c>
      <c r="G434" s="59">
        <f ca="1">LOOKUP(A434,'QALS - Inspection Lot Record'!A:A,'QALS - Inspection Lot Record'!E:E)</f>
        <v>45897</v>
      </c>
      <c r="H434" s="34" t="str">
        <f t="shared" si="35"/>
        <v>A</v>
      </c>
      <c r="I434" s="29" t="str">
        <f t="shared" si="31"/>
        <v>TP397880</v>
      </c>
      <c r="J434" s="59">
        <f t="shared" ca="1" si="32"/>
        <v>45897</v>
      </c>
      <c r="K434" s="30">
        <f ca="1">LOOKUP(A434,'QALS - Inspection Lot Record'!A:A,'QALS - Inspection Lot Record'!I:I)</f>
        <v>0.84998842592592594</v>
      </c>
      <c r="L434" s="59">
        <f t="shared" ca="1" si="33"/>
        <v>45897</v>
      </c>
      <c r="M434" s="30">
        <f t="shared" ca="1" si="34"/>
        <v>0.86908564814814815</v>
      </c>
      <c r="N434" s="31"/>
      <c r="O434" s="31">
        <v>100</v>
      </c>
      <c r="P434" s="29">
        <v>95</v>
      </c>
      <c r="Q434" s="29">
        <v>105</v>
      </c>
    </row>
    <row r="435" spans="1:17" x14ac:dyDescent="0.35">
      <c r="A435" s="26">
        <v>40000002555</v>
      </c>
      <c r="B435" s="27">
        <v>1</v>
      </c>
      <c r="C435" s="29" t="str">
        <f>LOOKUP(A435,'QALS - Inspection Lot Record'!$A$2:$A$361,'QALS - Inspection Lot Record'!$O$2:$O$361)</f>
        <v>Aspirin Tablets (500 MG)</v>
      </c>
      <c r="D435" s="31">
        <v>20</v>
      </c>
      <c r="E435" s="29" t="s">
        <v>400</v>
      </c>
      <c r="F435" s="29" t="str">
        <f>LOOKUP(A435,'QALS - Inspection Lot Record'!A:A,'QALS - Inspection Lot Record'!G:G)</f>
        <v>TP397880</v>
      </c>
      <c r="G435" s="59">
        <f ca="1">LOOKUP(A435,'QALS - Inspection Lot Record'!A:A,'QALS - Inspection Lot Record'!E:E)</f>
        <v>45897</v>
      </c>
      <c r="H435" s="34" t="str">
        <f t="shared" si="35"/>
        <v>A</v>
      </c>
      <c r="I435" s="29" t="str">
        <f t="shared" si="31"/>
        <v>TP397880</v>
      </c>
      <c r="J435" s="59">
        <f t="shared" ca="1" si="32"/>
        <v>45897</v>
      </c>
      <c r="K435" s="30">
        <f ca="1">LOOKUP(A435,'QALS - Inspection Lot Record'!A:A,'QALS - Inspection Lot Record'!I:I)</f>
        <v>0.84998842592592594</v>
      </c>
      <c r="L435" s="59">
        <f t="shared" ca="1" si="33"/>
        <v>45897</v>
      </c>
      <c r="M435" s="30">
        <f t="shared" ca="1" si="34"/>
        <v>0.87556712962962968</v>
      </c>
      <c r="N435" s="31"/>
      <c r="O435" s="31">
        <v>7.3</v>
      </c>
      <c r="P435" s="29">
        <v>3.5</v>
      </c>
      <c r="Q435" s="29">
        <v>11</v>
      </c>
    </row>
    <row r="436" spans="1:17" x14ac:dyDescent="0.35">
      <c r="A436" s="26">
        <v>40000002555</v>
      </c>
      <c r="B436" s="31">
        <v>1</v>
      </c>
      <c r="C436" s="29" t="str">
        <f>LOOKUP(A436,'QALS - Inspection Lot Record'!$A$2:$A$361,'QALS - Inspection Lot Record'!$O$2:$O$361)</f>
        <v>Aspirin Tablets (500 MG)</v>
      </c>
      <c r="D436" s="31">
        <v>30</v>
      </c>
      <c r="E436" s="29" t="s">
        <v>401</v>
      </c>
      <c r="F436" s="29" t="str">
        <f>LOOKUP(A436,'QALS - Inspection Lot Record'!A:A,'QALS - Inspection Lot Record'!G:G)</f>
        <v>TP397880</v>
      </c>
      <c r="G436" s="59">
        <f ca="1">LOOKUP(A436,'QALS - Inspection Lot Record'!A:A,'QALS - Inspection Lot Record'!E:E)</f>
        <v>45897</v>
      </c>
      <c r="H436" s="34" t="str">
        <f t="shared" si="35"/>
        <v>A</v>
      </c>
      <c r="I436" s="29" t="str">
        <f t="shared" si="31"/>
        <v>TP397880</v>
      </c>
      <c r="J436" s="59">
        <f t="shared" ca="1" si="32"/>
        <v>45897</v>
      </c>
      <c r="K436" s="30">
        <f ca="1">LOOKUP(A436,'QALS - Inspection Lot Record'!A:A,'QALS - Inspection Lot Record'!I:I)</f>
        <v>0.84998842592592594</v>
      </c>
      <c r="L436" s="59">
        <f t="shared" ca="1" si="33"/>
        <v>45897</v>
      </c>
      <c r="M436" s="30">
        <f t="shared" ca="1" si="34"/>
        <v>0.87062499999999998</v>
      </c>
      <c r="N436" s="11" t="s">
        <v>402</v>
      </c>
      <c r="O436" s="31"/>
      <c r="P436" s="29"/>
      <c r="Q436" s="29"/>
    </row>
    <row r="437" spans="1:17" x14ac:dyDescent="0.35">
      <c r="A437" s="26">
        <v>40000002555</v>
      </c>
      <c r="B437" s="31">
        <v>1</v>
      </c>
      <c r="C437" s="29" t="str">
        <f>LOOKUP(A437,'QALS - Inspection Lot Record'!$A$2:$A$361,'QALS - Inspection Lot Record'!$O$2:$O$361)</f>
        <v>Aspirin Tablets (500 MG)</v>
      </c>
      <c r="D437" s="31">
        <v>40</v>
      </c>
      <c r="E437" s="29" t="s">
        <v>403</v>
      </c>
      <c r="F437" s="29" t="str">
        <f>LOOKUP(A437,'QALS - Inspection Lot Record'!A:A,'QALS - Inspection Lot Record'!G:G)</f>
        <v>TP397880</v>
      </c>
      <c r="G437" s="59">
        <f ca="1">LOOKUP(A437,'QALS - Inspection Lot Record'!A:A,'QALS - Inspection Lot Record'!E:E)</f>
        <v>45897</v>
      </c>
      <c r="H437" s="34" t="str">
        <f t="shared" si="35"/>
        <v>A</v>
      </c>
      <c r="I437" s="29" t="str">
        <f t="shared" si="31"/>
        <v>TP397880</v>
      </c>
      <c r="J437" s="59">
        <f t="shared" ca="1" si="32"/>
        <v>45897</v>
      </c>
      <c r="K437" s="30">
        <f ca="1">LOOKUP(A437,'QALS - Inspection Lot Record'!A:A,'QALS - Inspection Lot Record'!I:I)</f>
        <v>0.84998842592592594</v>
      </c>
      <c r="L437" s="59">
        <f t="shared" ca="1" si="33"/>
        <v>45897</v>
      </c>
      <c r="M437" s="30">
        <f t="shared" ca="1" si="34"/>
        <v>0.8831134259259259</v>
      </c>
      <c r="N437" s="31"/>
      <c r="O437" s="31">
        <v>1.8</v>
      </c>
      <c r="P437" s="29">
        <v>0</v>
      </c>
      <c r="Q437" s="29">
        <v>2.5</v>
      </c>
    </row>
    <row r="438" spans="1:17" x14ac:dyDescent="0.35">
      <c r="A438" s="26">
        <v>40000002555</v>
      </c>
      <c r="B438" s="31">
        <v>1</v>
      </c>
      <c r="C438" s="29" t="str">
        <f>LOOKUP(A438,'QALS - Inspection Lot Record'!$A$2:$A$361,'QALS - Inspection Lot Record'!$O$2:$O$361)</f>
        <v>Aspirin Tablets (500 MG)</v>
      </c>
      <c r="D438" s="31">
        <v>50</v>
      </c>
      <c r="E438" s="29" t="s">
        <v>404</v>
      </c>
      <c r="F438" s="29" t="str">
        <f>LOOKUP(A438,'QALS - Inspection Lot Record'!A:A,'QALS - Inspection Lot Record'!G:G)</f>
        <v>TP397880</v>
      </c>
      <c r="G438" s="59">
        <f ca="1">LOOKUP(A438,'QALS - Inspection Lot Record'!A:A,'QALS - Inspection Lot Record'!E:E)</f>
        <v>45897</v>
      </c>
      <c r="H438" s="34" t="str">
        <f t="shared" si="35"/>
        <v>A</v>
      </c>
      <c r="I438" s="29" t="str">
        <f t="shared" si="31"/>
        <v>TP397880</v>
      </c>
      <c r="J438" s="59">
        <f t="shared" ca="1" si="32"/>
        <v>45897</v>
      </c>
      <c r="K438" s="30">
        <f ca="1">LOOKUP(A438,'QALS - Inspection Lot Record'!A:A,'QALS - Inspection Lot Record'!I:I)</f>
        <v>0.84998842592592594</v>
      </c>
      <c r="L438" s="59">
        <f t="shared" ca="1" si="33"/>
        <v>45897</v>
      </c>
      <c r="M438" s="30">
        <f t="shared" ca="1" si="34"/>
        <v>0.8716666666666667</v>
      </c>
      <c r="N438" s="31"/>
      <c r="O438" s="31">
        <v>41.3</v>
      </c>
      <c r="P438" s="29">
        <v>40</v>
      </c>
      <c r="Q438" s="29">
        <v>60</v>
      </c>
    </row>
    <row r="439" spans="1:17" x14ac:dyDescent="0.35">
      <c r="A439" s="26">
        <v>40000002555</v>
      </c>
      <c r="B439" s="31">
        <v>1</v>
      </c>
      <c r="C439" s="29" t="str">
        <f>LOOKUP(A439,'QALS - Inspection Lot Record'!$A$2:$A$361,'QALS - Inspection Lot Record'!$O$2:$O$361)</f>
        <v>Aspirin Tablets (500 MG)</v>
      </c>
      <c r="D439" s="31">
        <v>60</v>
      </c>
      <c r="E439" s="29" t="s">
        <v>405</v>
      </c>
      <c r="F439" s="29" t="str">
        <f>LOOKUP(A439,'QALS - Inspection Lot Record'!A:A,'QALS - Inspection Lot Record'!G:G)</f>
        <v>TP397880</v>
      </c>
      <c r="G439" s="59">
        <f ca="1">LOOKUP(A439,'QALS - Inspection Lot Record'!A:A,'QALS - Inspection Lot Record'!E:E)</f>
        <v>45897</v>
      </c>
      <c r="H439" s="34" t="str">
        <f t="shared" si="35"/>
        <v>A</v>
      </c>
      <c r="I439" s="29" t="str">
        <f t="shared" si="31"/>
        <v>TP397880</v>
      </c>
      <c r="J439" s="59">
        <f t="shared" ca="1" si="32"/>
        <v>45897</v>
      </c>
      <c r="K439" s="30">
        <f ca="1">LOOKUP(A439,'QALS - Inspection Lot Record'!A:A,'QALS - Inspection Lot Record'!I:I)</f>
        <v>0.84998842592592594</v>
      </c>
      <c r="L439" s="59">
        <f t="shared" ca="1" si="33"/>
        <v>45897</v>
      </c>
      <c r="M439" s="30">
        <f t="shared" ca="1" si="34"/>
        <v>0.87410879629629634</v>
      </c>
      <c r="N439" s="31"/>
      <c r="O439" s="31">
        <v>71.400000000000006</v>
      </c>
      <c r="P439" s="29">
        <v>70</v>
      </c>
      <c r="Q439" s="29">
        <v>85</v>
      </c>
    </row>
    <row r="440" spans="1:17" x14ac:dyDescent="0.35">
      <c r="A440" s="26">
        <v>40000002555</v>
      </c>
      <c r="B440" s="31">
        <v>1</v>
      </c>
      <c r="C440" s="29" t="str">
        <f>LOOKUP(A440,'QALS - Inspection Lot Record'!$A$2:$A$361,'QALS - Inspection Lot Record'!$O$2:$O$361)</f>
        <v>Aspirin Tablets (500 MG)</v>
      </c>
      <c r="D440" s="31">
        <v>70</v>
      </c>
      <c r="E440" s="29" t="s">
        <v>406</v>
      </c>
      <c r="F440" s="29" t="str">
        <f>LOOKUP(A440,'QALS - Inspection Lot Record'!A:A,'QALS - Inspection Lot Record'!G:G)</f>
        <v>TP397880</v>
      </c>
      <c r="G440" s="59">
        <f ca="1">LOOKUP(A440,'QALS - Inspection Lot Record'!A:A,'QALS - Inspection Lot Record'!E:E)</f>
        <v>45897</v>
      </c>
      <c r="H440" s="34" t="str">
        <f t="shared" si="35"/>
        <v>A</v>
      </c>
      <c r="I440" s="29" t="str">
        <f t="shared" si="31"/>
        <v>TP397880</v>
      </c>
      <c r="J440" s="59">
        <f t="shared" ca="1" si="32"/>
        <v>45897</v>
      </c>
      <c r="K440" s="30">
        <f ca="1">LOOKUP(A440,'QALS - Inspection Lot Record'!A:A,'QALS - Inspection Lot Record'!I:I)</f>
        <v>0.84998842592592594</v>
      </c>
      <c r="L440" s="59">
        <f t="shared" ca="1" si="33"/>
        <v>45897</v>
      </c>
      <c r="M440" s="30">
        <f t="shared" ca="1" si="34"/>
        <v>0.87164351851851851</v>
      </c>
      <c r="N440" s="31"/>
      <c r="O440" s="31">
        <v>81.2</v>
      </c>
      <c r="P440" s="29">
        <v>80</v>
      </c>
      <c r="Q440" s="29">
        <v>90</v>
      </c>
    </row>
    <row r="441" spans="1:17" x14ac:dyDescent="0.35">
      <c r="A441" s="26">
        <v>40000002555</v>
      </c>
      <c r="B441" s="31">
        <v>1</v>
      </c>
      <c r="C441" s="29" t="str">
        <f>LOOKUP(A441,'QALS - Inspection Lot Record'!$A$2:$A$361,'QALS - Inspection Lot Record'!$O$2:$O$361)</f>
        <v>Aspirin Tablets (500 MG)</v>
      </c>
      <c r="D441" s="31">
        <v>80</v>
      </c>
      <c r="E441" s="29" t="s">
        <v>407</v>
      </c>
      <c r="F441" s="29" t="str">
        <f>LOOKUP(A441,'QALS - Inspection Lot Record'!A:A,'QALS - Inspection Lot Record'!G:G)</f>
        <v>TP397880</v>
      </c>
      <c r="G441" s="59">
        <f ca="1">LOOKUP(A441,'QALS - Inspection Lot Record'!A:A,'QALS - Inspection Lot Record'!E:E)</f>
        <v>45897</v>
      </c>
      <c r="H441" s="34" t="str">
        <f t="shared" si="35"/>
        <v>A</v>
      </c>
      <c r="I441" s="29" t="str">
        <f t="shared" si="31"/>
        <v>TP397880</v>
      </c>
      <c r="J441" s="59">
        <f t="shared" ca="1" si="32"/>
        <v>45897</v>
      </c>
      <c r="K441" s="30">
        <f ca="1">LOOKUP(A441,'QALS - Inspection Lot Record'!A:A,'QALS - Inspection Lot Record'!I:I)</f>
        <v>0.84998842592592594</v>
      </c>
      <c r="L441" s="59">
        <f t="shared" ca="1" si="33"/>
        <v>45897</v>
      </c>
      <c r="M441" s="30">
        <f t="shared" ca="1" si="34"/>
        <v>0.8732523148148148</v>
      </c>
      <c r="N441" s="31"/>
      <c r="O441" s="31">
        <v>25.5</v>
      </c>
      <c r="P441" s="29">
        <v>23</v>
      </c>
      <c r="Q441" s="29">
        <v>28</v>
      </c>
    </row>
    <row r="442" spans="1:17" x14ac:dyDescent="0.35">
      <c r="A442" s="26">
        <v>40000002556</v>
      </c>
      <c r="B442" s="27">
        <v>1</v>
      </c>
      <c r="C442" s="29" t="str">
        <f>LOOKUP(A442,'QALS - Inspection Lot Record'!$A$2:$A$361,'QALS - Inspection Lot Record'!$O$2:$O$361)</f>
        <v>Metformin Tablets (100 MG)</v>
      </c>
      <c r="D442" s="27">
        <v>10</v>
      </c>
      <c r="E442" s="26" t="s">
        <v>399</v>
      </c>
      <c r="F442" s="29" t="str">
        <f>LOOKUP(A442,'QALS - Inspection Lot Record'!A:A,'QALS - Inspection Lot Record'!G:G)</f>
        <v>TG509538</v>
      </c>
      <c r="G442" s="59">
        <f ca="1">LOOKUP(A442,'QALS - Inspection Lot Record'!A:A,'QALS - Inspection Lot Record'!E:E)</f>
        <v>45897</v>
      </c>
      <c r="H442" s="34" t="str">
        <f t="shared" si="35"/>
        <v>A</v>
      </c>
      <c r="I442" s="29" t="str">
        <f t="shared" si="31"/>
        <v>TG509538</v>
      </c>
      <c r="J442" s="59">
        <f t="shared" ca="1" si="32"/>
        <v>45897</v>
      </c>
      <c r="K442" s="30">
        <f ca="1">LOOKUP(A442,'QALS - Inspection Lot Record'!A:A,'QALS - Inspection Lot Record'!I:I)</f>
        <v>2.5034722222222222E-2</v>
      </c>
      <c r="L442" s="59">
        <f t="shared" ca="1" si="33"/>
        <v>45897</v>
      </c>
      <c r="M442" s="30">
        <f t="shared" ca="1" si="34"/>
        <v>4.7962962962962964E-2</v>
      </c>
      <c r="N442" s="31"/>
      <c r="O442" s="31">
        <v>98.5</v>
      </c>
      <c r="P442" s="29">
        <v>95</v>
      </c>
      <c r="Q442" s="29">
        <v>102</v>
      </c>
    </row>
    <row r="443" spans="1:17" x14ac:dyDescent="0.35">
      <c r="A443" s="26">
        <v>40000002556</v>
      </c>
      <c r="B443" s="27">
        <v>1</v>
      </c>
      <c r="C443" s="29" t="str">
        <f>LOOKUP(A443,'QALS - Inspection Lot Record'!$A$2:$A$361,'QALS - Inspection Lot Record'!$O$2:$O$361)</f>
        <v>Metformin Tablets (100 MG)</v>
      </c>
      <c r="D443" s="31">
        <v>20</v>
      </c>
      <c r="E443" s="29" t="s">
        <v>400</v>
      </c>
      <c r="F443" s="29" t="str">
        <f>LOOKUP(A443,'QALS - Inspection Lot Record'!A:A,'QALS - Inspection Lot Record'!G:G)</f>
        <v>TG509538</v>
      </c>
      <c r="G443" s="59">
        <f ca="1">LOOKUP(A443,'QALS - Inspection Lot Record'!A:A,'QALS - Inspection Lot Record'!E:E)</f>
        <v>45897</v>
      </c>
      <c r="H443" s="34" t="str">
        <f t="shared" si="35"/>
        <v>A</v>
      </c>
      <c r="I443" s="29" t="str">
        <f t="shared" si="31"/>
        <v>TG509538</v>
      </c>
      <c r="J443" s="59">
        <f t="shared" ca="1" si="32"/>
        <v>45897</v>
      </c>
      <c r="K443" s="30">
        <f ca="1">LOOKUP(A443,'QALS - Inspection Lot Record'!A:A,'QALS - Inspection Lot Record'!I:I)</f>
        <v>2.5034722222222222E-2</v>
      </c>
      <c r="L443" s="59">
        <f t="shared" ca="1" si="33"/>
        <v>45897</v>
      </c>
      <c r="M443" s="30">
        <f t="shared" ca="1" si="34"/>
        <v>5.4675925925925926E-2</v>
      </c>
      <c r="N443" s="31"/>
      <c r="O443" s="31">
        <v>7.3</v>
      </c>
      <c r="P443" s="29">
        <v>3.5</v>
      </c>
      <c r="Q443" s="29">
        <v>11</v>
      </c>
    </row>
    <row r="444" spans="1:17" x14ac:dyDescent="0.35">
      <c r="A444" s="26">
        <v>40000002556</v>
      </c>
      <c r="B444" s="31">
        <v>1</v>
      </c>
      <c r="C444" s="29" t="str">
        <f>LOOKUP(A444,'QALS - Inspection Lot Record'!$A$2:$A$361,'QALS - Inspection Lot Record'!$O$2:$O$361)</f>
        <v>Metformin Tablets (100 MG)</v>
      </c>
      <c r="D444" s="31">
        <v>30</v>
      </c>
      <c r="E444" s="29" t="s">
        <v>401</v>
      </c>
      <c r="F444" s="29" t="str">
        <f>LOOKUP(A444,'QALS - Inspection Lot Record'!A:A,'QALS - Inspection Lot Record'!G:G)</f>
        <v>TG509538</v>
      </c>
      <c r="G444" s="59">
        <f ca="1">LOOKUP(A444,'QALS - Inspection Lot Record'!A:A,'QALS - Inspection Lot Record'!E:E)</f>
        <v>45897</v>
      </c>
      <c r="H444" s="34" t="str">
        <f t="shared" si="35"/>
        <v>A</v>
      </c>
      <c r="I444" s="29" t="str">
        <f t="shared" si="31"/>
        <v>TG509538</v>
      </c>
      <c r="J444" s="59">
        <f t="shared" ca="1" si="32"/>
        <v>45897</v>
      </c>
      <c r="K444" s="30">
        <f ca="1">LOOKUP(A444,'QALS - Inspection Lot Record'!A:A,'QALS - Inspection Lot Record'!I:I)</f>
        <v>2.5034722222222222E-2</v>
      </c>
      <c r="L444" s="59">
        <f t="shared" ca="1" si="33"/>
        <v>45897</v>
      </c>
      <c r="M444" s="30">
        <f t="shared" ca="1" si="34"/>
        <v>5.4756944444444441E-2</v>
      </c>
      <c r="N444" s="11" t="s">
        <v>402</v>
      </c>
      <c r="O444" s="31"/>
      <c r="P444" s="29"/>
      <c r="Q444" s="29"/>
    </row>
    <row r="445" spans="1:17" x14ac:dyDescent="0.35">
      <c r="A445" s="26">
        <v>40000002556</v>
      </c>
      <c r="B445" s="31">
        <v>1</v>
      </c>
      <c r="C445" s="29" t="str">
        <f>LOOKUP(A445,'QALS - Inspection Lot Record'!$A$2:$A$361,'QALS - Inspection Lot Record'!$O$2:$O$361)</f>
        <v>Metformin Tablets (100 MG)</v>
      </c>
      <c r="D445" s="31">
        <v>40</v>
      </c>
      <c r="E445" s="29" t="s">
        <v>403</v>
      </c>
      <c r="F445" s="29" t="str">
        <f>LOOKUP(A445,'QALS - Inspection Lot Record'!A:A,'QALS - Inspection Lot Record'!G:G)</f>
        <v>TG509538</v>
      </c>
      <c r="G445" s="59">
        <f ca="1">LOOKUP(A445,'QALS - Inspection Lot Record'!A:A,'QALS - Inspection Lot Record'!E:E)</f>
        <v>45897</v>
      </c>
      <c r="H445" s="34" t="str">
        <f t="shared" si="35"/>
        <v>A</v>
      </c>
      <c r="I445" s="29" t="str">
        <f t="shared" si="31"/>
        <v>TG509538</v>
      </c>
      <c r="J445" s="59">
        <f t="shared" ca="1" si="32"/>
        <v>45897</v>
      </c>
      <c r="K445" s="30">
        <f ca="1">LOOKUP(A445,'QALS - Inspection Lot Record'!A:A,'QALS - Inspection Lot Record'!I:I)</f>
        <v>2.5034722222222222E-2</v>
      </c>
      <c r="L445" s="59">
        <f t="shared" ca="1" si="33"/>
        <v>45897</v>
      </c>
      <c r="M445" s="30">
        <f t="shared" ca="1" si="34"/>
        <v>5.6817129629629627E-2</v>
      </c>
      <c r="N445" s="31"/>
      <c r="O445" s="31">
        <v>0.5</v>
      </c>
      <c r="P445" s="29">
        <v>0</v>
      </c>
      <c r="Q445" s="29">
        <v>1</v>
      </c>
    </row>
    <row r="446" spans="1:17" x14ac:dyDescent="0.35">
      <c r="A446" s="26">
        <v>40000002556</v>
      </c>
      <c r="B446" s="31">
        <v>1</v>
      </c>
      <c r="C446" s="29" t="str">
        <f>LOOKUP(A446,'QALS - Inspection Lot Record'!$A$2:$A$361,'QALS - Inspection Lot Record'!$O$2:$O$361)</f>
        <v>Metformin Tablets (100 MG)</v>
      </c>
      <c r="D446" s="31">
        <v>50</v>
      </c>
      <c r="E446" s="29" t="s">
        <v>404</v>
      </c>
      <c r="F446" s="29" t="str">
        <f>LOOKUP(A446,'QALS - Inspection Lot Record'!A:A,'QALS - Inspection Lot Record'!G:G)</f>
        <v>TG509538</v>
      </c>
      <c r="G446" s="59">
        <f ca="1">LOOKUP(A446,'QALS - Inspection Lot Record'!A:A,'QALS - Inspection Lot Record'!E:E)</f>
        <v>45897</v>
      </c>
      <c r="H446" s="34" t="str">
        <f t="shared" si="35"/>
        <v>A</v>
      </c>
      <c r="I446" s="29" t="str">
        <f t="shared" si="31"/>
        <v>TG509538</v>
      </c>
      <c r="J446" s="59">
        <f t="shared" ca="1" si="32"/>
        <v>45897</v>
      </c>
      <c r="K446" s="30">
        <f ca="1">LOOKUP(A446,'QALS - Inspection Lot Record'!A:A,'QALS - Inspection Lot Record'!I:I)</f>
        <v>2.5034722222222222E-2</v>
      </c>
      <c r="L446" s="59">
        <f t="shared" ca="1" si="33"/>
        <v>45897</v>
      </c>
      <c r="M446" s="30">
        <f t="shared" ca="1" si="34"/>
        <v>4.2534722222222224E-2</v>
      </c>
      <c r="N446" s="31"/>
      <c r="O446" s="31">
        <v>41.2</v>
      </c>
      <c r="P446" s="29">
        <v>40</v>
      </c>
      <c r="Q446" s="29">
        <v>60</v>
      </c>
    </row>
    <row r="447" spans="1:17" x14ac:dyDescent="0.35">
      <c r="A447" s="26">
        <v>40000002556</v>
      </c>
      <c r="B447" s="31">
        <v>1</v>
      </c>
      <c r="C447" s="29" t="str">
        <f>LOOKUP(A447,'QALS - Inspection Lot Record'!$A$2:$A$361,'QALS - Inspection Lot Record'!$O$2:$O$361)</f>
        <v>Metformin Tablets (100 MG)</v>
      </c>
      <c r="D447" s="31">
        <v>60</v>
      </c>
      <c r="E447" s="29" t="s">
        <v>405</v>
      </c>
      <c r="F447" s="29" t="str">
        <f>LOOKUP(A447,'QALS - Inspection Lot Record'!A:A,'QALS - Inspection Lot Record'!G:G)</f>
        <v>TG509538</v>
      </c>
      <c r="G447" s="59">
        <f ca="1">LOOKUP(A447,'QALS - Inspection Lot Record'!A:A,'QALS - Inspection Lot Record'!E:E)</f>
        <v>45897</v>
      </c>
      <c r="H447" s="34" t="str">
        <f t="shared" si="35"/>
        <v>A</v>
      </c>
      <c r="I447" s="29" t="str">
        <f t="shared" si="31"/>
        <v>TG509538</v>
      </c>
      <c r="J447" s="59">
        <f t="shared" ca="1" si="32"/>
        <v>45897</v>
      </c>
      <c r="K447" s="30">
        <f ca="1">LOOKUP(A447,'QALS - Inspection Lot Record'!A:A,'QALS - Inspection Lot Record'!I:I)</f>
        <v>2.5034722222222222E-2</v>
      </c>
      <c r="L447" s="59">
        <f t="shared" ca="1" si="33"/>
        <v>45897</v>
      </c>
      <c r="M447" s="30">
        <f t="shared" ca="1" si="34"/>
        <v>5.0127314814814819E-2</v>
      </c>
      <c r="N447" s="31"/>
      <c r="O447" s="31">
        <v>71.599999999999994</v>
      </c>
      <c r="P447" s="29">
        <v>70</v>
      </c>
      <c r="Q447" s="29">
        <v>85</v>
      </c>
    </row>
    <row r="448" spans="1:17" x14ac:dyDescent="0.35">
      <c r="A448" s="26">
        <v>40000002556</v>
      </c>
      <c r="B448" s="31">
        <v>1</v>
      </c>
      <c r="C448" s="29" t="str">
        <f>LOOKUP(A448,'QALS - Inspection Lot Record'!$A$2:$A$361,'QALS - Inspection Lot Record'!$O$2:$O$361)</f>
        <v>Metformin Tablets (100 MG)</v>
      </c>
      <c r="D448" s="31">
        <v>70</v>
      </c>
      <c r="E448" s="29" t="s">
        <v>406</v>
      </c>
      <c r="F448" s="29" t="str">
        <f>LOOKUP(A448,'QALS - Inspection Lot Record'!A:A,'QALS - Inspection Lot Record'!G:G)</f>
        <v>TG509538</v>
      </c>
      <c r="G448" s="59">
        <f ca="1">LOOKUP(A448,'QALS - Inspection Lot Record'!A:A,'QALS - Inspection Lot Record'!E:E)</f>
        <v>45897</v>
      </c>
      <c r="H448" s="34" t="str">
        <f t="shared" si="35"/>
        <v>A</v>
      </c>
      <c r="I448" s="29" t="str">
        <f t="shared" si="31"/>
        <v>TG509538</v>
      </c>
      <c r="J448" s="59">
        <f t="shared" ca="1" si="32"/>
        <v>45897</v>
      </c>
      <c r="K448" s="30">
        <f ca="1">LOOKUP(A448,'QALS - Inspection Lot Record'!A:A,'QALS - Inspection Lot Record'!I:I)</f>
        <v>2.5034722222222222E-2</v>
      </c>
      <c r="L448" s="59">
        <f t="shared" ca="1" si="33"/>
        <v>45897</v>
      </c>
      <c r="M448" s="30">
        <f t="shared" ca="1" si="34"/>
        <v>4.3483796296296298E-2</v>
      </c>
      <c r="N448" s="31"/>
      <c r="O448" s="31">
        <v>81.2</v>
      </c>
      <c r="P448" s="29">
        <v>80</v>
      </c>
      <c r="Q448" s="29">
        <v>90</v>
      </c>
    </row>
    <row r="449" spans="1:17" x14ac:dyDescent="0.35">
      <c r="A449" s="26">
        <v>40000002556</v>
      </c>
      <c r="B449" s="31">
        <v>1</v>
      </c>
      <c r="C449" s="29" t="str">
        <f>LOOKUP(A449,'QALS - Inspection Lot Record'!$A$2:$A$361,'QALS - Inspection Lot Record'!$O$2:$O$361)</f>
        <v>Metformin Tablets (100 MG)</v>
      </c>
      <c r="D449" s="31">
        <v>80</v>
      </c>
      <c r="E449" s="29" t="s">
        <v>407</v>
      </c>
      <c r="F449" s="29" t="str">
        <f>LOOKUP(A449,'QALS - Inspection Lot Record'!A:A,'QALS - Inspection Lot Record'!G:G)</f>
        <v>TG509538</v>
      </c>
      <c r="G449" s="59">
        <f ca="1">LOOKUP(A449,'QALS - Inspection Lot Record'!A:A,'QALS - Inspection Lot Record'!E:E)</f>
        <v>45897</v>
      </c>
      <c r="H449" s="34" t="str">
        <f t="shared" si="35"/>
        <v>A</v>
      </c>
      <c r="I449" s="29" t="str">
        <f t="shared" si="31"/>
        <v>TG509538</v>
      </c>
      <c r="J449" s="59">
        <f t="shared" ca="1" si="32"/>
        <v>45897</v>
      </c>
      <c r="K449" s="30">
        <f ca="1">LOOKUP(A449,'QALS - Inspection Lot Record'!A:A,'QALS - Inspection Lot Record'!I:I)</f>
        <v>2.5034722222222222E-2</v>
      </c>
      <c r="L449" s="59">
        <f t="shared" ca="1" si="33"/>
        <v>45897</v>
      </c>
      <c r="M449" s="30">
        <f t="shared" ca="1" si="34"/>
        <v>4.6053240740740742E-2</v>
      </c>
      <c r="N449" s="31"/>
      <c r="O449" s="31">
        <v>24</v>
      </c>
      <c r="P449" s="29">
        <v>23</v>
      </c>
      <c r="Q449" s="29">
        <v>25</v>
      </c>
    </row>
    <row r="450" spans="1:17" x14ac:dyDescent="0.35">
      <c r="A450" s="26">
        <v>40000002557</v>
      </c>
      <c r="B450" s="27">
        <v>1</v>
      </c>
      <c r="C450" s="29" t="str">
        <f>LOOKUP(A450,'QALS - Inspection Lot Record'!$A$2:$A$361,'QALS - Inspection Lot Record'!$O$2:$O$361)</f>
        <v>Metformin Tablets (100 MG)</v>
      </c>
      <c r="D450" s="27">
        <v>10</v>
      </c>
      <c r="E450" s="26" t="s">
        <v>399</v>
      </c>
      <c r="F450" s="29" t="str">
        <f>LOOKUP(A450,'QALS - Inspection Lot Record'!A:A,'QALS - Inspection Lot Record'!G:G)</f>
        <v>TP397880</v>
      </c>
      <c r="G450" s="59">
        <f ca="1">LOOKUP(A450,'QALS - Inspection Lot Record'!A:A,'QALS - Inspection Lot Record'!E:E)</f>
        <v>45898</v>
      </c>
      <c r="H450" s="34" t="str">
        <f t="shared" si="35"/>
        <v>R</v>
      </c>
      <c r="I450" s="29" t="str">
        <f t="shared" ref="I450:I513" si="36">F450</f>
        <v>TP397880</v>
      </c>
      <c r="J450" s="59">
        <f t="shared" ref="J450:J513" ca="1" si="37">G450</f>
        <v>45898</v>
      </c>
      <c r="K450" s="30">
        <f ca="1">LOOKUP(A450,'QALS - Inspection Lot Record'!A:A,'QALS - Inspection Lot Record'!I:I)</f>
        <v>0.88435185185185183</v>
      </c>
      <c r="L450" s="59">
        <f t="shared" ref="L450:L513" ca="1" si="38">G450</f>
        <v>45898</v>
      </c>
      <c r="M450" s="30">
        <f t="shared" ref="M450:M513" ca="1" si="39">K450+TIME(0,RANDBETWEEN(25,50),RANDBETWEEN(0,59))</f>
        <v>0.90500000000000003</v>
      </c>
      <c r="N450" s="31"/>
      <c r="O450" s="31">
        <v>93.6</v>
      </c>
      <c r="P450" s="29">
        <v>95</v>
      </c>
      <c r="Q450" s="29">
        <v>102</v>
      </c>
    </row>
    <row r="451" spans="1:17" x14ac:dyDescent="0.35">
      <c r="A451" s="26">
        <v>40000002557</v>
      </c>
      <c r="B451" s="27">
        <v>1</v>
      </c>
      <c r="C451" s="29" t="str">
        <f>LOOKUP(A451,'QALS - Inspection Lot Record'!$A$2:$A$361,'QALS - Inspection Lot Record'!$O$2:$O$361)</f>
        <v>Metformin Tablets (100 MG)</v>
      </c>
      <c r="D451" s="31">
        <v>20</v>
      </c>
      <c r="E451" s="29" t="s">
        <v>400</v>
      </c>
      <c r="F451" s="29" t="str">
        <f>LOOKUP(A451,'QALS - Inspection Lot Record'!A:A,'QALS - Inspection Lot Record'!G:G)</f>
        <v>TP397880</v>
      </c>
      <c r="G451" s="59">
        <f ca="1">LOOKUP(A451,'QALS - Inspection Lot Record'!A:A,'QALS - Inspection Lot Record'!E:E)</f>
        <v>45898</v>
      </c>
      <c r="H451" s="34" t="str">
        <f t="shared" si="35"/>
        <v>A</v>
      </c>
      <c r="I451" s="29" t="str">
        <f t="shared" si="36"/>
        <v>TP397880</v>
      </c>
      <c r="J451" s="59">
        <f t="shared" ca="1" si="37"/>
        <v>45898</v>
      </c>
      <c r="K451" s="30">
        <f ca="1">LOOKUP(A451,'QALS - Inspection Lot Record'!A:A,'QALS - Inspection Lot Record'!I:I)</f>
        <v>0.88435185185185183</v>
      </c>
      <c r="L451" s="59">
        <f t="shared" ca="1" si="38"/>
        <v>45898</v>
      </c>
      <c r="M451" s="30">
        <f t="shared" ca="1" si="39"/>
        <v>0.90653935185185186</v>
      </c>
      <c r="N451" s="31"/>
      <c r="O451" s="31">
        <v>7.25</v>
      </c>
      <c r="P451" s="29">
        <v>3.5</v>
      </c>
      <c r="Q451" s="29">
        <v>11</v>
      </c>
    </row>
    <row r="452" spans="1:17" x14ac:dyDescent="0.35">
      <c r="A452" s="26">
        <v>40000002557</v>
      </c>
      <c r="B452" s="31">
        <v>1</v>
      </c>
      <c r="C452" s="29" t="str">
        <f>LOOKUP(A452,'QALS - Inspection Lot Record'!$A$2:$A$361,'QALS - Inspection Lot Record'!$O$2:$O$361)</f>
        <v>Metformin Tablets (100 MG)</v>
      </c>
      <c r="D452" s="31">
        <v>30</v>
      </c>
      <c r="E452" s="29" t="s">
        <v>401</v>
      </c>
      <c r="F452" s="29" t="str">
        <f>LOOKUP(A452,'QALS - Inspection Lot Record'!A:A,'QALS - Inspection Lot Record'!G:G)</f>
        <v>TP397880</v>
      </c>
      <c r="G452" s="59">
        <f ca="1">LOOKUP(A452,'QALS - Inspection Lot Record'!A:A,'QALS - Inspection Lot Record'!E:E)</f>
        <v>45898</v>
      </c>
      <c r="H452" s="34" t="str">
        <f t="shared" si="35"/>
        <v>A</v>
      </c>
      <c r="I452" s="29" t="str">
        <f t="shared" si="36"/>
        <v>TP397880</v>
      </c>
      <c r="J452" s="59">
        <f t="shared" ca="1" si="37"/>
        <v>45898</v>
      </c>
      <c r="K452" s="30">
        <f ca="1">LOOKUP(A452,'QALS - Inspection Lot Record'!A:A,'QALS - Inspection Lot Record'!I:I)</f>
        <v>0.88435185185185183</v>
      </c>
      <c r="L452" s="59">
        <f t="shared" ca="1" si="38"/>
        <v>45898</v>
      </c>
      <c r="M452" s="30">
        <f t="shared" ca="1" si="39"/>
        <v>0.90203703703703697</v>
      </c>
      <c r="N452" s="11" t="s">
        <v>402</v>
      </c>
      <c r="O452" s="31"/>
      <c r="P452" s="29"/>
      <c r="Q452" s="29"/>
    </row>
    <row r="453" spans="1:17" x14ac:dyDescent="0.35">
      <c r="A453" s="26">
        <v>40000002557</v>
      </c>
      <c r="B453" s="31">
        <v>1</v>
      </c>
      <c r="C453" s="29" t="str">
        <f>LOOKUP(A453,'QALS - Inspection Lot Record'!$A$2:$A$361,'QALS - Inspection Lot Record'!$O$2:$O$361)</f>
        <v>Metformin Tablets (100 MG)</v>
      </c>
      <c r="D453" s="31">
        <v>40</v>
      </c>
      <c r="E453" s="29" t="s">
        <v>403</v>
      </c>
      <c r="F453" s="29" t="str">
        <f>LOOKUP(A453,'QALS - Inspection Lot Record'!A:A,'QALS - Inspection Lot Record'!G:G)</f>
        <v>TP397880</v>
      </c>
      <c r="G453" s="59">
        <f ca="1">LOOKUP(A453,'QALS - Inspection Lot Record'!A:A,'QALS - Inspection Lot Record'!E:E)</f>
        <v>45898</v>
      </c>
      <c r="H453" s="34" t="str">
        <f t="shared" si="35"/>
        <v>A</v>
      </c>
      <c r="I453" s="29" t="str">
        <f t="shared" si="36"/>
        <v>TP397880</v>
      </c>
      <c r="J453" s="59">
        <f t="shared" ca="1" si="37"/>
        <v>45898</v>
      </c>
      <c r="K453" s="30">
        <f ca="1">LOOKUP(A453,'QALS - Inspection Lot Record'!A:A,'QALS - Inspection Lot Record'!I:I)</f>
        <v>0.88435185185185183</v>
      </c>
      <c r="L453" s="59">
        <f t="shared" ca="1" si="38"/>
        <v>45898</v>
      </c>
      <c r="M453" s="30">
        <f t="shared" ca="1" si="39"/>
        <v>0.90914351851851849</v>
      </c>
      <c r="N453" s="31"/>
      <c r="O453" s="31">
        <v>0</v>
      </c>
      <c r="P453" s="29">
        <v>0</v>
      </c>
      <c r="Q453" s="29">
        <v>1</v>
      </c>
    </row>
    <row r="454" spans="1:17" x14ac:dyDescent="0.35">
      <c r="A454" s="26">
        <v>40000002557</v>
      </c>
      <c r="B454" s="31">
        <v>1</v>
      </c>
      <c r="C454" s="29" t="str">
        <f>LOOKUP(A454,'QALS - Inspection Lot Record'!$A$2:$A$361,'QALS - Inspection Lot Record'!$O$2:$O$361)</f>
        <v>Metformin Tablets (100 MG)</v>
      </c>
      <c r="D454" s="31">
        <v>50</v>
      </c>
      <c r="E454" s="29" t="s">
        <v>404</v>
      </c>
      <c r="F454" s="29" t="str">
        <f>LOOKUP(A454,'QALS - Inspection Lot Record'!A:A,'QALS - Inspection Lot Record'!G:G)</f>
        <v>TP397880</v>
      </c>
      <c r="G454" s="59">
        <f ca="1">LOOKUP(A454,'QALS - Inspection Lot Record'!A:A,'QALS - Inspection Lot Record'!E:E)</f>
        <v>45898</v>
      </c>
      <c r="H454" s="34" t="str">
        <f t="shared" si="35"/>
        <v>A</v>
      </c>
      <c r="I454" s="29" t="str">
        <f t="shared" si="36"/>
        <v>TP397880</v>
      </c>
      <c r="J454" s="59">
        <f t="shared" ca="1" si="37"/>
        <v>45898</v>
      </c>
      <c r="K454" s="30">
        <f ca="1">LOOKUP(A454,'QALS - Inspection Lot Record'!A:A,'QALS - Inspection Lot Record'!I:I)</f>
        <v>0.88435185185185183</v>
      </c>
      <c r="L454" s="59">
        <f t="shared" ca="1" si="38"/>
        <v>45898</v>
      </c>
      <c r="M454" s="30">
        <f t="shared" ca="1" si="39"/>
        <v>0.91909722222222223</v>
      </c>
      <c r="N454" s="31"/>
      <c r="O454" s="31">
        <v>50</v>
      </c>
      <c r="P454" s="29">
        <v>40</v>
      </c>
      <c r="Q454" s="29">
        <v>60</v>
      </c>
    </row>
    <row r="455" spans="1:17" x14ac:dyDescent="0.35">
      <c r="A455" s="26">
        <v>40000002557</v>
      </c>
      <c r="B455" s="31">
        <v>1</v>
      </c>
      <c r="C455" s="29" t="str">
        <f>LOOKUP(A455,'QALS - Inspection Lot Record'!$A$2:$A$361,'QALS - Inspection Lot Record'!$O$2:$O$361)</f>
        <v>Metformin Tablets (100 MG)</v>
      </c>
      <c r="D455" s="31">
        <v>60</v>
      </c>
      <c r="E455" s="29" t="s">
        <v>405</v>
      </c>
      <c r="F455" s="29" t="str">
        <f>LOOKUP(A455,'QALS - Inspection Lot Record'!A:A,'QALS - Inspection Lot Record'!G:G)</f>
        <v>TP397880</v>
      </c>
      <c r="G455" s="59">
        <f ca="1">LOOKUP(A455,'QALS - Inspection Lot Record'!A:A,'QALS - Inspection Lot Record'!E:E)</f>
        <v>45898</v>
      </c>
      <c r="H455" s="34" t="str">
        <f t="shared" si="35"/>
        <v>A</v>
      </c>
      <c r="I455" s="29" t="str">
        <f t="shared" si="36"/>
        <v>TP397880</v>
      </c>
      <c r="J455" s="59">
        <f t="shared" ca="1" si="37"/>
        <v>45898</v>
      </c>
      <c r="K455" s="30">
        <f ca="1">LOOKUP(A455,'QALS - Inspection Lot Record'!A:A,'QALS - Inspection Lot Record'!I:I)</f>
        <v>0.88435185185185183</v>
      </c>
      <c r="L455" s="59">
        <f t="shared" ca="1" si="38"/>
        <v>45898</v>
      </c>
      <c r="M455" s="30">
        <f t="shared" ca="1" si="39"/>
        <v>0.90989583333333335</v>
      </c>
      <c r="N455" s="31"/>
      <c r="O455" s="31">
        <v>77.5</v>
      </c>
      <c r="P455" s="29">
        <v>70</v>
      </c>
      <c r="Q455" s="29">
        <v>85</v>
      </c>
    </row>
    <row r="456" spans="1:17" x14ac:dyDescent="0.35">
      <c r="A456" s="26">
        <v>40000002557</v>
      </c>
      <c r="B456" s="31">
        <v>1</v>
      </c>
      <c r="C456" s="29" t="str">
        <f>LOOKUP(A456,'QALS - Inspection Lot Record'!$A$2:$A$361,'QALS - Inspection Lot Record'!$O$2:$O$361)</f>
        <v>Metformin Tablets (100 MG)</v>
      </c>
      <c r="D456" s="31">
        <v>70</v>
      </c>
      <c r="E456" s="29" t="s">
        <v>406</v>
      </c>
      <c r="F456" s="29" t="str">
        <f>LOOKUP(A456,'QALS - Inspection Lot Record'!A:A,'QALS - Inspection Lot Record'!G:G)</f>
        <v>TP397880</v>
      </c>
      <c r="G456" s="59">
        <f ca="1">LOOKUP(A456,'QALS - Inspection Lot Record'!A:A,'QALS - Inspection Lot Record'!E:E)</f>
        <v>45898</v>
      </c>
      <c r="H456" s="34" t="str">
        <f t="shared" si="35"/>
        <v>A</v>
      </c>
      <c r="I456" s="29" t="str">
        <f t="shared" si="36"/>
        <v>TP397880</v>
      </c>
      <c r="J456" s="59">
        <f t="shared" ca="1" si="37"/>
        <v>45898</v>
      </c>
      <c r="K456" s="30">
        <f ca="1">LOOKUP(A456,'QALS - Inspection Lot Record'!A:A,'QALS - Inspection Lot Record'!I:I)</f>
        <v>0.88435185185185183</v>
      </c>
      <c r="L456" s="59">
        <f t="shared" ca="1" si="38"/>
        <v>45898</v>
      </c>
      <c r="M456" s="30">
        <f t="shared" ca="1" si="39"/>
        <v>0.91538194444444443</v>
      </c>
      <c r="N456" s="31"/>
      <c r="O456" s="31">
        <v>85</v>
      </c>
      <c r="P456" s="29">
        <v>80</v>
      </c>
      <c r="Q456" s="29">
        <v>90</v>
      </c>
    </row>
    <row r="457" spans="1:17" x14ac:dyDescent="0.35">
      <c r="A457" s="26">
        <v>40000002557</v>
      </c>
      <c r="B457" s="31">
        <v>1</v>
      </c>
      <c r="C457" s="29" t="str">
        <f>LOOKUP(A457,'QALS - Inspection Lot Record'!$A$2:$A$361,'QALS - Inspection Lot Record'!$O$2:$O$361)</f>
        <v>Metformin Tablets (100 MG)</v>
      </c>
      <c r="D457" s="31">
        <v>80</v>
      </c>
      <c r="E457" s="29" t="s">
        <v>407</v>
      </c>
      <c r="F457" s="29" t="str">
        <f>LOOKUP(A457,'QALS - Inspection Lot Record'!A:A,'QALS - Inspection Lot Record'!G:G)</f>
        <v>TP397880</v>
      </c>
      <c r="G457" s="59">
        <f ca="1">LOOKUP(A457,'QALS - Inspection Lot Record'!A:A,'QALS - Inspection Lot Record'!E:E)</f>
        <v>45898</v>
      </c>
      <c r="H457" s="34" t="str">
        <f t="shared" si="35"/>
        <v>R</v>
      </c>
      <c r="I457" s="29" t="str">
        <f t="shared" si="36"/>
        <v>TP397880</v>
      </c>
      <c r="J457" s="59">
        <f t="shared" ca="1" si="37"/>
        <v>45898</v>
      </c>
      <c r="K457" s="30">
        <f ca="1">LOOKUP(A457,'QALS - Inspection Lot Record'!A:A,'QALS - Inspection Lot Record'!I:I)</f>
        <v>0.88435185185185183</v>
      </c>
      <c r="L457" s="59">
        <f t="shared" ca="1" si="38"/>
        <v>45898</v>
      </c>
      <c r="M457" s="30">
        <f t="shared" ca="1" si="39"/>
        <v>0.91417824074074072</v>
      </c>
      <c r="N457" s="31"/>
      <c r="O457" s="31">
        <v>21.3</v>
      </c>
      <c r="P457" s="29">
        <v>23</v>
      </c>
      <c r="Q457" s="29">
        <v>25</v>
      </c>
    </row>
    <row r="458" spans="1:17" x14ac:dyDescent="0.35">
      <c r="A458" s="26">
        <v>40000002558</v>
      </c>
      <c r="B458" s="27">
        <v>1</v>
      </c>
      <c r="C458" s="29" t="str">
        <f>LOOKUP(A458,'QALS - Inspection Lot Record'!$A$2:$A$361,'QALS - Inspection Lot Record'!$O$2:$O$361)</f>
        <v>Metformin Tablets (200 MG)</v>
      </c>
      <c r="D458" s="27">
        <v>10</v>
      </c>
      <c r="E458" s="26" t="s">
        <v>399</v>
      </c>
      <c r="F458" s="29" t="str">
        <f>LOOKUP(A458,'QALS - Inspection Lot Record'!A:A,'QALS - Inspection Lot Record'!G:G)</f>
        <v>TG509538</v>
      </c>
      <c r="G458" s="59">
        <f ca="1">LOOKUP(A458,'QALS - Inspection Lot Record'!A:A,'QALS - Inspection Lot Record'!E:E)</f>
        <v>45898</v>
      </c>
      <c r="H458" s="34" t="str">
        <f t="shared" ref="H458:H521" si="40">IF(AND(P458&lt;=O458,O458&lt;=Q458),"A","R")</f>
        <v>A</v>
      </c>
      <c r="I458" s="29" t="str">
        <f t="shared" si="36"/>
        <v>TG509538</v>
      </c>
      <c r="J458" s="59">
        <f t="shared" ca="1" si="37"/>
        <v>45898</v>
      </c>
      <c r="K458" s="30">
        <f ca="1">LOOKUP(A458,'QALS - Inspection Lot Record'!A:A,'QALS - Inspection Lot Record'!I:I)</f>
        <v>0.13703703703703704</v>
      </c>
      <c r="L458" s="59">
        <f t="shared" ca="1" si="38"/>
        <v>45898</v>
      </c>
      <c r="M458" s="30">
        <f t="shared" ca="1" si="39"/>
        <v>0.15854166666666666</v>
      </c>
      <c r="N458" s="31"/>
      <c r="O458" s="31">
        <v>99</v>
      </c>
      <c r="P458" s="29">
        <v>95</v>
      </c>
      <c r="Q458" s="29">
        <v>103</v>
      </c>
    </row>
    <row r="459" spans="1:17" x14ac:dyDescent="0.35">
      <c r="A459" s="26">
        <v>40000002558</v>
      </c>
      <c r="B459" s="27">
        <v>1</v>
      </c>
      <c r="C459" s="29" t="str">
        <f>LOOKUP(A459,'QALS - Inspection Lot Record'!$A$2:$A$361,'QALS - Inspection Lot Record'!$O$2:$O$361)</f>
        <v>Metformin Tablets (200 MG)</v>
      </c>
      <c r="D459" s="31">
        <v>20</v>
      </c>
      <c r="E459" s="29" t="s">
        <v>400</v>
      </c>
      <c r="F459" s="29" t="str">
        <f>LOOKUP(A459,'QALS - Inspection Lot Record'!A:A,'QALS - Inspection Lot Record'!G:G)</f>
        <v>TG509538</v>
      </c>
      <c r="G459" s="59">
        <f ca="1">LOOKUP(A459,'QALS - Inspection Lot Record'!A:A,'QALS - Inspection Lot Record'!E:E)</f>
        <v>45898</v>
      </c>
      <c r="H459" s="34" t="str">
        <f t="shared" si="40"/>
        <v>A</v>
      </c>
      <c r="I459" s="29" t="str">
        <f t="shared" si="36"/>
        <v>TG509538</v>
      </c>
      <c r="J459" s="59">
        <f t="shared" ca="1" si="37"/>
        <v>45898</v>
      </c>
      <c r="K459" s="30">
        <f ca="1">LOOKUP(A459,'QALS - Inspection Lot Record'!A:A,'QALS - Inspection Lot Record'!I:I)</f>
        <v>0.13703703703703704</v>
      </c>
      <c r="L459" s="59">
        <f t="shared" ca="1" si="38"/>
        <v>45898</v>
      </c>
      <c r="M459" s="30">
        <f t="shared" ca="1" si="39"/>
        <v>0.15822916666666667</v>
      </c>
      <c r="N459" s="31"/>
      <c r="O459" s="31">
        <v>7.75</v>
      </c>
      <c r="P459" s="29">
        <v>6</v>
      </c>
      <c r="Q459" s="29">
        <v>9.5</v>
      </c>
    </row>
    <row r="460" spans="1:17" x14ac:dyDescent="0.35">
      <c r="A460" s="26">
        <v>40000002558</v>
      </c>
      <c r="B460" s="31">
        <v>1</v>
      </c>
      <c r="C460" s="29" t="str">
        <f>LOOKUP(A460,'QALS - Inspection Lot Record'!$A$2:$A$361,'QALS - Inspection Lot Record'!$O$2:$O$361)</f>
        <v>Metformin Tablets (200 MG)</v>
      </c>
      <c r="D460" s="31">
        <v>30</v>
      </c>
      <c r="E460" s="29" t="s">
        <v>401</v>
      </c>
      <c r="F460" s="29" t="str">
        <f>LOOKUP(A460,'QALS - Inspection Lot Record'!A:A,'QALS - Inspection Lot Record'!G:G)</f>
        <v>TG509538</v>
      </c>
      <c r="G460" s="59">
        <f ca="1">LOOKUP(A460,'QALS - Inspection Lot Record'!A:A,'QALS - Inspection Lot Record'!E:E)</f>
        <v>45898</v>
      </c>
      <c r="H460" s="34" t="str">
        <f t="shared" si="40"/>
        <v>A</v>
      </c>
      <c r="I460" s="29" t="str">
        <f t="shared" si="36"/>
        <v>TG509538</v>
      </c>
      <c r="J460" s="59">
        <f t="shared" ca="1" si="37"/>
        <v>45898</v>
      </c>
      <c r="K460" s="30">
        <f ca="1">LOOKUP(A460,'QALS - Inspection Lot Record'!A:A,'QALS - Inspection Lot Record'!I:I)</f>
        <v>0.13703703703703704</v>
      </c>
      <c r="L460" s="59">
        <f t="shared" ca="1" si="38"/>
        <v>45898</v>
      </c>
      <c r="M460" s="30">
        <f t="shared" ca="1" si="39"/>
        <v>0.17180555555555554</v>
      </c>
      <c r="N460" s="11" t="s">
        <v>402</v>
      </c>
      <c r="O460" s="31"/>
      <c r="P460" s="29"/>
      <c r="Q460" s="29"/>
    </row>
    <row r="461" spans="1:17" x14ac:dyDescent="0.35">
      <c r="A461" s="26">
        <v>40000002558</v>
      </c>
      <c r="B461" s="31">
        <v>1</v>
      </c>
      <c r="C461" s="29" t="str">
        <f>LOOKUP(A461,'QALS - Inspection Lot Record'!$A$2:$A$361,'QALS - Inspection Lot Record'!$O$2:$O$361)</f>
        <v>Metformin Tablets (200 MG)</v>
      </c>
      <c r="D461" s="31">
        <v>40</v>
      </c>
      <c r="E461" s="29" t="s">
        <v>403</v>
      </c>
      <c r="F461" s="29" t="str">
        <f>LOOKUP(A461,'QALS - Inspection Lot Record'!A:A,'QALS - Inspection Lot Record'!G:G)</f>
        <v>TG509538</v>
      </c>
      <c r="G461" s="59">
        <f ca="1">LOOKUP(A461,'QALS - Inspection Lot Record'!A:A,'QALS - Inspection Lot Record'!E:E)</f>
        <v>45898</v>
      </c>
      <c r="H461" s="34" t="str">
        <f t="shared" si="40"/>
        <v>A</v>
      </c>
      <c r="I461" s="29" t="str">
        <f t="shared" si="36"/>
        <v>TG509538</v>
      </c>
      <c r="J461" s="59">
        <f t="shared" ca="1" si="37"/>
        <v>45898</v>
      </c>
      <c r="K461" s="30">
        <f ca="1">LOOKUP(A461,'QALS - Inspection Lot Record'!A:A,'QALS - Inspection Lot Record'!I:I)</f>
        <v>0.13703703703703704</v>
      </c>
      <c r="L461" s="59">
        <f t="shared" ca="1" si="38"/>
        <v>45898</v>
      </c>
      <c r="M461" s="30">
        <f t="shared" ca="1" si="39"/>
        <v>0.15563657407407408</v>
      </c>
      <c r="N461" s="31"/>
      <c r="O461" s="31">
        <v>0</v>
      </c>
      <c r="P461" s="29">
        <v>0</v>
      </c>
      <c r="Q461" s="29">
        <v>2</v>
      </c>
    </row>
    <row r="462" spans="1:17" x14ac:dyDescent="0.35">
      <c r="A462" s="26">
        <v>40000002558</v>
      </c>
      <c r="B462" s="31">
        <v>1</v>
      </c>
      <c r="C462" s="29" t="str">
        <f>LOOKUP(A462,'QALS - Inspection Lot Record'!$A$2:$A$361,'QALS - Inspection Lot Record'!$O$2:$O$361)</f>
        <v>Metformin Tablets (200 MG)</v>
      </c>
      <c r="D462" s="31">
        <v>50</v>
      </c>
      <c r="E462" s="29" t="s">
        <v>404</v>
      </c>
      <c r="F462" s="29" t="str">
        <f>LOOKUP(A462,'QALS - Inspection Lot Record'!A:A,'QALS - Inspection Lot Record'!G:G)</f>
        <v>TG509538</v>
      </c>
      <c r="G462" s="59">
        <f ca="1">LOOKUP(A462,'QALS - Inspection Lot Record'!A:A,'QALS - Inspection Lot Record'!E:E)</f>
        <v>45898</v>
      </c>
      <c r="H462" s="34" t="str">
        <f t="shared" si="40"/>
        <v>A</v>
      </c>
      <c r="I462" s="29" t="str">
        <f t="shared" si="36"/>
        <v>TG509538</v>
      </c>
      <c r="J462" s="59">
        <f t="shared" ca="1" si="37"/>
        <v>45898</v>
      </c>
      <c r="K462" s="30">
        <f ca="1">LOOKUP(A462,'QALS - Inspection Lot Record'!A:A,'QALS - Inspection Lot Record'!I:I)</f>
        <v>0.13703703703703704</v>
      </c>
      <c r="L462" s="59">
        <f t="shared" ca="1" si="38"/>
        <v>45898</v>
      </c>
      <c r="M462" s="30">
        <f t="shared" ca="1" si="39"/>
        <v>0.1642939814814815</v>
      </c>
      <c r="N462" s="31"/>
      <c r="O462" s="31">
        <v>50</v>
      </c>
      <c r="P462" s="29">
        <v>40</v>
      </c>
      <c r="Q462" s="29">
        <v>60</v>
      </c>
    </row>
    <row r="463" spans="1:17" x14ac:dyDescent="0.35">
      <c r="A463" s="26">
        <v>40000002558</v>
      </c>
      <c r="B463" s="31">
        <v>1</v>
      </c>
      <c r="C463" s="29" t="str">
        <f>LOOKUP(A463,'QALS - Inspection Lot Record'!$A$2:$A$361,'QALS - Inspection Lot Record'!$O$2:$O$361)</f>
        <v>Metformin Tablets (200 MG)</v>
      </c>
      <c r="D463" s="31">
        <v>60</v>
      </c>
      <c r="E463" s="29" t="s">
        <v>405</v>
      </c>
      <c r="F463" s="29" t="str">
        <f>LOOKUP(A463,'QALS - Inspection Lot Record'!A:A,'QALS - Inspection Lot Record'!G:G)</f>
        <v>TG509538</v>
      </c>
      <c r="G463" s="59">
        <f ca="1">LOOKUP(A463,'QALS - Inspection Lot Record'!A:A,'QALS - Inspection Lot Record'!E:E)</f>
        <v>45898</v>
      </c>
      <c r="H463" s="34" t="str">
        <f t="shared" si="40"/>
        <v>A</v>
      </c>
      <c r="I463" s="29" t="str">
        <f t="shared" si="36"/>
        <v>TG509538</v>
      </c>
      <c r="J463" s="59">
        <f t="shared" ca="1" si="37"/>
        <v>45898</v>
      </c>
      <c r="K463" s="30">
        <f ca="1">LOOKUP(A463,'QALS - Inspection Lot Record'!A:A,'QALS - Inspection Lot Record'!I:I)</f>
        <v>0.13703703703703704</v>
      </c>
      <c r="L463" s="59">
        <f t="shared" ca="1" si="38"/>
        <v>45898</v>
      </c>
      <c r="M463" s="30">
        <f t="shared" ca="1" si="39"/>
        <v>0.15935185185185186</v>
      </c>
      <c r="N463" s="31"/>
      <c r="O463" s="31">
        <v>77.5</v>
      </c>
      <c r="P463" s="29">
        <v>70</v>
      </c>
      <c r="Q463" s="29">
        <v>85</v>
      </c>
    </row>
    <row r="464" spans="1:17" x14ac:dyDescent="0.35">
      <c r="A464" s="26">
        <v>40000002558</v>
      </c>
      <c r="B464" s="31">
        <v>1</v>
      </c>
      <c r="C464" s="29" t="str">
        <f>LOOKUP(A464,'QALS - Inspection Lot Record'!$A$2:$A$361,'QALS - Inspection Lot Record'!$O$2:$O$361)</f>
        <v>Metformin Tablets (200 MG)</v>
      </c>
      <c r="D464" s="31">
        <v>70</v>
      </c>
      <c r="E464" s="29" t="s">
        <v>406</v>
      </c>
      <c r="F464" s="29" t="str">
        <f>LOOKUP(A464,'QALS - Inspection Lot Record'!A:A,'QALS - Inspection Lot Record'!G:G)</f>
        <v>TG509538</v>
      </c>
      <c r="G464" s="59">
        <f ca="1">LOOKUP(A464,'QALS - Inspection Lot Record'!A:A,'QALS - Inspection Lot Record'!E:E)</f>
        <v>45898</v>
      </c>
      <c r="H464" s="34" t="str">
        <f t="shared" si="40"/>
        <v>A</v>
      </c>
      <c r="I464" s="29" t="str">
        <f t="shared" si="36"/>
        <v>TG509538</v>
      </c>
      <c r="J464" s="59">
        <f t="shared" ca="1" si="37"/>
        <v>45898</v>
      </c>
      <c r="K464" s="30">
        <f ca="1">LOOKUP(A464,'QALS - Inspection Lot Record'!A:A,'QALS - Inspection Lot Record'!I:I)</f>
        <v>0.13703703703703704</v>
      </c>
      <c r="L464" s="59">
        <f t="shared" ca="1" si="38"/>
        <v>45898</v>
      </c>
      <c r="M464" s="30">
        <f t="shared" ca="1" si="39"/>
        <v>0.16369212962962965</v>
      </c>
      <c r="N464" s="31"/>
      <c r="O464" s="31">
        <v>85</v>
      </c>
      <c r="P464" s="29">
        <v>80</v>
      </c>
      <c r="Q464" s="29">
        <v>90</v>
      </c>
    </row>
    <row r="465" spans="1:17" x14ac:dyDescent="0.35">
      <c r="A465" s="26">
        <v>40000002558</v>
      </c>
      <c r="B465" s="31">
        <v>1</v>
      </c>
      <c r="C465" s="29" t="str">
        <f>LOOKUP(A465,'QALS - Inspection Lot Record'!$A$2:$A$361,'QALS - Inspection Lot Record'!$O$2:$O$361)</f>
        <v>Metformin Tablets (200 MG)</v>
      </c>
      <c r="D465" s="31">
        <v>80</v>
      </c>
      <c r="E465" s="29" t="s">
        <v>407</v>
      </c>
      <c r="F465" s="29" t="str">
        <f>LOOKUP(A465,'QALS - Inspection Lot Record'!A:A,'QALS - Inspection Lot Record'!G:G)</f>
        <v>TG509538</v>
      </c>
      <c r="G465" s="59">
        <f ca="1">LOOKUP(A465,'QALS - Inspection Lot Record'!A:A,'QALS - Inspection Lot Record'!E:E)</f>
        <v>45898</v>
      </c>
      <c r="H465" s="34" t="str">
        <f t="shared" si="40"/>
        <v>A</v>
      </c>
      <c r="I465" s="29" t="str">
        <f t="shared" si="36"/>
        <v>TG509538</v>
      </c>
      <c r="J465" s="59">
        <f t="shared" ca="1" si="37"/>
        <v>45898</v>
      </c>
      <c r="K465" s="30">
        <f ca="1">LOOKUP(A465,'QALS - Inspection Lot Record'!A:A,'QALS - Inspection Lot Record'!I:I)</f>
        <v>0.13703703703703704</v>
      </c>
      <c r="L465" s="59">
        <f t="shared" ca="1" si="38"/>
        <v>45898</v>
      </c>
      <c r="M465" s="30">
        <f t="shared" ca="1" si="39"/>
        <v>0.1708912037037037</v>
      </c>
      <c r="N465" s="31"/>
      <c r="O465" s="31">
        <v>25.5</v>
      </c>
      <c r="P465" s="29">
        <v>23</v>
      </c>
      <c r="Q465" s="29">
        <v>28</v>
      </c>
    </row>
    <row r="466" spans="1:17" x14ac:dyDescent="0.35">
      <c r="A466" s="26">
        <v>40000002559</v>
      </c>
      <c r="B466" s="27">
        <v>1</v>
      </c>
      <c r="C466" s="29" t="str">
        <f>LOOKUP(A466,'QALS - Inspection Lot Record'!$A$2:$A$361,'QALS - Inspection Lot Record'!$O$2:$O$361)</f>
        <v>Aspirin Tablets (500 MG)</v>
      </c>
      <c r="D466" s="27">
        <v>10</v>
      </c>
      <c r="E466" s="26" t="s">
        <v>399</v>
      </c>
      <c r="F466" s="29" t="str">
        <f>LOOKUP(A466,'QALS - Inspection Lot Record'!A:A,'QALS - Inspection Lot Record'!G:G)</f>
        <v>TP397880</v>
      </c>
      <c r="G466" s="59">
        <f ca="1">LOOKUP(A466,'QALS - Inspection Lot Record'!A:A,'QALS - Inspection Lot Record'!E:E)</f>
        <v>45899</v>
      </c>
      <c r="H466" s="34" t="str">
        <f t="shared" si="40"/>
        <v>A</v>
      </c>
      <c r="I466" s="29" t="str">
        <f t="shared" si="36"/>
        <v>TP397880</v>
      </c>
      <c r="J466" s="59">
        <f t="shared" ca="1" si="37"/>
        <v>45899</v>
      </c>
      <c r="K466" s="30">
        <f ca="1">LOOKUP(A466,'QALS - Inspection Lot Record'!A:A,'QALS - Inspection Lot Record'!I:I)</f>
        <v>0.64738425925925924</v>
      </c>
      <c r="L466" s="59">
        <f t="shared" ca="1" si="38"/>
        <v>45899</v>
      </c>
      <c r="M466" s="30">
        <f t="shared" ca="1" si="39"/>
        <v>0.68234953703703705</v>
      </c>
      <c r="N466" s="31"/>
      <c r="O466" s="31">
        <v>98</v>
      </c>
      <c r="P466" s="29">
        <v>95</v>
      </c>
      <c r="Q466" s="29">
        <v>105</v>
      </c>
    </row>
    <row r="467" spans="1:17" x14ac:dyDescent="0.35">
      <c r="A467" s="26">
        <v>40000002559</v>
      </c>
      <c r="B467" s="27">
        <v>1</v>
      </c>
      <c r="C467" s="29" t="str">
        <f>LOOKUP(A467,'QALS - Inspection Lot Record'!$A$2:$A$361,'QALS - Inspection Lot Record'!$O$2:$O$361)</f>
        <v>Aspirin Tablets (500 MG)</v>
      </c>
      <c r="D467" s="31">
        <v>20</v>
      </c>
      <c r="E467" s="29" t="s">
        <v>400</v>
      </c>
      <c r="F467" s="29" t="str">
        <f>LOOKUP(A467,'QALS - Inspection Lot Record'!A:A,'QALS - Inspection Lot Record'!G:G)</f>
        <v>TP397880</v>
      </c>
      <c r="G467" s="59">
        <f ca="1">LOOKUP(A467,'QALS - Inspection Lot Record'!A:A,'QALS - Inspection Lot Record'!E:E)</f>
        <v>45899</v>
      </c>
      <c r="H467" s="34" t="str">
        <f t="shared" si="40"/>
        <v>R</v>
      </c>
      <c r="I467" s="29" t="str">
        <f t="shared" si="36"/>
        <v>TP397880</v>
      </c>
      <c r="J467" s="59">
        <f t="shared" ca="1" si="37"/>
        <v>45899</v>
      </c>
      <c r="K467" s="30">
        <f ca="1">LOOKUP(A467,'QALS - Inspection Lot Record'!A:A,'QALS - Inspection Lot Record'!I:I)</f>
        <v>0.64738425925925924</v>
      </c>
      <c r="L467" s="59">
        <f t="shared" ca="1" si="38"/>
        <v>45899</v>
      </c>
      <c r="M467" s="30">
        <f t="shared" ca="1" si="39"/>
        <v>0.67327546296296292</v>
      </c>
      <c r="N467" s="31"/>
      <c r="O467" s="31">
        <v>2.1</v>
      </c>
      <c r="P467" s="29">
        <v>3.5</v>
      </c>
      <c r="Q467" s="29">
        <v>11</v>
      </c>
    </row>
    <row r="468" spans="1:17" x14ac:dyDescent="0.35">
      <c r="A468" s="26">
        <v>40000002559</v>
      </c>
      <c r="B468" s="31">
        <v>1</v>
      </c>
      <c r="C468" s="29" t="str">
        <f>LOOKUP(A468,'QALS - Inspection Lot Record'!$A$2:$A$361,'QALS - Inspection Lot Record'!$O$2:$O$361)</f>
        <v>Aspirin Tablets (500 MG)</v>
      </c>
      <c r="D468" s="31">
        <v>30</v>
      </c>
      <c r="E468" s="29" t="s">
        <v>401</v>
      </c>
      <c r="F468" s="29" t="str">
        <f>LOOKUP(A468,'QALS - Inspection Lot Record'!A:A,'QALS - Inspection Lot Record'!G:G)</f>
        <v>TP397880</v>
      </c>
      <c r="G468" s="59">
        <f ca="1">LOOKUP(A468,'QALS - Inspection Lot Record'!A:A,'QALS - Inspection Lot Record'!E:E)</f>
        <v>45899</v>
      </c>
      <c r="H468" s="34" t="str">
        <f t="shared" si="40"/>
        <v>A</v>
      </c>
      <c r="I468" s="29" t="str">
        <f t="shared" si="36"/>
        <v>TP397880</v>
      </c>
      <c r="J468" s="59">
        <f t="shared" ca="1" si="37"/>
        <v>45899</v>
      </c>
      <c r="K468" s="30">
        <f ca="1">LOOKUP(A468,'QALS - Inspection Lot Record'!A:A,'QALS - Inspection Lot Record'!I:I)</f>
        <v>0.64738425925925924</v>
      </c>
      <c r="L468" s="59">
        <f t="shared" ca="1" si="38"/>
        <v>45899</v>
      </c>
      <c r="M468" s="30">
        <f t="shared" ca="1" si="39"/>
        <v>0.67917824074074074</v>
      </c>
      <c r="N468" s="11" t="s">
        <v>402</v>
      </c>
      <c r="O468" s="31"/>
      <c r="P468" s="29"/>
      <c r="Q468" s="29"/>
    </row>
    <row r="469" spans="1:17" x14ac:dyDescent="0.35">
      <c r="A469" s="26">
        <v>40000002559</v>
      </c>
      <c r="B469" s="31">
        <v>1</v>
      </c>
      <c r="C469" s="29" t="str">
        <f>LOOKUP(A469,'QALS - Inspection Lot Record'!$A$2:$A$361,'QALS - Inspection Lot Record'!$O$2:$O$361)</f>
        <v>Aspirin Tablets (500 MG)</v>
      </c>
      <c r="D469" s="31">
        <v>40</v>
      </c>
      <c r="E469" s="29" t="s">
        <v>403</v>
      </c>
      <c r="F469" s="29" t="str">
        <f>LOOKUP(A469,'QALS - Inspection Lot Record'!A:A,'QALS - Inspection Lot Record'!G:G)</f>
        <v>TP397880</v>
      </c>
      <c r="G469" s="59">
        <f ca="1">LOOKUP(A469,'QALS - Inspection Lot Record'!A:A,'QALS - Inspection Lot Record'!E:E)</f>
        <v>45899</v>
      </c>
      <c r="H469" s="34" t="str">
        <f t="shared" si="40"/>
        <v>A</v>
      </c>
      <c r="I469" s="29" t="str">
        <f t="shared" si="36"/>
        <v>TP397880</v>
      </c>
      <c r="J469" s="59">
        <f t="shared" ca="1" si="37"/>
        <v>45899</v>
      </c>
      <c r="K469" s="30">
        <f ca="1">LOOKUP(A469,'QALS - Inspection Lot Record'!A:A,'QALS - Inspection Lot Record'!I:I)</f>
        <v>0.64738425925925924</v>
      </c>
      <c r="L469" s="59">
        <f t="shared" ca="1" si="38"/>
        <v>45899</v>
      </c>
      <c r="M469" s="30">
        <f t="shared" ca="1" si="39"/>
        <v>0.67476851851851849</v>
      </c>
      <c r="N469" s="31"/>
      <c r="O469" s="31">
        <v>1.8</v>
      </c>
      <c r="P469" s="29">
        <v>0</v>
      </c>
      <c r="Q469" s="29">
        <v>2.5</v>
      </c>
    </row>
    <row r="470" spans="1:17" x14ac:dyDescent="0.35">
      <c r="A470" s="26">
        <v>40000002559</v>
      </c>
      <c r="B470" s="31">
        <v>1</v>
      </c>
      <c r="C470" s="29" t="str">
        <f>LOOKUP(A470,'QALS - Inspection Lot Record'!$A$2:$A$361,'QALS - Inspection Lot Record'!$O$2:$O$361)</f>
        <v>Aspirin Tablets (500 MG)</v>
      </c>
      <c r="D470" s="31">
        <v>50</v>
      </c>
      <c r="E470" s="29" t="s">
        <v>404</v>
      </c>
      <c r="F470" s="29" t="str">
        <f>LOOKUP(A470,'QALS - Inspection Lot Record'!A:A,'QALS - Inspection Lot Record'!G:G)</f>
        <v>TP397880</v>
      </c>
      <c r="G470" s="59">
        <f ca="1">LOOKUP(A470,'QALS - Inspection Lot Record'!A:A,'QALS - Inspection Lot Record'!E:E)</f>
        <v>45899</v>
      </c>
      <c r="H470" s="34" t="str">
        <f t="shared" si="40"/>
        <v>A</v>
      </c>
      <c r="I470" s="29" t="str">
        <f t="shared" si="36"/>
        <v>TP397880</v>
      </c>
      <c r="J470" s="59">
        <f t="shared" ca="1" si="37"/>
        <v>45899</v>
      </c>
      <c r="K470" s="30">
        <f ca="1">LOOKUP(A470,'QALS - Inspection Lot Record'!A:A,'QALS - Inspection Lot Record'!I:I)</f>
        <v>0.64738425925925924</v>
      </c>
      <c r="L470" s="59">
        <f t="shared" ca="1" si="38"/>
        <v>45899</v>
      </c>
      <c r="M470" s="30">
        <f t="shared" ca="1" si="39"/>
        <v>0.68164351851851845</v>
      </c>
      <c r="N470" s="31"/>
      <c r="O470" s="31">
        <v>43</v>
      </c>
      <c r="P470" s="29">
        <v>40</v>
      </c>
      <c r="Q470" s="29">
        <v>60</v>
      </c>
    </row>
    <row r="471" spans="1:17" x14ac:dyDescent="0.35">
      <c r="A471" s="26">
        <v>40000002559</v>
      </c>
      <c r="B471" s="31">
        <v>1</v>
      </c>
      <c r="C471" s="29" t="str">
        <f>LOOKUP(A471,'QALS - Inspection Lot Record'!$A$2:$A$361,'QALS - Inspection Lot Record'!$O$2:$O$361)</f>
        <v>Aspirin Tablets (500 MG)</v>
      </c>
      <c r="D471" s="31">
        <v>60</v>
      </c>
      <c r="E471" s="29" t="s">
        <v>405</v>
      </c>
      <c r="F471" s="29" t="str">
        <f>LOOKUP(A471,'QALS - Inspection Lot Record'!A:A,'QALS - Inspection Lot Record'!G:G)</f>
        <v>TP397880</v>
      </c>
      <c r="G471" s="59">
        <f ca="1">LOOKUP(A471,'QALS - Inspection Lot Record'!A:A,'QALS - Inspection Lot Record'!E:E)</f>
        <v>45899</v>
      </c>
      <c r="H471" s="34" t="str">
        <f t="shared" si="40"/>
        <v>A</v>
      </c>
      <c r="I471" s="29" t="str">
        <f t="shared" si="36"/>
        <v>TP397880</v>
      </c>
      <c r="J471" s="59">
        <f t="shared" ca="1" si="37"/>
        <v>45899</v>
      </c>
      <c r="K471" s="30">
        <f ca="1">LOOKUP(A471,'QALS - Inspection Lot Record'!A:A,'QALS - Inspection Lot Record'!I:I)</f>
        <v>0.64738425925925924</v>
      </c>
      <c r="L471" s="59">
        <f t="shared" ca="1" si="38"/>
        <v>45899</v>
      </c>
      <c r="M471" s="30">
        <f t="shared" ca="1" si="39"/>
        <v>0.67063657407407407</v>
      </c>
      <c r="N471" s="31"/>
      <c r="O471" s="31">
        <v>72</v>
      </c>
      <c r="P471" s="29">
        <v>70</v>
      </c>
      <c r="Q471" s="29">
        <v>85</v>
      </c>
    </row>
    <row r="472" spans="1:17" x14ac:dyDescent="0.35">
      <c r="A472" s="26">
        <v>40000002559</v>
      </c>
      <c r="B472" s="31">
        <v>1</v>
      </c>
      <c r="C472" s="29" t="str">
        <f>LOOKUP(A472,'QALS - Inspection Lot Record'!$A$2:$A$361,'QALS - Inspection Lot Record'!$O$2:$O$361)</f>
        <v>Aspirin Tablets (500 MG)</v>
      </c>
      <c r="D472" s="31">
        <v>70</v>
      </c>
      <c r="E472" s="29" t="s">
        <v>406</v>
      </c>
      <c r="F472" s="29" t="str">
        <f>LOOKUP(A472,'QALS - Inspection Lot Record'!A:A,'QALS - Inspection Lot Record'!G:G)</f>
        <v>TP397880</v>
      </c>
      <c r="G472" s="59">
        <f ca="1">LOOKUP(A472,'QALS - Inspection Lot Record'!A:A,'QALS - Inspection Lot Record'!E:E)</f>
        <v>45899</v>
      </c>
      <c r="H472" s="34" t="str">
        <f t="shared" si="40"/>
        <v>R</v>
      </c>
      <c r="I472" s="29" t="str">
        <f t="shared" si="36"/>
        <v>TP397880</v>
      </c>
      <c r="J472" s="59">
        <f t="shared" ca="1" si="37"/>
        <v>45899</v>
      </c>
      <c r="K472" s="30">
        <f ca="1">LOOKUP(A472,'QALS - Inspection Lot Record'!A:A,'QALS - Inspection Lot Record'!I:I)</f>
        <v>0.64738425925925924</v>
      </c>
      <c r="L472" s="59">
        <f t="shared" ca="1" si="38"/>
        <v>45899</v>
      </c>
      <c r="M472" s="30">
        <f t="shared" ca="1" si="39"/>
        <v>0.66716435185185186</v>
      </c>
      <c r="N472" s="31"/>
      <c r="O472" s="31">
        <v>78.900000000000006</v>
      </c>
      <c r="P472" s="29">
        <v>80</v>
      </c>
      <c r="Q472" s="29">
        <v>90</v>
      </c>
    </row>
    <row r="473" spans="1:17" x14ac:dyDescent="0.35">
      <c r="A473" s="26">
        <v>40000002559</v>
      </c>
      <c r="B473" s="31">
        <v>1</v>
      </c>
      <c r="C473" s="29" t="str">
        <f>LOOKUP(A473,'QALS - Inspection Lot Record'!$A$2:$A$361,'QALS - Inspection Lot Record'!$O$2:$O$361)</f>
        <v>Aspirin Tablets (500 MG)</v>
      </c>
      <c r="D473" s="31">
        <v>80</v>
      </c>
      <c r="E473" s="29" t="s">
        <v>407</v>
      </c>
      <c r="F473" s="29" t="str">
        <f>LOOKUP(A473,'QALS - Inspection Lot Record'!A:A,'QALS - Inspection Lot Record'!G:G)</f>
        <v>TP397880</v>
      </c>
      <c r="G473" s="59">
        <f ca="1">LOOKUP(A473,'QALS - Inspection Lot Record'!A:A,'QALS - Inspection Lot Record'!E:E)</f>
        <v>45899</v>
      </c>
      <c r="H473" s="34" t="str">
        <f t="shared" si="40"/>
        <v>A</v>
      </c>
      <c r="I473" s="29" t="str">
        <f t="shared" si="36"/>
        <v>TP397880</v>
      </c>
      <c r="J473" s="59">
        <f t="shared" ca="1" si="37"/>
        <v>45899</v>
      </c>
      <c r="K473" s="30">
        <f ca="1">LOOKUP(A473,'QALS - Inspection Lot Record'!A:A,'QALS - Inspection Lot Record'!I:I)</f>
        <v>0.64738425925925924</v>
      </c>
      <c r="L473" s="59">
        <f t="shared" ca="1" si="38"/>
        <v>45899</v>
      </c>
      <c r="M473" s="30">
        <f t="shared" ca="1" si="39"/>
        <v>0.6755092592592592</v>
      </c>
      <c r="N473" s="31"/>
      <c r="O473" s="31">
        <v>23.9</v>
      </c>
      <c r="P473" s="29">
        <v>23</v>
      </c>
      <c r="Q473" s="29">
        <v>28</v>
      </c>
    </row>
    <row r="474" spans="1:17" x14ac:dyDescent="0.35">
      <c r="A474" s="26">
        <v>40000002560</v>
      </c>
      <c r="B474" s="27">
        <v>1</v>
      </c>
      <c r="C474" s="29" t="str">
        <f>LOOKUP(A474,'QALS - Inspection Lot Record'!$A$2:$A$361,'QALS - Inspection Lot Record'!$O$2:$O$361)</f>
        <v>Metformin Tablets (500 MG)</v>
      </c>
      <c r="D474" s="27">
        <v>10</v>
      </c>
      <c r="E474" s="26" t="s">
        <v>399</v>
      </c>
      <c r="F474" s="29" t="str">
        <f>LOOKUP(A474,'QALS - Inspection Lot Record'!A:A,'QALS - Inspection Lot Record'!G:G)</f>
        <v>YA284176</v>
      </c>
      <c r="G474" s="59">
        <f ca="1">LOOKUP(A474,'QALS - Inspection Lot Record'!A:A,'QALS - Inspection Lot Record'!E:E)</f>
        <v>45899</v>
      </c>
      <c r="H474" s="34" t="str">
        <f t="shared" si="40"/>
        <v>R</v>
      </c>
      <c r="I474" s="29" t="str">
        <f t="shared" si="36"/>
        <v>YA284176</v>
      </c>
      <c r="J474" s="59">
        <f t="shared" ca="1" si="37"/>
        <v>45899</v>
      </c>
      <c r="K474" s="30">
        <f ca="1">LOOKUP(A474,'QALS - Inspection Lot Record'!A:A,'QALS - Inspection Lot Record'!I:I)</f>
        <v>0.18555555555555556</v>
      </c>
      <c r="L474" s="59">
        <f t="shared" ca="1" si="38"/>
        <v>45899</v>
      </c>
      <c r="M474" s="30">
        <f t="shared" ca="1" si="39"/>
        <v>0.21082175925925925</v>
      </c>
      <c r="N474" s="31"/>
      <c r="O474" s="31">
        <v>93.6</v>
      </c>
      <c r="P474" s="29">
        <v>95</v>
      </c>
      <c r="Q474" s="29">
        <v>105</v>
      </c>
    </row>
    <row r="475" spans="1:17" x14ac:dyDescent="0.35">
      <c r="A475" s="26">
        <v>40000002560</v>
      </c>
      <c r="B475" s="27">
        <v>1</v>
      </c>
      <c r="C475" s="29" t="str">
        <f>LOOKUP(A475,'QALS - Inspection Lot Record'!$A$2:$A$361,'QALS - Inspection Lot Record'!$O$2:$O$361)</f>
        <v>Metformin Tablets (500 MG)</v>
      </c>
      <c r="D475" s="31">
        <v>20</v>
      </c>
      <c r="E475" s="29" t="s">
        <v>400</v>
      </c>
      <c r="F475" s="29" t="str">
        <f>LOOKUP(A475,'QALS - Inspection Lot Record'!A:A,'QALS - Inspection Lot Record'!G:G)</f>
        <v>YA284176</v>
      </c>
      <c r="G475" s="59">
        <f ca="1">LOOKUP(A475,'QALS - Inspection Lot Record'!A:A,'QALS - Inspection Lot Record'!E:E)</f>
        <v>45899</v>
      </c>
      <c r="H475" s="34" t="str">
        <f t="shared" si="40"/>
        <v>A</v>
      </c>
      <c r="I475" s="29" t="str">
        <f t="shared" si="36"/>
        <v>YA284176</v>
      </c>
      <c r="J475" s="59">
        <f t="shared" ca="1" si="37"/>
        <v>45899</v>
      </c>
      <c r="K475" s="30">
        <f ca="1">LOOKUP(A475,'QALS - Inspection Lot Record'!A:A,'QALS - Inspection Lot Record'!I:I)</f>
        <v>0.18555555555555556</v>
      </c>
      <c r="L475" s="59">
        <f t="shared" ca="1" si="38"/>
        <v>45899</v>
      </c>
      <c r="M475" s="30">
        <f t="shared" ca="1" si="39"/>
        <v>0.21629629629629629</v>
      </c>
      <c r="N475" s="31"/>
      <c r="O475" s="31">
        <v>7.25</v>
      </c>
      <c r="P475" s="29">
        <v>3.5</v>
      </c>
      <c r="Q475" s="29">
        <v>11</v>
      </c>
    </row>
    <row r="476" spans="1:17" x14ac:dyDescent="0.35">
      <c r="A476" s="26">
        <v>40000002560</v>
      </c>
      <c r="B476" s="31">
        <v>1</v>
      </c>
      <c r="C476" s="29" t="str">
        <f>LOOKUP(A476,'QALS - Inspection Lot Record'!$A$2:$A$361,'QALS - Inspection Lot Record'!$O$2:$O$361)</f>
        <v>Metformin Tablets (500 MG)</v>
      </c>
      <c r="D476" s="31">
        <v>30</v>
      </c>
      <c r="E476" s="29" t="s">
        <v>401</v>
      </c>
      <c r="F476" s="29" t="str">
        <f>LOOKUP(A476,'QALS - Inspection Lot Record'!A:A,'QALS - Inspection Lot Record'!G:G)</f>
        <v>YA284176</v>
      </c>
      <c r="G476" s="59">
        <f ca="1">LOOKUP(A476,'QALS - Inspection Lot Record'!A:A,'QALS - Inspection Lot Record'!E:E)</f>
        <v>45899</v>
      </c>
      <c r="H476" s="34" t="str">
        <f t="shared" si="40"/>
        <v>A</v>
      </c>
      <c r="I476" s="29" t="str">
        <f t="shared" si="36"/>
        <v>YA284176</v>
      </c>
      <c r="J476" s="59">
        <f t="shared" ca="1" si="37"/>
        <v>45899</v>
      </c>
      <c r="K476" s="30">
        <f ca="1">LOOKUP(A476,'QALS - Inspection Lot Record'!A:A,'QALS - Inspection Lot Record'!I:I)</f>
        <v>0.18555555555555556</v>
      </c>
      <c r="L476" s="59">
        <f t="shared" ca="1" si="38"/>
        <v>45899</v>
      </c>
      <c r="M476" s="30">
        <f t="shared" ca="1" si="39"/>
        <v>0.22010416666666666</v>
      </c>
      <c r="N476" s="11" t="s">
        <v>402</v>
      </c>
      <c r="O476" s="31"/>
      <c r="P476" s="29"/>
      <c r="Q476" s="29"/>
    </row>
    <row r="477" spans="1:17" x14ac:dyDescent="0.35">
      <c r="A477" s="26">
        <v>40000002560</v>
      </c>
      <c r="B477" s="31">
        <v>1</v>
      </c>
      <c r="C477" s="29" t="str">
        <f>LOOKUP(A477,'QALS - Inspection Lot Record'!$A$2:$A$361,'QALS - Inspection Lot Record'!$O$2:$O$361)</f>
        <v>Metformin Tablets (500 MG)</v>
      </c>
      <c r="D477" s="31">
        <v>40</v>
      </c>
      <c r="E477" s="29" t="s">
        <v>403</v>
      </c>
      <c r="F477" s="29" t="str">
        <f>LOOKUP(A477,'QALS - Inspection Lot Record'!A:A,'QALS - Inspection Lot Record'!G:G)</f>
        <v>YA284176</v>
      </c>
      <c r="G477" s="59">
        <f ca="1">LOOKUP(A477,'QALS - Inspection Lot Record'!A:A,'QALS - Inspection Lot Record'!E:E)</f>
        <v>45899</v>
      </c>
      <c r="H477" s="34" t="str">
        <f t="shared" si="40"/>
        <v>A</v>
      </c>
      <c r="I477" s="29" t="str">
        <f t="shared" si="36"/>
        <v>YA284176</v>
      </c>
      <c r="J477" s="59">
        <f t="shared" ca="1" si="37"/>
        <v>45899</v>
      </c>
      <c r="K477" s="30">
        <f ca="1">LOOKUP(A477,'QALS - Inspection Lot Record'!A:A,'QALS - Inspection Lot Record'!I:I)</f>
        <v>0.18555555555555556</v>
      </c>
      <c r="L477" s="59">
        <f t="shared" ca="1" si="38"/>
        <v>45899</v>
      </c>
      <c r="M477" s="30">
        <f t="shared" ca="1" si="39"/>
        <v>0.21269675925925927</v>
      </c>
      <c r="N477" s="31"/>
      <c r="O477" s="31">
        <v>1.6</v>
      </c>
      <c r="P477" s="29">
        <v>0</v>
      </c>
      <c r="Q477" s="29">
        <v>2</v>
      </c>
    </row>
    <row r="478" spans="1:17" x14ac:dyDescent="0.35">
      <c r="A478" s="26">
        <v>40000002560</v>
      </c>
      <c r="B478" s="31">
        <v>1</v>
      </c>
      <c r="C478" s="29" t="str">
        <f>LOOKUP(A478,'QALS - Inspection Lot Record'!$A$2:$A$361,'QALS - Inspection Lot Record'!$O$2:$O$361)</f>
        <v>Metformin Tablets (500 MG)</v>
      </c>
      <c r="D478" s="31">
        <v>50</v>
      </c>
      <c r="E478" s="29" t="s">
        <v>404</v>
      </c>
      <c r="F478" s="29" t="str">
        <f>LOOKUP(A478,'QALS - Inspection Lot Record'!A:A,'QALS - Inspection Lot Record'!G:G)</f>
        <v>YA284176</v>
      </c>
      <c r="G478" s="59">
        <f ca="1">LOOKUP(A478,'QALS - Inspection Lot Record'!A:A,'QALS - Inspection Lot Record'!E:E)</f>
        <v>45899</v>
      </c>
      <c r="H478" s="34" t="str">
        <f t="shared" si="40"/>
        <v>R</v>
      </c>
      <c r="I478" s="29" t="str">
        <f t="shared" si="36"/>
        <v>YA284176</v>
      </c>
      <c r="J478" s="59">
        <f t="shared" ca="1" si="37"/>
        <v>45899</v>
      </c>
      <c r="K478" s="30">
        <f ca="1">LOOKUP(A478,'QALS - Inspection Lot Record'!A:A,'QALS - Inspection Lot Record'!I:I)</f>
        <v>0.18555555555555556</v>
      </c>
      <c r="L478" s="59">
        <f t="shared" ca="1" si="38"/>
        <v>45899</v>
      </c>
      <c r="M478" s="30">
        <f t="shared" ca="1" si="39"/>
        <v>0.20872685185185186</v>
      </c>
      <c r="N478" s="31"/>
      <c r="O478" s="31">
        <v>38.4</v>
      </c>
      <c r="P478" s="29">
        <v>40</v>
      </c>
      <c r="Q478" s="29">
        <v>60</v>
      </c>
    </row>
    <row r="479" spans="1:17" x14ac:dyDescent="0.35">
      <c r="A479" s="26">
        <v>40000002560</v>
      </c>
      <c r="B479" s="31">
        <v>1</v>
      </c>
      <c r="C479" s="29" t="str">
        <f>LOOKUP(A479,'QALS - Inspection Lot Record'!$A$2:$A$361,'QALS - Inspection Lot Record'!$O$2:$O$361)</f>
        <v>Metformin Tablets (500 MG)</v>
      </c>
      <c r="D479" s="31">
        <v>60</v>
      </c>
      <c r="E479" s="29" t="s">
        <v>405</v>
      </c>
      <c r="F479" s="29" t="str">
        <f>LOOKUP(A479,'QALS - Inspection Lot Record'!A:A,'QALS - Inspection Lot Record'!G:G)</f>
        <v>YA284176</v>
      </c>
      <c r="G479" s="59">
        <f ca="1">LOOKUP(A479,'QALS - Inspection Lot Record'!A:A,'QALS - Inspection Lot Record'!E:E)</f>
        <v>45899</v>
      </c>
      <c r="H479" s="34" t="str">
        <f t="shared" si="40"/>
        <v>A</v>
      </c>
      <c r="I479" s="29" t="str">
        <f t="shared" si="36"/>
        <v>YA284176</v>
      </c>
      <c r="J479" s="59">
        <f t="shared" ca="1" si="37"/>
        <v>45899</v>
      </c>
      <c r="K479" s="30">
        <f ca="1">LOOKUP(A479,'QALS - Inspection Lot Record'!A:A,'QALS - Inspection Lot Record'!I:I)</f>
        <v>0.18555555555555556</v>
      </c>
      <c r="L479" s="59">
        <f t="shared" ca="1" si="38"/>
        <v>45899</v>
      </c>
      <c r="M479" s="30">
        <f t="shared" ca="1" si="39"/>
        <v>0.21475694444444443</v>
      </c>
      <c r="N479" s="31"/>
      <c r="O479" s="31">
        <v>75</v>
      </c>
      <c r="P479" s="29">
        <v>70</v>
      </c>
      <c r="Q479" s="29">
        <v>85</v>
      </c>
    </row>
    <row r="480" spans="1:17" x14ac:dyDescent="0.35">
      <c r="A480" s="26">
        <v>40000002560</v>
      </c>
      <c r="B480" s="31">
        <v>1</v>
      </c>
      <c r="C480" s="29" t="str">
        <f>LOOKUP(A480,'QALS - Inspection Lot Record'!$A$2:$A$361,'QALS - Inspection Lot Record'!$O$2:$O$361)</f>
        <v>Metformin Tablets (500 MG)</v>
      </c>
      <c r="D480" s="31">
        <v>70</v>
      </c>
      <c r="E480" s="29" t="s">
        <v>406</v>
      </c>
      <c r="F480" s="29" t="str">
        <f>LOOKUP(A480,'QALS - Inspection Lot Record'!A:A,'QALS - Inspection Lot Record'!G:G)</f>
        <v>YA284176</v>
      </c>
      <c r="G480" s="59">
        <f ca="1">LOOKUP(A480,'QALS - Inspection Lot Record'!A:A,'QALS - Inspection Lot Record'!E:E)</f>
        <v>45899</v>
      </c>
      <c r="H480" s="34" t="str">
        <f t="shared" si="40"/>
        <v>R</v>
      </c>
      <c r="I480" s="29" t="str">
        <f t="shared" si="36"/>
        <v>YA284176</v>
      </c>
      <c r="J480" s="59">
        <f t="shared" ca="1" si="37"/>
        <v>45899</v>
      </c>
      <c r="K480" s="30">
        <f ca="1">LOOKUP(A480,'QALS - Inspection Lot Record'!A:A,'QALS - Inspection Lot Record'!I:I)</f>
        <v>0.18555555555555556</v>
      </c>
      <c r="L480" s="59">
        <f t="shared" ca="1" si="38"/>
        <v>45899</v>
      </c>
      <c r="M480" s="30">
        <f t="shared" ca="1" si="39"/>
        <v>0.21310185185185185</v>
      </c>
      <c r="N480" s="31"/>
      <c r="O480" s="31">
        <v>78.5</v>
      </c>
      <c r="P480" s="29">
        <v>80</v>
      </c>
      <c r="Q480" s="29">
        <v>90</v>
      </c>
    </row>
    <row r="481" spans="1:17" x14ac:dyDescent="0.35">
      <c r="A481" s="26">
        <v>40000002560</v>
      </c>
      <c r="B481" s="31">
        <v>1</v>
      </c>
      <c r="C481" s="29" t="str">
        <f>LOOKUP(A481,'QALS - Inspection Lot Record'!$A$2:$A$361,'QALS - Inspection Lot Record'!$O$2:$O$361)</f>
        <v>Metformin Tablets (500 MG)</v>
      </c>
      <c r="D481" s="31">
        <v>80</v>
      </c>
      <c r="E481" s="29" t="s">
        <v>407</v>
      </c>
      <c r="F481" s="29" t="str">
        <f>LOOKUP(A481,'QALS - Inspection Lot Record'!A:A,'QALS - Inspection Lot Record'!G:G)</f>
        <v>YA284176</v>
      </c>
      <c r="G481" s="59">
        <f ca="1">LOOKUP(A481,'QALS - Inspection Lot Record'!A:A,'QALS - Inspection Lot Record'!E:E)</f>
        <v>45899</v>
      </c>
      <c r="H481" s="34" t="str">
        <f t="shared" si="40"/>
        <v>A</v>
      </c>
      <c r="I481" s="29" t="str">
        <f t="shared" si="36"/>
        <v>YA284176</v>
      </c>
      <c r="J481" s="59">
        <f t="shared" ca="1" si="37"/>
        <v>45899</v>
      </c>
      <c r="K481" s="30">
        <f ca="1">LOOKUP(A481,'QALS - Inspection Lot Record'!A:A,'QALS - Inspection Lot Record'!I:I)</f>
        <v>0.18555555555555556</v>
      </c>
      <c r="L481" s="59">
        <f t="shared" ca="1" si="38"/>
        <v>45899</v>
      </c>
      <c r="M481" s="30">
        <f t="shared" ca="1" si="39"/>
        <v>0.21163194444444444</v>
      </c>
      <c r="N481" s="31"/>
      <c r="O481" s="31">
        <v>24</v>
      </c>
      <c r="P481" s="29">
        <v>23</v>
      </c>
      <c r="Q481" s="29">
        <v>28</v>
      </c>
    </row>
    <row r="482" spans="1:17" x14ac:dyDescent="0.35">
      <c r="A482" s="26">
        <v>40000002561</v>
      </c>
      <c r="B482" s="27">
        <v>1</v>
      </c>
      <c r="C482" s="29" t="str">
        <f>LOOKUP(A482,'QALS - Inspection Lot Record'!$A$2:$A$361,'QALS - Inspection Lot Record'!$O$2:$O$361)</f>
        <v>Metformin Tablets (100 MG)</v>
      </c>
      <c r="D482" s="27">
        <v>10</v>
      </c>
      <c r="E482" s="26" t="s">
        <v>399</v>
      </c>
      <c r="F482" s="29" t="str">
        <f>LOOKUP(A482,'QALS - Inspection Lot Record'!A:A,'QALS - Inspection Lot Record'!G:G)</f>
        <v>ZK384180</v>
      </c>
      <c r="G482" s="59">
        <f ca="1">LOOKUP(A482,'QALS - Inspection Lot Record'!A:A,'QALS - Inspection Lot Record'!E:E)</f>
        <v>45900</v>
      </c>
      <c r="H482" s="34" t="str">
        <f t="shared" si="40"/>
        <v>A</v>
      </c>
      <c r="I482" s="29" t="str">
        <f t="shared" si="36"/>
        <v>ZK384180</v>
      </c>
      <c r="J482" s="59">
        <f t="shared" ca="1" si="37"/>
        <v>45900</v>
      </c>
      <c r="K482" s="30">
        <f ca="1">LOOKUP(A482,'QALS - Inspection Lot Record'!A:A,'QALS - Inspection Lot Record'!I:I)</f>
        <v>0.94119212962962961</v>
      </c>
      <c r="L482" s="59">
        <f t="shared" ca="1" si="38"/>
        <v>45900</v>
      </c>
      <c r="M482" s="30">
        <f t="shared" ca="1" si="39"/>
        <v>0.9677662037037037</v>
      </c>
      <c r="N482" s="31"/>
      <c r="O482" s="31">
        <v>98.5</v>
      </c>
      <c r="P482" s="29">
        <v>95</v>
      </c>
      <c r="Q482" s="29">
        <v>102</v>
      </c>
    </row>
    <row r="483" spans="1:17" x14ac:dyDescent="0.35">
      <c r="A483" s="26">
        <v>40000002561</v>
      </c>
      <c r="B483" s="27">
        <v>1</v>
      </c>
      <c r="C483" s="29" t="str">
        <f>LOOKUP(A483,'QALS - Inspection Lot Record'!$A$2:$A$361,'QALS - Inspection Lot Record'!$O$2:$O$361)</f>
        <v>Metformin Tablets (100 MG)</v>
      </c>
      <c r="D483" s="31">
        <v>20</v>
      </c>
      <c r="E483" s="29" t="s">
        <v>400</v>
      </c>
      <c r="F483" s="29" t="str">
        <f>LOOKUP(A483,'QALS - Inspection Lot Record'!A:A,'QALS - Inspection Lot Record'!G:G)</f>
        <v>ZK384180</v>
      </c>
      <c r="G483" s="59">
        <f ca="1">LOOKUP(A483,'QALS - Inspection Lot Record'!A:A,'QALS - Inspection Lot Record'!E:E)</f>
        <v>45900</v>
      </c>
      <c r="H483" s="34" t="str">
        <f t="shared" si="40"/>
        <v>R</v>
      </c>
      <c r="I483" s="29" t="str">
        <f t="shared" si="36"/>
        <v>ZK384180</v>
      </c>
      <c r="J483" s="59">
        <f t="shared" ca="1" si="37"/>
        <v>45900</v>
      </c>
      <c r="K483" s="30">
        <f ca="1">LOOKUP(A483,'QALS - Inspection Lot Record'!A:A,'QALS - Inspection Lot Record'!I:I)</f>
        <v>0.94119212962962961</v>
      </c>
      <c r="L483" s="59">
        <f t="shared" ca="1" si="38"/>
        <v>45900</v>
      </c>
      <c r="M483" s="30">
        <f t="shared" ca="1" si="39"/>
        <v>0.97219907407407402</v>
      </c>
      <c r="N483" s="31"/>
      <c r="O483" s="31">
        <v>1.7</v>
      </c>
      <c r="P483" s="29">
        <v>3.5</v>
      </c>
      <c r="Q483" s="29">
        <v>11</v>
      </c>
    </row>
    <row r="484" spans="1:17" x14ac:dyDescent="0.35">
      <c r="A484" s="26">
        <v>40000002561</v>
      </c>
      <c r="B484" s="31">
        <v>1</v>
      </c>
      <c r="C484" s="29" t="str">
        <f>LOOKUP(A484,'QALS - Inspection Lot Record'!$A$2:$A$361,'QALS - Inspection Lot Record'!$O$2:$O$361)</f>
        <v>Metformin Tablets (100 MG)</v>
      </c>
      <c r="D484" s="31">
        <v>30</v>
      </c>
      <c r="E484" s="29" t="s">
        <v>401</v>
      </c>
      <c r="F484" s="29" t="str">
        <f>LOOKUP(A484,'QALS - Inspection Lot Record'!A:A,'QALS - Inspection Lot Record'!G:G)</f>
        <v>ZK384180</v>
      </c>
      <c r="G484" s="59">
        <f ca="1">LOOKUP(A484,'QALS - Inspection Lot Record'!A:A,'QALS - Inspection Lot Record'!E:E)</f>
        <v>45900</v>
      </c>
      <c r="H484" s="34" t="str">
        <f t="shared" si="40"/>
        <v>A</v>
      </c>
      <c r="I484" s="29" t="str">
        <f t="shared" si="36"/>
        <v>ZK384180</v>
      </c>
      <c r="J484" s="59">
        <f t="shared" ca="1" si="37"/>
        <v>45900</v>
      </c>
      <c r="K484" s="30">
        <f ca="1">LOOKUP(A484,'QALS - Inspection Lot Record'!A:A,'QALS - Inspection Lot Record'!I:I)</f>
        <v>0.94119212962962961</v>
      </c>
      <c r="L484" s="59">
        <f t="shared" ca="1" si="38"/>
        <v>45900</v>
      </c>
      <c r="M484" s="30">
        <f t="shared" ca="1" si="39"/>
        <v>0.9701157407407407</v>
      </c>
      <c r="N484" s="11" t="s">
        <v>402</v>
      </c>
      <c r="O484" s="31"/>
      <c r="P484" s="29"/>
      <c r="Q484" s="29"/>
    </row>
    <row r="485" spans="1:17" x14ac:dyDescent="0.35">
      <c r="A485" s="26">
        <v>40000002561</v>
      </c>
      <c r="B485" s="31">
        <v>1</v>
      </c>
      <c r="C485" s="29" t="str">
        <f>LOOKUP(A485,'QALS - Inspection Lot Record'!$A$2:$A$361,'QALS - Inspection Lot Record'!$O$2:$O$361)</f>
        <v>Metformin Tablets (100 MG)</v>
      </c>
      <c r="D485" s="31">
        <v>40</v>
      </c>
      <c r="E485" s="29" t="s">
        <v>403</v>
      </c>
      <c r="F485" s="29" t="str">
        <f>LOOKUP(A485,'QALS - Inspection Lot Record'!A:A,'QALS - Inspection Lot Record'!G:G)</f>
        <v>ZK384180</v>
      </c>
      <c r="G485" s="59">
        <f ca="1">LOOKUP(A485,'QALS - Inspection Lot Record'!A:A,'QALS - Inspection Lot Record'!E:E)</f>
        <v>45900</v>
      </c>
      <c r="H485" s="34" t="str">
        <f t="shared" si="40"/>
        <v>A</v>
      </c>
      <c r="I485" s="29" t="str">
        <f t="shared" si="36"/>
        <v>ZK384180</v>
      </c>
      <c r="J485" s="59">
        <f t="shared" ca="1" si="37"/>
        <v>45900</v>
      </c>
      <c r="K485" s="30">
        <f ca="1">LOOKUP(A485,'QALS - Inspection Lot Record'!A:A,'QALS - Inspection Lot Record'!I:I)</f>
        <v>0.94119212962962961</v>
      </c>
      <c r="L485" s="59">
        <f t="shared" ca="1" si="38"/>
        <v>45900</v>
      </c>
      <c r="M485" s="30">
        <f t="shared" ca="1" si="39"/>
        <v>0.96155092592592595</v>
      </c>
      <c r="N485" s="31"/>
      <c r="O485" s="31">
        <v>0</v>
      </c>
      <c r="P485" s="29">
        <v>0</v>
      </c>
      <c r="Q485" s="29">
        <v>1</v>
      </c>
    </row>
    <row r="486" spans="1:17" x14ac:dyDescent="0.35">
      <c r="A486" s="26">
        <v>40000002561</v>
      </c>
      <c r="B486" s="31">
        <v>1</v>
      </c>
      <c r="C486" s="29" t="str">
        <f>LOOKUP(A486,'QALS - Inspection Lot Record'!$A$2:$A$361,'QALS - Inspection Lot Record'!$O$2:$O$361)</f>
        <v>Metformin Tablets (100 MG)</v>
      </c>
      <c r="D486" s="31">
        <v>50</v>
      </c>
      <c r="E486" s="29" t="s">
        <v>404</v>
      </c>
      <c r="F486" s="29" t="str">
        <f>LOOKUP(A486,'QALS - Inspection Lot Record'!A:A,'QALS - Inspection Lot Record'!G:G)</f>
        <v>ZK384180</v>
      </c>
      <c r="G486" s="59">
        <f ca="1">LOOKUP(A486,'QALS - Inspection Lot Record'!A:A,'QALS - Inspection Lot Record'!E:E)</f>
        <v>45900</v>
      </c>
      <c r="H486" s="34" t="str">
        <f t="shared" si="40"/>
        <v>A</v>
      </c>
      <c r="I486" s="29" t="str">
        <f t="shared" si="36"/>
        <v>ZK384180</v>
      </c>
      <c r="J486" s="59">
        <f t="shared" ca="1" si="37"/>
        <v>45900</v>
      </c>
      <c r="K486" s="30">
        <f ca="1">LOOKUP(A486,'QALS - Inspection Lot Record'!A:A,'QALS - Inspection Lot Record'!I:I)</f>
        <v>0.94119212962962961</v>
      </c>
      <c r="L486" s="59">
        <f t="shared" ca="1" si="38"/>
        <v>45900</v>
      </c>
      <c r="M486" s="30">
        <f t="shared" ca="1" si="39"/>
        <v>0.96991898148148148</v>
      </c>
      <c r="N486" s="31"/>
      <c r="O486" s="31">
        <v>50</v>
      </c>
      <c r="P486" s="29">
        <v>40</v>
      </c>
      <c r="Q486" s="29">
        <v>60</v>
      </c>
    </row>
    <row r="487" spans="1:17" x14ac:dyDescent="0.35">
      <c r="A487" s="26">
        <v>40000002561</v>
      </c>
      <c r="B487" s="31">
        <v>1</v>
      </c>
      <c r="C487" s="29" t="str">
        <f>LOOKUP(A487,'QALS - Inspection Lot Record'!$A$2:$A$361,'QALS - Inspection Lot Record'!$O$2:$O$361)</f>
        <v>Metformin Tablets (100 MG)</v>
      </c>
      <c r="D487" s="31">
        <v>60</v>
      </c>
      <c r="E487" s="29" t="s">
        <v>405</v>
      </c>
      <c r="F487" s="29" t="str">
        <f>LOOKUP(A487,'QALS - Inspection Lot Record'!A:A,'QALS - Inspection Lot Record'!G:G)</f>
        <v>ZK384180</v>
      </c>
      <c r="G487" s="59">
        <f ca="1">LOOKUP(A487,'QALS - Inspection Lot Record'!A:A,'QALS - Inspection Lot Record'!E:E)</f>
        <v>45900</v>
      </c>
      <c r="H487" s="34" t="str">
        <f t="shared" si="40"/>
        <v>A</v>
      </c>
      <c r="I487" s="29" t="str">
        <f t="shared" si="36"/>
        <v>ZK384180</v>
      </c>
      <c r="J487" s="59">
        <f t="shared" ca="1" si="37"/>
        <v>45900</v>
      </c>
      <c r="K487" s="30">
        <f ca="1">LOOKUP(A487,'QALS - Inspection Lot Record'!A:A,'QALS - Inspection Lot Record'!I:I)</f>
        <v>0.94119212962962961</v>
      </c>
      <c r="L487" s="59">
        <f t="shared" ca="1" si="38"/>
        <v>45900</v>
      </c>
      <c r="M487" s="30">
        <f t="shared" ca="1" si="39"/>
        <v>0.97651620370370373</v>
      </c>
      <c r="N487" s="31"/>
      <c r="O487" s="31">
        <v>77.5</v>
      </c>
      <c r="P487" s="29">
        <v>70</v>
      </c>
      <c r="Q487" s="29">
        <v>85</v>
      </c>
    </row>
    <row r="488" spans="1:17" x14ac:dyDescent="0.35">
      <c r="A488" s="26">
        <v>40000002561</v>
      </c>
      <c r="B488" s="31">
        <v>1</v>
      </c>
      <c r="C488" s="29" t="str">
        <f>LOOKUP(A488,'QALS - Inspection Lot Record'!$A$2:$A$361,'QALS - Inspection Lot Record'!$O$2:$O$361)</f>
        <v>Metformin Tablets (100 MG)</v>
      </c>
      <c r="D488" s="31">
        <v>70</v>
      </c>
      <c r="E488" s="29" t="s">
        <v>406</v>
      </c>
      <c r="F488" s="29" t="str">
        <f>LOOKUP(A488,'QALS - Inspection Lot Record'!A:A,'QALS - Inspection Lot Record'!G:G)</f>
        <v>ZK384180</v>
      </c>
      <c r="G488" s="59">
        <f ca="1">LOOKUP(A488,'QALS - Inspection Lot Record'!A:A,'QALS - Inspection Lot Record'!E:E)</f>
        <v>45900</v>
      </c>
      <c r="H488" s="34" t="str">
        <f t="shared" si="40"/>
        <v>R</v>
      </c>
      <c r="I488" s="29" t="str">
        <f t="shared" si="36"/>
        <v>ZK384180</v>
      </c>
      <c r="J488" s="59">
        <f t="shared" ca="1" si="37"/>
        <v>45900</v>
      </c>
      <c r="K488" s="30">
        <f ca="1">LOOKUP(A488,'QALS - Inspection Lot Record'!A:A,'QALS - Inspection Lot Record'!I:I)</f>
        <v>0.94119212962962961</v>
      </c>
      <c r="L488" s="59">
        <f t="shared" ca="1" si="38"/>
        <v>45900</v>
      </c>
      <c r="M488" s="30">
        <f t="shared" ca="1" si="39"/>
        <v>0.96633101851851855</v>
      </c>
      <c r="N488" s="31"/>
      <c r="O488" s="31">
        <v>78.3</v>
      </c>
      <c r="P488" s="29">
        <v>80</v>
      </c>
      <c r="Q488" s="29">
        <v>90</v>
      </c>
    </row>
    <row r="489" spans="1:17" x14ac:dyDescent="0.35">
      <c r="A489" s="26">
        <v>40000002561</v>
      </c>
      <c r="B489" s="31">
        <v>1</v>
      </c>
      <c r="C489" s="29" t="str">
        <f>LOOKUP(A489,'QALS - Inspection Lot Record'!$A$2:$A$361,'QALS - Inspection Lot Record'!$O$2:$O$361)</f>
        <v>Metformin Tablets (100 MG)</v>
      </c>
      <c r="D489" s="31">
        <v>80</v>
      </c>
      <c r="E489" s="29" t="s">
        <v>407</v>
      </c>
      <c r="F489" s="29" t="str">
        <f>LOOKUP(A489,'QALS - Inspection Lot Record'!A:A,'QALS - Inspection Lot Record'!G:G)</f>
        <v>ZK384180</v>
      </c>
      <c r="G489" s="59">
        <f ca="1">LOOKUP(A489,'QALS - Inspection Lot Record'!A:A,'QALS - Inspection Lot Record'!E:E)</f>
        <v>45900</v>
      </c>
      <c r="H489" s="34" t="str">
        <f t="shared" si="40"/>
        <v>A</v>
      </c>
      <c r="I489" s="29" t="str">
        <f t="shared" si="36"/>
        <v>ZK384180</v>
      </c>
      <c r="J489" s="59">
        <f t="shared" ca="1" si="37"/>
        <v>45900</v>
      </c>
      <c r="K489" s="30">
        <f ca="1">LOOKUP(A489,'QALS - Inspection Lot Record'!A:A,'QALS - Inspection Lot Record'!I:I)</f>
        <v>0.94119212962962961</v>
      </c>
      <c r="L489" s="59">
        <f t="shared" ca="1" si="38"/>
        <v>45900</v>
      </c>
      <c r="M489" s="30">
        <f t="shared" ca="1" si="39"/>
        <v>0.96638888888888885</v>
      </c>
      <c r="N489" s="31"/>
      <c r="O489" s="31">
        <v>24</v>
      </c>
      <c r="P489" s="29">
        <v>23</v>
      </c>
      <c r="Q489" s="29">
        <v>25</v>
      </c>
    </row>
    <row r="490" spans="1:17" x14ac:dyDescent="0.35">
      <c r="A490" s="26">
        <v>40000002562</v>
      </c>
      <c r="B490" s="27">
        <v>1</v>
      </c>
      <c r="C490" s="29" t="str">
        <f>LOOKUP(A490,'QALS - Inspection Lot Record'!$A$2:$A$361,'QALS - Inspection Lot Record'!$O$2:$O$361)</f>
        <v>Metformin Tablets (500 MG)</v>
      </c>
      <c r="D490" s="27">
        <v>10</v>
      </c>
      <c r="E490" s="26" t="s">
        <v>399</v>
      </c>
      <c r="F490" s="29" t="str">
        <f>LOOKUP(A490,'QALS - Inspection Lot Record'!A:A,'QALS - Inspection Lot Record'!G:G)</f>
        <v>GC197258</v>
      </c>
      <c r="G490" s="59">
        <f ca="1">LOOKUP(A490,'QALS - Inspection Lot Record'!A:A,'QALS - Inspection Lot Record'!E:E)</f>
        <v>45900</v>
      </c>
      <c r="H490" s="34" t="str">
        <f t="shared" si="40"/>
        <v>R</v>
      </c>
      <c r="I490" s="29" t="str">
        <f t="shared" si="36"/>
        <v>GC197258</v>
      </c>
      <c r="J490" s="59">
        <f t="shared" ca="1" si="37"/>
        <v>45900</v>
      </c>
      <c r="K490" s="30">
        <f ca="1">LOOKUP(A490,'QALS - Inspection Lot Record'!A:A,'QALS - Inspection Lot Record'!I:I)</f>
        <v>0.17807870370370371</v>
      </c>
      <c r="L490" s="59">
        <f t="shared" ca="1" si="38"/>
        <v>45900</v>
      </c>
      <c r="M490" s="30">
        <f t="shared" ca="1" si="39"/>
        <v>0.21212962962962964</v>
      </c>
      <c r="N490" s="31"/>
      <c r="O490" s="31">
        <v>93.8</v>
      </c>
      <c r="P490" s="29">
        <v>95</v>
      </c>
      <c r="Q490" s="29">
        <v>105</v>
      </c>
    </row>
    <row r="491" spans="1:17" x14ac:dyDescent="0.35">
      <c r="A491" s="26">
        <v>40000002562</v>
      </c>
      <c r="B491" s="27">
        <v>1</v>
      </c>
      <c r="C491" s="29" t="str">
        <f>LOOKUP(A491,'QALS - Inspection Lot Record'!$A$2:$A$361,'QALS - Inspection Lot Record'!$O$2:$O$361)</f>
        <v>Metformin Tablets (500 MG)</v>
      </c>
      <c r="D491" s="31">
        <v>20</v>
      </c>
      <c r="E491" s="29" t="s">
        <v>400</v>
      </c>
      <c r="F491" s="29" t="str">
        <f>LOOKUP(A491,'QALS - Inspection Lot Record'!A:A,'QALS - Inspection Lot Record'!G:G)</f>
        <v>GC197258</v>
      </c>
      <c r="G491" s="59">
        <f ca="1">LOOKUP(A491,'QALS - Inspection Lot Record'!A:A,'QALS - Inspection Lot Record'!E:E)</f>
        <v>45900</v>
      </c>
      <c r="H491" s="34" t="str">
        <f t="shared" si="40"/>
        <v>A</v>
      </c>
      <c r="I491" s="29" t="str">
        <f t="shared" si="36"/>
        <v>GC197258</v>
      </c>
      <c r="J491" s="59">
        <f t="shared" ca="1" si="37"/>
        <v>45900</v>
      </c>
      <c r="K491" s="30">
        <f ca="1">LOOKUP(A491,'QALS - Inspection Lot Record'!A:A,'QALS - Inspection Lot Record'!I:I)</f>
        <v>0.17807870370370371</v>
      </c>
      <c r="L491" s="59">
        <f t="shared" ca="1" si="38"/>
        <v>45900</v>
      </c>
      <c r="M491" s="30">
        <f t="shared" ca="1" si="39"/>
        <v>0.20586805555555557</v>
      </c>
      <c r="N491" s="31"/>
      <c r="O491" s="31">
        <v>7.25</v>
      </c>
      <c r="P491" s="29">
        <v>3.5</v>
      </c>
      <c r="Q491" s="29">
        <v>11</v>
      </c>
    </row>
    <row r="492" spans="1:17" x14ac:dyDescent="0.35">
      <c r="A492" s="26">
        <v>40000002562</v>
      </c>
      <c r="B492" s="31">
        <v>1</v>
      </c>
      <c r="C492" s="29" t="str">
        <f>LOOKUP(A492,'QALS - Inspection Lot Record'!$A$2:$A$361,'QALS - Inspection Lot Record'!$O$2:$O$361)</f>
        <v>Metformin Tablets (500 MG)</v>
      </c>
      <c r="D492" s="31">
        <v>30</v>
      </c>
      <c r="E492" s="29" t="s">
        <v>401</v>
      </c>
      <c r="F492" s="29" t="str">
        <f>LOOKUP(A492,'QALS - Inspection Lot Record'!A:A,'QALS - Inspection Lot Record'!G:G)</f>
        <v>GC197258</v>
      </c>
      <c r="G492" s="59">
        <f ca="1">LOOKUP(A492,'QALS - Inspection Lot Record'!A:A,'QALS - Inspection Lot Record'!E:E)</f>
        <v>45900</v>
      </c>
      <c r="H492" s="34" t="str">
        <f t="shared" si="40"/>
        <v>A</v>
      </c>
      <c r="I492" s="29" t="str">
        <f t="shared" si="36"/>
        <v>GC197258</v>
      </c>
      <c r="J492" s="59">
        <f t="shared" ca="1" si="37"/>
        <v>45900</v>
      </c>
      <c r="K492" s="30">
        <f ca="1">LOOKUP(A492,'QALS - Inspection Lot Record'!A:A,'QALS - Inspection Lot Record'!I:I)</f>
        <v>0.17807870370370371</v>
      </c>
      <c r="L492" s="59">
        <f t="shared" ca="1" si="38"/>
        <v>45900</v>
      </c>
      <c r="M492" s="30">
        <f t="shared" ca="1" si="39"/>
        <v>0.19594907407407408</v>
      </c>
      <c r="N492" s="11" t="s">
        <v>402</v>
      </c>
      <c r="O492" s="31"/>
      <c r="P492" s="29"/>
      <c r="Q492" s="29"/>
    </row>
    <row r="493" spans="1:17" x14ac:dyDescent="0.35">
      <c r="A493" s="26">
        <v>40000002562</v>
      </c>
      <c r="B493" s="31">
        <v>1</v>
      </c>
      <c r="C493" s="29" t="str">
        <f>LOOKUP(A493,'QALS - Inspection Lot Record'!$A$2:$A$361,'QALS - Inspection Lot Record'!$O$2:$O$361)</f>
        <v>Metformin Tablets (500 MG)</v>
      </c>
      <c r="D493" s="31">
        <v>40</v>
      </c>
      <c r="E493" s="29" t="s">
        <v>403</v>
      </c>
      <c r="F493" s="29" t="str">
        <f>LOOKUP(A493,'QALS - Inspection Lot Record'!A:A,'QALS - Inspection Lot Record'!G:G)</f>
        <v>GC197258</v>
      </c>
      <c r="G493" s="59">
        <f ca="1">LOOKUP(A493,'QALS - Inspection Lot Record'!A:A,'QALS - Inspection Lot Record'!E:E)</f>
        <v>45900</v>
      </c>
      <c r="H493" s="34" t="str">
        <f t="shared" si="40"/>
        <v>A</v>
      </c>
      <c r="I493" s="29" t="str">
        <f t="shared" si="36"/>
        <v>GC197258</v>
      </c>
      <c r="J493" s="59">
        <f t="shared" ca="1" si="37"/>
        <v>45900</v>
      </c>
      <c r="K493" s="30">
        <f ca="1">LOOKUP(A493,'QALS - Inspection Lot Record'!A:A,'QALS - Inspection Lot Record'!I:I)</f>
        <v>0.17807870370370371</v>
      </c>
      <c r="L493" s="59">
        <f t="shared" ca="1" si="38"/>
        <v>45900</v>
      </c>
      <c r="M493" s="30">
        <f t="shared" ca="1" si="39"/>
        <v>0.20256944444444444</v>
      </c>
      <c r="N493" s="31"/>
      <c r="O493" s="31">
        <v>0</v>
      </c>
      <c r="P493" s="29">
        <v>0</v>
      </c>
      <c r="Q493" s="29">
        <v>2</v>
      </c>
    </row>
    <row r="494" spans="1:17" x14ac:dyDescent="0.35">
      <c r="A494" s="26">
        <v>40000002562</v>
      </c>
      <c r="B494" s="31">
        <v>1</v>
      </c>
      <c r="C494" s="29" t="str">
        <f>LOOKUP(A494,'QALS - Inspection Lot Record'!$A$2:$A$361,'QALS - Inspection Lot Record'!$O$2:$O$361)</f>
        <v>Metformin Tablets (500 MG)</v>
      </c>
      <c r="D494" s="31">
        <v>50</v>
      </c>
      <c r="E494" s="29" t="s">
        <v>404</v>
      </c>
      <c r="F494" s="29" t="str">
        <f>LOOKUP(A494,'QALS - Inspection Lot Record'!A:A,'QALS - Inspection Lot Record'!G:G)</f>
        <v>GC197258</v>
      </c>
      <c r="G494" s="59">
        <f ca="1">LOOKUP(A494,'QALS - Inspection Lot Record'!A:A,'QALS - Inspection Lot Record'!E:E)</f>
        <v>45900</v>
      </c>
      <c r="H494" s="34" t="str">
        <f t="shared" si="40"/>
        <v>A</v>
      </c>
      <c r="I494" s="29" t="str">
        <f t="shared" si="36"/>
        <v>GC197258</v>
      </c>
      <c r="J494" s="59">
        <f t="shared" ca="1" si="37"/>
        <v>45900</v>
      </c>
      <c r="K494" s="30">
        <f ca="1">LOOKUP(A494,'QALS - Inspection Lot Record'!A:A,'QALS - Inspection Lot Record'!I:I)</f>
        <v>0.17807870370370371</v>
      </c>
      <c r="L494" s="59">
        <f t="shared" ca="1" si="38"/>
        <v>45900</v>
      </c>
      <c r="M494" s="30">
        <f t="shared" ca="1" si="39"/>
        <v>0.19841435185185186</v>
      </c>
      <c r="N494" s="31"/>
      <c r="O494" s="31">
        <v>50</v>
      </c>
      <c r="P494" s="29">
        <v>40</v>
      </c>
      <c r="Q494" s="29">
        <v>60</v>
      </c>
    </row>
    <row r="495" spans="1:17" x14ac:dyDescent="0.35">
      <c r="A495" s="26">
        <v>40000002562</v>
      </c>
      <c r="B495" s="31">
        <v>1</v>
      </c>
      <c r="C495" s="29" t="str">
        <f>LOOKUP(A495,'QALS - Inspection Lot Record'!$A$2:$A$361,'QALS - Inspection Lot Record'!$O$2:$O$361)</f>
        <v>Metformin Tablets (500 MG)</v>
      </c>
      <c r="D495" s="31">
        <v>60</v>
      </c>
      <c r="E495" s="29" t="s">
        <v>405</v>
      </c>
      <c r="F495" s="29" t="str">
        <f>LOOKUP(A495,'QALS - Inspection Lot Record'!A:A,'QALS - Inspection Lot Record'!G:G)</f>
        <v>GC197258</v>
      </c>
      <c r="G495" s="59">
        <f ca="1">LOOKUP(A495,'QALS - Inspection Lot Record'!A:A,'QALS - Inspection Lot Record'!E:E)</f>
        <v>45900</v>
      </c>
      <c r="H495" s="34" t="str">
        <f t="shared" si="40"/>
        <v>A</v>
      </c>
      <c r="I495" s="29" t="str">
        <f t="shared" si="36"/>
        <v>GC197258</v>
      </c>
      <c r="J495" s="59">
        <f t="shared" ca="1" si="37"/>
        <v>45900</v>
      </c>
      <c r="K495" s="30">
        <f ca="1">LOOKUP(A495,'QALS - Inspection Lot Record'!A:A,'QALS - Inspection Lot Record'!I:I)</f>
        <v>0.17807870370370371</v>
      </c>
      <c r="L495" s="59">
        <f t="shared" ca="1" si="38"/>
        <v>45900</v>
      </c>
      <c r="M495" s="30">
        <f t="shared" ca="1" si="39"/>
        <v>0.20490740740740743</v>
      </c>
      <c r="N495" s="31"/>
      <c r="O495" s="31">
        <v>77.5</v>
      </c>
      <c r="P495" s="29">
        <v>70</v>
      </c>
      <c r="Q495" s="29">
        <v>85</v>
      </c>
    </row>
    <row r="496" spans="1:17" x14ac:dyDescent="0.35">
      <c r="A496" s="26">
        <v>40000002562</v>
      </c>
      <c r="B496" s="31">
        <v>1</v>
      </c>
      <c r="C496" s="29" t="str">
        <f>LOOKUP(A496,'QALS - Inspection Lot Record'!$A$2:$A$361,'QALS - Inspection Lot Record'!$O$2:$O$361)</f>
        <v>Metformin Tablets (500 MG)</v>
      </c>
      <c r="D496" s="31">
        <v>70</v>
      </c>
      <c r="E496" s="29" t="s">
        <v>406</v>
      </c>
      <c r="F496" s="29" t="str">
        <f>LOOKUP(A496,'QALS - Inspection Lot Record'!A:A,'QALS - Inspection Lot Record'!G:G)</f>
        <v>GC197258</v>
      </c>
      <c r="G496" s="59">
        <f ca="1">LOOKUP(A496,'QALS - Inspection Lot Record'!A:A,'QALS - Inspection Lot Record'!E:E)</f>
        <v>45900</v>
      </c>
      <c r="H496" s="34" t="str">
        <f t="shared" si="40"/>
        <v>R</v>
      </c>
      <c r="I496" s="29" t="str">
        <f t="shared" si="36"/>
        <v>GC197258</v>
      </c>
      <c r="J496" s="59">
        <f t="shared" ca="1" si="37"/>
        <v>45900</v>
      </c>
      <c r="K496" s="30">
        <f ca="1">LOOKUP(A496,'QALS - Inspection Lot Record'!A:A,'QALS - Inspection Lot Record'!I:I)</f>
        <v>0.17807870370370371</v>
      </c>
      <c r="L496" s="59">
        <f t="shared" ca="1" si="38"/>
        <v>45900</v>
      </c>
      <c r="M496" s="30">
        <f t="shared" ca="1" si="39"/>
        <v>0.20908564814814815</v>
      </c>
      <c r="N496" s="31"/>
      <c r="O496" s="31">
        <v>79</v>
      </c>
      <c r="P496" s="29">
        <v>80</v>
      </c>
      <c r="Q496" s="29">
        <v>90</v>
      </c>
    </row>
    <row r="497" spans="1:17" x14ac:dyDescent="0.35">
      <c r="A497" s="26">
        <v>40000002562</v>
      </c>
      <c r="B497" s="31">
        <v>1</v>
      </c>
      <c r="C497" s="29" t="str">
        <f>LOOKUP(A497,'QALS - Inspection Lot Record'!$A$2:$A$361,'QALS - Inspection Lot Record'!$O$2:$O$361)</f>
        <v>Metformin Tablets (500 MG)</v>
      </c>
      <c r="D497" s="31">
        <v>80</v>
      </c>
      <c r="E497" s="29" t="s">
        <v>407</v>
      </c>
      <c r="F497" s="29" t="str">
        <f>LOOKUP(A497,'QALS - Inspection Lot Record'!A:A,'QALS - Inspection Lot Record'!G:G)</f>
        <v>GC197258</v>
      </c>
      <c r="G497" s="59">
        <f ca="1">LOOKUP(A497,'QALS - Inspection Lot Record'!A:A,'QALS - Inspection Lot Record'!E:E)</f>
        <v>45900</v>
      </c>
      <c r="H497" s="34" t="str">
        <f t="shared" si="40"/>
        <v>A</v>
      </c>
      <c r="I497" s="29" t="str">
        <f t="shared" si="36"/>
        <v>GC197258</v>
      </c>
      <c r="J497" s="59">
        <f t="shared" ca="1" si="37"/>
        <v>45900</v>
      </c>
      <c r="K497" s="30">
        <f ca="1">LOOKUP(A497,'QALS - Inspection Lot Record'!A:A,'QALS - Inspection Lot Record'!I:I)</f>
        <v>0.17807870370370371</v>
      </c>
      <c r="L497" s="59">
        <f t="shared" ca="1" si="38"/>
        <v>45900</v>
      </c>
      <c r="M497" s="30">
        <f t="shared" ca="1" si="39"/>
        <v>0.20276620370370371</v>
      </c>
      <c r="N497" s="31"/>
      <c r="O497" s="31">
        <v>25.5</v>
      </c>
      <c r="P497" s="29">
        <v>23</v>
      </c>
      <c r="Q497" s="29">
        <v>28</v>
      </c>
    </row>
    <row r="498" spans="1:17" x14ac:dyDescent="0.35">
      <c r="A498" s="26">
        <v>40000002563</v>
      </c>
      <c r="B498" s="27">
        <v>1</v>
      </c>
      <c r="C498" s="29" t="str">
        <f>LOOKUP(A498,'QALS - Inspection Lot Record'!$A$2:$A$361,'QALS - Inspection Lot Record'!$O$2:$O$361)</f>
        <v>Metformin Tablets (100 MG)</v>
      </c>
      <c r="D498" s="27">
        <v>10</v>
      </c>
      <c r="E498" s="26" t="s">
        <v>399</v>
      </c>
      <c r="F498" s="29" t="str">
        <f>LOOKUP(A498,'QALS - Inspection Lot Record'!A:A,'QALS - Inspection Lot Record'!G:G)</f>
        <v>ZK384180</v>
      </c>
      <c r="G498" s="59">
        <f ca="1">LOOKUP(A498,'QALS - Inspection Lot Record'!A:A,'QALS - Inspection Lot Record'!E:E)</f>
        <v>45901</v>
      </c>
      <c r="H498" s="34" t="str">
        <f t="shared" si="40"/>
        <v>R</v>
      </c>
      <c r="I498" s="29" t="str">
        <f t="shared" si="36"/>
        <v>ZK384180</v>
      </c>
      <c r="J498" s="59">
        <f t="shared" ca="1" si="37"/>
        <v>45901</v>
      </c>
      <c r="K498" s="30">
        <f ca="1">LOOKUP(A498,'QALS - Inspection Lot Record'!A:A,'QALS - Inspection Lot Record'!I:I)</f>
        <v>0.55445601851851856</v>
      </c>
      <c r="L498" s="59">
        <f t="shared" ca="1" si="38"/>
        <v>45901</v>
      </c>
      <c r="M498" s="30">
        <f t="shared" ca="1" si="39"/>
        <v>0.57513888888888898</v>
      </c>
      <c r="N498" s="31"/>
      <c r="O498" s="31">
        <v>93.8</v>
      </c>
      <c r="P498" s="29">
        <v>95</v>
      </c>
      <c r="Q498" s="29">
        <v>102</v>
      </c>
    </row>
    <row r="499" spans="1:17" x14ac:dyDescent="0.35">
      <c r="A499" s="26">
        <v>40000002563</v>
      </c>
      <c r="B499" s="27">
        <v>1</v>
      </c>
      <c r="C499" s="29" t="str">
        <f>LOOKUP(A499,'QALS - Inspection Lot Record'!$A$2:$A$361,'QALS - Inspection Lot Record'!$O$2:$O$361)</f>
        <v>Metformin Tablets (100 MG)</v>
      </c>
      <c r="D499" s="31">
        <v>20</v>
      </c>
      <c r="E499" s="29" t="s">
        <v>400</v>
      </c>
      <c r="F499" s="29" t="str">
        <f>LOOKUP(A499,'QALS - Inspection Lot Record'!A:A,'QALS - Inspection Lot Record'!G:G)</f>
        <v>ZK384180</v>
      </c>
      <c r="G499" s="59">
        <f ca="1">LOOKUP(A499,'QALS - Inspection Lot Record'!A:A,'QALS - Inspection Lot Record'!E:E)</f>
        <v>45901</v>
      </c>
      <c r="H499" s="34" t="str">
        <f t="shared" si="40"/>
        <v>A</v>
      </c>
      <c r="I499" s="29" t="str">
        <f t="shared" si="36"/>
        <v>ZK384180</v>
      </c>
      <c r="J499" s="59">
        <f t="shared" ca="1" si="37"/>
        <v>45901</v>
      </c>
      <c r="K499" s="30">
        <f ca="1">LOOKUP(A499,'QALS - Inspection Lot Record'!A:A,'QALS - Inspection Lot Record'!I:I)</f>
        <v>0.55445601851851856</v>
      </c>
      <c r="L499" s="59">
        <f t="shared" ca="1" si="38"/>
        <v>45901</v>
      </c>
      <c r="M499" s="30">
        <f t="shared" ca="1" si="39"/>
        <v>0.57445601851851857</v>
      </c>
      <c r="N499" s="31"/>
      <c r="O499" s="31">
        <v>3.9</v>
      </c>
      <c r="P499" s="29">
        <v>3.5</v>
      </c>
      <c r="Q499" s="29">
        <v>11</v>
      </c>
    </row>
    <row r="500" spans="1:17" x14ac:dyDescent="0.35">
      <c r="A500" s="26">
        <v>40000002563</v>
      </c>
      <c r="B500" s="31">
        <v>1</v>
      </c>
      <c r="C500" s="29" t="str">
        <f>LOOKUP(A500,'QALS - Inspection Lot Record'!$A$2:$A$361,'QALS - Inspection Lot Record'!$O$2:$O$361)</f>
        <v>Metformin Tablets (100 MG)</v>
      </c>
      <c r="D500" s="31">
        <v>30</v>
      </c>
      <c r="E500" s="29" t="s">
        <v>401</v>
      </c>
      <c r="F500" s="29" t="str">
        <f>LOOKUP(A500,'QALS - Inspection Lot Record'!A:A,'QALS - Inspection Lot Record'!G:G)</f>
        <v>ZK384180</v>
      </c>
      <c r="G500" s="59">
        <f ca="1">LOOKUP(A500,'QALS - Inspection Lot Record'!A:A,'QALS - Inspection Lot Record'!E:E)</f>
        <v>45901</v>
      </c>
      <c r="H500" s="34" t="str">
        <f t="shared" si="40"/>
        <v>A</v>
      </c>
      <c r="I500" s="29" t="str">
        <f t="shared" si="36"/>
        <v>ZK384180</v>
      </c>
      <c r="J500" s="59">
        <f t="shared" ca="1" si="37"/>
        <v>45901</v>
      </c>
      <c r="K500" s="30">
        <f ca="1">LOOKUP(A500,'QALS - Inspection Lot Record'!A:A,'QALS - Inspection Lot Record'!I:I)</f>
        <v>0.55445601851851856</v>
      </c>
      <c r="L500" s="59">
        <f t="shared" ca="1" si="38"/>
        <v>45901</v>
      </c>
      <c r="M500" s="30">
        <f t="shared" ca="1" si="39"/>
        <v>0.5737268518518519</v>
      </c>
      <c r="N500" s="11" t="s">
        <v>402</v>
      </c>
      <c r="O500" s="31"/>
      <c r="P500" s="29"/>
      <c r="Q500" s="29"/>
    </row>
    <row r="501" spans="1:17" x14ac:dyDescent="0.35">
      <c r="A501" s="26">
        <v>40000002563</v>
      </c>
      <c r="B501" s="31">
        <v>1</v>
      </c>
      <c r="C501" s="29" t="str">
        <f>LOOKUP(A501,'QALS - Inspection Lot Record'!$A$2:$A$361,'QALS - Inspection Lot Record'!$O$2:$O$361)</f>
        <v>Metformin Tablets (100 MG)</v>
      </c>
      <c r="D501" s="31">
        <v>40</v>
      </c>
      <c r="E501" s="29" t="s">
        <v>403</v>
      </c>
      <c r="F501" s="29" t="str">
        <f>LOOKUP(A501,'QALS - Inspection Lot Record'!A:A,'QALS - Inspection Lot Record'!G:G)</f>
        <v>ZK384180</v>
      </c>
      <c r="G501" s="59">
        <f ca="1">LOOKUP(A501,'QALS - Inspection Lot Record'!A:A,'QALS - Inspection Lot Record'!E:E)</f>
        <v>45901</v>
      </c>
      <c r="H501" s="34" t="str">
        <f t="shared" si="40"/>
        <v>A</v>
      </c>
      <c r="I501" s="29" t="str">
        <f t="shared" si="36"/>
        <v>ZK384180</v>
      </c>
      <c r="J501" s="59">
        <f t="shared" ca="1" si="37"/>
        <v>45901</v>
      </c>
      <c r="K501" s="30">
        <f ca="1">LOOKUP(A501,'QALS - Inspection Lot Record'!A:A,'QALS - Inspection Lot Record'!I:I)</f>
        <v>0.55445601851851856</v>
      </c>
      <c r="L501" s="59">
        <f t="shared" ca="1" si="38"/>
        <v>45901</v>
      </c>
      <c r="M501" s="30">
        <f t="shared" ca="1" si="39"/>
        <v>0.57305555555555554</v>
      </c>
      <c r="N501" s="31"/>
      <c r="O501" s="31">
        <v>0.5</v>
      </c>
      <c r="P501" s="29">
        <v>0</v>
      </c>
      <c r="Q501" s="29">
        <v>1</v>
      </c>
    </row>
    <row r="502" spans="1:17" x14ac:dyDescent="0.35">
      <c r="A502" s="26">
        <v>40000002563</v>
      </c>
      <c r="B502" s="31">
        <v>1</v>
      </c>
      <c r="C502" s="29" t="str">
        <f>LOOKUP(A502,'QALS - Inspection Lot Record'!$A$2:$A$361,'QALS - Inspection Lot Record'!$O$2:$O$361)</f>
        <v>Metformin Tablets (100 MG)</v>
      </c>
      <c r="D502" s="31">
        <v>50</v>
      </c>
      <c r="E502" s="29" t="s">
        <v>404</v>
      </c>
      <c r="F502" s="29" t="str">
        <f>LOOKUP(A502,'QALS - Inspection Lot Record'!A:A,'QALS - Inspection Lot Record'!G:G)</f>
        <v>ZK384180</v>
      </c>
      <c r="G502" s="59">
        <f ca="1">LOOKUP(A502,'QALS - Inspection Lot Record'!A:A,'QALS - Inspection Lot Record'!E:E)</f>
        <v>45901</v>
      </c>
      <c r="H502" s="34" t="str">
        <f t="shared" si="40"/>
        <v>A</v>
      </c>
      <c r="I502" s="29" t="str">
        <f t="shared" si="36"/>
        <v>ZK384180</v>
      </c>
      <c r="J502" s="59">
        <f t="shared" ca="1" si="37"/>
        <v>45901</v>
      </c>
      <c r="K502" s="30">
        <f ca="1">LOOKUP(A502,'QALS - Inspection Lot Record'!A:A,'QALS - Inspection Lot Record'!I:I)</f>
        <v>0.55445601851851856</v>
      </c>
      <c r="L502" s="59">
        <f t="shared" ca="1" si="38"/>
        <v>45901</v>
      </c>
      <c r="M502" s="30">
        <f t="shared" ca="1" si="39"/>
        <v>0.58744212962962972</v>
      </c>
      <c r="N502" s="31"/>
      <c r="O502" s="31">
        <v>43.2</v>
      </c>
      <c r="P502" s="29">
        <v>40</v>
      </c>
      <c r="Q502" s="29">
        <v>60</v>
      </c>
    </row>
    <row r="503" spans="1:17" x14ac:dyDescent="0.35">
      <c r="A503" s="26">
        <v>40000002563</v>
      </c>
      <c r="B503" s="31">
        <v>1</v>
      </c>
      <c r="C503" s="29" t="str">
        <f>LOOKUP(A503,'QALS - Inspection Lot Record'!$A$2:$A$361,'QALS - Inspection Lot Record'!$O$2:$O$361)</f>
        <v>Metformin Tablets (100 MG)</v>
      </c>
      <c r="D503" s="31">
        <v>60</v>
      </c>
      <c r="E503" s="29" t="s">
        <v>405</v>
      </c>
      <c r="F503" s="29" t="str">
        <f>LOOKUP(A503,'QALS - Inspection Lot Record'!A:A,'QALS - Inspection Lot Record'!G:G)</f>
        <v>ZK384180</v>
      </c>
      <c r="G503" s="59">
        <f ca="1">LOOKUP(A503,'QALS - Inspection Lot Record'!A:A,'QALS - Inspection Lot Record'!E:E)</f>
        <v>45901</v>
      </c>
      <c r="H503" s="34" t="str">
        <f t="shared" si="40"/>
        <v>A</v>
      </c>
      <c r="I503" s="29" t="str">
        <f t="shared" si="36"/>
        <v>ZK384180</v>
      </c>
      <c r="J503" s="59">
        <f t="shared" ca="1" si="37"/>
        <v>45901</v>
      </c>
      <c r="K503" s="30">
        <f ca="1">LOOKUP(A503,'QALS - Inspection Lot Record'!A:A,'QALS - Inspection Lot Record'!I:I)</f>
        <v>0.55445601851851856</v>
      </c>
      <c r="L503" s="59">
        <f t="shared" ca="1" si="38"/>
        <v>45901</v>
      </c>
      <c r="M503" s="30">
        <f t="shared" ca="1" si="39"/>
        <v>0.57988425925925935</v>
      </c>
      <c r="N503" s="31"/>
      <c r="O503" s="31">
        <v>72.599999999999994</v>
      </c>
      <c r="P503" s="29">
        <v>70</v>
      </c>
      <c r="Q503" s="29">
        <v>85</v>
      </c>
    </row>
    <row r="504" spans="1:17" x14ac:dyDescent="0.35">
      <c r="A504" s="26">
        <v>40000002563</v>
      </c>
      <c r="B504" s="31">
        <v>1</v>
      </c>
      <c r="C504" s="29" t="str">
        <f>LOOKUP(A504,'QALS - Inspection Lot Record'!$A$2:$A$361,'QALS - Inspection Lot Record'!$O$2:$O$361)</f>
        <v>Metformin Tablets (100 MG)</v>
      </c>
      <c r="D504" s="31">
        <v>70</v>
      </c>
      <c r="E504" s="29" t="s">
        <v>406</v>
      </c>
      <c r="F504" s="29" t="str">
        <f>LOOKUP(A504,'QALS - Inspection Lot Record'!A:A,'QALS - Inspection Lot Record'!G:G)</f>
        <v>ZK384180</v>
      </c>
      <c r="G504" s="59">
        <f ca="1">LOOKUP(A504,'QALS - Inspection Lot Record'!A:A,'QALS - Inspection Lot Record'!E:E)</f>
        <v>45901</v>
      </c>
      <c r="H504" s="34" t="str">
        <f t="shared" si="40"/>
        <v>R</v>
      </c>
      <c r="I504" s="29" t="str">
        <f t="shared" si="36"/>
        <v>ZK384180</v>
      </c>
      <c r="J504" s="59">
        <f t="shared" ca="1" si="37"/>
        <v>45901</v>
      </c>
      <c r="K504" s="30">
        <f ca="1">LOOKUP(A504,'QALS - Inspection Lot Record'!A:A,'QALS - Inspection Lot Record'!I:I)</f>
        <v>0.55445601851851856</v>
      </c>
      <c r="L504" s="59">
        <f t="shared" ca="1" si="38"/>
        <v>45901</v>
      </c>
      <c r="M504" s="30">
        <f t="shared" ca="1" si="39"/>
        <v>0.57460648148148152</v>
      </c>
      <c r="N504" s="31"/>
      <c r="O504" s="31">
        <v>79</v>
      </c>
      <c r="P504" s="29">
        <v>80</v>
      </c>
      <c r="Q504" s="29">
        <v>90</v>
      </c>
    </row>
    <row r="505" spans="1:17" x14ac:dyDescent="0.35">
      <c r="A505" s="26">
        <v>40000002563</v>
      </c>
      <c r="B505" s="31">
        <v>1</v>
      </c>
      <c r="C505" s="29" t="str">
        <f>LOOKUP(A505,'QALS - Inspection Lot Record'!$A$2:$A$361,'QALS - Inspection Lot Record'!$O$2:$O$361)</f>
        <v>Metformin Tablets (100 MG)</v>
      </c>
      <c r="D505" s="31">
        <v>80</v>
      </c>
      <c r="E505" s="29" t="s">
        <v>407</v>
      </c>
      <c r="F505" s="29" t="str">
        <f>LOOKUP(A505,'QALS - Inspection Lot Record'!A:A,'QALS - Inspection Lot Record'!G:G)</f>
        <v>ZK384180</v>
      </c>
      <c r="G505" s="59">
        <f ca="1">LOOKUP(A505,'QALS - Inspection Lot Record'!A:A,'QALS - Inspection Lot Record'!E:E)</f>
        <v>45901</v>
      </c>
      <c r="H505" s="34" t="str">
        <f t="shared" si="40"/>
        <v>A</v>
      </c>
      <c r="I505" s="29" t="str">
        <f t="shared" si="36"/>
        <v>ZK384180</v>
      </c>
      <c r="J505" s="59">
        <f t="shared" ca="1" si="37"/>
        <v>45901</v>
      </c>
      <c r="K505" s="30">
        <f ca="1">LOOKUP(A505,'QALS - Inspection Lot Record'!A:A,'QALS - Inspection Lot Record'!I:I)</f>
        <v>0.55445601851851856</v>
      </c>
      <c r="L505" s="59">
        <f t="shared" ca="1" si="38"/>
        <v>45901</v>
      </c>
      <c r="M505" s="30">
        <f t="shared" ca="1" si="39"/>
        <v>0.57511574074074079</v>
      </c>
      <c r="N505" s="31"/>
      <c r="O505" s="31">
        <v>23.9</v>
      </c>
      <c r="P505" s="29">
        <v>23</v>
      </c>
      <c r="Q505" s="29">
        <v>25</v>
      </c>
    </row>
    <row r="506" spans="1:17" x14ac:dyDescent="0.35">
      <c r="A506" s="26">
        <v>40000002564</v>
      </c>
      <c r="B506" s="27">
        <v>1</v>
      </c>
      <c r="C506" s="29" t="str">
        <f>LOOKUP(A506,'QALS - Inspection Lot Record'!$A$2:$A$361,'QALS - Inspection Lot Record'!$O$2:$O$361)</f>
        <v>Aspirin Tablets (500 MG)</v>
      </c>
      <c r="D506" s="27">
        <v>10</v>
      </c>
      <c r="E506" s="26" t="s">
        <v>399</v>
      </c>
      <c r="F506" s="29" t="str">
        <f>LOOKUP(A506,'QALS - Inspection Lot Record'!A:A,'QALS - Inspection Lot Record'!G:G)</f>
        <v>YA284176</v>
      </c>
      <c r="G506" s="59">
        <f ca="1">LOOKUP(A506,'QALS - Inspection Lot Record'!A:A,'QALS - Inspection Lot Record'!E:E)</f>
        <v>45901</v>
      </c>
      <c r="H506" s="34" t="str">
        <f t="shared" si="40"/>
        <v>R</v>
      </c>
      <c r="I506" s="29" t="str">
        <f t="shared" si="36"/>
        <v>YA284176</v>
      </c>
      <c r="J506" s="59">
        <f t="shared" ca="1" si="37"/>
        <v>45901</v>
      </c>
      <c r="K506" s="30">
        <f ca="1">LOOKUP(A506,'QALS - Inspection Lot Record'!A:A,'QALS - Inspection Lot Record'!I:I)</f>
        <v>0.15074074074074073</v>
      </c>
      <c r="L506" s="59">
        <f t="shared" ca="1" si="38"/>
        <v>45901</v>
      </c>
      <c r="M506" s="30">
        <f t="shared" ca="1" si="39"/>
        <v>0.1731712962962963</v>
      </c>
      <c r="N506" s="31"/>
      <c r="O506" s="31">
        <v>94</v>
      </c>
      <c r="P506" s="29">
        <v>95</v>
      </c>
      <c r="Q506" s="29">
        <v>105</v>
      </c>
    </row>
    <row r="507" spans="1:17" x14ac:dyDescent="0.35">
      <c r="A507" s="26">
        <v>40000002564</v>
      </c>
      <c r="B507" s="27">
        <v>1</v>
      </c>
      <c r="C507" s="29" t="str">
        <f>LOOKUP(A507,'QALS - Inspection Lot Record'!$A$2:$A$361,'QALS - Inspection Lot Record'!$O$2:$O$361)</f>
        <v>Aspirin Tablets (500 MG)</v>
      </c>
      <c r="D507" s="31">
        <v>20</v>
      </c>
      <c r="E507" s="29" t="s">
        <v>400</v>
      </c>
      <c r="F507" s="29" t="str">
        <f>LOOKUP(A507,'QALS - Inspection Lot Record'!A:A,'QALS - Inspection Lot Record'!G:G)</f>
        <v>YA284176</v>
      </c>
      <c r="G507" s="59">
        <f ca="1">LOOKUP(A507,'QALS - Inspection Lot Record'!A:A,'QALS - Inspection Lot Record'!E:E)</f>
        <v>45901</v>
      </c>
      <c r="H507" s="34" t="str">
        <f t="shared" si="40"/>
        <v>R</v>
      </c>
      <c r="I507" s="29" t="str">
        <f t="shared" si="36"/>
        <v>YA284176</v>
      </c>
      <c r="J507" s="59">
        <f t="shared" ca="1" si="37"/>
        <v>45901</v>
      </c>
      <c r="K507" s="30">
        <f ca="1">LOOKUP(A507,'QALS - Inspection Lot Record'!A:A,'QALS - Inspection Lot Record'!I:I)</f>
        <v>0.15074074074074073</v>
      </c>
      <c r="L507" s="59">
        <f t="shared" ca="1" si="38"/>
        <v>45901</v>
      </c>
      <c r="M507" s="30">
        <f t="shared" ca="1" si="39"/>
        <v>0.17127314814814815</v>
      </c>
      <c r="N507" s="31"/>
      <c r="O507" s="31">
        <v>1.9</v>
      </c>
      <c r="P507" s="29">
        <v>3.5</v>
      </c>
      <c r="Q507" s="29">
        <v>11</v>
      </c>
    </row>
    <row r="508" spans="1:17" x14ac:dyDescent="0.35">
      <c r="A508" s="26">
        <v>40000002564</v>
      </c>
      <c r="B508" s="31">
        <v>1</v>
      </c>
      <c r="C508" s="29" t="str">
        <f>LOOKUP(A508,'QALS - Inspection Lot Record'!$A$2:$A$361,'QALS - Inspection Lot Record'!$O$2:$O$361)</f>
        <v>Aspirin Tablets (500 MG)</v>
      </c>
      <c r="D508" s="31">
        <v>30</v>
      </c>
      <c r="E508" s="29" t="s">
        <v>401</v>
      </c>
      <c r="F508" s="29" t="str">
        <f>LOOKUP(A508,'QALS - Inspection Lot Record'!A:A,'QALS - Inspection Lot Record'!G:G)</f>
        <v>YA284176</v>
      </c>
      <c r="G508" s="59">
        <f ca="1">LOOKUP(A508,'QALS - Inspection Lot Record'!A:A,'QALS - Inspection Lot Record'!E:E)</f>
        <v>45901</v>
      </c>
      <c r="H508" s="34" t="str">
        <f t="shared" si="40"/>
        <v>A</v>
      </c>
      <c r="I508" s="29" t="str">
        <f t="shared" si="36"/>
        <v>YA284176</v>
      </c>
      <c r="J508" s="59">
        <f t="shared" ca="1" si="37"/>
        <v>45901</v>
      </c>
      <c r="K508" s="30">
        <f ca="1">LOOKUP(A508,'QALS - Inspection Lot Record'!A:A,'QALS - Inspection Lot Record'!I:I)</f>
        <v>0.15074074074074073</v>
      </c>
      <c r="L508" s="59">
        <f t="shared" ca="1" si="38"/>
        <v>45901</v>
      </c>
      <c r="M508" s="30">
        <f t="shared" ca="1" si="39"/>
        <v>0.17246527777777776</v>
      </c>
      <c r="N508" s="11" t="s">
        <v>402</v>
      </c>
      <c r="O508" s="31"/>
      <c r="P508" s="29"/>
      <c r="Q508" s="29"/>
    </row>
    <row r="509" spans="1:17" x14ac:dyDescent="0.35">
      <c r="A509" s="26">
        <v>40000002564</v>
      </c>
      <c r="B509" s="31">
        <v>1</v>
      </c>
      <c r="C509" s="29" t="str">
        <f>LOOKUP(A509,'QALS - Inspection Lot Record'!$A$2:$A$361,'QALS - Inspection Lot Record'!$O$2:$O$361)</f>
        <v>Aspirin Tablets (500 MG)</v>
      </c>
      <c r="D509" s="31">
        <v>40</v>
      </c>
      <c r="E509" s="29" t="s">
        <v>403</v>
      </c>
      <c r="F509" s="29" t="str">
        <f>LOOKUP(A509,'QALS - Inspection Lot Record'!A:A,'QALS - Inspection Lot Record'!G:G)</f>
        <v>YA284176</v>
      </c>
      <c r="G509" s="59">
        <f ca="1">LOOKUP(A509,'QALS - Inspection Lot Record'!A:A,'QALS - Inspection Lot Record'!E:E)</f>
        <v>45901</v>
      </c>
      <c r="H509" s="34" t="str">
        <f t="shared" si="40"/>
        <v>A</v>
      </c>
      <c r="I509" s="29" t="str">
        <f t="shared" si="36"/>
        <v>YA284176</v>
      </c>
      <c r="J509" s="59">
        <f t="shared" ca="1" si="37"/>
        <v>45901</v>
      </c>
      <c r="K509" s="30">
        <f ca="1">LOOKUP(A509,'QALS - Inspection Lot Record'!A:A,'QALS - Inspection Lot Record'!I:I)</f>
        <v>0.15074074074074073</v>
      </c>
      <c r="L509" s="59">
        <f t="shared" ca="1" si="38"/>
        <v>45901</v>
      </c>
      <c r="M509" s="30">
        <f t="shared" ca="1" si="39"/>
        <v>0.16938657407407406</v>
      </c>
      <c r="N509" s="31"/>
      <c r="O509" s="31">
        <v>1.8</v>
      </c>
      <c r="P509" s="29">
        <v>0</v>
      </c>
      <c r="Q509" s="29">
        <v>2.5</v>
      </c>
    </row>
    <row r="510" spans="1:17" x14ac:dyDescent="0.35">
      <c r="A510" s="26">
        <v>40000002564</v>
      </c>
      <c r="B510" s="31">
        <v>1</v>
      </c>
      <c r="C510" s="29" t="str">
        <f>LOOKUP(A510,'QALS - Inspection Lot Record'!$A$2:$A$361,'QALS - Inspection Lot Record'!$O$2:$O$361)</f>
        <v>Aspirin Tablets (500 MG)</v>
      </c>
      <c r="D510" s="31">
        <v>50</v>
      </c>
      <c r="E510" s="29" t="s">
        <v>404</v>
      </c>
      <c r="F510" s="29" t="str">
        <f>LOOKUP(A510,'QALS - Inspection Lot Record'!A:A,'QALS - Inspection Lot Record'!G:G)</f>
        <v>YA284176</v>
      </c>
      <c r="G510" s="59">
        <f ca="1">LOOKUP(A510,'QALS - Inspection Lot Record'!A:A,'QALS - Inspection Lot Record'!E:E)</f>
        <v>45901</v>
      </c>
      <c r="H510" s="34" t="str">
        <f t="shared" si="40"/>
        <v>A</v>
      </c>
      <c r="I510" s="29" t="str">
        <f t="shared" si="36"/>
        <v>YA284176</v>
      </c>
      <c r="J510" s="59">
        <f t="shared" ca="1" si="37"/>
        <v>45901</v>
      </c>
      <c r="K510" s="30">
        <f ca="1">LOOKUP(A510,'QALS - Inspection Lot Record'!A:A,'QALS - Inspection Lot Record'!I:I)</f>
        <v>0.15074074074074073</v>
      </c>
      <c r="L510" s="59">
        <f t="shared" ca="1" si="38"/>
        <v>45901</v>
      </c>
      <c r="M510" s="30">
        <f t="shared" ca="1" si="39"/>
        <v>0.17354166666666665</v>
      </c>
      <c r="N510" s="31"/>
      <c r="O510" s="31">
        <v>45</v>
      </c>
      <c r="P510" s="29">
        <v>40</v>
      </c>
      <c r="Q510" s="29">
        <v>60</v>
      </c>
    </row>
    <row r="511" spans="1:17" x14ac:dyDescent="0.35">
      <c r="A511" s="26">
        <v>40000002564</v>
      </c>
      <c r="B511" s="31">
        <v>1</v>
      </c>
      <c r="C511" s="29" t="str">
        <f>LOOKUP(A511,'QALS - Inspection Lot Record'!$A$2:$A$361,'QALS - Inspection Lot Record'!$O$2:$O$361)</f>
        <v>Aspirin Tablets (500 MG)</v>
      </c>
      <c r="D511" s="31">
        <v>60</v>
      </c>
      <c r="E511" s="29" t="s">
        <v>405</v>
      </c>
      <c r="F511" s="29" t="str">
        <f>LOOKUP(A511,'QALS - Inspection Lot Record'!A:A,'QALS - Inspection Lot Record'!G:G)</f>
        <v>YA284176</v>
      </c>
      <c r="G511" s="59">
        <f ca="1">LOOKUP(A511,'QALS - Inspection Lot Record'!A:A,'QALS - Inspection Lot Record'!E:E)</f>
        <v>45901</v>
      </c>
      <c r="H511" s="34" t="str">
        <f t="shared" si="40"/>
        <v>A</v>
      </c>
      <c r="I511" s="29" t="str">
        <f t="shared" si="36"/>
        <v>YA284176</v>
      </c>
      <c r="J511" s="59">
        <f t="shared" ca="1" si="37"/>
        <v>45901</v>
      </c>
      <c r="K511" s="30">
        <f ca="1">LOOKUP(A511,'QALS - Inspection Lot Record'!A:A,'QALS - Inspection Lot Record'!I:I)</f>
        <v>0.15074074074074073</v>
      </c>
      <c r="L511" s="59">
        <f t="shared" ca="1" si="38"/>
        <v>45901</v>
      </c>
      <c r="M511" s="30">
        <f t="shared" ca="1" si="39"/>
        <v>0.18371527777777777</v>
      </c>
      <c r="N511" s="31"/>
      <c r="O511" s="31">
        <v>74.3</v>
      </c>
      <c r="P511" s="29">
        <v>70</v>
      </c>
      <c r="Q511" s="29">
        <v>85</v>
      </c>
    </row>
    <row r="512" spans="1:17" x14ac:dyDescent="0.35">
      <c r="A512" s="26">
        <v>40000002564</v>
      </c>
      <c r="B512" s="31">
        <v>1</v>
      </c>
      <c r="C512" s="29" t="str">
        <f>LOOKUP(A512,'QALS - Inspection Lot Record'!$A$2:$A$361,'QALS - Inspection Lot Record'!$O$2:$O$361)</f>
        <v>Aspirin Tablets (500 MG)</v>
      </c>
      <c r="D512" s="31">
        <v>70</v>
      </c>
      <c r="E512" s="29" t="s">
        <v>406</v>
      </c>
      <c r="F512" s="29" t="str">
        <f>LOOKUP(A512,'QALS - Inspection Lot Record'!A:A,'QALS - Inspection Lot Record'!G:G)</f>
        <v>YA284176</v>
      </c>
      <c r="G512" s="59">
        <f ca="1">LOOKUP(A512,'QALS - Inspection Lot Record'!A:A,'QALS - Inspection Lot Record'!E:E)</f>
        <v>45901</v>
      </c>
      <c r="H512" s="34" t="str">
        <f t="shared" si="40"/>
        <v>R</v>
      </c>
      <c r="I512" s="29" t="str">
        <f t="shared" si="36"/>
        <v>YA284176</v>
      </c>
      <c r="J512" s="59">
        <f t="shared" ca="1" si="37"/>
        <v>45901</v>
      </c>
      <c r="K512" s="30">
        <f ca="1">LOOKUP(A512,'QALS - Inspection Lot Record'!A:A,'QALS - Inspection Lot Record'!I:I)</f>
        <v>0.15074074074074073</v>
      </c>
      <c r="L512" s="59">
        <f t="shared" ca="1" si="38"/>
        <v>45901</v>
      </c>
      <c r="M512" s="30">
        <f t="shared" ca="1" si="39"/>
        <v>0.16988425925925926</v>
      </c>
      <c r="N512" s="31"/>
      <c r="O512" s="31">
        <v>78.900000000000006</v>
      </c>
      <c r="P512" s="29">
        <v>80</v>
      </c>
      <c r="Q512" s="29">
        <v>90</v>
      </c>
    </row>
    <row r="513" spans="1:17" x14ac:dyDescent="0.35">
      <c r="A513" s="26">
        <v>40000002564</v>
      </c>
      <c r="B513" s="31">
        <v>1</v>
      </c>
      <c r="C513" s="29" t="str">
        <f>LOOKUP(A513,'QALS - Inspection Lot Record'!$A$2:$A$361,'QALS - Inspection Lot Record'!$O$2:$O$361)</f>
        <v>Aspirin Tablets (500 MG)</v>
      </c>
      <c r="D513" s="31">
        <v>80</v>
      </c>
      <c r="E513" s="29" t="s">
        <v>407</v>
      </c>
      <c r="F513" s="29" t="str">
        <f>LOOKUP(A513,'QALS - Inspection Lot Record'!A:A,'QALS - Inspection Lot Record'!G:G)</f>
        <v>YA284176</v>
      </c>
      <c r="G513" s="59">
        <f ca="1">LOOKUP(A513,'QALS - Inspection Lot Record'!A:A,'QALS - Inspection Lot Record'!E:E)</f>
        <v>45901</v>
      </c>
      <c r="H513" s="34" t="str">
        <f t="shared" si="40"/>
        <v>A</v>
      </c>
      <c r="I513" s="29" t="str">
        <f t="shared" si="36"/>
        <v>YA284176</v>
      </c>
      <c r="J513" s="59">
        <f t="shared" ca="1" si="37"/>
        <v>45901</v>
      </c>
      <c r="K513" s="30">
        <f ca="1">LOOKUP(A513,'QALS - Inspection Lot Record'!A:A,'QALS - Inspection Lot Record'!I:I)</f>
        <v>0.15074074074074073</v>
      </c>
      <c r="L513" s="59">
        <f t="shared" ca="1" si="38"/>
        <v>45901</v>
      </c>
      <c r="M513" s="30">
        <f t="shared" ca="1" si="39"/>
        <v>0.17034722222222221</v>
      </c>
      <c r="N513" s="31"/>
      <c r="O513" s="31">
        <v>24</v>
      </c>
      <c r="P513" s="29">
        <v>23</v>
      </c>
      <c r="Q513" s="29">
        <v>28</v>
      </c>
    </row>
    <row r="514" spans="1:17" x14ac:dyDescent="0.35">
      <c r="A514" s="26">
        <v>40000002565</v>
      </c>
      <c r="B514" s="27">
        <v>1</v>
      </c>
      <c r="C514" s="29" t="str">
        <f>LOOKUP(A514,'QALS - Inspection Lot Record'!$A$2:$A$361,'QALS - Inspection Lot Record'!$O$2:$O$361)</f>
        <v>Metformin Tablets (500 MG)</v>
      </c>
      <c r="D514" s="27">
        <v>10</v>
      </c>
      <c r="E514" s="26" t="s">
        <v>399</v>
      </c>
      <c r="F514" s="29" t="str">
        <f>LOOKUP(A514,'QALS - Inspection Lot Record'!A:A,'QALS - Inspection Lot Record'!G:G)</f>
        <v>TP397880</v>
      </c>
      <c r="G514" s="59">
        <f ca="1">LOOKUP(A514,'QALS - Inspection Lot Record'!A:A,'QALS - Inspection Lot Record'!E:E)</f>
        <v>45902</v>
      </c>
      <c r="H514" s="34" t="str">
        <f t="shared" si="40"/>
        <v>A</v>
      </c>
      <c r="I514" s="29" t="str">
        <f t="shared" ref="I514:I577" si="41">F514</f>
        <v>TP397880</v>
      </c>
      <c r="J514" s="59">
        <f t="shared" ref="J514:J577" ca="1" si="42">G514</f>
        <v>45902</v>
      </c>
      <c r="K514" s="30">
        <f ca="1">LOOKUP(A514,'QALS - Inspection Lot Record'!A:A,'QALS - Inspection Lot Record'!I:I)</f>
        <v>0.73388888888888892</v>
      </c>
      <c r="L514" s="59">
        <f t="shared" ref="L514:L577" ca="1" si="43">G514</f>
        <v>45902</v>
      </c>
      <c r="M514" s="30">
        <f t="shared" ref="M514:M577" ca="1" si="44">K514+TIME(0,RANDBETWEEN(25,50),RANDBETWEEN(0,59))</f>
        <v>0.76133101851851859</v>
      </c>
      <c r="N514" s="31"/>
      <c r="O514" s="31">
        <v>100</v>
      </c>
      <c r="P514" s="29">
        <v>95</v>
      </c>
      <c r="Q514" s="29">
        <v>105</v>
      </c>
    </row>
    <row r="515" spans="1:17" x14ac:dyDescent="0.35">
      <c r="A515" s="26">
        <v>40000002565</v>
      </c>
      <c r="B515" s="27">
        <v>1</v>
      </c>
      <c r="C515" s="29" t="str">
        <f>LOOKUP(A515,'QALS - Inspection Lot Record'!$A$2:$A$361,'QALS - Inspection Lot Record'!$O$2:$O$361)</f>
        <v>Metformin Tablets (500 MG)</v>
      </c>
      <c r="D515" s="31">
        <v>20</v>
      </c>
      <c r="E515" s="29" t="s">
        <v>400</v>
      </c>
      <c r="F515" s="29" t="str">
        <f>LOOKUP(A515,'QALS - Inspection Lot Record'!A:A,'QALS - Inspection Lot Record'!G:G)</f>
        <v>TP397880</v>
      </c>
      <c r="G515" s="59">
        <f ca="1">LOOKUP(A515,'QALS - Inspection Lot Record'!A:A,'QALS - Inspection Lot Record'!E:E)</f>
        <v>45902</v>
      </c>
      <c r="H515" s="34" t="str">
        <f t="shared" si="40"/>
        <v>R</v>
      </c>
      <c r="I515" s="29" t="str">
        <f t="shared" si="41"/>
        <v>TP397880</v>
      </c>
      <c r="J515" s="59">
        <f t="shared" ca="1" si="42"/>
        <v>45902</v>
      </c>
      <c r="K515" s="30">
        <f ca="1">LOOKUP(A515,'QALS - Inspection Lot Record'!A:A,'QALS - Inspection Lot Record'!I:I)</f>
        <v>0.73388888888888892</v>
      </c>
      <c r="L515" s="59">
        <f t="shared" ca="1" si="43"/>
        <v>45902</v>
      </c>
      <c r="M515" s="30">
        <f t="shared" ca="1" si="44"/>
        <v>0.75155092592592598</v>
      </c>
      <c r="N515" s="31"/>
      <c r="O515" s="31">
        <v>1.8</v>
      </c>
      <c r="P515" s="29">
        <v>3.5</v>
      </c>
      <c r="Q515" s="29">
        <v>11</v>
      </c>
    </row>
    <row r="516" spans="1:17" x14ac:dyDescent="0.35">
      <c r="A516" s="26">
        <v>40000002565</v>
      </c>
      <c r="B516" s="31">
        <v>1</v>
      </c>
      <c r="C516" s="29" t="str">
        <f>LOOKUP(A516,'QALS - Inspection Lot Record'!$A$2:$A$361,'QALS - Inspection Lot Record'!$O$2:$O$361)</f>
        <v>Metformin Tablets (500 MG)</v>
      </c>
      <c r="D516" s="31">
        <v>30</v>
      </c>
      <c r="E516" s="29" t="s">
        <v>401</v>
      </c>
      <c r="F516" s="29" t="str">
        <f>LOOKUP(A516,'QALS - Inspection Lot Record'!A:A,'QALS - Inspection Lot Record'!G:G)</f>
        <v>TP397880</v>
      </c>
      <c r="G516" s="59">
        <f ca="1">LOOKUP(A516,'QALS - Inspection Lot Record'!A:A,'QALS - Inspection Lot Record'!E:E)</f>
        <v>45902</v>
      </c>
      <c r="H516" s="34" t="str">
        <f t="shared" si="40"/>
        <v>A</v>
      </c>
      <c r="I516" s="29" t="str">
        <f t="shared" si="41"/>
        <v>TP397880</v>
      </c>
      <c r="J516" s="59">
        <f t="shared" ca="1" si="42"/>
        <v>45902</v>
      </c>
      <c r="K516" s="30">
        <f ca="1">LOOKUP(A516,'QALS - Inspection Lot Record'!A:A,'QALS - Inspection Lot Record'!I:I)</f>
        <v>0.73388888888888892</v>
      </c>
      <c r="L516" s="59">
        <f t="shared" ca="1" si="43"/>
        <v>45902</v>
      </c>
      <c r="M516" s="30">
        <f t="shared" ca="1" si="44"/>
        <v>0.75870370370370377</v>
      </c>
      <c r="N516" s="11" t="s">
        <v>402</v>
      </c>
      <c r="O516" s="31"/>
      <c r="P516" s="29"/>
      <c r="Q516" s="29"/>
    </row>
    <row r="517" spans="1:17" x14ac:dyDescent="0.35">
      <c r="A517" s="26">
        <v>40000002565</v>
      </c>
      <c r="B517" s="31">
        <v>1</v>
      </c>
      <c r="C517" s="29" t="str">
        <f>LOOKUP(A517,'QALS - Inspection Lot Record'!$A$2:$A$361,'QALS - Inspection Lot Record'!$O$2:$O$361)</f>
        <v>Metformin Tablets (500 MG)</v>
      </c>
      <c r="D517" s="31">
        <v>40</v>
      </c>
      <c r="E517" s="29" t="s">
        <v>403</v>
      </c>
      <c r="F517" s="29" t="str">
        <f>LOOKUP(A517,'QALS - Inspection Lot Record'!A:A,'QALS - Inspection Lot Record'!G:G)</f>
        <v>TP397880</v>
      </c>
      <c r="G517" s="59">
        <f ca="1">LOOKUP(A517,'QALS - Inspection Lot Record'!A:A,'QALS - Inspection Lot Record'!E:E)</f>
        <v>45902</v>
      </c>
      <c r="H517" s="34" t="str">
        <f t="shared" si="40"/>
        <v>A</v>
      </c>
      <c r="I517" s="29" t="str">
        <f t="shared" si="41"/>
        <v>TP397880</v>
      </c>
      <c r="J517" s="59">
        <f t="shared" ca="1" si="42"/>
        <v>45902</v>
      </c>
      <c r="K517" s="30">
        <f ca="1">LOOKUP(A517,'QALS - Inspection Lot Record'!A:A,'QALS - Inspection Lot Record'!I:I)</f>
        <v>0.73388888888888892</v>
      </c>
      <c r="L517" s="59">
        <f t="shared" ca="1" si="43"/>
        <v>45902</v>
      </c>
      <c r="M517" s="30">
        <f t="shared" ca="1" si="44"/>
        <v>0.76846064814814818</v>
      </c>
      <c r="N517" s="31"/>
      <c r="O517" s="31">
        <v>0</v>
      </c>
      <c r="P517" s="29">
        <v>0</v>
      </c>
      <c r="Q517" s="29">
        <v>2</v>
      </c>
    </row>
    <row r="518" spans="1:17" x14ac:dyDescent="0.35">
      <c r="A518" s="26">
        <v>40000002565</v>
      </c>
      <c r="B518" s="31">
        <v>1</v>
      </c>
      <c r="C518" s="29" t="str">
        <f>LOOKUP(A518,'QALS - Inspection Lot Record'!$A$2:$A$361,'QALS - Inspection Lot Record'!$O$2:$O$361)</f>
        <v>Metformin Tablets (500 MG)</v>
      </c>
      <c r="D518" s="31">
        <v>50</v>
      </c>
      <c r="E518" s="29" t="s">
        <v>404</v>
      </c>
      <c r="F518" s="29" t="str">
        <f>LOOKUP(A518,'QALS - Inspection Lot Record'!A:A,'QALS - Inspection Lot Record'!G:G)</f>
        <v>TP397880</v>
      </c>
      <c r="G518" s="59">
        <f ca="1">LOOKUP(A518,'QALS - Inspection Lot Record'!A:A,'QALS - Inspection Lot Record'!E:E)</f>
        <v>45902</v>
      </c>
      <c r="H518" s="34" t="str">
        <f t="shared" si="40"/>
        <v>A</v>
      </c>
      <c r="I518" s="29" t="str">
        <f t="shared" si="41"/>
        <v>TP397880</v>
      </c>
      <c r="J518" s="59">
        <f t="shared" ca="1" si="42"/>
        <v>45902</v>
      </c>
      <c r="K518" s="30">
        <f ca="1">LOOKUP(A518,'QALS - Inspection Lot Record'!A:A,'QALS - Inspection Lot Record'!I:I)</f>
        <v>0.73388888888888892</v>
      </c>
      <c r="L518" s="59">
        <f t="shared" ca="1" si="43"/>
        <v>45902</v>
      </c>
      <c r="M518" s="30">
        <f t="shared" ca="1" si="44"/>
        <v>0.76484953703703706</v>
      </c>
      <c r="N518" s="31"/>
      <c r="O518" s="31">
        <v>50</v>
      </c>
      <c r="P518" s="29">
        <v>40</v>
      </c>
      <c r="Q518" s="29">
        <v>60</v>
      </c>
    </row>
    <row r="519" spans="1:17" x14ac:dyDescent="0.35">
      <c r="A519" s="26">
        <v>40000002565</v>
      </c>
      <c r="B519" s="31">
        <v>1</v>
      </c>
      <c r="C519" s="29" t="str">
        <f>LOOKUP(A519,'QALS - Inspection Lot Record'!$A$2:$A$361,'QALS - Inspection Lot Record'!$O$2:$O$361)</f>
        <v>Metformin Tablets (500 MG)</v>
      </c>
      <c r="D519" s="31">
        <v>60</v>
      </c>
      <c r="E519" s="29" t="s">
        <v>405</v>
      </c>
      <c r="F519" s="29" t="str">
        <f>LOOKUP(A519,'QALS - Inspection Lot Record'!A:A,'QALS - Inspection Lot Record'!G:G)</f>
        <v>TP397880</v>
      </c>
      <c r="G519" s="59">
        <f ca="1">LOOKUP(A519,'QALS - Inspection Lot Record'!A:A,'QALS - Inspection Lot Record'!E:E)</f>
        <v>45902</v>
      </c>
      <c r="H519" s="34" t="str">
        <f t="shared" si="40"/>
        <v>A</v>
      </c>
      <c r="I519" s="29" t="str">
        <f t="shared" si="41"/>
        <v>TP397880</v>
      </c>
      <c r="J519" s="59">
        <f t="shared" ca="1" si="42"/>
        <v>45902</v>
      </c>
      <c r="K519" s="30">
        <f ca="1">LOOKUP(A519,'QALS - Inspection Lot Record'!A:A,'QALS - Inspection Lot Record'!I:I)</f>
        <v>0.73388888888888892</v>
      </c>
      <c r="L519" s="59">
        <f t="shared" ca="1" si="43"/>
        <v>45902</v>
      </c>
      <c r="M519" s="30">
        <f t="shared" ca="1" si="44"/>
        <v>0.75932870370370376</v>
      </c>
      <c r="N519" s="31"/>
      <c r="O519" s="31">
        <v>77.5</v>
      </c>
      <c r="P519" s="29">
        <v>70</v>
      </c>
      <c r="Q519" s="29">
        <v>85</v>
      </c>
    </row>
    <row r="520" spans="1:17" x14ac:dyDescent="0.35">
      <c r="A520" s="26">
        <v>40000002565</v>
      </c>
      <c r="B520" s="31">
        <v>1</v>
      </c>
      <c r="C520" s="29" t="str">
        <f>LOOKUP(A520,'QALS - Inspection Lot Record'!$A$2:$A$361,'QALS - Inspection Lot Record'!$O$2:$O$361)</f>
        <v>Metformin Tablets (500 MG)</v>
      </c>
      <c r="D520" s="31">
        <v>70</v>
      </c>
      <c r="E520" s="29" t="s">
        <v>406</v>
      </c>
      <c r="F520" s="29" t="str">
        <f>LOOKUP(A520,'QALS - Inspection Lot Record'!A:A,'QALS - Inspection Lot Record'!G:G)</f>
        <v>TP397880</v>
      </c>
      <c r="G520" s="59">
        <f ca="1">LOOKUP(A520,'QALS - Inspection Lot Record'!A:A,'QALS - Inspection Lot Record'!E:E)</f>
        <v>45902</v>
      </c>
      <c r="H520" s="34" t="str">
        <f t="shared" si="40"/>
        <v>A</v>
      </c>
      <c r="I520" s="29" t="str">
        <f t="shared" si="41"/>
        <v>TP397880</v>
      </c>
      <c r="J520" s="59">
        <f t="shared" ca="1" si="42"/>
        <v>45902</v>
      </c>
      <c r="K520" s="30">
        <f ca="1">LOOKUP(A520,'QALS - Inspection Lot Record'!A:A,'QALS - Inspection Lot Record'!I:I)</f>
        <v>0.73388888888888892</v>
      </c>
      <c r="L520" s="59">
        <f t="shared" ca="1" si="43"/>
        <v>45902</v>
      </c>
      <c r="M520" s="30">
        <f t="shared" ca="1" si="44"/>
        <v>0.75232638888888892</v>
      </c>
      <c r="N520" s="31"/>
      <c r="O520" s="31">
        <v>85</v>
      </c>
      <c r="P520" s="29">
        <v>80</v>
      </c>
      <c r="Q520" s="29">
        <v>90</v>
      </c>
    </row>
    <row r="521" spans="1:17" x14ac:dyDescent="0.35">
      <c r="A521" s="26">
        <v>40000002565</v>
      </c>
      <c r="B521" s="31">
        <v>1</v>
      </c>
      <c r="C521" s="29" t="str">
        <f>LOOKUP(A521,'QALS - Inspection Lot Record'!$A$2:$A$361,'QALS - Inspection Lot Record'!$O$2:$O$361)</f>
        <v>Metformin Tablets (500 MG)</v>
      </c>
      <c r="D521" s="31">
        <v>80</v>
      </c>
      <c r="E521" s="29" t="s">
        <v>407</v>
      </c>
      <c r="F521" s="29" t="str">
        <f>LOOKUP(A521,'QALS - Inspection Lot Record'!A:A,'QALS - Inspection Lot Record'!G:G)</f>
        <v>TP397880</v>
      </c>
      <c r="G521" s="59">
        <f ca="1">LOOKUP(A521,'QALS - Inspection Lot Record'!A:A,'QALS - Inspection Lot Record'!E:E)</f>
        <v>45902</v>
      </c>
      <c r="H521" s="34" t="str">
        <f t="shared" si="40"/>
        <v>A</v>
      </c>
      <c r="I521" s="29" t="str">
        <f t="shared" si="41"/>
        <v>TP397880</v>
      </c>
      <c r="J521" s="59">
        <f t="shared" ca="1" si="42"/>
        <v>45902</v>
      </c>
      <c r="K521" s="30">
        <f ca="1">LOOKUP(A521,'QALS - Inspection Lot Record'!A:A,'QALS - Inspection Lot Record'!I:I)</f>
        <v>0.73388888888888892</v>
      </c>
      <c r="L521" s="59">
        <f t="shared" ca="1" si="43"/>
        <v>45902</v>
      </c>
      <c r="M521" s="30">
        <f t="shared" ca="1" si="44"/>
        <v>0.76711805555555557</v>
      </c>
      <c r="N521" s="31"/>
      <c r="O521" s="31">
        <v>25.5</v>
      </c>
      <c r="P521" s="29">
        <v>23</v>
      </c>
      <c r="Q521" s="29">
        <v>28</v>
      </c>
    </row>
    <row r="522" spans="1:17" x14ac:dyDescent="0.35">
      <c r="A522" s="26">
        <v>40000002566</v>
      </c>
      <c r="B522" s="27">
        <v>1</v>
      </c>
      <c r="C522" s="29" t="str">
        <f>LOOKUP(A522,'QALS - Inspection Lot Record'!$A$2:$A$361,'QALS - Inspection Lot Record'!$O$2:$O$361)</f>
        <v>Aspirin Tablets (500 MG)</v>
      </c>
      <c r="D522" s="27">
        <v>10</v>
      </c>
      <c r="E522" s="26" t="s">
        <v>399</v>
      </c>
      <c r="F522" s="29" t="str">
        <f>LOOKUP(A522,'QALS - Inspection Lot Record'!A:A,'QALS - Inspection Lot Record'!G:G)</f>
        <v>GC197258</v>
      </c>
      <c r="G522" s="59">
        <f ca="1">LOOKUP(A522,'QALS - Inspection Lot Record'!A:A,'QALS - Inspection Lot Record'!E:E)</f>
        <v>45902</v>
      </c>
      <c r="H522" s="34" t="str">
        <f t="shared" ref="H522:H585" si="45">IF(AND(P522&lt;=O522,O522&lt;=Q522),"A","R")</f>
        <v>R</v>
      </c>
      <c r="I522" s="29" t="str">
        <f t="shared" si="41"/>
        <v>GC197258</v>
      </c>
      <c r="J522" s="59">
        <f t="shared" ca="1" si="42"/>
        <v>45902</v>
      </c>
      <c r="K522" s="30">
        <f ca="1">LOOKUP(A522,'QALS - Inspection Lot Record'!A:A,'QALS - Inspection Lot Record'!I:I)</f>
        <v>9.3113425925925933E-2</v>
      </c>
      <c r="L522" s="59">
        <f t="shared" ca="1" si="43"/>
        <v>45902</v>
      </c>
      <c r="M522" s="30">
        <f t="shared" ca="1" si="44"/>
        <v>0.11402777777777778</v>
      </c>
      <c r="N522" s="31"/>
      <c r="O522" s="31">
        <v>93.4</v>
      </c>
      <c r="P522" s="29">
        <v>95</v>
      </c>
      <c r="Q522" s="29">
        <v>105</v>
      </c>
    </row>
    <row r="523" spans="1:17" x14ac:dyDescent="0.35">
      <c r="A523" s="26">
        <v>40000002566</v>
      </c>
      <c r="B523" s="27">
        <v>1</v>
      </c>
      <c r="C523" s="29" t="str">
        <f>LOOKUP(A523,'QALS - Inspection Lot Record'!$A$2:$A$361,'QALS - Inspection Lot Record'!$O$2:$O$361)</f>
        <v>Aspirin Tablets (500 MG)</v>
      </c>
      <c r="D523" s="31">
        <v>20</v>
      </c>
      <c r="E523" s="29" t="s">
        <v>400</v>
      </c>
      <c r="F523" s="29" t="str">
        <f>LOOKUP(A523,'QALS - Inspection Lot Record'!A:A,'QALS - Inspection Lot Record'!G:G)</f>
        <v>GC197258</v>
      </c>
      <c r="G523" s="59">
        <f ca="1">LOOKUP(A523,'QALS - Inspection Lot Record'!A:A,'QALS - Inspection Lot Record'!E:E)</f>
        <v>45902</v>
      </c>
      <c r="H523" s="34" t="str">
        <f t="shared" si="45"/>
        <v>A</v>
      </c>
      <c r="I523" s="29" t="str">
        <f t="shared" si="41"/>
        <v>GC197258</v>
      </c>
      <c r="J523" s="59">
        <f t="shared" ca="1" si="42"/>
        <v>45902</v>
      </c>
      <c r="K523" s="30">
        <f ca="1">LOOKUP(A523,'QALS - Inspection Lot Record'!A:A,'QALS - Inspection Lot Record'!I:I)</f>
        <v>9.3113425925925933E-2</v>
      </c>
      <c r="L523" s="59">
        <f t="shared" ca="1" si="43"/>
        <v>45902</v>
      </c>
      <c r="M523" s="30">
        <f t="shared" ca="1" si="44"/>
        <v>0.1228587962962963</v>
      </c>
      <c r="N523" s="31"/>
      <c r="O523" s="31">
        <v>7.25</v>
      </c>
      <c r="P523" s="29">
        <v>3.5</v>
      </c>
      <c r="Q523" s="29">
        <v>11</v>
      </c>
    </row>
    <row r="524" spans="1:17" x14ac:dyDescent="0.35">
      <c r="A524" s="26">
        <v>40000002566</v>
      </c>
      <c r="B524" s="31">
        <v>1</v>
      </c>
      <c r="C524" s="29" t="str">
        <f>LOOKUP(A524,'QALS - Inspection Lot Record'!$A$2:$A$361,'QALS - Inspection Lot Record'!$O$2:$O$361)</f>
        <v>Aspirin Tablets (500 MG)</v>
      </c>
      <c r="D524" s="31">
        <v>30</v>
      </c>
      <c r="E524" s="29" t="s">
        <v>401</v>
      </c>
      <c r="F524" s="29" t="str">
        <f>LOOKUP(A524,'QALS - Inspection Lot Record'!A:A,'QALS - Inspection Lot Record'!G:G)</f>
        <v>GC197258</v>
      </c>
      <c r="G524" s="59">
        <f ca="1">LOOKUP(A524,'QALS - Inspection Lot Record'!A:A,'QALS - Inspection Lot Record'!E:E)</f>
        <v>45902</v>
      </c>
      <c r="H524" s="34" t="str">
        <f t="shared" si="45"/>
        <v>A</v>
      </c>
      <c r="I524" s="29" t="str">
        <f t="shared" si="41"/>
        <v>GC197258</v>
      </c>
      <c r="J524" s="59">
        <f t="shared" ca="1" si="42"/>
        <v>45902</v>
      </c>
      <c r="K524" s="30">
        <f ca="1">LOOKUP(A524,'QALS - Inspection Lot Record'!A:A,'QALS - Inspection Lot Record'!I:I)</f>
        <v>9.3113425925925933E-2</v>
      </c>
      <c r="L524" s="59">
        <f t="shared" ca="1" si="43"/>
        <v>45902</v>
      </c>
      <c r="M524" s="30">
        <f t="shared" ca="1" si="44"/>
        <v>0.11471064814814816</v>
      </c>
      <c r="N524" s="11" t="s">
        <v>402</v>
      </c>
      <c r="O524" s="31"/>
      <c r="P524" s="29"/>
      <c r="Q524" s="29"/>
    </row>
    <row r="525" spans="1:17" x14ac:dyDescent="0.35">
      <c r="A525" s="26">
        <v>40000002566</v>
      </c>
      <c r="B525" s="31">
        <v>1</v>
      </c>
      <c r="C525" s="29" t="str">
        <f>LOOKUP(A525,'QALS - Inspection Lot Record'!$A$2:$A$361,'QALS - Inspection Lot Record'!$O$2:$O$361)</f>
        <v>Aspirin Tablets (500 MG)</v>
      </c>
      <c r="D525" s="31">
        <v>40</v>
      </c>
      <c r="E525" s="29" t="s">
        <v>403</v>
      </c>
      <c r="F525" s="29" t="str">
        <f>LOOKUP(A525,'QALS - Inspection Lot Record'!A:A,'QALS - Inspection Lot Record'!G:G)</f>
        <v>GC197258</v>
      </c>
      <c r="G525" s="59">
        <f ca="1">LOOKUP(A525,'QALS - Inspection Lot Record'!A:A,'QALS - Inspection Lot Record'!E:E)</f>
        <v>45902</v>
      </c>
      <c r="H525" s="34" t="str">
        <f t="shared" si="45"/>
        <v>A</v>
      </c>
      <c r="I525" s="29" t="str">
        <f t="shared" si="41"/>
        <v>GC197258</v>
      </c>
      <c r="J525" s="59">
        <f t="shared" ca="1" si="42"/>
        <v>45902</v>
      </c>
      <c r="K525" s="30">
        <f ca="1">LOOKUP(A525,'QALS - Inspection Lot Record'!A:A,'QALS - Inspection Lot Record'!I:I)</f>
        <v>9.3113425925925933E-2</v>
      </c>
      <c r="L525" s="59">
        <f t="shared" ca="1" si="43"/>
        <v>45902</v>
      </c>
      <c r="M525" s="30">
        <f t="shared" ca="1" si="44"/>
        <v>0.12350694444444445</v>
      </c>
      <c r="N525" s="31"/>
      <c r="O525" s="31">
        <v>0</v>
      </c>
      <c r="P525" s="29">
        <v>0</v>
      </c>
      <c r="Q525" s="29">
        <v>2.5</v>
      </c>
    </row>
    <row r="526" spans="1:17" x14ac:dyDescent="0.35">
      <c r="A526" s="26">
        <v>40000002566</v>
      </c>
      <c r="B526" s="31">
        <v>1</v>
      </c>
      <c r="C526" s="29" t="str">
        <f>LOOKUP(A526,'QALS - Inspection Lot Record'!$A$2:$A$361,'QALS - Inspection Lot Record'!$O$2:$O$361)</f>
        <v>Aspirin Tablets (500 MG)</v>
      </c>
      <c r="D526" s="31">
        <v>50</v>
      </c>
      <c r="E526" s="29" t="s">
        <v>404</v>
      </c>
      <c r="F526" s="29" t="str">
        <f>LOOKUP(A526,'QALS - Inspection Lot Record'!A:A,'QALS - Inspection Lot Record'!G:G)</f>
        <v>GC197258</v>
      </c>
      <c r="G526" s="59">
        <f ca="1">LOOKUP(A526,'QALS - Inspection Lot Record'!A:A,'QALS - Inspection Lot Record'!E:E)</f>
        <v>45902</v>
      </c>
      <c r="H526" s="34" t="str">
        <f t="shared" si="45"/>
        <v>A</v>
      </c>
      <c r="I526" s="29" t="str">
        <f t="shared" si="41"/>
        <v>GC197258</v>
      </c>
      <c r="J526" s="59">
        <f t="shared" ca="1" si="42"/>
        <v>45902</v>
      </c>
      <c r="K526" s="30">
        <f ca="1">LOOKUP(A526,'QALS - Inspection Lot Record'!A:A,'QALS - Inspection Lot Record'!I:I)</f>
        <v>9.3113425925925933E-2</v>
      </c>
      <c r="L526" s="59">
        <f t="shared" ca="1" si="43"/>
        <v>45902</v>
      </c>
      <c r="M526" s="30">
        <f t="shared" ca="1" si="44"/>
        <v>0.12193287037037037</v>
      </c>
      <c r="N526" s="31"/>
      <c r="O526" s="31">
        <v>50</v>
      </c>
      <c r="P526" s="29">
        <v>40</v>
      </c>
      <c r="Q526" s="29">
        <v>60</v>
      </c>
    </row>
    <row r="527" spans="1:17" x14ac:dyDescent="0.35">
      <c r="A527" s="26">
        <v>40000002566</v>
      </c>
      <c r="B527" s="31">
        <v>1</v>
      </c>
      <c r="C527" s="29" t="str">
        <f>LOOKUP(A527,'QALS - Inspection Lot Record'!$A$2:$A$361,'QALS - Inspection Lot Record'!$O$2:$O$361)</f>
        <v>Aspirin Tablets (500 MG)</v>
      </c>
      <c r="D527" s="31">
        <v>60</v>
      </c>
      <c r="E527" s="29" t="s">
        <v>405</v>
      </c>
      <c r="F527" s="29" t="str">
        <f>LOOKUP(A527,'QALS - Inspection Lot Record'!A:A,'QALS - Inspection Lot Record'!G:G)</f>
        <v>GC197258</v>
      </c>
      <c r="G527" s="59">
        <f ca="1">LOOKUP(A527,'QALS - Inspection Lot Record'!A:A,'QALS - Inspection Lot Record'!E:E)</f>
        <v>45902</v>
      </c>
      <c r="H527" s="34" t="str">
        <f t="shared" si="45"/>
        <v>R</v>
      </c>
      <c r="I527" s="29" t="str">
        <f t="shared" si="41"/>
        <v>GC197258</v>
      </c>
      <c r="J527" s="59">
        <f t="shared" ca="1" si="42"/>
        <v>45902</v>
      </c>
      <c r="K527" s="30">
        <f ca="1">LOOKUP(A527,'QALS - Inspection Lot Record'!A:A,'QALS - Inspection Lot Record'!I:I)</f>
        <v>9.3113425925925933E-2</v>
      </c>
      <c r="L527" s="59">
        <f t="shared" ca="1" si="43"/>
        <v>45902</v>
      </c>
      <c r="M527" s="30">
        <f t="shared" ca="1" si="44"/>
        <v>0.11825231481481482</v>
      </c>
      <c r="N527" s="31"/>
      <c r="O527" s="31">
        <v>68.5</v>
      </c>
      <c r="P527" s="29">
        <v>70</v>
      </c>
      <c r="Q527" s="29">
        <v>85</v>
      </c>
    </row>
    <row r="528" spans="1:17" x14ac:dyDescent="0.35">
      <c r="A528" s="26">
        <v>40000002566</v>
      </c>
      <c r="B528" s="31">
        <v>1</v>
      </c>
      <c r="C528" s="29" t="str">
        <f>LOOKUP(A528,'QALS - Inspection Lot Record'!$A$2:$A$361,'QALS - Inspection Lot Record'!$O$2:$O$361)</f>
        <v>Aspirin Tablets (500 MG)</v>
      </c>
      <c r="D528" s="31">
        <v>70</v>
      </c>
      <c r="E528" s="29" t="s">
        <v>406</v>
      </c>
      <c r="F528" s="29" t="str">
        <f>LOOKUP(A528,'QALS - Inspection Lot Record'!A:A,'QALS - Inspection Lot Record'!G:G)</f>
        <v>GC197258</v>
      </c>
      <c r="G528" s="59">
        <f ca="1">LOOKUP(A528,'QALS - Inspection Lot Record'!A:A,'QALS - Inspection Lot Record'!E:E)</f>
        <v>45902</v>
      </c>
      <c r="H528" s="34" t="str">
        <f t="shared" si="45"/>
        <v>R</v>
      </c>
      <c r="I528" s="29" t="str">
        <f t="shared" si="41"/>
        <v>GC197258</v>
      </c>
      <c r="J528" s="59">
        <f t="shared" ca="1" si="42"/>
        <v>45902</v>
      </c>
      <c r="K528" s="30">
        <f ca="1">LOOKUP(A528,'QALS - Inspection Lot Record'!A:A,'QALS - Inspection Lot Record'!I:I)</f>
        <v>9.3113425925925933E-2</v>
      </c>
      <c r="L528" s="59">
        <f t="shared" ca="1" si="43"/>
        <v>45902</v>
      </c>
      <c r="M528" s="30">
        <f t="shared" ca="1" si="44"/>
        <v>0.12796296296296297</v>
      </c>
      <c r="N528" s="31"/>
      <c r="O528" s="31">
        <v>78.3</v>
      </c>
      <c r="P528" s="29">
        <v>80</v>
      </c>
      <c r="Q528" s="29">
        <v>90</v>
      </c>
    </row>
    <row r="529" spans="1:17" x14ac:dyDescent="0.35">
      <c r="A529" s="26">
        <v>40000002566</v>
      </c>
      <c r="B529" s="31">
        <v>1</v>
      </c>
      <c r="C529" s="29" t="str">
        <f>LOOKUP(A529,'QALS - Inspection Lot Record'!$A$2:$A$361,'QALS - Inspection Lot Record'!$O$2:$O$361)</f>
        <v>Aspirin Tablets (500 MG)</v>
      </c>
      <c r="D529" s="31">
        <v>80</v>
      </c>
      <c r="E529" s="29" t="s">
        <v>407</v>
      </c>
      <c r="F529" s="29" t="str">
        <f>LOOKUP(A529,'QALS - Inspection Lot Record'!A:A,'QALS - Inspection Lot Record'!G:G)</f>
        <v>GC197258</v>
      </c>
      <c r="G529" s="59">
        <f ca="1">LOOKUP(A529,'QALS - Inspection Lot Record'!A:A,'QALS - Inspection Lot Record'!E:E)</f>
        <v>45902</v>
      </c>
      <c r="H529" s="34" t="str">
        <f t="shared" si="45"/>
        <v>A</v>
      </c>
      <c r="I529" s="29" t="str">
        <f t="shared" si="41"/>
        <v>GC197258</v>
      </c>
      <c r="J529" s="59">
        <f t="shared" ca="1" si="42"/>
        <v>45902</v>
      </c>
      <c r="K529" s="30">
        <f ca="1">LOOKUP(A529,'QALS - Inspection Lot Record'!A:A,'QALS - Inspection Lot Record'!I:I)</f>
        <v>9.3113425925925933E-2</v>
      </c>
      <c r="L529" s="59">
        <f t="shared" ca="1" si="43"/>
        <v>45902</v>
      </c>
      <c r="M529" s="30">
        <f t="shared" ca="1" si="44"/>
        <v>0.11930555555555557</v>
      </c>
      <c r="N529" s="31"/>
      <c r="O529" s="31">
        <v>25.5</v>
      </c>
      <c r="P529" s="29">
        <v>23</v>
      </c>
      <c r="Q529" s="29">
        <v>28</v>
      </c>
    </row>
    <row r="530" spans="1:17" x14ac:dyDescent="0.35">
      <c r="A530" s="26">
        <v>40000002567</v>
      </c>
      <c r="B530" s="27">
        <v>1</v>
      </c>
      <c r="C530" s="29" t="str">
        <f>LOOKUP(A530,'QALS - Inspection Lot Record'!$A$2:$A$361,'QALS - Inspection Lot Record'!$O$2:$O$361)</f>
        <v>Metformin Tablets (500 MG)</v>
      </c>
      <c r="D530" s="27">
        <v>10</v>
      </c>
      <c r="E530" s="26" t="s">
        <v>399</v>
      </c>
      <c r="F530" s="29" t="str">
        <f>LOOKUP(A530,'QALS - Inspection Lot Record'!A:A,'QALS - Inspection Lot Record'!G:G)</f>
        <v>AB406550</v>
      </c>
      <c r="G530" s="59">
        <f ca="1">LOOKUP(A530,'QALS - Inspection Lot Record'!A:A,'QALS - Inspection Lot Record'!E:E)</f>
        <v>45903</v>
      </c>
      <c r="H530" s="34" t="str">
        <f t="shared" si="45"/>
        <v>R</v>
      </c>
      <c r="I530" s="29" t="str">
        <f t="shared" si="41"/>
        <v>AB406550</v>
      </c>
      <c r="J530" s="59">
        <f t="shared" ca="1" si="42"/>
        <v>45903</v>
      </c>
      <c r="K530" s="30">
        <f ca="1">LOOKUP(A530,'QALS - Inspection Lot Record'!A:A,'QALS - Inspection Lot Record'!I:I)</f>
        <v>0.52923611111111113</v>
      </c>
      <c r="L530" s="59">
        <f t="shared" ca="1" si="43"/>
        <v>45903</v>
      </c>
      <c r="M530" s="30">
        <f t="shared" ca="1" si="44"/>
        <v>0.55376157407407411</v>
      </c>
      <c r="N530" s="31"/>
      <c r="O530" s="31">
        <v>93.8</v>
      </c>
      <c r="P530" s="29">
        <v>95</v>
      </c>
      <c r="Q530" s="29">
        <v>105</v>
      </c>
    </row>
    <row r="531" spans="1:17" x14ac:dyDescent="0.35">
      <c r="A531" s="26">
        <v>40000002567</v>
      </c>
      <c r="B531" s="27">
        <v>1</v>
      </c>
      <c r="C531" s="29" t="str">
        <f>LOOKUP(A531,'QALS - Inspection Lot Record'!$A$2:$A$361,'QALS - Inspection Lot Record'!$O$2:$O$361)</f>
        <v>Metformin Tablets (500 MG)</v>
      </c>
      <c r="D531" s="31">
        <v>20</v>
      </c>
      <c r="E531" s="29" t="s">
        <v>400</v>
      </c>
      <c r="F531" s="29" t="str">
        <f>LOOKUP(A531,'QALS - Inspection Lot Record'!A:A,'QALS - Inspection Lot Record'!G:G)</f>
        <v>AB406550</v>
      </c>
      <c r="G531" s="59">
        <f ca="1">LOOKUP(A531,'QALS - Inspection Lot Record'!A:A,'QALS - Inspection Lot Record'!E:E)</f>
        <v>45903</v>
      </c>
      <c r="H531" s="34" t="str">
        <f t="shared" si="45"/>
        <v>A</v>
      </c>
      <c r="I531" s="29" t="str">
        <f t="shared" si="41"/>
        <v>AB406550</v>
      </c>
      <c r="J531" s="59">
        <f t="shared" ca="1" si="42"/>
        <v>45903</v>
      </c>
      <c r="K531" s="30">
        <f ca="1">LOOKUP(A531,'QALS - Inspection Lot Record'!A:A,'QALS - Inspection Lot Record'!I:I)</f>
        <v>0.52923611111111113</v>
      </c>
      <c r="L531" s="59">
        <f t="shared" ca="1" si="43"/>
        <v>45903</v>
      </c>
      <c r="M531" s="30">
        <f t="shared" ca="1" si="44"/>
        <v>0.55725694444444451</v>
      </c>
      <c r="N531" s="31"/>
      <c r="O531" s="31">
        <v>7.3</v>
      </c>
      <c r="P531" s="29">
        <v>3.5</v>
      </c>
      <c r="Q531" s="29">
        <v>11</v>
      </c>
    </row>
    <row r="532" spans="1:17" x14ac:dyDescent="0.35">
      <c r="A532" s="26">
        <v>40000002567</v>
      </c>
      <c r="B532" s="31">
        <v>1</v>
      </c>
      <c r="C532" s="29" t="str">
        <f>LOOKUP(A532,'QALS - Inspection Lot Record'!$A$2:$A$361,'QALS - Inspection Lot Record'!$O$2:$O$361)</f>
        <v>Metformin Tablets (500 MG)</v>
      </c>
      <c r="D532" s="31">
        <v>30</v>
      </c>
      <c r="E532" s="29" t="s">
        <v>401</v>
      </c>
      <c r="F532" s="29" t="str">
        <f>LOOKUP(A532,'QALS - Inspection Lot Record'!A:A,'QALS - Inspection Lot Record'!G:G)</f>
        <v>AB406550</v>
      </c>
      <c r="G532" s="59">
        <f ca="1">LOOKUP(A532,'QALS - Inspection Lot Record'!A:A,'QALS - Inspection Lot Record'!E:E)</f>
        <v>45903</v>
      </c>
      <c r="H532" s="34" t="str">
        <f t="shared" si="45"/>
        <v>A</v>
      </c>
      <c r="I532" s="29" t="str">
        <f t="shared" si="41"/>
        <v>AB406550</v>
      </c>
      <c r="J532" s="59">
        <f t="shared" ca="1" si="42"/>
        <v>45903</v>
      </c>
      <c r="K532" s="30">
        <f ca="1">LOOKUP(A532,'QALS - Inspection Lot Record'!A:A,'QALS - Inspection Lot Record'!I:I)</f>
        <v>0.52923611111111113</v>
      </c>
      <c r="L532" s="59">
        <f t="shared" ca="1" si="43"/>
        <v>45903</v>
      </c>
      <c r="M532" s="30">
        <f t="shared" ca="1" si="44"/>
        <v>0.55906250000000002</v>
      </c>
      <c r="N532" s="11" t="s">
        <v>402</v>
      </c>
      <c r="O532" s="31"/>
      <c r="P532" s="29"/>
      <c r="Q532" s="29"/>
    </row>
    <row r="533" spans="1:17" x14ac:dyDescent="0.35">
      <c r="A533" s="26">
        <v>40000002567</v>
      </c>
      <c r="B533" s="31">
        <v>1</v>
      </c>
      <c r="C533" s="29" t="str">
        <f>LOOKUP(A533,'QALS - Inspection Lot Record'!$A$2:$A$361,'QALS - Inspection Lot Record'!$O$2:$O$361)</f>
        <v>Metformin Tablets (500 MG)</v>
      </c>
      <c r="D533" s="31">
        <v>40</v>
      </c>
      <c r="E533" s="29" t="s">
        <v>403</v>
      </c>
      <c r="F533" s="29" t="str">
        <f>LOOKUP(A533,'QALS - Inspection Lot Record'!A:A,'QALS - Inspection Lot Record'!G:G)</f>
        <v>AB406550</v>
      </c>
      <c r="G533" s="59">
        <f ca="1">LOOKUP(A533,'QALS - Inspection Lot Record'!A:A,'QALS - Inspection Lot Record'!E:E)</f>
        <v>45903</v>
      </c>
      <c r="H533" s="34" t="str">
        <f t="shared" si="45"/>
        <v>A</v>
      </c>
      <c r="I533" s="29" t="str">
        <f t="shared" si="41"/>
        <v>AB406550</v>
      </c>
      <c r="J533" s="59">
        <f t="shared" ca="1" si="42"/>
        <v>45903</v>
      </c>
      <c r="K533" s="30">
        <f ca="1">LOOKUP(A533,'QALS - Inspection Lot Record'!A:A,'QALS - Inspection Lot Record'!I:I)</f>
        <v>0.52923611111111113</v>
      </c>
      <c r="L533" s="59">
        <f t="shared" ca="1" si="43"/>
        <v>45903</v>
      </c>
      <c r="M533" s="30">
        <f t="shared" ca="1" si="44"/>
        <v>0.54796296296296299</v>
      </c>
      <c r="N533" s="31"/>
      <c r="O533" s="31">
        <v>1.6</v>
      </c>
      <c r="P533" s="29">
        <v>0</v>
      </c>
      <c r="Q533" s="29">
        <v>2</v>
      </c>
    </row>
    <row r="534" spans="1:17" x14ac:dyDescent="0.35">
      <c r="A534" s="26">
        <v>40000002567</v>
      </c>
      <c r="B534" s="31">
        <v>1</v>
      </c>
      <c r="C534" s="29" t="str">
        <f>LOOKUP(A534,'QALS - Inspection Lot Record'!$A$2:$A$361,'QALS - Inspection Lot Record'!$O$2:$O$361)</f>
        <v>Metformin Tablets (500 MG)</v>
      </c>
      <c r="D534" s="31">
        <v>50</v>
      </c>
      <c r="E534" s="29" t="s">
        <v>404</v>
      </c>
      <c r="F534" s="29" t="str">
        <f>LOOKUP(A534,'QALS - Inspection Lot Record'!A:A,'QALS - Inspection Lot Record'!G:G)</f>
        <v>AB406550</v>
      </c>
      <c r="G534" s="59">
        <f ca="1">LOOKUP(A534,'QALS - Inspection Lot Record'!A:A,'QALS - Inspection Lot Record'!E:E)</f>
        <v>45903</v>
      </c>
      <c r="H534" s="34" t="str">
        <f t="shared" si="45"/>
        <v>A</v>
      </c>
      <c r="I534" s="29" t="str">
        <f t="shared" si="41"/>
        <v>AB406550</v>
      </c>
      <c r="J534" s="59">
        <f t="shared" ca="1" si="42"/>
        <v>45903</v>
      </c>
      <c r="K534" s="30">
        <f ca="1">LOOKUP(A534,'QALS - Inspection Lot Record'!A:A,'QALS - Inspection Lot Record'!I:I)</f>
        <v>0.52923611111111113</v>
      </c>
      <c r="L534" s="59">
        <f t="shared" ca="1" si="43"/>
        <v>45903</v>
      </c>
      <c r="M534" s="30">
        <f t="shared" ca="1" si="44"/>
        <v>0.56160879629629634</v>
      </c>
      <c r="N534" s="31"/>
      <c r="O534" s="31">
        <v>41.5</v>
      </c>
      <c r="P534" s="29">
        <v>40</v>
      </c>
      <c r="Q534" s="29">
        <v>60</v>
      </c>
    </row>
    <row r="535" spans="1:17" x14ac:dyDescent="0.35">
      <c r="A535" s="26">
        <v>40000002567</v>
      </c>
      <c r="B535" s="31">
        <v>1</v>
      </c>
      <c r="C535" s="29" t="str">
        <f>LOOKUP(A535,'QALS - Inspection Lot Record'!$A$2:$A$361,'QALS - Inspection Lot Record'!$O$2:$O$361)</f>
        <v>Metformin Tablets (500 MG)</v>
      </c>
      <c r="D535" s="31">
        <v>60</v>
      </c>
      <c r="E535" s="29" t="s">
        <v>405</v>
      </c>
      <c r="F535" s="29" t="str">
        <f>LOOKUP(A535,'QALS - Inspection Lot Record'!A:A,'QALS - Inspection Lot Record'!G:G)</f>
        <v>AB406550</v>
      </c>
      <c r="G535" s="59">
        <f ca="1">LOOKUP(A535,'QALS - Inspection Lot Record'!A:A,'QALS - Inspection Lot Record'!E:E)</f>
        <v>45903</v>
      </c>
      <c r="H535" s="34" t="str">
        <f t="shared" si="45"/>
        <v>A</v>
      </c>
      <c r="I535" s="29" t="str">
        <f t="shared" si="41"/>
        <v>AB406550</v>
      </c>
      <c r="J535" s="59">
        <f t="shared" ca="1" si="42"/>
        <v>45903</v>
      </c>
      <c r="K535" s="30">
        <f ca="1">LOOKUP(A535,'QALS - Inspection Lot Record'!A:A,'QALS - Inspection Lot Record'!I:I)</f>
        <v>0.52923611111111113</v>
      </c>
      <c r="L535" s="59">
        <f t="shared" ca="1" si="43"/>
        <v>45903</v>
      </c>
      <c r="M535" s="30">
        <f t="shared" ca="1" si="44"/>
        <v>0.55442129629629633</v>
      </c>
      <c r="N535" s="31"/>
      <c r="O535" s="31">
        <v>71.400000000000006</v>
      </c>
      <c r="P535" s="29">
        <v>70</v>
      </c>
      <c r="Q535" s="29">
        <v>85</v>
      </c>
    </row>
    <row r="536" spans="1:17" x14ac:dyDescent="0.35">
      <c r="A536" s="26">
        <v>40000002567</v>
      </c>
      <c r="B536" s="31">
        <v>1</v>
      </c>
      <c r="C536" s="29" t="str">
        <f>LOOKUP(A536,'QALS - Inspection Lot Record'!$A$2:$A$361,'QALS - Inspection Lot Record'!$O$2:$O$361)</f>
        <v>Metformin Tablets (500 MG)</v>
      </c>
      <c r="D536" s="31">
        <v>70</v>
      </c>
      <c r="E536" s="29" t="s">
        <v>406</v>
      </c>
      <c r="F536" s="29" t="str">
        <f>LOOKUP(A536,'QALS - Inspection Lot Record'!A:A,'QALS - Inspection Lot Record'!G:G)</f>
        <v>AB406550</v>
      </c>
      <c r="G536" s="59">
        <f ca="1">LOOKUP(A536,'QALS - Inspection Lot Record'!A:A,'QALS - Inspection Lot Record'!E:E)</f>
        <v>45903</v>
      </c>
      <c r="H536" s="34" t="str">
        <f t="shared" si="45"/>
        <v>A</v>
      </c>
      <c r="I536" s="29" t="str">
        <f t="shared" si="41"/>
        <v>AB406550</v>
      </c>
      <c r="J536" s="59">
        <f t="shared" ca="1" si="42"/>
        <v>45903</v>
      </c>
      <c r="K536" s="30">
        <f ca="1">LOOKUP(A536,'QALS - Inspection Lot Record'!A:A,'QALS - Inspection Lot Record'!I:I)</f>
        <v>0.52923611111111113</v>
      </c>
      <c r="L536" s="59">
        <f t="shared" ca="1" si="43"/>
        <v>45903</v>
      </c>
      <c r="M536" s="30">
        <f t="shared" ca="1" si="44"/>
        <v>0.56204861111111115</v>
      </c>
      <c r="N536" s="31"/>
      <c r="O536" s="31">
        <v>81</v>
      </c>
      <c r="P536" s="29">
        <v>80</v>
      </c>
      <c r="Q536" s="29">
        <v>90</v>
      </c>
    </row>
    <row r="537" spans="1:17" x14ac:dyDescent="0.35">
      <c r="A537" s="26">
        <v>40000002567</v>
      </c>
      <c r="B537" s="31">
        <v>1</v>
      </c>
      <c r="C537" s="29" t="str">
        <f>LOOKUP(A537,'QALS - Inspection Lot Record'!$A$2:$A$361,'QALS - Inspection Lot Record'!$O$2:$O$361)</f>
        <v>Metformin Tablets (500 MG)</v>
      </c>
      <c r="D537" s="31">
        <v>80</v>
      </c>
      <c r="E537" s="29" t="s">
        <v>407</v>
      </c>
      <c r="F537" s="29" t="str">
        <f>LOOKUP(A537,'QALS - Inspection Lot Record'!A:A,'QALS - Inspection Lot Record'!G:G)</f>
        <v>AB406550</v>
      </c>
      <c r="G537" s="59">
        <f ca="1">LOOKUP(A537,'QALS - Inspection Lot Record'!A:A,'QALS - Inspection Lot Record'!E:E)</f>
        <v>45903</v>
      </c>
      <c r="H537" s="34" t="str">
        <f t="shared" si="45"/>
        <v>A</v>
      </c>
      <c r="I537" s="29" t="str">
        <f t="shared" si="41"/>
        <v>AB406550</v>
      </c>
      <c r="J537" s="59">
        <f t="shared" ca="1" si="42"/>
        <v>45903</v>
      </c>
      <c r="K537" s="30">
        <f ca="1">LOOKUP(A537,'QALS - Inspection Lot Record'!A:A,'QALS - Inspection Lot Record'!I:I)</f>
        <v>0.52923611111111113</v>
      </c>
      <c r="L537" s="59">
        <f t="shared" ca="1" si="43"/>
        <v>45903</v>
      </c>
      <c r="M537" s="30">
        <f t="shared" ca="1" si="44"/>
        <v>0.56224537037037037</v>
      </c>
      <c r="N537" s="31"/>
      <c r="O537" s="31">
        <v>25.5</v>
      </c>
      <c r="P537" s="29">
        <v>23</v>
      </c>
      <c r="Q537" s="29">
        <v>28</v>
      </c>
    </row>
    <row r="538" spans="1:17" x14ac:dyDescent="0.35">
      <c r="A538" s="26">
        <v>40000002568</v>
      </c>
      <c r="B538" s="27">
        <v>1</v>
      </c>
      <c r="C538" s="29" t="str">
        <f>LOOKUP(A538,'QALS - Inspection Lot Record'!$A$2:$A$361,'QALS - Inspection Lot Record'!$O$2:$O$361)</f>
        <v>Aspirin Tablets (500 MG)</v>
      </c>
      <c r="D538" s="27">
        <v>10</v>
      </c>
      <c r="E538" s="26" t="s">
        <v>399</v>
      </c>
      <c r="F538" s="29" t="str">
        <f>LOOKUP(A538,'QALS - Inspection Lot Record'!A:A,'QALS - Inspection Lot Record'!G:G)</f>
        <v>YA284176</v>
      </c>
      <c r="G538" s="59">
        <f ca="1">LOOKUP(A538,'QALS - Inspection Lot Record'!A:A,'QALS - Inspection Lot Record'!E:E)</f>
        <v>45903</v>
      </c>
      <c r="H538" s="34" t="str">
        <f t="shared" si="45"/>
        <v>A</v>
      </c>
      <c r="I538" s="29" t="str">
        <f t="shared" si="41"/>
        <v>YA284176</v>
      </c>
      <c r="J538" s="59">
        <f t="shared" ca="1" si="42"/>
        <v>45903</v>
      </c>
      <c r="K538" s="30">
        <f ca="1">LOOKUP(A538,'QALS - Inspection Lot Record'!A:A,'QALS - Inspection Lot Record'!I:I)</f>
        <v>0.17251157407407408</v>
      </c>
      <c r="L538" s="59">
        <f t="shared" ca="1" si="43"/>
        <v>45903</v>
      </c>
      <c r="M538" s="30">
        <f t="shared" ca="1" si="44"/>
        <v>0.20094907407407409</v>
      </c>
      <c r="N538" s="31"/>
      <c r="O538" s="31">
        <v>100</v>
      </c>
      <c r="P538" s="29">
        <v>95</v>
      </c>
      <c r="Q538" s="29">
        <v>105</v>
      </c>
    </row>
    <row r="539" spans="1:17" x14ac:dyDescent="0.35">
      <c r="A539" s="26">
        <v>40000002568</v>
      </c>
      <c r="B539" s="27">
        <v>1</v>
      </c>
      <c r="C539" s="29" t="str">
        <f>LOOKUP(A539,'QALS - Inspection Lot Record'!$A$2:$A$361,'QALS - Inspection Lot Record'!$O$2:$O$361)</f>
        <v>Aspirin Tablets (500 MG)</v>
      </c>
      <c r="D539" s="31">
        <v>20</v>
      </c>
      <c r="E539" s="29" t="s">
        <v>400</v>
      </c>
      <c r="F539" s="29" t="str">
        <f>LOOKUP(A539,'QALS - Inspection Lot Record'!A:A,'QALS - Inspection Lot Record'!G:G)</f>
        <v>YA284176</v>
      </c>
      <c r="G539" s="59">
        <f ca="1">LOOKUP(A539,'QALS - Inspection Lot Record'!A:A,'QALS - Inspection Lot Record'!E:E)</f>
        <v>45903</v>
      </c>
      <c r="H539" s="34" t="str">
        <f t="shared" si="45"/>
        <v>A</v>
      </c>
      <c r="I539" s="29" t="str">
        <f t="shared" si="41"/>
        <v>YA284176</v>
      </c>
      <c r="J539" s="59">
        <f t="shared" ca="1" si="42"/>
        <v>45903</v>
      </c>
      <c r="K539" s="30">
        <f ca="1">LOOKUP(A539,'QALS - Inspection Lot Record'!A:A,'QALS - Inspection Lot Record'!I:I)</f>
        <v>0.17251157407407408</v>
      </c>
      <c r="L539" s="59">
        <f t="shared" ca="1" si="43"/>
        <v>45903</v>
      </c>
      <c r="M539" s="30">
        <f t="shared" ca="1" si="44"/>
        <v>0.20597222222222222</v>
      </c>
      <c r="N539" s="31"/>
      <c r="O539" s="31">
        <v>7.3</v>
      </c>
      <c r="P539" s="29">
        <v>3.5</v>
      </c>
      <c r="Q539" s="29">
        <v>11</v>
      </c>
    </row>
    <row r="540" spans="1:17" x14ac:dyDescent="0.35">
      <c r="A540" s="26">
        <v>40000002568</v>
      </c>
      <c r="B540" s="31">
        <v>1</v>
      </c>
      <c r="C540" s="29" t="str">
        <f>LOOKUP(A540,'QALS - Inspection Lot Record'!$A$2:$A$361,'QALS - Inspection Lot Record'!$O$2:$O$361)</f>
        <v>Aspirin Tablets (500 MG)</v>
      </c>
      <c r="D540" s="31">
        <v>30</v>
      </c>
      <c r="E540" s="29" t="s">
        <v>401</v>
      </c>
      <c r="F540" s="29" t="str">
        <f>LOOKUP(A540,'QALS - Inspection Lot Record'!A:A,'QALS - Inspection Lot Record'!G:G)</f>
        <v>YA284176</v>
      </c>
      <c r="G540" s="59">
        <f ca="1">LOOKUP(A540,'QALS - Inspection Lot Record'!A:A,'QALS - Inspection Lot Record'!E:E)</f>
        <v>45903</v>
      </c>
      <c r="H540" s="34" t="str">
        <f t="shared" si="45"/>
        <v>A</v>
      </c>
      <c r="I540" s="29" t="str">
        <f t="shared" si="41"/>
        <v>YA284176</v>
      </c>
      <c r="J540" s="59">
        <f t="shared" ca="1" si="42"/>
        <v>45903</v>
      </c>
      <c r="K540" s="30">
        <f ca="1">LOOKUP(A540,'QALS - Inspection Lot Record'!A:A,'QALS - Inspection Lot Record'!I:I)</f>
        <v>0.17251157407407408</v>
      </c>
      <c r="L540" s="59">
        <f t="shared" ca="1" si="43"/>
        <v>45903</v>
      </c>
      <c r="M540" s="30">
        <f t="shared" ca="1" si="44"/>
        <v>0.19203703703703703</v>
      </c>
      <c r="N540" s="11" t="s">
        <v>402</v>
      </c>
      <c r="O540" s="31"/>
      <c r="P540" s="29"/>
      <c r="Q540" s="29"/>
    </row>
    <row r="541" spans="1:17" x14ac:dyDescent="0.35">
      <c r="A541" s="26">
        <v>40000002568</v>
      </c>
      <c r="B541" s="31">
        <v>1</v>
      </c>
      <c r="C541" s="29" t="str">
        <f>LOOKUP(A541,'QALS - Inspection Lot Record'!$A$2:$A$361,'QALS - Inspection Lot Record'!$O$2:$O$361)</f>
        <v>Aspirin Tablets (500 MG)</v>
      </c>
      <c r="D541" s="31">
        <v>40</v>
      </c>
      <c r="E541" s="29" t="s">
        <v>403</v>
      </c>
      <c r="F541" s="29" t="str">
        <f>LOOKUP(A541,'QALS - Inspection Lot Record'!A:A,'QALS - Inspection Lot Record'!G:G)</f>
        <v>YA284176</v>
      </c>
      <c r="G541" s="59">
        <f ca="1">LOOKUP(A541,'QALS - Inspection Lot Record'!A:A,'QALS - Inspection Lot Record'!E:E)</f>
        <v>45903</v>
      </c>
      <c r="H541" s="34" t="str">
        <f t="shared" si="45"/>
        <v>A</v>
      </c>
      <c r="I541" s="29" t="str">
        <f t="shared" si="41"/>
        <v>YA284176</v>
      </c>
      <c r="J541" s="59">
        <f t="shared" ca="1" si="42"/>
        <v>45903</v>
      </c>
      <c r="K541" s="30">
        <f ca="1">LOOKUP(A541,'QALS - Inspection Lot Record'!A:A,'QALS - Inspection Lot Record'!I:I)</f>
        <v>0.17251157407407408</v>
      </c>
      <c r="L541" s="59">
        <f t="shared" ca="1" si="43"/>
        <v>45903</v>
      </c>
      <c r="M541" s="30">
        <f t="shared" ca="1" si="44"/>
        <v>0.18987268518518519</v>
      </c>
      <c r="N541" s="31"/>
      <c r="O541" s="31">
        <v>1.8</v>
      </c>
      <c r="P541" s="29">
        <v>0</v>
      </c>
      <c r="Q541" s="29">
        <v>2.5</v>
      </c>
    </row>
    <row r="542" spans="1:17" x14ac:dyDescent="0.35">
      <c r="A542" s="26">
        <v>40000002568</v>
      </c>
      <c r="B542" s="31">
        <v>1</v>
      </c>
      <c r="C542" s="29" t="str">
        <f>LOOKUP(A542,'QALS - Inspection Lot Record'!$A$2:$A$361,'QALS - Inspection Lot Record'!$O$2:$O$361)</f>
        <v>Aspirin Tablets (500 MG)</v>
      </c>
      <c r="D542" s="31">
        <v>50</v>
      </c>
      <c r="E542" s="29" t="s">
        <v>404</v>
      </c>
      <c r="F542" s="29" t="str">
        <f>LOOKUP(A542,'QALS - Inspection Lot Record'!A:A,'QALS - Inspection Lot Record'!G:G)</f>
        <v>YA284176</v>
      </c>
      <c r="G542" s="59">
        <f ca="1">LOOKUP(A542,'QALS - Inspection Lot Record'!A:A,'QALS - Inspection Lot Record'!E:E)</f>
        <v>45903</v>
      </c>
      <c r="H542" s="34" t="str">
        <f t="shared" si="45"/>
        <v>A</v>
      </c>
      <c r="I542" s="29" t="str">
        <f t="shared" si="41"/>
        <v>YA284176</v>
      </c>
      <c r="J542" s="59">
        <f t="shared" ca="1" si="42"/>
        <v>45903</v>
      </c>
      <c r="K542" s="30">
        <f ca="1">LOOKUP(A542,'QALS - Inspection Lot Record'!A:A,'QALS - Inspection Lot Record'!I:I)</f>
        <v>0.17251157407407408</v>
      </c>
      <c r="L542" s="59">
        <f t="shared" ca="1" si="43"/>
        <v>45903</v>
      </c>
      <c r="M542" s="30">
        <f t="shared" ca="1" si="44"/>
        <v>0.19861111111111113</v>
      </c>
      <c r="N542" s="31"/>
      <c r="O542" s="31">
        <v>41.7</v>
      </c>
      <c r="P542" s="29">
        <v>40</v>
      </c>
      <c r="Q542" s="29">
        <v>60</v>
      </c>
    </row>
    <row r="543" spans="1:17" x14ac:dyDescent="0.35">
      <c r="A543" s="26">
        <v>40000002568</v>
      </c>
      <c r="B543" s="31">
        <v>1</v>
      </c>
      <c r="C543" s="29" t="str">
        <f>LOOKUP(A543,'QALS - Inspection Lot Record'!$A$2:$A$361,'QALS - Inspection Lot Record'!$O$2:$O$361)</f>
        <v>Aspirin Tablets (500 MG)</v>
      </c>
      <c r="D543" s="31">
        <v>60</v>
      </c>
      <c r="E543" s="29" t="s">
        <v>405</v>
      </c>
      <c r="F543" s="29" t="str">
        <f>LOOKUP(A543,'QALS - Inspection Lot Record'!A:A,'QALS - Inspection Lot Record'!G:G)</f>
        <v>YA284176</v>
      </c>
      <c r="G543" s="59">
        <f ca="1">LOOKUP(A543,'QALS - Inspection Lot Record'!A:A,'QALS - Inspection Lot Record'!E:E)</f>
        <v>45903</v>
      </c>
      <c r="H543" s="34" t="str">
        <f t="shared" si="45"/>
        <v>A</v>
      </c>
      <c r="I543" s="29" t="str">
        <f t="shared" si="41"/>
        <v>YA284176</v>
      </c>
      <c r="J543" s="59">
        <f t="shared" ca="1" si="42"/>
        <v>45903</v>
      </c>
      <c r="K543" s="30">
        <f ca="1">LOOKUP(A543,'QALS - Inspection Lot Record'!A:A,'QALS - Inspection Lot Record'!I:I)</f>
        <v>0.17251157407407408</v>
      </c>
      <c r="L543" s="59">
        <f t="shared" ca="1" si="43"/>
        <v>45903</v>
      </c>
      <c r="M543" s="30">
        <f t="shared" ca="1" si="44"/>
        <v>0.20114583333333333</v>
      </c>
      <c r="N543" s="31"/>
      <c r="O543" s="31">
        <v>71.3</v>
      </c>
      <c r="P543" s="29">
        <v>70</v>
      </c>
      <c r="Q543" s="29">
        <v>85</v>
      </c>
    </row>
    <row r="544" spans="1:17" x14ac:dyDescent="0.35">
      <c r="A544" s="26">
        <v>40000002568</v>
      </c>
      <c r="B544" s="31">
        <v>1</v>
      </c>
      <c r="C544" s="29" t="str">
        <f>LOOKUP(A544,'QALS - Inspection Lot Record'!$A$2:$A$361,'QALS - Inspection Lot Record'!$O$2:$O$361)</f>
        <v>Aspirin Tablets (500 MG)</v>
      </c>
      <c r="D544" s="31">
        <v>70</v>
      </c>
      <c r="E544" s="29" t="s">
        <v>406</v>
      </c>
      <c r="F544" s="29" t="str">
        <f>LOOKUP(A544,'QALS - Inspection Lot Record'!A:A,'QALS - Inspection Lot Record'!G:G)</f>
        <v>YA284176</v>
      </c>
      <c r="G544" s="59">
        <f ca="1">LOOKUP(A544,'QALS - Inspection Lot Record'!A:A,'QALS - Inspection Lot Record'!E:E)</f>
        <v>45903</v>
      </c>
      <c r="H544" s="34" t="str">
        <f t="shared" si="45"/>
        <v>A</v>
      </c>
      <c r="I544" s="29" t="str">
        <f t="shared" si="41"/>
        <v>YA284176</v>
      </c>
      <c r="J544" s="59">
        <f t="shared" ca="1" si="42"/>
        <v>45903</v>
      </c>
      <c r="K544" s="30">
        <f ca="1">LOOKUP(A544,'QALS - Inspection Lot Record'!A:A,'QALS - Inspection Lot Record'!I:I)</f>
        <v>0.17251157407407408</v>
      </c>
      <c r="L544" s="59">
        <f t="shared" ca="1" si="43"/>
        <v>45903</v>
      </c>
      <c r="M544" s="30">
        <f t="shared" ca="1" si="44"/>
        <v>0.20224537037037038</v>
      </c>
      <c r="N544" s="31"/>
      <c r="O544" s="31">
        <v>81.2</v>
      </c>
      <c r="P544" s="29">
        <v>80</v>
      </c>
      <c r="Q544" s="29">
        <v>90</v>
      </c>
    </row>
    <row r="545" spans="1:17" x14ac:dyDescent="0.35">
      <c r="A545" s="26">
        <v>40000002568</v>
      </c>
      <c r="B545" s="31">
        <v>1</v>
      </c>
      <c r="C545" s="29" t="str">
        <f>LOOKUP(A545,'QALS - Inspection Lot Record'!$A$2:$A$361,'QALS - Inspection Lot Record'!$O$2:$O$361)</f>
        <v>Aspirin Tablets (500 MG)</v>
      </c>
      <c r="D545" s="31">
        <v>80</v>
      </c>
      <c r="E545" s="29" t="s">
        <v>407</v>
      </c>
      <c r="F545" s="29" t="str">
        <f>LOOKUP(A545,'QALS - Inspection Lot Record'!A:A,'QALS - Inspection Lot Record'!G:G)</f>
        <v>YA284176</v>
      </c>
      <c r="G545" s="59">
        <f ca="1">LOOKUP(A545,'QALS - Inspection Lot Record'!A:A,'QALS - Inspection Lot Record'!E:E)</f>
        <v>45903</v>
      </c>
      <c r="H545" s="34" t="str">
        <f t="shared" si="45"/>
        <v>A</v>
      </c>
      <c r="I545" s="29" t="str">
        <f t="shared" si="41"/>
        <v>YA284176</v>
      </c>
      <c r="J545" s="59">
        <f t="shared" ca="1" si="42"/>
        <v>45903</v>
      </c>
      <c r="K545" s="30">
        <f ca="1">LOOKUP(A545,'QALS - Inspection Lot Record'!A:A,'QALS - Inspection Lot Record'!I:I)</f>
        <v>0.17251157407407408</v>
      </c>
      <c r="L545" s="59">
        <f t="shared" ca="1" si="43"/>
        <v>45903</v>
      </c>
      <c r="M545" s="30">
        <f t="shared" ca="1" si="44"/>
        <v>0.20755787037037038</v>
      </c>
      <c r="N545" s="31"/>
      <c r="O545" s="31">
        <v>25.5</v>
      </c>
      <c r="P545" s="29">
        <v>23</v>
      </c>
      <c r="Q545" s="29">
        <v>28</v>
      </c>
    </row>
    <row r="546" spans="1:17" x14ac:dyDescent="0.35">
      <c r="A546" s="26">
        <v>40000002569</v>
      </c>
      <c r="B546" s="27">
        <v>1</v>
      </c>
      <c r="C546" s="29" t="str">
        <f>LOOKUP(A546,'QALS - Inspection Lot Record'!$A$2:$A$361,'QALS - Inspection Lot Record'!$O$2:$O$361)</f>
        <v>Metformin Tablets (200 MG)</v>
      </c>
      <c r="D546" s="27">
        <v>10</v>
      </c>
      <c r="E546" s="26" t="s">
        <v>399</v>
      </c>
      <c r="F546" s="29" t="str">
        <f>LOOKUP(A546,'QALS - Inspection Lot Record'!A:A,'QALS - Inspection Lot Record'!G:G)</f>
        <v>TP397880</v>
      </c>
      <c r="G546" s="59">
        <f ca="1">LOOKUP(A546,'QALS - Inspection Lot Record'!A:A,'QALS - Inspection Lot Record'!E:E)</f>
        <v>45904</v>
      </c>
      <c r="H546" s="34" t="str">
        <f t="shared" si="45"/>
        <v>A</v>
      </c>
      <c r="I546" s="29" t="str">
        <f t="shared" si="41"/>
        <v>TP397880</v>
      </c>
      <c r="J546" s="59">
        <f t="shared" ca="1" si="42"/>
        <v>45904</v>
      </c>
      <c r="K546" s="30">
        <f ca="1">LOOKUP(A546,'QALS - Inspection Lot Record'!A:A,'QALS - Inspection Lot Record'!I:I)</f>
        <v>0.55642361111111116</v>
      </c>
      <c r="L546" s="59">
        <f t="shared" ca="1" si="43"/>
        <v>45904</v>
      </c>
      <c r="M546" s="30">
        <f t="shared" ca="1" si="44"/>
        <v>0.57671296296296304</v>
      </c>
      <c r="N546" s="31"/>
      <c r="O546" s="31">
        <v>99</v>
      </c>
      <c r="P546" s="29">
        <v>95</v>
      </c>
      <c r="Q546" s="29">
        <v>103</v>
      </c>
    </row>
    <row r="547" spans="1:17" x14ac:dyDescent="0.35">
      <c r="A547" s="26">
        <v>40000002569</v>
      </c>
      <c r="B547" s="27">
        <v>1</v>
      </c>
      <c r="C547" s="29" t="str">
        <f>LOOKUP(A547,'QALS - Inspection Lot Record'!$A$2:$A$361,'QALS - Inspection Lot Record'!$O$2:$O$361)</f>
        <v>Metformin Tablets (200 MG)</v>
      </c>
      <c r="D547" s="31">
        <v>20</v>
      </c>
      <c r="E547" s="29" t="s">
        <v>400</v>
      </c>
      <c r="F547" s="29" t="str">
        <f>LOOKUP(A547,'QALS - Inspection Lot Record'!A:A,'QALS - Inspection Lot Record'!G:G)</f>
        <v>TP397880</v>
      </c>
      <c r="G547" s="59">
        <f ca="1">LOOKUP(A547,'QALS - Inspection Lot Record'!A:A,'QALS - Inspection Lot Record'!E:E)</f>
        <v>45904</v>
      </c>
      <c r="H547" s="34" t="str">
        <f t="shared" si="45"/>
        <v>A</v>
      </c>
      <c r="I547" s="29" t="str">
        <f t="shared" si="41"/>
        <v>TP397880</v>
      </c>
      <c r="J547" s="59">
        <f t="shared" ca="1" si="42"/>
        <v>45904</v>
      </c>
      <c r="K547" s="30">
        <f ca="1">LOOKUP(A547,'QALS - Inspection Lot Record'!A:A,'QALS - Inspection Lot Record'!I:I)</f>
        <v>0.55642361111111116</v>
      </c>
      <c r="L547" s="59">
        <f t="shared" ca="1" si="43"/>
        <v>45904</v>
      </c>
      <c r="M547" s="30">
        <f t="shared" ca="1" si="44"/>
        <v>0.57964120370370376</v>
      </c>
      <c r="N547" s="31"/>
      <c r="O547" s="31">
        <v>7.75</v>
      </c>
      <c r="P547" s="29">
        <v>6</v>
      </c>
      <c r="Q547" s="29">
        <v>9.5</v>
      </c>
    </row>
    <row r="548" spans="1:17" x14ac:dyDescent="0.35">
      <c r="A548" s="26">
        <v>40000002569</v>
      </c>
      <c r="B548" s="31">
        <v>1</v>
      </c>
      <c r="C548" s="29" t="str">
        <f>LOOKUP(A548,'QALS - Inspection Lot Record'!$A$2:$A$361,'QALS - Inspection Lot Record'!$O$2:$O$361)</f>
        <v>Metformin Tablets (200 MG)</v>
      </c>
      <c r="D548" s="31">
        <v>30</v>
      </c>
      <c r="E548" s="29" t="s">
        <v>401</v>
      </c>
      <c r="F548" s="29" t="str">
        <f>LOOKUP(A548,'QALS - Inspection Lot Record'!A:A,'QALS - Inspection Lot Record'!G:G)</f>
        <v>TP397880</v>
      </c>
      <c r="G548" s="59">
        <f ca="1">LOOKUP(A548,'QALS - Inspection Lot Record'!A:A,'QALS - Inspection Lot Record'!E:E)</f>
        <v>45904</v>
      </c>
      <c r="H548" s="34" t="str">
        <f t="shared" si="45"/>
        <v>A</v>
      </c>
      <c r="I548" s="29" t="str">
        <f t="shared" si="41"/>
        <v>TP397880</v>
      </c>
      <c r="J548" s="59">
        <f t="shared" ca="1" si="42"/>
        <v>45904</v>
      </c>
      <c r="K548" s="30">
        <f ca="1">LOOKUP(A548,'QALS - Inspection Lot Record'!A:A,'QALS - Inspection Lot Record'!I:I)</f>
        <v>0.55642361111111116</v>
      </c>
      <c r="L548" s="59">
        <f t="shared" ca="1" si="43"/>
        <v>45904</v>
      </c>
      <c r="M548" s="30">
        <f t="shared" ca="1" si="44"/>
        <v>0.57442129629629635</v>
      </c>
      <c r="N548" s="11" t="s">
        <v>402</v>
      </c>
      <c r="O548" s="31"/>
      <c r="P548" s="29"/>
      <c r="Q548" s="29"/>
    </row>
    <row r="549" spans="1:17" x14ac:dyDescent="0.35">
      <c r="A549" s="26">
        <v>40000002569</v>
      </c>
      <c r="B549" s="31">
        <v>1</v>
      </c>
      <c r="C549" s="29" t="str">
        <f>LOOKUP(A549,'QALS - Inspection Lot Record'!$A$2:$A$361,'QALS - Inspection Lot Record'!$O$2:$O$361)</f>
        <v>Metformin Tablets (200 MG)</v>
      </c>
      <c r="D549" s="31">
        <v>40</v>
      </c>
      <c r="E549" s="29" t="s">
        <v>403</v>
      </c>
      <c r="F549" s="29" t="str">
        <f>LOOKUP(A549,'QALS - Inspection Lot Record'!A:A,'QALS - Inspection Lot Record'!G:G)</f>
        <v>TP397880</v>
      </c>
      <c r="G549" s="59">
        <f ca="1">LOOKUP(A549,'QALS - Inspection Lot Record'!A:A,'QALS - Inspection Lot Record'!E:E)</f>
        <v>45904</v>
      </c>
      <c r="H549" s="34" t="str">
        <f t="shared" si="45"/>
        <v>A</v>
      </c>
      <c r="I549" s="29" t="str">
        <f t="shared" si="41"/>
        <v>TP397880</v>
      </c>
      <c r="J549" s="59">
        <f t="shared" ca="1" si="42"/>
        <v>45904</v>
      </c>
      <c r="K549" s="30">
        <f ca="1">LOOKUP(A549,'QALS - Inspection Lot Record'!A:A,'QALS - Inspection Lot Record'!I:I)</f>
        <v>0.55642361111111116</v>
      </c>
      <c r="L549" s="59">
        <f t="shared" ca="1" si="43"/>
        <v>45904</v>
      </c>
      <c r="M549" s="30">
        <f t="shared" ca="1" si="44"/>
        <v>0.5857175925925926</v>
      </c>
      <c r="N549" s="31"/>
      <c r="O549" s="31">
        <v>0</v>
      </c>
      <c r="P549" s="29">
        <v>0</v>
      </c>
      <c r="Q549" s="29">
        <v>2</v>
      </c>
    </row>
    <row r="550" spans="1:17" x14ac:dyDescent="0.35">
      <c r="A550" s="26">
        <v>40000002569</v>
      </c>
      <c r="B550" s="31">
        <v>1</v>
      </c>
      <c r="C550" s="29" t="str">
        <f>LOOKUP(A550,'QALS - Inspection Lot Record'!$A$2:$A$361,'QALS - Inspection Lot Record'!$O$2:$O$361)</f>
        <v>Metformin Tablets (200 MG)</v>
      </c>
      <c r="D550" s="31">
        <v>50</v>
      </c>
      <c r="E550" s="29" t="s">
        <v>404</v>
      </c>
      <c r="F550" s="29" t="str">
        <f>LOOKUP(A550,'QALS - Inspection Lot Record'!A:A,'QALS - Inspection Lot Record'!G:G)</f>
        <v>TP397880</v>
      </c>
      <c r="G550" s="59">
        <f ca="1">LOOKUP(A550,'QALS - Inspection Lot Record'!A:A,'QALS - Inspection Lot Record'!E:E)</f>
        <v>45904</v>
      </c>
      <c r="H550" s="34" t="str">
        <f t="shared" si="45"/>
        <v>A</v>
      </c>
      <c r="I550" s="29" t="str">
        <f t="shared" si="41"/>
        <v>TP397880</v>
      </c>
      <c r="J550" s="59">
        <f t="shared" ca="1" si="42"/>
        <v>45904</v>
      </c>
      <c r="K550" s="30">
        <f ca="1">LOOKUP(A550,'QALS - Inspection Lot Record'!A:A,'QALS - Inspection Lot Record'!I:I)</f>
        <v>0.55642361111111116</v>
      </c>
      <c r="L550" s="59">
        <f t="shared" ca="1" si="43"/>
        <v>45904</v>
      </c>
      <c r="M550" s="30">
        <f t="shared" ca="1" si="44"/>
        <v>0.58515046296296302</v>
      </c>
      <c r="N550" s="31"/>
      <c r="O550" s="31">
        <v>50</v>
      </c>
      <c r="P550" s="29">
        <v>40</v>
      </c>
      <c r="Q550" s="29">
        <v>60</v>
      </c>
    </row>
    <row r="551" spans="1:17" x14ac:dyDescent="0.35">
      <c r="A551" s="26">
        <v>40000002569</v>
      </c>
      <c r="B551" s="31">
        <v>1</v>
      </c>
      <c r="C551" s="29" t="str">
        <f>LOOKUP(A551,'QALS - Inspection Lot Record'!$A$2:$A$361,'QALS - Inspection Lot Record'!$O$2:$O$361)</f>
        <v>Metformin Tablets (200 MG)</v>
      </c>
      <c r="D551" s="31">
        <v>60</v>
      </c>
      <c r="E551" s="29" t="s">
        <v>405</v>
      </c>
      <c r="F551" s="29" t="str">
        <f>LOOKUP(A551,'QALS - Inspection Lot Record'!A:A,'QALS - Inspection Lot Record'!G:G)</f>
        <v>TP397880</v>
      </c>
      <c r="G551" s="59">
        <f ca="1">LOOKUP(A551,'QALS - Inspection Lot Record'!A:A,'QALS - Inspection Lot Record'!E:E)</f>
        <v>45904</v>
      </c>
      <c r="H551" s="34" t="str">
        <f t="shared" si="45"/>
        <v>A</v>
      </c>
      <c r="I551" s="29" t="str">
        <f t="shared" si="41"/>
        <v>TP397880</v>
      </c>
      <c r="J551" s="59">
        <f t="shared" ca="1" si="42"/>
        <v>45904</v>
      </c>
      <c r="K551" s="30">
        <f ca="1">LOOKUP(A551,'QALS - Inspection Lot Record'!A:A,'QALS - Inspection Lot Record'!I:I)</f>
        <v>0.55642361111111116</v>
      </c>
      <c r="L551" s="59">
        <f t="shared" ca="1" si="43"/>
        <v>45904</v>
      </c>
      <c r="M551" s="30">
        <f t="shared" ca="1" si="44"/>
        <v>0.58901620370370378</v>
      </c>
      <c r="N551" s="31"/>
      <c r="O551" s="31">
        <v>77.5</v>
      </c>
      <c r="P551" s="29">
        <v>70</v>
      </c>
      <c r="Q551" s="29">
        <v>85</v>
      </c>
    </row>
    <row r="552" spans="1:17" x14ac:dyDescent="0.35">
      <c r="A552" s="26">
        <v>40000002569</v>
      </c>
      <c r="B552" s="31">
        <v>1</v>
      </c>
      <c r="C552" s="29" t="str">
        <f>LOOKUP(A552,'QALS - Inspection Lot Record'!$A$2:$A$361,'QALS - Inspection Lot Record'!$O$2:$O$361)</f>
        <v>Metformin Tablets (200 MG)</v>
      </c>
      <c r="D552" s="31">
        <v>70</v>
      </c>
      <c r="E552" s="29" t="s">
        <v>406</v>
      </c>
      <c r="F552" s="29" t="str">
        <f>LOOKUP(A552,'QALS - Inspection Lot Record'!A:A,'QALS - Inspection Lot Record'!G:G)</f>
        <v>TP397880</v>
      </c>
      <c r="G552" s="59">
        <f ca="1">LOOKUP(A552,'QALS - Inspection Lot Record'!A:A,'QALS - Inspection Lot Record'!E:E)</f>
        <v>45904</v>
      </c>
      <c r="H552" s="34" t="str">
        <f t="shared" si="45"/>
        <v>A</v>
      </c>
      <c r="I552" s="29" t="str">
        <f t="shared" si="41"/>
        <v>TP397880</v>
      </c>
      <c r="J552" s="59">
        <f t="shared" ca="1" si="42"/>
        <v>45904</v>
      </c>
      <c r="K552" s="30">
        <f ca="1">LOOKUP(A552,'QALS - Inspection Lot Record'!A:A,'QALS - Inspection Lot Record'!I:I)</f>
        <v>0.55642361111111116</v>
      </c>
      <c r="L552" s="59">
        <f t="shared" ca="1" si="43"/>
        <v>45904</v>
      </c>
      <c r="M552" s="30">
        <f t="shared" ca="1" si="44"/>
        <v>0.57689814814814822</v>
      </c>
      <c r="N552" s="31"/>
      <c r="O552" s="31">
        <v>85</v>
      </c>
      <c r="P552" s="29">
        <v>80</v>
      </c>
      <c r="Q552" s="29">
        <v>90</v>
      </c>
    </row>
    <row r="553" spans="1:17" x14ac:dyDescent="0.35">
      <c r="A553" s="26">
        <v>40000002569</v>
      </c>
      <c r="B553" s="31">
        <v>1</v>
      </c>
      <c r="C553" s="29" t="str">
        <f>LOOKUP(A553,'QALS - Inspection Lot Record'!$A$2:$A$361,'QALS - Inspection Lot Record'!$O$2:$O$361)</f>
        <v>Metformin Tablets (200 MG)</v>
      </c>
      <c r="D553" s="31">
        <v>80</v>
      </c>
      <c r="E553" s="29" t="s">
        <v>407</v>
      </c>
      <c r="F553" s="29" t="str">
        <f>LOOKUP(A553,'QALS - Inspection Lot Record'!A:A,'QALS - Inspection Lot Record'!G:G)</f>
        <v>TP397880</v>
      </c>
      <c r="G553" s="59">
        <f ca="1">LOOKUP(A553,'QALS - Inspection Lot Record'!A:A,'QALS - Inspection Lot Record'!E:E)</f>
        <v>45904</v>
      </c>
      <c r="H553" s="34" t="str">
        <f t="shared" si="45"/>
        <v>R</v>
      </c>
      <c r="I553" s="29" t="str">
        <f t="shared" si="41"/>
        <v>TP397880</v>
      </c>
      <c r="J553" s="59">
        <f t="shared" ca="1" si="42"/>
        <v>45904</v>
      </c>
      <c r="K553" s="30">
        <f ca="1">LOOKUP(A553,'QALS - Inspection Lot Record'!A:A,'QALS - Inspection Lot Record'!I:I)</f>
        <v>0.55642361111111116</v>
      </c>
      <c r="L553" s="59">
        <f t="shared" ca="1" si="43"/>
        <v>45904</v>
      </c>
      <c r="M553" s="30">
        <f t="shared" ca="1" si="44"/>
        <v>0.59152777777777787</v>
      </c>
      <c r="N553" s="31"/>
      <c r="O553" s="31">
        <v>21.6</v>
      </c>
      <c r="P553" s="29">
        <v>23</v>
      </c>
      <c r="Q553" s="29">
        <v>28</v>
      </c>
    </row>
    <row r="554" spans="1:17" x14ac:dyDescent="0.35">
      <c r="A554" s="26">
        <v>40000002570</v>
      </c>
      <c r="B554" s="27">
        <v>1</v>
      </c>
      <c r="C554" s="29" t="str">
        <f>LOOKUP(A554,'QALS - Inspection Lot Record'!$A$2:$A$361,'QALS - Inspection Lot Record'!$O$2:$O$361)</f>
        <v>Metformin Tablets (100 MG)</v>
      </c>
      <c r="D554" s="27">
        <v>10</v>
      </c>
      <c r="E554" s="26" t="s">
        <v>399</v>
      </c>
      <c r="F554" s="29" t="str">
        <f>LOOKUP(A554,'QALS - Inspection Lot Record'!A:A,'QALS - Inspection Lot Record'!G:G)</f>
        <v>GC197258</v>
      </c>
      <c r="G554" s="59">
        <f ca="1">LOOKUP(A554,'QALS - Inspection Lot Record'!A:A,'QALS - Inspection Lot Record'!E:E)</f>
        <v>45904</v>
      </c>
      <c r="H554" s="34" t="str">
        <f t="shared" si="45"/>
        <v>R</v>
      </c>
      <c r="I554" s="29" t="str">
        <f t="shared" si="41"/>
        <v>GC197258</v>
      </c>
      <c r="J554" s="59">
        <f t="shared" ca="1" si="42"/>
        <v>45904</v>
      </c>
      <c r="K554" s="30">
        <f ca="1">LOOKUP(A554,'QALS - Inspection Lot Record'!A:A,'QALS - Inspection Lot Record'!I:I)</f>
        <v>0.39502314814814815</v>
      </c>
      <c r="L554" s="59">
        <f t="shared" ca="1" si="43"/>
        <v>45904</v>
      </c>
      <c r="M554" s="30">
        <f t="shared" ca="1" si="44"/>
        <v>0.41826388888888888</v>
      </c>
      <c r="N554" s="31"/>
      <c r="O554" s="31">
        <v>93.6</v>
      </c>
      <c r="P554" s="29">
        <v>95</v>
      </c>
      <c r="Q554" s="29">
        <v>102</v>
      </c>
    </row>
    <row r="555" spans="1:17" x14ac:dyDescent="0.35">
      <c r="A555" s="26">
        <v>40000002570</v>
      </c>
      <c r="B555" s="27">
        <v>1</v>
      </c>
      <c r="C555" s="29" t="str">
        <f>LOOKUP(A555,'QALS - Inspection Lot Record'!$A$2:$A$361,'QALS - Inspection Lot Record'!$O$2:$O$361)</f>
        <v>Metformin Tablets (100 MG)</v>
      </c>
      <c r="D555" s="31">
        <v>20</v>
      </c>
      <c r="E555" s="29" t="s">
        <v>400</v>
      </c>
      <c r="F555" s="29" t="str">
        <f>LOOKUP(A555,'QALS - Inspection Lot Record'!A:A,'QALS - Inspection Lot Record'!G:G)</f>
        <v>GC197258</v>
      </c>
      <c r="G555" s="59">
        <f ca="1">LOOKUP(A555,'QALS - Inspection Lot Record'!A:A,'QALS - Inspection Lot Record'!E:E)</f>
        <v>45904</v>
      </c>
      <c r="H555" s="34" t="str">
        <f t="shared" si="45"/>
        <v>A</v>
      </c>
      <c r="I555" s="29" t="str">
        <f t="shared" si="41"/>
        <v>GC197258</v>
      </c>
      <c r="J555" s="59">
        <f t="shared" ca="1" si="42"/>
        <v>45904</v>
      </c>
      <c r="K555" s="30">
        <f ca="1">LOOKUP(A555,'QALS - Inspection Lot Record'!A:A,'QALS - Inspection Lot Record'!I:I)</f>
        <v>0.39502314814814815</v>
      </c>
      <c r="L555" s="59">
        <f t="shared" ca="1" si="43"/>
        <v>45904</v>
      </c>
      <c r="M555" s="30">
        <f t="shared" ca="1" si="44"/>
        <v>0.42230324074074077</v>
      </c>
      <c r="N555" s="31"/>
      <c r="O555" s="31">
        <v>7.25</v>
      </c>
      <c r="P555" s="29">
        <v>3.5</v>
      </c>
      <c r="Q555" s="29">
        <v>11</v>
      </c>
    </row>
    <row r="556" spans="1:17" x14ac:dyDescent="0.35">
      <c r="A556" s="26">
        <v>40000002570</v>
      </c>
      <c r="B556" s="31">
        <v>1</v>
      </c>
      <c r="C556" s="29" t="str">
        <f>LOOKUP(A556,'QALS - Inspection Lot Record'!$A$2:$A$361,'QALS - Inspection Lot Record'!$O$2:$O$361)</f>
        <v>Metformin Tablets (100 MG)</v>
      </c>
      <c r="D556" s="31">
        <v>30</v>
      </c>
      <c r="E556" s="29" t="s">
        <v>401</v>
      </c>
      <c r="F556" s="29" t="str">
        <f>LOOKUP(A556,'QALS - Inspection Lot Record'!A:A,'QALS - Inspection Lot Record'!G:G)</f>
        <v>GC197258</v>
      </c>
      <c r="G556" s="59">
        <f ca="1">LOOKUP(A556,'QALS - Inspection Lot Record'!A:A,'QALS - Inspection Lot Record'!E:E)</f>
        <v>45904</v>
      </c>
      <c r="H556" s="34" t="str">
        <f t="shared" si="45"/>
        <v>A</v>
      </c>
      <c r="I556" s="29" t="str">
        <f t="shared" si="41"/>
        <v>GC197258</v>
      </c>
      <c r="J556" s="59">
        <f t="shared" ca="1" si="42"/>
        <v>45904</v>
      </c>
      <c r="K556" s="30">
        <f ca="1">LOOKUP(A556,'QALS - Inspection Lot Record'!A:A,'QALS - Inspection Lot Record'!I:I)</f>
        <v>0.39502314814814815</v>
      </c>
      <c r="L556" s="59">
        <f t="shared" ca="1" si="43"/>
        <v>45904</v>
      </c>
      <c r="M556" s="30">
        <f t="shared" ca="1" si="44"/>
        <v>0.41877314814814814</v>
      </c>
      <c r="N556" s="11" t="s">
        <v>402</v>
      </c>
      <c r="O556" s="31"/>
      <c r="P556" s="29"/>
      <c r="Q556" s="29"/>
    </row>
    <row r="557" spans="1:17" x14ac:dyDescent="0.35">
      <c r="A557" s="26">
        <v>40000002570</v>
      </c>
      <c r="B557" s="31">
        <v>1</v>
      </c>
      <c r="C557" s="29" t="str">
        <f>LOOKUP(A557,'QALS - Inspection Lot Record'!$A$2:$A$361,'QALS - Inspection Lot Record'!$O$2:$O$361)</f>
        <v>Metformin Tablets (100 MG)</v>
      </c>
      <c r="D557" s="31">
        <v>40</v>
      </c>
      <c r="E557" s="29" t="s">
        <v>403</v>
      </c>
      <c r="F557" s="29" t="str">
        <f>LOOKUP(A557,'QALS - Inspection Lot Record'!A:A,'QALS - Inspection Lot Record'!G:G)</f>
        <v>GC197258</v>
      </c>
      <c r="G557" s="59">
        <f ca="1">LOOKUP(A557,'QALS - Inspection Lot Record'!A:A,'QALS - Inspection Lot Record'!E:E)</f>
        <v>45904</v>
      </c>
      <c r="H557" s="34" t="str">
        <f t="shared" si="45"/>
        <v>A</v>
      </c>
      <c r="I557" s="29" t="str">
        <f t="shared" si="41"/>
        <v>GC197258</v>
      </c>
      <c r="J557" s="59">
        <f t="shared" ca="1" si="42"/>
        <v>45904</v>
      </c>
      <c r="K557" s="30">
        <f ca="1">LOOKUP(A557,'QALS - Inspection Lot Record'!A:A,'QALS - Inspection Lot Record'!I:I)</f>
        <v>0.39502314814814815</v>
      </c>
      <c r="L557" s="59">
        <f t="shared" ca="1" si="43"/>
        <v>45904</v>
      </c>
      <c r="M557" s="30">
        <f t="shared" ca="1" si="44"/>
        <v>0.43019675925925926</v>
      </c>
      <c r="N557" s="31"/>
      <c r="O557" s="31">
        <v>0</v>
      </c>
      <c r="P557" s="29">
        <v>0</v>
      </c>
      <c r="Q557" s="29">
        <v>1</v>
      </c>
    </row>
    <row r="558" spans="1:17" x14ac:dyDescent="0.35">
      <c r="A558" s="26">
        <v>40000002570</v>
      </c>
      <c r="B558" s="31">
        <v>1</v>
      </c>
      <c r="C558" s="29" t="str">
        <f>LOOKUP(A558,'QALS - Inspection Lot Record'!$A$2:$A$361,'QALS - Inspection Lot Record'!$O$2:$O$361)</f>
        <v>Metformin Tablets (100 MG)</v>
      </c>
      <c r="D558" s="31">
        <v>50</v>
      </c>
      <c r="E558" s="29" t="s">
        <v>404</v>
      </c>
      <c r="F558" s="29" t="str">
        <f>LOOKUP(A558,'QALS - Inspection Lot Record'!A:A,'QALS - Inspection Lot Record'!G:G)</f>
        <v>GC197258</v>
      </c>
      <c r="G558" s="59">
        <f ca="1">LOOKUP(A558,'QALS - Inspection Lot Record'!A:A,'QALS - Inspection Lot Record'!E:E)</f>
        <v>45904</v>
      </c>
      <c r="H558" s="34" t="str">
        <f t="shared" si="45"/>
        <v>R</v>
      </c>
      <c r="I558" s="29" t="str">
        <f t="shared" si="41"/>
        <v>GC197258</v>
      </c>
      <c r="J558" s="59">
        <f t="shared" ca="1" si="42"/>
        <v>45904</v>
      </c>
      <c r="K558" s="30">
        <f ca="1">LOOKUP(A558,'QALS - Inspection Lot Record'!A:A,'QALS - Inspection Lot Record'!I:I)</f>
        <v>0.39502314814814815</v>
      </c>
      <c r="L558" s="59">
        <f t="shared" ca="1" si="43"/>
        <v>45904</v>
      </c>
      <c r="M558" s="30">
        <f t="shared" ca="1" si="44"/>
        <v>0.41912037037037037</v>
      </c>
      <c r="N558" s="31"/>
      <c r="O558" s="31">
        <v>38.4</v>
      </c>
      <c r="P558" s="29">
        <v>40</v>
      </c>
      <c r="Q558" s="29">
        <v>60</v>
      </c>
    </row>
    <row r="559" spans="1:17" x14ac:dyDescent="0.35">
      <c r="A559" s="26">
        <v>40000002570</v>
      </c>
      <c r="B559" s="31">
        <v>1</v>
      </c>
      <c r="C559" s="29" t="str">
        <f>LOOKUP(A559,'QALS - Inspection Lot Record'!$A$2:$A$361,'QALS - Inspection Lot Record'!$O$2:$O$361)</f>
        <v>Metformin Tablets (100 MG)</v>
      </c>
      <c r="D559" s="31">
        <v>60</v>
      </c>
      <c r="E559" s="29" t="s">
        <v>405</v>
      </c>
      <c r="F559" s="29" t="str">
        <f>LOOKUP(A559,'QALS - Inspection Lot Record'!A:A,'QALS - Inspection Lot Record'!G:G)</f>
        <v>GC197258</v>
      </c>
      <c r="G559" s="59">
        <f ca="1">LOOKUP(A559,'QALS - Inspection Lot Record'!A:A,'QALS - Inspection Lot Record'!E:E)</f>
        <v>45904</v>
      </c>
      <c r="H559" s="34" t="str">
        <f t="shared" si="45"/>
        <v>R</v>
      </c>
      <c r="I559" s="29" t="str">
        <f t="shared" si="41"/>
        <v>GC197258</v>
      </c>
      <c r="J559" s="59">
        <f t="shared" ca="1" si="42"/>
        <v>45904</v>
      </c>
      <c r="K559" s="30">
        <f ca="1">LOOKUP(A559,'QALS - Inspection Lot Record'!A:A,'QALS - Inspection Lot Record'!I:I)</f>
        <v>0.39502314814814815</v>
      </c>
      <c r="L559" s="59">
        <f t="shared" ca="1" si="43"/>
        <v>45904</v>
      </c>
      <c r="M559" s="30">
        <f t="shared" ca="1" si="44"/>
        <v>0.41502314814814817</v>
      </c>
      <c r="N559" s="31"/>
      <c r="O559" s="31">
        <v>68.400000000000006</v>
      </c>
      <c r="P559" s="29">
        <v>70</v>
      </c>
      <c r="Q559" s="29">
        <v>85</v>
      </c>
    </row>
    <row r="560" spans="1:17" x14ac:dyDescent="0.35">
      <c r="A560" s="26">
        <v>40000002570</v>
      </c>
      <c r="B560" s="31">
        <v>1</v>
      </c>
      <c r="C560" s="29" t="str">
        <f>LOOKUP(A560,'QALS - Inspection Lot Record'!$A$2:$A$361,'QALS - Inspection Lot Record'!$O$2:$O$361)</f>
        <v>Metformin Tablets (100 MG)</v>
      </c>
      <c r="D560" s="31">
        <v>70</v>
      </c>
      <c r="E560" s="29" t="s">
        <v>406</v>
      </c>
      <c r="F560" s="29" t="str">
        <f>LOOKUP(A560,'QALS - Inspection Lot Record'!A:A,'QALS - Inspection Lot Record'!G:G)</f>
        <v>GC197258</v>
      </c>
      <c r="G560" s="59">
        <f ca="1">LOOKUP(A560,'QALS - Inspection Lot Record'!A:A,'QALS - Inspection Lot Record'!E:E)</f>
        <v>45904</v>
      </c>
      <c r="H560" s="34" t="str">
        <f t="shared" si="45"/>
        <v>A</v>
      </c>
      <c r="I560" s="29" t="str">
        <f t="shared" si="41"/>
        <v>GC197258</v>
      </c>
      <c r="J560" s="59">
        <f t="shared" ca="1" si="42"/>
        <v>45904</v>
      </c>
      <c r="K560" s="30">
        <f ca="1">LOOKUP(A560,'QALS - Inspection Lot Record'!A:A,'QALS - Inspection Lot Record'!I:I)</f>
        <v>0.39502314814814815</v>
      </c>
      <c r="L560" s="59">
        <f t="shared" ca="1" si="43"/>
        <v>45904</v>
      </c>
      <c r="M560" s="30">
        <f t="shared" ca="1" si="44"/>
        <v>0.41819444444444442</v>
      </c>
      <c r="N560" s="31"/>
      <c r="O560" s="31">
        <v>85</v>
      </c>
      <c r="P560" s="29">
        <v>80</v>
      </c>
      <c r="Q560" s="29">
        <v>90</v>
      </c>
    </row>
    <row r="561" spans="1:17" x14ac:dyDescent="0.35">
      <c r="A561" s="26">
        <v>40000002570</v>
      </c>
      <c r="B561" s="31">
        <v>1</v>
      </c>
      <c r="C561" s="29" t="str">
        <f>LOOKUP(A561,'QALS - Inspection Lot Record'!$A$2:$A$361,'QALS - Inspection Lot Record'!$O$2:$O$361)</f>
        <v>Metformin Tablets (100 MG)</v>
      </c>
      <c r="D561" s="31">
        <v>80</v>
      </c>
      <c r="E561" s="29" t="s">
        <v>407</v>
      </c>
      <c r="F561" s="29" t="str">
        <f>LOOKUP(A561,'QALS - Inspection Lot Record'!A:A,'QALS - Inspection Lot Record'!G:G)</f>
        <v>GC197258</v>
      </c>
      <c r="G561" s="59">
        <f ca="1">LOOKUP(A561,'QALS - Inspection Lot Record'!A:A,'QALS - Inspection Lot Record'!E:E)</f>
        <v>45904</v>
      </c>
      <c r="H561" s="34" t="str">
        <f t="shared" si="45"/>
        <v>A</v>
      </c>
      <c r="I561" s="29" t="str">
        <f t="shared" si="41"/>
        <v>GC197258</v>
      </c>
      <c r="J561" s="59">
        <f t="shared" ca="1" si="42"/>
        <v>45904</v>
      </c>
      <c r="K561" s="30">
        <f ca="1">LOOKUP(A561,'QALS - Inspection Lot Record'!A:A,'QALS - Inspection Lot Record'!I:I)</f>
        <v>0.39502314814814815</v>
      </c>
      <c r="L561" s="59">
        <f t="shared" ca="1" si="43"/>
        <v>45904</v>
      </c>
      <c r="M561" s="30">
        <f t="shared" ca="1" si="44"/>
        <v>0.41898148148148151</v>
      </c>
      <c r="N561" s="31"/>
      <c r="O561" s="31">
        <v>24</v>
      </c>
      <c r="P561" s="29">
        <v>23</v>
      </c>
      <c r="Q561" s="29">
        <v>25</v>
      </c>
    </row>
    <row r="562" spans="1:17" x14ac:dyDescent="0.35">
      <c r="A562" s="26">
        <v>40000002571</v>
      </c>
      <c r="B562" s="27">
        <v>1</v>
      </c>
      <c r="C562" s="29" t="str">
        <f>LOOKUP(A562,'QALS - Inspection Lot Record'!$A$2:$A$361,'QALS - Inspection Lot Record'!$O$2:$O$361)</f>
        <v>Metformin Tablets (100 MG)</v>
      </c>
      <c r="D562" s="27">
        <v>10</v>
      </c>
      <c r="E562" s="26" t="s">
        <v>399</v>
      </c>
      <c r="F562" s="29" t="str">
        <f>LOOKUP(A562,'QALS - Inspection Lot Record'!A:A,'QALS - Inspection Lot Record'!G:G)</f>
        <v>TP397880</v>
      </c>
      <c r="G562" s="59">
        <f ca="1">LOOKUP(A562,'QALS - Inspection Lot Record'!A:A,'QALS - Inspection Lot Record'!E:E)</f>
        <v>45905</v>
      </c>
      <c r="H562" s="34" t="str">
        <f t="shared" si="45"/>
        <v>R</v>
      </c>
      <c r="I562" s="29" t="str">
        <f t="shared" si="41"/>
        <v>TP397880</v>
      </c>
      <c r="J562" s="59">
        <f t="shared" ca="1" si="42"/>
        <v>45905</v>
      </c>
      <c r="K562" s="30">
        <f ca="1">LOOKUP(A562,'QALS - Inspection Lot Record'!A:A,'QALS - Inspection Lot Record'!I:I)</f>
        <v>0.60326388888888893</v>
      </c>
      <c r="L562" s="59">
        <f t="shared" ca="1" si="43"/>
        <v>45905</v>
      </c>
      <c r="M562" s="30">
        <f t="shared" ca="1" si="44"/>
        <v>0.63811342592592601</v>
      </c>
      <c r="N562" s="31"/>
      <c r="O562" s="31">
        <v>93.6</v>
      </c>
      <c r="P562" s="29">
        <v>95</v>
      </c>
      <c r="Q562" s="29">
        <v>102</v>
      </c>
    </row>
    <row r="563" spans="1:17" x14ac:dyDescent="0.35">
      <c r="A563" s="26">
        <v>40000002571</v>
      </c>
      <c r="B563" s="27">
        <v>1</v>
      </c>
      <c r="C563" s="29" t="str">
        <f>LOOKUP(A563,'QALS - Inspection Lot Record'!$A$2:$A$361,'QALS - Inspection Lot Record'!$O$2:$O$361)</f>
        <v>Metformin Tablets (100 MG)</v>
      </c>
      <c r="D563" s="31">
        <v>20</v>
      </c>
      <c r="E563" s="29" t="s">
        <v>400</v>
      </c>
      <c r="F563" s="29" t="str">
        <f>LOOKUP(A563,'QALS - Inspection Lot Record'!A:A,'QALS - Inspection Lot Record'!G:G)</f>
        <v>TP397880</v>
      </c>
      <c r="G563" s="59">
        <f ca="1">LOOKUP(A563,'QALS - Inspection Lot Record'!A:A,'QALS - Inspection Lot Record'!E:E)</f>
        <v>45905</v>
      </c>
      <c r="H563" s="34" t="str">
        <f t="shared" si="45"/>
        <v>A</v>
      </c>
      <c r="I563" s="29" t="str">
        <f t="shared" si="41"/>
        <v>TP397880</v>
      </c>
      <c r="J563" s="59">
        <f t="shared" ca="1" si="42"/>
        <v>45905</v>
      </c>
      <c r="K563" s="30">
        <f ca="1">LOOKUP(A563,'QALS - Inspection Lot Record'!A:A,'QALS - Inspection Lot Record'!I:I)</f>
        <v>0.60326388888888893</v>
      </c>
      <c r="L563" s="59">
        <f t="shared" ca="1" si="43"/>
        <v>45905</v>
      </c>
      <c r="M563" s="30">
        <f t="shared" ca="1" si="44"/>
        <v>0.63782407407407415</v>
      </c>
      <c r="N563" s="31"/>
      <c r="O563" s="31">
        <v>7.3</v>
      </c>
      <c r="P563" s="29">
        <v>3.5</v>
      </c>
      <c r="Q563" s="29">
        <v>11</v>
      </c>
    </row>
    <row r="564" spans="1:17" x14ac:dyDescent="0.35">
      <c r="A564" s="26">
        <v>40000002571</v>
      </c>
      <c r="B564" s="31">
        <v>1</v>
      </c>
      <c r="C564" s="29" t="str">
        <f>LOOKUP(A564,'QALS - Inspection Lot Record'!$A$2:$A$361,'QALS - Inspection Lot Record'!$O$2:$O$361)</f>
        <v>Metformin Tablets (100 MG)</v>
      </c>
      <c r="D564" s="31">
        <v>30</v>
      </c>
      <c r="E564" s="29" t="s">
        <v>401</v>
      </c>
      <c r="F564" s="29" t="str">
        <f>LOOKUP(A564,'QALS - Inspection Lot Record'!A:A,'QALS - Inspection Lot Record'!G:G)</f>
        <v>TP397880</v>
      </c>
      <c r="G564" s="59">
        <f ca="1">LOOKUP(A564,'QALS - Inspection Lot Record'!A:A,'QALS - Inspection Lot Record'!E:E)</f>
        <v>45905</v>
      </c>
      <c r="H564" s="34" t="str">
        <f t="shared" si="45"/>
        <v>A</v>
      </c>
      <c r="I564" s="29" t="str">
        <f t="shared" si="41"/>
        <v>TP397880</v>
      </c>
      <c r="J564" s="59">
        <f t="shared" ca="1" si="42"/>
        <v>45905</v>
      </c>
      <c r="K564" s="30">
        <f ca="1">LOOKUP(A564,'QALS - Inspection Lot Record'!A:A,'QALS - Inspection Lot Record'!I:I)</f>
        <v>0.60326388888888893</v>
      </c>
      <c r="L564" s="59">
        <f t="shared" ca="1" si="43"/>
        <v>45905</v>
      </c>
      <c r="M564" s="30">
        <f t="shared" ca="1" si="44"/>
        <v>0.62278935185185191</v>
      </c>
      <c r="N564" s="11" t="s">
        <v>402</v>
      </c>
      <c r="O564" s="31"/>
      <c r="P564" s="29"/>
      <c r="Q564" s="29"/>
    </row>
    <row r="565" spans="1:17" x14ac:dyDescent="0.35">
      <c r="A565" s="26">
        <v>40000002571</v>
      </c>
      <c r="B565" s="31">
        <v>1</v>
      </c>
      <c r="C565" s="29" t="str">
        <f>LOOKUP(A565,'QALS - Inspection Lot Record'!$A$2:$A$361,'QALS - Inspection Lot Record'!$O$2:$O$361)</f>
        <v>Metformin Tablets (100 MG)</v>
      </c>
      <c r="D565" s="31">
        <v>40</v>
      </c>
      <c r="E565" s="29" t="s">
        <v>403</v>
      </c>
      <c r="F565" s="29" t="str">
        <f>LOOKUP(A565,'QALS - Inspection Lot Record'!A:A,'QALS - Inspection Lot Record'!G:G)</f>
        <v>TP397880</v>
      </c>
      <c r="G565" s="59">
        <f ca="1">LOOKUP(A565,'QALS - Inspection Lot Record'!A:A,'QALS - Inspection Lot Record'!E:E)</f>
        <v>45905</v>
      </c>
      <c r="H565" s="34" t="str">
        <f t="shared" si="45"/>
        <v>A</v>
      </c>
      <c r="I565" s="29" t="str">
        <f t="shared" si="41"/>
        <v>TP397880</v>
      </c>
      <c r="J565" s="59">
        <f t="shared" ca="1" si="42"/>
        <v>45905</v>
      </c>
      <c r="K565" s="30">
        <f ca="1">LOOKUP(A565,'QALS - Inspection Lot Record'!A:A,'QALS - Inspection Lot Record'!I:I)</f>
        <v>0.60326388888888893</v>
      </c>
      <c r="L565" s="59">
        <f t="shared" ca="1" si="43"/>
        <v>45905</v>
      </c>
      <c r="M565" s="30">
        <f t="shared" ca="1" si="44"/>
        <v>0.63192129629629634</v>
      </c>
      <c r="N565" s="31"/>
      <c r="O565" s="31">
        <v>0.5</v>
      </c>
      <c r="P565" s="29">
        <v>0</v>
      </c>
      <c r="Q565" s="29">
        <v>1</v>
      </c>
    </row>
    <row r="566" spans="1:17" x14ac:dyDescent="0.35">
      <c r="A566" s="26">
        <v>40000002571</v>
      </c>
      <c r="B566" s="31">
        <v>1</v>
      </c>
      <c r="C566" s="29" t="str">
        <f>LOOKUP(A566,'QALS - Inspection Lot Record'!$A$2:$A$361,'QALS - Inspection Lot Record'!$O$2:$O$361)</f>
        <v>Metformin Tablets (100 MG)</v>
      </c>
      <c r="D566" s="31">
        <v>50</v>
      </c>
      <c r="E566" s="29" t="s">
        <v>404</v>
      </c>
      <c r="F566" s="29" t="str">
        <f>LOOKUP(A566,'QALS - Inspection Lot Record'!A:A,'QALS - Inspection Lot Record'!G:G)</f>
        <v>TP397880</v>
      </c>
      <c r="G566" s="59">
        <f ca="1">LOOKUP(A566,'QALS - Inspection Lot Record'!A:A,'QALS - Inspection Lot Record'!E:E)</f>
        <v>45905</v>
      </c>
      <c r="H566" s="34" t="str">
        <f t="shared" si="45"/>
        <v>A</v>
      </c>
      <c r="I566" s="29" t="str">
        <f t="shared" si="41"/>
        <v>TP397880</v>
      </c>
      <c r="J566" s="59">
        <f t="shared" ca="1" si="42"/>
        <v>45905</v>
      </c>
      <c r="K566" s="30">
        <f ca="1">LOOKUP(A566,'QALS - Inspection Lot Record'!A:A,'QALS - Inspection Lot Record'!I:I)</f>
        <v>0.60326388888888893</v>
      </c>
      <c r="L566" s="59">
        <f t="shared" ca="1" si="43"/>
        <v>45905</v>
      </c>
      <c r="M566" s="30">
        <f t="shared" ca="1" si="44"/>
        <v>0.63487268518518525</v>
      </c>
      <c r="N566" s="31"/>
      <c r="O566" s="31">
        <v>41.3</v>
      </c>
      <c r="P566" s="29">
        <v>40</v>
      </c>
      <c r="Q566" s="29">
        <v>60</v>
      </c>
    </row>
    <row r="567" spans="1:17" x14ac:dyDescent="0.35">
      <c r="A567" s="26">
        <v>40000002571</v>
      </c>
      <c r="B567" s="31">
        <v>1</v>
      </c>
      <c r="C567" s="29" t="str">
        <f>LOOKUP(A567,'QALS - Inspection Lot Record'!$A$2:$A$361,'QALS - Inspection Lot Record'!$O$2:$O$361)</f>
        <v>Metformin Tablets (100 MG)</v>
      </c>
      <c r="D567" s="31">
        <v>60</v>
      </c>
      <c r="E567" s="29" t="s">
        <v>405</v>
      </c>
      <c r="F567" s="29" t="str">
        <f>LOOKUP(A567,'QALS - Inspection Lot Record'!A:A,'QALS - Inspection Lot Record'!G:G)</f>
        <v>TP397880</v>
      </c>
      <c r="G567" s="59">
        <f ca="1">LOOKUP(A567,'QALS - Inspection Lot Record'!A:A,'QALS - Inspection Lot Record'!E:E)</f>
        <v>45905</v>
      </c>
      <c r="H567" s="34" t="str">
        <f t="shared" si="45"/>
        <v>A</v>
      </c>
      <c r="I567" s="29" t="str">
        <f t="shared" si="41"/>
        <v>TP397880</v>
      </c>
      <c r="J567" s="59">
        <f t="shared" ca="1" si="42"/>
        <v>45905</v>
      </c>
      <c r="K567" s="30">
        <f ca="1">LOOKUP(A567,'QALS - Inspection Lot Record'!A:A,'QALS - Inspection Lot Record'!I:I)</f>
        <v>0.60326388888888893</v>
      </c>
      <c r="L567" s="59">
        <f t="shared" ca="1" si="43"/>
        <v>45905</v>
      </c>
      <c r="M567" s="30">
        <f t="shared" ca="1" si="44"/>
        <v>0.62461805555555561</v>
      </c>
      <c r="N567" s="31"/>
      <c r="O567" s="31">
        <v>71.900000000000006</v>
      </c>
      <c r="P567" s="29">
        <v>70</v>
      </c>
      <c r="Q567" s="29">
        <v>85</v>
      </c>
    </row>
    <row r="568" spans="1:17" x14ac:dyDescent="0.35">
      <c r="A568" s="26">
        <v>40000002571</v>
      </c>
      <c r="B568" s="31">
        <v>1</v>
      </c>
      <c r="C568" s="29" t="str">
        <f>LOOKUP(A568,'QALS - Inspection Lot Record'!$A$2:$A$361,'QALS - Inspection Lot Record'!$O$2:$O$361)</f>
        <v>Metformin Tablets (100 MG)</v>
      </c>
      <c r="D568" s="31">
        <v>70</v>
      </c>
      <c r="E568" s="29" t="s">
        <v>406</v>
      </c>
      <c r="F568" s="29" t="str">
        <f>LOOKUP(A568,'QALS - Inspection Lot Record'!A:A,'QALS - Inspection Lot Record'!G:G)</f>
        <v>TP397880</v>
      </c>
      <c r="G568" s="59">
        <f ca="1">LOOKUP(A568,'QALS - Inspection Lot Record'!A:A,'QALS - Inspection Lot Record'!E:E)</f>
        <v>45905</v>
      </c>
      <c r="H568" s="34" t="str">
        <f t="shared" si="45"/>
        <v>A</v>
      </c>
      <c r="I568" s="29" t="str">
        <f t="shared" si="41"/>
        <v>TP397880</v>
      </c>
      <c r="J568" s="59">
        <f t="shared" ca="1" si="42"/>
        <v>45905</v>
      </c>
      <c r="K568" s="30">
        <f ca="1">LOOKUP(A568,'QALS - Inspection Lot Record'!A:A,'QALS - Inspection Lot Record'!I:I)</f>
        <v>0.60326388888888893</v>
      </c>
      <c r="L568" s="59">
        <f t="shared" ca="1" si="43"/>
        <v>45905</v>
      </c>
      <c r="M568" s="30">
        <f t="shared" ca="1" si="44"/>
        <v>0.63392361111111117</v>
      </c>
      <c r="N568" s="31"/>
      <c r="O568" s="31">
        <v>81.099999999999994</v>
      </c>
      <c r="P568" s="29">
        <v>80</v>
      </c>
      <c r="Q568" s="29">
        <v>90</v>
      </c>
    </row>
    <row r="569" spans="1:17" x14ac:dyDescent="0.35">
      <c r="A569" s="26">
        <v>40000002571</v>
      </c>
      <c r="B569" s="31">
        <v>1</v>
      </c>
      <c r="C569" s="29" t="str">
        <f>LOOKUP(A569,'QALS - Inspection Lot Record'!$A$2:$A$361,'QALS - Inspection Lot Record'!$O$2:$O$361)</f>
        <v>Metformin Tablets (100 MG)</v>
      </c>
      <c r="D569" s="31">
        <v>80</v>
      </c>
      <c r="E569" s="29" t="s">
        <v>407</v>
      </c>
      <c r="F569" s="29" t="str">
        <f>LOOKUP(A569,'QALS - Inspection Lot Record'!A:A,'QALS - Inspection Lot Record'!G:G)</f>
        <v>TP397880</v>
      </c>
      <c r="G569" s="59">
        <f ca="1">LOOKUP(A569,'QALS - Inspection Lot Record'!A:A,'QALS - Inspection Lot Record'!E:E)</f>
        <v>45905</v>
      </c>
      <c r="H569" s="34" t="str">
        <f t="shared" si="45"/>
        <v>A</v>
      </c>
      <c r="I569" s="29" t="str">
        <f t="shared" si="41"/>
        <v>TP397880</v>
      </c>
      <c r="J569" s="59">
        <f t="shared" ca="1" si="42"/>
        <v>45905</v>
      </c>
      <c r="K569" s="30">
        <f ca="1">LOOKUP(A569,'QALS - Inspection Lot Record'!A:A,'QALS - Inspection Lot Record'!I:I)</f>
        <v>0.60326388888888893</v>
      </c>
      <c r="L569" s="59">
        <f t="shared" ca="1" si="43"/>
        <v>45905</v>
      </c>
      <c r="M569" s="30">
        <f t="shared" ca="1" si="44"/>
        <v>0.62969907407407411</v>
      </c>
      <c r="N569" s="31"/>
      <c r="O569" s="31">
        <v>24</v>
      </c>
      <c r="P569" s="29">
        <v>23</v>
      </c>
      <c r="Q569" s="29">
        <v>25</v>
      </c>
    </row>
    <row r="570" spans="1:17" x14ac:dyDescent="0.35">
      <c r="A570" s="26">
        <v>40000002572</v>
      </c>
      <c r="B570" s="27">
        <v>1</v>
      </c>
      <c r="C570" s="29" t="str">
        <f>LOOKUP(A570,'QALS - Inspection Lot Record'!$A$2:$A$361,'QALS - Inspection Lot Record'!$O$2:$O$361)</f>
        <v>Aspirin Tablets (500 MG)</v>
      </c>
      <c r="D570" s="27">
        <v>10</v>
      </c>
      <c r="E570" s="26" t="s">
        <v>399</v>
      </c>
      <c r="F570" s="29" t="str">
        <f>LOOKUP(A570,'QALS - Inspection Lot Record'!A:A,'QALS - Inspection Lot Record'!G:G)</f>
        <v>GC197258</v>
      </c>
      <c r="G570" s="59">
        <f ca="1">LOOKUP(A570,'QALS - Inspection Lot Record'!A:A,'QALS - Inspection Lot Record'!E:E)</f>
        <v>45905</v>
      </c>
      <c r="H570" s="34" t="str">
        <f t="shared" si="45"/>
        <v>A</v>
      </c>
      <c r="I570" s="29" t="str">
        <f t="shared" si="41"/>
        <v>GC197258</v>
      </c>
      <c r="J570" s="59">
        <f t="shared" ca="1" si="42"/>
        <v>45905</v>
      </c>
      <c r="K570" s="30">
        <f ca="1">LOOKUP(A570,'QALS - Inspection Lot Record'!A:A,'QALS - Inspection Lot Record'!I:I)</f>
        <v>0.30318287037037039</v>
      </c>
      <c r="L570" s="59">
        <f t="shared" ca="1" si="43"/>
        <v>45905</v>
      </c>
      <c r="M570" s="30">
        <f t="shared" ca="1" si="44"/>
        <v>0.32571759259259264</v>
      </c>
      <c r="N570" s="31"/>
      <c r="O570" s="31">
        <v>100</v>
      </c>
      <c r="P570" s="29">
        <v>95</v>
      </c>
      <c r="Q570" s="29">
        <v>105</v>
      </c>
    </row>
    <row r="571" spans="1:17" x14ac:dyDescent="0.35">
      <c r="A571" s="26">
        <v>40000002572</v>
      </c>
      <c r="B571" s="27">
        <v>1</v>
      </c>
      <c r="C571" s="29" t="str">
        <f>LOOKUP(A571,'QALS - Inspection Lot Record'!$A$2:$A$361,'QALS - Inspection Lot Record'!$O$2:$O$361)</f>
        <v>Aspirin Tablets (500 MG)</v>
      </c>
      <c r="D571" s="31">
        <v>20</v>
      </c>
      <c r="E571" s="29" t="s">
        <v>400</v>
      </c>
      <c r="F571" s="29" t="str">
        <f>LOOKUP(A571,'QALS - Inspection Lot Record'!A:A,'QALS - Inspection Lot Record'!G:G)</f>
        <v>GC197258</v>
      </c>
      <c r="G571" s="59">
        <f ca="1">LOOKUP(A571,'QALS - Inspection Lot Record'!A:A,'QALS - Inspection Lot Record'!E:E)</f>
        <v>45905</v>
      </c>
      <c r="H571" s="34" t="str">
        <f t="shared" si="45"/>
        <v>A</v>
      </c>
      <c r="I571" s="29" t="str">
        <f t="shared" si="41"/>
        <v>GC197258</v>
      </c>
      <c r="J571" s="59">
        <f t="shared" ca="1" si="42"/>
        <v>45905</v>
      </c>
      <c r="K571" s="30">
        <f ca="1">LOOKUP(A571,'QALS - Inspection Lot Record'!A:A,'QALS - Inspection Lot Record'!I:I)</f>
        <v>0.30318287037037039</v>
      </c>
      <c r="L571" s="59">
        <f t="shared" ca="1" si="43"/>
        <v>45905</v>
      </c>
      <c r="M571" s="30">
        <f t="shared" ca="1" si="44"/>
        <v>0.32422453703703707</v>
      </c>
      <c r="N571" s="31"/>
      <c r="O571" s="31">
        <v>7.3</v>
      </c>
      <c r="P571" s="29">
        <v>3.5</v>
      </c>
      <c r="Q571" s="29">
        <v>11</v>
      </c>
    </row>
    <row r="572" spans="1:17" x14ac:dyDescent="0.35">
      <c r="A572" s="26">
        <v>40000002572</v>
      </c>
      <c r="B572" s="31">
        <v>1</v>
      </c>
      <c r="C572" s="29" t="str">
        <f>LOOKUP(A572,'QALS - Inspection Lot Record'!$A$2:$A$361,'QALS - Inspection Lot Record'!$O$2:$O$361)</f>
        <v>Aspirin Tablets (500 MG)</v>
      </c>
      <c r="D572" s="31">
        <v>30</v>
      </c>
      <c r="E572" s="29" t="s">
        <v>401</v>
      </c>
      <c r="F572" s="29" t="str">
        <f>LOOKUP(A572,'QALS - Inspection Lot Record'!A:A,'QALS - Inspection Lot Record'!G:G)</f>
        <v>GC197258</v>
      </c>
      <c r="G572" s="59">
        <f ca="1">LOOKUP(A572,'QALS - Inspection Lot Record'!A:A,'QALS - Inspection Lot Record'!E:E)</f>
        <v>45905</v>
      </c>
      <c r="H572" s="34" t="str">
        <f t="shared" si="45"/>
        <v>A</v>
      </c>
      <c r="I572" s="29" t="str">
        <f t="shared" si="41"/>
        <v>GC197258</v>
      </c>
      <c r="J572" s="59">
        <f t="shared" ca="1" si="42"/>
        <v>45905</v>
      </c>
      <c r="K572" s="30">
        <f ca="1">LOOKUP(A572,'QALS - Inspection Lot Record'!A:A,'QALS - Inspection Lot Record'!I:I)</f>
        <v>0.30318287037037039</v>
      </c>
      <c r="L572" s="59">
        <f t="shared" ca="1" si="43"/>
        <v>45905</v>
      </c>
      <c r="M572" s="30">
        <f t="shared" ca="1" si="44"/>
        <v>0.33524305555555556</v>
      </c>
      <c r="N572" s="11" t="s">
        <v>402</v>
      </c>
      <c r="O572" s="31"/>
      <c r="P572" s="29"/>
      <c r="Q572" s="29"/>
    </row>
    <row r="573" spans="1:17" x14ac:dyDescent="0.35">
      <c r="A573" s="26">
        <v>40000002572</v>
      </c>
      <c r="B573" s="31">
        <v>1</v>
      </c>
      <c r="C573" s="29" t="str">
        <f>LOOKUP(A573,'QALS - Inspection Lot Record'!$A$2:$A$361,'QALS - Inspection Lot Record'!$O$2:$O$361)</f>
        <v>Aspirin Tablets (500 MG)</v>
      </c>
      <c r="D573" s="31">
        <v>40</v>
      </c>
      <c r="E573" s="29" t="s">
        <v>403</v>
      </c>
      <c r="F573" s="29" t="str">
        <f>LOOKUP(A573,'QALS - Inspection Lot Record'!A:A,'QALS - Inspection Lot Record'!G:G)</f>
        <v>GC197258</v>
      </c>
      <c r="G573" s="59">
        <f ca="1">LOOKUP(A573,'QALS - Inspection Lot Record'!A:A,'QALS - Inspection Lot Record'!E:E)</f>
        <v>45905</v>
      </c>
      <c r="H573" s="34" t="str">
        <f t="shared" si="45"/>
        <v>A</v>
      </c>
      <c r="I573" s="29" t="str">
        <f t="shared" si="41"/>
        <v>GC197258</v>
      </c>
      <c r="J573" s="59">
        <f t="shared" ca="1" si="42"/>
        <v>45905</v>
      </c>
      <c r="K573" s="30">
        <f ca="1">LOOKUP(A573,'QALS - Inspection Lot Record'!A:A,'QALS - Inspection Lot Record'!I:I)</f>
        <v>0.30318287037037039</v>
      </c>
      <c r="L573" s="59">
        <f t="shared" ca="1" si="43"/>
        <v>45905</v>
      </c>
      <c r="M573" s="30">
        <f t="shared" ca="1" si="44"/>
        <v>0.32986111111111116</v>
      </c>
      <c r="N573" s="31"/>
      <c r="O573" s="31">
        <v>1.8</v>
      </c>
      <c r="P573" s="29">
        <v>0</v>
      </c>
      <c r="Q573" s="29">
        <v>2.5</v>
      </c>
    </row>
    <row r="574" spans="1:17" x14ac:dyDescent="0.35">
      <c r="A574" s="26">
        <v>40000002572</v>
      </c>
      <c r="B574" s="31">
        <v>1</v>
      </c>
      <c r="C574" s="29" t="str">
        <f>LOOKUP(A574,'QALS - Inspection Lot Record'!$A$2:$A$361,'QALS - Inspection Lot Record'!$O$2:$O$361)</f>
        <v>Aspirin Tablets (500 MG)</v>
      </c>
      <c r="D574" s="31">
        <v>50</v>
      </c>
      <c r="E574" s="29" t="s">
        <v>404</v>
      </c>
      <c r="F574" s="29" t="str">
        <f>LOOKUP(A574,'QALS - Inspection Lot Record'!A:A,'QALS - Inspection Lot Record'!G:G)</f>
        <v>GC197258</v>
      </c>
      <c r="G574" s="59">
        <f ca="1">LOOKUP(A574,'QALS - Inspection Lot Record'!A:A,'QALS - Inspection Lot Record'!E:E)</f>
        <v>45905</v>
      </c>
      <c r="H574" s="34" t="str">
        <f t="shared" si="45"/>
        <v>A</v>
      </c>
      <c r="I574" s="29" t="str">
        <f t="shared" si="41"/>
        <v>GC197258</v>
      </c>
      <c r="J574" s="59">
        <f t="shared" ca="1" si="42"/>
        <v>45905</v>
      </c>
      <c r="K574" s="30">
        <f ca="1">LOOKUP(A574,'QALS - Inspection Lot Record'!A:A,'QALS - Inspection Lot Record'!I:I)</f>
        <v>0.30318287037037039</v>
      </c>
      <c r="L574" s="59">
        <f t="shared" ca="1" si="43"/>
        <v>45905</v>
      </c>
      <c r="M574" s="30">
        <f t="shared" ca="1" si="44"/>
        <v>0.3222916666666667</v>
      </c>
      <c r="N574" s="31"/>
      <c r="O574" s="31">
        <v>41</v>
      </c>
      <c r="P574" s="29">
        <v>40</v>
      </c>
      <c r="Q574" s="29">
        <v>60</v>
      </c>
    </row>
    <row r="575" spans="1:17" x14ac:dyDescent="0.35">
      <c r="A575" s="26">
        <v>40000002572</v>
      </c>
      <c r="B575" s="31">
        <v>1</v>
      </c>
      <c r="C575" s="29" t="str">
        <f>LOOKUP(A575,'QALS - Inspection Lot Record'!$A$2:$A$361,'QALS - Inspection Lot Record'!$O$2:$O$361)</f>
        <v>Aspirin Tablets (500 MG)</v>
      </c>
      <c r="D575" s="31">
        <v>60</v>
      </c>
      <c r="E575" s="29" t="s">
        <v>405</v>
      </c>
      <c r="F575" s="29" t="str">
        <f>LOOKUP(A575,'QALS - Inspection Lot Record'!A:A,'QALS - Inspection Lot Record'!G:G)</f>
        <v>GC197258</v>
      </c>
      <c r="G575" s="59">
        <f ca="1">LOOKUP(A575,'QALS - Inspection Lot Record'!A:A,'QALS - Inspection Lot Record'!E:E)</f>
        <v>45905</v>
      </c>
      <c r="H575" s="34" t="str">
        <f t="shared" si="45"/>
        <v>A</v>
      </c>
      <c r="I575" s="29" t="str">
        <f t="shared" si="41"/>
        <v>GC197258</v>
      </c>
      <c r="J575" s="59">
        <f t="shared" ca="1" si="42"/>
        <v>45905</v>
      </c>
      <c r="K575" s="30">
        <f ca="1">LOOKUP(A575,'QALS - Inspection Lot Record'!A:A,'QALS - Inspection Lot Record'!I:I)</f>
        <v>0.30318287037037039</v>
      </c>
      <c r="L575" s="59">
        <f t="shared" ca="1" si="43"/>
        <v>45905</v>
      </c>
      <c r="M575" s="30">
        <f t="shared" ca="1" si="44"/>
        <v>0.32846064814814818</v>
      </c>
      <c r="N575" s="31"/>
      <c r="O575" s="31">
        <v>71.2</v>
      </c>
      <c r="P575" s="29">
        <v>70</v>
      </c>
      <c r="Q575" s="29">
        <v>85</v>
      </c>
    </row>
    <row r="576" spans="1:17" x14ac:dyDescent="0.35">
      <c r="A576" s="26">
        <v>40000002572</v>
      </c>
      <c r="B576" s="31">
        <v>1</v>
      </c>
      <c r="C576" s="29" t="str">
        <f>LOOKUP(A576,'QALS - Inspection Lot Record'!$A$2:$A$361,'QALS - Inspection Lot Record'!$O$2:$O$361)</f>
        <v>Aspirin Tablets (500 MG)</v>
      </c>
      <c r="D576" s="31">
        <v>70</v>
      </c>
      <c r="E576" s="29" t="s">
        <v>406</v>
      </c>
      <c r="F576" s="29" t="str">
        <f>LOOKUP(A576,'QALS - Inspection Lot Record'!A:A,'QALS - Inspection Lot Record'!G:G)</f>
        <v>GC197258</v>
      </c>
      <c r="G576" s="59">
        <f ca="1">LOOKUP(A576,'QALS - Inspection Lot Record'!A:A,'QALS - Inspection Lot Record'!E:E)</f>
        <v>45905</v>
      </c>
      <c r="H576" s="34" t="str">
        <f t="shared" si="45"/>
        <v>A</v>
      </c>
      <c r="I576" s="29" t="str">
        <f t="shared" si="41"/>
        <v>GC197258</v>
      </c>
      <c r="J576" s="59">
        <f t="shared" ca="1" si="42"/>
        <v>45905</v>
      </c>
      <c r="K576" s="30">
        <f ca="1">LOOKUP(A576,'QALS - Inspection Lot Record'!A:A,'QALS - Inspection Lot Record'!I:I)</f>
        <v>0.30318287037037039</v>
      </c>
      <c r="L576" s="59">
        <f t="shared" ca="1" si="43"/>
        <v>45905</v>
      </c>
      <c r="M576" s="30">
        <f t="shared" ca="1" si="44"/>
        <v>0.33509259259259261</v>
      </c>
      <c r="N576" s="31"/>
      <c r="O576" s="31">
        <v>81.599999999999994</v>
      </c>
      <c r="P576" s="29">
        <v>80</v>
      </c>
      <c r="Q576" s="29">
        <v>90</v>
      </c>
    </row>
    <row r="577" spans="1:17" x14ac:dyDescent="0.35">
      <c r="A577" s="26">
        <v>40000002572</v>
      </c>
      <c r="B577" s="31">
        <v>1</v>
      </c>
      <c r="C577" s="29" t="str">
        <f>LOOKUP(A577,'QALS - Inspection Lot Record'!$A$2:$A$361,'QALS - Inspection Lot Record'!$O$2:$O$361)</f>
        <v>Aspirin Tablets (500 MG)</v>
      </c>
      <c r="D577" s="31">
        <v>80</v>
      </c>
      <c r="E577" s="29" t="s">
        <v>407</v>
      </c>
      <c r="F577" s="29" t="str">
        <f>LOOKUP(A577,'QALS - Inspection Lot Record'!A:A,'QALS - Inspection Lot Record'!G:G)</f>
        <v>GC197258</v>
      </c>
      <c r="G577" s="59">
        <f ca="1">LOOKUP(A577,'QALS - Inspection Lot Record'!A:A,'QALS - Inspection Lot Record'!E:E)</f>
        <v>45905</v>
      </c>
      <c r="H577" s="34" t="str">
        <f t="shared" si="45"/>
        <v>A</v>
      </c>
      <c r="I577" s="29" t="str">
        <f t="shared" si="41"/>
        <v>GC197258</v>
      </c>
      <c r="J577" s="59">
        <f t="shared" ca="1" si="42"/>
        <v>45905</v>
      </c>
      <c r="K577" s="30">
        <f ca="1">LOOKUP(A577,'QALS - Inspection Lot Record'!A:A,'QALS - Inspection Lot Record'!I:I)</f>
        <v>0.30318287037037039</v>
      </c>
      <c r="L577" s="59">
        <f t="shared" ca="1" si="43"/>
        <v>45905</v>
      </c>
      <c r="M577" s="30">
        <f t="shared" ca="1" si="44"/>
        <v>0.33188657407407407</v>
      </c>
      <c r="N577" s="31"/>
      <c r="O577" s="31">
        <v>25.5</v>
      </c>
      <c r="P577" s="29">
        <v>23</v>
      </c>
      <c r="Q577" s="29">
        <v>28</v>
      </c>
    </row>
    <row r="578" spans="1:17" x14ac:dyDescent="0.35">
      <c r="A578" s="26">
        <v>40000002573</v>
      </c>
      <c r="B578" s="27">
        <v>1</v>
      </c>
      <c r="C578" s="29" t="str">
        <f>LOOKUP(A578,'QALS - Inspection Lot Record'!$A$2:$A$361,'QALS - Inspection Lot Record'!$O$2:$O$361)</f>
        <v>Metformin Tablets (200 MG)</v>
      </c>
      <c r="D578" s="27">
        <v>10</v>
      </c>
      <c r="E578" s="26" t="s">
        <v>399</v>
      </c>
      <c r="F578" s="29" t="str">
        <f>LOOKUP(A578,'QALS - Inspection Lot Record'!A:A,'QALS - Inspection Lot Record'!G:G)</f>
        <v>ZK384180</v>
      </c>
      <c r="G578" s="59">
        <f ca="1">LOOKUP(A578,'QALS - Inspection Lot Record'!A:A,'QALS - Inspection Lot Record'!E:E)</f>
        <v>45906</v>
      </c>
      <c r="H578" s="34" t="str">
        <f t="shared" si="45"/>
        <v>A</v>
      </c>
      <c r="I578" s="29" t="str">
        <f t="shared" ref="I578:I641" si="46">F578</f>
        <v>ZK384180</v>
      </c>
      <c r="J578" s="59">
        <f t="shared" ref="J578:J641" ca="1" si="47">G578</f>
        <v>45906</v>
      </c>
      <c r="K578" s="30">
        <f ca="1">LOOKUP(A578,'QALS - Inspection Lot Record'!A:A,'QALS - Inspection Lot Record'!I:I)</f>
        <v>0.57326388888888891</v>
      </c>
      <c r="L578" s="59">
        <f t="shared" ref="L578:L641" ca="1" si="48">G578</f>
        <v>45906</v>
      </c>
      <c r="M578" s="30">
        <f t="shared" ref="M578:M641" ca="1" si="49">K578+TIME(0,RANDBETWEEN(25,50),RANDBETWEEN(0,59))</f>
        <v>0.60559027777777774</v>
      </c>
      <c r="N578" s="31"/>
      <c r="O578" s="31">
        <v>99</v>
      </c>
      <c r="P578" s="29">
        <v>95</v>
      </c>
      <c r="Q578" s="29">
        <v>103</v>
      </c>
    </row>
    <row r="579" spans="1:17" x14ac:dyDescent="0.35">
      <c r="A579" s="26">
        <v>40000002573</v>
      </c>
      <c r="B579" s="27">
        <v>1</v>
      </c>
      <c r="C579" s="29" t="str">
        <f>LOOKUP(A579,'QALS - Inspection Lot Record'!$A$2:$A$361,'QALS - Inspection Lot Record'!$O$2:$O$361)</f>
        <v>Metformin Tablets (200 MG)</v>
      </c>
      <c r="D579" s="31">
        <v>20</v>
      </c>
      <c r="E579" s="29" t="s">
        <v>400</v>
      </c>
      <c r="F579" s="29" t="str">
        <f>LOOKUP(A579,'QALS - Inspection Lot Record'!A:A,'QALS - Inspection Lot Record'!G:G)</f>
        <v>ZK384180</v>
      </c>
      <c r="G579" s="59">
        <f ca="1">LOOKUP(A579,'QALS - Inspection Lot Record'!A:A,'QALS - Inspection Lot Record'!E:E)</f>
        <v>45906</v>
      </c>
      <c r="H579" s="34" t="str">
        <f t="shared" si="45"/>
        <v>A</v>
      </c>
      <c r="I579" s="29" t="str">
        <f t="shared" si="46"/>
        <v>ZK384180</v>
      </c>
      <c r="J579" s="59">
        <f t="shared" ca="1" si="47"/>
        <v>45906</v>
      </c>
      <c r="K579" s="30">
        <f ca="1">LOOKUP(A579,'QALS - Inspection Lot Record'!A:A,'QALS - Inspection Lot Record'!I:I)</f>
        <v>0.57326388888888891</v>
      </c>
      <c r="L579" s="59">
        <f t="shared" ca="1" si="48"/>
        <v>45906</v>
      </c>
      <c r="M579" s="30">
        <f t="shared" ca="1" si="49"/>
        <v>0.60853009259259261</v>
      </c>
      <c r="N579" s="31"/>
      <c r="O579" s="31">
        <v>7.75</v>
      </c>
      <c r="P579" s="29">
        <v>6</v>
      </c>
      <c r="Q579" s="29">
        <v>9.5</v>
      </c>
    </row>
    <row r="580" spans="1:17" x14ac:dyDescent="0.35">
      <c r="A580" s="26">
        <v>40000002573</v>
      </c>
      <c r="B580" s="31">
        <v>1</v>
      </c>
      <c r="C580" s="29" t="str">
        <f>LOOKUP(A580,'QALS - Inspection Lot Record'!$A$2:$A$361,'QALS - Inspection Lot Record'!$O$2:$O$361)</f>
        <v>Metformin Tablets (200 MG)</v>
      </c>
      <c r="D580" s="31">
        <v>30</v>
      </c>
      <c r="E580" s="29" t="s">
        <v>401</v>
      </c>
      <c r="F580" s="29" t="str">
        <f>LOOKUP(A580,'QALS - Inspection Lot Record'!A:A,'QALS - Inspection Lot Record'!G:G)</f>
        <v>ZK384180</v>
      </c>
      <c r="G580" s="59">
        <f ca="1">LOOKUP(A580,'QALS - Inspection Lot Record'!A:A,'QALS - Inspection Lot Record'!E:E)</f>
        <v>45906</v>
      </c>
      <c r="H580" s="34" t="str">
        <f t="shared" si="45"/>
        <v>A</v>
      </c>
      <c r="I580" s="29" t="str">
        <f t="shared" si="46"/>
        <v>ZK384180</v>
      </c>
      <c r="J580" s="59">
        <f t="shared" ca="1" si="47"/>
        <v>45906</v>
      </c>
      <c r="K580" s="30">
        <f ca="1">LOOKUP(A580,'QALS - Inspection Lot Record'!A:A,'QALS - Inspection Lot Record'!I:I)</f>
        <v>0.57326388888888891</v>
      </c>
      <c r="L580" s="59">
        <f t="shared" ca="1" si="48"/>
        <v>45906</v>
      </c>
      <c r="M580" s="30">
        <f t="shared" ca="1" si="49"/>
        <v>0.59387731481481487</v>
      </c>
      <c r="N580" s="11" t="s">
        <v>402</v>
      </c>
      <c r="O580" s="31"/>
      <c r="P580" s="29"/>
      <c r="Q580" s="29"/>
    </row>
    <row r="581" spans="1:17" x14ac:dyDescent="0.35">
      <c r="A581" s="26">
        <v>40000002573</v>
      </c>
      <c r="B581" s="31">
        <v>1</v>
      </c>
      <c r="C581" s="29" t="str">
        <f>LOOKUP(A581,'QALS - Inspection Lot Record'!$A$2:$A$361,'QALS - Inspection Lot Record'!$O$2:$O$361)</f>
        <v>Metformin Tablets (200 MG)</v>
      </c>
      <c r="D581" s="31">
        <v>40</v>
      </c>
      <c r="E581" s="29" t="s">
        <v>403</v>
      </c>
      <c r="F581" s="29" t="str">
        <f>LOOKUP(A581,'QALS - Inspection Lot Record'!A:A,'QALS - Inspection Lot Record'!G:G)</f>
        <v>ZK384180</v>
      </c>
      <c r="G581" s="59">
        <f ca="1">LOOKUP(A581,'QALS - Inspection Lot Record'!A:A,'QALS - Inspection Lot Record'!E:E)</f>
        <v>45906</v>
      </c>
      <c r="H581" s="34" t="str">
        <f t="shared" si="45"/>
        <v>A</v>
      </c>
      <c r="I581" s="29" t="str">
        <f t="shared" si="46"/>
        <v>ZK384180</v>
      </c>
      <c r="J581" s="59">
        <f t="shared" ca="1" si="47"/>
        <v>45906</v>
      </c>
      <c r="K581" s="30">
        <f ca="1">LOOKUP(A581,'QALS - Inspection Lot Record'!A:A,'QALS - Inspection Lot Record'!I:I)</f>
        <v>0.57326388888888891</v>
      </c>
      <c r="L581" s="59">
        <f t="shared" ca="1" si="48"/>
        <v>45906</v>
      </c>
      <c r="M581" s="30">
        <f t="shared" ca="1" si="49"/>
        <v>0.60562499999999997</v>
      </c>
      <c r="N581" s="31"/>
      <c r="O581" s="31">
        <v>0</v>
      </c>
      <c r="P581" s="29">
        <v>0</v>
      </c>
      <c r="Q581" s="29">
        <v>2</v>
      </c>
    </row>
    <row r="582" spans="1:17" x14ac:dyDescent="0.35">
      <c r="A582" s="26">
        <v>40000002573</v>
      </c>
      <c r="B582" s="31">
        <v>1</v>
      </c>
      <c r="C582" s="29" t="str">
        <f>LOOKUP(A582,'QALS - Inspection Lot Record'!$A$2:$A$361,'QALS - Inspection Lot Record'!$O$2:$O$361)</f>
        <v>Metformin Tablets (200 MG)</v>
      </c>
      <c r="D582" s="31">
        <v>50</v>
      </c>
      <c r="E582" s="29" t="s">
        <v>404</v>
      </c>
      <c r="F582" s="29" t="str">
        <f>LOOKUP(A582,'QALS - Inspection Lot Record'!A:A,'QALS - Inspection Lot Record'!G:G)</f>
        <v>ZK384180</v>
      </c>
      <c r="G582" s="59">
        <f ca="1">LOOKUP(A582,'QALS - Inspection Lot Record'!A:A,'QALS - Inspection Lot Record'!E:E)</f>
        <v>45906</v>
      </c>
      <c r="H582" s="34" t="str">
        <f t="shared" si="45"/>
        <v>A</v>
      </c>
      <c r="I582" s="29" t="str">
        <f t="shared" si="46"/>
        <v>ZK384180</v>
      </c>
      <c r="J582" s="59">
        <f t="shared" ca="1" si="47"/>
        <v>45906</v>
      </c>
      <c r="K582" s="30">
        <f ca="1">LOOKUP(A582,'QALS - Inspection Lot Record'!A:A,'QALS - Inspection Lot Record'!I:I)</f>
        <v>0.57326388888888891</v>
      </c>
      <c r="L582" s="59">
        <f t="shared" ca="1" si="48"/>
        <v>45906</v>
      </c>
      <c r="M582" s="30">
        <f t="shared" ca="1" si="49"/>
        <v>0.59302083333333333</v>
      </c>
      <c r="N582" s="31"/>
      <c r="O582" s="31">
        <v>50</v>
      </c>
      <c r="P582" s="29">
        <v>40</v>
      </c>
      <c r="Q582" s="29">
        <v>60</v>
      </c>
    </row>
    <row r="583" spans="1:17" x14ac:dyDescent="0.35">
      <c r="A583" s="26">
        <v>40000002573</v>
      </c>
      <c r="B583" s="31">
        <v>1</v>
      </c>
      <c r="C583" s="29" t="str">
        <f>LOOKUP(A583,'QALS - Inspection Lot Record'!$A$2:$A$361,'QALS - Inspection Lot Record'!$O$2:$O$361)</f>
        <v>Metformin Tablets (200 MG)</v>
      </c>
      <c r="D583" s="31">
        <v>60</v>
      </c>
      <c r="E583" s="29" t="s">
        <v>405</v>
      </c>
      <c r="F583" s="29" t="str">
        <f>LOOKUP(A583,'QALS - Inspection Lot Record'!A:A,'QALS - Inspection Lot Record'!G:G)</f>
        <v>ZK384180</v>
      </c>
      <c r="G583" s="59">
        <f ca="1">LOOKUP(A583,'QALS - Inspection Lot Record'!A:A,'QALS - Inspection Lot Record'!E:E)</f>
        <v>45906</v>
      </c>
      <c r="H583" s="34" t="str">
        <f t="shared" si="45"/>
        <v>A</v>
      </c>
      <c r="I583" s="29" t="str">
        <f t="shared" si="46"/>
        <v>ZK384180</v>
      </c>
      <c r="J583" s="59">
        <f t="shared" ca="1" si="47"/>
        <v>45906</v>
      </c>
      <c r="K583" s="30">
        <f ca="1">LOOKUP(A583,'QALS - Inspection Lot Record'!A:A,'QALS - Inspection Lot Record'!I:I)</f>
        <v>0.57326388888888891</v>
      </c>
      <c r="L583" s="59">
        <f t="shared" ca="1" si="48"/>
        <v>45906</v>
      </c>
      <c r="M583" s="30">
        <f t="shared" ca="1" si="49"/>
        <v>0.60210648148148149</v>
      </c>
      <c r="N583" s="31"/>
      <c r="O583" s="31">
        <v>77.5</v>
      </c>
      <c r="P583" s="29">
        <v>70</v>
      </c>
      <c r="Q583" s="29">
        <v>85</v>
      </c>
    </row>
    <row r="584" spans="1:17" x14ac:dyDescent="0.35">
      <c r="A584" s="26">
        <v>40000002573</v>
      </c>
      <c r="B584" s="31">
        <v>1</v>
      </c>
      <c r="C584" s="29" t="str">
        <f>LOOKUP(A584,'QALS - Inspection Lot Record'!$A$2:$A$361,'QALS - Inspection Lot Record'!$O$2:$O$361)</f>
        <v>Metformin Tablets (200 MG)</v>
      </c>
      <c r="D584" s="31">
        <v>70</v>
      </c>
      <c r="E584" s="29" t="s">
        <v>406</v>
      </c>
      <c r="F584" s="29" t="str">
        <f>LOOKUP(A584,'QALS - Inspection Lot Record'!A:A,'QALS - Inspection Lot Record'!G:G)</f>
        <v>ZK384180</v>
      </c>
      <c r="G584" s="59">
        <f ca="1">LOOKUP(A584,'QALS - Inspection Lot Record'!A:A,'QALS - Inspection Lot Record'!E:E)</f>
        <v>45906</v>
      </c>
      <c r="H584" s="34" t="str">
        <f t="shared" si="45"/>
        <v>A</v>
      </c>
      <c r="I584" s="29" t="str">
        <f t="shared" si="46"/>
        <v>ZK384180</v>
      </c>
      <c r="J584" s="59">
        <f t="shared" ca="1" si="47"/>
        <v>45906</v>
      </c>
      <c r="K584" s="30">
        <f ca="1">LOOKUP(A584,'QALS - Inspection Lot Record'!A:A,'QALS - Inspection Lot Record'!I:I)</f>
        <v>0.57326388888888891</v>
      </c>
      <c r="L584" s="59">
        <f t="shared" ca="1" si="48"/>
        <v>45906</v>
      </c>
      <c r="M584" s="30">
        <f t="shared" ca="1" si="49"/>
        <v>0.60819444444444448</v>
      </c>
      <c r="N584" s="31"/>
      <c r="O584" s="31">
        <v>85</v>
      </c>
      <c r="P584" s="29">
        <v>80</v>
      </c>
      <c r="Q584" s="29">
        <v>90</v>
      </c>
    </row>
    <row r="585" spans="1:17" x14ac:dyDescent="0.35">
      <c r="A585" s="26">
        <v>40000002573</v>
      </c>
      <c r="B585" s="31">
        <v>1</v>
      </c>
      <c r="C585" s="29" t="str">
        <f>LOOKUP(A585,'QALS - Inspection Lot Record'!$A$2:$A$361,'QALS - Inspection Lot Record'!$O$2:$O$361)</f>
        <v>Metformin Tablets (200 MG)</v>
      </c>
      <c r="D585" s="31">
        <v>80</v>
      </c>
      <c r="E585" s="29" t="s">
        <v>407</v>
      </c>
      <c r="F585" s="29" t="str">
        <f>LOOKUP(A585,'QALS - Inspection Lot Record'!A:A,'QALS - Inspection Lot Record'!G:G)</f>
        <v>ZK384180</v>
      </c>
      <c r="G585" s="59">
        <f ca="1">LOOKUP(A585,'QALS - Inspection Lot Record'!A:A,'QALS - Inspection Lot Record'!E:E)</f>
        <v>45906</v>
      </c>
      <c r="H585" s="34" t="str">
        <f t="shared" si="45"/>
        <v>A</v>
      </c>
      <c r="I585" s="29" t="str">
        <f t="shared" si="46"/>
        <v>ZK384180</v>
      </c>
      <c r="J585" s="59">
        <f t="shared" ca="1" si="47"/>
        <v>45906</v>
      </c>
      <c r="K585" s="30">
        <f ca="1">LOOKUP(A585,'QALS - Inspection Lot Record'!A:A,'QALS - Inspection Lot Record'!I:I)</f>
        <v>0.57326388888888891</v>
      </c>
      <c r="L585" s="59">
        <f t="shared" ca="1" si="48"/>
        <v>45906</v>
      </c>
      <c r="M585" s="30">
        <f t="shared" ca="1" si="49"/>
        <v>0.5948148148148148</v>
      </c>
      <c r="N585" s="31"/>
      <c r="O585" s="31">
        <v>25.5</v>
      </c>
      <c r="P585" s="29">
        <v>23</v>
      </c>
      <c r="Q585" s="29">
        <v>28</v>
      </c>
    </row>
    <row r="586" spans="1:17" x14ac:dyDescent="0.35">
      <c r="A586" s="26">
        <v>40000002574</v>
      </c>
      <c r="B586" s="27">
        <v>1</v>
      </c>
      <c r="C586" s="29" t="str">
        <f>LOOKUP(A586,'QALS - Inspection Lot Record'!$A$2:$A$361,'QALS - Inspection Lot Record'!$O$2:$O$361)</f>
        <v>Metformin Tablets (500 MG)</v>
      </c>
      <c r="D586" s="27">
        <v>10</v>
      </c>
      <c r="E586" s="26" t="s">
        <v>399</v>
      </c>
      <c r="F586" s="29" t="str">
        <f>LOOKUP(A586,'QALS - Inspection Lot Record'!A:A,'QALS - Inspection Lot Record'!G:G)</f>
        <v>TG509538</v>
      </c>
      <c r="G586" s="59">
        <f ca="1">LOOKUP(A586,'QALS - Inspection Lot Record'!A:A,'QALS - Inspection Lot Record'!E:E)</f>
        <v>45906</v>
      </c>
      <c r="H586" s="34" t="str">
        <f t="shared" ref="H586:H649" si="50">IF(AND(P586&lt;=O586,O586&lt;=Q586),"A","R")</f>
        <v>R</v>
      </c>
      <c r="I586" s="29" t="str">
        <f t="shared" si="46"/>
        <v>TG509538</v>
      </c>
      <c r="J586" s="59">
        <f t="shared" ca="1" si="47"/>
        <v>45906</v>
      </c>
      <c r="K586" s="30">
        <f ca="1">LOOKUP(A586,'QALS - Inspection Lot Record'!A:A,'QALS - Inspection Lot Record'!I:I)</f>
        <v>0.20640046296296297</v>
      </c>
      <c r="L586" s="59">
        <f t="shared" ca="1" si="48"/>
        <v>45906</v>
      </c>
      <c r="M586" s="30">
        <f t="shared" ca="1" si="49"/>
        <v>0.23276620370370371</v>
      </c>
      <c r="N586" s="31"/>
      <c r="O586" s="31">
        <v>93</v>
      </c>
      <c r="P586" s="29">
        <v>95</v>
      </c>
      <c r="Q586" s="29">
        <v>105</v>
      </c>
    </row>
    <row r="587" spans="1:17" x14ac:dyDescent="0.35">
      <c r="A587" s="26">
        <v>40000002574</v>
      </c>
      <c r="B587" s="27">
        <v>1</v>
      </c>
      <c r="C587" s="29" t="str">
        <f>LOOKUP(A587,'QALS - Inspection Lot Record'!$A$2:$A$361,'QALS - Inspection Lot Record'!$O$2:$O$361)</f>
        <v>Metformin Tablets (500 MG)</v>
      </c>
      <c r="D587" s="31">
        <v>20</v>
      </c>
      <c r="E587" s="29" t="s">
        <v>400</v>
      </c>
      <c r="F587" s="29" t="str">
        <f>LOOKUP(A587,'QALS - Inspection Lot Record'!A:A,'QALS - Inspection Lot Record'!G:G)</f>
        <v>TG509538</v>
      </c>
      <c r="G587" s="59">
        <f ca="1">LOOKUP(A587,'QALS - Inspection Lot Record'!A:A,'QALS - Inspection Lot Record'!E:E)</f>
        <v>45906</v>
      </c>
      <c r="H587" s="34" t="str">
        <f t="shared" si="50"/>
        <v>A</v>
      </c>
      <c r="I587" s="29" t="str">
        <f t="shared" si="46"/>
        <v>TG509538</v>
      </c>
      <c r="J587" s="59">
        <f t="shared" ca="1" si="47"/>
        <v>45906</v>
      </c>
      <c r="K587" s="30">
        <f ca="1">LOOKUP(A587,'QALS - Inspection Lot Record'!A:A,'QALS - Inspection Lot Record'!I:I)</f>
        <v>0.20640046296296297</v>
      </c>
      <c r="L587" s="59">
        <f t="shared" ca="1" si="48"/>
        <v>45906</v>
      </c>
      <c r="M587" s="30">
        <f t="shared" ca="1" si="49"/>
        <v>0.24127314814814815</v>
      </c>
      <c r="N587" s="31"/>
      <c r="O587" s="31">
        <v>7.25</v>
      </c>
      <c r="P587" s="29">
        <v>3.5</v>
      </c>
      <c r="Q587" s="29">
        <v>11</v>
      </c>
    </row>
    <row r="588" spans="1:17" x14ac:dyDescent="0.35">
      <c r="A588" s="26">
        <v>40000002574</v>
      </c>
      <c r="B588" s="31">
        <v>1</v>
      </c>
      <c r="C588" s="29" t="str">
        <f>LOOKUP(A588,'QALS - Inspection Lot Record'!$A$2:$A$361,'QALS - Inspection Lot Record'!$O$2:$O$361)</f>
        <v>Metformin Tablets (500 MG)</v>
      </c>
      <c r="D588" s="31">
        <v>30</v>
      </c>
      <c r="E588" s="29" t="s">
        <v>401</v>
      </c>
      <c r="F588" s="29" t="str">
        <f>LOOKUP(A588,'QALS - Inspection Lot Record'!A:A,'QALS - Inspection Lot Record'!G:G)</f>
        <v>TG509538</v>
      </c>
      <c r="G588" s="59">
        <f ca="1">LOOKUP(A588,'QALS - Inspection Lot Record'!A:A,'QALS - Inspection Lot Record'!E:E)</f>
        <v>45906</v>
      </c>
      <c r="H588" s="34" t="str">
        <f t="shared" si="50"/>
        <v>A</v>
      </c>
      <c r="I588" s="29" t="str">
        <f t="shared" si="46"/>
        <v>TG509538</v>
      </c>
      <c r="J588" s="59">
        <f t="shared" ca="1" si="47"/>
        <v>45906</v>
      </c>
      <c r="K588" s="30">
        <f ca="1">LOOKUP(A588,'QALS - Inspection Lot Record'!A:A,'QALS - Inspection Lot Record'!I:I)</f>
        <v>0.20640046296296297</v>
      </c>
      <c r="L588" s="59">
        <f t="shared" ca="1" si="48"/>
        <v>45906</v>
      </c>
      <c r="M588" s="30">
        <f t="shared" ca="1" si="49"/>
        <v>0.23386574074074074</v>
      </c>
      <c r="N588" s="11" t="s">
        <v>402</v>
      </c>
      <c r="O588" s="31"/>
      <c r="P588" s="29"/>
      <c r="Q588" s="29"/>
    </row>
    <row r="589" spans="1:17" x14ac:dyDescent="0.35">
      <c r="A589" s="26">
        <v>40000002574</v>
      </c>
      <c r="B589" s="31">
        <v>1</v>
      </c>
      <c r="C589" s="29" t="str">
        <f>LOOKUP(A589,'QALS - Inspection Lot Record'!$A$2:$A$361,'QALS - Inspection Lot Record'!$O$2:$O$361)</f>
        <v>Metformin Tablets (500 MG)</v>
      </c>
      <c r="D589" s="31">
        <v>40</v>
      </c>
      <c r="E589" s="29" t="s">
        <v>403</v>
      </c>
      <c r="F589" s="29" t="str">
        <f>LOOKUP(A589,'QALS - Inspection Lot Record'!A:A,'QALS - Inspection Lot Record'!G:G)</f>
        <v>TG509538</v>
      </c>
      <c r="G589" s="59">
        <f ca="1">LOOKUP(A589,'QALS - Inspection Lot Record'!A:A,'QALS - Inspection Lot Record'!E:E)</f>
        <v>45906</v>
      </c>
      <c r="H589" s="34" t="str">
        <f t="shared" si="50"/>
        <v>A</v>
      </c>
      <c r="I589" s="29" t="str">
        <f t="shared" si="46"/>
        <v>TG509538</v>
      </c>
      <c r="J589" s="59">
        <f t="shared" ca="1" si="47"/>
        <v>45906</v>
      </c>
      <c r="K589" s="30">
        <f ca="1">LOOKUP(A589,'QALS - Inspection Lot Record'!A:A,'QALS - Inspection Lot Record'!I:I)</f>
        <v>0.20640046296296297</v>
      </c>
      <c r="L589" s="59">
        <f t="shared" ca="1" si="48"/>
        <v>45906</v>
      </c>
      <c r="M589" s="30">
        <f t="shared" ca="1" si="49"/>
        <v>0.23040509259259259</v>
      </c>
      <c r="N589" s="31"/>
      <c r="O589" s="31">
        <v>1</v>
      </c>
      <c r="P589" s="29">
        <v>0</v>
      </c>
      <c r="Q589" s="29">
        <v>2</v>
      </c>
    </row>
    <row r="590" spans="1:17" x14ac:dyDescent="0.35">
      <c r="A590" s="26">
        <v>40000002574</v>
      </c>
      <c r="B590" s="31">
        <v>1</v>
      </c>
      <c r="C590" s="29" t="str">
        <f>LOOKUP(A590,'QALS - Inspection Lot Record'!$A$2:$A$361,'QALS - Inspection Lot Record'!$O$2:$O$361)</f>
        <v>Metformin Tablets (500 MG)</v>
      </c>
      <c r="D590" s="31">
        <v>50</v>
      </c>
      <c r="E590" s="29" t="s">
        <v>404</v>
      </c>
      <c r="F590" s="29" t="str">
        <f>LOOKUP(A590,'QALS - Inspection Lot Record'!A:A,'QALS - Inspection Lot Record'!G:G)</f>
        <v>TG509538</v>
      </c>
      <c r="G590" s="59">
        <f ca="1">LOOKUP(A590,'QALS - Inspection Lot Record'!A:A,'QALS - Inspection Lot Record'!E:E)</f>
        <v>45906</v>
      </c>
      <c r="H590" s="34" t="str">
        <f t="shared" si="50"/>
        <v>A</v>
      </c>
      <c r="I590" s="29" t="str">
        <f t="shared" si="46"/>
        <v>TG509538</v>
      </c>
      <c r="J590" s="59">
        <f t="shared" ca="1" si="47"/>
        <v>45906</v>
      </c>
      <c r="K590" s="30">
        <f ca="1">LOOKUP(A590,'QALS - Inspection Lot Record'!A:A,'QALS - Inspection Lot Record'!I:I)</f>
        <v>0.20640046296296297</v>
      </c>
      <c r="L590" s="59">
        <f t="shared" ca="1" si="48"/>
        <v>45906</v>
      </c>
      <c r="M590" s="30">
        <f t="shared" ca="1" si="49"/>
        <v>0.24004629629629631</v>
      </c>
      <c r="N590" s="31"/>
      <c r="O590" s="31">
        <v>50</v>
      </c>
      <c r="P590" s="29">
        <v>40</v>
      </c>
      <c r="Q590" s="29">
        <v>60</v>
      </c>
    </row>
    <row r="591" spans="1:17" x14ac:dyDescent="0.35">
      <c r="A591" s="26">
        <v>40000002574</v>
      </c>
      <c r="B591" s="31">
        <v>1</v>
      </c>
      <c r="C591" s="29" t="str">
        <f>LOOKUP(A591,'QALS - Inspection Lot Record'!$A$2:$A$361,'QALS - Inspection Lot Record'!$O$2:$O$361)</f>
        <v>Metformin Tablets (500 MG)</v>
      </c>
      <c r="D591" s="31">
        <v>60</v>
      </c>
      <c r="E591" s="29" t="s">
        <v>405</v>
      </c>
      <c r="F591" s="29" t="str">
        <f>LOOKUP(A591,'QALS - Inspection Lot Record'!A:A,'QALS - Inspection Lot Record'!G:G)</f>
        <v>TG509538</v>
      </c>
      <c r="G591" s="59">
        <f ca="1">LOOKUP(A591,'QALS - Inspection Lot Record'!A:A,'QALS - Inspection Lot Record'!E:E)</f>
        <v>45906</v>
      </c>
      <c r="H591" s="34" t="str">
        <f t="shared" si="50"/>
        <v>A</v>
      </c>
      <c r="I591" s="29" t="str">
        <f t="shared" si="46"/>
        <v>TG509538</v>
      </c>
      <c r="J591" s="59">
        <f t="shared" ca="1" si="47"/>
        <v>45906</v>
      </c>
      <c r="K591" s="30">
        <f ca="1">LOOKUP(A591,'QALS - Inspection Lot Record'!A:A,'QALS - Inspection Lot Record'!I:I)</f>
        <v>0.20640046296296297</v>
      </c>
      <c r="L591" s="59">
        <f t="shared" ca="1" si="48"/>
        <v>45906</v>
      </c>
      <c r="M591" s="30">
        <f t="shared" ca="1" si="49"/>
        <v>0.24084490740740741</v>
      </c>
      <c r="N591" s="31"/>
      <c r="O591" s="31">
        <v>77.5</v>
      </c>
      <c r="P591" s="29">
        <v>70</v>
      </c>
      <c r="Q591" s="29">
        <v>85</v>
      </c>
    </row>
    <row r="592" spans="1:17" x14ac:dyDescent="0.35">
      <c r="A592" s="26">
        <v>40000002574</v>
      </c>
      <c r="B592" s="31">
        <v>1</v>
      </c>
      <c r="C592" s="29" t="str">
        <f>LOOKUP(A592,'QALS - Inspection Lot Record'!$A$2:$A$361,'QALS - Inspection Lot Record'!$O$2:$O$361)</f>
        <v>Metformin Tablets (500 MG)</v>
      </c>
      <c r="D592" s="31">
        <v>70</v>
      </c>
      <c r="E592" s="29" t="s">
        <v>406</v>
      </c>
      <c r="F592" s="29" t="str">
        <f>LOOKUP(A592,'QALS - Inspection Lot Record'!A:A,'QALS - Inspection Lot Record'!G:G)</f>
        <v>TG509538</v>
      </c>
      <c r="G592" s="59">
        <f ca="1">LOOKUP(A592,'QALS - Inspection Lot Record'!A:A,'QALS - Inspection Lot Record'!E:E)</f>
        <v>45906</v>
      </c>
      <c r="H592" s="34" t="str">
        <f t="shared" si="50"/>
        <v>R</v>
      </c>
      <c r="I592" s="29" t="str">
        <f t="shared" si="46"/>
        <v>TG509538</v>
      </c>
      <c r="J592" s="59">
        <f t="shared" ca="1" si="47"/>
        <v>45906</v>
      </c>
      <c r="K592" s="30">
        <f ca="1">LOOKUP(A592,'QALS - Inspection Lot Record'!A:A,'QALS - Inspection Lot Record'!I:I)</f>
        <v>0.20640046296296297</v>
      </c>
      <c r="L592" s="59">
        <f t="shared" ca="1" si="48"/>
        <v>45906</v>
      </c>
      <c r="M592" s="30">
        <f t="shared" ca="1" si="49"/>
        <v>0.24070601851851853</v>
      </c>
      <c r="N592" s="31"/>
      <c r="O592" s="31">
        <v>79</v>
      </c>
      <c r="P592" s="29">
        <v>80</v>
      </c>
      <c r="Q592" s="29">
        <v>90</v>
      </c>
    </row>
    <row r="593" spans="1:17" x14ac:dyDescent="0.35">
      <c r="A593" s="26">
        <v>40000002574</v>
      </c>
      <c r="B593" s="31">
        <v>1</v>
      </c>
      <c r="C593" s="29" t="str">
        <f>LOOKUP(A593,'QALS - Inspection Lot Record'!$A$2:$A$361,'QALS - Inspection Lot Record'!$O$2:$O$361)</f>
        <v>Metformin Tablets (500 MG)</v>
      </c>
      <c r="D593" s="31">
        <v>80</v>
      </c>
      <c r="E593" s="29" t="s">
        <v>407</v>
      </c>
      <c r="F593" s="29" t="str">
        <f>LOOKUP(A593,'QALS - Inspection Lot Record'!A:A,'QALS - Inspection Lot Record'!G:G)</f>
        <v>TG509538</v>
      </c>
      <c r="G593" s="59">
        <f ca="1">LOOKUP(A593,'QALS - Inspection Lot Record'!A:A,'QALS - Inspection Lot Record'!E:E)</f>
        <v>45906</v>
      </c>
      <c r="H593" s="34" t="str">
        <f t="shared" si="50"/>
        <v>A</v>
      </c>
      <c r="I593" s="29" t="str">
        <f t="shared" si="46"/>
        <v>TG509538</v>
      </c>
      <c r="J593" s="59">
        <f t="shared" ca="1" si="47"/>
        <v>45906</v>
      </c>
      <c r="K593" s="30">
        <f ca="1">LOOKUP(A593,'QALS - Inspection Lot Record'!A:A,'QALS - Inspection Lot Record'!I:I)</f>
        <v>0.20640046296296297</v>
      </c>
      <c r="L593" s="59">
        <f t="shared" ca="1" si="48"/>
        <v>45906</v>
      </c>
      <c r="M593" s="30">
        <f t="shared" ca="1" si="49"/>
        <v>0.22894675925925925</v>
      </c>
      <c r="N593" s="31"/>
      <c r="O593" s="31">
        <v>25.5</v>
      </c>
      <c r="P593" s="29">
        <v>23</v>
      </c>
      <c r="Q593" s="29">
        <v>28</v>
      </c>
    </row>
    <row r="594" spans="1:17" x14ac:dyDescent="0.35">
      <c r="A594" s="26">
        <v>40000002575</v>
      </c>
      <c r="B594" s="27">
        <v>1</v>
      </c>
      <c r="C594" s="29" t="str">
        <f>LOOKUP(A594,'QALS - Inspection Lot Record'!$A$2:$A$361,'QALS - Inspection Lot Record'!$O$2:$O$361)</f>
        <v>Metformin Tablets (100 MG)</v>
      </c>
      <c r="D594" s="27">
        <v>10</v>
      </c>
      <c r="E594" s="26" t="s">
        <v>399</v>
      </c>
      <c r="F594" s="29" t="str">
        <f>LOOKUP(A594,'QALS - Inspection Lot Record'!A:A,'QALS - Inspection Lot Record'!G:G)</f>
        <v>AB406550</v>
      </c>
      <c r="G594" s="59">
        <f ca="1">LOOKUP(A594,'QALS - Inspection Lot Record'!A:A,'QALS - Inspection Lot Record'!E:E)</f>
        <v>45907</v>
      </c>
      <c r="H594" s="34" t="str">
        <f t="shared" si="50"/>
        <v>R</v>
      </c>
      <c r="I594" s="29" t="str">
        <f t="shared" si="46"/>
        <v>AB406550</v>
      </c>
      <c r="J594" s="59">
        <f t="shared" ca="1" si="47"/>
        <v>45907</v>
      </c>
      <c r="K594" s="30">
        <f ca="1">LOOKUP(A594,'QALS - Inspection Lot Record'!A:A,'QALS - Inspection Lot Record'!I:I)</f>
        <v>0.92383101851851857</v>
      </c>
      <c r="L594" s="59">
        <f t="shared" ca="1" si="48"/>
        <v>45907</v>
      </c>
      <c r="M594" s="30">
        <f t="shared" ca="1" si="49"/>
        <v>0.95672453703703708</v>
      </c>
      <c r="N594" s="31"/>
      <c r="O594" s="31">
        <v>93.8</v>
      </c>
      <c r="P594" s="29">
        <v>95</v>
      </c>
      <c r="Q594" s="29">
        <v>102</v>
      </c>
    </row>
    <row r="595" spans="1:17" x14ac:dyDescent="0.35">
      <c r="A595" s="26">
        <v>40000002575</v>
      </c>
      <c r="B595" s="27">
        <v>1</v>
      </c>
      <c r="C595" s="29" t="str">
        <f>LOOKUP(A595,'QALS - Inspection Lot Record'!$A$2:$A$361,'QALS - Inspection Lot Record'!$O$2:$O$361)</f>
        <v>Metformin Tablets (100 MG)</v>
      </c>
      <c r="D595" s="31">
        <v>20</v>
      </c>
      <c r="E595" s="29" t="s">
        <v>400</v>
      </c>
      <c r="F595" s="29" t="str">
        <f>LOOKUP(A595,'QALS - Inspection Lot Record'!A:A,'QALS - Inspection Lot Record'!G:G)</f>
        <v>AB406550</v>
      </c>
      <c r="G595" s="59">
        <f ca="1">LOOKUP(A595,'QALS - Inspection Lot Record'!A:A,'QALS - Inspection Lot Record'!E:E)</f>
        <v>45907</v>
      </c>
      <c r="H595" s="34" t="str">
        <f t="shared" si="50"/>
        <v>A</v>
      </c>
      <c r="I595" s="29" t="str">
        <f t="shared" si="46"/>
        <v>AB406550</v>
      </c>
      <c r="J595" s="59">
        <f t="shared" ca="1" si="47"/>
        <v>45907</v>
      </c>
      <c r="K595" s="30">
        <f ca="1">LOOKUP(A595,'QALS - Inspection Lot Record'!A:A,'QALS - Inspection Lot Record'!I:I)</f>
        <v>0.92383101851851857</v>
      </c>
      <c r="L595" s="59">
        <f t="shared" ca="1" si="48"/>
        <v>45907</v>
      </c>
      <c r="M595" s="30">
        <f t="shared" ca="1" si="49"/>
        <v>0.94961805555555556</v>
      </c>
      <c r="N595" s="31"/>
      <c r="O595" s="31">
        <v>7.3</v>
      </c>
      <c r="P595" s="29">
        <v>3.5</v>
      </c>
      <c r="Q595" s="29">
        <v>11</v>
      </c>
    </row>
    <row r="596" spans="1:17" x14ac:dyDescent="0.35">
      <c r="A596" s="26">
        <v>40000002575</v>
      </c>
      <c r="B596" s="31">
        <v>1</v>
      </c>
      <c r="C596" s="29" t="str">
        <f>LOOKUP(A596,'QALS - Inspection Lot Record'!$A$2:$A$361,'QALS - Inspection Lot Record'!$O$2:$O$361)</f>
        <v>Metformin Tablets (100 MG)</v>
      </c>
      <c r="D596" s="31">
        <v>30</v>
      </c>
      <c r="E596" s="29" t="s">
        <v>401</v>
      </c>
      <c r="F596" s="29" t="str">
        <f>LOOKUP(A596,'QALS - Inspection Lot Record'!A:A,'QALS - Inspection Lot Record'!G:G)</f>
        <v>AB406550</v>
      </c>
      <c r="G596" s="59">
        <f ca="1">LOOKUP(A596,'QALS - Inspection Lot Record'!A:A,'QALS - Inspection Lot Record'!E:E)</f>
        <v>45907</v>
      </c>
      <c r="H596" s="34" t="str">
        <f t="shared" si="50"/>
        <v>A</v>
      </c>
      <c r="I596" s="29" t="str">
        <f t="shared" si="46"/>
        <v>AB406550</v>
      </c>
      <c r="J596" s="59">
        <f t="shared" ca="1" si="47"/>
        <v>45907</v>
      </c>
      <c r="K596" s="30">
        <f ca="1">LOOKUP(A596,'QALS - Inspection Lot Record'!A:A,'QALS - Inspection Lot Record'!I:I)</f>
        <v>0.92383101851851857</v>
      </c>
      <c r="L596" s="59">
        <f t="shared" ca="1" si="48"/>
        <v>45907</v>
      </c>
      <c r="M596" s="30">
        <f t="shared" ca="1" si="49"/>
        <v>0.9550925925925926</v>
      </c>
      <c r="N596" s="11" t="s">
        <v>402</v>
      </c>
      <c r="O596" s="31"/>
      <c r="P596" s="29"/>
      <c r="Q596" s="29"/>
    </row>
    <row r="597" spans="1:17" x14ac:dyDescent="0.35">
      <c r="A597" s="26">
        <v>40000002575</v>
      </c>
      <c r="B597" s="31">
        <v>1</v>
      </c>
      <c r="C597" s="29" t="str">
        <f>LOOKUP(A597,'QALS - Inspection Lot Record'!$A$2:$A$361,'QALS - Inspection Lot Record'!$O$2:$O$361)</f>
        <v>Metformin Tablets (100 MG)</v>
      </c>
      <c r="D597" s="31">
        <v>40</v>
      </c>
      <c r="E597" s="29" t="s">
        <v>403</v>
      </c>
      <c r="F597" s="29" t="str">
        <f>LOOKUP(A597,'QALS - Inspection Lot Record'!A:A,'QALS - Inspection Lot Record'!G:G)</f>
        <v>AB406550</v>
      </c>
      <c r="G597" s="59">
        <f ca="1">LOOKUP(A597,'QALS - Inspection Lot Record'!A:A,'QALS - Inspection Lot Record'!E:E)</f>
        <v>45907</v>
      </c>
      <c r="H597" s="34" t="str">
        <f t="shared" si="50"/>
        <v>A</v>
      </c>
      <c r="I597" s="29" t="str">
        <f t="shared" si="46"/>
        <v>AB406550</v>
      </c>
      <c r="J597" s="59">
        <f t="shared" ca="1" si="47"/>
        <v>45907</v>
      </c>
      <c r="K597" s="30">
        <f ca="1">LOOKUP(A597,'QALS - Inspection Lot Record'!A:A,'QALS - Inspection Lot Record'!I:I)</f>
        <v>0.92383101851851857</v>
      </c>
      <c r="L597" s="59">
        <f t="shared" ca="1" si="48"/>
        <v>45907</v>
      </c>
      <c r="M597" s="30">
        <f t="shared" ca="1" si="49"/>
        <v>0.94912037037037045</v>
      </c>
      <c r="N597" s="31"/>
      <c r="O597" s="31">
        <v>0.5</v>
      </c>
      <c r="P597" s="29">
        <v>0</v>
      </c>
      <c r="Q597" s="29">
        <v>1</v>
      </c>
    </row>
    <row r="598" spans="1:17" x14ac:dyDescent="0.35">
      <c r="A598" s="26">
        <v>40000002575</v>
      </c>
      <c r="B598" s="31">
        <v>1</v>
      </c>
      <c r="C598" s="29" t="str">
        <f>LOOKUP(A598,'QALS - Inspection Lot Record'!$A$2:$A$361,'QALS - Inspection Lot Record'!$O$2:$O$361)</f>
        <v>Metformin Tablets (100 MG)</v>
      </c>
      <c r="D598" s="31">
        <v>50</v>
      </c>
      <c r="E598" s="29" t="s">
        <v>404</v>
      </c>
      <c r="F598" s="29" t="str">
        <f>LOOKUP(A598,'QALS - Inspection Lot Record'!A:A,'QALS - Inspection Lot Record'!G:G)</f>
        <v>AB406550</v>
      </c>
      <c r="G598" s="59">
        <f ca="1">LOOKUP(A598,'QALS - Inspection Lot Record'!A:A,'QALS - Inspection Lot Record'!E:E)</f>
        <v>45907</v>
      </c>
      <c r="H598" s="34" t="str">
        <f t="shared" si="50"/>
        <v>A</v>
      </c>
      <c r="I598" s="29" t="str">
        <f t="shared" si="46"/>
        <v>AB406550</v>
      </c>
      <c r="J598" s="59">
        <f t="shared" ca="1" si="47"/>
        <v>45907</v>
      </c>
      <c r="K598" s="30">
        <f ca="1">LOOKUP(A598,'QALS - Inspection Lot Record'!A:A,'QALS - Inspection Lot Record'!I:I)</f>
        <v>0.92383101851851857</v>
      </c>
      <c r="L598" s="59">
        <f t="shared" ca="1" si="48"/>
        <v>45907</v>
      </c>
      <c r="M598" s="30">
        <f t="shared" ca="1" si="49"/>
        <v>0.94443287037037038</v>
      </c>
      <c r="N598" s="31"/>
      <c r="O598" s="31">
        <v>41.1</v>
      </c>
      <c r="P598" s="29">
        <v>40</v>
      </c>
      <c r="Q598" s="29">
        <v>60</v>
      </c>
    </row>
    <row r="599" spans="1:17" x14ac:dyDescent="0.35">
      <c r="A599" s="26">
        <v>40000002575</v>
      </c>
      <c r="B599" s="31">
        <v>1</v>
      </c>
      <c r="C599" s="29" t="str">
        <f>LOOKUP(A599,'QALS - Inspection Lot Record'!$A$2:$A$361,'QALS - Inspection Lot Record'!$O$2:$O$361)</f>
        <v>Metformin Tablets (100 MG)</v>
      </c>
      <c r="D599" s="31">
        <v>60</v>
      </c>
      <c r="E599" s="29" t="s">
        <v>405</v>
      </c>
      <c r="F599" s="29" t="str">
        <f>LOOKUP(A599,'QALS - Inspection Lot Record'!A:A,'QALS - Inspection Lot Record'!G:G)</f>
        <v>AB406550</v>
      </c>
      <c r="G599" s="59">
        <f ca="1">LOOKUP(A599,'QALS - Inspection Lot Record'!A:A,'QALS - Inspection Lot Record'!E:E)</f>
        <v>45907</v>
      </c>
      <c r="H599" s="34" t="str">
        <f t="shared" si="50"/>
        <v>A</v>
      </c>
      <c r="I599" s="29" t="str">
        <f t="shared" si="46"/>
        <v>AB406550</v>
      </c>
      <c r="J599" s="59">
        <f t="shared" ca="1" si="47"/>
        <v>45907</v>
      </c>
      <c r="K599" s="30">
        <f ca="1">LOOKUP(A599,'QALS - Inspection Lot Record'!A:A,'QALS - Inspection Lot Record'!I:I)</f>
        <v>0.92383101851851857</v>
      </c>
      <c r="L599" s="59">
        <f t="shared" ca="1" si="48"/>
        <v>45907</v>
      </c>
      <c r="M599" s="30">
        <f t="shared" ca="1" si="49"/>
        <v>0.95091435185185191</v>
      </c>
      <c r="N599" s="31"/>
      <c r="O599" s="31">
        <v>71</v>
      </c>
      <c r="P599" s="29">
        <v>70</v>
      </c>
      <c r="Q599" s="29">
        <v>85</v>
      </c>
    </row>
    <row r="600" spans="1:17" x14ac:dyDescent="0.35">
      <c r="A600" s="26">
        <v>40000002575</v>
      </c>
      <c r="B600" s="31">
        <v>1</v>
      </c>
      <c r="C600" s="29" t="str">
        <f>LOOKUP(A600,'QALS - Inspection Lot Record'!$A$2:$A$361,'QALS - Inspection Lot Record'!$O$2:$O$361)</f>
        <v>Metformin Tablets (100 MG)</v>
      </c>
      <c r="D600" s="31">
        <v>70</v>
      </c>
      <c r="E600" s="29" t="s">
        <v>406</v>
      </c>
      <c r="F600" s="29" t="str">
        <f>LOOKUP(A600,'QALS - Inspection Lot Record'!A:A,'QALS - Inspection Lot Record'!G:G)</f>
        <v>AB406550</v>
      </c>
      <c r="G600" s="59">
        <f ca="1">LOOKUP(A600,'QALS - Inspection Lot Record'!A:A,'QALS - Inspection Lot Record'!E:E)</f>
        <v>45907</v>
      </c>
      <c r="H600" s="34" t="str">
        <f t="shared" si="50"/>
        <v>A</v>
      </c>
      <c r="I600" s="29" t="str">
        <f t="shared" si="46"/>
        <v>AB406550</v>
      </c>
      <c r="J600" s="59">
        <f t="shared" ca="1" si="47"/>
        <v>45907</v>
      </c>
      <c r="K600" s="30">
        <f ca="1">LOOKUP(A600,'QALS - Inspection Lot Record'!A:A,'QALS - Inspection Lot Record'!I:I)</f>
        <v>0.92383101851851857</v>
      </c>
      <c r="L600" s="59">
        <f t="shared" ca="1" si="48"/>
        <v>45907</v>
      </c>
      <c r="M600" s="30">
        <f t="shared" ca="1" si="49"/>
        <v>0.94912037037037045</v>
      </c>
      <c r="N600" s="31"/>
      <c r="O600" s="31">
        <v>81.400000000000006</v>
      </c>
      <c r="P600" s="29">
        <v>80</v>
      </c>
      <c r="Q600" s="29">
        <v>90</v>
      </c>
    </row>
    <row r="601" spans="1:17" x14ac:dyDescent="0.35">
      <c r="A601" s="26">
        <v>40000002575</v>
      </c>
      <c r="B601" s="31">
        <v>1</v>
      </c>
      <c r="C601" s="29" t="str">
        <f>LOOKUP(A601,'QALS - Inspection Lot Record'!$A$2:$A$361,'QALS - Inspection Lot Record'!$O$2:$O$361)</f>
        <v>Metformin Tablets (100 MG)</v>
      </c>
      <c r="D601" s="31">
        <v>80</v>
      </c>
      <c r="E601" s="29" t="s">
        <v>407</v>
      </c>
      <c r="F601" s="29" t="str">
        <f>LOOKUP(A601,'QALS - Inspection Lot Record'!A:A,'QALS - Inspection Lot Record'!G:G)</f>
        <v>AB406550</v>
      </c>
      <c r="G601" s="59">
        <f ca="1">LOOKUP(A601,'QALS - Inspection Lot Record'!A:A,'QALS - Inspection Lot Record'!E:E)</f>
        <v>45907</v>
      </c>
      <c r="H601" s="34" t="str">
        <f t="shared" si="50"/>
        <v>A</v>
      </c>
      <c r="I601" s="29" t="str">
        <f t="shared" si="46"/>
        <v>AB406550</v>
      </c>
      <c r="J601" s="59">
        <f t="shared" ca="1" si="47"/>
        <v>45907</v>
      </c>
      <c r="K601" s="30">
        <f ca="1">LOOKUP(A601,'QALS - Inspection Lot Record'!A:A,'QALS - Inspection Lot Record'!I:I)</f>
        <v>0.92383101851851857</v>
      </c>
      <c r="L601" s="59">
        <f t="shared" ca="1" si="48"/>
        <v>45907</v>
      </c>
      <c r="M601" s="30">
        <f t="shared" ca="1" si="49"/>
        <v>0.95635416666666673</v>
      </c>
      <c r="N601" s="31"/>
      <c r="O601" s="31">
        <v>24</v>
      </c>
      <c r="P601" s="29">
        <v>23</v>
      </c>
      <c r="Q601" s="29">
        <v>25</v>
      </c>
    </row>
    <row r="602" spans="1:17" x14ac:dyDescent="0.35">
      <c r="A602" s="26">
        <v>40000002576</v>
      </c>
      <c r="B602" s="27">
        <v>1</v>
      </c>
      <c r="C602" s="29" t="str">
        <f>LOOKUP(A602,'QALS - Inspection Lot Record'!$A$2:$A$361,'QALS - Inspection Lot Record'!$O$2:$O$361)</f>
        <v>Aspirin Tablets (500 MG)</v>
      </c>
      <c r="D602" s="27">
        <v>10</v>
      </c>
      <c r="E602" s="26" t="s">
        <v>399</v>
      </c>
      <c r="F602" s="29" t="str">
        <f>LOOKUP(A602,'QALS - Inspection Lot Record'!A:A,'QALS - Inspection Lot Record'!G:G)</f>
        <v>TG509538</v>
      </c>
      <c r="G602" s="59">
        <f ca="1">LOOKUP(A602,'QALS - Inspection Lot Record'!A:A,'QALS - Inspection Lot Record'!E:E)</f>
        <v>45907</v>
      </c>
      <c r="H602" s="34" t="str">
        <f t="shared" si="50"/>
        <v>A</v>
      </c>
      <c r="I602" s="29" t="str">
        <f t="shared" si="46"/>
        <v>TG509538</v>
      </c>
      <c r="J602" s="59">
        <f t="shared" ca="1" si="47"/>
        <v>45907</v>
      </c>
      <c r="K602" s="30">
        <f ca="1">LOOKUP(A602,'QALS - Inspection Lot Record'!A:A,'QALS - Inspection Lot Record'!I:I)</f>
        <v>8.6458333333333331E-2</v>
      </c>
      <c r="L602" s="59">
        <f t="shared" ca="1" si="48"/>
        <v>45907</v>
      </c>
      <c r="M602" s="30">
        <f t="shared" ca="1" si="49"/>
        <v>0.11978009259259259</v>
      </c>
      <c r="N602" s="31"/>
      <c r="O602" s="31">
        <v>100</v>
      </c>
      <c r="P602" s="29">
        <v>95</v>
      </c>
      <c r="Q602" s="29">
        <v>105</v>
      </c>
    </row>
    <row r="603" spans="1:17" x14ac:dyDescent="0.35">
      <c r="A603" s="26">
        <v>40000002576</v>
      </c>
      <c r="B603" s="27">
        <v>1</v>
      </c>
      <c r="C603" s="29" t="str">
        <f>LOOKUP(A603,'QALS - Inspection Lot Record'!$A$2:$A$361,'QALS - Inspection Lot Record'!$O$2:$O$361)</f>
        <v>Aspirin Tablets (500 MG)</v>
      </c>
      <c r="D603" s="31">
        <v>20</v>
      </c>
      <c r="E603" s="29" t="s">
        <v>400</v>
      </c>
      <c r="F603" s="29" t="str">
        <f>LOOKUP(A603,'QALS - Inspection Lot Record'!A:A,'QALS - Inspection Lot Record'!G:G)</f>
        <v>TG509538</v>
      </c>
      <c r="G603" s="59">
        <f ca="1">LOOKUP(A603,'QALS - Inspection Lot Record'!A:A,'QALS - Inspection Lot Record'!E:E)</f>
        <v>45907</v>
      </c>
      <c r="H603" s="34" t="str">
        <f t="shared" si="50"/>
        <v>A</v>
      </c>
      <c r="I603" s="29" t="str">
        <f t="shared" si="46"/>
        <v>TG509538</v>
      </c>
      <c r="J603" s="59">
        <f t="shared" ca="1" si="47"/>
        <v>45907</v>
      </c>
      <c r="K603" s="30">
        <f ca="1">LOOKUP(A603,'QALS - Inspection Lot Record'!A:A,'QALS - Inspection Lot Record'!I:I)</f>
        <v>8.6458333333333331E-2</v>
      </c>
      <c r="L603" s="59">
        <f t="shared" ca="1" si="48"/>
        <v>45907</v>
      </c>
      <c r="M603" s="30">
        <f t="shared" ca="1" si="49"/>
        <v>0.10835648148148148</v>
      </c>
      <c r="N603" s="31"/>
      <c r="O603" s="31">
        <v>7.3</v>
      </c>
      <c r="P603" s="29">
        <v>3.5</v>
      </c>
      <c r="Q603" s="29">
        <v>11</v>
      </c>
    </row>
    <row r="604" spans="1:17" x14ac:dyDescent="0.35">
      <c r="A604" s="26">
        <v>40000002576</v>
      </c>
      <c r="B604" s="31">
        <v>1</v>
      </c>
      <c r="C604" s="29" t="str">
        <f>LOOKUP(A604,'QALS - Inspection Lot Record'!$A$2:$A$361,'QALS - Inspection Lot Record'!$O$2:$O$361)</f>
        <v>Aspirin Tablets (500 MG)</v>
      </c>
      <c r="D604" s="31">
        <v>30</v>
      </c>
      <c r="E604" s="29" t="s">
        <v>401</v>
      </c>
      <c r="F604" s="29" t="str">
        <f>LOOKUP(A604,'QALS - Inspection Lot Record'!A:A,'QALS - Inspection Lot Record'!G:G)</f>
        <v>TG509538</v>
      </c>
      <c r="G604" s="59">
        <f ca="1">LOOKUP(A604,'QALS - Inspection Lot Record'!A:A,'QALS - Inspection Lot Record'!E:E)</f>
        <v>45907</v>
      </c>
      <c r="H604" s="34" t="str">
        <f t="shared" si="50"/>
        <v>A</v>
      </c>
      <c r="I604" s="29" t="str">
        <f t="shared" si="46"/>
        <v>TG509538</v>
      </c>
      <c r="J604" s="59">
        <f t="shared" ca="1" si="47"/>
        <v>45907</v>
      </c>
      <c r="K604" s="30">
        <f ca="1">LOOKUP(A604,'QALS - Inspection Lot Record'!A:A,'QALS - Inspection Lot Record'!I:I)</f>
        <v>8.6458333333333331E-2</v>
      </c>
      <c r="L604" s="59">
        <f t="shared" ca="1" si="48"/>
        <v>45907</v>
      </c>
      <c r="M604" s="30">
        <f t="shared" ca="1" si="49"/>
        <v>0.11597222222222223</v>
      </c>
      <c r="N604" s="11" t="s">
        <v>402</v>
      </c>
      <c r="O604" s="31"/>
      <c r="P604" s="29"/>
      <c r="Q604" s="29"/>
    </row>
    <row r="605" spans="1:17" x14ac:dyDescent="0.35">
      <c r="A605" s="26">
        <v>40000002576</v>
      </c>
      <c r="B605" s="31">
        <v>1</v>
      </c>
      <c r="C605" s="29" t="str">
        <f>LOOKUP(A605,'QALS - Inspection Lot Record'!$A$2:$A$361,'QALS - Inspection Lot Record'!$O$2:$O$361)</f>
        <v>Aspirin Tablets (500 MG)</v>
      </c>
      <c r="D605" s="31">
        <v>40</v>
      </c>
      <c r="E605" s="29" t="s">
        <v>403</v>
      </c>
      <c r="F605" s="29" t="str">
        <f>LOOKUP(A605,'QALS - Inspection Lot Record'!A:A,'QALS - Inspection Lot Record'!G:G)</f>
        <v>TG509538</v>
      </c>
      <c r="G605" s="59">
        <f ca="1">LOOKUP(A605,'QALS - Inspection Lot Record'!A:A,'QALS - Inspection Lot Record'!E:E)</f>
        <v>45907</v>
      </c>
      <c r="H605" s="34" t="str">
        <f t="shared" si="50"/>
        <v>A</v>
      </c>
      <c r="I605" s="29" t="str">
        <f t="shared" si="46"/>
        <v>TG509538</v>
      </c>
      <c r="J605" s="59">
        <f t="shared" ca="1" si="47"/>
        <v>45907</v>
      </c>
      <c r="K605" s="30">
        <f ca="1">LOOKUP(A605,'QALS - Inspection Lot Record'!A:A,'QALS - Inspection Lot Record'!I:I)</f>
        <v>8.6458333333333331E-2</v>
      </c>
      <c r="L605" s="59">
        <f t="shared" ca="1" si="48"/>
        <v>45907</v>
      </c>
      <c r="M605" s="30">
        <f t="shared" ca="1" si="49"/>
        <v>0.12</v>
      </c>
      <c r="N605" s="31"/>
      <c r="O605" s="31">
        <v>1.8</v>
      </c>
      <c r="P605" s="29">
        <v>0</v>
      </c>
      <c r="Q605" s="29">
        <v>2.5</v>
      </c>
    </row>
    <row r="606" spans="1:17" x14ac:dyDescent="0.35">
      <c r="A606" s="26">
        <v>40000002576</v>
      </c>
      <c r="B606" s="31">
        <v>1</v>
      </c>
      <c r="C606" s="29" t="str">
        <f>LOOKUP(A606,'QALS - Inspection Lot Record'!$A$2:$A$361,'QALS - Inspection Lot Record'!$O$2:$O$361)</f>
        <v>Aspirin Tablets (500 MG)</v>
      </c>
      <c r="D606" s="31">
        <v>50</v>
      </c>
      <c r="E606" s="29" t="s">
        <v>404</v>
      </c>
      <c r="F606" s="29" t="str">
        <f>LOOKUP(A606,'QALS - Inspection Lot Record'!A:A,'QALS - Inspection Lot Record'!G:G)</f>
        <v>TG509538</v>
      </c>
      <c r="G606" s="59">
        <f ca="1">LOOKUP(A606,'QALS - Inspection Lot Record'!A:A,'QALS - Inspection Lot Record'!E:E)</f>
        <v>45907</v>
      </c>
      <c r="H606" s="34" t="str">
        <f t="shared" si="50"/>
        <v>A</v>
      </c>
      <c r="I606" s="29" t="str">
        <f t="shared" si="46"/>
        <v>TG509538</v>
      </c>
      <c r="J606" s="59">
        <f t="shared" ca="1" si="47"/>
        <v>45907</v>
      </c>
      <c r="K606" s="30">
        <f ca="1">LOOKUP(A606,'QALS - Inspection Lot Record'!A:A,'QALS - Inspection Lot Record'!I:I)</f>
        <v>8.6458333333333331E-2</v>
      </c>
      <c r="L606" s="59">
        <f t="shared" ca="1" si="48"/>
        <v>45907</v>
      </c>
      <c r="M606" s="30">
        <f t="shared" ca="1" si="49"/>
        <v>0.11604166666666667</v>
      </c>
      <c r="N606" s="31"/>
      <c r="O606" s="31">
        <v>41.5</v>
      </c>
      <c r="P606" s="29">
        <v>40</v>
      </c>
      <c r="Q606" s="29">
        <v>60</v>
      </c>
    </row>
    <row r="607" spans="1:17" x14ac:dyDescent="0.35">
      <c r="A607" s="26">
        <v>40000002576</v>
      </c>
      <c r="B607" s="31">
        <v>1</v>
      </c>
      <c r="C607" s="29" t="str">
        <f>LOOKUP(A607,'QALS - Inspection Lot Record'!$A$2:$A$361,'QALS - Inspection Lot Record'!$O$2:$O$361)</f>
        <v>Aspirin Tablets (500 MG)</v>
      </c>
      <c r="D607" s="31">
        <v>60</v>
      </c>
      <c r="E607" s="29" t="s">
        <v>405</v>
      </c>
      <c r="F607" s="29" t="str">
        <f>LOOKUP(A607,'QALS - Inspection Lot Record'!A:A,'QALS - Inspection Lot Record'!G:G)</f>
        <v>TG509538</v>
      </c>
      <c r="G607" s="59">
        <f ca="1">LOOKUP(A607,'QALS - Inspection Lot Record'!A:A,'QALS - Inspection Lot Record'!E:E)</f>
        <v>45907</v>
      </c>
      <c r="H607" s="34" t="str">
        <f t="shared" si="50"/>
        <v>A</v>
      </c>
      <c r="I607" s="29" t="str">
        <f t="shared" si="46"/>
        <v>TG509538</v>
      </c>
      <c r="J607" s="59">
        <f t="shared" ca="1" si="47"/>
        <v>45907</v>
      </c>
      <c r="K607" s="30">
        <f ca="1">LOOKUP(A607,'QALS - Inspection Lot Record'!A:A,'QALS - Inspection Lot Record'!I:I)</f>
        <v>8.6458333333333331E-2</v>
      </c>
      <c r="L607" s="59">
        <f t="shared" ca="1" si="48"/>
        <v>45907</v>
      </c>
      <c r="M607" s="30">
        <f t="shared" ca="1" si="49"/>
        <v>0.11856481481481482</v>
      </c>
      <c r="N607" s="31"/>
      <c r="O607" s="31">
        <v>71.099999999999994</v>
      </c>
      <c r="P607" s="29">
        <v>70</v>
      </c>
      <c r="Q607" s="29">
        <v>85</v>
      </c>
    </row>
    <row r="608" spans="1:17" x14ac:dyDescent="0.35">
      <c r="A608" s="26">
        <v>40000002576</v>
      </c>
      <c r="B608" s="31">
        <v>1</v>
      </c>
      <c r="C608" s="29" t="str">
        <f>LOOKUP(A608,'QALS - Inspection Lot Record'!$A$2:$A$361,'QALS - Inspection Lot Record'!$O$2:$O$361)</f>
        <v>Aspirin Tablets (500 MG)</v>
      </c>
      <c r="D608" s="31">
        <v>70</v>
      </c>
      <c r="E608" s="29" t="s">
        <v>406</v>
      </c>
      <c r="F608" s="29" t="str">
        <f>LOOKUP(A608,'QALS - Inspection Lot Record'!A:A,'QALS - Inspection Lot Record'!G:G)</f>
        <v>TG509538</v>
      </c>
      <c r="G608" s="59">
        <f ca="1">LOOKUP(A608,'QALS - Inspection Lot Record'!A:A,'QALS - Inspection Lot Record'!E:E)</f>
        <v>45907</v>
      </c>
      <c r="H608" s="34" t="str">
        <f t="shared" si="50"/>
        <v>A</v>
      </c>
      <c r="I608" s="29" t="str">
        <f t="shared" si="46"/>
        <v>TG509538</v>
      </c>
      <c r="J608" s="59">
        <f t="shared" ca="1" si="47"/>
        <v>45907</v>
      </c>
      <c r="K608" s="30">
        <f ca="1">LOOKUP(A608,'QALS - Inspection Lot Record'!A:A,'QALS - Inspection Lot Record'!I:I)</f>
        <v>8.6458333333333331E-2</v>
      </c>
      <c r="L608" s="59">
        <f t="shared" ca="1" si="48"/>
        <v>45907</v>
      </c>
      <c r="M608" s="30">
        <f t="shared" ca="1" si="49"/>
        <v>0.11313657407407407</v>
      </c>
      <c r="N608" s="31"/>
      <c r="O608" s="31">
        <v>81.599999999999994</v>
      </c>
      <c r="P608" s="29">
        <v>80</v>
      </c>
      <c r="Q608" s="29">
        <v>90</v>
      </c>
    </row>
    <row r="609" spans="1:17" x14ac:dyDescent="0.35">
      <c r="A609" s="26">
        <v>40000002576</v>
      </c>
      <c r="B609" s="31">
        <v>1</v>
      </c>
      <c r="C609" s="29" t="str">
        <f>LOOKUP(A609,'QALS - Inspection Lot Record'!$A$2:$A$361,'QALS - Inspection Lot Record'!$O$2:$O$361)</f>
        <v>Aspirin Tablets (500 MG)</v>
      </c>
      <c r="D609" s="31">
        <v>80</v>
      </c>
      <c r="E609" s="29" t="s">
        <v>407</v>
      </c>
      <c r="F609" s="29" t="str">
        <f>LOOKUP(A609,'QALS - Inspection Lot Record'!A:A,'QALS - Inspection Lot Record'!G:G)</f>
        <v>TG509538</v>
      </c>
      <c r="G609" s="59">
        <f ca="1">LOOKUP(A609,'QALS - Inspection Lot Record'!A:A,'QALS - Inspection Lot Record'!E:E)</f>
        <v>45907</v>
      </c>
      <c r="H609" s="34" t="str">
        <f t="shared" si="50"/>
        <v>A</v>
      </c>
      <c r="I609" s="29" t="str">
        <f t="shared" si="46"/>
        <v>TG509538</v>
      </c>
      <c r="J609" s="59">
        <f t="shared" ca="1" si="47"/>
        <v>45907</v>
      </c>
      <c r="K609" s="30">
        <f ca="1">LOOKUP(A609,'QALS - Inspection Lot Record'!A:A,'QALS - Inspection Lot Record'!I:I)</f>
        <v>8.6458333333333331E-2</v>
      </c>
      <c r="L609" s="59">
        <f t="shared" ca="1" si="48"/>
        <v>45907</v>
      </c>
      <c r="M609" s="30">
        <f t="shared" ca="1" si="49"/>
        <v>0.11128472222222222</v>
      </c>
      <c r="N609" s="31"/>
      <c r="O609" s="31">
        <v>25.5</v>
      </c>
      <c r="P609" s="29">
        <v>23</v>
      </c>
      <c r="Q609" s="29">
        <v>28</v>
      </c>
    </row>
    <row r="610" spans="1:17" x14ac:dyDescent="0.35">
      <c r="A610" s="26">
        <v>40000002577</v>
      </c>
      <c r="B610" s="27">
        <v>1</v>
      </c>
      <c r="C610" s="29" t="str">
        <f>LOOKUP(A610,'QALS - Inspection Lot Record'!$A$2:$A$361,'QALS - Inspection Lot Record'!$O$2:$O$361)</f>
        <v>Metformin Tablets (200 MG)</v>
      </c>
      <c r="D610" s="27">
        <v>10</v>
      </c>
      <c r="E610" s="26" t="s">
        <v>399</v>
      </c>
      <c r="F610" s="29" t="str">
        <f>LOOKUP(A610,'QALS - Inspection Lot Record'!A:A,'QALS - Inspection Lot Record'!G:G)</f>
        <v>ZK384180</v>
      </c>
      <c r="G610" s="59">
        <f ca="1">LOOKUP(A610,'QALS - Inspection Lot Record'!A:A,'QALS - Inspection Lot Record'!E:E)</f>
        <v>45908</v>
      </c>
      <c r="H610" s="34" t="str">
        <f t="shared" si="50"/>
        <v>R</v>
      </c>
      <c r="I610" s="29" t="str">
        <f t="shared" si="46"/>
        <v>ZK384180</v>
      </c>
      <c r="J610" s="59">
        <f t="shared" ca="1" si="47"/>
        <v>45908</v>
      </c>
      <c r="K610" s="30">
        <f ca="1">LOOKUP(A610,'QALS - Inspection Lot Record'!A:A,'QALS - Inspection Lot Record'!I:I)</f>
        <v>0.77253472222222219</v>
      </c>
      <c r="L610" s="59">
        <f t="shared" ca="1" si="48"/>
        <v>45908</v>
      </c>
      <c r="M610" s="30">
        <f t="shared" ca="1" si="49"/>
        <v>0.79319444444444442</v>
      </c>
      <c r="N610" s="31"/>
      <c r="O610" s="31">
        <v>93.3</v>
      </c>
      <c r="P610" s="29">
        <v>95</v>
      </c>
      <c r="Q610" s="29">
        <v>103</v>
      </c>
    </row>
    <row r="611" spans="1:17" x14ac:dyDescent="0.35">
      <c r="A611" s="26">
        <v>40000002577</v>
      </c>
      <c r="B611" s="27">
        <v>1</v>
      </c>
      <c r="C611" s="29" t="str">
        <f>LOOKUP(A611,'QALS - Inspection Lot Record'!$A$2:$A$361,'QALS - Inspection Lot Record'!$O$2:$O$361)</f>
        <v>Metformin Tablets (200 MG)</v>
      </c>
      <c r="D611" s="31">
        <v>20</v>
      </c>
      <c r="E611" s="29" t="s">
        <v>400</v>
      </c>
      <c r="F611" s="29" t="str">
        <f>LOOKUP(A611,'QALS - Inspection Lot Record'!A:A,'QALS - Inspection Lot Record'!G:G)</f>
        <v>ZK384180</v>
      </c>
      <c r="G611" s="59">
        <f ca="1">LOOKUP(A611,'QALS - Inspection Lot Record'!A:A,'QALS - Inspection Lot Record'!E:E)</f>
        <v>45908</v>
      </c>
      <c r="H611" s="34" t="str">
        <f t="shared" si="50"/>
        <v>R</v>
      </c>
      <c r="I611" s="29" t="str">
        <f t="shared" si="46"/>
        <v>ZK384180</v>
      </c>
      <c r="J611" s="59">
        <f t="shared" ca="1" si="47"/>
        <v>45908</v>
      </c>
      <c r="K611" s="30">
        <f ca="1">LOOKUP(A611,'QALS - Inspection Lot Record'!A:A,'QALS - Inspection Lot Record'!I:I)</f>
        <v>0.77253472222222219</v>
      </c>
      <c r="L611" s="59">
        <f t="shared" ca="1" si="48"/>
        <v>45908</v>
      </c>
      <c r="M611" s="30">
        <f t="shared" ca="1" si="49"/>
        <v>0.7954282407407407</v>
      </c>
      <c r="N611" s="31"/>
      <c r="O611" s="31">
        <v>4.0999999999999996</v>
      </c>
      <c r="P611" s="29">
        <v>6</v>
      </c>
      <c r="Q611" s="29">
        <v>9.5</v>
      </c>
    </row>
    <row r="612" spans="1:17" x14ac:dyDescent="0.35">
      <c r="A612" s="26">
        <v>40000002577</v>
      </c>
      <c r="B612" s="31">
        <v>1</v>
      </c>
      <c r="C612" s="29" t="str">
        <f>LOOKUP(A612,'QALS - Inspection Lot Record'!$A$2:$A$361,'QALS - Inspection Lot Record'!$O$2:$O$361)</f>
        <v>Metformin Tablets (200 MG)</v>
      </c>
      <c r="D612" s="31">
        <v>30</v>
      </c>
      <c r="E612" s="29" t="s">
        <v>401</v>
      </c>
      <c r="F612" s="29" t="str">
        <f>LOOKUP(A612,'QALS - Inspection Lot Record'!A:A,'QALS - Inspection Lot Record'!G:G)</f>
        <v>ZK384180</v>
      </c>
      <c r="G612" s="59">
        <f ca="1">LOOKUP(A612,'QALS - Inspection Lot Record'!A:A,'QALS - Inspection Lot Record'!E:E)</f>
        <v>45908</v>
      </c>
      <c r="H612" s="34" t="str">
        <f t="shared" si="50"/>
        <v>A</v>
      </c>
      <c r="I612" s="29" t="str">
        <f t="shared" si="46"/>
        <v>ZK384180</v>
      </c>
      <c r="J612" s="59">
        <f t="shared" ca="1" si="47"/>
        <v>45908</v>
      </c>
      <c r="K612" s="30">
        <f ca="1">LOOKUP(A612,'QALS - Inspection Lot Record'!A:A,'QALS - Inspection Lot Record'!I:I)</f>
        <v>0.77253472222222219</v>
      </c>
      <c r="L612" s="59">
        <f t="shared" ca="1" si="48"/>
        <v>45908</v>
      </c>
      <c r="M612" s="30">
        <f t="shared" ca="1" si="49"/>
        <v>0.80572916666666661</v>
      </c>
      <c r="N612" s="11" t="s">
        <v>402</v>
      </c>
      <c r="O612" s="31"/>
      <c r="P612" s="29"/>
      <c r="Q612" s="29"/>
    </row>
    <row r="613" spans="1:17" x14ac:dyDescent="0.35">
      <c r="A613" s="26">
        <v>40000002577</v>
      </c>
      <c r="B613" s="31">
        <v>1</v>
      </c>
      <c r="C613" s="29" t="str">
        <f>LOOKUP(A613,'QALS - Inspection Lot Record'!$A$2:$A$361,'QALS - Inspection Lot Record'!$O$2:$O$361)</f>
        <v>Metformin Tablets (200 MG)</v>
      </c>
      <c r="D613" s="31">
        <v>40</v>
      </c>
      <c r="E613" s="29" t="s">
        <v>403</v>
      </c>
      <c r="F613" s="29" t="str">
        <f>LOOKUP(A613,'QALS - Inspection Lot Record'!A:A,'QALS - Inspection Lot Record'!G:G)</f>
        <v>ZK384180</v>
      </c>
      <c r="G613" s="59">
        <f ca="1">LOOKUP(A613,'QALS - Inspection Lot Record'!A:A,'QALS - Inspection Lot Record'!E:E)</f>
        <v>45908</v>
      </c>
      <c r="H613" s="34" t="str">
        <f t="shared" si="50"/>
        <v>A</v>
      </c>
      <c r="I613" s="29" t="str">
        <f t="shared" si="46"/>
        <v>ZK384180</v>
      </c>
      <c r="J613" s="59">
        <f t="shared" ca="1" si="47"/>
        <v>45908</v>
      </c>
      <c r="K613" s="30">
        <f ca="1">LOOKUP(A613,'QALS - Inspection Lot Record'!A:A,'QALS - Inspection Lot Record'!I:I)</f>
        <v>0.77253472222222219</v>
      </c>
      <c r="L613" s="59">
        <f t="shared" ca="1" si="48"/>
        <v>45908</v>
      </c>
      <c r="M613" s="30">
        <f t="shared" ca="1" si="49"/>
        <v>0.80111111111111111</v>
      </c>
      <c r="N613" s="31"/>
      <c r="O613" s="31">
        <v>0</v>
      </c>
      <c r="P613" s="29">
        <v>0</v>
      </c>
      <c r="Q613" s="29">
        <v>2</v>
      </c>
    </row>
    <row r="614" spans="1:17" x14ac:dyDescent="0.35">
      <c r="A614" s="26">
        <v>40000002577</v>
      </c>
      <c r="B614" s="31">
        <v>1</v>
      </c>
      <c r="C614" s="29" t="str">
        <f>LOOKUP(A614,'QALS - Inspection Lot Record'!$A$2:$A$361,'QALS - Inspection Lot Record'!$O$2:$O$361)</f>
        <v>Metformin Tablets (200 MG)</v>
      </c>
      <c r="D614" s="31">
        <v>50</v>
      </c>
      <c r="E614" s="29" t="s">
        <v>404</v>
      </c>
      <c r="F614" s="29" t="str">
        <f>LOOKUP(A614,'QALS - Inspection Lot Record'!A:A,'QALS - Inspection Lot Record'!G:G)</f>
        <v>ZK384180</v>
      </c>
      <c r="G614" s="59">
        <f ca="1">LOOKUP(A614,'QALS - Inspection Lot Record'!A:A,'QALS - Inspection Lot Record'!E:E)</f>
        <v>45908</v>
      </c>
      <c r="H614" s="34" t="str">
        <f t="shared" si="50"/>
        <v>A</v>
      </c>
      <c r="I614" s="29" t="str">
        <f t="shared" si="46"/>
        <v>ZK384180</v>
      </c>
      <c r="J614" s="59">
        <f t="shared" ca="1" si="47"/>
        <v>45908</v>
      </c>
      <c r="K614" s="30">
        <f ca="1">LOOKUP(A614,'QALS - Inspection Lot Record'!A:A,'QALS - Inspection Lot Record'!I:I)</f>
        <v>0.77253472222222219</v>
      </c>
      <c r="L614" s="59">
        <f t="shared" ca="1" si="48"/>
        <v>45908</v>
      </c>
      <c r="M614" s="30">
        <f t="shared" ca="1" si="49"/>
        <v>0.80543981481481475</v>
      </c>
      <c r="N614" s="31"/>
      <c r="O614" s="31">
        <v>50</v>
      </c>
      <c r="P614" s="29">
        <v>40</v>
      </c>
      <c r="Q614" s="29">
        <v>60</v>
      </c>
    </row>
    <row r="615" spans="1:17" x14ac:dyDescent="0.35">
      <c r="A615" s="26">
        <v>40000002577</v>
      </c>
      <c r="B615" s="31">
        <v>1</v>
      </c>
      <c r="C615" s="29" t="str">
        <f>LOOKUP(A615,'QALS - Inspection Lot Record'!$A$2:$A$361,'QALS - Inspection Lot Record'!$O$2:$O$361)</f>
        <v>Metformin Tablets (200 MG)</v>
      </c>
      <c r="D615" s="31">
        <v>60</v>
      </c>
      <c r="E615" s="29" t="s">
        <v>405</v>
      </c>
      <c r="F615" s="29" t="str">
        <f>LOOKUP(A615,'QALS - Inspection Lot Record'!A:A,'QALS - Inspection Lot Record'!G:G)</f>
        <v>ZK384180</v>
      </c>
      <c r="G615" s="59">
        <f ca="1">LOOKUP(A615,'QALS - Inspection Lot Record'!A:A,'QALS - Inspection Lot Record'!E:E)</f>
        <v>45908</v>
      </c>
      <c r="H615" s="34" t="str">
        <f t="shared" si="50"/>
        <v>A</v>
      </c>
      <c r="I615" s="29" t="str">
        <f t="shared" si="46"/>
        <v>ZK384180</v>
      </c>
      <c r="J615" s="59">
        <f t="shared" ca="1" si="47"/>
        <v>45908</v>
      </c>
      <c r="K615" s="30">
        <f ca="1">LOOKUP(A615,'QALS - Inspection Lot Record'!A:A,'QALS - Inspection Lot Record'!I:I)</f>
        <v>0.77253472222222219</v>
      </c>
      <c r="L615" s="59">
        <f t="shared" ca="1" si="48"/>
        <v>45908</v>
      </c>
      <c r="M615" s="30">
        <f t="shared" ca="1" si="49"/>
        <v>0.80038194444444444</v>
      </c>
      <c r="N615" s="31"/>
      <c r="O615" s="31">
        <v>77.5</v>
      </c>
      <c r="P615" s="29">
        <v>70</v>
      </c>
      <c r="Q615" s="29">
        <v>85</v>
      </c>
    </row>
    <row r="616" spans="1:17" x14ac:dyDescent="0.35">
      <c r="A616" s="26">
        <v>40000002577</v>
      </c>
      <c r="B616" s="31">
        <v>1</v>
      </c>
      <c r="C616" s="29" t="str">
        <f>LOOKUP(A616,'QALS - Inspection Lot Record'!$A$2:$A$361,'QALS - Inspection Lot Record'!$O$2:$O$361)</f>
        <v>Metformin Tablets (200 MG)</v>
      </c>
      <c r="D616" s="31">
        <v>70</v>
      </c>
      <c r="E616" s="29" t="s">
        <v>406</v>
      </c>
      <c r="F616" s="29" t="str">
        <f>LOOKUP(A616,'QALS - Inspection Lot Record'!A:A,'QALS - Inspection Lot Record'!G:G)</f>
        <v>ZK384180</v>
      </c>
      <c r="G616" s="59">
        <f ca="1">LOOKUP(A616,'QALS - Inspection Lot Record'!A:A,'QALS - Inspection Lot Record'!E:E)</f>
        <v>45908</v>
      </c>
      <c r="H616" s="34" t="str">
        <f t="shared" si="50"/>
        <v>A</v>
      </c>
      <c r="I616" s="29" t="str">
        <f t="shared" si="46"/>
        <v>ZK384180</v>
      </c>
      <c r="J616" s="59">
        <f t="shared" ca="1" si="47"/>
        <v>45908</v>
      </c>
      <c r="K616" s="30">
        <f ca="1">LOOKUP(A616,'QALS - Inspection Lot Record'!A:A,'QALS - Inspection Lot Record'!I:I)</f>
        <v>0.77253472222222219</v>
      </c>
      <c r="L616" s="59">
        <f t="shared" ca="1" si="48"/>
        <v>45908</v>
      </c>
      <c r="M616" s="30">
        <f t="shared" ca="1" si="49"/>
        <v>0.79071759259259256</v>
      </c>
      <c r="N616" s="31"/>
      <c r="O616" s="31">
        <v>85</v>
      </c>
      <c r="P616" s="29">
        <v>80</v>
      </c>
      <c r="Q616" s="29">
        <v>90</v>
      </c>
    </row>
    <row r="617" spans="1:17" x14ac:dyDescent="0.35">
      <c r="A617" s="26">
        <v>40000002577</v>
      </c>
      <c r="B617" s="31">
        <v>1</v>
      </c>
      <c r="C617" s="29" t="str">
        <f>LOOKUP(A617,'QALS - Inspection Lot Record'!$A$2:$A$361,'QALS - Inspection Lot Record'!$O$2:$O$361)</f>
        <v>Metformin Tablets (200 MG)</v>
      </c>
      <c r="D617" s="31">
        <v>80</v>
      </c>
      <c r="E617" s="29" t="s">
        <v>407</v>
      </c>
      <c r="F617" s="29" t="str">
        <f>LOOKUP(A617,'QALS - Inspection Lot Record'!A:A,'QALS - Inspection Lot Record'!G:G)</f>
        <v>ZK384180</v>
      </c>
      <c r="G617" s="59">
        <f ca="1">LOOKUP(A617,'QALS - Inspection Lot Record'!A:A,'QALS - Inspection Lot Record'!E:E)</f>
        <v>45908</v>
      </c>
      <c r="H617" s="34" t="str">
        <f t="shared" si="50"/>
        <v>A</v>
      </c>
      <c r="I617" s="29" t="str">
        <f t="shared" si="46"/>
        <v>ZK384180</v>
      </c>
      <c r="J617" s="59">
        <f t="shared" ca="1" si="47"/>
        <v>45908</v>
      </c>
      <c r="K617" s="30">
        <f ca="1">LOOKUP(A617,'QALS - Inspection Lot Record'!A:A,'QALS - Inspection Lot Record'!I:I)</f>
        <v>0.77253472222222219</v>
      </c>
      <c r="L617" s="59">
        <f t="shared" ca="1" si="48"/>
        <v>45908</v>
      </c>
      <c r="M617" s="30">
        <f t="shared" ca="1" si="49"/>
        <v>0.79819444444444443</v>
      </c>
      <c r="N617" s="31"/>
      <c r="O617" s="31">
        <v>25.5</v>
      </c>
      <c r="P617" s="29">
        <v>23</v>
      </c>
      <c r="Q617" s="29">
        <v>28</v>
      </c>
    </row>
    <row r="618" spans="1:17" x14ac:dyDescent="0.35">
      <c r="A618" s="26">
        <v>40000002578</v>
      </c>
      <c r="B618" s="27">
        <v>1</v>
      </c>
      <c r="C618" s="29" t="str">
        <f>LOOKUP(A618,'QALS - Inspection Lot Record'!$A$2:$A$361,'QALS - Inspection Lot Record'!$O$2:$O$361)</f>
        <v>Metformin Tablets (100 MG)</v>
      </c>
      <c r="D618" s="27">
        <v>10</v>
      </c>
      <c r="E618" s="26" t="s">
        <v>399</v>
      </c>
      <c r="F618" s="29" t="str">
        <f>LOOKUP(A618,'QALS - Inspection Lot Record'!A:A,'QALS - Inspection Lot Record'!G:G)</f>
        <v>TG509538</v>
      </c>
      <c r="G618" s="59">
        <f ca="1">LOOKUP(A618,'QALS - Inspection Lot Record'!A:A,'QALS - Inspection Lot Record'!E:E)</f>
        <v>45908</v>
      </c>
      <c r="H618" s="34" t="str">
        <f t="shared" si="50"/>
        <v>A</v>
      </c>
      <c r="I618" s="29" t="str">
        <f t="shared" si="46"/>
        <v>TG509538</v>
      </c>
      <c r="J618" s="59">
        <f t="shared" ca="1" si="47"/>
        <v>45908</v>
      </c>
      <c r="K618" s="30">
        <f ca="1">LOOKUP(A618,'QALS - Inspection Lot Record'!A:A,'QALS - Inspection Lot Record'!I:I)</f>
        <v>0.21364583333333334</v>
      </c>
      <c r="L618" s="59">
        <f t="shared" ca="1" si="48"/>
        <v>45908</v>
      </c>
      <c r="M618" s="30">
        <f t="shared" ca="1" si="49"/>
        <v>0.24160879629629631</v>
      </c>
      <c r="N618" s="31"/>
      <c r="O618" s="31">
        <v>98.5</v>
      </c>
      <c r="P618" s="29">
        <v>95</v>
      </c>
      <c r="Q618" s="29">
        <v>102</v>
      </c>
    </row>
    <row r="619" spans="1:17" x14ac:dyDescent="0.35">
      <c r="A619" s="26">
        <v>40000002578</v>
      </c>
      <c r="B619" s="27">
        <v>1</v>
      </c>
      <c r="C619" s="29" t="str">
        <f>LOOKUP(A619,'QALS - Inspection Lot Record'!$A$2:$A$361,'QALS - Inspection Lot Record'!$O$2:$O$361)</f>
        <v>Metformin Tablets (100 MG)</v>
      </c>
      <c r="D619" s="31">
        <v>20</v>
      </c>
      <c r="E619" s="29" t="s">
        <v>400</v>
      </c>
      <c r="F619" s="29" t="str">
        <f>LOOKUP(A619,'QALS - Inspection Lot Record'!A:A,'QALS - Inspection Lot Record'!G:G)</f>
        <v>TG509538</v>
      </c>
      <c r="G619" s="59">
        <f ca="1">LOOKUP(A619,'QALS - Inspection Lot Record'!A:A,'QALS - Inspection Lot Record'!E:E)</f>
        <v>45908</v>
      </c>
      <c r="H619" s="34" t="str">
        <f t="shared" si="50"/>
        <v>A</v>
      </c>
      <c r="I619" s="29" t="str">
        <f t="shared" si="46"/>
        <v>TG509538</v>
      </c>
      <c r="J619" s="59">
        <f t="shared" ca="1" si="47"/>
        <v>45908</v>
      </c>
      <c r="K619" s="30">
        <f ca="1">LOOKUP(A619,'QALS - Inspection Lot Record'!A:A,'QALS - Inspection Lot Record'!I:I)</f>
        <v>0.21364583333333334</v>
      </c>
      <c r="L619" s="59">
        <f t="shared" ca="1" si="48"/>
        <v>45908</v>
      </c>
      <c r="M619" s="30">
        <f t="shared" ca="1" si="49"/>
        <v>0.23636574074074074</v>
      </c>
      <c r="N619" s="31"/>
      <c r="O619" s="31">
        <v>7.25</v>
      </c>
      <c r="P619" s="29">
        <v>3.5</v>
      </c>
      <c r="Q619" s="29">
        <v>11</v>
      </c>
    </row>
    <row r="620" spans="1:17" x14ac:dyDescent="0.35">
      <c r="A620" s="26">
        <v>40000002578</v>
      </c>
      <c r="B620" s="31">
        <v>1</v>
      </c>
      <c r="C620" s="29" t="str">
        <f>LOOKUP(A620,'QALS - Inspection Lot Record'!$A$2:$A$361,'QALS - Inspection Lot Record'!$O$2:$O$361)</f>
        <v>Metformin Tablets (100 MG)</v>
      </c>
      <c r="D620" s="31">
        <v>30</v>
      </c>
      <c r="E620" s="29" t="s">
        <v>401</v>
      </c>
      <c r="F620" s="29" t="str">
        <f>LOOKUP(A620,'QALS - Inspection Lot Record'!A:A,'QALS - Inspection Lot Record'!G:G)</f>
        <v>TG509538</v>
      </c>
      <c r="G620" s="59">
        <f ca="1">LOOKUP(A620,'QALS - Inspection Lot Record'!A:A,'QALS - Inspection Lot Record'!E:E)</f>
        <v>45908</v>
      </c>
      <c r="H620" s="34" t="str">
        <f t="shared" si="50"/>
        <v>A</v>
      </c>
      <c r="I620" s="29" t="str">
        <f t="shared" si="46"/>
        <v>TG509538</v>
      </c>
      <c r="J620" s="59">
        <f t="shared" ca="1" si="47"/>
        <v>45908</v>
      </c>
      <c r="K620" s="30">
        <f ca="1">LOOKUP(A620,'QALS - Inspection Lot Record'!A:A,'QALS - Inspection Lot Record'!I:I)</f>
        <v>0.21364583333333334</v>
      </c>
      <c r="L620" s="59">
        <f t="shared" ca="1" si="48"/>
        <v>45908</v>
      </c>
      <c r="M620" s="30">
        <f t="shared" ca="1" si="49"/>
        <v>0.23281250000000001</v>
      </c>
      <c r="N620" s="11" t="s">
        <v>402</v>
      </c>
      <c r="O620" s="31"/>
      <c r="P620" s="29"/>
      <c r="Q620" s="29"/>
    </row>
    <row r="621" spans="1:17" x14ac:dyDescent="0.35">
      <c r="A621" s="26">
        <v>40000002578</v>
      </c>
      <c r="B621" s="31">
        <v>1</v>
      </c>
      <c r="C621" s="29" t="str">
        <f>LOOKUP(A621,'QALS - Inspection Lot Record'!$A$2:$A$361,'QALS - Inspection Lot Record'!$O$2:$O$361)</f>
        <v>Metformin Tablets (100 MG)</v>
      </c>
      <c r="D621" s="31">
        <v>40</v>
      </c>
      <c r="E621" s="29" t="s">
        <v>403</v>
      </c>
      <c r="F621" s="29" t="str">
        <f>LOOKUP(A621,'QALS - Inspection Lot Record'!A:A,'QALS - Inspection Lot Record'!G:G)</f>
        <v>TG509538</v>
      </c>
      <c r="G621" s="59">
        <f ca="1">LOOKUP(A621,'QALS - Inspection Lot Record'!A:A,'QALS - Inspection Lot Record'!E:E)</f>
        <v>45908</v>
      </c>
      <c r="H621" s="34" t="str">
        <f t="shared" si="50"/>
        <v>A</v>
      </c>
      <c r="I621" s="29" t="str">
        <f t="shared" si="46"/>
        <v>TG509538</v>
      </c>
      <c r="J621" s="59">
        <f t="shared" ca="1" si="47"/>
        <v>45908</v>
      </c>
      <c r="K621" s="30">
        <f ca="1">LOOKUP(A621,'QALS - Inspection Lot Record'!A:A,'QALS - Inspection Lot Record'!I:I)</f>
        <v>0.21364583333333334</v>
      </c>
      <c r="L621" s="59">
        <f t="shared" ca="1" si="48"/>
        <v>45908</v>
      </c>
      <c r="M621" s="30">
        <f t="shared" ca="1" si="49"/>
        <v>0.23271990740740742</v>
      </c>
      <c r="N621" s="31"/>
      <c r="O621" s="31">
        <v>0</v>
      </c>
      <c r="P621" s="29">
        <v>0</v>
      </c>
      <c r="Q621" s="29">
        <v>1</v>
      </c>
    </row>
    <row r="622" spans="1:17" x14ac:dyDescent="0.35">
      <c r="A622" s="26">
        <v>40000002578</v>
      </c>
      <c r="B622" s="31">
        <v>1</v>
      </c>
      <c r="C622" s="29" t="str">
        <f>LOOKUP(A622,'QALS - Inspection Lot Record'!$A$2:$A$361,'QALS - Inspection Lot Record'!$O$2:$O$361)</f>
        <v>Metformin Tablets (100 MG)</v>
      </c>
      <c r="D622" s="31">
        <v>50</v>
      </c>
      <c r="E622" s="29" t="s">
        <v>404</v>
      </c>
      <c r="F622" s="29" t="str">
        <f>LOOKUP(A622,'QALS - Inspection Lot Record'!A:A,'QALS - Inspection Lot Record'!G:G)</f>
        <v>TG509538</v>
      </c>
      <c r="G622" s="59">
        <f ca="1">LOOKUP(A622,'QALS - Inspection Lot Record'!A:A,'QALS - Inspection Lot Record'!E:E)</f>
        <v>45908</v>
      </c>
      <c r="H622" s="34" t="str">
        <f t="shared" si="50"/>
        <v>A</v>
      </c>
      <c r="I622" s="29" t="str">
        <f t="shared" si="46"/>
        <v>TG509538</v>
      </c>
      <c r="J622" s="59">
        <f t="shared" ca="1" si="47"/>
        <v>45908</v>
      </c>
      <c r="K622" s="30">
        <f ca="1">LOOKUP(A622,'QALS - Inspection Lot Record'!A:A,'QALS - Inspection Lot Record'!I:I)</f>
        <v>0.21364583333333334</v>
      </c>
      <c r="L622" s="59">
        <f t="shared" ca="1" si="48"/>
        <v>45908</v>
      </c>
      <c r="M622" s="30">
        <f t="shared" ca="1" si="49"/>
        <v>0.23424768518518518</v>
      </c>
      <c r="N622" s="31"/>
      <c r="O622" s="31">
        <v>50</v>
      </c>
      <c r="P622" s="29">
        <v>40</v>
      </c>
      <c r="Q622" s="29">
        <v>60</v>
      </c>
    </row>
    <row r="623" spans="1:17" x14ac:dyDescent="0.35">
      <c r="A623" s="26">
        <v>40000002578</v>
      </c>
      <c r="B623" s="31">
        <v>1</v>
      </c>
      <c r="C623" s="29" t="str">
        <f>LOOKUP(A623,'QALS - Inspection Lot Record'!$A$2:$A$361,'QALS - Inspection Lot Record'!$O$2:$O$361)</f>
        <v>Metformin Tablets (100 MG)</v>
      </c>
      <c r="D623" s="31">
        <v>60</v>
      </c>
      <c r="E623" s="29" t="s">
        <v>405</v>
      </c>
      <c r="F623" s="29" t="str">
        <f>LOOKUP(A623,'QALS - Inspection Lot Record'!A:A,'QALS - Inspection Lot Record'!G:G)</f>
        <v>TG509538</v>
      </c>
      <c r="G623" s="59">
        <f ca="1">LOOKUP(A623,'QALS - Inspection Lot Record'!A:A,'QALS - Inspection Lot Record'!E:E)</f>
        <v>45908</v>
      </c>
      <c r="H623" s="34" t="str">
        <f t="shared" si="50"/>
        <v>A</v>
      </c>
      <c r="I623" s="29" t="str">
        <f t="shared" si="46"/>
        <v>TG509538</v>
      </c>
      <c r="J623" s="59">
        <f t="shared" ca="1" si="47"/>
        <v>45908</v>
      </c>
      <c r="K623" s="30">
        <f ca="1">LOOKUP(A623,'QALS - Inspection Lot Record'!A:A,'QALS - Inspection Lot Record'!I:I)</f>
        <v>0.21364583333333334</v>
      </c>
      <c r="L623" s="59">
        <f t="shared" ca="1" si="48"/>
        <v>45908</v>
      </c>
      <c r="M623" s="30">
        <f t="shared" ca="1" si="49"/>
        <v>0.23630787037037038</v>
      </c>
      <c r="N623" s="31"/>
      <c r="O623" s="31">
        <v>77.5</v>
      </c>
      <c r="P623" s="29">
        <v>70</v>
      </c>
      <c r="Q623" s="29">
        <v>85</v>
      </c>
    </row>
    <row r="624" spans="1:17" x14ac:dyDescent="0.35">
      <c r="A624" s="26">
        <v>40000002578</v>
      </c>
      <c r="B624" s="31">
        <v>1</v>
      </c>
      <c r="C624" s="29" t="str">
        <f>LOOKUP(A624,'QALS - Inspection Lot Record'!$A$2:$A$361,'QALS - Inspection Lot Record'!$O$2:$O$361)</f>
        <v>Metformin Tablets (100 MG)</v>
      </c>
      <c r="D624" s="31">
        <v>70</v>
      </c>
      <c r="E624" s="29" t="s">
        <v>406</v>
      </c>
      <c r="F624" s="29" t="str">
        <f>LOOKUP(A624,'QALS - Inspection Lot Record'!A:A,'QALS - Inspection Lot Record'!G:G)</f>
        <v>TG509538</v>
      </c>
      <c r="G624" s="59">
        <f ca="1">LOOKUP(A624,'QALS - Inspection Lot Record'!A:A,'QALS - Inspection Lot Record'!E:E)</f>
        <v>45908</v>
      </c>
      <c r="H624" s="34" t="str">
        <f t="shared" si="50"/>
        <v>A</v>
      </c>
      <c r="I624" s="29" t="str">
        <f t="shared" si="46"/>
        <v>TG509538</v>
      </c>
      <c r="J624" s="59">
        <f t="shared" ca="1" si="47"/>
        <v>45908</v>
      </c>
      <c r="K624" s="30">
        <f ca="1">LOOKUP(A624,'QALS - Inspection Lot Record'!A:A,'QALS - Inspection Lot Record'!I:I)</f>
        <v>0.21364583333333334</v>
      </c>
      <c r="L624" s="59">
        <f t="shared" ca="1" si="48"/>
        <v>45908</v>
      </c>
      <c r="M624" s="30">
        <f t="shared" ca="1" si="49"/>
        <v>0.24686342592592592</v>
      </c>
      <c r="N624" s="31"/>
      <c r="O624" s="31">
        <v>85</v>
      </c>
      <c r="P624" s="29">
        <v>80</v>
      </c>
      <c r="Q624" s="29">
        <v>90</v>
      </c>
    </row>
    <row r="625" spans="1:17" x14ac:dyDescent="0.35">
      <c r="A625" s="26">
        <v>40000002578</v>
      </c>
      <c r="B625" s="31">
        <v>1</v>
      </c>
      <c r="C625" s="29" t="str">
        <f>LOOKUP(A625,'QALS - Inspection Lot Record'!$A$2:$A$361,'QALS - Inspection Lot Record'!$O$2:$O$361)</f>
        <v>Metformin Tablets (100 MG)</v>
      </c>
      <c r="D625" s="31">
        <v>80</v>
      </c>
      <c r="E625" s="29" t="s">
        <v>407</v>
      </c>
      <c r="F625" s="29" t="str">
        <f>LOOKUP(A625,'QALS - Inspection Lot Record'!A:A,'QALS - Inspection Lot Record'!G:G)</f>
        <v>TG509538</v>
      </c>
      <c r="G625" s="59">
        <f ca="1">LOOKUP(A625,'QALS - Inspection Lot Record'!A:A,'QALS - Inspection Lot Record'!E:E)</f>
        <v>45908</v>
      </c>
      <c r="H625" s="34" t="str">
        <f t="shared" si="50"/>
        <v>A</v>
      </c>
      <c r="I625" s="29" t="str">
        <f t="shared" si="46"/>
        <v>TG509538</v>
      </c>
      <c r="J625" s="59">
        <f t="shared" ca="1" si="47"/>
        <v>45908</v>
      </c>
      <c r="K625" s="30">
        <f ca="1">LOOKUP(A625,'QALS - Inspection Lot Record'!A:A,'QALS - Inspection Lot Record'!I:I)</f>
        <v>0.21364583333333334</v>
      </c>
      <c r="L625" s="59">
        <f t="shared" ca="1" si="48"/>
        <v>45908</v>
      </c>
      <c r="M625" s="30">
        <f t="shared" ca="1" si="49"/>
        <v>0.238125</v>
      </c>
      <c r="N625" s="31"/>
      <c r="O625" s="31">
        <v>24</v>
      </c>
      <c r="P625" s="29">
        <v>23</v>
      </c>
      <c r="Q625" s="29">
        <v>25</v>
      </c>
    </row>
    <row r="626" spans="1:17" x14ac:dyDescent="0.35">
      <c r="A626" s="26">
        <v>40000002579</v>
      </c>
      <c r="B626" s="27">
        <v>1</v>
      </c>
      <c r="C626" s="29" t="str">
        <f>LOOKUP(A626,'QALS - Inspection Lot Record'!$A$2:$A$361,'QALS - Inspection Lot Record'!$O$2:$O$361)</f>
        <v>Metformin Tablets (200 MG)</v>
      </c>
      <c r="D626" s="27">
        <v>10</v>
      </c>
      <c r="E626" s="26" t="s">
        <v>399</v>
      </c>
      <c r="F626" s="29" t="str">
        <f>LOOKUP(A626,'QALS - Inspection Lot Record'!A:A,'QALS - Inspection Lot Record'!G:G)</f>
        <v>AB406550</v>
      </c>
      <c r="G626" s="59">
        <f ca="1">LOOKUP(A626,'QALS - Inspection Lot Record'!A:A,'QALS - Inspection Lot Record'!E:E)</f>
        <v>45909</v>
      </c>
      <c r="H626" s="34" t="str">
        <f t="shared" si="50"/>
        <v>A</v>
      </c>
      <c r="I626" s="29" t="str">
        <f t="shared" si="46"/>
        <v>AB406550</v>
      </c>
      <c r="J626" s="59">
        <f t="shared" ca="1" si="47"/>
        <v>45909</v>
      </c>
      <c r="K626" s="30">
        <f ca="1">LOOKUP(A626,'QALS - Inspection Lot Record'!A:A,'QALS - Inspection Lot Record'!I:I)</f>
        <v>0.6348611111111111</v>
      </c>
      <c r="L626" s="59">
        <f t="shared" ca="1" si="48"/>
        <v>45909</v>
      </c>
      <c r="M626" s="30">
        <f t="shared" ca="1" si="49"/>
        <v>0.66203703703703698</v>
      </c>
      <c r="N626" s="31"/>
      <c r="O626" s="31">
        <v>99</v>
      </c>
      <c r="P626" s="29">
        <v>95</v>
      </c>
      <c r="Q626" s="29">
        <v>103</v>
      </c>
    </row>
    <row r="627" spans="1:17" x14ac:dyDescent="0.35">
      <c r="A627" s="26">
        <v>40000002579</v>
      </c>
      <c r="B627" s="27">
        <v>1</v>
      </c>
      <c r="C627" s="29" t="str">
        <f>LOOKUP(A627,'QALS - Inspection Lot Record'!$A$2:$A$361,'QALS - Inspection Lot Record'!$O$2:$O$361)</f>
        <v>Metformin Tablets (200 MG)</v>
      </c>
      <c r="D627" s="31">
        <v>20</v>
      </c>
      <c r="E627" s="29" t="s">
        <v>400</v>
      </c>
      <c r="F627" s="29" t="str">
        <f>LOOKUP(A627,'QALS - Inspection Lot Record'!A:A,'QALS - Inspection Lot Record'!G:G)</f>
        <v>AB406550</v>
      </c>
      <c r="G627" s="59">
        <f ca="1">LOOKUP(A627,'QALS - Inspection Lot Record'!A:A,'QALS - Inspection Lot Record'!E:E)</f>
        <v>45909</v>
      </c>
      <c r="H627" s="34" t="str">
        <f t="shared" si="50"/>
        <v>A</v>
      </c>
      <c r="I627" s="29" t="str">
        <f t="shared" si="46"/>
        <v>AB406550</v>
      </c>
      <c r="J627" s="59">
        <f t="shared" ca="1" si="47"/>
        <v>45909</v>
      </c>
      <c r="K627" s="30">
        <f ca="1">LOOKUP(A627,'QALS - Inspection Lot Record'!A:A,'QALS - Inspection Lot Record'!I:I)</f>
        <v>0.6348611111111111</v>
      </c>
      <c r="L627" s="59">
        <f t="shared" ca="1" si="48"/>
        <v>45909</v>
      </c>
      <c r="M627" s="30">
        <f t="shared" ca="1" si="49"/>
        <v>0.66714120370370367</v>
      </c>
      <c r="N627" s="31"/>
      <c r="O627" s="31">
        <v>7.8</v>
      </c>
      <c r="P627" s="29">
        <v>6</v>
      </c>
      <c r="Q627" s="29">
        <v>9.5</v>
      </c>
    </row>
    <row r="628" spans="1:17" x14ac:dyDescent="0.35">
      <c r="A628" s="26">
        <v>40000002579</v>
      </c>
      <c r="B628" s="31">
        <v>1</v>
      </c>
      <c r="C628" s="29" t="str">
        <f>LOOKUP(A628,'QALS - Inspection Lot Record'!$A$2:$A$361,'QALS - Inspection Lot Record'!$O$2:$O$361)</f>
        <v>Metformin Tablets (200 MG)</v>
      </c>
      <c r="D628" s="31">
        <v>30</v>
      </c>
      <c r="E628" s="29" t="s">
        <v>401</v>
      </c>
      <c r="F628" s="29" t="str">
        <f>LOOKUP(A628,'QALS - Inspection Lot Record'!A:A,'QALS - Inspection Lot Record'!G:G)</f>
        <v>AB406550</v>
      </c>
      <c r="G628" s="59">
        <f ca="1">LOOKUP(A628,'QALS - Inspection Lot Record'!A:A,'QALS - Inspection Lot Record'!E:E)</f>
        <v>45909</v>
      </c>
      <c r="H628" s="34" t="str">
        <f t="shared" si="50"/>
        <v>A</v>
      </c>
      <c r="I628" s="29" t="str">
        <f t="shared" si="46"/>
        <v>AB406550</v>
      </c>
      <c r="J628" s="59">
        <f t="shared" ca="1" si="47"/>
        <v>45909</v>
      </c>
      <c r="K628" s="30">
        <f ca="1">LOOKUP(A628,'QALS - Inspection Lot Record'!A:A,'QALS - Inspection Lot Record'!I:I)</f>
        <v>0.6348611111111111</v>
      </c>
      <c r="L628" s="59">
        <f t="shared" ca="1" si="48"/>
        <v>45909</v>
      </c>
      <c r="M628" s="30">
        <f t="shared" ca="1" si="49"/>
        <v>0.66290509259259256</v>
      </c>
      <c r="N628" s="11" t="s">
        <v>402</v>
      </c>
      <c r="O628" s="31"/>
      <c r="P628" s="29"/>
      <c r="Q628" s="29"/>
    </row>
    <row r="629" spans="1:17" x14ac:dyDescent="0.35">
      <c r="A629" s="26">
        <v>40000002579</v>
      </c>
      <c r="B629" s="31">
        <v>1</v>
      </c>
      <c r="C629" s="29" t="str">
        <f>LOOKUP(A629,'QALS - Inspection Lot Record'!$A$2:$A$361,'QALS - Inspection Lot Record'!$O$2:$O$361)</f>
        <v>Metformin Tablets (200 MG)</v>
      </c>
      <c r="D629" s="31">
        <v>40</v>
      </c>
      <c r="E629" s="29" t="s">
        <v>403</v>
      </c>
      <c r="F629" s="29" t="str">
        <f>LOOKUP(A629,'QALS - Inspection Lot Record'!A:A,'QALS - Inspection Lot Record'!G:G)</f>
        <v>AB406550</v>
      </c>
      <c r="G629" s="59">
        <f ca="1">LOOKUP(A629,'QALS - Inspection Lot Record'!A:A,'QALS - Inspection Lot Record'!E:E)</f>
        <v>45909</v>
      </c>
      <c r="H629" s="34" t="str">
        <f t="shared" si="50"/>
        <v>A</v>
      </c>
      <c r="I629" s="29" t="str">
        <f t="shared" si="46"/>
        <v>AB406550</v>
      </c>
      <c r="J629" s="59">
        <f t="shared" ca="1" si="47"/>
        <v>45909</v>
      </c>
      <c r="K629" s="30">
        <f ca="1">LOOKUP(A629,'QALS - Inspection Lot Record'!A:A,'QALS - Inspection Lot Record'!I:I)</f>
        <v>0.6348611111111111</v>
      </c>
      <c r="L629" s="59">
        <f t="shared" ca="1" si="48"/>
        <v>45909</v>
      </c>
      <c r="M629" s="30">
        <f t="shared" ca="1" si="49"/>
        <v>0.65542824074074069</v>
      </c>
      <c r="N629" s="31"/>
      <c r="O629" s="31">
        <v>1.6</v>
      </c>
      <c r="P629" s="29">
        <v>0</v>
      </c>
      <c r="Q629" s="29">
        <v>2</v>
      </c>
    </row>
    <row r="630" spans="1:17" x14ac:dyDescent="0.35">
      <c r="A630" s="26">
        <v>40000002579</v>
      </c>
      <c r="B630" s="31">
        <v>1</v>
      </c>
      <c r="C630" s="29" t="str">
        <f>LOOKUP(A630,'QALS - Inspection Lot Record'!$A$2:$A$361,'QALS - Inspection Lot Record'!$O$2:$O$361)</f>
        <v>Metformin Tablets (200 MG)</v>
      </c>
      <c r="D630" s="31">
        <v>50</v>
      </c>
      <c r="E630" s="29" t="s">
        <v>404</v>
      </c>
      <c r="F630" s="29" t="str">
        <f>LOOKUP(A630,'QALS - Inspection Lot Record'!A:A,'QALS - Inspection Lot Record'!G:G)</f>
        <v>AB406550</v>
      </c>
      <c r="G630" s="59">
        <f ca="1">LOOKUP(A630,'QALS - Inspection Lot Record'!A:A,'QALS - Inspection Lot Record'!E:E)</f>
        <v>45909</v>
      </c>
      <c r="H630" s="34" t="str">
        <f t="shared" si="50"/>
        <v>A</v>
      </c>
      <c r="I630" s="29" t="str">
        <f t="shared" si="46"/>
        <v>AB406550</v>
      </c>
      <c r="J630" s="59">
        <f t="shared" ca="1" si="47"/>
        <v>45909</v>
      </c>
      <c r="K630" s="30">
        <f ca="1">LOOKUP(A630,'QALS - Inspection Lot Record'!A:A,'QALS - Inspection Lot Record'!I:I)</f>
        <v>0.6348611111111111</v>
      </c>
      <c r="L630" s="59">
        <f t="shared" ca="1" si="48"/>
        <v>45909</v>
      </c>
      <c r="M630" s="30">
        <f t="shared" ca="1" si="49"/>
        <v>0.65394675925925927</v>
      </c>
      <c r="N630" s="31"/>
      <c r="O630" s="31">
        <v>41.3</v>
      </c>
      <c r="P630" s="29">
        <v>40</v>
      </c>
      <c r="Q630" s="29">
        <v>60</v>
      </c>
    </row>
    <row r="631" spans="1:17" x14ac:dyDescent="0.35">
      <c r="A631" s="26">
        <v>40000002579</v>
      </c>
      <c r="B631" s="31">
        <v>1</v>
      </c>
      <c r="C631" s="29" t="str">
        <f>LOOKUP(A631,'QALS - Inspection Lot Record'!$A$2:$A$361,'QALS - Inspection Lot Record'!$O$2:$O$361)</f>
        <v>Metformin Tablets (200 MG)</v>
      </c>
      <c r="D631" s="31">
        <v>60</v>
      </c>
      <c r="E631" s="29" t="s">
        <v>405</v>
      </c>
      <c r="F631" s="29" t="str">
        <f>LOOKUP(A631,'QALS - Inspection Lot Record'!A:A,'QALS - Inspection Lot Record'!G:G)</f>
        <v>AB406550</v>
      </c>
      <c r="G631" s="59">
        <f ca="1">LOOKUP(A631,'QALS - Inspection Lot Record'!A:A,'QALS - Inspection Lot Record'!E:E)</f>
        <v>45909</v>
      </c>
      <c r="H631" s="34" t="str">
        <f t="shared" si="50"/>
        <v>A</v>
      </c>
      <c r="I631" s="29" t="str">
        <f t="shared" si="46"/>
        <v>AB406550</v>
      </c>
      <c r="J631" s="59">
        <f t="shared" ca="1" si="47"/>
        <v>45909</v>
      </c>
      <c r="K631" s="30">
        <f ca="1">LOOKUP(A631,'QALS - Inspection Lot Record'!A:A,'QALS - Inspection Lot Record'!I:I)</f>
        <v>0.6348611111111111</v>
      </c>
      <c r="L631" s="59">
        <f t="shared" ca="1" si="48"/>
        <v>45909</v>
      </c>
      <c r="M631" s="30">
        <f t="shared" ca="1" si="49"/>
        <v>0.66877314814814814</v>
      </c>
      <c r="N631" s="31"/>
      <c r="O631" s="31">
        <v>71.099999999999994</v>
      </c>
      <c r="P631" s="29">
        <v>70</v>
      </c>
      <c r="Q631" s="29">
        <v>85</v>
      </c>
    </row>
    <row r="632" spans="1:17" x14ac:dyDescent="0.35">
      <c r="A632" s="26">
        <v>40000002579</v>
      </c>
      <c r="B632" s="31">
        <v>1</v>
      </c>
      <c r="C632" s="29" t="str">
        <f>LOOKUP(A632,'QALS - Inspection Lot Record'!$A$2:$A$361,'QALS - Inspection Lot Record'!$O$2:$O$361)</f>
        <v>Metformin Tablets (200 MG)</v>
      </c>
      <c r="D632" s="31">
        <v>70</v>
      </c>
      <c r="E632" s="29" t="s">
        <v>406</v>
      </c>
      <c r="F632" s="29" t="str">
        <f>LOOKUP(A632,'QALS - Inspection Lot Record'!A:A,'QALS - Inspection Lot Record'!G:G)</f>
        <v>AB406550</v>
      </c>
      <c r="G632" s="59">
        <f ca="1">LOOKUP(A632,'QALS - Inspection Lot Record'!A:A,'QALS - Inspection Lot Record'!E:E)</f>
        <v>45909</v>
      </c>
      <c r="H632" s="34" t="str">
        <f t="shared" si="50"/>
        <v>A</v>
      </c>
      <c r="I632" s="29" t="str">
        <f t="shared" si="46"/>
        <v>AB406550</v>
      </c>
      <c r="J632" s="59">
        <f t="shared" ca="1" si="47"/>
        <v>45909</v>
      </c>
      <c r="K632" s="30">
        <f ca="1">LOOKUP(A632,'QALS - Inspection Lot Record'!A:A,'QALS - Inspection Lot Record'!I:I)</f>
        <v>0.6348611111111111</v>
      </c>
      <c r="L632" s="59">
        <f t="shared" ca="1" si="48"/>
        <v>45909</v>
      </c>
      <c r="M632" s="30">
        <f t="shared" ca="1" si="49"/>
        <v>0.6651273148148148</v>
      </c>
      <c r="N632" s="31"/>
      <c r="O632" s="31">
        <v>81.8</v>
      </c>
      <c r="P632" s="29">
        <v>80</v>
      </c>
      <c r="Q632" s="29">
        <v>90</v>
      </c>
    </row>
    <row r="633" spans="1:17" x14ac:dyDescent="0.35">
      <c r="A633" s="26">
        <v>40000002579</v>
      </c>
      <c r="B633" s="31">
        <v>1</v>
      </c>
      <c r="C633" s="29" t="str">
        <f>LOOKUP(A633,'QALS - Inspection Lot Record'!$A$2:$A$361,'QALS - Inspection Lot Record'!$O$2:$O$361)</f>
        <v>Metformin Tablets (200 MG)</v>
      </c>
      <c r="D633" s="31">
        <v>80</v>
      </c>
      <c r="E633" s="29" t="s">
        <v>407</v>
      </c>
      <c r="F633" s="29" t="str">
        <f>LOOKUP(A633,'QALS - Inspection Lot Record'!A:A,'QALS - Inspection Lot Record'!G:G)</f>
        <v>AB406550</v>
      </c>
      <c r="G633" s="59">
        <f ca="1">LOOKUP(A633,'QALS - Inspection Lot Record'!A:A,'QALS - Inspection Lot Record'!E:E)</f>
        <v>45909</v>
      </c>
      <c r="H633" s="34" t="str">
        <f t="shared" si="50"/>
        <v>A</v>
      </c>
      <c r="I633" s="29" t="str">
        <f t="shared" si="46"/>
        <v>AB406550</v>
      </c>
      <c r="J633" s="59">
        <f t="shared" ca="1" si="47"/>
        <v>45909</v>
      </c>
      <c r="K633" s="30">
        <f ca="1">LOOKUP(A633,'QALS - Inspection Lot Record'!A:A,'QALS - Inspection Lot Record'!I:I)</f>
        <v>0.6348611111111111</v>
      </c>
      <c r="L633" s="59">
        <f t="shared" ca="1" si="48"/>
        <v>45909</v>
      </c>
      <c r="M633" s="30">
        <f t="shared" ca="1" si="49"/>
        <v>0.65774305555555557</v>
      </c>
      <c r="N633" s="31"/>
      <c r="O633" s="31">
        <v>25.5</v>
      </c>
      <c r="P633" s="29">
        <v>23</v>
      </c>
      <c r="Q633" s="29">
        <v>28</v>
      </c>
    </row>
    <row r="634" spans="1:17" x14ac:dyDescent="0.35">
      <c r="A634" s="26">
        <v>40000002580</v>
      </c>
      <c r="B634" s="27">
        <v>1</v>
      </c>
      <c r="C634" s="29" t="str">
        <f>LOOKUP(A634,'QALS - Inspection Lot Record'!$A$2:$A$361,'QALS - Inspection Lot Record'!$O$2:$O$361)</f>
        <v>Metformin Tablets (500 MG)</v>
      </c>
      <c r="D634" s="27">
        <v>10</v>
      </c>
      <c r="E634" s="26" t="s">
        <v>399</v>
      </c>
      <c r="F634" s="29" t="str">
        <f>LOOKUP(A634,'QALS - Inspection Lot Record'!A:A,'QALS - Inspection Lot Record'!G:G)</f>
        <v>GC197258</v>
      </c>
      <c r="G634" s="59">
        <f ca="1">LOOKUP(A634,'QALS - Inspection Lot Record'!A:A,'QALS - Inspection Lot Record'!E:E)</f>
        <v>45909</v>
      </c>
      <c r="H634" s="34" t="str">
        <f t="shared" si="50"/>
        <v>A</v>
      </c>
      <c r="I634" s="29" t="str">
        <f t="shared" si="46"/>
        <v>GC197258</v>
      </c>
      <c r="J634" s="59">
        <f t="shared" ca="1" si="47"/>
        <v>45909</v>
      </c>
      <c r="K634" s="30">
        <f ca="1">LOOKUP(A634,'QALS - Inspection Lot Record'!A:A,'QALS - Inspection Lot Record'!I:I)</f>
        <v>4.3738425925925924E-2</v>
      </c>
      <c r="L634" s="59">
        <f t="shared" ca="1" si="48"/>
        <v>45909</v>
      </c>
      <c r="M634" s="30">
        <f t="shared" ca="1" si="49"/>
        <v>7.2048611111111105E-2</v>
      </c>
      <c r="N634" s="31"/>
      <c r="O634" s="31">
        <v>100</v>
      </c>
      <c r="P634" s="29">
        <v>95</v>
      </c>
      <c r="Q634" s="29">
        <v>105</v>
      </c>
    </row>
    <row r="635" spans="1:17" x14ac:dyDescent="0.35">
      <c r="A635" s="26">
        <v>40000002580</v>
      </c>
      <c r="B635" s="27">
        <v>1</v>
      </c>
      <c r="C635" s="29" t="str">
        <f>LOOKUP(A635,'QALS - Inspection Lot Record'!$A$2:$A$361,'QALS - Inspection Lot Record'!$O$2:$O$361)</f>
        <v>Metformin Tablets (500 MG)</v>
      </c>
      <c r="D635" s="31">
        <v>20</v>
      </c>
      <c r="E635" s="29" t="s">
        <v>400</v>
      </c>
      <c r="F635" s="29" t="str">
        <f>LOOKUP(A635,'QALS - Inspection Lot Record'!A:A,'QALS - Inspection Lot Record'!G:G)</f>
        <v>GC197258</v>
      </c>
      <c r="G635" s="59">
        <f ca="1">LOOKUP(A635,'QALS - Inspection Lot Record'!A:A,'QALS - Inspection Lot Record'!E:E)</f>
        <v>45909</v>
      </c>
      <c r="H635" s="34" t="str">
        <f t="shared" si="50"/>
        <v>A</v>
      </c>
      <c r="I635" s="29" t="str">
        <f t="shared" si="46"/>
        <v>GC197258</v>
      </c>
      <c r="J635" s="59">
        <f t="shared" ca="1" si="47"/>
        <v>45909</v>
      </c>
      <c r="K635" s="30">
        <f ca="1">LOOKUP(A635,'QALS - Inspection Lot Record'!A:A,'QALS - Inspection Lot Record'!I:I)</f>
        <v>4.3738425925925924E-2</v>
      </c>
      <c r="L635" s="59">
        <f t="shared" ca="1" si="48"/>
        <v>45909</v>
      </c>
      <c r="M635" s="30">
        <f t="shared" ca="1" si="49"/>
        <v>6.2013888888888882E-2</v>
      </c>
      <c r="N635" s="31"/>
      <c r="O635" s="31">
        <v>7.3</v>
      </c>
      <c r="P635" s="29">
        <v>3.5</v>
      </c>
      <c r="Q635" s="29">
        <v>11</v>
      </c>
    </row>
    <row r="636" spans="1:17" x14ac:dyDescent="0.35">
      <c r="A636" s="26">
        <v>40000002580</v>
      </c>
      <c r="B636" s="31">
        <v>1</v>
      </c>
      <c r="C636" s="29" t="str">
        <f>LOOKUP(A636,'QALS - Inspection Lot Record'!$A$2:$A$361,'QALS - Inspection Lot Record'!$O$2:$O$361)</f>
        <v>Metformin Tablets (500 MG)</v>
      </c>
      <c r="D636" s="31">
        <v>30</v>
      </c>
      <c r="E636" s="29" t="s">
        <v>401</v>
      </c>
      <c r="F636" s="29" t="str">
        <f>LOOKUP(A636,'QALS - Inspection Lot Record'!A:A,'QALS - Inspection Lot Record'!G:G)</f>
        <v>GC197258</v>
      </c>
      <c r="G636" s="59">
        <f ca="1">LOOKUP(A636,'QALS - Inspection Lot Record'!A:A,'QALS - Inspection Lot Record'!E:E)</f>
        <v>45909</v>
      </c>
      <c r="H636" s="34" t="str">
        <f t="shared" si="50"/>
        <v>A</v>
      </c>
      <c r="I636" s="29" t="str">
        <f t="shared" si="46"/>
        <v>GC197258</v>
      </c>
      <c r="J636" s="59">
        <f t="shared" ca="1" si="47"/>
        <v>45909</v>
      </c>
      <c r="K636" s="30">
        <f ca="1">LOOKUP(A636,'QALS - Inspection Lot Record'!A:A,'QALS - Inspection Lot Record'!I:I)</f>
        <v>4.3738425925925924E-2</v>
      </c>
      <c r="L636" s="59">
        <f t="shared" ca="1" si="48"/>
        <v>45909</v>
      </c>
      <c r="M636" s="30">
        <f t="shared" ca="1" si="49"/>
        <v>6.8136574074074072E-2</v>
      </c>
      <c r="N636" s="11" t="s">
        <v>402</v>
      </c>
      <c r="O636" s="31"/>
      <c r="P636" s="29"/>
      <c r="Q636" s="29"/>
    </row>
    <row r="637" spans="1:17" x14ac:dyDescent="0.35">
      <c r="A637" s="26">
        <v>40000002580</v>
      </c>
      <c r="B637" s="31">
        <v>1</v>
      </c>
      <c r="C637" s="29" t="str">
        <f>LOOKUP(A637,'QALS - Inspection Lot Record'!$A$2:$A$361,'QALS - Inspection Lot Record'!$O$2:$O$361)</f>
        <v>Metformin Tablets (500 MG)</v>
      </c>
      <c r="D637" s="31">
        <v>40</v>
      </c>
      <c r="E637" s="29" t="s">
        <v>403</v>
      </c>
      <c r="F637" s="29" t="str">
        <f>LOOKUP(A637,'QALS - Inspection Lot Record'!A:A,'QALS - Inspection Lot Record'!G:G)</f>
        <v>GC197258</v>
      </c>
      <c r="G637" s="59">
        <f ca="1">LOOKUP(A637,'QALS - Inspection Lot Record'!A:A,'QALS - Inspection Lot Record'!E:E)</f>
        <v>45909</v>
      </c>
      <c r="H637" s="34" t="str">
        <f t="shared" si="50"/>
        <v>A</v>
      </c>
      <c r="I637" s="29" t="str">
        <f t="shared" si="46"/>
        <v>GC197258</v>
      </c>
      <c r="J637" s="59">
        <f t="shared" ca="1" si="47"/>
        <v>45909</v>
      </c>
      <c r="K637" s="30">
        <f ca="1">LOOKUP(A637,'QALS - Inspection Lot Record'!A:A,'QALS - Inspection Lot Record'!I:I)</f>
        <v>4.3738425925925924E-2</v>
      </c>
      <c r="L637" s="59">
        <f t="shared" ca="1" si="48"/>
        <v>45909</v>
      </c>
      <c r="M637" s="30">
        <f t="shared" ca="1" si="49"/>
        <v>6.1655092592592595E-2</v>
      </c>
      <c r="N637" s="31"/>
      <c r="O637" s="31">
        <v>1.6</v>
      </c>
      <c r="P637" s="29">
        <v>0</v>
      </c>
      <c r="Q637" s="29">
        <v>2</v>
      </c>
    </row>
    <row r="638" spans="1:17" x14ac:dyDescent="0.35">
      <c r="A638" s="26">
        <v>40000002580</v>
      </c>
      <c r="B638" s="31">
        <v>1</v>
      </c>
      <c r="C638" s="29" t="str">
        <f>LOOKUP(A638,'QALS - Inspection Lot Record'!$A$2:$A$361,'QALS - Inspection Lot Record'!$O$2:$O$361)</f>
        <v>Metformin Tablets (500 MG)</v>
      </c>
      <c r="D638" s="31">
        <v>50</v>
      </c>
      <c r="E638" s="29" t="s">
        <v>404</v>
      </c>
      <c r="F638" s="29" t="str">
        <f>LOOKUP(A638,'QALS - Inspection Lot Record'!A:A,'QALS - Inspection Lot Record'!G:G)</f>
        <v>GC197258</v>
      </c>
      <c r="G638" s="59">
        <f ca="1">LOOKUP(A638,'QALS - Inspection Lot Record'!A:A,'QALS - Inspection Lot Record'!E:E)</f>
        <v>45909</v>
      </c>
      <c r="H638" s="34" t="str">
        <f t="shared" si="50"/>
        <v>A</v>
      </c>
      <c r="I638" s="29" t="str">
        <f t="shared" si="46"/>
        <v>GC197258</v>
      </c>
      <c r="J638" s="59">
        <f t="shared" ca="1" si="47"/>
        <v>45909</v>
      </c>
      <c r="K638" s="30">
        <f ca="1">LOOKUP(A638,'QALS - Inspection Lot Record'!A:A,'QALS - Inspection Lot Record'!I:I)</f>
        <v>4.3738425925925924E-2</v>
      </c>
      <c r="L638" s="59">
        <f t="shared" ca="1" si="48"/>
        <v>45909</v>
      </c>
      <c r="M638" s="30">
        <f t="shared" ca="1" si="49"/>
        <v>7.1412037037037038E-2</v>
      </c>
      <c r="N638" s="31"/>
      <c r="O638" s="31">
        <v>42</v>
      </c>
      <c r="P638" s="29">
        <v>40</v>
      </c>
      <c r="Q638" s="29">
        <v>60</v>
      </c>
    </row>
    <row r="639" spans="1:17" x14ac:dyDescent="0.35">
      <c r="A639" s="26">
        <v>40000002580</v>
      </c>
      <c r="B639" s="31">
        <v>1</v>
      </c>
      <c r="C639" s="29" t="str">
        <f>LOOKUP(A639,'QALS - Inspection Lot Record'!$A$2:$A$361,'QALS - Inspection Lot Record'!$O$2:$O$361)</f>
        <v>Metformin Tablets (500 MG)</v>
      </c>
      <c r="D639" s="31">
        <v>60</v>
      </c>
      <c r="E639" s="29" t="s">
        <v>405</v>
      </c>
      <c r="F639" s="29" t="str">
        <f>LOOKUP(A639,'QALS - Inspection Lot Record'!A:A,'QALS - Inspection Lot Record'!G:G)</f>
        <v>GC197258</v>
      </c>
      <c r="G639" s="59">
        <f ca="1">LOOKUP(A639,'QALS - Inspection Lot Record'!A:A,'QALS - Inspection Lot Record'!E:E)</f>
        <v>45909</v>
      </c>
      <c r="H639" s="34" t="str">
        <f t="shared" si="50"/>
        <v>A</v>
      </c>
      <c r="I639" s="29" t="str">
        <f t="shared" si="46"/>
        <v>GC197258</v>
      </c>
      <c r="J639" s="59">
        <f t="shared" ca="1" si="47"/>
        <v>45909</v>
      </c>
      <c r="K639" s="30">
        <f ca="1">LOOKUP(A639,'QALS - Inspection Lot Record'!A:A,'QALS - Inspection Lot Record'!I:I)</f>
        <v>4.3738425925925924E-2</v>
      </c>
      <c r="L639" s="59">
        <f t="shared" ca="1" si="48"/>
        <v>45909</v>
      </c>
      <c r="M639" s="30">
        <f t="shared" ca="1" si="49"/>
        <v>7.7002314814814815E-2</v>
      </c>
      <c r="N639" s="31"/>
      <c r="O639" s="31">
        <v>71.8</v>
      </c>
      <c r="P639" s="29">
        <v>70</v>
      </c>
      <c r="Q639" s="29">
        <v>85</v>
      </c>
    </row>
    <row r="640" spans="1:17" x14ac:dyDescent="0.35">
      <c r="A640" s="26">
        <v>40000002580</v>
      </c>
      <c r="B640" s="31">
        <v>1</v>
      </c>
      <c r="C640" s="29" t="str">
        <f>LOOKUP(A640,'QALS - Inspection Lot Record'!$A$2:$A$361,'QALS - Inspection Lot Record'!$O$2:$O$361)</f>
        <v>Metformin Tablets (500 MG)</v>
      </c>
      <c r="D640" s="31">
        <v>70</v>
      </c>
      <c r="E640" s="29" t="s">
        <v>406</v>
      </c>
      <c r="F640" s="29" t="str">
        <f>LOOKUP(A640,'QALS - Inspection Lot Record'!A:A,'QALS - Inspection Lot Record'!G:G)</f>
        <v>GC197258</v>
      </c>
      <c r="G640" s="59">
        <f ca="1">LOOKUP(A640,'QALS - Inspection Lot Record'!A:A,'QALS - Inspection Lot Record'!E:E)</f>
        <v>45909</v>
      </c>
      <c r="H640" s="34" t="str">
        <f t="shared" si="50"/>
        <v>A</v>
      </c>
      <c r="I640" s="29" t="str">
        <f t="shared" si="46"/>
        <v>GC197258</v>
      </c>
      <c r="J640" s="59">
        <f t="shared" ca="1" si="47"/>
        <v>45909</v>
      </c>
      <c r="K640" s="30">
        <f ca="1">LOOKUP(A640,'QALS - Inspection Lot Record'!A:A,'QALS - Inspection Lot Record'!I:I)</f>
        <v>4.3738425925925924E-2</v>
      </c>
      <c r="L640" s="59">
        <f t="shared" ca="1" si="48"/>
        <v>45909</v>
      </c>
      <c r="M640" s="30">
        <f t="shared" ca="1" si="49"/>
        <v>7.7407407407407397E-2</v>
      </c>
      <c r="N640" s="31"/>
      <c r="O640" s="31">
        <v>82</v>
      </c>
      <c r="P640" s="29">
        <v>80</v>
      </c>
      <c r="Q640" s="29">
        <v>90</v>
      </c>
    </row>
    <row r="641" spans="1:17" x14ac:dyDescent="0.35">
      <c r="A641" s="26">
        <v>40000002580</v>
      </c>
      <c r="B641" s="31">
        <v>1</v>
      </c>
      <c r="C641" s="29" t="str">
        <f>LOOKUP(A641,'QALS - Inspection Lot Record'!$A$2:$A$361,'QALS - Inspection Lot Record'!$O$2:$O$361)</f>
        <v>Metformin Tablets (500 MG)</v>
      </c>
      <c r="D641" s="31">
        <v>80</v>
      </c>
      <c r="E641" s="29" t="s">
        <v>407</v>
      </c>
      <c r="F641" s="29" t="str">
        <f>LOOKUP(A641,'QALS - Inspection Lot Record'!A:A,'QALS - Inspection Lot Record'!G:G)</f>
        <v>GC197258</v>
      </c>
      <c r="G641" s="59">
        <f ca="1">LOOKUP(A641,'QALS - Inspection Lot Record'!A:A,'QALS - Inspection Lot Record'!E:E)</f>
        <v>45909</v>
      </c>
      <c r="H641" s="34" t="str">
        <f t="shared" si="50"/>
        <v>A</v>
      </c>
      <c r="I641" s="29" t="str">
        <f t="shared" si="46"/>
        <v>GC197258</v>
      </c>
      <c r="J641" s="59">
        <f t="shared" ca="1" si="47"/>
        <v>45909</v>
      </c>
      <c r="K641" s="30">
        <f ca="1">LOOKUP(A641,'QALS - Inspection Lot Record'!A:A,'QALS - Inspection Lot Record'!I:I)</f>
        <v>4.3738425925925924E-2</v>
      </c>
      <c r="L641" s="59">
        <f t="shared" ca="1" si="48"/>
        <v>45909</v>
      </c>
      <c r="M641" s="30">
        <f t="shared" ca="1" si="49"/>
        <v>6.655092592592593E-2</v>
      </c>
      <c r="N641" s="31"/>
      <c r="O641" s="31">
        <v>25.5</v>
      </c>
      <c r="P641" s="29">
        <v>23</v>
      </c>
      <c r="Q641" s="29">
        <v>28</v>
      </c>
    </row>
    <row r="642" spans="1:17" x14ac:dyDescent="0.35">
      <c r="A642" s="26">
        <v>40000002581</v>
      </c>
      <c r="B642" s="27">
        <v>1</v>
      </c>
      <c r="C642" s="29" t="str">
        <f>LOOKUP(A642,'QALS - Inspection Lot Record'!$A$2:$A$361,'QALS - Inspection Lot Record'!$O$2:$O$361)</f>
        <v>Ibuprofen Tablets (100 MG)</v>
      </c>
      <c r="D642" s="27">
        <v>10</v>
      </c>
      <c r="E642" s="26" t="s">
        <v>399</v>
      </c>
      <c r="F642" s="29" t="str">
        <f>LOOKUP(A642,'QALS - Inspection Lot Record'!A:A,'QALS - Inspection Lot Record'!G:G)</f>
        <v>TP397880</v>
      </c>
      <c r="G642" s="59">
        <f ca="1">LOOKUP(A642,'QALS - Inspection Lot Record'!A:A,'QALS - Inspection Lot Record'!E:E)</f>
        <v>45910</v>
      </c>
      <c r="H642" s="34" t="str">
        <f t="shared" si="50"/>
        <v>A</v>
      </c>
      <c r="I642" s="29" t="str">
        <f t="shared" ref="I642:I705" si="51">F642</f>
        <v>TP397880</v>
      </c>
      <c r="J642" s="59">
        <f t="shared" ref="J642:J705" ca="1" si="52">G642</f>
        <v>45910</v>
      </c>
      <c r="K642" s="30">
        <f ca="1">LOOKUP(A642,'QALS - Inspection Lot Record'!A:A,'QALS - Inspection Lot Record'!I:I)</f>
        <v>0.63848379629629626</v>
      </c>
      <c r="L642" s="59">
        <f t="shared" ref="L642:L705" ca="1" si="53">G642</f>
        <v>45910</v>
      </c>
      <c r="M642" s="30">
        <f t="shared" ref="M642:M705" ca="1" si="54">K642+TIME(0,RANDBETWEEN(25,50),RANDBETWEEN(0,59))</f>
        <v>0.65993055555555546</v>
      </c>
      <c r="N642" s="31"/>
      <c r="O642" s="31">
        <v>98.5</v>
      </c>
      <c r="P642" s="29">
        <v>95</v>
      </c>
      <c r="Q642" s="29">
        <v>102</v>
      </c>
    </row>
    <row r="643" spans="1:17" x14ac:dyDescent="0.35">
      <c r="A643" s="26">
        <v>40000002581</v>
      </c>
      <c r="B643" s="27">
        <v>1</v>
      </c>
      <c r="C643" s="29" t="str">
        <f>LOOKUP(A643,'QALS - Inspection Lot Record'!$A$2:$A$361,'QALS - Inspection Lot Record'!$O$2:$O$361)</f>
        <v>Ibuprofen Tablets (100 MG)</v>
      </c>
      <c r="D643" s="31">
        <v>20</v>
      </c>
      <c r="E643" s="29" t="s">
        <v>400</v>
      </c>
      <c r="F643" s="29" t="str">
        <f>LOOKUP(A643,'QALS - Inspection Lot Record'!A:A,'QALS - Inspection Lot Record'!G:G)</f>
        <v>TP397880</v>
      </c>
      <c r="G643" s="59">
        <f ca="1">LOOKUP(A643,'QALS - Inspection Lot Record'!A:A,'QALS - Inspection Lot Record'!E:E)</f>
        <v>45910</v>
      </c>
      <c r="H643" s="34" t="str">
        <f t="shared" si="50"/>
        <v>R</v>
      </c>
      <c r="I643" s="29" t="str">
        <f t="shared" si="51"/>
        <v>TP397880</v>
      </c>
      <c r="J643" s="59">
        <f t="shared" ca="1" si="52"/>
        <v>45910</v>
      </c>
      <c r="K643" s="30">
        <f ca="1">LOOKUP(A643,'QALS - Inspection Lot Record'!A:A,'QALS - Inspection Lot Record'!I:I)</f>
        <v>0.63848379629629626</v>
      </c>
      <c r="L643" s="59">
        <f t="shared" ca="1" si="53"/>
        <v>45910</v>
      </c>
      <c r="M643" s="30">
        <f t="shared" ca="1" si="54"/>
        <v>0.66104166666666664</v>
      </c>
      <c r="N643" s="31"/>
      <c r="O643" s="31">
        <v>1.8</v>
      </c>
      <c r="P643" s="29">
        <v>3.5</v>
      </c>
      <c r="Q643" s="29">
        <v>11</v>
      </c>
    </row>
    <row r="644" spans="1:17" x14ac:dyDescent="0.35">
      <c r="A644" s="26">
        <v>40000002581</v>
      </c>
      <c r="B644" s="31">
        <v>1</v>
      </c>
      <c r="C644" s="29" t="str">
        <f>LOOKUP(A644,'QALS - Inspection Lot Record'!$A$2:$A$361,'QALS - Inspection Lot Record'!$O$2:$O$361)</f>
        <v>Ibuprofen Tablets (100 MG)</v>
      </c>
      <c r="D644" s="31">
        <v>30</v>
      </c>
      <c r="E644" s="29" t="s">
        <v>401</v>
      </c>
      <c r="F644" s="29" t="str">
        <f>LOOKUP(A644,'QALS - Inspection Lot Record'!A:A,'QALS - Inspection Lot Record'!G:G)</f>
        <v>TP397880</v>
      </c>
      <c r="G644" s="59">
        <f ca="1">LOOKUP(A644,'QALS - Inspection Lot Record'!A:A,'QALS - Inspection Lot Record'!E:E)</f>
        <v>45910</v>
      </c>
      <c r="H644" s="34" t="str">
        <f t="shared" si="50"/>
        <v>A</v>
      </c>
      <c r="I644" s="29" t="str">
        <f t="shared" si="51"/>
        <v>TP397880</v>
      </c>
      <c r="J644" s="59">
        <f t="shared" ca="1" si="52"/>
        <v>45910</v>
      </c>
      <c r="K644" s="30">
        <f ca="1">LOOKUP(A644,'QALS - Inspection Lot Record'!A:A,'QALS - Inspection Lot Record'!I:I)</f>
        <v>0.63848379629629626</v>
      </c>
      <c r="L644" s="59">
        <f t="shared" ca="1" si="53"/>
        <v>45910</v>
      </c>
      <c r="M644" s="30">
        <f t="shared" ca="1" si="54"/>
        <v>0.67214120370370367</v>
      </c>
      <c r="N644" s="11" t="s">
        <v>402</v>
      </c>
      <c r="O644" s="31"/>
      <c r="P644" s="29"/>
      <c r="Q644" s="29"/>
    </row>
    <row r="645" spans="1:17" x14ac:dyDescent="0.35">
      <c r="A645" s="26">
        <v>40000002581</v>
      </c>
      <c r="B645" s="31">
        <v>1</v>
      </c>
      <c r="C645" s="29" t="str">
        <f>LOOKUP(A645,'QALS - Inspection Lot Record'!$A$2:$A$361,'QALS - Inspection Lot Record'!$O$2:$O$361)</f>
        <v>Ibuprofen Tablets (100 MG)</v>
      </c>
      <c r="D645" s="31">
        <v>40</v>
      </c>
      <c r="E645" s="29" t="s">
        <v>403</v>
      </c>
      <c r="F645" s="29" t="str">
        <f>LOOKUP(A645,'QALS - Inspection Lot Record'!A:A,'QALS - Inspection Lot Record'!G:G)</f>
        <v>TP397880</v>
      </c>
      <c r="G645" s="59">
        <f ca="1">LOOKUP(A645,'QALS - Inspection Lot Record'!A:A,'QALS - Inspection Lot Record'!E:E)</f>
        <v>45910</v>
      </c>
      <c r="H645" s="34" t="str">
        <f t="shared" si="50"/>
        <v>A</v>
      </c>
      <c r="I645" s="29" t="str">
        <f t="shared" si="51"/>
        <v>TP397880</v>
      </c>
      <c r="J645" s="59">
        <f t="shared" ca="1" si="52"/>
        <v>45910</v>
      </c>
      <c r="K645" s="30">
        <f ca="1">LOOKUP(A645,'QALS - Inspection Lot Record'!A:A,'QALS - Inspection Lot Record'!I:I)</f>
        <v>0.63848379629629626</v>
      </c>
      <c r="L645" s="59">
        <f t="shared" ca="1" si="53"/>
        <v>45910</v>
      </c>
      <c r="M645" s="30">
        <f t="shared" ca="1" si="54"/>
        <v>0.65877314814814814</v>
      </c>
      <c r="N645" s="31"/>
      <c r="O645" s="31">
        <v>0</v>
      </c>
      <c r="P645" s="29">
        <v>0</v>
      </c>
      <c r="Q645" s="29">
        <v>1</v>
      </c>
    </row>
    <row r="646" spans="1:17" x14ac:dyDescent="0.35">
      <c r="A646" s="26">
        <v>40000002581</v>
      </c>
      <c r="B646" s="31">
        <v>1</v>
      </c>
      <c r="C646" s="29" t="str">
        <f>LOOKUP(A646,'QALS - Inspection Lot Record'!$A$2:$A$361,'QALS - Inspection Lot Record'!$O$2:$O$361)</f>
        <v>Ibuprofen Tablets (100 MG)</v>
      </c>
      <c r="D646" s="31">
        <v>50</v>
      </c>
      <c r="E646" s="29" t="s">
        <v>404</v>
      </c>
      <c r="F646" s="29" t="str">
        <f>LOOKUP(A646,'QALS - Inspection Lot Record'!A:A,'QALS - Inspection Lot Record'!G:G)</f>
        <v>TP397880</v>
      </c>
      <c r="G646" s="59">
        <f ca="1">LOOKUP(A646,'QALS - Inspection Lot Record'!A:A,'QALS - Inspection Lot Record'!E:E)</f>
        <v>45910</v>
      </c>
      <c r="H646" s="34" t="str">
        <f t="shared" si="50"/>
        <v>A</v>
      </c>
      <c r="I646" s="29" t="str">
        <f t="shared" si="51"/>
        <v>TP397880</v>
      </c>
      <c r="J646" s="59">
        <f t="shared" ca="1" si="52"/>
        <v>45910</v>
      </c>
      <c r="K646" s="30">
        <f ca="1">LOOKUP(A646,'QALS - Inspection Lot Record'!A:A,'QALS - Inspection Lot Record'!I:I)</f>
        <v>0.63848379629629626</v>
      </c>
      <c r="L646" s="59">
        <f t="shared" ca="1" si="53"/>
        <v>45910</v>
      </c>
      <c r="M646" s="30">
        <f t="shared" ca="1" si="54"/>
        <v>0.65858796296296296</v>
      </c>
      <c r="N646" s="31"/>
      <c r="O646" s="31">
        <v>50</v>
      </c>
      <c r="P646" s="29">
        <v>40</v>
      </c>
      <c r="Q646" s="29">
        <v>60</v>
      </c>
    </row>
    <row r="647" spans="1:17" x14ac:dyDescent="0.35">
      <c r="A647" s="26">
        <v>40000002581</v>
      </c>
      <c r="B647" s="31">
        <v>1</v>
      </c>
      <c r="C647" s="29" t="str">
        <f>LOOKUP(A647,'QALS - Inspection Lot Record'!$A$2:$A$361,'QALS - Inspection Lot Record'!$O$2:$O$361)</f>
        <v>Ibuprofen Tablets (100 MG)</v>
      </c>
      <c r="D647" s="31">
        <v>60</v>
      </c>
      <c r="E647" s="29" t="s">
        <v>405</v>
      </c>
      <c r="F647" s="29" t="str">
        <f>LOOKUP(A647,'QALS - Inspection Lot Record'!A:A,'QALS - Inspection Lot Record'!G:G)</f>
        <v>TP397880</v>
      </c>
      <c r="G647" s="59">
        <f ca="1">LOOKUP(A647,'QALS - Inspection Lot Record'!A:A,'QALS - Inspection Lot Record'!E:E)</f>
        <v>45910</v>
      </c>
      <c r="H647" s="34" t="str">
        <f t="shared" si="50"/>
        <v>R</v>
      </c>
      <c r="I647" s="29" t="str">
        <f t="shared" si="51"/>
        <v>TP397880</v>
      </c>
      <c r="J647" s="59">
        <f t="shared" ca="1" si="52"/>
        <v>45910</v>
      </c>
      <c r="K647" s="30">
        <f ca="1">LOOKUP(A647,'QALS - Inspection Lot Record'!A:A,'QALS - Inspection Lot Record'!I:I)</f>
        <v>0.63848379629629626</v>
      </c>
      <c r="L647" s="59">
        <f t="shared" ca="1" si="53"/>
        <v>45910</v>
      </c>
      <c r="M647" s="30">
        <f t="shared" ca="1" si="54"/>
        <v>0.65787037037037033</v>
      </c>
      <c r="N647" s="31"/>
      <c r="O647" s="31">
        <v>68.3</v>
      </c>
      <c r="P647" s="29">
        <v>70</v>
      </c>
      <c r="Q647" s="29">
        <v>85</v>
      </c>
    </row>
    <row r="648" spans="1:17" x14ac:dyDescent="0.35">
      <c r="A648" s="26">
        <v>40000002581</v>
      </c>
      <c r="B648" s="31">
        <v>1</v>
      </c>
      <c r="C648" s="29" t="str">
        <f>LOOKUP(A648,'QALS - Inspection Lot Record'!$A$2:$A$361,'QALS - Inspection Lot Record'!$O$2:$O$361)</f>
        <v>Ibuprofen Tablets (100 MG)</v>
      </c>
      <c r="D648" s="31">
        <v>70</v>
      </c>
      <c r="E648" s="29" t="s">
        <v>406</v>
      </c>
      <c r="F648" s="29" t="str">
        <f>LOOKUP(A648,'QALS - Inspection Lot Record'!A:A,'QALS - Inspection Lot Record'!G:G)</f>
        <v>TP397880</v>
      </c>
      <c r="G648" s="59">
        <f ca="1">LOOKUP(A648,'QALS - Inspection Lot Record'!A:A,'QALS - Inspection Lot Record'!E:E)</f>
        <v>45910</v>
      </c>
      <c r="H648" s="34" t="str">
        <f t="shared" si="50"/>
        <v>R</v>
      </c>
      <c r="I648" s="29" t="str">
        <f t="shared" si="51"/>
        <v>TP397880</v>
      </c>
      <c r="J648" s="59">
        <f t="shared" ca="1" si="52"/>
        <v>45910</v>
      </c>
      <c r="K648" s="30">
        <f ca="1">LOOKUP(A648,'QALS - Inspection Lot Record'!A:A,'QALS - Inspection Lot Record'!I:I)</f>
        <v>0.63848379629629626</v>
      </c>
      <c r="L648" s="59">
        <f t="shared" ca="1" si="53"/>
        <v>45910</v>
      </c>
      <c r="M648" s="30">
        <f t="shared" ca="1" si="54"/>
        <v>0.66405092592592585</v>
      </c>
      <c r="N648" s="31"/>
      <c r="O648" s="31">
        <v>78.8</v>
      </c>
      <c r="P648" s="29">
        <v>80</v>
      </c>
      <c r="Q648" s="29">
        <v>90</v>
      </c>
    </row>
    <row r="649" spans="1:17" x14ac:dyDescent="0.35">
      <c r="A649" s="26">
        <v>40000002581</v>
      </c>
      <c r="B649" s="31">
        <v>1</v>
      </c>
      <c r="C649" s="29" t="str">
        <f>LOOKUP(A649,'QALS - Inspection Lot Record'!$A$2:$A$361,'QALS - Inspection Lot Record'!$O$2:$O$361)</f>
        <v>Ibuprofen Tablets (100 MG)</v>
      </c>
      <c r="D649" s="31">
        <v>80</v>
      </c>
      <c r="E649" s="29" t="s">
        <v>407</v>
      </c>
      <c r="F649" s="29" t="str">
        <f>LOOKUP(A649,'QALS - Inspection Lot Record'!A:A,'QALS - Inspection Lot Record'!G:G)</f>
        <v>TP397880</v>
      </c>
      <c r="G649" s="59">
        <f ca="1">LOOKUP(A649,'QALS - Inspection Lot Record'!A:A,'QALS - Inspection Lot Record'!E:E)</f>
        <v>45910</v>
      </c>
      <c r="H649" s="34" t="str">
        <f t="shared" si="50"/>
        <v>R</v>
      </c>
      <c r="I649" s="29" t="str">
        <f t="shared" si="51"/>
        <v>TP397880</v>
      </c>
      <c r="J649" s="59">
        <f t="shared" ca="1" si="52"/>
        <v>45910</v>
      </c>
      <c r="K649" s="30">
        <f ca="1">LOOKUP(A649,'QALS - Inspection Lot Record'!A:A,'QALS - Inspection Lot Record'!I:I)</f>
        <v>0.63848379629629626</v>
      </c>
      <c r="L649" s="59">
        <f t="shared" ca="1" si="53"/>
        <v>45910</v>
      </c>
      <c r="M649" s="30">
        <f t="shared" ca="1" si="54"/>
        <v>0.65865740740740741</v>
      </c>
      <c r="N649" s="31"/>
      <c r="O649" s="31">
        <v>21.4</v>
      </c>
      <c r="P649" s="29">
        <v>23</v>
      </c>
      <c r="Q649" s="29">
        <v>25</v>
      </c>
    </row>
    <row r="650" spans="1:17" x14ac:dyDescent="0.35">
      <c r="A650" s="26">
        <v>40000002582</v>
      </c>
      <c r="B650" s="27">
        <v>1</v>
      </c>
      <c r="C650" s="29" t="str">
        <f>LOOKUP(A650,'QALS - Inspection Lot Record'!$A$2:$A$361,'QALS - Inspection Lot Record'!$O$2:$O$361)</f>
        <v>Metformin Tablets (100 MG)</v>
      </c>
      <c r="D650" s="27">
        <v>10</v>
      </c>
      <c r="E650" s="26" t="s">
        <v>399</v>
      </c>
      <c r="F650" s="29" t="str">
        <f>LOOKUP(A650,'QALS - Inspection Lot Record'!A:A,'QALS - Inspection Lot Record'!G:G)</f>
        <v>GC197258</v>
      </c>
      <c r="G650" s="59">
        <f ca="1">LOOKUP(A650,'QALS - Inspection Lot Record'!A:A,'QALS - Inspection Lot Record'!E:E)</f>
        <v>45910</v>
      </c>
      <c r="H650" s="34" t="str">
        <f t="shared" ref="H650:H713" si="55">IF(AND(P650&lt;=O650,O650&lt;=Q650),"A","R")</f>
        <v>A</v>
      </c>
      <c r="I650" s="29" t="str">
        <f t="shared" si="51"/>
        <v>GC197258</v>
      </c>
      <c r="J650" s="59">
        <f t="shared" ca="1" si="52"/>
        <v>45910</v>
      </c>
      <c r="K650" s="30">
        <f ca="1">LOOKUP(A650,'QALS - Inspection Lot Record'!A:A,'QALS - Inspection Lot Record'!I:I)</f>
        <v>0.35917824074074073</v>
      </c>
      <c r="L650" s="59">
        <f t="shared" ca="1" si="53"/>
        <v>45910</v>
      </c>
      <c r="M650" s="30">
        <f t="shared" ca="1" si="54"/>
        <v>0.3931944444444444</v>
      </c>
      <c r="N650" s="31"/>
      <c r="O650" s="31">
        <v>98.5</v>
      </c>
      <c r="P650" s="29">
        <v>95</v>
      </c>
      <c r="Q650" s="29">
        <v>102</v>
      </c>
    </row>
    <row r="651" spans="1:17" x14ac:dyDescent="0.35">
      <c r="A651" s="26">
        <v>40000002582</v>
      </c>
      <c r="B651" s="27">
        <v>1</v>
      </c>
      <c r="C651" s="29" t="str">
        <f>LOOKUP(A651,'QALS - Inspection Lot Record'!$A$2:$A$361,'QALS - Inspection Lot Record'!$O$2:$O$361)</f>
        <v>Metformin Tablets (100 MG)</v>
      </c>
      <c r="D651" s="31">
        <v>20</v>
      </c>
      <c r="E651" s="29" t="s">
        <v>400</v>
      </c>
      <c r="F651" s="29" t="str">
        <f>LOOKUP(A651,'QALS - Inspection Lot Record'!A:A,'QALS - Inspection Lot Record'!G:G)</f>
        <v>GC197258</v>
      </c>
      <c r="G651" s="59">
        <f ca="1">LOOKUP(A651,'QALS - Inspection Lot Record'!A:A,'QALS - Inspection Lot Record'!E:E)</f>
        <v>45910</v>
      </c>
      <c r="H651" s="34" t="str">
        <f t="shared" si="55"/>
        <v>A</v>
      </c>
      <c r="I651" s="29" t="str">
        <f t="shared" si="51"/>
        <v>GC197258</v>
      </c>
      <c r="J651" s="59">
        <f t="shared" ca="1" si="52"/>
        <v>45910</v>
      </c>
      <c r="K651" s="30">
        <f ca="1">LOOKUP(A651,'QALS - Inspection Lot Record'!A:A,'QALS - Inspection Lot Record'!I:I)</f>
        <v>0.35917824074074073</v>
      </c>
      <c r="L651" s="59">
        <f t="shared" ca="1" si="53"/>
        <v>45910</v>
      </c>
      <c r="M651" s="30">
        <f t="shared" ca="1" si="54"/>
        <v>0.38939814814814816</v>
      </c>
      <c r="N651" s="31"/>
      <c r="O651" s="31">
        <v>7.25</v>
      </c>
      <c r="P651" s="29">
        <v>3.5</v>
      </c>
      <c r="Q651" s="29">
        <v>11</v>
      </c>
    </row>
    <row r="652" spans="1:17" x14ac:dyDescent="0.35">
      <c r="A652" s="26">
        <v>40000002582</v>
      </c>
      <c r="B652" s="31">
        <v>1</v>
      </c>
      <c r="C652" s="29" t="str">
        <f>LOOKUP(A652,'QALS - Inspection Lot Record'!$A$2:$A$361,'QALS - Inspection Lot Record'!$O$2:$O$361)</f>
        <v>Metformin Tablets (100 MG)</v>
      </c>
      <c r="D652" s="31">
        <v>30</v>
      </c>
      <c r="E652" s="29" t="s">
        <v>401</v>
      </c>
      <c r="F652" s="29" t="str">
        <f>LOOKUP(A652,'QALS - Inspection Lot Record'!A:A,'QALS - Inspection Lot Record'!G:G)</f>
        <v>GC197258</v>
      </c>
      <c r="G652" s="59">
        <f ca="1">LOOKUP(A652,'QALS - Inspection Lot Record'!A:A,'QALS - Inspection Lot Record'!E:E)</f>
        <v>45910</v>
      </c>
      <c r="H652" s="34" t="str">
        <f t="shared" si="55"/>
        <v>A</v>
      </c>
      <c r="I652" s="29" t="str">
        <f t="shared" si="51"/>
        <v>GC197258</v>
      </c>
      <c r="J652" s="59">
        <f t="shared" ca="1" si="52"/>
        <v>45910</v>
      </c>
      <c r="K652" s="30">
        <f ca="1">LOOKUP(A652,'QALS - Inspection Lot Record'!A:A,'QALS - Inspection Lot Record'!I:I)</f>
        <v>0.35917824074074073</v>
      </c>
      <c r="L652" s="59">
        <f t="shared" ca="1" si="53"/>
        <v>45910</v>
      </c>
      <c r="M652" s="30">
        <f t="shared" ca="1" si="54"/>
        <v>0.38162037037037033</v>
      </c>
      <c r="N652" s="11" t="s">
        <v>402</v>
      </c>
      <c r="O652" s="31"/>
      <c r="P652" s="29"/>
      <c r="Q652" s="29"/>
    </row>
    <row r="653" spans="1:17" x14ac:dyDescent="0.35">
      <c r="A653" s="26">
        <v>40000002582</v>
      </c>
      <c r="B653" s="31">
        <v>1</v>
      </c>
      <c r="C653" s="29" t="str">
        <f>LOOKUP(A653,'QALS - Inspection Lot Record'!$A$2:$A$361,'QALS - Inspection Lot Record'!$O$2:$O$361)</f>
        <v>Metformin Tablets (100 MG)</v>
      </c>
      <c r="D653" s="31">
        <v>40</v>
      </c>
      <c r="E653" s="29" t="s">
        <v>403</v>
      </c>
      <c r="F653" s="29" t="str">
        <f>LOOKUP(A653,'QALS - Inspection Lot Record'!A:A,'QALS - Inspection Lot Record'!G:G)</f>
        <v>GC197258</v>
      </c>
      <c r="G653" s="59">
        <f ca="1">LOOKUP(A653,'QALS - Inspection Lot Record'!A:A,'QALS - Inspection Lot Record'!E:E)</f>
        <v>45910</v>
      </c>
      <c r="H653" s="34" t="str">
        <f t="shared" si="55"/>
        <v>A</v>
      </c>
      <c r="I653" s="29" t="str">
        <f t="shared" si="51"/>
        <v>GC197258</v>
      </c>
      <c r="J653" s="59">
        <f t="shared" ca="1" si="52"/>
        <v>45910</v>
      </c>
      <c r="K653" s="30">
        <f ca="1">LOOKUP(A653,'QALS - Inspection Lot Record'!A:A,'QALS - Inspection Lot Record'!I:I)</f>
        <v>0.35917824074074073</v>
      </c>
      <c r="L653" s="59">
        <f t="shared" ca="1" si="53"/>
        <v>45910</v>
      </c>
      <c r="M653" s="30">
        <f t="shared" ca="1" si="54"/>
        <v>0.39008101851851851</v>
      </c>
      <c r="N653" s="31"/>
      <c r="O653" s="31">
        <v>0</v>
      </c>
      <c r="P653" s="29">
        <v>0</v>
      </c>
      <c r="Q653" s="29">
        <v>1</v>
      </c>
    </row>
    <row r="654" spans="1:17" x14ac:dyDescent="0.35">
      <c r="A654" s="26">
        <v>40000002582</v>
      </c>
      <c r="B654" s="31">
        <v>1</v>
      </c>
      <c r="C654" s="29" t="str">
        <f>LOOKUP(A654,'QALS - Inspection Lot Record'!$A$2:$A$361,'QALS - Inspection Lot Record'!$O$2:$O$361)</f>
        <v>Metformin Tablets (100 MG)</v>
      </c>
      <c r="D654" s="31">
        <v>50</v>
      </c>
      <c r="E654" s="29" t="s">
        <v>404</v>
      </c>
      <c r="F654" s="29" t="str">
        <f>LOOKUP(A654,'QALS - Inspection Lot Record'!A:A,'QALS - Inspection Lot Record'!G:G)</f>
        <v>GC197258</v>
      </c>
      <c r="G654" s="59">
        <f ca="1">LOOKUP(A654,'QALS - Inspection Lot Record'!A:A,'QALS - Inspection Lot Record'!E:E)</f>
        <v>45910</v>
      </c>
      <c r="H654" s="34" t="str">
        <f t="shared" si="55"/>
        <v>A</v>
      </c>
      <c r="I654" s="29" t="str">
        <f t="shared" si="51"/>
        <v>GC197258</v>
      </c>
      <c r="J654" s="59">
        <f t="shared" ca="1" si="52"/>
        <v>45910</v>
      </c>
      <c r="K654" s="30">
        <f ca="1">LOOKUP(A654,'QALS - Inspection Lot Record'!A:A,'QALS - Inspection Lot Record'!I:I)</f>
        <v>0.35917824074074073</v>
      </c>
      <c r="L654" s="59">
        <f t="shared" ca="1" si="53"/>
        <v>45910</v>
      </c>
      <c r="M654" s="30">
        <f t="shared" ca="1" si="54"/>
        <v>0.37975694444444441</v>
      </c>
      <c r="N654" s="31"/>
      <c r="O654" s="31">
        <v>50</v>
      </c>
      <c r="P654" s="29">
        <v>40</v>
      </c>
      <c r="Q654" s="29">
        <v>60</v>
      </c>
    </row>
    <row r="655" spans="1:17" x14ac:dyDescent="0.35">
      <c r="A655" s="26">
        <v>40000002582</v>
      </c>
      <c r="B655" s="31">
        <v>1</v>
      </c>
      <c r="C655" s="29" t="str">
        <f>LOOKUP(A655,'QALS - Inspection Lot Record'!$A$2:$A$361,'QALS - Inspection Lot Record'!$O$2:$O$361)</f>
        <v>Metformin Tablets (100 MG)</v>
      </c>
      <c r="D655" s="31">
        <v>60</v>
      </c>
      <c r="E655" s="29" t="s">
        <v>405</v>
      </c>
      <c r="F655" s="29" t="str">
        <f>LOOKUP(A655,'QALS - Inspection Lot Record'!A:A,'QALS - Inspection Lot Record'!G:G)</f>
        <v>GC197258</v>
      </c>
      <c r="G655" s="59">
        <f ca="1">LOOKUP(A655,'QALS - Inspection Lot Record'!A:A,'QALS - Inspection Lot Record'!E:E)</f>
        <v>45910</v>
      </c>
      <c r="H655" s="34" t="str">
        <f t="shared" si="55"/>
        <v>A</v>
      </c>
      <c r="I655" s="29" t="str">
        <f t="shared" si="51"/>
        <v>GC197258</v>
      </c>
      <c r="J655" s="59">
        <f t="shared" ca="1" si="52"/>
        <v>45910</v>
      </c>
      <c r="K655" s="30">
        <f ca="1">LOOKUP(A655,'QALS - Inspection Lot Record'!A:A,'QALS - Inspection Lot Record'!I:I)</f>
        <v>0.35917824074074073</v>
      </c>
      <c r="L655" s="59">
        <f t="shared" ca="1" si="53"/>
        <v>45910</v>
      </c>
      <c r="M655" s="30">
        <f t="shared" ca="1" si="54"/>
        <v>0.3878935185185185</v>
      </c>
      <c r="N655" s="31"/>
      <c r="O655" s="31">
        <v>77.5</v>
      </c>
      <c r="P655" s="29">
        <v>70</v>
      </c>
      <c r="Q655" s="29">
        <v>85</v>
      </c>
    </row>
    <row r="656" spans="1:17" x14ac:dyDescent="0.35">
      <c r="A656" s="26">
        <v>40000002582</v>
      </c>
      <c r="B656" s="31">
        <v>1</v>
      </c>
      <c r="C656" s="29" t="str">
        <f>LOOKUP(A656,'QALS - Inspection Lot Record'!$A$2:$A$361,'QALS - Inspection Lot Record'!$O$2:$O$361)</f>
        <v>Metformin Tablets (100 MG)</v>
      </c>
      <c r="D656" s="31">
        <v>70</v>
      </c>
      <c r="E656" s="29" t="s">
        <v>406</v>
      </c>
      <c r="F656" s="29" t="str">
        <f>LOOKUP(A656,'QALS - Inspection Lot Record'!A:A,'QALS - Inspection Lot Record'!G:G)</f>
        <v>GC197258</v>
      </c>
      <c r="G656" s="59">
        <f ca="1">LOOKUP(A656,'QALS - Inspection Lot Record'!A:A,'QALS - Inspection Lot Record'!E:E)</f>
        <v>45910</v>
      </c>
      <c r="H656" s="34" t="str">
        <f t="shared" si="55"/>
        <v>A</v>
      </c>
      <c r="I656" s="29" t="str">
        <f t="shared" si="51"/>
        <v>GC197258</v>
      </c>
      <c r="J656" s="59">
        <f t="shared" ca="1" si="52"/>
        <v>45910</v>
      </c>
      <c r="K656" s="30">
        <f ca="1">LOOKUP(A656,'QALS - Inspection Lot Record'!A:A,'QALS - Inspection Lot Record'!I:I)</f>
        <v>0.35917824074074073</v>
      </c>
      <c r="L656" s="59">
        <f t="shared" ca="1" si="53"/>
        <v>45910</v>
      </c>
      <c r="M656" s="30">
        <f t="shared" ca="1" si="54"/>
        <v>0.37842592592592589</v>
      </c>
      <c r="N656" s="31"/>
      <c r="O656" s="31">
        <v>85</v>
      </c>
      <c r="P656" s="29">
        <v>80</v>
      </c>
      <c r="Q656" s="29">
        <v>90</v>
      </c>
    </row>
    <row r="657" spans="1:17" x14ac:dyDescent="0.35">
      <c r="A657" s="26">
        <v>40000002582</v>
      </c>
      <c r="B657" s="31">
        <v>1</v>
      </c>
      <c r="C657" s="29" t="str">
        <f>LOOKUP(A657,'QALS - Inspection Lot Record'!$A$2:$A$361,'QALS - Inspection Lot Record'!$O$2:$O$361)</f>
        <v>Metformin Tablets (100 MG)</v>
      </c>
      <c r="D657" s="31">
        <v>80</v>
      </c>
      <c r="E657" s="29" t="s">
        <v>407</v>
      </c>
      <c r="F657" s="29" t="str">
        <f>LOOKUP(A657,'QALS - Inspection Lot Record'!A:A,'QALS - Inspection Lot Record'!G:G)</f>
        <v>GC197258</v>
      </c>
      <c r="G657" s="59">
        <f ca="1">LOOKUP(A657,'QALS - Inspection Lot Record'!A:A,'QALS - Inspection Lot Record'!E:E)</f>
        <v>45910</v>
      </c>
      <c r="H657" s="34" t="str">
        <f t="shared" si="55"/>
        <v>A</v>
      </c>
      <c r="I657" s="29" t="str">
        <f t="shared" si="51"/>
        <v>GC197258</v>
      </c>
      <c r="J657" s="59">
        <f t="shared" ca="1" si="52"/>
        <v>45910</v>
      </c>
      <c r="K657" s="30">
        <f ca="1">LOOKUP(A657,'QALS - Inspection Lot Record'!A:A,'QALS - Inspection Lot Record'!I:I)</f>
        <v>0.35917824074074073</v>
      </c>
      <c r="L657" s="59">
        <f t="shared" ca="1" si="53"/>
        <v>45910</v>
      </c>
      <c r="M657" s="30">
        <f t="shared" ca="1" si="54"/>
        <v>0.38427083333333334</v>
      </c>
      <c r="N657" s="31"/>
      <c r="O657" s="31">
        <v>24</v>
      </c>
      <c r="P657" s="29">
        <v>23</v>
      </c>
      <c r="Q657" s="29">
        <v>25</v>
      </c>
    </row>
    <row r="658" spans="1:17" x14ac:dyDescent="0.35">
      <c r="A658" s="26">
        <v>40000002583</v>
      </c>
      <c r="B658" s="27">
        <v>1</v>
      </c>
      <c r="C658" s="29" t="str">
        <f>LOOKUP(A658,'QALS - Inspection Lot Record'!$A$2:$A$361,'QALS - Inspection Lot Record'!$O$2:$O$361)</f>
        <v>Metformin Tablets (200 MG)</v>
      </c>
      <c r="D658" s="27">
        <v>10</v>
      </c>
      <c r="E658" s="26" t="s">
        <v>399</v>
      </c>
      <c r="F658" s="29" t="str">
        <f>LOOKUP(A658,'QALS - Inspection Lot Record'!A:A,'QALS - Inspection Lot Record'!G:G)</f>
        <v>ZK384180</v>
      </c>
      <c r="G658" s="59">
        <f ca="1">LOOKUP(A658,'QALS - Inspection Lot Record'!A:A,'QALS - Inspection Lot Record'!E:E)</f>
        <v>45911</v>
      </c>
      <c r="H658" s="34" t="str">
        <f t="shared" si="55"/>
        <v>A</v>
      </c>
      <c r="I658" s="29" t="str">
        <f t="shared" si="51"/>
        <v>ZK384180</v>
      </c>
      <c r="J658" s="59">
        <f t="shared" ca="1" si="52"/>
        <v>45911</v>
      </c>
      <c r="K658" s="30">
        <f ca="1">LOOKUP(A658,'QALS - Inspection Lot Record'!A:A,'QALS - Inspection Lot Record'!I:I)</f>
        <v>0.51527777777777772</v>
      </c>
      <c r="L658" s="59">
        <f t="shared" ca="1" si="53"/>
        <v>45911</v>
      </c>
      <c r="M658" s="30">
        <f t="shared" ca="1" si="54"/>
        <v>0.53357638888888881</v>
      </c>
      <c r="N658" s="31"/>
      <c r="O658" s="31">
        <v>99</v>
      </c>
      <c r="P658" s="29">
        <v>95</v>
      </c>
      <c r="Q658" s="29">
        <v>103</v>
      </c>
    </row>
    <row r="659" spans="1:17" x14ac:dyDescent="0.35">
      <c r="A659" s="26">
        <v>40000002583</v>
      </c>
      <c r="B659" s="27">
        <v>1</v>
      </c>
      <c r="C659" s="29" t="str">
        <f>LOOKUP(A659,'QALS - Inspection Lot Record'!$A$2:$A$361,'QALS - Inspection Lot Record'!$O$2:$O$361)</f>
        <v>Metformin Tablets (200 MG)</v>
      </c>
      <c r="D659" s="31">
        <v>20</v>
      </c>
      <c r="E659" s="29" t="s">
        <v>400</v>
      </c>
      <c r="F659" s="29" t="str">
        <f>LOOKUP(A659,'QALS - Inspection Lot Record'!A:A,'QALS - Inspection Lot Record'!G:G)</f>
        <v>ZK384180</v>
      </c>
      <c r="G659" s="59">
        <f ca="1">LOOKUP(A659,'QALS - Inspection Lot Record'!A:A,'QALS - Inspection Lot Record'!E:E)</f>
        <v>45911</v>
      </c>
      <c r="H659" s="34" t="str">
        <f t="shared" si="55"/>
        <v>A</v>
      </c>
      <c r="I659" s="29" t="str">
        <f t="shared" si="51"/>
        <v>ZK384180</v>
      </c>
      <c r="J659" s="59">
        <f t="shared" ca="1" si="52"/>
        <v>45911</v>
      </c>
      <c r="K659" s="30">
        <f ca="1">LOOKUP(A659,'QALS - Inspection Lot Record'!A:A,'QALS - Inspection Lot Record'!I:I)</f>
        <v>0.51527777777777772</v>
      </c>
      <c r="L659" s="59">
        <f t="shared" ca="1" si="53"/>
        <v>45911</v>
      </c>
      <c r="M659" s="30">
        <f t="shared" ca="1" si="54"/>
        <v>0.541875</v>
      </c>
      <c r="N659" s="31"/>
      <c r="O659" s="31">
        <v>7.8</v>
      </c>
      <c r="P659" s="29">
        <v>6</v>
      </c>
      <c r="Q659" s="29">
        <v>9.5</v>
      </c>
    </row>
    <row r="660" spans="1:17" x14ac:dyDescent="0.35">
      <c r="A660" s="26">
        <v>40000002583</v>
      </c>
      <c r="B660" s="31">
        <v>1</v>
      </c>
      <c r="C660" s="29" t="str">
        <f>LOOKUP(A660,'QALS - Inspection Lot Record'!$A$2:$A$361,'QALS - Inspection Lot Record'!$O$2:$O$361)</f>
        <v>Metformin Tablets (200 MG)</v>
      </c>
      <c r="D660" s="31">
        <v>30</v>
      </c>
      <c r="E660" s="29" t="s">
        <v>401</v>
      </c>
      <c r="F660" s="29" t="str">
        <f>LOOKUP(A660,'QALS - Inspection Lot Record'!A:A,'QALS - Inspection Lot Record'!G:G)</f>
        <v>ZK384180</v>
      </c>
      <c r="G660" s="59">
        <f ca="1">LOOKUP(A660,'QALS - Inspection Lot Record'!A:A,'QALS - Inspection Lot Record'!E:E)</f>
        <v>45911</v>
      </c>
      <c r="H660" s="34" t="str">
        <f t="shared" si="55"/>
        <v>A</v>
      </c>
      <c r="I660" s="29" t="str">
        <f t="shared" si="51"/>
        <v>ZK384180</v>
      </c>
      <c r="J660" s="59">
        <f t="shared" ca="1" si="52"/>
        <v>45911</v>
      </c>
      <c r="K660" s="30">
        <f ca="1">LOOKUP(A660,'QALS - Inspection Lot Record'!A:A,'QALS - Inspection Lot Record'!I:I)</f>
        <v>0.51527777777777772</v>
      </c>
      <c r="L660" s="59">
        <f t="shared" ca="1" si="53"/>
        <v>45911</v>
      </c>
      <c r="M660" s="30">
        <f t="shared" ca="1" si="54"/>
        <v>0.54252314814814806</v>
      </c>
      <c r="N660" s="11" t="s">
        <v>402</v>
      </c>
      <c r="O660" s="31"/>
      <c r="P660" s="29"/>
      <c r="Q660" s="29"/>
    </row>
    <row r="661" spans="1:17" x14ac:dyDescent="0.35">
      <c r="A661" s="26">
        <v>40000002583</v>
      </c>
      <c r="B661" s="31">
        <v>1</v>
      </c>
      <c r="C661" s="29" t="str">
        <f>LOOKUP(A661,'QALS - Inspection Lot Record'!$A$2:$A$361,'QALS - Inspection Lot Record'!$O$2:$O$361)</f>
        <v>Metformin Tablets (200 MG)</v>
      </c>
      <c r="D661" s="31">
        <v>40</v>
      </c>
      <c r="E661" s="29" t="s">
        <v>403</v>
      </c>
      <c r="F661" s="29" t="str">
        <f>LOOKUP(A661,'QALS - Inspection Lot Record'!A:A,'QALS - Inspection Lot Record'!G:G)</f>
        <v>ZK384180</v>
      </c>
      <c r="G661" s="59">
        <f ca="1">LOOKUP(A661,'QALS - Inspection Lot Record'!A:A,'QALS - Inspection Lot Record'!E:E)</f>
        <v>45911</v>
      </c>
      <c r="H661" s="34" t="str">
        <f t="shared" si="55"/>
        <v>A</v>
      </c>
      <c r="I661" s="29" t="str">
        <f t="shared" si="51"/>
        <v>ZK384180</v>
      </c>
      <c r="J661" s="59">
        <f t="shared" ca="1" si="52"/>
        <v>45911</v>
      </c>
      <c r="K661" s="30">
        <f ca="1">LOOKUP(A661,'QALS - Inspection Lot Record'!A:A,'QALS - Inspection Lot Record'!I:I)</f>
        <v>0.51527777777777772</v>
      </c>
      <c r="L661" s="59">
        <f t="shared" ca="1" si="53"/>
        <v>45911</v>
      </c>
      <c r="M661" s="30">
        <f t="shared" ca="1" si="54"/>
        <v>0.54451388888888885</v>
      </c>
      <c r="N661" s="31"/>
      <c r="O661" s="31">
        <v>1.6</v>
      </c>
      <c r="P661" s="29">
        <v>0</v>
      </c>
      <c r="Q661" s="29">
        <v>2</v>
      </c>
    </row>
    <row r="662" spans="1:17" x14ac:dyDescent="0.35">
      <c r="A662" s="26">
        <v>40000002583</v>
      </c>
      <c r="B662" s="31">
        <v>1</v>
      </c>
      <c r="C662" s="29" t="str">
        <f>LOOKUP(A662,'QALS - Inspection Lot Record'!$A$2:$A$361,'QALS - Inspection Lot Record'!$O$2:$O$361)</f>
        <v>Metformin Tablets (200 MG)</v>
      </c>
      <c r="D662" s="31">
        <v>50</v>
      </c>
      <c r="E662" s="29" t="s">
        <v>404</v>
      </c>
      <c r="F662" s="29" t="str">
        <f>LOOKUP(A662,'QALS - Inspection Lot Record'!A:A,'QALS - Inspection Lot Record'!G:G)</f>
        <v>ZK384180</v>
      </c>
      <c r="G662" s="59">
        <f ca="1">LOOKUP(A662,'QALS - Inspection Lot Record'!A:A,'QALS - Inspection Lot Record'!E:E)</f>
        <v>45911</v>
      </c>
      <c r="H662" s="34" t="str">
        <f t="shared" si="55"/>
        <v>A</v>
      </c>
      <c r="I662" s="29" t="str">
        <f t="shared" si="51"/>
        <v>ZK384180</v>
      </c>
      <c r="J662" s="59">
        <f t="shared" ca="1" si="52"/>
        <v>45911</v>
      </c>
      <c r="K662" s="30">
        <f ca="1">LOOKUP(A662,'QALS - Inspection Lot Record'!A:A,'QALS - Inspection Lot Record'!I:I)</f>
        <v>0.51527777777777772</v>
      </c>
      <c r="L662" s="59">
        <f t="shared" ca="1" si="53"/>
        <v>45911</v>
      </c>
      <c r="M662" s="30">
        <f t="shared" ca="1" si="54"/>
        <v>0.54745370370370361</v>
      </c>
      <c r="N662" s="31"/>
      <c r="O662" s="31">
        <v>42</v>
      </c>
      <c r="P662" s="29">
        <v>40</v>
      </c>
      <c r="Q662" s="29">
        <v>60</v>
      </c>
    </row>
    <row r="663" spans="1:17" x14ac:dyDescent="0.35">
      <c r="A663" s="26">
        <v>40000002583</v>
      </c>
      <c r="B663" s="31">
        <v>1</v>
      </c>
      <c r="C663" s="29" t="str">
        <f>LOOKUP(A663,'QALS - Inspection Lot Record'!$A$2:$A$361,'QALS - Inspection Lot Record'!$O$2:$O$361)</f>
        <v>Metformin Tablets (200 MG)</v>
      </c>
      <c r="D663" s="31">
        <v>60</v>
      </c>
      <c r="E663" s="29" t="s">
        <v>405</v>
      </c>
      <c r="F663" s="29" t="str">
        <f>LOOKUP(A663,'QALS - Inspection Lot Record'!A:A,'QALS - Inspection Lot Record'!G:G)</f>
        <v>ZK384180</v>
      </c>
      <c r="G663" s="59">
        <f ca="1">LOOKUP(A663,'QALS - Inspection Lot Record'!A:A,'QALS - Inspection Lot Record'!E:E)</f>
        <v>45911</v>
      </c>
      <c r="H663" s="34" t="str">
        <f t="shared" si="55"/>
        <v>A</v>
      </c>
      <c r="I663" s="29" t="str">
        <f t="shared" si="51"/>
        <v>ZK384180</v>
      </c>
      <c r="J663" s="59">
        <f t="shared" ca="1" si="52"/>
        <v>45911</v>
      </c>
      <c r="K663" s="30">
        <f ca="1">LOOKUP(A663,'QALS - Inspection Lot Record'!A:A,'QALS - Inspection Lot Record'!I:I)</f>
        <v>0.51527777777777772</v>
      </c>
      <c r="L663" s="59">
        <f t="shared" ca="1" si="53"/>
        <v>45911</v>
      </c>
      <c r="M663" s="30">
        <f t="shared" ca="1" si="54"/>
        <v>0.53394675925925916</v>
      </c>
      <c r="N663" s="31"/>
      <c r="O663" s="31">
        <v>71.099999999999994</v>
      </c>
      <c r="P663" s="29">
        <v>70</v>
      </c>
      <c r="Q663" s="29">
        <v>85</v>
      </c>
    </row>
    <row r="664" spans="1:17" x14ac:dyDescent="0.35">
      <c r="A664" s="26">
        <v>40000002583</v>
      </c>
      <c r="B664" s="31">
        <v>1</v>
      </c>
      <c r="C664" s="29" t="str">
        <f>LOOKUP(A664,'QALS - Inspection Lot Record'!$A$2:$A$361,'QALS - Inspection Lot Record'!$O$2:$O$361)</f>
        <v>Metformin Tablets (200 MG)</v>
      </c>
      <c r="D664" s="31">
        <v>70</v>
      </c>
      <c r="E664" s="29" t="s">
        <v>406</v>
      </c>
      <c r="F664" s="29" t="str">
        <f>LOOKUP(A664,'QALS - Inspection Lot Record'!A:A,'QALS - Inspection Lot Record'!G:G)</f>
        <v>ZK384180</v>
      </c>
      <c r="G664" s="59">
        <f ca="1">LOOKUP(A664,'QALS - Inspection Lot Record'!A:A,'QALS - Inspection Lot Record'!E:E)</f>
        <v>45911</v>
      </c>
      <c r="H664" s="34" t="str">
        <f t="shared" si="55"/>
        <v>A</v>
      </c>
      <c r="I664" s="29" t="str">
        <f t="shared" si="51"/>
        <v>ZK384180</v>
      </c>
      <c r="J664" s="59">
        <f t="shared" ca="1" si="52"/>
        <v>45911</v>
      </c>
      <c r="K664" s="30">
        <f ca="1">LOOKUP(A664,'QALS - Inspection Lot Record'!A:A,'QALS - Inspection Lot Record'!I:I)</f>
        <v>0.51527777777777772</v>
      </c>
      <c r="L664" s="59">
        <f t="shared" ca="1" si="53"/>
        <v>45911</v>
      </c>
      <c r="M664" s="30">
        <f t="shared" ca="1" si="54"/>
        <v>0.55011574074074066</v>
      </c>
      <c r="N664" s="31"/>
      <c r="O664" s="31">
        <v>81.599999999999994</v>
      </c>
      <c r="P664" s="29">
        <v>80</v>
      </c>
      <c r="Q664" s="29">
        <v>90</v>
      </c>
    </row>
    <row r="665" spans="1:17" x14ac:dyDescent="0.35">
      <c r="A665" s="26">
        <v>40000002583</v>
      </c>
      <c r="B665" s="31">
        <v>1</v>
      </c>
      <c r="C665" s="29" t="str">
        <f>LOOKUP(A665,'QALS - Inspection Lot Record'!$A$2:$A$361,'QALS - Inspection Lot Record'!$O$2:$O$361)</f>
        <v>Metformin Tablets (200 MG)</v>
      </c>
      <c r="D665" s="31">
        <v>80</v>
      </c>
      <c r="E665" s="29" t="s">
        <v>407</v>
      </c>
      <c r="F665" s="29" t="str">
        <f>LOOKUP(A665,'QALS - Inspection Lot Record'!A:A,'QALS - Inspection Lot Record'!G:G)</f>
        <v>ZK384180</v>
      </c>
      <c r="G665" s="59">
        <f ca="1">LOOKUP(A665,'QALS - Inspection Lot Record'!A:A,'QALS - Inspection Lot Record'!E:E)</f>
        <v>45911</v>
      </c>
      <c r="H665" s="34" t="str">
        <f t="shared" si="55"/>
        <v>A</v>
      </c>
      <c r="I665" s="29" t="str">
        <f t="shared" si="51"/>
        <v>ZK384180</v>
      </c>
      <c r="J665" s="59">
        <f t="shared" ca="1" si="52"/>
        <v>45911</v>
      </c>
      <c r="K665" s="30">
        <f ca="1">LOOKUP(A665,'QALS - Inspection Lot Record'!A:A,'QALS - Inspection Lot Record'!I:I)</f>
        <v>0.51527777777777772</v>
      </c>
      <c r="L665" s="59">
        <f t="shared" ca="1" si="53"/>
        <v>45911</v>
      </c>
      <c r="M665" s="30">
        <f t="shared" ca="1" si="54"/>
        <v>0.53505787037037034</v>
      </c>
      <c r="N665" s="31"/>
      <c r="O665" s="31">
        <v>25.5</v>
      </c>
      <c r="P665" s="29">
        <v>23</v>
      </c>
      <c r="Q665" s="29">
        <v>28</v>
      </c>
    </row>
    <row r="666" spans="1:17" x14ac:dyDescent="0.35">
      <c r="A666" s="26">
        <v>40000002584</v>
      </c>
      <c r="B666" s="27">
        <v>1</v>
      </c>
      <c r="C666" s="29" t="str">
        <f>LOOKUP(A666,'QALS - Inspection Lot Record'!$A$2:$A$361,'QALS - Inspection Lot Record'!$O$2:$O$361)</f>
        <v>Ibuprofen Tablets (100 MG)</v>
      </c>
      <c r="D666" s="27">
        <v>10</v>
      </c>
      <c r="E666" s="26" t="s">
        <v>399</v>
      </c>
      <c r="F666" s="29" t="str">
        <f>LOOKUP(A666,'QALS - Inspection Lot Record'!A:A,'QALS - Inspection Lot Record'!G:G)</f>
        <v>YA284176</v>
      </c>
      <c r="G666" s="59">
        <f ca="1">LOOKUP(A666,'QALS - Inspection Lot Record'!A:A,'QALS - Inspection Lot Record'!E:E)</f>
        <v>45911</v>
      </c>
      <c r="H666" s="34" t="str">
        <f t="shared" si="55"/>
        <v>A</v>
      </c>
      <c r="I666" s="29" t="str">
        <f t="shared" si="51"/>
        <v>YA284176</v>
      </c>
      <c r="J666" s="59">
        <f t="shared" ca="1" si="52"/>
        <v>45911</v>
      </c>
      <c r="K666" s="30">
        <f ca="1">LOOKUP(A666,'QALS - Inspection Lot Record'!A:A,'QALS - Inspection Lot Record'!I:I)</f>
        <v>0.17471064814814816</v>
      </c>
      <c r="L666" s="59">
        <f t="shared" ca="1" si="53"/>
        <v>45911</v>
      </c>
      <c r="M666" s="30">
        <f t="shared" ca="1" si="54"/>
        <v>0.19321759259259261</v>
      </c>
      <c r="N666" s="31"/>
      <c r="O666" s="31">
        <v>98.5</v>
      </c>
      <c r="P666" s="29">
        <v>95</v>
      </c>
      <c r="Q666" s="29">
        <v>102</v>
      </c>
    </row>
    <row r="667" spans="1:17" x14ac:dyDescent="0.35">
      <c r="A667" s="26">
        <v>40000002584</v>
      </c>
      <c r="B667" s="27">
        <v>1</v>
      </c>
      <c r="C667" s="29" t="str">
        <f>LOOKUP(A667,'QALS - Inspection Lot Record'!$A$2:$A$361,'QALS - Inspection Lot Record'!$O$2:$O$361)</f>
        <v>Ibuprofen Tablets (100 MG)</v>
      </c>
      <c r="D667" s="31">
        <v>20</v>
      </c>
      <c r="E667" s="29" t="s">
        <v>400</v>
      </c>
      <c r="F667" s="29" t="str">
        <f>LOOKUP(A667,'QALS - Inspection Lot Record'!A:A,'QALS - Inspection Lot Record'!G:G)</f>
        <v>YA284176</v>
      </c>
      <c r="G667" s="59">
        <f ca="1">LOOKUP(A667,'QALS - Inspection Lot Record'!A:A,'QALS - Inspection Lot Record'!E:E)</f>
        <v>45911</v>
      </c>
      <c r="H667" s="34" t="str">
        <f t="shared" si="55"/>
        <v>A</v>
      </c>
      <c r="I667" s="29" t="str">
        <f t="shared" si="51"/>
        <v>YA284176</v>
      </c>
      <c r="J667" s="59">
        <f t="shared" ca="1" si="52"/>
        <v>45911</v>
      </c>
      <c r="K667" s="30">
        <f ca="1">LOOKUP(A667,'QALS - Inspection Lot Record'!A:A,'QALS - Inspection Lot Record'!I:I)</f>
        <v>0.17471064814814816</v>
      </c>
      <c r="L667" s="59">
        <f t="shared" ca="1" si="53"/>
        <v>45911</v>
      </c>
      <c r="M667" s="30">
        <f t="shared" ca="1" si="54"/>
        <v>0.19887731481481483</v>
      </c>
      <c r="N667" s="31"/>
      <c r="O667" s="31">
        <v>7.3</v>
      </c>
      <c r="P667" s="29">
        <v>3.5</v>
      </c>
      <c r="Q667" s="29">
        <v>11</v>
      </c>
    </row>
    <row r="668" spans="1:17" x14ac:dyDescent="0.35">
      <c r="A668" s="26">
        <v>40000002584</v>
      </c>
      <c r="B668" s="31">
        <v>1</v>
      </c>
      <c r="C668" s="29" t="str">
        <f>LOOKUP(A668,'QALS - Inspection Lot Record'!$A$2:$A$361,'QALS - Inspection Lot Record'!$O$2:$O$361)</f>
        <v>Ibuprofen Tablets (100 MG)</v>
      </c>
      <c r="D668" s="31">
        <v>30</v>
      </c>
      <c r="E668" s="29" t="s">
        <v>401</v>
      </c>
      <c r="F668" s="29" t="str">
        <f>LOOKUP(A668,'QALS - Inspection Lot Record'!A:A,'QALS - Inspection Lot Record'!G:G)</f>
        <v>YA284176</v>
      </c>
      <c r="G668" s="59">
        <f ca="1">LOOKUP(A668,'QALS - Inspection Lot Record'!A:A,'QALS - Inspection Lot Record'!E:E)</f>
        <v>45911</v>
      </c>
      <c r="H668" s="34" t="str">
        <f t="shared" si="55"/>
        <v>A</v>
      </c>
      <c r="I668" s="29" t="str">
        <f t="shared" si="51"/>
        <v>YA284176</v>
      </c>
      <c r="J668" s="59">
        <f t="shared" ca="1" si="52"/>
        <v>45911</v>
      </c>
      <c r="K668" s="30">
        <f ca="1">LOOKUP(A668,'QALS - Inspection Lot Record'!A:A,'QALS - Inspection Lot Record'!I:I)</f>
        <v>0.17471064814814816</v>
      </c>
      <c r="L668" s="59">
        <f t="shared" ca="1" si="53"/>
        <v>45911</v>
      </c>
      <c r="M668" s="30">
        <f t="shared" ca="1" si="54"/>
        <v>0.19497685185185187</v>
      </c>
      <c r="N668" s="11" t="s">
        <v>402</v>
      </c>
      <c r="O668" s="31"/>
      <c r="P668" s="29"/>
      <c r="Q668" s="29"/>
    </row>
    <row r="669" spans="1:17" x14ac:dyDescent="0.35">
      <c r="A669" s="26">
        <v>40000002584</v>
      </c>
      <c r="B669" s="31">
        <v>1</v>
      </c>
      <c r="C669" s="29" t="str">
        <f>LOOKUP(A669,'QALS - Inspection Lot Record'!$A$2:$A$361,'QALS - Inspection Lot Record'!$O$2:$O$361)</f>
        <v>Ibuprofen Tablets (100 MG)</v>
      </c>
      <c r="D669" s="31">
        <v>40</v>
      </c>
      <c r="E669" s="29" t="s">
        <v>403</v>
      </c>
      <c r="F669" s="29" t="str">
        <f>LOOKUP(A669,'QALS - Inspection Lot Record'!A:A,'QALS - Inspection Lot Record'!G:G)</f>
        <v>YA284176</v>
      </c>
      <c r="G669" s="59">
        <f ca="1">LOOKUP(A669,'QALS - Inspection Lot Record'!A:A,'QALS - Inspection Lot Record'!E:E)</f>
        <v>45911</v>
      </c>
      <c r="H669" s="34" t="str">
        <f t="shared" si="55"/>
        <v>A</v>
      </c>
      <c r="I669" s="29" t="str">
        <f t="shared" si="51"/>
        <v>YA284176</v>
      </c>
      <c r="J669" s="59">
        <f t="shared" ca="1" si="52"/>
        <v>45911</v>
      </c>
      <c r="K669" s="30">
        <f ca="1">LOOKUP(A669,'QALS - Inspection Lot Record'!A:A,'QALS - Inspection Lot Record'!I:I)</f>
        <v>0.17471064814814816</v>
      </c>
      <c r="L669" s="59">
        <f t="shared" ca="1" si="53"/>
        <v>45911</v>
      </c>
      <c r="M669" s="30">
        <f t="shared" ca="1" si="54"/>
        <v>0.19214120370370372</v>
      </c>
      <c r="N669" s="31"/>
      <c r="O669" s="31">
        <v>0.5</v>
      </c>
      <c r="P669" s="29">
        <v>0</v>
      </c>
      <c r="Q669" s="29">
        <v>1</v>
      </c>
    </row>
    <row r="670" spans="1:17" x14ac:dyDescent="0.35">
      <c r="A670" s="26">
        <v>40000002584</v>
      </c>
      <c r="B670" s="31">
        <v>1</v>
      </c>
      <c r="C670" s="29" t="str">
        <f>LOOKUP(A670,'QALS - Inspection Lot Record'!$A$2:$A$361,'QALS - Inspection Lot Record'!$O$2:$O$361)</f>
        <v>Ibuprofen Tablets (100 MG)</v>
      </c>
      <c r="D670" s="31">
        <v>50</v>
      </c>
      <c r="E670" s="29" t="s">
        <v>404</v>
      </c>
      <c r="F670" s="29" t="str">
        <f>LOOKUP(A670,'QALS - Inspection Lot Record'!A:A,'QALS - Inspection Lot Record'!G:G)</f>
        <v>YA284176</v>
      </c>
      <c r="G670" s="59">
        <f ca="1">LOOKUP(A670,'QALS - Inspection Lot Record'!A:A,'QALS - Inspection Lot Record'!E:E)</f>
        <v>45911</v>
      </c>
      <c r="H670" s="34" t="str">
        <f t="shared" si="55"/>
        <v>A</v>
      </c>
      <c r="I670" s="29" t="str">
        <f t="shared" si="51"/>
        <v>YA284176</v>
      </c>
      <c r="J670" s="59">
        <f t="shared" ca="1" si="52"/>
        <v>45911</v>
      </c>
      <c r="K670" s="30">
        <f ca="1">LOOKUP(A670,'QALS - Inspection Lot Record'!A:A,'QALS - Inspection Lot Record'!I:I)</f>
        <v>0.17471064814814816</v>
      </c>
      <c r="L670" s="59">
        <f t="shared" ca="1" si="53"/>
        <v>45911</v>
      </c>
      <c r="M670" s="30">
        <f t="shared" ca="1" si="54"/>
        <v>0.20892361111111113</v>
      </c>
      <c r="N670" s="31"/>
      <c r="O670" s="31">
        <v>41.1</v>
      </c>
      <c r="P670" s="29">
        <v>40</v>
      </c>
      <c r="Q670" s="29">
        <v>60</v>
      </c>
    </row>
    <row r="671" spans="1:17" x14ac:dyDescent="0.35">
      <c r="A671" s="26">
        <v>40000002584</v>
      </c>
      <c r="B671" s="31">
        <v>1</v>
      </c>
      <c r="C671" s="29" t="str">
        <f>LOOKUP(A671,'QALS - Inspection Lot Record'!$A$2:$A$361,'QALS - Inspection Lot Record'!$O$2:$O$361)</f>
        <v>Ibuprofen Tablets (100 MG)</v>
      </c>
      <c r="D671" s="31">
        <v>60</v>
      </c>
      <c r="E671" s="29" t="s">
        <v>405</v>
      </c>
      <c r="F671" s="29" t="str">
        <f>LOOKUP(A671,'QALS - Inspection Lot Record'!A:A,'QALS - Inspection Lot Record'!G:G)</f>
        <v>YA284176</v>
      </c>
      <c r="G671" s="59">
        <f ca="1">LOOKUP(A671,'QALS - Inspection Lot Record'!A:A,'QALS - Inspection Lot Record'!E:E)</f>
        <v>45911</v>
      </c>
      <c r="H671" s="34" t="str">
        <f t="shared" si="55"/>
        <v>A</v>
      </c>
      <c r="I671" s="29" t="str">
        <f t="shared" si="51"/>
        <v>YA284176</v>
      </c>
      <c r="J671" s="59">
        <f t="shared" ca="1" si="52"/>
        <v>45911</v>
      </c>
      <c r="K671" s="30">
        <f ca="1">LOOKUP(A671,'QALS - Inspection Lot Record'!A:A,'QALS - Inspection Lot Record'!I:I)</f>
        <v>0.17471064814814816</v>
      </c>
      <c r="L671" s="59">
        <f t="shared" ca="1" si="53"/>
        <v>45911</v>
      </c>
      <c r="M671" s="30">
        <f t="shared" ca="1" si="54"/>
        <v>0.19569444444444445</v>
      </c>
      <c r="N671" s="31"/>
      <c r="O671" s="31">
        <v>71.5</v>
      </c>
      <c r="P671" s="29">
        <v>70</v>
      </c>
      <c r="Q671" s="29">
        <v>85</v>
      </c>
    </row>
    <row r="672" spans="1:17" x14ac:dyDescent="0.35">
      <c r="A672" s="26">
        <v>40000002584</v>
      </c>
      <c r="B672" s="31">
        <v>1</v>
      </c>
      <c r="C672" s="29" t="str">
        <f>LOOKUP(A672,'QALS - Inspection Lot Record'!$A$2:$A$361,'QALS - Inspection Lot Record'!$O$2:$O$361)</f>
        <v>Ibuprofen Tablets (100 MG)</v>
      </c>
      <c r="D672" s="31">
        <v>70</v>
      </c>
      <c r="E672" s="29" t="s">
        <v>406</v>
      </c>
      <c r="F672" s="29" t="str">
        <f>LOOKUP(A672,'QALS - Inspection Lot Record'!A:A,'QALS - Inspection Lot Record'!G:G)</f>
        <v>YA284176</v>
      </c>
      <c r="G672" s="59">
        <f ca="1">LOOKUP(A672,'QALS - Inspection Lot Record'!A:A,'QALS - Inspection Lot Record'!E:E)</f>
        <v>45911</v>
      </c>
      <c r="H672" s="34" t="str">
        <f t="shared" si="55"/>
        <v>A</v>
      </c>
      <c r="I672" s="29" t="str">
        <f t="shared" si="51"/>
        <v>YA284176</v>
      </c>
      <c r="J672" s="59">
        <f t="shared" ca="1" si="52"/>
        <v>45911</v>
      </c>
      <c r="K672" s="30">
        <f ca="1">LOOKUP(A672,'QALS - Inspection Lot Record'!A:A,'QALS - Inspection Lot Record'!I:I)</f>
        <v>0.17471064814814816</v>
      </c>
      <c r="L672" s="59">
        <f t="shared" ca="1" si="53"/>
        <v>45911</v>
      </c>
      <c r="M672" s="30">
        <f t="shared" ca="1" si="54"/>
        <v>0.19372685185185187</v>
      </c>
      <c r="N672" s="31"/>
      <c r="O672" s="31">
        <v>81.900000000000006</v>
      </c>
      <c r="P672" s="29">
        <v>80</v>
      </c>
      <c r="Q672" s="29">
        <v>90</v>
      </c>
    </row>
    <row r="673" spans="1:17" x14ac:dyDescent="0.35">
      <c r="A673" s="26">
        <v>40000002584</v>
      </c>
      <c r="B673" s="31">
        <v>1</v>
      </c>
      <c r="C673" s="29" t="str">
        <f>LOOKUP(A673,'QALS - Inspection Lot Record'!$A$2:$A$361,'QALS - Inspection Lot Record'!$O$2:$O$361)</f>
        <v>Ibuprofen Tablets (100 MG)</v>
      </c>
      <c r="D673" s="31">
        <v>80</v>
      </c>
      <c r="E673" s="29" t="s">
        <v>407</v>
      </c>
      <c r="F673" s="29" t="str">
        <f>LOOKUP(A673,'QALS - Inspection Lot Record'!A:A,'QALS - Inspection Lot Record'!G:G)</f>
        <v>YA284176</v>
      </c>
      <c r="G673" s="59">
        <f ca="1">LOOKUP(A673,'QALS - Inspection Lot Record'!A:A,'QALS - Inspection Lot Record'!E:E)</f>
        <v>45911</v>
      </c>
      <c r="H673" s="34" t="str">
        <f t="shared" si="55"/>
        <v>A</v>
      </c>
      <c r="I673" s="29" t="str">
        <f t="shared" si="51"/>
        <v>YA284176</v>
      </c>
      <c r="J673" s="59">
        <f t="shared" ca="1" si="52"/>
        <v>45911</v>
      </c>
      <c r="K673" s="30">
        <f ca="1">LOOKUP(A673,'QALS - Inspection Lot Record'!A:A,'QALS - Inspection Lot Record'!I:I)</f>
        <v>0.17471064814814816</v>
      </c>
      <c r="L673" s="59">
        <f t="shared" ca="1" si="53"/>
        <v>45911</v>
      </c>
      <c r="M673" s="30">
        <f t="shared" ca="1" si="54"/>
        <v>0.2011226851851852</v>
      </c>
      <c r="N673" s="31"/>
      <c r="O673" s="31">
        <v>24</v>
      </c>
      <c r="P673" s="29">
        <v>23</v>
      </c>
      <c r="Q673" s="29">
        <v>25</v>
      </c>
    </row>
    <row r="674" spans="1:17" x14ac:dyDescent="0.35">
      <c r="A674" s="26">
        <v>40000002585</v>
      </c>
      <c r="B674" s="27">
        <v>1</v>
      </c>
      <c r="C674" s="29" t="str">
        <f>LOOKUP(A674,'QALS - Inspection Lot Record'!$A$2:$A$361,'QALS - Inspection Lot Record'!$O$2:$O$361)</f>
        <v>Ibuprofen Tablets (100 MG)</v>
      </c>
      <c r="D674" s="27">
        <v>10</v>
      </c>
      <c r="E674" s="26" t="s">
        <v>399</v>
      </c>
      <c r="F674" s="29" t="str">
        <f>LOOKUP(A674,'QALS - Inspection Lot Record'!A:A,'QALS - Inspection Lot Record'!G:G)</f>
        <v>AB406550</v>
      </c>
      <c r="G674" s="59">
        <f ca="1">LOOKUP(A674,'QALS - Inspection Lot Record'!A:A,'QALS - Inspection Lot Record'!E:E)</f>
        <v>45912</v>
      </c>
      <c r="H674" s="34" t="str">
        <f t="shared" si="55"/>
        <v>A</v>
      </c>
      <c r="I674" s="29" t="str">
        <f t="shared" si="51"/>
        <v>AB406550</v>
      </c>
      <c r="J674" s="59">
        <f t="shared" ca="1" si="52"/>
        <v>45912</v>
      </c>
      <c r="K674" s="30">
        <f ca="1">LOOKUP(A674,'QALS - Inspection Lot Record'!A:A,'QALS - Inspection Lot Record'!I:I)</f>
        <v>0.58859953703703705</v>
      </c>
      <c r="L674" s="59">
        <f t="shared" ca="1" si="53"/>
        <v>45912</v>
      </c>
      <c r="M674" s="30">
        <f t="shared" ca="1" si="54"/>
        <v>0.61320601851851853</v>
      </c>
      <c r="N674" s="31"/>
      <c r="O674" s="31">
        <v>98.5</v>
      </c>
      <c r="P674" s="29">
        <v>95</v>
      </c>
      <c r="Q674" s="29">
        <v>102</v>
      </c>
    </row>
    <row r="675" spans="1:17" x14ac:dyDescent="0.35">
      <c r="A675" s="26">
        <v>40000002585</v>
      </c>
      <c r="B675" s="27">
        <v>1</v>
      </c>
      <c r="C675" s="29" t="str">
        <f>LOOKUP(A675,'QALS - Inspection Lot Record'!$A$2:$A$361,'QALS - Inspection Lot Record'!$O$2:$O$361)</f>
        <v>Ibuprofen Tablets (100 MG)</v>
      </c>
      <c r="D675" s="31">
        <v>20</v>
      </c>
      <c r="E675" s="29" t="s">
        <v>400</v>
      </c>
      <c r="F675" s="29" t="str">
        <f>LOOKUP(A675,'QALS - Inspection Lot Record'!A:A,'QALS - Inspection Lot Record'!G:G)</f>
        <v>AB406550</v>
      </c>
      <c r="G675" s="59">
        <f ca="1">LOOKUP(A675,'QALS - Inspection Lot Record'!A:A,'QALS - Inspection Lot Record'!E:E)</f>
        <v>45912</v>
      </c>
      <c r="H675" s="34" t="str">
        <f t="shared" si="55"/>
        <v>A</v>
      </c>
      <c r="I675" s="29" t="str">
        <f t="shared" si="51"/>
        <v>AB406550</v>
      </c>
      <c r="J675" s="59">
        <f t="shared" ca="1" si="52"/>
        <v>45912</v>
      </c>
      <c r="K675" s="30">
        <f ca="1">LOOKUP(A675,'QALS - Inspection Lot Record'!A:A,'QALS - Inspection Lot Record'!I:I)</f>
        <v>0.58859953703703705</v>
      </c>
      <c r="L675" s="59">
        <f t="shared" ca="1" si="53"/>
        <v>45912</v>
      </c>
      <c r="M675" s="30">
        <f t="shared" ca="1" si="54"/>
        <v>0.62288194444444445</v>
      </c>
      <c r="N675" s="31"/>
      <c r="O675" s="31">
        <v>7.25</v>
      </c>
      <c r="P675" s="29">
        <v>3.5</v>
      </c>
      <c r="Q675" s="29">
        <v>11</v>
      </c>
    </row>
    <row r="676" spans="1:17" x14ac:dyDescent="0.35">
      <c r="A676" s="26">
        <v>40000002585</v>
      </c>
      <c r="B676" s="31">
        <v>1</v>
      </c>
      <c r="C676" s="29" t="str">
        <f>LOOKUP(A676,'QALS - Inspection Lot Record'!$A$2:$A$361,'QALS - Inspection Lot Record'!$O$2:$O$361)</f>
        <v>Ibuprofen Tablets (100 MG)</v>
      </c>
      <c r="D676" s="31">
        <v>30</v>
      </c>
      <c r="E676" s="29" t="s">
        <v>401</v>
      </c>
      <c r="F676" s="29" t="str">
        <f>LOOKUP(A676,'QALS - Inspection Lot Record'!A:A,'QALS - Inspection Lot Record'!G:G)</f>
        <v>AB406550</v>
      </c>
      <c r="G676" s="59">
        <f ca="1">LOOKUP(A676,'QALS - Inspection Lot Record'!A:A,'QALS - Inspection Lot Record'!E:E)</f>
        <v>45912</v>
      </c>
      <c r="H676" s="34" t="str">
        <f t="shared" si="55"/>
        <v>A</v>
      </c>
      <c r="I676" s="29" t="str">
        <f t="shared" si="51"/>
        <v>AB406550</v>
      </c>
      <c r="J676" s="59">
        <f t="shared" ca="1" si="52"/>
        <v>45912</v>
      </c>
      <c r="K676" s="30">
        <f ca="1">LOOKUP(A676,'QALS - Inspection Lot Record'!A:A,'QALS - Inspection Lot Record'!I:I)</f>
        <v>0.58859953703703705</v>
      </c>
      <c r="L676" s="59">
        <f t="shared" ca="1" si="53"/>
        <v>45912</v>
      </c>
      <c r="M676" s="30">
        <f t="shared" ca="1" si="54"/>
        <v>0.61736111111111114</v>
      </c>
      <c r="N676" s="11" t="s">
        <v>402</v>
      </c>
      <c r="O676" s="31"/>
      <c r="P676" s="29"/>
      <c r="Q676" s="29"/>
    </row>
    <row r="677" spans="1:17" x14ac:dyDescent="0.35">
      <c r="A677" s="26">
        <v>40000002585</v>
      </c>
      <c r="B677" s="31">
        <v>1</v>
      </c>
      <c r="C677" s="29" t="str">
        <f>LOOKUP(A677,'QALS - Inspection Lot Record'!$A$2:$A$361,'QALS - Inspection Lot Record'!$O$2:$O$361)</f>
        <v>Ibuprofen Tablets (100 MG)</v>
      </c>
      <c r="D677" s="31">
        <v>40</v>
      </c>
      <c r="E677" s="29" t="s">
        <v>403</v>
      </c>
      <c r="F677" s="29" t="str">
        <f>LOOKUP(A677,'QALS - Inspection Lot Record'!A:A,'QALS - Inspection Lot Record'!G:G)</f>
        <v>AB406550</v>
      </c>
      <c r="G677" s="59">
        <f ca="1">LOOKUP(A677,'QALS - Inspection Lot Record'!A:A,'QALS - Inspection Lot Record'!E:E)</f>
        <v>45912</v>
      </c>
      <c r="H677" s="34" t="str">
        <f t="shared" si="55"/>
        <v>A</v>
      </c>
      <c r="I677" s="29" t="str">
        <f t="shared" si="51"/>
        <v>AB406550</v>
      </c>
      <c r="J677" s="59">
        <f t="shared" ca="1" si="52"/>
        <v>45912</v>
      </c>
      <c r="K677" s="30">
        <f ca="1">LOOKUP(A677,'QALS - Inspection Lot Record'!A:A,'QALS - Inspection Lot Record'!I:I)</f>
        <v>0.58859953703703705</v>
      </c>
      <c r="L677" s="59">
        <f t="shared" ca="1" si="53"/>
        <v>45912</v>
      </c>
      <c r="M677" s="30">
        <f t="shared" ca="1" si="54"/>
        <v>0.61471064814814813</v>
      </c>
      <c r="N677" s="31"/>
      <c r="O677" s="31">
        <v>0</v>
      </c>
      <c r="P677" s="29">
        <v>0</v>
      </c>
      <c r="Q677" s="29">
        <v>1</v>
      </c>
    </row>
    <row r="678" spans="1:17" x14ac:dyDescent="0.35">
      <c r="A678" s="26">
        <v>40000002585</v>
      </c>
      <c r="B678" s="31">
        <v>1</v>
      </c>
      <c r="C678" s="29" t="str">
        <f>LOOKUP(A678,'QALS - Inspection Lot Record'!$A$2:$A$361,'QALS - Inspection Lot Record'!$O$2:$O$361)</f>
        <v>Ibuprofen Tablets (100 MG)</v>
      </c>
      <c r="D678" s="31">
        <v>50</v>
      </c>
      <c r="E678" s="29" t="s">
        <v>404</v>
      </c>
      <c r="F678" s="29" t="str">
        <f>LOOKUP(A678,'QALS - Inspection Lot Record'!A:A,'QALS - Inspection Lot Record'!G:G)</f>
        <v>AB406550</v>
      </c>
      <c r="G678" s="59">
        <f ca="1">LOOKUP(A678,'QALS - Inspection Lot Record'!A:A,'QALS - Inspection Lot Record'!E:E)</f>
        <v>45912</v>
      </c>
      <c r="H678" s="34" t="str">
        <f t="shared" si="55"/>
        <v>A</v>
      </c>
      <c r="I678" s="29" t="str">
        <f t="shared" si="51"/>
        <v>AB406550</v>
      </c>
      <c r="J678" s="59">
        <f t="shared" ca="1" si="52"/>
        <v>45912</v>
      </c>
      <c r="K678" s="30">
        <f ca="1">LOOKUP(A678,'QALS - Inspection Lot Record'!A:A,'QALS - Inspection Lot Record'!I:I)</f>
        <v>0.58859953703703705</v>
      </c>
      <c r="L678" s="59">
        <f t="shared" ca="1" si="53"/>
        <v>45912</v>
      </c>
      <c r="M678" s="30">
        <f t="shared" ca="1" si="54"/>
        <v>0.61907407407407411</v>
      </c>
      <c r="N678" s="31"/>
      <c r="O678" s="31">
        <v>50</v>
      </c>
      <c r="P678" s="29">
        <v>40</v>
      </c>
      <c r="Q678" s="29">
        <v>60</v>
      </c>
    </row>
    <row r="679" spans="1:17" x14ac:dyDescent="0.35">
      <c r="A679" s="26">
        <v>40000002585</v>
      </c>
      <c r="B679" s="31">
        <v>1</v>
      </c>
      <c r="C679" s="29" t="str">
        <f>LOOKUP(A679,'QALS - Inspection Lot Record'!$A$2:$A$361,'QALS - Inspection Lot Record'!$O$2:$O$361)</f>
        <v>Ibuprofen Tablets (100 MG)</v>
      </c>
      <c r="D679" s="31">
        <v>60</v>
      </c>
      <c r="E679" s="29" t="s">
        <v>405</v>
      </c>
      <c r="F679" s="29" t="str">
        <f>LOOKUP(A679,'QALS - Inspection Lot Record'!A:A,'QALS - Inspection Lot Record'!G:G)</f>
        <v>AB406550</v>
      </c>
      <c r="G679" s="59">
        <f ca="1">LOOKUP(A679,'QALS - Inspection Lot Record'!A:A,'QALS - Inspection Lot Record'!E:E)</f>
        <v>45912</v>
      </c>
      <c r="H679" s="34" t="str">
        <f t="shared" si="55"/>
        <v>A</v>
      </c>
      <c r="I679" s="29" t="str">
        <f t="shared" si="51"/>
        <v>AB406550</v>
      </c>
      <c r="J679" s="59">
        <f t="shared" ca="1" si="52"/>
        <v>45912</v>
      </c>
      <c r="K679" s="30">
        <f ca="1">LOOKUP(A679,'QALS - Inspection Lot Record'!A:A,'QALS - Inspection Lot Record'!I:I)</f>
        <v>0.58859953703703705</v>
      </c>
      <c r="L679" s="59">
        <f t="shared" ca="1" si="53"/>
        <v>45912</v>
      </c>
      <c r="M679" s="30">
        <f t="shared" ca="1" si="54"/>
        <v>0.60962962962962963</v>
      </c>
      <c r="N679" s="31"/>
      <c r="O679" s="31">
        <v>77.5</v>
      </c>
      <c r="P679" s="29">
        <v>70</v>
      </c>
      <c r="Q679" s="29">
        <v>85</v>
      </c>
    </row>
    <row r="680" spans="1:17" x14ac:dyDescent="0.35">
      <c r="A680" s="26">
        <v>40000002585</v>
      </c>
      <c r="B680" s="31">
        <v>1</v>
      </c>
      <c r="C680" s="29" t="str">
        <f>LOOKUP(A680,'QALS - Inspection Lot Record'!$A$2:$A$361,'QALS - Inspection Lot Record'!$O$2:$O$361)</f>
        <v>Ibuprofen Tablets (100 MG)</v>
      </c>
      <c r="D680" s="31">
        <v>70</v>
      </c>
      <c r="E680" s="29" t="s">
        <v>406</v>
      </c>
      <c r="F680" s="29" t="str">
        <f>LOOKUP(A680,'QALS - Inspection Lot Record'!A:A,'QALS - Inspection Lot Record'!G:G)</f>
        <v>AB406550</v>
      </c>
      <c r="G680" s="59">
        <f ca="1">LOOKUP(A680,'QALS - Inspection Lot Record'!A:A,'QALS - Inspection Lot Record'!E:E)</f>
        <v>45912</v>
      </c>
      <c r="H680" s="34" t="str">
        <f t="shared" si="55"/>
        <v>A</v>
      </c>
      <c r="I680" s="29" t="str">
        <f t="shared" si="51"/>
        <v>AB406550</v>
      </c>
      <c r="J680" s="59">
        <f t="shared" ca="1" si="52"/>
        <v>45912</v>
      </c>
      <c r="K680" s="30">
        <f ca="1">LOOKUP(A680,'QALS - Inspection Lot Record'!A:A,'QALS - Inspection Lot Record'!I:I)</f>
        <v>0.58859953703703705</v>
      </c>
      <c r="L680" s="59">
        <f t="shared" ca="1" si="53"/>
        <v>45912</v>
      </c>
      <c r="M680" s="30">
        <f t="shared" ca="1" si="54"/>
        <v>0.61299768518518516</v>
      </c>
      <c r="N680" s="31"/>
      <c r="O680" s="31">
        <v>85</v>
      </c>
      <c r="P680" s="29">
        <v>80</v>
      </c>
      <c r="Q680" s="29">
        <v>90</v>
      </c>
    </row>
    <row r="681" spans="1:17" x14ac:dyDescent="0.35">
      <c r="A681" s="26">
        <v>40000002585</v>
      </c>
      <c r="B681" s="31">
        <v>1</v>
      </c>
      <c r="C681" s="29" t="str">
        <f>LOOKUP(A681,'QALS - Inspection Lot Record'!$A$2:$A$361,'QALS - Inspection Lot Record'!$O$2:$O$361)</f>
        <v>Ibuprofen Tablets (100 MG)</v>
      </c>
      <c r="D681" s="31">
        <v>80</v>
      </c>
      <c r="E681" s="29" t="s">
        <v>407</v>
      </c>
      <c r="F681" s="29" t="str">
        <f>LOOKUP(A681,'QALS - Inspection Lot Record'!A:A,'QALS - Inspection Lot Record'!G:G)</f>
        <v>AB406550</v>
      </c>
      <c r="G681" s="59">
        <f ca="1">LOOKUP(A681,'QALS - Inspection Lot Record'!A:A,'QALS - Inspection Lot Record'!E:E)</f>
        <v>45912</v>
      </c>
      <c r="H681" s="34" t="str">
        <f t="shared" si="55"/>
        <v>R</v>
      </c>
      <c r="I681" s="29" t="str">
        <f t="shared" si="51"/>
        <v>AB406550</v>
      </c>
      <c r="J681" s="59">
        <f t="shared" ca="1" si="52"/>
        <v>45912</v>
      </c>
      <c r="K681" s="30">
        <f ca="1">LOOKUP(A681,'QALS - Inspection Lot Record'!A:A,'QALS - Inspection Lot Record'!I:I)</f>
        <v>0.58859953703703705</v>
      </c>
      <c r="L681" s="59">
        <f t="shared" ca="1" si="53"/>
        <v>45912</v>
      </c>
      <c r="M681" s="30">
        <f t="shared" ca="1" si="54"/>
        <v>0.60927083333333332</v>
      </c>
      <c r="N681" s="31"/>
      <c r="O681" s="31">
        <v>21.3</v>
      </c>
      <c r="P681" s="29">
        <v>23</v>
      </c>
      <c r="Q681" s="29">
        <v>25</v>
      </c>
    </row>
    <row r="682" spans="1:17" x14ac:dyDescent="0.35">
      <c r="A682" s="26">
        <v>40000002586</v>
      </c>
      <c r="B682" s="27">
        <v>1</v>
      </c>
      <c r="C682" s="29" t="str">
        <f>LOOKUP(A682,'QALS - Inspection Lot Record'!$A$2:$A$361,'QALS - Inspection Lot Record'!$O$2:$O$361)</f>
        <v>Metformin Tablets (500 MG)</v>
      </c>
      <c r="D682" s="27">
        <v>10</v>
      </c>
      <c r="E682" s="26" t="s">
        <v>399</v>
      </c>
      <c r="F682" s="29" t="str">
        <f>LOOKUP(A682,'QALS - Inspection Lot Record'!A:A,'QALS - Inspection Lot Record'!G:G)</f>
        <v>YA284176</v>
      </c>
      <c r="G682" s="59">
        <f ca="1">LOOKUP(A682,'QALS - Inspection Lot Record'!A:A,'QALS - Inspection Lot Record'!E:E)</f>
        <v>45912</v>
      </c>
      <c r="H682" s="34" t="str">
        <f t="shared" si="55"/>
        <v>A</v>
      </c>
      <c r="I682" s="29" t="str">
        <f t="shared" si="51"/>
        <v>YA284176</v>
      </c>
      <c r="J682" s="59">
        <f t="shared" ca="1" si="52"/>
        <v>45912</v>
      </c>
      <c r="K682" s="30">
        <f ca="1">LOOKUP(A682,'QALS - Inspection Lot Record'!A:A,'QALS - Inspection Lot Record'!I:I)</f>
        <v>0.18231481481481482</v>
      </c>
      <c r="L682" s="59">
        <f t="shared" ca="1" si="53"/>
        <v>45912</v>
      </c>
      <c r="M682" s="30">
        <f t="shared" ca="1" si="54"/>
        <v>0.20023148148148148</v>
      </c>
      <c r="N682" s="31"/>
      <c r="O682" s="31">
        <v>100</v>
      </c>
      <c r="P682" s="29">
        <v>95</v>
      </c>
      <c r="Q682" s="29">
        <v>105</v>
      </c>
    </row>
    <row r="683" spans="1:17" x14ac:dyDescent="0.35">
      <c r="A683" s="26">
        <v>40000002586</v>
      </c>
      <c r="B683" s="27">
        <v>1</v>
      </c>
      <c r="C683" s="29" t="str">
        <f>LOOKUP(A683,'QALS - Inspection Lot Record'!$A$2:$A$361,'QALS - Inspection Lot Record'!$O$2:$O$361)</f>
        <v>Metformin Tablets (500 MG)</v>
      </c>
      <c r="D683" s="31">
        <v>20</v>
      </c>
      <c r="E683" s="29" t="s">
        <v>400</v>
      </c>
      <c r="F683" s="29" t="str">
        <f>LOOKUP(A683,'QALS - Inspection Lot Record'!A:A,'QALS - Inspection Lot Record'!G:G)</f>
        <v>YA284176</v>
      </c>
      <c r="G683" s="59">
        <f ca="1">LOOKUP(A683,'QALS - Inspection Lot Record'!A:A,'QALS - Inspection Lot Record'!E:E)</f>
        <v>45912</v>
      </c>
      <c r="H683" s="34" t="str">
        <f t="shared" si="55"/>
        <v>A</v>
      </c>
      <c r="I683" s="29" t="str">
        <f t="shared" si="51"/>
        <v>YA284176</v>
      </c>
      <c r="J683" s="59">
        <f t="shared" ca="1" si="52"/>
        <v>45912</v>
      </c>
      <c r="K683" s="30">
        <f ca="1">LOOKUP(A683,'QALS - Inspection Lot Record'!A:A,'QALS - Inspection Lot Record'!I:I)</f>
        <v>0.18231481481481482</v>
      </c>
      <c r="L683" s="59">
        <f t="shared" ca="1" si="53"/>
        <v>45912</v>
      </c>
      <c r="M683" s="30">
        <f t="shared" ca="1" si="54"/>
        <v>0.20230324074074074</v>
      </c>
      <c r="N683" s="31"/>
      <c r="O683" s="31">
        <v>7.25</v>
      </c>
      <c r="P683" s="29">
        <v>3.5</v>
      </c>
      <c r="Q683" s="29">
        <v>11</v>
      </c>
    </row>
    <row r="684" spans="1:17" x14ac:dyDescent="0.35">
      <c r="A684" s="26">
        <v>40000002586</v>
      </c>
      <c r="B684" s="31">
        <v>1</v>
      </c>
      <c r="C684" s="29" t="str">
        <f>LOOKUP(A684,'QALS - Inspection Lot Record'!$A$2:$A$361,'QALS - Inspection Lot Record'!$O$2:$O$361)</f>
        <v>Metformin Tablets (500 MG)</v>
      </c>
      <c r="D684" s="31">
        <v>30</v>
      </c>
      <c r="E684" s="29" t="s">
        <v>401</v>
      </c>
      <c r="F684" s="29" t="str">
        <f>LOOKUP(A684,'QALS - Inspection Lot Record'!A:A,'QALS - Inspection Lot Record'!G:G)</f>
        <v>YA284176</v>
      </c>
      <c r="G684" s="59">
        <f ca="1">LOOKUP(A684,'QALS - Inspection Lot Record'!A:A,'QALS - Inspection Lot Record'!E:E)</f>
        <v>45912</v>
      </c>
      <c r="H684" s="34" t="str">
        <f t="shared" si="55"/>
        <v>A</v>
      </c>
      <c r="I684" s="29" t="str">
        <f t="shared" si="51"/>
        <v>YA284176</v>
      </c>
      <c r="J684" s="59">
        <f t="shared" ca="1" si="52"/>
        <v>45912</v>
      </c>
      <c r="K684" s="30">
        <f ca="1">LOOKUP(A684,'QALS - Inspection Lot Record'!A:A,'QALS - Inspection Lot Record'!I:I)</f>
        <v>0.18231481481481482</v>
      </c>
      <c r="L684" s="59">
        <f t="shared" ca="1" si="53"/>
        <v>45912</v>
      </c>
      <c r="M684" s="30">
        <f t="shared" ca="1" si="54"/>
        <v>0.21390046296296297</v>
      </c>
      <c r="N684" s="11" t="s">
        <v>402</v>
      </c>
      <c r="O684" s="31"/>
      <c r="P684" s="29"/>
      <c r="Q684" s="29"/>
    </row>
    <row r="685" spans="1:17" x14ac:dyDescent="0.35">
      <c r="A685" s="26">
        <v>40000002586</v>
      </c>
      <c r="B685" s="31">
        <v>1</v>
      </c>
      <c r="C685" s="29" t="str">
        <f>LOOKUP(A685,'QALS - Inspection Lot Record'!$A$2:$A$361,'QALS - Inspection Lot Record'!$O$2:$O$361)</f>
        <v>Metformin Tablets (500 MG)</v>
      </c>
      <c r="D685" s="31">
        <v>40</v>
      </c>
      <c r="E685" s="29" t="s">
        <v>403</v>
      </c>
      <c r="F685" s="29" t="str">
        <f>LOOKUP(A685,'QALS - Inspection Lot Record'!A:A,'QALS - Inspection Lot Record'!G:G)</f>
        <v>YA284176</v>
      </c>
      <c r="G685" s="59">
        <f ca="1">LOOKUP(A685,'QALS - Inspection Lot Record'!A:A,'QALS - Inspection Lot Record'!E:E)</f>
        <v>45912</v>
      </c>
      <c r="H685" s="34" t="str">
        <f t="shared" si="55"/>
        <v>A</v>
      </c>
      <c r="I685" s="29" t="str">
        <f t="shared" si="51"/>
        <v>YA284176</v>
      </c>
      <c r="J685" s="59">
        <f t="shared" ca="1" si="52"/>
        <v>45912</v>
      </c>
      <c r="K685" s="30">
        <f ca="1">LOOKUP(A685,'QALS - Inspection Lot Record'!A:A,'QALS - Inspection Lot Record'!I:I)</f>
        <v>0.18231481481481482</v>
      </c>
      <c r="L685" s="59">
        <f t="shared" ca="1" si="53"/>
        <v>45912</v>
      </c>
      <c r="M685" s="30">
        <f t="shared" ca="1" si="54"/>
        <v>0.20430555555555557</v>
      </c>
      <c r="N685" s="31"/>
      <c r="O685" s="31">
        <v>0</v>
      </c>
      <c r="P685" s="29">
        <v>0</v>
      </c>
      <c r="Q685" s="29">
        <v>2</v>
      </c>
    </row>
    <row r="686" spans="1:17" x14ac:dyDescent="0.35">
      <c r="A686" s="26">
        <v>40000002586</v>
      </c>
      <c r="B686" s="31">
        <v>1</v>
      </c>
      <c r="C686" s="29" t="str">
        <f>LOOKUP(A686,'QALS - Inspection Lot Record'!$A$2:$A$361,'QALS - Inspection Lot Record'!$O$2:$O$361)</f>
        <v>Metformin Tablets (500 MG)</v>
      </c>
      <c r="D686" s="31">
        <v>50</v>
      </c>
      <c r="E686" s="29" t="s">
        <v>404</v>
      </c>
      <c r="F686" s="29" t="str">
        <f>LOOKUP(A686,'QALS - Inspection Lot Record'!A:A,'QALS - Inspection Lot Record'!G:G)</f>
        <v>YA284176</v>
      </c>
      <c r="G686" s="59">
        <f ca="1">LOOKUP(A686,'QALS - Inspection Lot Record'!A:A,'QALS - Inspection Lot Record'!E:E)</f>
        <v>45912</v>
      </c>
      <c r="H686" s="34" t="str">
        <f t="shared" si="55"/>
        <v>A</v>
      </c>
      <c r="I686" s="29" t="str">
        <f t="shared" si="51"/>
        <v>YA284176</v>
      </c>
      <c r="J686" s="59">
        <f t="shared" ca="1" si="52"/>
        <v>45912</v>
      </c>
      <c r="K686" s="30">
        <f ca="1">LOOKUP(A686,'QALS - Inspection Lot Record'!A:A,'QALS - Inspection Lot Record'!I:I)</f>
        <v>0.18231481481481482</v>
      </c>
      <c r="L686" s="59">
        <f t="shared" ca="1" si="53"/>
        <v>45912</v>
      </c>
      <c r="M686" s="30">
        <f t="shared" ca="1" si="54"/>
        <v>0.21502314814814816</v>
      </c>
      <c r="N686" s="31"/>
      <c r="O686" s="31">
        <v>50</v>
      </c>
      <c r="P686" s="29">
        <v>40</v>
      </c>
      <c r="Q686" s="29">
        <v>60</v>
      </c>
    </row>
    <row r="687" spans="1:17" x14ac:dyDescent="0.35">
      <c r="A687" s="26">
        <v>40000002586</v>
      </c>
      <c r="B687" s="31">
        <v>1</v>
      </c>
      <c r="C687" s="29" t="str">
        <f>LOOKUP(A687,'QALS - Inspection Lot Record'!$A$2:$A$361,'QALS - Inspection Lot Record'!$O$2:$O$361)</f>
        <v>Metformin Tablets (500 MG)</v>
      </c>
      <c r="D687" s="31">
        <v>60</v>
      </c>
      <c r="E687" s="29" t="s">
        <v>405</v>
      </c>
      <c r="F687" s="29" t="str">
        <f>LOOKUP(A687,'QALS - Inspection Lot Record'!A:A,'QALS - Inspection Lot Record'!G:G)</f>
        <v>YA284176</v>
      </c>
      <c r="G687" s="59">
        <f ca="1">LOOKUP(A687,'QALS - Inspection Lot Record'!A:A,'QALS - Inspection Lot Record'!E:E)</f>
        <v>45912</v>
      </c>
      <c r="H687" s="34" t="str">
        <f t="shared" si="55"/>
        <v>A</v>
      </c>
      <c r="I687" s="29" t="str">
        <f t="shared" si="51"/>
        <v>YA284176</v>
      </c>
      <c r="J687" s="59">
        <f t="shared" ca="1" si="52"/>
        <v>45912</v>
      </c>
      <c r="K687" s="30">
        <f ca="1">LOOKUP(A687,'QALS - Inspection Lot Record'!A:A,'QALS - Inspection Lot Record'!I:I)</f>
        <v>0.18231481481481482</v>
      </c>
      <c r="L687" s="59">
        <f t="shared" ca="1" si="53"/>
        <v>45912</v>
      </c>
      <c r="M687" s="30">
        <f t="shared" ca="1" si="54"/>
        <v>0.20265046296296296</v>
      </c>
      <c r="N687" s="31"/>
      <c r="O687" s="31">
        <v>77.5</v>
      </c>
      <c r="P687" s="29">
        <v>70</v>
      </c>
      <c r="Q687" s="29">
        <v>85</v>
      </c>
    </row>
    <row r="688" spans="1:17" x14ac:dyDescent="0.35">
      <c r="A688" s="26">
        <v>40000002586</v>
      </c>
      <c r="B688" s="31">
        <v>1</v>
      </c>
      <c r="C688" s="29" t="str">
        <f>LOOKUP(A688,'QALS - Inspection Lot Record'!$A$2:$A$361,'QALS - Inspection Lot Record'!$O$2:$O$361)</f>
        <v>Metformin Tablets (500 MG)</v>
      </c>
      <c r="D688" s="31">
        <v>70</v>
      </c>
      <c r="E688" s="29" t="s">
        <v>406</v>
      </c>
      <c r="F688" s="29" t="str">
        <f>LOOKUP(A688,'QALS - Inspection Lot Record'!A:A,'QALS - Inspection Lot Record'!G:G)</f>
        <v>YA284176</v>
      </c>
      <c r="G688" s="59">
        <f ca="1">LOOKUP(A688,'QALS - Inspection Lot Record'!A:A,'QALS - Inspection Lot Record'!E:E)</f>
        <v>45912</v>
      </c>
      <c r="H688" s="34" t="str">
        <f t="shared" si="55"/>
        <v>A</v>
      </c>
      <c r="I688" s="29" t="str">
        <f t="shared" si="51"/>
        <v>YA284176</v>
      </c>
      <c r="J688" s="59">
        <f t="shared" ca="1" si="52"/>
        <v>45912</v>
      </c>
      <c r="K688" s="30">
        <f ca="1">LOOKUP(A688,'QALS - Inspection Lot Record'!A:A,'QALS - Inspection Lot Record'!I:I)</f>
        <v>0.18231481481481482</v>
      </c>
      <c r="L688" s="59">
        <f t="shared" ca="1" si="53"/>
        <v>45912</v>
      </c>
      <c r="M688" s="30">
        <f t="shared" ca="1" si="54"/>
        <v>0.20783564814814814</v>
      </c>
      <c r="N688" s="31"/>
      <c r="O688" s="31">
        <v>85</v>
      </c>
      <c r="P688" s="29">
        <v>80</v>
      </c>
      <c r="Q688" s="29">
        <v>90</v>
      </c>
    </row>
    <row r="689" spans="1:17" x14ac:dyDescent="0.35">
      <c r="A689" s="26">
        <v>40000002586</v>
      </c>
      <c r="B689" s="31">
        <v>1</v>
      </c>
      <c r="C689" s="29" t="str">
        <f>LOOKUP(A689,'QALS - Inspection Lot Record'!$A$2:$A$361,'QALS - Inspection Lot Record'!$O$2:$O$361)</f>
        <v>Metformin Tablets (500 MG)</v>
      </c>
      <c r="D689" s="31">
        <v>80</v>
      </c>
      <c r="E689" s="29" t="s">
        <v>407</v>
      </c>
      <c r="F689" s="29" t="str">
        <f>LOOKUP(A689,'QALS - Inspection Lot Record'!A:A,'QALS - Inspection Lot Record'!G:G)</f>
        <v>YA284176</v>
      </c>
      <c r="G689" s="59">
        <f ca="1">LOOKUP(A689,'QALS - Inspection Lot Record'!A:A,'QALS - Inspection Lot Record'!E:E)</f>
        <v>45912</v>
      </c>
      <c r="H689" s="34" t="str">
        <f t="shared" si="55"/>
        <v>A</v>
      </c>
      <c r="I689" s="29" t="str">
        <f t="shared" si="51"/>
        <v>YA284176</v>
      </c>
      <c r="J689" s="59">
        <f t="shared" ca="1" si="52"/>
        <v>45912</v>
      </c>
      <c r="K689" s="30">
        <f ca="1">LOOKUP(A689,'QALS - Inspection Lot Record'!A:A,'QALS - Inspection Lot Record'!I:I)</f>
        <v>0.18231481481481482</v>
      </c>
      <c r="L689" s="59">
        <f t="shared" ca="1" si="53"/>
        <v>45912</v>
      </c>
      <c r="M689" s="30">
        <f t="shared" ca="1" si="54"/>
        <v>0.20666666666666667</v>
      </c>
      <c r="N689" s="31"/>
      <c r="O689" s="31">
        <v>25.5</v>
      </c>
      <c r="P689" s="29">
        <v>23</v>
      </c>
      <c r="Q689" s="29">
        <v>28</v>
      </c>
    </row>
    <row r="690" spans="1:17" x14ac:dyDescent="0.35">
      <c r="A690" s="26">
        <v>40000002587</v>
      </c>
      <c r="B690" s="27">
        <v>1</v>
      </c>
      <c r="C690" s="29" t="str">
        <f>LOOKUP(A690,'QALS - Inspection Lot Record'!$A$2:$A$361,'QALS - Inspection Lot Record'!$O$2:$O$361)</f>
        <v>Aspirin Tablets (500 MG)</v>
      </c>
      <c r="D690" s="27">
        <v>10</v>
      </c>
      <c r="E690" s="26" t="s">
        <v>399</v>
      </c>
      <c r="F690" s="29" t="str">
        <f>LOOKUP(A690,'QALS - Inspection Lot Record'!A:A,'QALS - Inspection Lot Record'!G:G)</f>
        <v>AB406550</v>
      </c>
      <c r="G690" s="59">
        <f ca="1">LOOKUP(A690,'QALS - Inspection Lot Record'!A:A,'QALS - Inspection Lot Record'!E:E)</f>
        <v>45913</v>
      </c>
      <c r="H690" s="34" t="str">
        <f t="shared" si="55"/>
        <v>A</v>
      </c>
      <c r="I690" s="29" t="str">
        <f t="shared" si="51"/>
        <v>AB406550</v>
      </c>
      <c r="J690" s="59">
        <f t="shared" ca="1" si="52"/>
        <v>45913</v>
      </c>
      <c r="K690" s="30">
        <f ca="1">LOOKUP(A690,'QALS - Inspection Lot Record'!A:A,'QALS - Inspection Lot Record'!I:I)</f>
        <v>0.55945601851851856</v>
      </c>
      <c r="L690" s="59">
        <f t="shared" ca="1" si="53"/>
        <v>45913</v>
      </c>
      <c r="M690" s="30">
        <f t="shared" ca="1" si="54"/>
        <v>0.59103009259259265</v>
      </c>
      <c r="N690" s="31"/>
      <c r="O690" s="31">
        <v>100</v>
      </c>
      <c r="P690" s="29">
        <v>95</v>
      </c>
      <c r="Q690" s="29">
        <v>105</v>
      </c>
    </row>
    <row r="691" spans="1:17" x14ac:dyDescent="0.35">
      <c r="A691" s="26">
        <v>40000002587</v>
      </c>
      <c r="B691" s="27">
        <v>1</v>
      </c>
      <c r="C691" s="29" t="str">
        <f>LOOKUP(A691,'QALS - Inspection Lot Record'!$A$2:$A$361,'QALS - Inspection Lot Record'!$O$2:$O$361)</f>
        <v>Aspirin Tablets (500 MG)</v>
      </c>
      <c r="D691" s="31">
        <v>20</v>
      </c>
      <c r="E691" s="29" t="s">
        <v>400</v>
      </c>
      <c r="F691" s="29" t="str">
        <f>LOOKUP(A691,'QALS - Inspection Lot Record'!A:A,'QALS - Inspection Lot Record'!G:G)</f>
        <v>AB406550</v>
      </c>
      <c r="G691" s="59">
        <f ca="1">LOOKUP(A691,'QALS - Inspection Lot Record'!A:A,'QALS - Inspection Lot Record'!E:E)</f>
        <v>45913</v>
      </c>
      <c r="H691" s="34" t="str">
        <f t="shared" si="55"/>
        <v>A</v>
      </c>
      <c r="I691" s="29" t="str">
        <f t="shared" si="51"/>
        <v>AB406550</v>
      </c>
      <c r="J691" s="59">
        <f t="shared" ca="1" si="52"/>
        <v>45913</v>
      </c>
      <c r="K691" s="30">
        <f ca="1">LOOKUP(A691,'QALS - Inspection Lot Record'!A:A,'QALS - Inspection Lot Record'!I:I)</f>
        <v>0.55945601851851856</v>
      </c>
      <c r="L691" s="59">
        <f t="shared" ca="1" si="53"/>
        <v>45913</v>
      </c>
      <c r="M691" s="30">
        <f t="shared" ca="1" si="54"/>
        <v>0.58423611111111118</v>
      </c>
      <c r="N691" s="31"/>
      <c r="O691" s="31">
        <v>7.25</v>
      </c>
      <c r="P691" s="29">
        <v>3.5</v>
      </c>
      <c r="Q691" s="29">
        <v>11</v>
      </c>
    </row>
    <row r="692" spans="1:17" x14ac:dyDescent="0.35">
      <c r="A692" s="26">
        <v>40000002587</v>
      </c>
      <c r="B692" s="31">
        <v>1</v>
      </c>
      <c r="C692" s="29" t="str">
        <f>LOOKUP(A692,'QALS - Inspection Lot Record'!$A$2:$A$361,'QALS - Inspection Lot Record'!$O$2:$O$361)</f>
        <v>Aspirin Tablets (500 MG)</v>
      </c>
      <c r="D692" s="31">
        <v>30</v>
      </c>
      <c r="E692" s="29" t="s">
        <v>401</v>
      </c>
      <c r="F692" s="29" t="str">
        <f>LOOKUP(A692,'QALS - Inspection Lot Record'!A:A,'QALS - Inspection Lot Record'!G:G)</f>
        <v>AB406550</v>
      </c>
      <c r="G692" s="59">
        <f ca="1">LOOKUP(A692,'QALS - Inspection Lot Record'!A:A,'QALS - Inspection Lot Record'!E:E)</f>
        <v>45913</v>
      </c>
      <c r="H692" s="34" t="str">
        <f t="shared" si="55"/>
        <v>A</v>
      </c>
      <c r="I692" s="29" t="str">
        <f t="shared" si="51"/>
        <v>AB406550</v>
      </c>
      <c r="J692" s="59">
        <f t="shared" ca="1" si="52"/>
        <v>45913</v>
      </c>
      <c r="K692" s="30">
        <f ca="1">LOOKUP(A692,'QALS - Inspection Lot Record'!A:A,'QALS - Inspection Lot Record'!I:I)</f>
        <v>0.55945601851851856</v>
      </c>
      <c r="L692" s="59">
        <f t="shared" ca="1" si="53"/>
        <v>45913</v>
      </c>
      <c r="M692" s="30">
        <f t="shared" ca="1" si="54"/>
        <v>0.57908564814814822</v>
      </c>
      <c r="N692" s="11" t="s">
        <v>402</v>
      </c>
      <c r="O692" s="31"/>
      <c r="P692" s="29"/>
      <c r="Q692" s="29"/>
    </row>
    <row r="693" spans="1:17" x14ac:dyDescent="0.35">
      <c r="A693" s="26">
        <v>40000002587</v>
      </c>
      <c r="B693" s="31">
        <v>1</v>
      </c>
      <c r="C693" s="29" t="str">
        <f>LOOKUP(A693,'QALS - Inspection Lot Record'!$A$2:$A$361,'QALS - Inspection Lot Record'!$O$2:$O$361)</f>
        <v>Aspirin Tablets (500 MG)</v>
      </c>
      <c r="D693" s="31">
        <v>40</v>
      </c>
      <c r="E693" s="29" t="s">
        <v>403</v>
      </c>
      <c r="F693" s="29" t="str">
        <f>LOOKUP(A693,'QALS - Inspection Lot Record'!A:A,'QALS - Inspection Lot Record'!G:G)</f>
        <v>AB406550</v>
      </c>
      <c r="G693" s="59">
        <f ca="1">LOOKUP(A693,'QALS - Inspection Lot Record'!A:A,'QALS - Inspection Lot Record'!E:E)</f>
        <v>45913</v>
      </c>
      <c r="H693" s="34" t="str">
        <f t="shared" si="55"/>
        <v>A</v>
      </c>
      <c r="I693" s="29" t="str">
        <f t="shared" si="51"/>
        <v>AB406550</v>
      </c>
      <c r="J693" s="59">
        <f t="shared" ca="1" si="52"/>
        <v>45913</v>
      </c>
      <c r="K693" s="30">
        <f ca="1">LOOKUP(A693,'QALS - Inspection Lot Record'!A:A,'QALS - Inspection Lot Record'!I:I)</f>
        <v>0.55945601851851856</v>
      </c>
      <c r="L693" s="59">
        <f t="shared" ca="1" si="53"/>
        <v>45913</v>
      </c>
      <c r="M693" s="30">
        <f t="shared" ca="1" si="54"/>
        <v>0.58576388888888897</v>
      </c>
      <c r="N693" s="31"/>
      <c r="O693" s="31">
        <v>0</v>
      </c>
      <c r="P693" s="29">
        <v>0</v>
      </c>
      <c r="Q693" s="29">
        <v>2.5</v>
      </c>
    </row>
    <row r="694" spans="1:17" x14ac:dyDescent="0.35">
      <c r="A694" s="26">
        <v>40000002587</v>
      </c>
      <c r="B694" s="31">
        <v>1</v>
      </c>
      <c r="C694" s="29" t="str">
        <f>LOOKUP(A694,'QALS - Inspection Lot Record'!$A$2:$A$361,'QALS - Inspection Lot Record'!$O$2:$O$361)</f>
        <v>Aspirin Tablets (500 MG)</v>
      </c>
      <c r="D694" s="31">
        <v>50</v>
      </c>
      <c r="E694" s="29" t="s">
        <v>404</v>
      </c>
      <c r="F694" s="29" t="str">
        <f>LOOKUP(A694,'QALS - Inspection Lot Record'!A:A,'QALS - Inspection Lot Record'!G:G)</f>
        <v>AB406550</v>
      </c>
      <c r="G694" s="59">
        <f ca="1">LOOKUP(A694,'QALS - Inspection Lot Record'!A:A,'QALS - Inspection Lot Record'!E:E)</f>
        <v>45913</v>
      </c>
      <c r="H694" s="34" t="str">
        <f t="shared" si="55"/>
        <v>A</v>
      </c>
      <c r="I694" s="29" t="str">
        <f t="shared" si="51"/>
        <v>AB406550</v>
      </c>
      <c r="J694" s="59">
        <f t="shared" ca="1" si="52"/>
        <v>45913</v>
      </c>
      <c r="K694" s="30">
        <f ca="1">LOOKUP(A694,'QALS - Inspection Lot Record'!A:A,'QALS - Inspection Lot Record'!I:I)</f>
        <v>0.55945601851851856</v>
      </c>
      <c r="L694" s="59">
        <f t="shared" ca="1" si="53"/>
        <v>45913</v>
      </c>
      <c r="M694" s="30">
        <f t="shared" ca="1" si="54"/>
        <v>0.58240740740740748</v>
      </c>
      <c r="N694" s="31"/>
      <c r="O694" s="31">
        <v>50</v>
      </c>
      <c r="P694" s="29">
        <v>40</v>
      </c>
      <c r="Q694" s="29">
        <v>60</v>
      </c>
    </row>
    <row r="695" spans="1:17" x14ac:dyDescent="0.35">
      <c r="A695" s="26">
        <v>40000002587</v>
      </c>
      <c r="B695" s="31">
        <v>1</v>
      </c>
      <c r="C695" s="29" t="str">
        <f>LOOKUP(A695,'QALS - Inspection Lot Record'!$A$2:$A$361,'QALS - Inspection Lot Record'!$O$2:$O$361)</f>
        <v>Aspirin Tablets (500 MG)</v>
      </c>
      <c r="D695" s="31">
        <v>60</v>
      </c>
      <c r="E695" s="29" t="s">
        <v>405</v>
      </c>
      <c r="F695" s="29" t="str">
        <f>LOOKUP(A695,'QALS - Inspection Lot Record'!A:A,'QALS - Inspection Lot Record'!G:G)</f>
        <v>AB406550</v>
      </c>
      <c r="G695" s="59">
        <f ca="1">LOOKUP(A695,'QALS - Inspection Lot Record'!A:A,'QALS - Inspection Lot Record'!E:E)</f>
        <v>45913</v>
      </c>
      <c r="H695" s="34" t="str">
        <f t="shared" si="55"/>
        <v>A</v>
      </c>
      <c r="I695" s="29" t="str">
        <f t="shared" si="51"/>
        <v>AB406550</v>
      </c>
      <c r="J695" s="59">
        <f t="shared" ca="1" si="52"/>
        <v>45913</v>
      </c>
      <c r="K695" s="30">
        <f ca="1">LOOKUP(A695,'QALS - Inspection Lot Record'!A:A,'QALS - Inspection Lot Record'!I:I)</f>
        <v>0.55945601851851856</v>
      </c>
      <c r="L695" s="59">
        <f t="shared" ca="1" si="53"/>
        <v>45913</v>
      </c>
      <c r="M695" s="30">
        <f t="shared" ca="1" si="54"/>
        <v>0.5936111111111112</v>
      </c>
      <c r="N695" s="31"/>
      <c r="O695" s="31">
        <v>77.5</v>
      </c>
      <c r="P695" s="29">
        <v>70</v>
      </c>
      <c r="Q695" s="29">
        <v>85</v>
      </c>
    </row>
    <row r="696" spans="1:17" x14ac:dyDescent="0.35">
      <c r="A696" s="26">
        <v>40000002587</v>
      </c>
      <c r="B696" s="31">
        <v>1</v>
      </c>
      <c r="C696" s="29" t="str">
        <f>LOOKUP(A696,'QALS - Inspection Lot Record'!$A$2:$A$361,'QALS - Inspection Lot Record'!$O$2:$O$361)</f>
        <v>Aspirin Tablets (500 MG)</v>
      </c>
      <c r="D696" s="31">
        <v>70</v>
      </c>
      <c r="E696" s="29" t="s">
        <v>406</v>
      </c>
      <c r="F696" s="29" t="str">
        <f>LOOKUP(A696,'QALS - Inspection Lot Record'!A:A,'QALS - Inspection Lot Record'!G:G)</f>
        <v>AB406550</v>
      </c>
      <c r="G696" s="59">
        <f ca="1">LOOKUP(A696,'QALS - Inspection Lot Record'!A:A,'QALS - Inspection Lot Record'!E:E)</f>
        <v>45913</v>
      </c>
      <c r="H696" s="34" t="str">
        <f t="shared" si="55"/>
        <v>A</v>
      </c>
      <c r="I696" s="29" t="str">
        <f t="shared" si="51"/>
        <v>AB406550</v>
      </c>
      <c r="J696" s="59">
        <f t="shared" ca="1" si="52"/>
        <v>45913</v>
      </c>
      <c r="K696" s="30">
        <f ca="1">LOOKUP(A696,'QALS - Inspection Lot Record'!A:A,'QALS - Inspection Lot Record'!I:I)</f>
        <v>0.55945601851851856</v>
      </c>
      <c r="L696" s="59">
        <f t="shared" ca="1" si="53"/>
        <v>45913</v>
      </c>
      <c r="M696" s="30">
        <f t="shared" ca="1" si="54"/>
        <v>0.59304398148148152</v>
      </c>
      <c r="N696" s="31"/>
      <c r="O696" s="31">
        <v>85</v>
      </c>
      <c r="P696" s="29">
        <v>80</v>
      </c>
      <c r="Q696" s="29">
        <v>90</v>
      </c>
    </row>
    <row r="697" spans="1:17" x14ac:dyDescent="0.35">
      <c r="A697" s="26">
        <v>40000002587</v>
      </c>
      <c r="B697" s="31">
        <v>1</v>
      </c>
      <c r="C697" s="29" t="str">
        <f>LOOKUP(A697,'QALS - Inspection Lot Record'!$A$2:$A$361,'QALS - Inspection Lot Record'!$O$2:$O$361)</f>
        <v>Aspirin Tablets (500 MG)</v>
      </c>
      <c r="D697" s="31">
        <v>80</v>
      </c>
      <c r="E697" s="29" t="s">
        <v>407</v>
      </c>
      <c r="F697" s="29" t="str">
        <f>LOOKUP(A697,'QALS - Inspection Lot Record'!A:A,'QALS - Inspection Lot Record'!G:G)</f>
        <v>AB406550</v>
      </c>
      <c r="G697" s="59">
        <f ca="1">LOOKUP(A697,'QALS - Inspection Lot Record'!A:A,'QALS - Inspection Lot Record'!E:E)</f>
        <v>45913</v>
      </c>
      <c r="H697" s="34" t="str">
        <f t="shared" si="55"/>
        <v>A</v>
      </c>
      <c r="I697" s="29" t="str">
        <f t="shared" si="51"/>
        <v>AB406550</v>
      </c>
      <c r="J697" s="59">
        <f t="shared" ca="1" si="52"/>
        <v>45913</v>
      </c>
      <c r="K697" s="30">
        <f ca="1">LOOKUP(A697,'QALS - Inspection Lot Record'!A:A,'QALS - Inspection Lot Record'!I:I)</f>
        <v>0.55945601851851856</v>
      </c>
      <c r="L697" s="59">
        <f t="shared" ca="1" si="53"/>
        <v>45913</v>
      </c>
      <c r="M697" s="30">
        <f t="shared" ca="1" si="54"/>
        <v>0.58059027777777783</v>
      </c>
      <c r="N697" s="31"/>
      <c r="O697" s="31">
        <v>25.5</v>
      </c>
      <c r="P697" s="29">
        <v>23</v>
      </c>
      <c r="Q697" s="29">
        <v>28</v>
      </c>
    </row>
    <row r="698" spans="1:17" x14ac:dyDescent="0.35">
      <c r="A698" s="26">
        <v>40000002588</v>
      </c>
      <c r="B698" s="27">
        <v>1</v>
      </c>
      <c r="C698" s="29" t="str">
        <f>LOOKUP(A698,'QALS - Inspection Lot Record'!$A$2:$A$361,'QALS - Inspection Lot Record'!$O$2:$O$361)</f>
        <v>Metformin Tablets (500 MG)</v>
      </c>
      <c r="D698" s="27">
        <v>10</v>
      </c>
      <c r="E698" s="26" t="s">
        <v>399</v>
      </c>
      <c r="F698" s="29" t="str">
        <f>LOOKUP(A698,'QALS - Inspection Lot Record'!A:A,'QALS - Inspection Lot Record'!G:G)</f>
        <v>YA284176</v>
      </c>
      <c r="G698" s="59">
        <f ca="1">LOOKUP(A698,'QALS - Inspection Lot Record'!A:A,'QALS - Inspection Lot Record'!E:E)</f>
        <v>45913</v>
      </c>
      <c r="H698" s="34" t="str">
        <f t="shared" si="55"/>
        <v>A</v>
      </c>
      <c r="I698" s="29" t="str">
        <f t="shared" si="51"/>
        <v>YA284176</v>
      </c>
      <c r="J698" s="59">
        <f t="shared" ca="1" si="52"/>
        <v>45913</v>
      </c>
      <c r="K698" s="30">
        <f ca="1">LOOKUP(A698,'QALS - Inspection Lot Record'!A:A,'QALS - Inspection Lot Record'!I:I)</f>
        <v>0.21681712962962962</v>
      </c>
      <c r="L698" s="59">
        <f t="shared" ca="1" si="53"/>
        <v>45913</v>
      </c>
      <c r="M698" s="30">
        <f t="shared" ca="1" si="54"/>
        <v>0.24831018518518519</v>
      </c>
      <c r="N698" s="31"/>
      <c r="O698" s="31">
        <v>100</v>
      </c>
      <c r="P698" s="29">
        <v>95</v>
      </c>
      <c r="Q698" s="29">
        <v>105</v>
      </c>
    </row>
    <row r="699" spans="1:17" x14ac:dyDescent="0.35">
      <c r="A699" s="26">
        <v>40000002588</v>
      </c>
      <c r="B699" s="27">
        <v>1</v>
      </c>
      <c r="C699" s="29" t="str">
        <f>LOOKUP(A699,'QALS - Inspection Lot Record'!$A$2:$A$361,'QALS - Inspection Lot Record'!$O$2:$O$361)</f>
        <v>Metformin Tablets (500 MG)</v>
      </c>
      <c r="D699" s="31">
        <v>20</v>
      </c>
      <c r="E699" s="29" t="s">
        <v>400</v>
      </c>
      <c r="F699" s="29" t="str">
        <f>LOOKUP(A699,'QALS - Inspection Lot Record'!A:A,'QALS - Inspection Lot Record'!G:G)</f>
        <v>YA284176</v>
      </c>
      <c r="G699" s="59">
        <f ca="1">LOOKUP(A699,'QALS - Inspection Lot Record'!A:A,'QALS - Inspection Lot Record'!E:E)</f>
        <v>45913</v>
      </c>
      <c r="H699" s="34" t="str">
        <f t="shared" si="55"/>
        <v>A</v>
      </c>
      <c r="I699" s="29" t="str">
        <f t="shared" si="51"/>
        <v>YA284176</v>
      </c>
      <c r="J699" s="59">
        <f t="shared" ca="1" si="52"/>
        <v>45913</v>
      </c>
      <c r="K699" s="30">
        <f ca="1">LOOKUP(A699,'QALS - Inspection Lot Record'!A:A,'QALS - Inspection Lot Record'!I:I)</f>
        <v>0.21681712962962962</v>
      </c>
      <c r="L699" s="59">
        <f t="shared" ca="1" si="53"/>
        <v>45913</v>
      </c>
      <c r="M699" s="30">
        <f t="shared" ca="1" si="54"/>
        <v>0.24121527777777776</v>
      </c>
      <c r="N699" s="31"/>
      <c r="O699" s="31">
        <v>7.25</v>
      </c>
      <c r="P699" s="29">
        <v>3.5</v>
      </c>
      <c r="Q699" s="29">
        <v>11</v>
      </c>
    </row>
    <row r="700" spans="1:17" x14ac:dyDescent="0.35">
      <c r="A700" s="26">
        <v>40000002588</v>
      </c>
      <c r="B700" s="31">
        <v>1</v>
      </c>
      <c r="C700" s="29" t="str">
        <f>LOOKUP(A700,'QALS - Inspection Lot Record'!$A$2:$A$361,'QALS - Inspection Lot Record'!$O$2:$O$361)</f>
        <v>Metformin Tablets (500 MG)</v>
      </c>
      <c r="D700" s="31">
        <v>30</v>
      </c>
      <c r="E700" s="29" t="s">
        <v>401</v>
      </c>
      <c r="F700" s="29" t="str">
        <f>LOOKUP(A700,'QALS - Inspection Lot Record'!A:A,'QALS - Inspection Lot Record'!G:G)</f>
        <v>YA284176</v>
      </c>
      <c r="G700" s="59">
        <f ca="1">LOOKUP(A700,'QALS - Inspection Lot Record'!A:A,'QALS - Inspection Lot Record'!E:E)</f>
        <v>45913</v>
      </c>
      <c r="H700" s="34" t="str">
        <f t="shared" si="55"/>
        <v>A</v>
      </c>
      <c r="I700" s="29" t="str">
        <f t="shared" si="51"/>
        <v>YA284176</v>
      </c>
      <c r="J700" s="59">
        <f t="shared" ca="1" si="52"/>
        <v>45913</v>
      </c>
      <c r="K700" s="30">
        <f ca="1">LOOKUP(A700,'QALS - Inspection Lot Record'!A:A,'QALS - Inspection Lot Record'!I:I)</f>
        <v>0.21681712962962962</v>
      </c>
      <c r="L700" s="59">
        <f t="shared" ca="1" si="53"/>
        <v>45913</v>
      </c>
      <c r="M700" s="30">
        <f t="shared" ca="1" si="54"/>
        <v>0.24508101851851852</v>
      </c>
      <c r="N700" s="11" t="s">
        <v>402</v>
      </c>
      <c r="O700" s="31"/>
      <c r="P700" s="29"/>
      <c r="Q700" s="29"/>
    </row>
    <row r="701" spans="1:17" x14ac:dyDescent="0.35">
      <c r="A701" s="26">
        <v>40000002588</v>
      </c>
      <c r="B701" s="31">
        <v>1</v>
      </c>
      <c r="C701" s="29" t="str">
        <f>LOOKUP(A701,'QALS - Inspection Lot Record'!$A$2:$A$361,'QALS - Inspection Lot Record'!$O$2:$O$361)</f>
        <v>Metformin Tablets (500 MG)</v>
      </c>
      <c r="D701" s="31">
        <v>40</v>
      </c>
      <c r="E701" s="29" t="s">
        <v>403</v>
      </c>
      <c r="F701" s="29" t="str">
        <f>LOOKUP(A701,'QALS - Inspection Lot Record'!A:A,'QALS - Inspection Lot Record'!G:G)</f>
        <v>YA284176</v>
      </c>
      <c r="G701" s="59">
        <f ca="1">LOOKUP(A701,'QALS - Inspection Lot Record'!A:A,'QALS - Inspection Lot Record'!E:E)</f>
        <v>45913</v>
      </c>
      <c r="H701" s="34" t="str">
        <f t="shared" si="55"/>
        <v>A</v>
      </c>
      <c r="I701" s="29" t="str">
        <f t="shared" si="51"/>
        <v>YA284176</v>
      </c>
      <c r="J701" s="59">
        <f t="shared" ca="1" si="52"/>
        <v>45913</v>
      </c>
      <c r="K701" s="30">
        <f ca="1">LOOKUP(A701,'QALS - Inspection Lot Record'!A:A,'QALS - Inspection Lot Record'!I:I)</f>
        <v>0.21681712962962962</v>
      </c>
      <c r="L701" s="59">
        <f t="shared" ca="1" si="53"/>
        <v>45913</v>
      </c>
      <c r="M701" s="30">
        <f t="shared" ca="1" si="54"/>
        <v>0.24979166666666666</v>
      </c>
      <c r="N701" s="31"/>
      <c r="O701" s="31">
        <v>0</v>
      </c>
      <c r="P701" s="29">
        <v>0</v>
      </c>
      <c r="Q701" s="29">
        <v>2</v>
      </c>
    </row>
    <row r="702" spans="1:17" x14ac:dyDescent="0.35">
      <c r="A702" s="26">
        <v>40000002588</v>
      </c>
      <c r="B702" s="31">
        <v>1</v>
      </c>
      <c r="C702" s="29" t="str">
        <f>LOOKUP(A702,'QALS - Inspection Lot Record'!$A$2:$A$361,'QALS - Inspection Lot Record'!$O$2:$O$361)</f>
        <v>Metformin Tablets (500 MG)</v>
      </c>
      <c r="D702" s="31">
        <v>50</v>
      </c>
      <c r="E702" s="29" t="s">
        <v>404</v>
      </c>
      <c r="F702" s="29" t="str">
        <f>LOOKUP(A702,'QALS - Inspection Lot Record'!A:A,'QALS - Inspection Lot Record'!G:G)</f>
        <v>YA284176</v>
      </c>
      <c r="G702" s="59">
        <f ca="1">LOOKUP(A702,'QALS - Inspection Lot Record'!A:A,'QALS - Inspection Lot Record'!E:E)</f>
        <v>45913</v>
      </c>
      <c r="H702" s="34" t="str">
        <f t="shared" si="55"/>
        <v>A</v>
      </c>
      <c r="I702" s="29" t="str">
        <f t="shared" si="51"/>
        <v>YA284176</v>
      </c>
      <c r="J702" s="59">
        <f t="shared" ca="1" si="52"/>
        <v>45913</v>
      </c>
      <c r="K702" s="30">
        <f ca="1">LOOKUP(A702,'QALS - Inspection Lot Record'!A:A,'QALS - Inspection Lot Record'!I:I)</f>
        <v>0.21681712962962962</v>
      </c>
      <c r="L702" s="59">
        <f t="shared" ca="1" si="53"/>
        <v>45913</v>
      </c>
      <c r="M702" s="30">
        <f t="shared" ca="1" si="54"/>
        <v>0.23811342592592591</v>
      </c>
      <c r="N702" s="31"/>
      <c r="O702" s="31">
        <v>50</v>
      </c>
      <c r="P702" s="29">
        <v>40</v>
      </c>
      <c r="Q702" s="29">
        <v>60</v>
      </c>
    </row>
    <row r="703" spans="1:17" x14ac:dyDescent="0.35">
      <c r="A703" s="26">
        <v>40000002588</v>
      </c>
      <c r="B703" s="31">
        <v>1</v>
      </c>
      <c r="C703" s="29" t="str">
        <f>LOOKUP(A703,'QALS - Inspection Lot Record'!$A$2:$A$361,'QALS - Inspection Lot Record'!$O$2:$O$361)</f>
        <v>Metformin Tablets (500 MG)</v>
      </c>
      <c r="D703" s="31">
        <v>60</v>
      </c>
      <c r="E703" s="29" t="s">
        <v>405</v>
      </c>
      <c r="F703" s="29" t="str">
        <f>LOOKUP(A703,'QALS - Inspection Lot Record'!A:A,'QALS - Inspection Lot Record'!G:G)</f>
        <v>YA284176</v>
      </c>
      <c r="G703" s="59">
        <f ca="1">LOOKUP(A703,'QALS - Inspection Lot Record'!A:A,'QALS - Inspection Lot Record'!E:E)</f>
        <v>45913</v>
      </c>
      <c r="H703" s="34" t="str">
        <f t="shared" si="55"/>
        <v>A</v>
      </c>
      <c r="I703" s="29" t="str">
        <f t="shared" si="51"/>
        <v>YA284176</v>
      </c>
      <c r="J703" s="59">
        <f t="shared" ca="1" si="52"/>
        <v>45913</v>
      </c>
      <c r="K703" s="30">
        <f ca="1">LOOKUP(A703,'QALS - Inspection Lot Record'!A:A,'QALS - Inspection Lot Record'!I:I)</f>
        <v>0.21681712962962962</v>
      </c>
      <c r="L703" s="59">
        <f t="shared" ca="1" si="53"/>
        <v>45913</v>
      </c>
      <c r="M703" s="30">
        <f t="shared" ca="1" si="54"/>
        <v>0.24303240740740739</v>
      </c>
      <c r="N703" s="31"/>
      <c r="O703" s="31">
        <v>77.5</v>
      </c>
      <c r="P703" s="29">
        <v>70</v>
      </c>
      <c r="Q703" s="29">
        <v>85</v>
      </c>
    </row>
    <row r="704" spans="1:17" x14ac:dyDescent="0.35">
      <c r="A704" s="26">
        <v>40000002588</v>
      </c>
      <c r="B704" s="31">
        <v>1</v>
      </c>
      <c r="C704" s="29" t="str">
        <f>LOOKUP(A704,'QALS - Inspection Lot Record'!$A$2:$A$361,'QALS - Inspection Lot Record'!$O$2:$O$361)</f>
        <v>Metformin Tablets (500 MG)</v>
      </c>
      <c r="D704" s="31">
        <v>70</v>
      </c>
      <c r="E704" s="29" t="s">
        <v>406</v>
      </c>
      <c r="F704" s="29" t="str">
        <f>LOOKUP(A704,'QALS - Inspection Lot Record'!A:A,'QALS - Inspection Lot Record'!G:G)</f>
        <v>YA284176</v>
      </c>
      <c r="G704" s="59">
        <f ca="1">LOOKUP(A704,'QALS - Inspection Lot Record'!A:A,'QALS - Inspection Lot Record'!E:E)</f>
        <v>45913</v>
      </c>
      <c r="H704" s="34" t="str">
        <f t="shared" si="55"/>
        <v>A</v>
      </c>
      <c r="I704" s="29" t="str">
        <f t="shared" si="51"/>
        <v>YA284176</v>
      </c>
      <c r="J704" s="59">
        <f t="shared" ca="1" si="52"/>
        <v>45913</v>
      </c>
      <c r="K704" s="30">
        <f ca="1">LOOKUP(A704,'QALS - Inspection Lot Record'!A:A,'QALS - Inspection Lot Record'!I:I)</f>
        <v>0.21681712962962962</v>
      </c>
      <c r="L704" s="59">
        <f t="shared" ca="1" si="53"/>
        <v>45913</v>
      </c>
      <c r="M704" s="30">
        <f t="shared" ca="1" si="54"/>
        <v>0.24214120370370371</v>
      </c>
      <c r="N704" s="31"/>
      <c r="O704" s="31">
        <v>85</v>
      </c>
      <c r="P704" s="29">
        <v>80</v>
      </c>
      <c r="Q704" s="29">
        <v>90</v>
      </c>
    </row>
    <row r="705" spans="1:17" x14ac:dyDescent="0.35">
      <c r="A705" s="26">
        <v>40000002588</v>
      </c>
      <c r="B705" s="31">
        <v>1</v>
      </c>
      <c r="C705" s="29" t="str">
        <f>LOOKUP(A705,'QALS - Inspection Lot Record'!$A$2:$A$361,'QALS - Inspection Lot Record'!$O$2:$O$361)</f>
        <v>Metformin Tablets (500 MG)</v>
      </c>
      <c r="D705" s="31">
        <v>80</v>
      </c>
      <c r="E705" s="29" t="s">
        <v>407</v>
      </c>
      <c r="F705" s="29" t="str">
        <f>LOOKUP(A705,'QALS - Inspection Lot Record'!A:A,'QALS - Inspection Lot Record'!G:G)</f>
        <v>YA284176</v>
      </c>
      <c r="G705" s="59">
        <f ca="1">LOOKUP(A705,'QALS - Inspection Lot Record'!A:A,'QALS - Inspection Lot Record'!E:E)</f>
        <v>45913</v>
      </c>
      <c r="H705" s="34" t="str">
        <f t="shared" si="55"/>
        <v>A</v>
      </c>
      <c r="I705" s="29" t="str">
        <f t="shared" si="51"/>
        <v>YA284176</v>
      </c>
      <c r="J705" s="59">
        <f t="shared" ca="1" si="52"/>
        <v>45913</v>
      </c>
      <c r="K705" s="30">
        <f ca="1">LOOKUP(A705,'QALS - Inspection Lot Record'!A:A,'QALS - Inspection Lot Record'!I:I)</f>
        <v>0.21681712962962962</v>
      </c>
      <c r="L705" s="59">
        <f t="shared" ca="1" si="53"/>
        <v>45913</v>
      </c>
      <c r="M705" s="30">
        <f t="shared" ca="1" si="54"/>
        <v>0.24812499999999998</v>
      </c>
      <c r="N705" s="31"/>
      <c r="O705" s="31">
        <v>25.5</v>
      </c>
      <c r="P705" s="29">
        <v>23</v>
      </c>
      <c r="Q705" s="29">
        <v>28</v>
      </c>
    </row>
    <row r="706" spans="1:17" x14ac:dyDescent="0.35">
      <c r="A706" s="26">
        <v>40000002589</v>
      </c>
      <c r="B706" s="27">
        <v>1</v>
      </c>
      <c r="C706" s="29" t="str">
        <f>LOOKUP(A706,'QALS - Inspection Lot Record'!$A$2:$A$361,'QALS - Inspection Lot Record'!$O$2:$O$361)</f>
        <v>Aspirin Tablets (500 MG)</v>
      </c>
      <c r="D706" s="27">
        <v>10</v>
      </c>
      <c r="E706" s="26" t="s">
        <v>399</v>
      </c>
      <c r="F706" s="29" t="str">
        <f>LOOKUP(A706,'QALS - Inspection Lot Record'!A:A,'QALS - Inspection Lot Record'!G:G)</f>
        <v>TP397880</v>
      </c>
      <c r="G706" s="59">
        <f ca="1">LOOKUP(A706,'QALS - Inspection Lot Record'!A:A,'QALS - Inspection Lot Record'!E:E)</f>
        <v>45914</v>
      </c>
      <c r="H706" s="34" t="str">
        <f t="shared" si="55"/>
        <v>A</v>
      </c>
      <c r="I706" s="29" t="str">
        <f t="shared" ref="I706:I769" si="56">F706</f>
        <v>TP397880</v>
      </c>
      <c r="J706" s="59">
        <f t="shared" ref="J706:J769" ca="1" si="57">G706</f>
        <v>45914</v>
      </c>
      <c r="K706" s="30">
        <f ca="1">LOOKUP(A706,'QALS - Inspection Lot Record'!A:A,'QALS - Inspection Lot Record'!I:I)</f>
        <v>0.8784953703703704</v>
      </c>
      <c r="L706" s="59">
        <f t="shared" ref="L706:L769" ca="1" si="58">G706</f>
        <v>45914</v>
      </c>
      <c r="M706" s="30">
        <f t="shared" ref="M706:M769" ca="1" si="59">K706+TIME(0,RANDBETWEEN(25,50),RANDBETWEEN(0,59))</f>
        <v>0.90417824074074082</v>
      </c>
      <c r="N706" s="31"/>
      <c r="O706" s="31">
        <v>100</v>
      </c>
      <c r="P706" s="29">
        <v>95</v>
      </c>
      <c r="Q706" s="29">
        <v>105</v>
      </c>
    </row>
    <row r="707" spans="1:17" x14ac:dyDescent="0.35">
      <c r="A707" s="26">
        <v>40000002589</v>
      </c>
      <c r="B707" s="27">
        <v>1</v>
      </c>
      <c r="C707" s="29" t="str">
        <f>LOOKUP(A707,'QALS - Inspection Lot Record'!$A$2:$A$361,'QALS - Inspection Lot Record'!$O$2:$O$361)</f>
        <v>Aspirin Tablets (500 MG)</v>
      </c>
      <c r="D707" s="31">
        <v>20</v>
      </c>
      <c r="E707" s="29" t="s">
        <v>400</v>
      </c>
      <c r="F707" s="29" t="str">
        <f>LOOKUP(A707,'QALS - Inspection Lot Record'!A:A,'QALS - Inspection Lot Record'!G:G)</f>
        <v>TP397880</v>
      </c>
      <c r="G707" s="59">
        <f ca="1">LOOKUP(A707,'QALS - Inspection Lot Record'!A:A,'QALS - Inspection Lot Record'!E:E)</f>
        <v>45914</v>
      </c>
      <c r="H707" s="34" t="str">
        <f t="shared" si="55"/>
        <v>A</v>
      </c>
      <c r="I707" s="29" t="str">
        <f t="shared" si="56"/>
        <v>TP397880</v>
      </c>
      <c r="J707" s="59">
        <f t="shared" ca="1" si="57"/>
        <v>45914</v>
      </c>
      <c r="K707" s="30">
        <f ca="1">LOOKUP(A707,'QALS - Inspection Lot Record'!A:A,'QALS - Inspection Lot Record'!I:I)</f>
        <v>0.8784953703703704</v>
      </c>
      <c r="L707" s="59">
        <f t="shared" ca="1" si="58"/>
        <v>45914</v>
      </c>
      <c r="M707" s="30">
        <f t="shared" ca="1" si="59"/>
        <v>0.90446759259259257</v>
      </c>
      <c r="N707" s="31"/>
      <c r="O707" s="31">
        <v>7.25</v>
      </c>
      <c r="P707" s="29">
        <v>3.5</v>
      </c>
      <c r="Q707" s="29">
        <v>11</v>
      </c>
    </row>
    <row r="708" spans="1:17" x14ac:dyDescent="0.35">
      <c r="A708" s="26">
        <v>40000002589</v>
      </c>
      <c r="B708" s="31">
        <v>1</v>
      </c>
      <c r="C708" s="29" t="str">
        <f>LOOKUP(A708,'QALS - Inspection Lot Record'!$A$2:$A$361,'QALS - Inspection Lot Record'!$O$2:$O$361)</f>
        <v>Aspirin Tablets (500 MG)</v>
      </c>
      <c r="D708" s="31">
        <v>30</v>
      </c>
      <c r="E708" s="29" t="s">
        <v>401</v>
      </c>
      <c r="F708" s="29" t="str">
        <f>LOOKUP(A708,'QALS - Inspection Lot Record'!A:A,'QALS - Inspection Lot Record'!G:G)</f>
        <v>TP397880</v>
      </c>
      <c r="G708" s="59">
        <f ca="1">LOOKUP(A708,'QALS - Inspection Lot Record'!A:A,'QALS - Inspection Lot Record'!E:E)</f>
        <v>45914</v>
      </c>
      <c r="H708" s="34" t="str">
        <f t="shared" si="55"/>
        <v>A</v>
      </c>
      <c r="I708" s="29" t="str">
        <f t="shared" si="56"/>
        <v>TP397880</v>
      </c>
      <c r="J708" s="59">
        <f t="shared" ca="1" si="57"/>
        <v>45914</v>
      </c>
      <c r="K708" s="30">
        <f ca="1">LOOKUP(A708,'QALS - Inspection Lot Record'!A:A,'QALS - Inspection Lot Record'!I:I)</f>
        <v>0.8784953703703704</v>
      </c>
      <c r="L708" s="59">
        <f t="shared" ca="1" si="58"/>
        <v>45914</v>
      </c>
      <c r="M708" s="30">
        <f t="shared" ca="1" si="59"/>
        <v>0.91285879629629629</v>
      </c>
      <c r="N708" s="11" t="s">
        <v>402</v>
      </c>
      <c r="O708" s="31"/>
      <c r="P708" s="29"/>
      <c r="Q708" s="29"/>
    </row>
    <row r="709" spans="1:17" x14ac:dyDescent="0.35">
      <c r="A709" s="26">
        <v>40000002589</v>
      </c>
      <c r="B709" s="31">
        <v>1</v>
      </c>
      <c r="C709" s="29" t="str">
        <f>LOOKUP(A709,'QALS - Inspection Lot Record'!$A$2:$A$361,'QALS - Inspection Lot Record'!$O$2:$O$361)</f>
        <v>Aspirin Tablets (500 MG)</v>
      </c>
      <c r="D709" s="31">
        <v>40</v>
      </c>
      <c r="E709" s="29" t="s">
        <v>403</v>
      </c>
      <c r="F709" s="29" t="str">
        <f>LOOKUP(A709,'QALS - Inspection Lot Record'!A:A,'QALS - Inspection Lot Record'!G:G)</f>
        <v>TP397880</v>
      </c>
      <c r="G709" s="59">
        <f ca="1">LOOKUP(A709,'QALS - Inspection Lot Record'!A:A,'QALS - Inspection Lot Record'!E:E)</f>
        <v>45914</v>
      </c>
      <c r="H709" s="34" t="str">
        <f t="shared" si="55"/>
        <v>A</v>
      </c>
      <c r="I709" s="29" t="str">
        <f t="shared" si="56"/>
        <v>TP397880</v>
      </c>
      <c r="J709" s="59">
        <f t="shared" ca="1" si="57"/>
        <v>45914</v>
      </c>
      <c r="K709" s="30">
        <f ca="1">LOOKUP(A709,'QALS - Inspection Lot Record'!A:A,'QALS - Inspection Lot Record'!I:I)</f>
        <v>0.8784953703703704</v>
      </c>
      <c r="L709" s="59">
        <f t="shared" ca="1" si="58"/>
        <v>45914</v>
      </c>
      <c r="M709" s="30">
        <f t="shared" ca="1" si="59"/>
        <v>0.9046643518518519</v>
      </c>
      <c r="N709" s="31"/>
      <c r="O709" s="31">
        <v>0</v>
      </c>
      <c r="P709" s="29">
        <v>0</v>
      </c>
      <c r="Q709" s="29">
        <v>2.5</v>
      </c>
    </row>
    <row r="710" spans="1:17" x14ac:dyDescent="0.35">
      <c r="A710" s="26">
        <v>40000002589</v>
      </c>
      <c r="B710" s="31">
        <v>1</v>
      </c>
      <c r="C710" s="29" t="str">
        <f>LOOKUP(A710,'QALS - Inspection Lot Record'!$A$2:$A$361,'QALS - Inspection Lot Record'!$O$2:$O$361)</f>
        <v>Aspirin Tablets (500 MG)</v>
      </c>
      <c r="D710" s="31">
        <v>50</v>
      </c>
      <c r="E710" s="29" t="s">
        <v>404</v>
      </c>
      <c r="F710" s="29" t="str">
        <f>LOOKUP(A710,'QALS - Inspection Lot Record'!A:A,'QALS - Inspection Lot Record'!G:G)</f>
        <v>TP397880</v>
      </c>
      <c r="G710" s="59">
        <f ca="1">LOOKUP(A710,'QALS - Inspection Lot Record'!A:A,'QALS - Inspection Lot Record'!E:E)</f>
        <v>45914</v>
      </c>
      <c r="H710" s="34" t="str">
        <f t="shared" si="55"/>
        <v>A</v>
      </c>
      <c r="I710" s="29" t="str">
        <f t="shared" si="56"/>
        <v>TP397880</v>
      </c>
      <c r="J710" s="59">
        <f t="shared" ca="1" si="57"/>
        <v>45914</v>
      </c>
      <c r="K710" s="30">
        <f ca="1">LOOKUP(A710,'QALS - Inspection Lot Record'!A:A,'QALS - Inspection Lot Record'!I:I)</f>
        <v>0.8784953703703704</v>
      </c>
      <c r="L710" s="59">
        <f t="shared" ca="1" si="58"/>
        <v>45914</v>
      </c>
      <c r="M710" s="30">
        <f t="shared" ca="1" si="59"/>
        <v>0.90143518518518517</v>
      </c>
      <c r="N710" s="31"/>
      <c r="O710" s="31">
        <v>50</v>
      </c>
      <c r="P710" s="29">
        <v>40</v>
      </c>
      <c r="Q710" s="29">
        <v>60</v>
      </c>
    </row>
    <row r="711" spans="1:17" x14ac:dyDescent="0.35">
      <c r="A711" s="26">
        <v>40000002589</v>
      </c>
      <c r="B711" s="31">
        <v>1</v>
      </c>
      <c r="C711" s="29" t="str">
        <f>LOOKUP(A711,'QALS - Inspection Lot Record'!$A$2:$A$361,'QALS - Inspection Lot Record'!$O$2:$O$361)</f>
        <v>Aspirin Tablets (500 MG)</v>
      </c>
      <c r="D711" s="31">
        <v>60</v>
      </c>
      <c r="E711" s="29" t="s">
        <v>405</v>
      </c>
      <c r="F711" s="29" t="str">
        <f>LOOKUP(A711,'QALS - Inspection Lot Record'!A:A,'QALS - Inspection Lot Record'!G:G)</f>
        <v>TP397880</v>
      </c>
      <c r="G711" s="59">
        <f ca="1">LOOKUP(A711,'QALS - Inspection Lot Record'!A:A,'QALS - Inspection Lot Record'!E:E)</f>
        <v>45914</v>
      </c>
      <c r="H711" s="34" t="str">
        <f t="shared" si="55"/>
        <v>A</v>
      </c>
      <c r="I711" s="29" t="str">
        <f t="shared" si="56"/>
        <v>TP397880</v>
      </c>
      <c r="J711" s="59">
        <f t="shared" ca="1" si="57"/>
        <v>45914</v>
      </c>
      <c r="K711" s="30">
        <f ca="1">LOOKUP(A711,'QALS - Inspection Lot Record'!A:A,'QALS - Inspection Lot Record'!I:I)</f>
        <v>0.8784953703703704</v>
      </c>
      <c r="L711" s="59">
        <f t="shared" ca="1" si="58"/>
        <v>45914</v>
      </c>
      <c r="M711" s="30">
        <f t="shared" ca="1" si="59"/>
        <v>0.90418981481481486</v>
      </c>
      <c r="N711" s="31"/>
      <c r="O711" s="31">
        <v>77.5</v>
      </c>
      <c r="P711" s="29">
        <v>70</v>
      </c>
      <c r="Q711" s="29">
        <v>85</v>
      </c>
    </row>
    <row r="712" spans="1:17" x14ac:dyDescent="0.35">
      <c r="A712" s="26">
        <v>40000002589</v>
      </c>
      <c r="B712" s="31">
        <v>1</v>
      </c>
      <c r="C712" s="29" t="str">
        <f>LOOKUP(A712,'QALS - Inspection Lot Record'!$A$2:$A$361,'QALS - Inspection Lot Record'!$O$2:$O$361)</f>
        <v>Aspirin Tablets (500 MG)</v>
      </c>
      <c r="D712" s="31">
        <v>70</v>
      </c>
      <c r="E712" s="29" t="s">
        <v>406</v>
      </c>
      <c r="F712" s="29" t="str">
        <f>LOOKUP(A712,'QALS - Inspection Lot Record'!A:A,'QALS - Inspection Lot Record'!G:G)</f>
        <v>TP397880</v>
      </c>
      <c r="G712" s="59">
        <f ca="1">LOOKUP(A712,'QALS - Inspection Lot Record'!A:A,'QALS - Inspection Lot Record'!E:E)</f>
        <v>45914</v>
      </c>
      <c r="H712" s="34" t="str">
        <f t="shared" si="55"/>
        <v>A</v>
      </c>
      <c r="I712" s="29" t="str">
        <f t="shared" si="56"/>
        <v>TP397880</v>
      </c>
      <c r="J712" s="59">
        <f t="shared" ca="1" si="57"/>
        <v>45914</v>
      </c>
      <c r="K712" s="30">
        <f ca="1">LOOKUP(A712,'QALS - Inspection Lot Record'!A:A,'QALS - Inspection Lot Record'!I:I)</f>
        <v>0.8784953703703704</v>
      </c>
      <c r="L712" s="59">
        <f t="shared" ca="1" si="58"/>
        <v>45914</v>
      </c>
      <c r="M712" s="30">
        <f t="shared" ca="1" si="59"/>
        <v>0.90637731481481487</v>
      </c>
      <c r="N712" s="31"/>
      <c r="O712" s="31">
        <v>85</v>
      </c>
      <c r="P712" s="29">
        <v>80</v>
      </c>
      <c r="Q712" s="29">
        <v>90</v>
      </c>
    </row>
    <row r="713" spans="1:17" x14ac:dyDescent="0.35">
      <c r="A713" s="26">
        <v>40000002589</v>
      </c>
      <c r="B713" s="31">
        <v>1</v>
      </c>
      <c r="C713" s="29" t="str">
        <f>LOOKUP(A713,'QALS - Inspection Lot Record'!$A$2:$A$361,'QALS - Inspection Lot Record'!$O$2:$O$361)</f>
        <v>Aspirin Tablets (500 MG)</v>
      </c>
      <c r="D713" s="31">
        <v>80</v>
      </c>
      <c r="E713" s="29" t="s">
        <v>407</v>
      </c>
      <c r="F713" s="29" t="str">
        <f>LOOKUP(A713,'QALS - Inspection Lot Record'!A:A,'QALS - Inspection Lot Record'!G:G)</f>
        <v>TP397880</v>
      </c>
      <c r="G713" s="59">
        <f ca="1">LOOKUP(A713,'QALS - Inspection Lot Record'!A:A,'QALS - Inspection Lot Record'!E:E)</f>
        <v>45914</v>
      </c>
      <c r="H713" s="34" t="str">
        <f t="shared" si="55"/>
        <v>R</v>
      </c>
      <c r="I713" s="29" t="str">
        <f t="shared" si="56"/>
        <v>TP397880</v>
      </c>
      <c r="J713" s="59">
        <f t="shared" ca="1" si="57"/>
        <v>45914</v>
      </c>
      <c r="K713" s="30">
        <f ca="1">LOOKUP(A713,'QALS - Inspection Lot Record'!A:A,'QALS - Inspection Lot Record'!I:I)</f>
        <v>0.8784953703703704</v>
      </c>
      <c r="L713" s="59">
        <f t="shared" ca="1" si="58"/>
        <v>45914</v>
      </c>
      <c r="M713" s="30">
        <f t="shared" ca="1" si="59"/>
        <v>0.90259259259259261</v>
      </c>
      <c r="N713" s="31"/>
      <c r="O713" s="31">
        <v>21.1</v>
      </c>
      <c r="P713" s="29">
        <v>23</v>
      </c>
      <c r="Q713" s="29">
        <v>28</v>
      </c>
    </row>
    <row r="714" spans="1:17" x14ac:dyDescent="0.35">
      <c r="A714" s="26">
        <v>40000002590</v>
      </c>
      <c r="B714" s="27">
        <v>1</v>
      </c>
      <c r="C714" s="29" t="str">
        <f>LOOKUP(A714,'QALS - Inspection Lot Record'!$A$2:$A$361,'QALS - Inspection Lot Record'!$O$2:$O$361)</f>
        <v>Metformin Tablets (100 MG)</v>
      </c>
      <c r="D714" s="27">
        <v>10</v>
      </c>
      <c r="E714" s="26" t="s">
        <v>399</v>
      </c>
      <c r="F714" s="29" t="str">
        <f>LOOKUP(A714,'QALS - Inspection Lot Record'!A:A,'QALS - Inspection Lot Record'!G:G)</f>
        <v>TG509538</v>
      </c>
      <c r="G714" s="59">
        <f ca="1">LOOKUP(A714,'QALS - Inspection Lot Record'!A:A,'QALS - Inspection Lot Record'!E:E)</f>
        <v>45914</v>
      </c>
      <c r="H714" s="34" t="str">
        <f t="shared" ref="H714:H777" si="60">IF(AND(P714&lt;=O714,O714&lt;=Q714),"A","R")</f>
        <v>A</v>
      </c>
      <c r="I714" s="29" t="str">
        <f t="shared" si="56"/>
        <v>TG509538</v>
      </c>
      <c r="J714" s="59">
        <f t="shared" ca="1" si="57"/>
        <v>45914</v>
      </c>
      <c r="K714" s="30">
        <f ca="1">LOOKUP(A714,'QALS - Inspection Lot Record'!A:A,'QALS - Inspection Lot Record'!I:I)</f>
        <v>8.5844907407407411E-2</v>
      </c>
      <c r="L714" s="59">
        <f t="shared" ca="1" si="58"/>
        <v>45914</v>
      </c>
      <c r="M714" s="30">
        <f t="shared" ca="1" si="59"/>
        <v>0.10601851851851853</v>
      </c>
      <c r="N714" s="31"/>
      <c r="O714" s="31">
        <v>98.5</v>
      </c>
      <c r="P714" s="29">
        <v>95</v>
      </c>
      <c r="Q714" s="29">
        <v>102</v>
      </c>
    </row>
    <row r="715" spans="1:17" x14ac:dyDescent="0.35">
      <c r="A715" s="26">
        <v>40000002590</v>
      </c>
      <c r="B715" s="27">
        <v>1</v>
      </c>
      <c r="C715" s="29" t="str">
        <f>LOOKUP(A715,'QALS - Inspection Lot Record'!$A$2:$A$361,'QALS - Inspection Lot Record'!$O$2:$O$361)</f>
        <v>Metformin Tablets (100 MG)</v>
      </c>
      <c r="D715" s="31">
        <v>20</v>
      </c>
      <c r="E715" s="29" t="s">
        <v>400</v>
      </c>
      <c r="F715" s="29" t="str">
        <f>LOOKUP(A715,'QALS - Inspection Lot Record'!A:A,'QALS - Inspection Lot Record'!G:G)</f>
        <v>TG509538</v>
      </c>
      <c r="G715" s="59">
        <f ca="1">LOOKUP(A715,'QALS - Inspection Lot Record'!A:A,'QALS - Inspection Lot Record'!E:E)</f>
        <v>45914</v>
      </c>
      <c r="H715" s="34" t="str">
        <f t="shared" si="60"/>
        <v>R</v>
      </c>
      <c r="I715" s="29" t="str">
        <f t="shared" si="56"/>
        <v>TG509538</v>
      </c>
      <c r="J715" s="59">
        <f t="shared" ca="1" si="57"/>
        <v>45914</v>
      </c>
      <c r="K715" s="30">
        <f ca="1">LOOKUP(A715,'QALS - Inspection Lot Record'!A:A,'QALS - Inspection Lot Record'!I:I)</f>
        <v>8.5844907407407411E-2</v>
      </c>
      <c r="L715" s="59">
        <f t="shared" ca="1" si="58"/>
        <v>45914</v>
      </c>
      <c r="M715" s="30">
        <f t="shared" ca="1" si="59"/>
        <v>0.11241898148148148</v>
      </c>
      <c r="N715" s="31"/>
      <c r="O715" s="31">
        <v>1.9</v>
      </c>
      <c r="P715" s="29">
        <v>3.5</v>
      </c>
      <c r="Q715" s="29">
        <v>11</v>
      </c>
    </row>
    <row r="716" spans="1:17" x14ac:dyDescent="0.35">
      <c r="A716" s="26">
        <v>40000002590</v>
      </c>
      <c r="B716" s="31">
        <v>1</v>
      </c>
      <c r="C716" s="29" t="str">
        <f>LOOKUP(A716,'QALS - Inspection Lot Record'!$A$2:$A$361,'QALS - Inspection Lot Record'!$O$2:$O$361)</f>
        <v>Metformin Tablets (100 MG)</v>
      </c>
      <c r="D716" s="31">
        <v>30</v>
      </c>
      <c r="E716" s="29" t="s">
        <v>401</v>
      </c>
      <c r="F716" s="29" t="str">
        <f>LOOKUP(A716,'QALS - Inspection Lot Record'!A:A,'QALS - Inspection Lot Record'!G:G)</f>
        <v>TG509538</v>
      </c>
      <c r="G716" s="59">
        <f ca="1">LOOKUP(A716,'QALS - Inspection Lot Record'!A:A,'QALS - Inspection Lot Record'!E:E)</f>
        <v>45914</v>
      </c>
      <c r="H716" s="34" t="str">
        <f t="shared" si="60"/>
        <v>A</v>
      </c>
      <c r="I716" s="29" t="str">
        <f t="shared" si="56"/>
        <v>TG509538</v>
      </c>
      <c r="J716" s="59">
        <f t="shared" ca="1" si="57"/>
        <v>45914</v>
      </c>
      <c r="K716" s="30">
        <f ca="1">LOOKUP(A716,'QALS - Inspection Lot Record'!A:A,'QALS - Inspection Lot Record'!I:I)</f>
        <v>8.5844907407407411E-2</v>
      </c>
      <c r="L716" s="59">
        <f t="shared" ca="1" si="58"/>
        <v>45914</v>
      </c>
      <c r="M716" s="30">
        <f t="shared" ca="1" si="59"/>
        <v>0.10953703703703704</v>
      </c>
      <c r="N716" s="11" t="s">
        <v>402</v>
      </c>
      <c r="O716" s="31"/>
      <c r="P716" s="29"/>
      <c r="Q716" s="29"/>
    </row>
    <row r="717" spans="1:17" x14ac:dyDescent="0.35">
      <c r="A717" s="26">
        <v>40000002590</v>
      </c>
      <c r="B717" s="31">
        <v>1</v>
      </c>
      <c r="C717" s="29" t="str">
        <f>LOOKUP(A717,'QALS - Inspection Lot Record'!$A$2:$A$361,'QALS - Inspection Lot Record'!$O$2:$O$361)</f>
        <v>Metformin Tablets (100 MG)</v>
      </c>
      <c r="D717" s="31">
        <v>40</v>
      </c>
      <c r="E717" s="29" t="s">
        <v>403</v>
      </c>
      <c r="F717" s="29" t="str">
        <f>LOOKUP(A717,'QALS - Inspection Lot Record'!A:A,'QALS - Inspection Lot Record'!G:G)</f>
        <v>TG509538</v>
      </c>
      <c r="G717" s="59">
        <f ca="1">LOOKUP(A717,'QALS - Inspection Lot Record'!A:A,'QALS - Inspection Lot Record'!E:E)</f>
        <v>45914</v>
      </c>
      <c r="H717" s="34" t="str">
        <f t="shared" si="60"/>
        <v>A</v>
      </c>
      <c r="I717" s="29" t="str">
        <f t="shared" si="56"/>
        <v>TG509538</v>
      </c>
      <c r="J717" s="59">
        <f t="shared" ca="1" si="57"/>
        <v>45914</v>
      </c>
      <c r="K717" s="30">
        <f ca="1">LOOKUP(A717,'QALS - Inspection Lot Record'!A:A,'QALS - Inspection Lot Record'!I:I)</f>
        <v>8.5844907407407411E-2</v>
      </c>
      <c r="L717" s="59">
        <f t="shared" ca="1" si="58"/>
        <v>45914</v>
      </c>
      <c r="M717" s="30">
        <f t="shared" ca="1" si="59"/>
        <v>0.11152777777777778</v>
      </c>
      <c r="N717" s="31"/>
      <c r="O717" s="31">
        <v>0</v>
      </c>
      <c r="P717" s="29">
        <v>0</v>
      </c>
      <c r="Q717" s="29">
        <v>1</v>
      </c>
    </row>
    <row r="718" spans="1:17" x14ac:dyDescent="0.35">
      <c r="A718" s="26">
        <v>40000002590</v>
      </c>
      <c r="B718" s="31">
        <v>1</v>
      </c>
      <c r="C718" s="29" t="str">
        <f>LOOKUP(A718,'QALS - Inspection Lot Record'!$A$2:$A$361,'QALS - Inspection Lot Record'!$O$2:$O$361)</f>
        <v>Metformin Tablets (100 MG)</v>
      </c>
      <c r="D718" s="31">
        <v>50</v>
      </c>
      <c r="E718" s="29" t="s">
        <v>404</v>
      </c>
      <c r="F718" s="29" t="str">
        <f>LOOKUP(A718,'QALS - Inspection Lot Record'!A:A,'QALS - Inspection Lot Record'!G:G)</f>
        <v>TG509538</v>
      </c>
      <c r="G718" s="59">
        <f ca="1">LOOKUP(A718,'QALS - Inspection Lot Record'!A:A,'QALS - Inspection Lot Record'!E:E)</f>
        <v>45914</v>
      </c>
      <c r="H718" s="34" t="str">
        <f t="shared" si="60"/>
        <v>A</v>
      </c>
      <c r="I718" s="29" t="str">
        <f t="shared" si="56"/>
        <v>TG509538</v>
      </c>
      <c r="J718" s="59">
        <f t="shared" ca="1" si="57"/>
        <v>45914</v>
      </c>
      <c r="K718" s="30">
        <f ca="1">LOOKUP(A718,'QALS - Inspection Lot Record'!A:A,'QALS - Inspection Lot Record'!I:I)</f>
        <v>8.5844907407407411E-2</v>
      </c>
      <c r="L718" s="59">
        <f t="shared" ca="1" si="58"/>
        <v>45914</v>
      </c>
      <c r="M718" s="30">
        <f t="shared" ca="1" si="59"/>
        <v>0.10599537037037038</v>
      </c>
      <c r="N718" s="31"/>
      <c r="O718" s="31">
        <v>50</v>
      </c>
      <c r="P718" s="29">
        <v>40</v>
      </c>
      <c r="Q718" s="29">
        <v>60</v>
      </c>
    </row>
    <row r="719" spans="1:17" x14ac:dyDescent="0.35">
      <c r="A719" s="26">
        <v>40000002590</v>
      </c>
      <c r="B719" s="31">
        <v>1</v>
      </c>
      <c r="C719" s="29" t="str">
        <f>LOOKUP(A719,'QALS - Inspection Lot Record'!$A$2:$A$361,'QALS - Inspection Lot Record'!$O$2:$O$361)</f>
        <v>Metformin Tablets (100 MG)</v>
      </c>
      <c r="D719" s="31">
        <v>60</v>
      </c>
      <c r="E719" s="29" t="s">
        <v>405</v>
      </c>
      <c r="F719" s="29" t="str">
        <f>LOOKUP(A719,'QALS - Inspection Lot Record'!A:A,'QALS - Inspection Lot Record'!G:G)</f>
        <v>TG509538</v>
      </c>
      <c r="G719" s="59">
        <f ca="1">LOOKUP(A719,'QALS - Inspection Lot Record'!A:A,'QALS - Inspection Lot Record'!E:E)</f>
        <v>45914</v>
      </c>
      <c r="H719" s="34" t="str">
        <f t="shared" si="60"/>
        <v>A</v>
      </c>
      <c r="I719" s="29" t="str">
        <f t="shared" si="56"/>
        <v>TG509538</v>
      </c>
      <c r="J719" s="59">
        <f t="shared" ca="1" si="57"/>
        <v>45914</v>
      </c>
      <c r="K719" s="30">
        <f ca="1">LOOKUP(A719,'QALS - Inspection Lot Record'!A:A,'QALS - Inspection Lot Record'!I:I)</f>
        <v>8.5844907407407411E-2</v>
      </c>
      <c r="L719" s="59">
        <f t="shared" ca="1" si="58"/>
        <v>45914</v>
      </c>
      <c r="M719" s="30">
        <f t="shared" ca="1" si="59"/>
        <v>0.11747685185185186</v>
      </c>
      <c r="N719" s="31"/>
      <c r="O719" s="31">
        <v>77.5</v>
      </c>
      <c r="P719" s="29">
        <v>70</v>
      </c>
      <c r="Q719" s="29">
        <v>85</v>
      </c>
    </row>
    <row r="720" spans="1:17" x14ac:dyDescent="0.35">
      <c r="A720" s="26">
        <v>40000002590</v>
      </c>
      <c r="B720" s="31">
        <v>1</v>
      </c>
      <c r="C720" s="29" t="str">
        <f>LOOKUP(A720,'QALS - Inspection Lot Record'!$A$2:$A$361,'QALS - Inspection Lot Record'!$O$2:$O$361)</f>
        <v>Metformin Tablets (100 MG)</v>
      </c>
      <c r="D720" s="31">
        <v>70</v>
      </c>
      <c r="E720" s="29" t="s">
        <v>406</v>
      </c>
      <c r="F720" s="29" t="str">
        <f>LOOKUP(A720,'QALS - Inspection Lot Record'!A:A,'QALS - Inspection Lot Record'!G:G)</f>
        <v>TG509538</v>
      </c>
      <c r="G720" s="59">
        <f ca="1">LOOKUP(A720,'QALS - Inspection Lot Record'!A:A,'QALS - Inspection Lot Record'!E:E)</f>
        <v>45914</v>
      </c>
      <c r="H720" s="34" t="str">
        <f t="shared" si="60"/>
        <v>R</v>
      </c>
      <c r="I720" s="29" t="str">
        <f t="shared" si="56"/>
        <v>TG509538</v>
      </c>
      <c r="J720" s="59">
        <f t="shared" ca="1" si="57"/>
        <v>45914</v>
      </c>
      <c r="K720" s="30">
        <f ca="1">LOOKUP(A720,'QALS - Inspection Lot Record'!A:A,'QALS - Inspection Lot Record'!I:I)</f>
        <v>8.5844907407407411E-2</v>
      </c>
      <c r="L720" s="59">
        <f t="shared" ca="1" si="58"/>
        <v>45914</v>
      </c>
      <c r="M720" s="30">
        <f t="shared" ca="1" si="59"/>
        <v>0.12114583333333334</v>
      </c>
      <c r="N720" s="31"/>
      <c r="O720" s="31">
        <v>78.8</v>
      </c>
      <c r="P720" s="29">
        <v>80</v>
      </c>
      <c r="Q720" s="29">
        <v>90</v>
      </c>
    </row>
    <row r="721" spans="1:17" x14ac:dyDescent="0.35">
      <c r="A721" s="26">
        <v>40000002590</v>
      </c>
      <c r="B721" s="31">
        <v>1</v>
      </c>
      <c r="C721" s="29" t="str">
        <f>LOOKUP(A721,'QALS - Inspection Lot Record'!$A$2:$A$361,'QALS - Inspection Lot Record'!$O$2:$O$361)</f>
        <v>Metformin Tablets (100 MG)</v>
      </c>
      <c r="D721" s="31">
        <v>80</v>
      </c>
      <c r="E721" s="29" t="s">
        <v>407</v>
      </c>
      <c r="F721" s="29" t="str">
        <f>LOOKUP(A721,'QALS - Inspection Lot Record'!A:A,'QALS - Inspection Lot Record'!G:G)</f>
        <v>TG509538</v>
      </c>
      <c r="G721" s="59">
        <f ca="1">LOOKUP(A721,'QALS - Inspection Lot Record'!A:A,'QALS - Inspection Lot Record'!E:E)</f>
        <v>45914</v>
      </c>
      <c r="H721" s="34" t="str">
        <f t="shared" si="60"/>
        <v>A</v>
      </c>
      <c r="I721" s="29" t="str">
        <f t="shared" si="56"/>
        <v>TG509538</v>
      </c>
      <c r="J721" s="59">
        <f t="shared" ca="1" si="57"/>
        <v>45914</v>
      </c>
      <c r="K721" s="30">
        <f ca="1">LOOKUP(A721,'QALS - Inspection Lot Record'!A:A,'QALS - Inspection Lot Record'!I:I)</f>
        <v>8.5844907407407411E-2</v>
      </c>
      <c r="L721" s="59">
        <f t="shared" ca="1" si="58"/>
        <v>45914</v>
      </c>
      <c r="M721" s="30">
        <f t="shared" ca="1" si="59"/>
        <v>0.11680555555555555</v>
      </c>
      <c r="N721" s="31"/>
      <c r="O721" s="31">
        <v>24</v>
      </c>
      <c r="P721" s="29">
        <v>23</v>
      </c>
      <c r="Q721" s="29">
        <v>25</v>
      </c>
    </row>
    <row r="722" spans="1:17" x14ac:dyDescent="0.35">
      <c r="A722" s="26">
        <v>40000002591</v>
      </c>
      <c r="B722" s="27">
        <v>1</v>
      </c>
      <c r="C722" s="29" t="str">
        <f>LOOKUP(A722,'QALS - Inspection Lot Record'!$A$2:$A$361,'QALS - Inspection Lot Record'!$O$2:$O$361)</f>
        <v>Aspirin Tablets (500 MG)</v>
      </c>
      <c r="D722" s="27">
        <v>10</v>
      </c>
      <c r="E722" s="26" t="s">
        <v>399</v>
      </c>
      <c r="F722" s="29" t="str">
        <f>LOOKUP(A722,'QALS - Inspection Lot Record'!A:A,'QALS - Inspection Lot Record'!G:G)</f>
        <v>ZK384180</v>
      </c>
      <c r="G722" s="59">
        <f ca="1">LOOKUP(A722,'QALS - Inspection Lot Record'!A:A,'QALS - Inspection Lot Record'!E:E)</f>
        <v>45915</v>
      </c>
      <c r="H722" s="34" t="str">
        <f t="shared" si="60"/>
        <v>A</v>
      </c>
      <c r="I722" s="29" t="str">
        <f t="shared" si="56"/>
        <v>ZK384180</v>
      </c>
      <c r="J722" s="59">
        <f t="shared" ca="1" si="57"/>
        <v>45915</v>
      </c>
      <c r="K722" s="30">
        <f ca="1">LOOKUP(A722,'QALS - Inspection Lot Record'!A:A,'QALS - Inspection Lot Record'!I:I)</f>
        <v>0.52410879629629625</v>
      </c>
      <c r="L722" s="59">
        <f t="shared" ca="1" si="58"/>
        <v>45915</v>
      </c>
      <c r="M722" s="30">
        <f t="shared" ca="1" si="59"/>
        <v>0.55383101851851846</v>
      </c>
      <c r="N722" s="31"/>
      <c r="O722" s="31">
        <v>100</v>
      </c>
      <c r="P722" s="29">
        <v>95</v>
      </c>
      <c r="Q722" s="29">
        <v>105</v>
      </c>
    </row>
    <row r="723" spans="1:17" x14ac:dyDescent="0.35">
      <c r="A723" s="26">
        <v>40000002591</v>
      </c>
      <c r="B723" s="27">
        <v>1</v>
      </c>
      <c r="C723" s="29" t="str">
        <f>LOOKUP(A723,'QALS - Inspection Lot Record'!$A$2:$A$361,'QALS - Inspection Lot Record'!$O$2:$O$361)</f>
        <v>Aspirin Tablets (500 MG)</v>
      </c>
      <c r="D723" s="31">
        <v>20</v>
      </c>
      <c r="E723" s="29" t="s">
        <v>400</v>
      </c>
      <c r="F723" s="29" t="str">
        <f>LOOKUP(A723,'QALS - Inspection Lot Record'!A:A,'QALS - Inspection Lot Record'!G:G)</f>
        <v>ZK384180</v>
      </c>
      <c r="G723" s="59">
        <f ca="1">LOOKUP(A723,'QALS - Inspection Lot Record'!A:A,'QALS - Inspection Lot Record'!E:E)</f>
        <v>45915</v>
      </c>
      <c r="H723" s="34" t="str">
        <f t="shared" si="60"/>
        <v>A</v>
      </c>
      <c r="I723" s="29" t="str">
        <f t="shared" si="56"/>
        <v>ZK384180</v>
      </c>
      <c r="J723" s="59">
        <f t="shared" ca="1" si="57"/>
        <v>45915</v>
      </c>
      <c r="K723" s="30">
        <f ca="1">LOOKUP(A723,'QALS - Inspection Lot Record'!A:A,'QALS - Inspection Lot Record'!I:I)</f>
        <v>0.52410879629629625</v>
      </c>
      <c r="L723" s="59">
        <f t="shared" ca="1" si="58"/>
        <v>45915</v>
      </c>
      <c r="M723" s="30">
        <f t="shared" ca="1" si="59"/>
        <v>0.5434606481481481</v>
      </c>
      <c r="N723" s="31"/>
      <c r="O723" s="31">
        <v>7.25</v>
      </c>
      <c r="P723" s="29">
        <v>3.5</v>
      </c>
      <c r="Q723" s="29">
        <v>11</v>
      </c>
    </row>
    <row r="724" spans="1:17" x14ac:dyDescent="0.35">
      <c r="A724" s="26">
        <v>40000002591</v>
      </c>
      <c r="B724" s="31">
        <v>1</v>
      </c>
      <c r="C724" s="29" t="str">
        <f>LOOKUP(A724,'QALS - Inspection Lot Record'!$A$2:$A$361,'QALS - Inspection Lot Record'!$O$2:$O$361)</f>
        <v>Aspirin Tablets (500 MG)</v>
      </c>
      <c r="D724" s="31">
        <v>30</v>
      </c>
      <c r="E724" s="29" t="s">
        <v>401</v>
      </c>
      <c r="F724" s="29" t="str">
        <f>LOOKUP(A724,'QALS - Inspection Lot Record'!A:A,'QALS - Inspection Lot Record'!G:G)</f>
        <v>ZK384180</v>
      </c>
      <c r="G724" s="59">
        <f ca="1">LOOKUP(A724,'QALS - Inspection Lot Record'!A:A,'QALS - Inspection Lot Record'!E:E)</f>
        <v>45915</v>
      </c>
      <c r="H724" s="34" t="str">
        <f t="shared" si="60"/>
        <v>A</v>
      </c>
      <c r="I724" s="29" t="str">
        <f t="shared" si="56"/>
        <v>ZK384180</v>
      </c>
      <c r="J724" s="59">
        <f t="shared" ca="1" si="57"/>
        <v>45915</v>
      </c>
      <c r="K724" s="30">
        <f ca="1">LOOKUP(A724,'QALS - Inspection Lot Record'!A:A,'QALS - Inspection Lot Record'!I:I)</f>
        <v>0.52410879629629625</v>
      </c>
      <c r="L724" s="59">
        <f t="shared" ca="1" si="58"/>
        <v>45915</v>
      </c>
      <c r="M724" s="30">
        <f t="shared" ca="1" si="59"/>
        <v>0.54503472222222216</v>
      </c>
      <c r="N724" s="11" t="s">
        <v>402</v>
      </c>
      <c r="O724" s="31"/>
      <c r="P724" s="29"/>
      <c r="Q724" s="29"/>
    </row>
    <row r="725" spans="1:17" x14ac:dyDescent="0.35">
      <c r="A725" s="26">
        <v>40000002591</v>
      </c>
      <c r="B725" s="31">
        <v>1</v>
      </c>
      <c r="C725" s="29" t="str">
        <f>LOOKUP(A725,'QALS - Inspection Lot Record'!$A$2:$A$361,'QALS - Inspection Lot Record'!$O$2:$O$361)</f>
        <v>Aspirin Tablets (500 MG)</v>
      </c>
      <c r="D725" s="31">
        <v>40</v>
      </c>
      <c r="E725" s="29" t="s">
        <v>403</v>
      </c>
      <c r="F725" s="29" t="str">
        <f>LOOKUP(A725,'QALS - Inspection Lot Record'!A:A,'QALS - Inspection Lot Record'!G:G)</f>
        <v>ZK384180</v>
      </c>
      <c r="G725" s="59">
        <f ca="1">LOOKUP(A725,'QALS - Inspection Lot Record'!A:A,'QALS - Inspection Lot Record'!E:E)</f>
        <v>45915</v>
      </c>
      <c r="H725" s="34" t="str">
        <f t="shared" si="60"/>
        <v>A</v>
      </c>
      <c r="I725" s="29" t="str">
        <f t="shared" si="56"/>
        <v>ZK384180</v>
      </c>
      <c r="J725" s="59">
        <f t="shared" ca="1" si="57"/>
        <v>45915</v>
      </c>
      <c r="K725" s="30">
        <f ca="1">LOOKUP(A725,'QALS - Inspection Lot Record'!A:A,'QALS - Inspection Lot Record'!I:I)</f>
        <v>0.52410879629629625</v>
      </c>
      <c r="L725" s="59">
        <f t="shared" ca="1" si="58"/>
        <v>45915</v>
      </c>
      <c r="M725" s="30">
        <f t="shared" ca="1" si="59"/>
        <v>0.55174768518518513</v>
      </c>
      <c r="N725" s="31"/>
      <c r="O725" s="31">
        <v>0</v>
      </c>
      <c r="P725" s="29">
        <v>0</v>
      </c>
      <c r="Q725" s="29">
        <v>2.5</v>
      </c>
    </row>
    <row r="726" spans="1:17" x14ac:dyDescent="0.35">
      <c r="A726" s="26">
        <v>40000002591</v>
      </c>
      <c r="B726" s="31">
        <v>1</v>
      </c>
      <c r="C726" s="29" t="str">
        <f>LOOKUP(A726,'QALS - Inspection Lot Record'!$A$2:$A$361,'QALS - Inspection Lot Record'!$O$2:$O$361)</f>
        <v>Aspirin Tablets (500 MG)</v>
      </c>
      <c r="D726" s="31">
        <v>50</v>
      </c>
      <c r="E726" s="29" t="s">
        <v>404</v>
      </c>
      <c r="F726" s="29" t="str">
        <f>LOOKUP(A726,'QALS - Inspection Lot Record'!A:A,'QALS - Inspection Lot Record'!G:G)</f>
        <v>ZK384180</v>
      </c>
      <c r="G726" s="59">
        <f ca="1">LOOKUP(A726,'QALS - Inspection Lot Record'!A:A,'QALS - Inspection Lot Record'!E:E)</f>
        <v>45915</v>
      </c>
      <c r="H726" s="34" t="str">
        <f t="shared" si="60"/>
        <v>A</v>
      </c>
      <c r="I726" s="29" t="str">
        <f t="shared" si="56"/>
        <v>ZK384180</v>
      </c>
      <c r="J726" s="59">
        <f t="shared" ca="1" si="57"/>
        <v>45915</v>
      </c>
      <c r="K726" s="30">
        <f ca="1">LOOKUP(A726,'QALS - Inspection Lot Record'!A:A,'QALS - Inspection Lot Record'!I:I)</f>
        <v>0.52410879629629625</v>
      </c>
      <c r="L726" s="59">
        <f t="shared" ca="1" si="58"/>
        <v>45915</v>
      </c>
      <c r="M726" s="30">
        <f t="shared" ca="1" si="59"/>
        <v>0.55902777777777768</v>
      </c>
      <c r="N726" s="31"/>
      <c r="O726" s="31">
        <v>50</v>
      </c>
      <c r="P726" s="29">
        <v>40</v>
      </c>
      <c r="Q726" s="29">
        <v>60</v>
      </c>
    </row>
    <row r="727" spans="1:17" x14ac:dyDescent="0.35">
      <c r="A727" s="26">
        <v>40000002591</v>
      </c>
      <c r="B727" s="31">
        <v>1</v>
      </c>
      <c r="C727" s="29" t="str">
        <f>LOOKUP(A727,'QALS - Inspection Lot Record'!$A$2:$A$361,'QALS - Inspection Lot Record'!$O$2:$O$361)</f>
        <v>Aspirin Tablets (500 MG)</v>
      </c>
      <c r="D727" s="31">
        <v>60</v>
      </c>
      <c r="E727" s="29" t="s">
        <v>405</v>
      </c>
      <c r="F727" s="29" t="str">
        <f>LOOKUP(A727,'QALS - Inspection Lot Record'!A:A,'QALS - Inspection Lot Record'!G:G)</f>
        <v>ZK384180</v>
      </c>
      <c r="G727" s="59">
        <f ca="1">LOOKUP(A727,'QALS - Inspection Lot Record'!A:A,'QALS - Inspection Lot Record'!E:E)</f>
        <v>45915</v>
      </c>
      <c r="H727" s="34" t="str">
        <f t="shared" si="60"/>
        <v>A</v>
      </c>
      <c r="I727" s="29" t="str">
        <f t="shared" si="56"/>
        <v>ZK384180</v>
      </c>
      <c r="J727" s="59">
        <f t="shared" ca="1" si="57"/>
        <v>45915</v>
      </c>
      <c r="K727" s="30">
        <f ca="1">LOOKUP(A727,'QALS - Inspection Lot Record'!A:A,'QALS - Inspection Lot Record'!I:I)</f>
        <v>0.52410879629629625</v>
      </c>
      <c r="L727" s="59">
        <f t="shared" ca="1" si="58"/>
        <v>45915</v>
      </c>
      <c r="M727" s="30">
        <f t="shared" ca="1" si="59"/>
        <v>0.55232638888888885</v>
      </c>
      <c r="N727" s="31"/>
      <c r="O727" s="31">
        <v>77.5</v>
      </c>
      <c r="P727" s="29">
        <v>70</v>
      </c>
      <c r="Q727" s="29">
        <v>85</v>
      </c>
    </row>
    <row r="728" spans="1:17" x14ac:dyDescent="0.35">
      <c r="A728" s="26">
        <v>40000002591</v>
      </c>
      <c r="B728" s="31">
        <v>1</v>
      </c>
      <c r="C728" s="29" t="str">
        <f>LOOKUP(A728,'QALS - Inspection Lot Record'!$A$2:$A$361,'QALS - Inspection Lot Record'!$O$2:$O$361)</f>
        <v>Aspirin Tablets (500 MG)</v>
      </c>
      <c r="D728" s="31">
        <v>70</v>
      </c>
      <c r="E728" s="29" t="s">
        <v>406</v>
      </c>
      <c r="F728" s="29" t="str">
        <f>LOOKUP(A728,'QALS - Inspection Lot Record'!A:A,'QALS - Inspection Lot Record'!G:G)</f>
        <v>ZK384180</v>
      </c>
      <c r="G728" s="59">
        <f ca="1">LOOKUP(A728,'QALS - Inspection Lot Record'!A:A,'QALS - Inspection Lot Record'!E:E)</f>
        <v>45915</v>
      </c>
      <c r="H728" s="34" t="str">
        <f t="shared" si="60"/>
        <v>A</v>
      </c>
      <c r="I728" s="29" t="str">
        <f t="shared" si="56"/>
        <v>ZK384180</v>
      </c>
      <c r="J728" s="59">
        <f t="shared" ca="1" si="57"/>
        <v>45915</v>
      </c>
      <c r="K728" s="30">
        <f ca="1">LOOKUP(A728,'QALS - Inspection Lot Record'!A:A,'QALS - Inspection Lot Record'!I:I)</f>
        <v>0.52410879629629625</v>
      </c>
      <c r="L728" s="59">
        <f t="shared" ca="1" si="58"/>
        <v>45915</v>
      </c>
      <c r="M728" s="30">
        <f t="shared" ca="1" si="59"/>
        <v>0.55716435185185176</v>
      </c>
      <c r="N728" s="31"/>
      <c r="O728" s="31">
        <v>85</v>
      </c>
      <c r="P728" s="29">
        <v>80</v>
      </c>
      <c r="Q728" s="29">
        <v>90</v>
      </c>
    </row>
    <row r="729" spans="1:17" x14ac:dyDescent="0.35">
      <c r="A729" s="26">
        <v>40000002591</v>
      </c>
      <c r="B729" s="31">
        <v>1</v>
      </c>
      <c r="C729" s="29" t="str">
        <f>LOOKUP(A729,'QALS - Inspection Lot Record'!$A$2:$A$361,'QALS - Inspection Lot Record'!$O$2:$O$361)</f>
        <v>Aspirin Tablets (500 MG)</v>
      </c>
      <c r="D729" s="31">
        <v>80</v>
      </c>
      <c r="E729" s="29" t="s">
        <v>407</v>
      </c>
      <c r="F729" s="29" t="str">
        <f>LOOKUP(A729,'QALS - Inspection Lot Record'!A:A,'QALS - Inspection Lot Record'!G:G)</f>
        <v>ZK384180</v>
      </c>
      <c r="G729" s="59">
        <f ca="1">LOOKUP(A729,'QALS - Inspection Lot Record'!A:A,'QALS - Inspection Lot Record'!E:E)</f>
        <v>45915</v>
      </c>
      <c r="H729" s="34" t="str">
        <f t="shared" si="60"/>
        <v>A</v>
      </c>
      <c r="I729" s="29" t="str">
        <f t="shared" si="56"/>
        <v>ZK384180</v>
      </c>
      <c r="J729" s="59">
        <f t="shared" ca="1" si="57"/>
        <v>45915</v>
      </c>
      <c r="K729" s="30">
        <f ca="1">LOOKUP(A729,'QALS - Inspection Lot Record'!A:A,'QALS - Inspection Lot Record'!I:I)</f>
        <v>0.52410879629629625</v>
      </c>
      <c r="L729" s="59">
        <f t="shared" ca="1" si="58"/>
        <v>45915</v>
      </c>
      <c r="M729" s="30">
        <f t="shared" ca="1" si="59"/>
        <v>0.54226851851851843</v>
      </c>
      <c r="N729" s="31"/>
      <c r="O729" s="31">
        <v>25.5</v>
      </c>
      <c r="P729" s="29">
        <v>23</v>
      </c>
      <c r="Q729" s="29">
        <v>28</v>
      </c>
    </row>
    <row r="730" spans="1:17" x14ac:dyDescent="0.35">
      <c r="A730" s="26">
        <v>40000002592</v>
      </c>
      <c r="B730" s="27">
        <v>1</v>
      </c>
      <c r="C730" s="29" t="str">
        <f>LOOKUP(A730,'QALS - Inspection Lot Record'!$A$2:$A$361,'QALS - Inspection Lot Record'!$O$2:$O$361)</f>
        <v>Metformin Tablets (200 MG)</v>
      </c>
      <c r="D730" s="27">
        <v>10</v>
      </c>
      <c r="E730" s="26" t="s">
        <v>399</v>
      </c>
      <c r="F730" s="29" t="str">
        <f>LOOKUP(A730,'QALS - Inspection Lot Record'!A:A,'QALS - Inspection Lot Record'!G:G)</f>
        <v>TG509538</v>
      </c>
      <c r="G730" s="59">
        <f ca="1">LOOKUP(A730,'QALS - Inspection Lot Record'!A:A,'QALS - Inspection Lot Record'!E:E)</f>
        <v>45915</v>
      </c>
      <c r="H730" s="34" t="str">
        <f t="shared" si="60"/>
        <v>A</v>
      </c>
      <c r="I730" s="29" t="str">
        <f t="shared" si="56"/>
        <v>TG509538</v>
      </c>
      <c r="J730" s="59">
        <f t="shared" ca="1" si="57"/>
        <v>45915</v>
      </c>
      <c r="K730" s="30">
        <f ca="1">LOOKUP(A730,'QALS - Inspection Lot Record'!A:A,'QALS - Inspection Lot Record'!I:I)</f>
        <v>0.43228009259259259</v>
      </c>
      <c r="L730" s="59">
        <f t="shared" ca="1" si="58"/>
        <v>45915</v>
      </c>
      <c r="M730" s="30">
        <f t="shared" ca="1" si="59"/>
        <v>0.45940972222222221</v>
      </c>
      <c r="N730" s="31"/>
      <c r="O730" s="31">
        <v>99</v>
      </c>
      <c r="P730" s="29">
        <v>95</v>
      </c>
      <c r="Q730" s="29">
        <v>103</v>
      </c>
    </row>
    <row r="731" spans="1:17" x14ac:dyDescent="0.35">
      <c r="A731" s="26">
        <v>40000002592</v>
      </c>
      <c r="B731" s="27">
        <v>1</v>
      </c>
      <c r="C731" s="29" t="str">
        <f>LOOKUP(A731,'QALS - Inspection Lot Record'!$A$2:$A$361,'QALS - Inspection Lot Record'!$O$2:$O$361)</f>
        <v>Metformin Tablets (200 MG)</v>
      </c>
      <c r="D731" s="31">
        <v>20</v>
      </c>
      <c r="E731" s="29" t="s">
        <v>400</v>
      </c>
      <c r="F731" s="29" t="str">
        <f>LOOKUP(A731,'QALS - Inspection Lot Record'!A:A,'QALS - Inspection Lot Record'!G:G)</f>
        <v>TG509538</v>
      </c>
      <c r="G731" s="59">
        <f ca="1">LOOKUP(A731,'QALS - Inspection Lot Record'!A:A,'QALS - Inspection Lot Record'!E:E)</f>
        <v>45915</v>
      </c>
      <c r="H731" s="34" t="str">
        <f t="shared" si="60"/>
        <v>A</v>
      </c>
      <c r="I731" s="29" t="str">
        <f t="shared" si="56"/>
        <v>TG509538</v>
      </c>
      <c r="J731" s="59">
        <f t="shared" ca="1" si="57"/>
        <v>45915</v>
      </c>
      <c r="K731" s="30">
        <f ca="1">LOOKUP(A731,'QALS - Inspection Lot Record'!A:A,'QALS - Inspection Lot Record'!I:I)</f>
        <v>0.43228009259259259</v>
      </c>
      <c r="L731" s="59">
        <f t="shared" ca="1" si="58"/>
        <v>45915</v>
      </c>
      <c r="M731" s="30">
        <f t="shared" ca="1" si="59"/>
        <v>0.45420138888888889</v>
      </c>
      <c r="N731" s="31"/>
      <c r="O731" s="31">
        <v>7.75</v>
      </c>
      <c r="P731" s="29">
        <v>6</v>
      </c>
      <c r="Q731" s="29">
        <v>9.5</v>
      </c>
    </row>
    <row r="732" spans="1:17" x14ac:dyDescent="0.35">
      <c r="A732" s="26">
        <v>40000002592</v>
      </c>
      <c r="B732" s="31">
        <v>1</v>
      </c>
      <c r="C732" s="29" t="str">
        <f>LOOKUP(A732,'QALS - Inspection Lot Record'!$A$2:$A$361,'QALS - Inspection Lot Record'!$O$2:$O$361)</f>
        <v>Metformin Tablets (200 MG)</v>
      </c>
      <c r="D732" s="31">
        <v>30</v>
      </c>
      <c r="E732" s="29" t="s">
        <v>401</v>
      </c>
      <c r="F732" s="29" t="str">
        <f>LOOKUP(A732,'QALS - Inspection Lot Record'!A:A,'QALS - Inspection Lot Record'!G:G)</f>
        <v>TG509538</v>
      </c>
      <c r="G732" s="59">
        <f ca="1">LOOKUP(A732,'QALS - Inspection Lot Record'!A:A,'QALS - Inspection Lot Record'!E:E)</f>
        <v>45915</v>
      </c>
      <c r="H732" s="34" t="str">
        <f t="shared" si="60"/>
        <v>A</v>
      </c>
      <c r="I732" s="29" t="str">
        <f t="shared" si="56"/>
        <v>TG509538</v>
      </c>
      <c r="J732" s="59">
        <f t="shared" ca="1" si="57"/>
        <v>45915</v>
      </c>
      <c r="K732" s="30">
        <f ca="1">LOOKUP(A732,'QALS - Inspection Lot Record'!A:A,'QALS - Inspection Lot Record'!I:I)</f>
        <v>0.43228009259259259</v>
      </c>
      <c r="L732" s="59">
        <f t="shared" ca="1" si="58"/>
        <v>45915</v>
      </c>
      <c r="M732" s="30">
        <f t="shared" ca="1" si="59"/>
        <v>0.45459490740740738</v>
      </c>
      <c r="N732" s="11" t="s">
        <v>402</v>
      </c>
      <c r="O732" s="31"/>
      <c r="P732" s="29"/>
      <c r="Q732" s="29"/>
    </row>
    <row r="733" spans="1:17" x14ac:dyDescent="0.35">
      <c r="A733" s="26">
        <v>40000002592</v>
      </c>
      <c r="B733" s="31">
        <v>1</v>
      </c>
      <c r="C733" s="29" t="str">
        <f>LOOKUP(A733,'QALS - Inspection Lot Record'!$A$2:$A$361,'QALS - Inspection Lot Record'!$O$2:$O$361)</f>
        <v>Metformin Tablets (200 MG)</v>
      </c>
      <c r="D733" s="31">
        <v>40</v>
      </c>
      <c r="E733" s="29" t="s">
        <v>403</v>
      </c>
      <c r="F733" s="29" t="str">
        <f>LOOKUP(A733,'QALS - Inspection Lot Record'!A:A,'QALS - Inspection Lot Record'!G:G)</f>
        <v>TG509538</v>
      </c>
      <c r="G733" s="59">
        <f ca="1">LOOKUP(A733,'QALS - Inspection Lot Record'!A:A,'QALS - Inspection Lot Record'!E:E)</f>
        <v>45915</v>
      </c>
      <c r="H733" s="34" t="str">
        <f t="shared" si="60"/>
        <v>A</v>
      </c>
      <c r="I733" s="29" t="str">
        <f t="shared" si="56"/>
        <v>TG509538</v>
      </c>
      <c r="J733" s="59">
        <f t="shared" ca="1" si="57"/>
        <v>45915</v>
      </c>
      <c r="K733" s="30">
        <f ca="1">LOOKUP(A733,'QALS - Inspection Lot Record'!A:A,'QALS - Inspection Lot Record'!I:I)</f>
        <v>0.43228009259259259</v>
      </c>
      <c r="L733" s="59">
        <f t="shared" ca="1" si="58"/>
        <v>45915</v>
      </c>
      <c r="M733" s="30">
        <f t="shared" ca="1" si="59"/>
        <v>0.45799768518518519</v>
      </c>
      <c r="N733" s="31"/>
      <c r="O733" s="31">
        <v>0</v>
      </c>
      <c r="P733" s="29">
        <v>0</v>
      </c>
      <c r="Q733" s="29">
        <v>2</v>
      </c>
    </row>
    <row r="734" spans="1:17" x14ac:dyDescent="0.35">
      <c r="A734" s="26">
        <v>40000002592</v>
      </c>
      <c r="B734" s="31">
        <v>1</v>
      </c>
      <c r="C734" s="29" t="str">
        <f>LOOKUP(A734,'QALS - Inspection Lot Record'!$A$2:$A$361,'QALS - Inspection Lot Record'!$O$2:$O$361)</f>
        <v>Metformin Tablets (200 MG)</v>
      </c>
      <c r="D734" s="31">
        <v>50</v>
      </c>
      <c r="E734" s="29" t="s">
        <v>404</v>
      </c>
      <c r="F734" s="29" t="str">
        <f>LOOKUP(A734,'QALS - Inspection Lot Record'!A:A,'QALS - Inspection Lot Record'!G:G)</f>
        <v>TG509538</v>
      </c>
      <c r="G734" s="59">
        <f ca="1">LOOKUP(A734,'QALS - Inspection Lot Record'!A:A,'QALS - Inspection Lot Record'!E:E)</f>
        <v>45915</v>
      </c>
      <c r="H734" s="34" t="str">
        <f t="shared" si="60"/>
        <v>R</v>
      </c>
      <c r="I734" s="29" t="str">
        <f t="shared" si="56"/>
        <v>TG509538</v>
      </c>
      <c r="J734" s="59">
        <f t="shared" ca="1" si="57"/>
        <v>45915</v>
      </c>
      <c r="K734" s="30">
        <f ca="1">LOOKUP(A734,'QALS - Inspection Lot Record'!A:A,'QALS - Inspection Lot Record'!I:I)</f>
        <v>0.43228009259259259</v>
      </c>
      <c r="L734" s="59">
        <f t="shared" ca="1" si="58"/>
        <v>45915</v>
      </c>
      <c r="M734" s="30">
        <f t="shared" ca="1" si="59"/>
        <v>0.46627314814814813</v>
      </c>
      <c r="N734" s="31"/>
      <c r="O734" s="31">
        <v>38.6</v>
      </c>
      <c r="P734" s="29">
        <v>40</v>
      </c>
      <c r="Q734" s="29">
        <v>60</v>
      </c>
    </row>
    <row r="735" spans="1:17" x14ac:dyDescent="0.35">
      <c r="A735" s="26">
        <v>40000002592</v>
      </c>
      <c r="B735" s="31">
        <v>1</v>
      </c>
      <c r="C735" s="29" t="str">
        <f>LOOKUP(A735,'QALS - Inspection Lot Record'!$A$2:$A$361,'QALS - Inspection Lot Record'!$O$2:$O$361)</f>
        <v>Metformin Tablets (200 MG)</v>
      </c>
      <c r="D735" s="31">
        <v>60</v>
      </c>
      <c r="E735" s="29" t="s">
        <v>405</v>
      </c>
      <c r="F735" s="29" t="str">
        <f>LOOKUP(A735,'QALS - Inspection Lot Record'!A:A,'QALS - Inspection Lot Record'!G:G)</f>
        <v>TG509538</v>
      </c>
      <c r="G735" s="59">
        <f ca="1">LOOKUP(A735,'QALS - Inspection Lot Record'!A:A,'QALS - Inspection Lot Record'!E:E)</f>
        <v>45915</v>
      </c>
      <c r="H735" s="34" t="str">
        <f t="shared" si="60"/>
        <v>R</v>
      </c>
      <c r="I735" s="29" t="str">
        <f t="shared" si="56"/>
        <v>TG509538</v>
      </c>
      <c r="J735" s="59">
        <f t="shared" ca="1" si="57"/>
        <v>45915</v>
      </c>
      <c r="K735" s="30">
        <f ca="1">LOOKUP(A735,'QALS - Inspection Lot Record'!A:A,'QALS - Inspection Lot Record'!I:I)</f>
        <v>0.43228009259259259</v>
      </c>
      <c r="L735" s="59">
        <f t="shared" ca="1" si="58"/>
        <v>45915</v>
      </c>
      <c r="M735" s="30">
        <f t="shared" ca="1" si="59"/>
        <v>0.46303240740740742</v>
      </c>
      <c r="N735" s="31"/>
      <c r="O735" s="31">
        <v>68.5</v>
      </c>
      <c r="P735" s="29">
        <v>70</v>
      </c>
      <c r="Q735" s="29">
        <v>85</v>
      </c>
    </row>
    <row r="736" spans="1:17" x14ac:dyDescent="0.35">
      <c r="A736" s="26">
        <v>40000002592</v>
      </c>
      <c r="B736" s="31">
        <v>1</v>
      </c>
      <c r="C736" s="29" t="str">
        <f>LOOKUP(A736,'QALS - Inspection Lot Record'!$A$2:$A$361,'QALS - Inspection Lot Record'!$O$2:$O$361)</f>
        <v>Metformin Tablets (200 MG)</v>
      </c>
      <c r="D736" s="31">
        <v>70</v>
      </c>
      <c r="E736" s="29" t="s">
        <v>406</v>
      </c>
      <c r="F736" s="29" t="str">
        <f>LOOKUP(A736,'QALS - Inspection Lot Record'!A:A,'QALS - Inspection Lot Record'!G:G)</f>
        <v>TG509538</v>
      </c>
      <c r="G736" s="59">
        <f ca="1">LOOKUP(A736,'QALS - Inspection Lot Record'!A:A,'QALS - Inspection Lot Record'!E:E)</f>
        <v>45915</v>
      </c>
      <c r="H736" s="34" t="str">
        <f t="shared" si="60"/>
        <v>A</v>
      </c>
      <c r="I736" s="29" t="str">
        <f t="shared" si="56"/>
        <v>TG509538</v>
      </c>
      <c r="J736" s="59">
        <f t="shared" ca="1" si="57"/>
        <v>45915</v>
      </c>
      <c r="K736" s="30">
        <f ca="1">LOOKUP(A736,'QALS - Inspection Lot Record'!A:A,'QALS - Inspection Lot Record'!I:I)</f>
        <v>0.43228009259259259</v>
      </c>
      <c r="L736" s="59">
        <f t="shared" ca="1" si="58"/>
        <v>45915</v>
      </c>
      <c r="M736" s="30">
        <f t="shared" ca="1" si="59"/>
        <v>0.45114583333333336</v>
      </c>
      <c r="N736" s="31"/>
      <c r="O736" s="31">
        <v>85</v>
      </c>
      <c r="P736" s="29">
        <v>80</v>
      </c>
      <c r="Q736" s="29">
        <v>90</v>
      </c>
    </row>
    <row r="737" spans="1:17" x14ac:dyDescent="0.35">
      <c r="A737" s="26">
        <v>40000002592</v>
      </c>
      <c r="B737" s="31">
        <v>1</v>
      </c>
      <c r="C737" s="29" t="str">
        <f>LOOKUP(A737,'QALS - Inspection Lot Record'!$A$2:$A$361,'QALS - Inspection Lot Record'!$O$2:$O$361)</f>
        <v>Metformin Tablets (200 MG)</v>
      </c>
      <c r="D737" s="31">
        <v>80</v>
      </c>
      <c r="E737" s="29" t="s">
        <v>407</v>
      </c>
      <c r="F737" s="29" t="str">
        <f>LOOKUP(A737,'QALS - Inspection Lot Record'!A:A,'QALS - Inspection Lot Record'!G:G)</f>
        <v>TG509538</v>
      </c>
      <c r="G737" s="59">
        <f ca="1">LOOKUP(A737,'QALS - Inspection Lot Record'!A:A,'QALS - Inspection Lot Record'!E:E)</f>
        <v>45915</v>
      </c>
      <c r="H737" s="34" t="str">
        <f t="shared" si="60"/>
        <v>A</v>
      </c>
      <c r="I737" s="29" t="str">
        <f t="shared" si="56"/>
        <v>TG509538</v>
      </c>
      <c r="J737" s="59">
        <f t="shared" ca="1" si="57"/>
        <v>45915</v>
      </c>
      <c r="K737" s="30">
        <f ca="1">LOOKUP(A737,'QALS - Inspection Lot Record'!A:A,'QALS - Inspection Lot Record'!I:I)</f>
        <v>0.43228009259259259</v>
      </c>
      <c r="L737" s="59">
        <f t="shared" ca="1" si="58"/>
        <v>45915</v>
      </c>
      <c r="M737" s="30">
        <f t="shared" ca="1" si="59"/>
        <v>0.45124999999999998</v>
      </c>
      <c r="N737" s="31"/>
      <c r="O737" s="31">
        <v>25.5</v>
      </c>
      <c r="P737" s="29">
        <v>23</v>
      </c>
      <c r="Q737" s="29">
        <v>28</v>
      </c>
    </row>
    <row r="738" spans="1:17" x14ac:dyDescent="0.35">
      <c r="A738" s="26">
        <v>40000002593</v>
      </c>
      <c r="B738" s="27">
        <v>1</v>
      </c>
      <c r="C738" s="29" t="str">
        <f>LOOKUP(A738,'QALS - Inspection Lot Record'!$A$2:$A$361,'QALS - Inspection Lot Record'!$O$2:$O$361)</f>
        <v>Metformin Tablets (500 MG)</v>
      </c>
      <c r="D738" s="27">
        <v>10</v>
      </c>
      <c r="E738" s="26" t="s">
        <v>399</v>
      </c>
      <c r="F738" s="29" t="str">
        <f>LOOKUP(A738,'QALS - Inspection Lot Record'!A:A,'QALS - Inspection Lot Record'!G:G)</f>
        <v>TP397880</v>
      </c>
      <c r="G738" s="59">
        <f ca="1">LOOKUP(A738,'QALS - Inspection Lot Record'!A:A,'QALS - Inspection Lot Record'!E:E)</f>
        <v>45916</v>
      </c>
      <c r="H738" s="34" t="str">
        <f t="shared" si="60"/>
        <v>A</v>
      </c>
      <c r="I738" s="29" t="str">
        <f t="shared" si="56"/>
        <v>TP397880</v>
      </c>
      <c r="J738" s="59">
        <f t="shared" ca="1" si="57"/>
        <v>45916</v>
      </c>
      <c r="K738" s="30">
        <f ca="1">LOOKUP(A738,'QALS - Inspection Lot Record'!A:A,'QALS - Inspection Lot Record'!I:I)</f>
        <v>0.87511574074074072</v>
      </c>
      <c r="L738" s="59">
        <f t="shared" ca="1" si="58"/>
        <v>45916</v>
      </c>
      <c r="M738" s="30">
        <f t="shared" ca="1" si="59"/>
        <v>0.90145833333333336</v>
      </c>
      <c r="N738" s="31"/>
      <c r="O738" s="31">
        <v>100</v>
      </c>
      <c r="P738" s="29">
        <v>95</v>
      </c>
      <c r="Q738" s="29">
        <v>105</v>
      </c>
    </row>
    <row r="739" spans="1:17" x14ac:dyDescent="0.35">
      <c r="A739" s="26">
        <v>40000002593</v>
      </c>
      <c r="B739" s="27">
        <v>1</v>
      </c>
      <c r="C739" s="29" t="str">
        <f>LOOKUP(A739,'QALS - Inspection Lot Record'!$A$2:$A$361,'QALS - Inspection Lot Record'!$O$2:$O$361)</f>
        <v>Metformin Tablets (500 MG)</v>
      </c>
      <c r="D739" s="31">
        <v>20</v>
      </c>
      <c r="E739" s="29" t="s">
        <v>400</v>
      </c>
      <c r="F739" s="29" t="str">
        <f>LOOKUP(A739,'QALS - Inspection Lot Record'!A:A,'QALS - Inspection Lot Record'!G:G)</f>
        <v>TP397880</v>
      </c>
      <c r="G739" s="59">
        <f ca="1">LOOKUP(A739,'QALS - Inspection Lot Record'!A:A,'QALS - Inspection Lot Record'!E:E)</f>
        <v>45916</v>
      </c>
      <c r="H739" s="34" t="str">
        <f t="shared" si="60"/>
        <v>A</v>
      </c>
      <c r="I739" s="29" t="str">
        <f t="shared" si="56"/>
        <v>TP397880</v>
      </c>
      <c r="J739" s="59">
        <f t="shared" ca="1" si="57"/>
        <v>45916</v>
      </c>
      <c r="K739" s="30">
        <f ca="1">LOOKUP(A739,'QALS - Inspection Lot Record'!A:A,'QALS - Inspection Lot Record'!I:I)</f>
        <v>0.87511574074074072</v>
      </c>
      <c r="L739" s="59">
        <f t="shared" ca="1" si="58"/>
        <v>45916</v>
      </c>
      <c r="M739" s="30">
        <f t="shared" ca="1" si="59"/>
        <v>0.89590277777777771</v>
      </c>
      <c r="N739" s="31"/>
      <c r="O739" s="31">
        <v>7.25</v>
      </c>
      <c r="P739" s="29">
        <v>3.5</v>
      </c>
      <c r="Q739" s="29">
        <v>11</v>
      </c>
    </row>
    <row r="740" spans="1:17" x14ac:dyDescent="0.35">
      <c r="A740" s="26">
        <v>40000002593</v>
      </c>
      <c r="B740" s="31">
        <v>1</v>
      </c>
      <c r="C740" s="29" t="str">
        <f>LOOKUP(A740,'QALS - Inspection Lot Record'!$A$2:$A$361,'QALS - Inspection Lot Record'!$O$2:$O$361)</f>
        <v>Metformin Tablets (500 MG)</v>
      </c>
      <c r="D740" s="31">
        <v>30</v>
      </c>
      <c r="E740" s="29" t="s">
        <v>401</v>
      </c>
      <c r="F740" s="29" t="str">
        <f>LOOKUP(A740,'QALS - Inspection Lot Record'!A:A,'QALS - Inspection Lot Record'!G:G)</f>
        <v>TP397880</v>
      </c>
      <c r="G740" s="59">
        <f ca="1">LOOKUP(A740,'QALS - Inspection Lot Record'!A:A,'QALS - Inspection Lot Record'!E:E)</f>
        <v>45916</v>
      </c>
      <c r="H740" s="34" t="str">
        <f t="shared" si="60"/>
        <v>A</v>
      </c>
      <c r="I740" s="29" t="str">
        <f t="shared" si="56"/>
        <v>TP397880</v>
      </c>
      <c r="J740" s="59">
        <f t="shared" ca="1" si="57"/>
        <v>45916</v>
      </c>
      <c r="K740" s="30">
        <f ca="1">LOOKUP(A740,'QALS - Inspection Lot Record'!A:A,'QALS - Inspection Lot Record'!I:I)</f>
        <v>0.87511574074074072</v>
      </c>
      <c r="L740" s="59">
        <f t="shared" ca="1" si="58"/>
        <v>45916</v>
      </c>
      <c r="M740" s="30">
        <f t="shared" ca="1" si="59"/>
        <v>0.89978009259259262</v>
      </c>
      <c r="N740" s="11" t="s">
        <v>402</v>
      </c>
      <c r="O740" s="31"/>
      <c r="P740" s="29"/>
      <c r="Q740" s="29"/>
    </row>
    <row r="741" spans="1:17" x14ac:dyDescent="0.35">
      <c r="A741" s="26">
        <v>40000002593</v>
      </c>
      <c r="B741" s="31">
        <v>1</v>
      </c>
      <c r="C741" s="29" t="str">
        <f>LOOKUP(A741,'QALS - Inspection Lot Record'!$A$2:$A$361,'QALS - Inspection Lot Record'!$O$2:$O$361)</f>
        <v>Metformin Tablets (500 MG)</v>
      </c>
      <c r="D741" s="31">
        <v>40</v>
      </c>
      <c r="E741" s="29" t="s">
        <v>403</v>
      </c>
      <c r="F741" s="29" t="str">
        <f>LOOKUP(A741,'QALS - Inspection Lot Record'!A:A,'QALS - Inspection Lot Record'!G:G)</f>
        <v>TP397880</v>
      </c>
      <c r="G741" s="59">
        <f ca="1">LOOKUP(A741,'QALS - Inspection Lot Record'!A:A,'QALS - Inspection Lot Record'!E:E)</f>
        <v>45916</v>
      </c>
      <c r="H741" s="34" t="str">
        <f t="shared" si="60"/>
        <v>A</v>
      </c>
      <c r="I741" s="29" t="str">
        <f t="shared" si="56"/>
        <v>TP397880</v>
      </c>
      <c r="J741" s="59">
        <f t="shared" ca="1" si="57"/>
        <v>45916</v>
      </c>
      <c r="K741" s="30">
        <f ca="1">LOOKUP(A741,'QALS - Inspection Lot Record'!A:A,'QALS - Inspection Lot Record'!I:I)</f>
        <v>0.87511574074074072</v>
      </c>
      <c r="L741" s="59">
        <f t="shared" ca="1" si="58"/>
        <v>45916</v>
      </c>
      <c r="M741" s="30">
        <f t="shared" ca="1" si="59"/>
        <v>0.90162037037037035</v>
      </c>
      <c r="N741" s="31"/>
      <c r="O741" s="31">
        <v>0</v>
      </c>
      <c r="P741" s="29">
        <v>0</v>
      </c>
      <c r="Q741" s="29">
        <v>2</v>
      </c>
    </row>
    <row r="742" spans="1:17" x14ac:dyDescent="0.35">
      <c r="A742" s="26">
        <v>40000002593</v>
      </c>
      <c r="B742" s="31">
        <v>1</v>
      </c>
      <c r="C742" s="29" t="str">
        <f>LOOKUP(A742,'QALS - Inspection Lot Record'!$A$2:$A$361,'QALS - Inspection Lot Record'!$O$2:$O$361)</f>
        <v>Metformin Tablets (500 MG)</v>
      </c>
      <c r="D742" s="31">
        <v>50</v>
      </c>
      <c r="E742" s="29" t="s">
        <v>404</v>
      </c>
      <c r="F742" s="29" t="str">
        <f>LOOKUP(A742,'QALS - Inspection Lot Record'!A:A,'QALS - Inspection Lot Record'!G:G)</f>
        <v>TP397880</v>
      </c>
      <c r="G742" s="59">
        <f ca="1">LOOKUP(A742,'QALS - Inspection Lot Record'!A:A,'QALS - Inspection Lot Record'!E:E)</f>
        <v>45916</v>
      </c>
      <c r="H742" s="34" t="str">
        <f t="shared" si="60"/>
        <v>A</v>
      </c>
      <c r="I742" s="29" t="str">
        <f t="shared" si="56"/>
        <v>TP397880</v>
      </c>
      <c r="J742" s="59">
        <f t="shared" ca="1" si="57"/>
        <v>45916</v>
      </c>
      <c r="K742" s="30">
        <f ca="1">LOOKUP(A742,'QALS - Inspection Lot Record'!A:A,'QALS - Inspection Lot Record'!I:I)</f>
        <v>0.87511574074074072</v>
      </c>
      <c r="L742" s="59">
        <f t="shared" ca="1" si="58"/>
        <v>45916</v>
      </c>
      <c r="M742" s="30">
        <f t="shared" ca="1" si="59"/>
        <v>0.89459490740740744</v>
      </c>
      <c r="N742" s="31"/>
      <c r="O742" s="31">
        <v>50</v>
      </c>
      <c r="P742" s="29">
        <v>40</v>
      </c>
      <c r="Q742" s="29">
        <v>60</v>
      </c>
    </row>
    <row r="743" spans="1:17" x14ac:dyDescent="0.35">
      <c r="A743" s="26">
        <v>40000002593</v>
      </c>
      <c r="B743" s="31">
        <v>1</v>
      </c>
      <c r="C743" s="29" t="str">
        <f>LOOKUP(A743,'QALS - Inspection Lot Record'!$A$2:$A$361,'QALS - Inspection Lot Record'!$O$2:$O$361)</f>
        <v>Metformin Tablets (500 MG)</v>
      </c>
      <c r="D743" s="31">
        <v>60</v>
      </c>
      <c r="E743" s="29" t="s">
        <v>405</v>
      </c>
      <c r="F743" s="29" t="str">
        <f>LOOKUP(A743,'QALS - Inspection Lot Record'!A:A,'QALS - Inspection Lot Record'!G:G)</f>
        <v>TP397880</v>
      </c>
      <c r="G743" s="59">
        <f ca="1">LOOKUP(A743,'QALS - Inspection Lot Record'!A:A,'QALS - Inspection Lot Record'!E:E)</f>
        <v>45916</v>
      </c>
      <c r="H743" s="34" t="str">
        <f t="shared" si="60"/>
        <v>A</v>
      </c>
      <c r="I743" s="29" t="str">
        <f t="shared" si="56"/>
        <v>TP397880</v>
      </c>
      <c r="J743" s="59">
        <f t="shared" ca="1" si="57"/>
        <v>45916</v>
      </c>
      <c r="K743" s="30">
        <f ca="1">LOOKUP(A743,'QALS - Inspection Lot Record'!A:A,'QALS - Inspection Lot Record'!I:I)</f>
        <v>0.87511574074074072</v>
      </c>
      <c r="L743" s="59">
        <f t="shared" ca="1" si="58"/>
        <v>45916</v>
      </c>
      <c r="M743" s="30">
        <f t="shared" ca="1" si="59"/>
        <v>0.90005787037037033</v>
      </c>
      <c r="N743" s="31"/>
      <c r="O743" s="31">
        <v>77.5</v>
      </c>
      <c r="P743" s="29">
        <v>70</v>
      </c>
      <c r="Q743" s="29">
        <v>85</v>
      </c>
    </row>
    <row r="744" spans="1:17" x14ac:dyDescent="0.35">
      <c r="A744" s="26">
        <v>40000002593</v>
      </c>
      <c r="B744" s="31">
        <v>1</v>
      </c>
      <c r="C744" s="29" t="str">
        <f>LOOKUP(A744,'QALS - Inspection Lot Record'!$A$2:$A$361,'QALS - Inspection Lot Record'!$O$2:$O$361)</f>
        <v>Metformin Tablets (500 MG)</v>
      </c>
      <c r="D744" s="31">
        <v>70</v>
      </c>
      <c r="E744" s="29" t="s">
        <v>406</v>
      </c>
      <c r="F744" s="29" t="str">
        <f>LOOKUP(A744,'QALS - Inspection Lot Record'!A:A,'QALS - Inspection Lot Record'!G:G)</f>
        <v>TP397880</v>
      </c>
      <c r="G744" s="59">
        <f ca="1">LOOKUP(A744,'QALS - Inspection Lot Record'!A:A,'QALS - Inspection Lot Record'!E:E)</f>
        <v>45916</v>
      </c>
      <c r="H744" s="34" t="str">
        <f t="shared" si="60"/>
        <v>A</v>
      </c>
      <c r="I744" s="29" t="str">
        <f t="shared" si="56"/>
        <v>TP397880</v>
      </c>
      <c r="J744" s="59">
        <f t="shared" ca="1" si="57"/>
        <v>45916</v>
      </c>
      <c r="K744" s="30">
        <f ca="1">LOOKUP(A744,'QALS - Inspection Lot Record'!A:A,'QALS - Inspection Lot Record'!I:I)</f>
        <v>0.87511574074074072</v>
      </c>
      <c r="L744" s="59">
        <f t="shared" ca="1" si="58"/>
        <v>45916</v>
      </c>
      <c r="M744" s="30">
        <f t="shared" ca="1" si="59"/>
        <v>0.90221064814814811</v>
      </c>
      <c r="N744" s="31"/>
      <c r="O744" s="31">
        <v>85</v>
      </c>
      <c r="P744" s="29">
        <v>80</v>
      </c>
      <c r="Q744" s="29">
        <v>90</v>
      </c>
    </row>
    <row r="745" spans="1:17" x14ac:dyDescent="0.35">
      <c r="A745" s="26">
        <v>40000002593</v>
      </c>
      <c r="B745" s="31">
        <v>1</v>
      </c>
      <c r="C745" s="29" t="str">
        <f>LOOKUP(A745,'QALS - Inspection Lot Record'!$A$2:$A$361,'QALS - Inspection Lot Record'!$O$2:$O$361)</f>
        <v>Metformin Tablets (500 MG)</v>
      </c>
      <c r="D745" s="31">
        <v>80</v>
      </c>
      <c r="E745" s="29" t="s">
        <v>407</v>
      </c>
      <c r="F745" s="29" t="str">
        <f>LOOKUP(A745,'QALS - Inspection Lot Record'!A:A,'QALS - Inspection Lot Record'!G:G)</f>
        <v>TP397880</v>
      </c>
      <c r="G745" s="59">
        <f ca="1">LOOKUP(A745,'QALS - Inspection Lot Record'!A:A,'QALS - Inspection Lot Record'!E:E)</f>
        <v>45916</v>
      </c>
      <c r="H745" s="34" t="str">
        <f t="shared" si="60"/>
        <v>A</v>
      </c>
      <c r="I745" s="29" t="str">
        <f t="shared" si="56"/>
        <v>TP397880</v>
      </c>
      <c r="J745" s="59">
        <f t="shared" ca="1" si="57"/>
        <v>45916</v>
      </c>
      <c r="K745" s="30">
        <f ca="1">LOOKUP(A745,'QALS - Inspection Lot Record'!A:A,'QALS - Inspection Lot Record'!I:I)</f>
        <v>0.87511574074074072</v>
      </c>
      <c r="L745" s="59">
        <f t="shared" ca="1" si="58"/>
        <v>45916</v>
      </c>
      <c r="M745" s="30">
        <f t="shared" ca="1" si="59"/>
        <v>0.89474537037037039</v>
      </c>
      <c r="N745" s="31"/>
      <c r="O745" s="31">
        <v>25.5</v>
      </c>
      <c r="P745" s="29">
        <v>23</v>
      </c>
      <c r="Q745" s="29">
        <v>28</v>
      </c>
    </row>
    <row r="746" spans="1:17" x14ac:dyDescent="0.35">
      <c r="A746" s="26">
        <v>40000002594</v>
      </c>
      <c r="B746" s="27">
        <v>1</v>
      </c>
      <c r="C746" s="29" t="str">
        <f>LOOKUP(A746,'QALS - Inspection Lot Record'!$A$2:$A$361,'QALS - Inspection Lot Record'!$O$2:$O$361)</f>
        <v>Ibuprofen Tablets (100 MG)</v>
      </c>
      <c r="D746" s="27">
        <v>10</v>
      </c>
      <c r="E746" s="26" t="s">
        <v>399</v>
      </c>
      <c r="F746" s="29" t="str">
        <f>LOOKUP(A746,'QALS - Inspection Lot Record'!A:A,'QALS - Inspection Lot Record'!G:G)</f>
        <v>YA284176</v>
      </c>
      <c r="G746" s="59">
        <f ca="1">LOOKUP(A746,'QALS - Inspection Lot Record'!A:A,'QALS - Inspection Lot Record'!E:E)</f>
        <v>45916</v>
      </c>
      <c r="H746" s="34" t="str">
        <f t="shared" si="60"/>
        <v>A</v>
      </c>
      <c r="I746" s="29" t="str">
        <f t="shared" si="56"/>
        <v>YA284176</v>
      </c>
      <c r="J746" s="59">
        <f t="shared" ca="1" si="57"/>
        <v>45916</v>
      </c>
      <c r="K746" s="30">
        <f ca="1">LOOKUP(A746,'QALS - Inspection Lot Record'!A:A,'QALS - Inspection Lot Record'!I:I)</f>
        <v>0.45229166666666665</v>
      </c>
      <c r="L746" s="59">
        <f t="shared" ca="1" si="58"/>
        <v>45916</v>
      </c>
      <c r="M746" s="30">
        <f t="shared" ca="1" si="59"/>
        <v>0.4849074074074074</v>
      </c>
      <c r="N746" s="31"/>
      <c r="O746" s="31">
        <v>98.5</v>
      </c>
      <c r="P746" s="29">
        <v>95</v>
      </c>
      <c r="Q746" s="29">
        <v>102</v>
      </c>
    </row>
    <row r="747" spans="1:17" x14ac:dyDescent="0.35">
      <c r="A747" s="26">
        <v>40000002594</v>
      </c>
      <c r="B747" s="27">
        <v>1</v>
      </c>
      <c r="C747" s="29" t="str">
        <f>LOOKUP(A747,'QALS - Inspection Lot Record'!$A$2:$A$361,'QALS - Inspection Lot Record'!$O$2:$O$361)</f>
        <v>Ibuprofen Tablets (100 MG)</v>
      </c>
      <c r="D747" s="31">
        <v>20</v>
      </c>
      <c r="E747" s="29" t="s">
        <v>400</v>
      </c>
      <c r="F747" s="29" t="str">
        <f>LOOKUP(A747,'QALS - Inspection Lot Record'!A:A,'QALS - Inspection Lot Record'!G:G)</f>
        <v>YA284176</v>
      </c>
      <c r="G747" s="59">
        <f ca="1">LOOKUP(A747,'QALS - Inspection Lot Record'!A:A,'QALS - Inspection Lot Record'!E:E)</f>
        <v>45916</v>
      </c>
      <c r="H747" s="34" t="str">
        <f t="shared" si="60"/>
        <v>A</v>
      </c>
      <c r="I747" s="29" t="str">
        <f t="shared" si="56"/>
        <v>YA284176</v>
      </c>
      <c r="J747" s="59">
        <f t="shared" ca="1" si="57"/>
        <v>45916</v>
      </c>
      <c r="K747" s="30">
        <f ca="1">LOOKUP(A747,'QALS - Inspection Lot Record'!A:A,'QALS - Inspection Lot Record'!I:I)</f>
        <v>0.45229166666666665</v>
      </c>
      <c r="L747" s="59">
        <f t="shared" ca="1" si="58"/>
        <v>45916</v>
      </c>
      <c r="M747" s="30">
        <f t="shared" ca="1" si="59"/>
        <v>0.47181712962962963</v>
      </c>
      <c r="N747" s="31"/>
      <c r="O747" s="31">
        <v>7.25</v>
      </c>
      <c r="P747" s="29">
        <v>3.5</v>
      </c>
      <c r="Q747" s="29">
        <v>11</v>
      </c>
    </row>
    <row r="748" spans="1:17" x14ac:dyDescent="0.35">
      <c r="A748" s="26">
        <v>40000002594</v>
      </c>
      <c r="B748" s="31">
        <v>1</v>
      </c>
      <c r="C748" s="29" t="str">
        <f>LOOKUP(A748,'QALS - Inspection Lot Record'!$A$2:$A$361,'QALS - Inspection Lot Record'!$O$2:$O$361)</f>
        <v>Ibuprofen Tablets (100 MG)</v>
      </c>
      <c r="D748" s="31">
        <v>30</v>
      </c>
      <c r="E748" s="29" t="s">
        <v>401</v>
      </c>
      <c r="F748" s="29" t="str">
        <f>LOOKUP(A748,'QALS - Inspection Lot Record'!A:A,'QALS - Inspection Lot Record'!G:G)</f>
        <v>YA284176</v>
      </c>
      <c r="G748" s="59">
        <f ca="1">LOOKUP(A748,'QALS - Inspection Lot Record'!A:A,'QALS - Inspection Lot Record'!E:E)</f>
        <v>45916</v>
      </c>
      <c r="H748" s="34" t="str">
        <f t="shared" si="60"/>
        <v>A</v>
      </c>
      <c r="I748" s="29" t="str">
        <f t="shared" si="56"/>
        <v>YA284176</v>
      </c>
      <c r="J748" s="59">
        <f t="shared" ca="1" si="57"/>
        <v>45916</v>
      </c>
      <c r="K748" s="30">
        <f ca="1">LOOKUP(A748,'QALS - Inspection Lot Record'!A:A,'QALS - Inspection Lot Record'!I:I)</f>
        <v>0.45229166666666665</v>
      </c>
      <c r="L748" s="59">
        <f t="shared" ca="1" si="58"/>
        <v>45916</v>
      </c>
      <c r="M748" s="30">
        <f t="shared" ca="1" si="59"/>
        <v>0.48075231481481479</v>
      </c>
      <c r="N748" s="11" t="s">
        <v>402</v>
      </c>
      <c r="O748" s="31"/>
      <c r="P748" s="29"/>
      <c r="Q748" s="29"/>
    </row>
    <row r="749" spans="1:17" x14ac:dyDescent="0.35">
      <c r="A749" s="26">
        <v>40000002594</v>
      </c>
      <c r="B749" s="31">
        <v>1</v>
      </c>
      <c r="C749" s="29" t="str">
        <f>LOOKUP(A749,'QALS - Inspection Lot Record'!$A$2:$A$361,'QALS - Inspection Lot Record'!$O$2:$O$361)</f>
        <v>Ibuprofen Tablets (100 MG)</v>
      </c>
      <c r="D749" s="31">
        <v>40</v>
      </c>
      <c r="E749" s="29" t="s">
        <v>403</v>
      </c>
      <c r="F749" s="29" t="str">
        <f>LOOKUP(A749,'QALS - Inspection Lot Record'!A:A,'QALS - Inspection Lot Record'!G:G)</f>
        <v>YA284176</v>
      </c>
      <c r="G749" s="59">
        <f ca="1">LOOKUP(A749,'QALS - Inspection Lot Record'!A:A,'QALS - Inspection Lot Record'!E:E)</f>
        <v>45916</v>
      </c>
      <c r="H749" s="34" t="str">
        <f t="shared" si="60"/>
        <v>A</v>
      </c>
      <c r="I749" s="29" t="str">
        <f t="shared" si="56"/>
        <v>YA284176</v>
      </c>
      <c r="J749" s="59">
        <f t="shared" ca="1" si="57"/>
        <v>45916</v>
      </c>
      <c r="K749" s="30">
        <f ca="1">LOOKUP(A749,'QALS - Inspection Lot Record'!A:A,'QALS - Inspection Lot Record'!I:I)</f>
        <v>0.45229166666666665</v>
      </c>
      <c r="L749" s="59">
        <f t="shared" ca="1" si="58"/>
        <v>45916</v>
      </c>
      <c r="M749" s="30">
        <f t="shared" ca="1" si="59"/>
        <v>0.48093749999999996</v>
      </c>
      <c r="N749" s="31"/>
      <c r="O749" s="31">
        <v>0</v>
      </c>
      <c r="P749" s="29">
        <v>0</v>
      </c>
      <c r="Q749" s="29">
        <v>1</v>
      </c>
    </row>
    <row r="750" spans="1:17" x14ac:dyDescent="0.35">
      <c r="A750" s="26">
        <v>40000002594</v>
      </c>
      <c r="B750" s="31">
        <v>1</v>
      </c>
      <c r="C750" s="29" t="str">
        <f>LOOKUP(A750,'QALS - Inspection Lot Record'!$A$2:$A$361,'QALS - Inspection Lot Record'!$O$2:$O$361)</f>
        <v>Ibuprofen Tablets (100 MG)</v>
      </c>
      <c r="D750" s="31">
        <v>50</v>
      </c>
      <c r="E750" s="29" t="s">
        <v>404</v>
      </c>
      <c r="F750" s="29" t="str">
        <f>LOOKUP(A750,'QALS - Inspection Lot Record'!A:A,'QALS - Inspection Lot Record'!G:G)</f>
        <v>YA284176</v>
      </c>
      <c r="G750" s="59">
        <f ca="1">LOOKUP(A750,'QALS - Inspection Lot Record'!A:A,'QALS - Inspection Lot Record'!E:E)</f>
        <v>45916</v>
      </c>
      <c r="H750" s="34" t="str">
        <f t="shared" si="60"/>
        <v>A</v>
      </c>
      <c r="I750" s="29" t="str">
        <f t="shared" si="56"/>
        <v>YA284176</v>
      </c>
      <c r="J750" s="59">
        <f t="shared" ca="1" si="57"/>
        <v>45916</v>
      </c>
      <c r="K750" s="30">
        <f ca="1">LOOKUP(A750,'QALS - Inspection Lot Record'!A:A,'QALS - Inspection Lot Record'!I:I)</f>
        <v>0.45229166666666665</v>
      </c>
      <c r="L750" s="59">
        <f t="shared" ca="1" si="58"/>
        <v>45916</v>
      </c>
      <c r="M750" s="30">
        <f t="shared" ca="1" si="59"/>
        <v>0.4735300925925926</v>
      </c>
      <c r="N750" s="31"/>
      <c r="O750" s="31">
        <v>50</v>
      </c>
      <c r="P750" s="29">
        <v>40</v>
      </c>
      <c r="Q750" s="29">
        <v>60</v>
      </c>
    </row>
    <row r="751" spans="1:17" x14ac:dyDescent="0.35">
      <c r="A751" s="26">
        <v>40000002594</v>
      </c>
      <c r="B751" s="31">
        <v>1</v>
      </c>
      <c r="C751" s="29" t="str">
        <f>LOOKUP(A751,'QALS - Inspection Lot Record'!$A$2:$A$361,'QALS - Inspection Lot Record'!$O$2:$O$361)</f>
        <v>Ibuprofen Tablets (100 MG)</v>
      </c>
      <c r="D751" s="31">
        <v>60</v>
      </c>
      <c r="E751" s="29" t="s">
        <v>405</v>
      </c>
      <c r="F751" s="29" t="str">
        <f>LOOKUP(A751,'QALS - Inspection Lot Record'!A:A,'QALS - Inspection Lot Record'!G:G)</f>
        <v>YA284176</v>
      </c>
      <c r="G751" s="59">
        <f ca="1">LOOKUP(A751,'QALS - Inspection Lot Record'!A:A,'QALS - Inspection Lot Record'!E:E)</f>
        <v>45916</v>
      </c>
      <c r="H751" s="34" t="str">
        <f t="shared" si="60"/>
        <v>A</v>
      </c>
      <c r="I751" s="29" t="str">
        <f t="shared" si="56"/>
        <v>YA284176</v>
      </c>
      <c r="J751" s="59">
        <f t="shared" ca="1" si="57"/>
        <v>45916</v>
      </c>
      <c r="K751" s="30">
        <f ca="1">LOOKUP(A751,'QALS - Inspection Lot Record'!A:A,'QALS - Inspection Lot Record'!I:I)</f>
        <v>0.45229166666666665</v>
      </c>
      <c r="L751" s="59">
        <f t="shared" ca="1" si="58"/>
        <v>45916</v>
      </c>
      <c r="M751" s="30">
        <f t="shared" ca="1" si="59"/>
        <v>0.48710648148148145</v>
      </c>
      <c r="N751" s="31"/>
      <c r="O751" s="31">
        <v>77.5</v>
      </c>
      <c r="P751" s="29">
        <v>70</v>
      </c>
      <c r="Q751" s="29">
        <v>85</v>
      </c>
    </row>
    <row r="752" spans="1:17" x14ac:dyDescent="0.35">
      <c r="A752" s="26">
        <v>40000002594</v>
      </c>
      <c r="B752" s="31">
        <v>1</v>
      </c>
      <c r="C752" s="29" t="str">
        <f>LOOKUP(A752,'QALS - Inspection Lot Record'!$A$2:$A$361,'QALS - Inspection Lot Record'!$O$2:$O$361)</f>
        <v>Ibuprofen Tablets (100 MG)</v>
      </c>
      <c r="D752" s="31">
        <v>70</v>
      </c>
      <c r="E752" s="29" t="s">
        <v>406</v>
      </c>
      <c r="F752" s="29" t="str">
        <f>LOOKUP(A752,'QALS - Inspection Lot Record'!A:A,'QALS - Inspection Lot Record'!G:G)</f>
        <v>YA284176</v>
      </c>
      <c r="G752" s="59">
        <f ca="1">LOOKUP(A752,'QALS - Inspection Lot Record'!A:A,'QALS - Inspection Lot Record'!E:E)</f>
        <v>45916</v>
      </c>
      <c r="H752" s="34" t="str">
        <f t="shared" si="60"/>
        <v>A</v>
      </c>
      <c r="I752" s="29" t="str">
        <f t="shared" si="56"/>
        <v>YA284176</v>
      </c>
      <c r="J752" s="59">
        <f t="shared" ca="1" si="57"/>
        <v>45916</v>
      </c>
      <c r="K752" s="30">
        <f ca="1">LOOKUP(A752,'QALS - Inspection Lot Record'!A:A,'QALS - Inspection Lot Record'!I:I)</f>
        <v>0.45229166666666665</v>
      </c>
      <c r="L752" s="59">
        <f t="shared" ca="1" si="58"/>
        <v>45916</v>
      </c>
      <c r="M752" s="30">
        <f t="shared" ca="1" si="59"/>
        <v>0.47489583333333329</v>
      </c>
      <c r="N752" s="31"/>
      <c r="O752" s="31">
        <v>85</v>
      </c>
      <c r="P752" s="29">
        <v>80</v>
      </c>
      <c r="Q752" s="29">
        <v>90</v>
      </c>
    </row>
    <row r="753" spans="1:17" x14ac:dyDescent="0.35">
      <c r="A753" s="26">
        <v>40000002594</v>
      </c>
      <c r="B753" s="31">
        <v>1</v>
      </c>
      <c r="C753" s="29" t="str">
        <f>LOOKUP(A753,'QALS - Inspection Lot Record'!$A$2:$A$361,'QALS - Inspection Lot Record'!$O$2:$O$361)</f>
        <v>Ibuprofen Tablets (100 MG)</v>
      </c>
      <c r="D753" s="31">
        <v>80</v>
      </c>
      <c r="E753" s="29" t="s">
        <v>407</v>
      </c>
      <c r="F753" s="29" t="str">
        <f>LOOKUP(A753,'QALS - Inspection Lot Record'!A:A,'QALS - Inspection Lot Record'!G:G)</f>
        <v>YA284176</v>
      </c>
      <c r="G753" s="59">
        <f ca="1">LOOKUP(A753,'QALS - Inspection Lot Record'!A:A,'QALS - Inspection Lot Record'!E:E)</f>
        <v>45916</v>
      </c>
      <c r="H753" s="34" t="str">
        <f t="shared" si="60"/>
        <v>A</v>
      </c>
      <c r="I753" s="29" t="str">
        <f t="shared" si="56"/>
        <v>YA284176</v>
      </c>
      <c r="J753" s="59">
        <f t="shared" ca="1" si="57"/>
        <v>45916</v>
      </c>
      <c r="K753" s="30">
        <f ca="1">LOOKUP(A753,'QALS - Inspection Lot Record'!A:A,'QALS - Inspection Lot Record'!I:I)</f>
        <v>0.45229166666666665</v>
      </c>
      <c r="L753" s="59">
        <f t="shared" ca="1" si="58"/>
        <v>45916</v>
      </c>
      <c r="M753" s="30">
        <f t="shared" ca="1" si="59"/>
        <v>0.4859606481481481</v>
      </c>
      <c r="N753" s="31"/>
      <c r="O753" s="31">
        <v>24</v>
      </c>
      <c r="P753" s="29">
        <v>23</v>
      </c>
      <c r="Q753" s="29">
        <v>25</v>
      </c>
    </row>
    <row r="754" spans="1:17" x14ac:dyDescent="0.35">
      <c r="A754" s="26">
        <v>40000002595</v>
      </c>
      <c r="B754" s="27">
        <v>1</v>
      </c>
      <c r="C754" s="29" t="str">
        <f>LOOKUP(A754,'QALS - Inspection Lot Record'!$A$2:$A$361,'QALS - Inspection Lot Record'!$O$2:$O$361)</f>
        <v>Metformin Tablets (200 MG)</v>
      </c>
      <c r="D754" s="27">
        <v>10</v>
      </c>
      <c r="E754" s="26" t="s">
        <v>399</v>
      </c>
      <c r="F754" s="29" t="str">
        <f>LOOKUP(A754,'QALS - Inspection Lot Record'!A:A,'QALS - Inspection Lot Record'!G:G)</f>
        <v>AB406550</v>
      </c>
      <c r="G754" s="59">
        <f ca="1">LOOKUP(A754,'QALS - Inspection Lot Record'!A:A,'QALS - Inspection Lot Record'!E:E)</f>
        <v>45917</v>
      </c>
      <c r="H754" s="34" t="str">
        <f t="shared" si="60"/>
        <v>A</v>
      </c>
      <c r="I754" s="29" t="str">
        <f t="shared" si="56"/>
        <v>AB406550</v>
      </c>
      <c r="J754" s="59">
        <f t="shared" ca="1" si="57"/>
        <v>45917</v>
      </c>
      <c r="K754" s="30">
        <f ca="1">LOOKUP(A754,'QALS - Inspection Lot Record'!A:A,'QALS - Inspection Lot Record'!I:I)</f>
        <v>0.60950231481481476</v>
      </c>
      <c r="L754" s="59">
        <f t="shared" ca="1" si="58"/>
        <v>45917</v>
      </c>
      <c r="M754" s="30">
        <f t="shared" ca="1" si="59"/>
        <v>0.64355324074074072</v>
      </c>
      <c r="N754" s="31"/>
      <c r="O754" s="31">
        <v>99</v>
      </c>
      <c r="P754" s="29">
        <v>95</v>
      </c>
      <c r="Q754" s="29">
        <v>103</v>
      </c>
    </row>
    <row r="755" spans="1:17" x14ac:dyDescent="0.35">
      <c r="A755" s="26">
        <v>40000002595</v>
      </c>
      <c r="B755" s="27">
        <v>1</v>
      </c>
      <c r="C755" s="29" t="str">
        <f>LOOKUP(A755,'QALS - Inspection Lot Record'!$A$2:$A$361,'QALS - Inspection Lot Record'!$O$2:$O$361)</f>
        <v>Metformin Tablets (200 MG)</v>
      </c>
      <c r="D755" s="31">
        <v>20</v>
      </c>
      <c r="E755" s="29" t="s">
        <v>400</v>
      </c>
      <c r="F755" s="29" t="str">
        <f>LOOKUP(A755,'QALS - Inspection Lot Record'!A:A,'QALS - Inspection Lot Record'!G:G)</f>
        <v>AB406550</v>
      </c>
      <c r="G755" s="59">
        <f ca="1">LOOKUP(A755,'QALS - Inspection Lot Record'!A:A,'QALS - Inspection Lot Record'!E:E)</f>
        <v>45917</v>
      </c>
      <c r="H755" s="34" t="str">
        <f t="shared" si="60"/>
        <v>A</v>
      </c>
      <c r="I755" s="29" t="str">
        <f t="shared" si="56"/>
        <v>AB406550</v>
      </c>
      <c r="J755" s="59">
        <f t="shared" ca="1" si="57"/>
        <v>45917</v>
      </c>
      <c r="K755" s="30">
        <f ca="1">LOOKUP(A755,'QALS - Inspection Lot Record'!A:A,'QALS - Inspection Lot Record'!I:I)</f>
        <v>0.60950231481481476</v>
      </c>
      <c r="L755" s="59">
        <f t="shared" ca="1" si="58"/>
        <v>45917</v>
      </c>
      <c r="M755" s="30">
        <f t="shared" ca="1" si="59"/>
        <v>0.63094907407407397</v>
      </c>
      <c r="N755" s="31"/>
      <c r="O755" s="31">
        <v>7.75</v>
      </c>
      <c r="P755" s="29">
        <v>6</v>
      </c>
      <c r="Q755" s="29">
        <v>9.5</v>
      </c>
    </row>
    <row r="756" spans="1:17" x14ac:dyDescent="0.35">
      <c r="A756" s="26">
        <v>40000002595</v>
      </c>
      <c r="B756" s="31">
        <v>1</v>
      </c>
      <c r="C756" s="29" t="str">
        <f>LOOKUP(A756,'QALS - Inspection Lot Record'!$A$2:$A$361,'QALS - Inspection Lot Record'!$O$2:$O$361)</f>
        <v>Metformin Tablets (200 MG)</v>
      </c>
      <c r="D756" s="31">
        <v>30</v>
      </c>
      <c r="E756" s="29" t="s">
        <v>401</v>
      </c>
      <c r="F756" s="29" t="str">
        <f>LOOKUP(A756,'QALS - Inspection Lot Record'!A:A,'QALS - Inspection Lot Record'!G:G)</f>
        <v>AB406550</v>
      </c>
      <c r="G756" s="59">
        <f ca="1">LOOKUP(A756,'QALS - Inspection Lot Record'!A:A,'QALS - Inspection Lot Record'!E:E)</f>
        <v>45917</v>
      </c>
      <c r="H756" s="34" t="str">
        <f t="shared" si="60"/>
        <v>A</v>
      </c>
      <c r="I756" s="29" t="str">
        <f t="shared" si="56"/>
        <v>AB406550</v>
      </c>
      <c r="J756" s="59">
        <f t="shared" ca="1" si="57"/>
        <v>45917</v>
      </c>
      <c r="K756" s="30">
        <f ca="1">LOOKUP(A756,'QALS - Inspection Lot Record'!A:A,'QALS - Inspection Lot Record'!I:I)</f>
        <v>0.60950231481481476</v>
      </c>
      <c r="L756" s="59">
        <f t="shared" ca="1" si="58"/>
        <v>45917</v>
      </c>
      <c r="M756" s="30">
        <f t="shared" ca="1" si="59"/>
        <v>0.64247685185185177</v>
      </c>
      <c r="N756" s="11" t="s">
        <v>402</v>
      </c>
      <c r="O756" s="31"/>
      <c r="P756" s="29"/>
      <c r="Q756" s="29"/>
    </row>
    <row r="757" spans="1:17" x14ac:dyDescent="0.35">
      <c r="A757" s="26">
        <v>40000002595</v>
      </c>
      <c r="B757" s="31">
        <v>1</v>
      </c>
      <c r="C757" s="29" t="str">
        <f>LOOKUP(A757,'QALS - Inspection Lot Record'!$A$2:$A$361,'QALS - Inspection Lot Record'!$O$2:$O$361)</f>
        <v>Metformin Tablets (200 MG)</v>
      </c>
      <c r="D757" s="31">
        <v>40</v>
      </c>
      <c r="E757" s="29" t="s">
        <v>403</v>
      </c>
      <c r="F757" s="29" t="str">
        <f>LOOKUP(A757,'QALS - Inspection Lot Record'!A:A,'QALS - Inspection Lot Record'!G:G)</f>
        <v>AB406550</v>
      </c>
      <c r="G757" s="59">
        <f ca="1">LOOKUP(A757,'QALS - Inspection Lot Record'!A:A,'QALS - Inspection Lot Record'!E:E)</f>
        <v>45917</v>
      </c>
      <c r="H757" s="34" t="str">
        <f t="shared" si="60"/>
        <v>A</v>
      </c>
      <c r="I757" s="29" t="str">
        <f t="shared" si="56"/>
        <v>AB406550</v>
      </c>
      <c r="J757" s="59">
        <f t="shared" ca="1" si="57"/>
        <v>45917</v>
      </c>
      <c r="K757" s="30">
        <f ca="1">LOOKUP(A757,'QALS - Inspection Lot Record'!A:A,'QALS - Inspection Lot Record'!I:I)</f>
        <v>0.60950231481481476</v>
      </c>
      <c r="L757" s="59">
        <f t="shared" ca="1" si="58"/>
        <v>45917</v>
      </c>
      <c r="M757" s="30">
        <f t="shared" ca="1" si="59"/>
        <v>0.62902777777777774</v>
      </c>
      <c r="N757" s="31"/>
      <c r="O757" s="31">
        <v>1.6</v>
      </c>
      <c r="P757" s="29">
        <v>0</v>
      </c>
      <c r="Q757" s="29">
        <v>2</v>
      </c>
    </row>
    <row r="758" spans="1:17" x14ac:dyDescent="0.35">
      <c r="A758" s="26">
        <v>40000002595</v>
      </c>
      <c r="B758" s="31">
        <v>1</v>
      </c>
      <c r="C758" s="29" t="str">
        <f>LOOKUP(A758,'QALS - Inspection Lot Record'!$A$2:$A$361,'QALS - Inspection Lot Record'!$O$2:$O$361)</f>
        <v>Metformin Tablets (200 MG)</v>
      </c>
      <c r="D758" s="31">
        <v>50</v>
      </c>
      <c r="E758" s="29" t="s">
        <v>404</v>
      </c>
      <c r="F758" s="29" t="str">
        <f>LOOKUP(A758,'QALS - Inspection Lot Record'!A:A,'QALS - Inspection Lot Record'!G:G)</f>
        <v>AB406550</v>
      </c>
      <c r="G758" s="59">
        <f ca="1">LOOKUP(A758,'QALS - Inspection Lot Record'!A:A,'QALS - Inspection Lot Record'!E:E)</f>
        <v>45917</v>
      </c>
      <c r="H758" s="34" t="str">
        <f t="shared" si="60"/>
        <v>R</v>
      </c>
      <c r="I758" s="29" t="str">
        <f t="shared" si="56"/>
        <v>AB406550</v>
      </c>
      <c r="J758" s="59">
        <f t="shared" ca="1" si="57"/>
        <v>45917</v>
      </c>
      <c r="K758" s="30">
        <f ca="1">LOOKUP(A758,'QALS - Inspection Lot Record'!A:A,'QALS - Inspection Lot Record'!I:I)</f>
        <v>0.60950231481481476</v>
      </c>
      <c r="L758" s="59">
        <f t="shared" ca="1" si="58"/>
        <v>45917</v>
      </c>
      <c r="M758" s="30">
        <f t="shared" ca="1" si="59"/>
        <v>0.64353009259259253</v>
      </c>
      <c r="N758" s="31"/>
      <c r="O758" s="31">
        <v>38.9</v>
      </c>
      <c r="P758" s="29">
        <v>40</v>
      </c>
      <c r="Q758" s="29">
        <v>60</v>
      </c>
    </row>
    <row r="759" spans="1:17" x14ac:dyDescent="0.35">
      <c r="A759" s="26">
        <v>40000002595</v>
      </c>
      <c r="B759" s="31">
        <v>1</v>
      </c>
      <c r="C759" s="29" t="str">
        <f>LOOKUP(A759,'QALS - Inspection Lot Record'!$A$2:$A$361,'QALS - Inspection Lot Record'!$O$2:$O$361)</f>
        <v>Metformin Tablets (200 MG)</v>
      </c>
      <c r="D759" s="31">
        <v>60</v>
      </c>
      <c r="E759" s="29" t="s">
        <v>405</v>
      </c>
      <c r="F759" s="29" t="str">
        <f>LOOKUP(A759,'QALS - Inspection Lot Record'!A:A,'QALS - Inspection Lot Record'!G:G)</f>
        <v>AB406550</v>
      </c>
      <c r="G759" s="59">
        <f ca="1">LOOKUP(A759,'QALS - Inspection Lot Record'!A:A,'QALS - Inspection Lot Record'!E:E)</f>
        <v>45917</v>
      </c>
      <c r="H759" s="34" t="str">
        <f t="shared" si="60"/>
        <v>R</v>
      </c>
      <c r="I759" s="29" t="str">
        <f t="shared" si="56"/>
        <v>AB406550</v>
      </c>
      <c r="J759" s="59">
        <f t="shared" ca="1" si="57"/>
        <v>45917</v>
      </c>
      <c r="K759" s="30">
        <f ca="1">LOOKUP(A759,'QALS - Inspection Lot Record'!A:A,'QALS - Inspection Lot Record'!I:I)</f>
        <v>0.60950231481481476</v>
      </c>
      <c r="L759" s="59">
        <f t="shared" ca="1" si="58"/>
        <v>45917</v>
      </c>
      <c r="M759" s="30">
        <f t="shared" ca="1" si="59"/>
        <v>0.64057870370370362</v>
      </c>
      <c r="N759" s="31"/>
      <c r="O759" s="31">
        <v>68</v>
      </c>
      <c r="P759" s="29">
        <v>70</v>
      </c>
      <c r="Q759" s="29">
        <v>85</v>
      </c>
    </row>
    <row r="760" spans="1:17" x14ac:dyDescent="0.35">
      <c r="A760" s="26">
        <v>40000002595</v>
      </c>
      <c r="B760" s="31">
        <v>1</v>
      </c>
      <c r="C760" s="29" t="str">
        <f>LOOKUP(A760,'QALS - Inspection Lot Record'!$A$2:$A$361,'QALS - Inspection Lot Record'!$O$2:$O$361)</f>
        <v>Metformin Tablets (200 MG)</v>
      </c>
      <c r="D760" s="31">
        <v>70</v>
      </c>
      <c r="E760" s="29" t="s">
        <v>406</v>
      </c>
      <c r="F760" s="29" t="str">
        <f>LOOKUP(A760,'QALS - Inspection Lot Record'!A:A,'QALS - Inspection Lot Record'!G:G)</f>
        <v>AB406550</v>
      </c>
      <c r="G760" s="59">
        <f ca="1">LOOKUP(A760,'QALS - Inspection Lot Record'!A:A,'QALS - Inspection Lot Record'!E:E)</f>
        <v>45917</v>
      </c>
      <c r="H760" s="34" t="str">
        <f t="shared" si="60"/>
        <v>A</v>
      </c>
      <c r="I760" s="29" t="str">
        <f t="shared" si="56"/>
        <v>AB406550</v>
      </c>
      <c r="J760" s="59">
        <f t="shared" ca="1" si="57"/>
        <v>45917</v>
      </c>
      <c r="K760" s="30">
        <f ca="1">LOOKUP(A760,'QALS - Inspection Lot Record'!A:A,'QALS - Inspection Lot Record'!I:I)</f>
        <v>0.60950231481481476</v>
      </c>
      <c r="L760" s="59">
        <f t="shared" ca="1" si="58"/>
        <v>45917</v>
      </c>
      <c r="M760" s="30">
        <f t="shared" ca="1" si="59"/>
        <v>0.63034722222222217</v>
      </c>
      <c r="N760" s="31"/>
      <c r="O760" s="31">
        <v>84</v>
      </c>
      <c r="P760" s="29">
        <v>80</v>
      </c>
      <c r="Q760" s="29">
        <v>90</v>
      </c>
    </row>
    <row r="761" spans="1:17" x14ac:dyDescent="0.35">
      <c r="A761" s="26">
        <v>40000002595</v>
      </c>
      <c r="B761" s="31">
        <v>1</v>
      </c>
      <c r="C761" s="29" t="str">
        <f>LOOKUP(A761,'QALS - Inspection Lot Record'!$A$2:$A$361,'QALS - Inspection Lot Record'!$O$2:$O$361)</f>
        <v>Metformin Tablets (200 MG)</v>
      </c>
      <c r="D761" s="31">
        <v>80</v>
      </c>
      <c r="E761" s="29" t="s">
        <v>407</v>
      </c>
      <c r="F761" s="29" t="str">
        <f>LOOKUP(A761,'QALS - Inspection Lot Record'!A:A,'QALS - Inspection Lot Record'!G:G)</f>
        <v>AB406550</v>
      </c>
      <c r="G761" s="59">
        <f ca="1">LOOKUP(A761,'QALS - Inspection Lot Record'!A:A,'QALS - Inspection Lot Record'!E:E)</f>
        <v>45917</v>
      </c>
      <c r="H761" s="34" t="str">
        <f t="shared" si="60"/>
        <v>A</v>
      </c>
      <c r="I761" s="29" t="str">
        <f t="shared" si="56"/>
        <v>AB406550</v>
      </c>
      <c r="J761" s="59">
        <f t="shared" ca="1" si="57"/>
        <v>45917</v>
      </c>
      <c r="K761" s="30">
        <f ca="1">LOOKUP(A761,'QALS - Inspection Lot Record'!A:A,'QALS - Inspection Lot Record'!I:I)</f>
        <v>0.60950231481481476</v>
      </c>
      <c r="L761" s="59">
        <f t="shared" ca="1" si="58"/>
        <v>45917</v>
      </c>
      <c r="M761" s="30">
        <f t="shared" ca="1" si="59"/>
        <v>0.64009259259259255</v>
      </c>
      <c r="N761" s="31"/>
      <c r="O761" s="31">
        <v>23.9</v>
      </c>
      <c r="P761" s="29">
        <v>23</v>
      </c>
      <c r="Q761" s="29">
        <v>28</v>
      </c>
    </row>
    <row r="762" spans="1:17" x14ac:dyDescent="0.35">
      <c r="A762" s="26">
        <v>40000002596</v>
      </c>
      <c r="B762" s="27">
        <v>1</v>
      </c>
      <c r="C762" s="29" t="str">
        <f>LOOKUP(A762,'QALS - Inspection Lot Record'!$A$2:$A$361,'QALS - Inspection Lot Record'!$O$2:$O$361)</f>
        <v>Ibuprofen Tablets (100 MG)</v>
      </c>
      <c r="D762" s="27">
        <v>10</v>
      </c>
      <c r="E762" s="26" t="s">
        <v>399</v>
      </c>
      <c r="F762" s="29" t="str">
        <f>LOOKUP(A762,'QALS - Inspection Lot Record'!A:A,'QALS - Inspection Lot Record'!G:G)</f>
        <v>GC197258</v>
      </c>
      <c r="G762" s="59">
        <f ca="1">LOOKUP(A762,'QALS - Inspection Lot Record'!A:A,'QALS - Inspection Lot Record'!E:E)</f>
        <v>45917</v>
      </c>
      <c r="H762" s="34" t="str">
        <f t="shared" si="60"/>
        <v>A</v>
      </c>
      <c r="I762" s="29" t="str">
        <f t="shared" si="56"/>
        <v>GC197258</v>
      </c>
      <c r="J762" s="59">
        <f t="shared" ca="1" si="57"/>
        <v>45917</v>
      </c>
      <c r="K762" s="30">
        <f ca="1">LOOKUP(A762,'QALS - Inspection Lot Record'!A:A,'QALS - Inspection Lot Record'!I:I)</f>
        <v>0.24616898148148147</v>
      </c>
      <c r="L762" s="59">
        <f t="shared" ca="1" si="58"/>
        <v>45917</v>
      </c>
      <c r="M762" s="30">
        <f t="shared" ca="1" si="59"/>
        <v>0.26709490740740738</v>
      </c>
      <c r="N762" s="31"/>
      <c r="O762" s="31">
        <v>98.5</v>
      </c>
      <c r="P762" s="29">
        <v>95</v>
      </c>
      <c r="Q762" s="29">
        <v>102</v>
      </c>
    </row>
    <row r="763" spans="1:17" x14ac:dyDescent="0.35">
      <c r="A763" s="26">
        <v>40000002596</v>
      </c>
      <c r="B763" s="27">
        <v>1</v>
      </c>
      <c r="C763" s="29" t="str">
        <f>LOOKUP(A763,'QALS - Inspection Lot Record'!$A$2:$A$361,'QALS - Inspection Lot Record'!$O$2:$O$361)</f>
        <v>Ibuprofen Tablets (100 MG)</v>
      </c>
      <c r="D763" s="31">
        <v>20</v>
      </c>
      <c r="E763" s="29" t="s">
        <v>400</v>
      </c>
      <c r="F763" s="29" t="str">
        <f>LOOKUP(A763,'QALS - Inspection Lot Record'!A:A,'QALS - Inspection Lot Record'!G:G)</f>
        <v>GC197258</v>
      </c>
      <c r="G763" s="59">
        <f ca="1">LOOKUP(A763,'QALS - Inspection Lot Record'!A:A,'QALS - Inspection Lot Record'!E:E)</f>
        <v>45917</v>
      </c>
      <c r="H763" s="34" t="str">
        <f t="shared" si="60"/>
        <v>A</v>
      </c>
      <c r="I763" s="29" t="str">
        <f t="shared" si="56"/>
        <v>GC197258</v>
      </c>
      <c r="J763" s="59">
        <f t="shared" ca="1" si="57"/>
        <v>45917</v>
      </c>
      <c r="K763" s="30">
        <f ca="1">LOOKUP(A763,'QALS - Inspection Lot Record'!A:A,'QALS - Inspection Lot Record'!I:I)</f>
        <v>0.24616898148148147</v>
      </c>
      <c r="L763" s="59">
        <f t="shared" ca="1" si="58"/>
        <v>45917</v>
      </c>
      <c r="M763" s="30">
        <f t="shared" ca="1" si="59"/>
        <v>0.27708333333333335</v>
      </c>
      <c r="N763" s="31"/>
      <c r="O763" s="31">
        <v>7.25</v>
      </c>
      <c r="P763" s="29">
        <v>3.5</v>
      </c>
      <c r="Q763" s="29">
        <v>11</v>
      </c>
    </row>
    <row r="764" spans="1:17" x14ac:dyDescent="0.35">
      <c r="A764" s="26">
        <v>40000002596</v>
      </c>
      <c r="B764" s="31">
        <v>1</v>
      </c>
      <c r="C764" s="29" t="str">
        <f>LOOKUP(A764,'QALS - Inspection Lot Record'!$A$2:$A$361,'QALS - Inspection Lot Record'!$O$2:$O$361)</f>
        <v>Ibuprofen Tablets (100 MG)</v>
      </c>
      <c r="D764" s="31">
        <v>30</v>
      </c>
      <c r="E764" s="29" t="s">
        <v>401</v>
      </c>
      <c r="F764" s="29" t="str">
        <f>LOOKUP(A764,'QALS - Inspection Lot Record'!A:A,'QALS - Inspection Lot Record'!G:G)</f>
        <v>GC197258</v>
      </c>
      <c r="G764" s="59">
        <f ca="1">LOOKUP(A764,'QALS - Inspection Lot Record'!A:A,'QALS - Inspection Lot Record'!E:E)</f>
        <v>45917</v>
      </c>
      <c r="H764" s="34" t="str">
        <f t="shared" si="60"/>
        <v>A</v>
      </c>
      <c r="I764" s="29" t="str">
        <f t="shared" si="56"/>
        <v>GC197258</v>
      </c>
      <c r="J764" s="59">
        <f t="shared" ca="1" si="57"/>
        <v>45917</v>
      </c>
      <c r="K764" s="30">
        <f ca="1">LOOKUP(A764,'QALS - Inspection Lot Record'!A:A,'QALS - Inspection Lot Record'!I:I)</f>
        <v>0.24616898148148147</v>
      </c>
      <c r="L764" s="59">
        <f t="shared" ca="1" si="58"/>
        <v>45917</v>
      </c>
      <c r="M764" s="30">
        <f t="shared" ca="1" si="59"/>
        <v>0.27386574074074072</v>
      </c>
      <c r="N764" s="11" t="s">
        <v>402</v>
      </c>
      <c r="O764" s="31"/>
      <c r="P764" s="29"/>
      <c r="Q764" s="29"/>
    </row>
    <row r="765" spans="1:17" x14ac:dyDescent="0.35">
      <c r="A765" s="26">
        <v>40000002596</v>
      </c>
      <c r="B765" s="31">
        <v>1</v>
      </c>
      <c r="C765" s="29" t="str">
        <f>LOOKUP(A765,'QALS - Inspection Lot Record'!$A$2:$A$361,'QALS - Inspection Lot Record'!$O$2:$O$361)</f>
        <v>Ibuprofen Tablets (100 MG)</v>
      </c>
      <c r="D765" s="31">
        <v>40</v>
      </c>
      <c r="E765" s="29" t="s">
        <v>403</v>
      </c>
      <c r="F765" s="29" t="str">
        <f>LOOKUP(A765,'QALS - Inspection Lot Record'!A:A,'QALS - Inspection Lot Record'!G:G)</f>
        <v>GC197258</v>
      </c>
      <c r="G765" s="59">
        <f ca="1">LOOKUP(A765,'QALS - Inspection Lot Record'!A:A,'QALS - Inspection Lot Record'!E:E)</f>
        <v>45917</v>
      </c>
      <c r="H765" s="34" t="str">
        <f t="shared" si="60"/>
        <v>A</v>
      </c>
      <c r="I765" s="29" t="str">
        <f t="shared" si="56"/>
        <v>GC197258</v>
      </c>
      <c r="J765" s="59">
        <f t="shared" ca="1" si="57"/>
        <v>45917</v>
      </c>
      <c r="K765" s="30">
        <f ca="1">LOOKUP(A765,'QALS - Inspection Lot Record'!A:A,'QALS - Inspection Lot Record'!I:I)</f>
        <v>0.24616898148148147</v>
      </c>
      <c r="L765" s="59">
        <f t="shared" ca="1" si="58"/>
        <v>45917</v>
      </c>
      <c r="M765" s="30">
        <f t="shared" ca="1" si="59"/>
        <v>0.27030092592592592</v>
      </c>
      <c r="N765" s="31"/>
      <c r="O765" s="31">
        <v>0.5</v>
      </c>
      <c r="P765" s="29">
        <v>0</v>
      </c>
      <c r="Q765" s="29">
        <v>1</v>
      </c>
    </row>
    <row r="766" spans="1:17" x14ac:dyDescent="0.35">
      <c r="A766" s="26">
        <v>40000002596</v>
      </c>
      <c r="B766" s="31">
        <v>1</v>
      </c>
      <c r="C766" s="29" t="str">
        <f>LOOKUP(A766,'QALS - Inspection Lot Record'!$A$2:$A$361,'QALS - Inspection Lot Record'!$O$2:$O$361)</f>
        <v>Ibuprofen Tablets (100 MG)</v>
      </c>
      <c r="D766" s="31">
        <v>50</v>
      </c>
      <c r="E766" s="29" t="s">
        <v>404</v>
      </c>
      <c r="F766" s="29" t="str">
        <f>LOOKUP(A766,'QALS - Inspection Lot Record'!A:A,'QALS - Inspection Lot Record'!G:G)</f>
        <v>GC197258</v>
      </c>
      <c r="G766" s="59">
        <f ca="1">LOOKUP(A766,'QALS - Inspection Lot Record'!A:A,'QALS - Inspection Lot Record'!E:E)</f>
        <v>45917</v>
      </c>
      <c r="H766" s="34" t="str">
        <f t="shared" si="60"/>
        <v>R</v>
      </c>
      <c r="I766" s="29" t="str">
        <f t="shared" si="56"/>
        <v>GC197258</v>
      </c>
      <c r="J766" s="59">
        <f t="shared" ca="1" si="57"/>
        <v>45917</v>
      </c>
      <c r="K766" s="30">
        <f ca="1">LOOKUP(A766,'QALS - Inspection Lot Record'!A:A,'QALS - Inspection Lot Record'!I:I)</f>
        <v>0.24616898148148147</v>
      </c>
      <c r="L766" s="59">
        <f t="shared" ca="1" si="58"/>
        <v>45917</v>
      </c>
      <c r="M766" s="30">
        <f t="shared" ca="1" si="59"/>
        <v>0.26966435185185184</v>
      </c>
      <c r="N766" s="31"/>
      <c r="O766" s="31">
        <v>38.299999999999997</v>
      </c>
      <c r="P766" s="29">
        <v>40</v>
      </c>
      <c r="Q766" s="29">
        <v>60</v>
      </c>
    </row>
    <row r="767" spans="1:17" x14ac:dyDescent="0.35">
      <c r="A767" s="26">
        <v>40000002596</v>
      </c>
      <c r="B767" s="31">
        <v>1</v>
      </c>
      <c r="C767" s="29" t="str">
        <f>LOOKUP(A767,'QALS - Inspection Lot Record'!$A$2:$A$361,'QALS - Inspection Lot Record'!$O$2:$O$361)</f>
        <v>Ibuprofen Tablets (100 MG)</v>
      </c>
      <c r="D767" s="31">
        <v>60</v>
      </c>
      <c r="E767" s="29" t="s">
        <v>405</v>
      </c>
      <c r="F767" s="29" t="str">
        <f>LOOKUP(A767,'QALS - Inspection Lot Record'!A:A,'QALS - Inspection Lot Record'!G:G)</f>
        <v>GC197258</v>
      </c>
      <c r="G767" s="59">
        <f ca="1">LOOKUP(A767,'QALS - Inspection Lot Record'!A:A,'QALS - Inspection Lot Record'!E:E)</f>
        <v>45917</v>
      </c>
      <c r="H767" s="34" t="str">
        <f t="shared" si="60"/>
        <v>R</v>
      </c>
      <c r="I767" s="29" t="str">
        <f t="shared" si="56"/>
        <v>GC197258</v>
      </c>
      <c r="J767" s="59">
        <f t="shared" ca="1" si="57"/>
        <v>45917</v>
      </c>
      <c r="K767" s="30">
        <f ca="1">LOOKUP(A767,'QALS - Inspection Lot Record'!A:A,'QALS - Inspection Lot Record'!I:I)</f>
        <v>0.24616898148148147</v>
      </c>
      <c r="L767" s="59">
        <f t="shared" ca="1" si="58"/>
        <v>45917</v>
      </c>
      <c r="M767" s="30">
        <f t="shared" ca="1" si="59"/>
        <v>0.27387731481481481</v>
      </c>
      <c r="N767" s="31"/>
      <c r="O767" s="31">
        <v>68.3</v>
      </c>
      <c r="P767" s="29">
        <v>70</v>
      </c>
      <c r="Q767" s="29">
        <v>85</v>
      </c>
    </row>
    <row r="768" spans="1:17" x14ac:dyDescent="0.35">
      <c r="A768" s="26">
        <v>40000002596</v>
      </c>
      <c r="B768" s="31">
        <v>1</v>
      </c>
      <c r="C768" s="29" t="str">
        <f>LOOKUP(A768,'QALS - Inspection Lot Record'!$A$2:$A$361,'QALS - Inspection Lot Record'!$O$2:$O$361)</f>
        <v>Ibuprofen Tablets (100 MG)</v>
      </c>
      <c r="D768" s="31">
        <v>70</v>
      </c>
      <c r="E768" s="29" t="s">
        <v>406</v>
      </c>
      <c r="F768" s="29" t="str">
        <f>LOOKUP(A768,'QALS - Inspection Lot Record'!A:A,'QALS - Inspection Lot Record'!G:G)</f>
        <v>GC197258</v>
      </c>
      <c r="G768" s="59">
        <f ca="1">LOOKUP(A768,'QALS - Inspection Lot Record'!A:A,'QALS - Inspection Lot Record'!E:E)</f>
        <v>45917</v>
      </c>
      <c r="H768" s="34" t="str">
        <f t="shared" si="60"/>
        <v>R</v>
      </c>
      <c r="I768" s="29" t="str">
        <f t="shared" si="56"/>
        <v>GC197258</v>
      </c>
      <c r="J768" s="59">
        <f t="shared" ca="1" si="57"/>
        <v>45917</v>
      </c>
      <c r="K768" s="30">
        <f ca="1">LOOKUP(A768,'QALS - Inspection Lot Record'!A:A,'QALS - Inspection Lot Record'!I:I)</f>
        <v>0.24616898148148147</v>
      </c>
      <c r="L768" s="59">
        <f t="shared" ca="1" si="58"/>
        <v>45917</v>
      </c>
      <c r="M768" s="30">
        <f t="shared" ca="1" si="59"/>
        <v>0.27355324074074072</v>
      </c>
      <c r="N768" s="31"/>
      <c r="O768" s="31">
        <v>78.400000000000006</v>
      </c>
      <c r="P768" s="29">
        <v>80</v>
      </c>
      <c r="Q768" s="29">
        <v>90</v>
      </c>
    </row>
    <row r="769" spans="1:17" x14ac:dyDescent="0.35">
      <c r="A769" s="26">
        <v>40000002596</v>
      </c>
      <c r="B769" s="31">
        <v>1</v>
      </c>
      <c r="C769" s="29" t="str">
        <f>LOOKUP(A769,'QALS - Inspection Lot Record'!$A$2:$A$361,'QALS - Inspection Lot Record'!$O$2:$O$361)</f>
        <v>Ibuprofen Tablets (100 MG)</v>
      </c>
      <c r="D769" s="31">
        <v>80</v>
      </c>
      <c r="E769" s="29" t="s">
        <v>407</v>
      </c>
      <c r="F769" s="29" t="str">
        <f>LOOKUP(A769,'QALS - Inspection Lot Record'!A:A,'QALS - Inspection Lot Record'!G:G)</f>
        <v>GC197258</v>
      </c>
      <c r="G769" s="59">
        <f ca="1">LOOKUP(A769,'QALS - Inspection Lot Record'!A:A,'QALS - Inspection Lot Record'!E:E)</f>
        <v>45917</v>
      </c>
      <c r="H769" s="34" t="str">
        <f t="shared" si="60"/>
        <v>A</v>
      </c>
      <c r="I769" s="29" t="str">
        <f t="shared" si="56"/>
        <v>GC197258</v>
      </c>
      <c r="J769" s="59">
        <f t="shared" ca="1" si="57"/>
        <v>45917</v>
      </c>
      <c r="K769" s="30">
        <f ca="1">LOOKUP(A769,'QALS - Inspection Lot Record'!A:A,'QALS - Inspection Lot Record'!I:I)</f>
        <v>0.24616898148148147</v>
      </c>
      <c r="L769" s="59">
        <f t="shared" ca="1" si="58"/>
        <v>45917</v>
      </c>
      <c r="M769" s="30">
        <f t="shared" ca="1" si="59"/>
        <v>0.27804398148148146</v>
      </c>
      <c r="N769" s="31"/>
      <c r="O769" s="31">
        <v>23.7</v>
      </c>
      <c r="P769" s="29">
        <v>23</v>
      </c>
      <c r="Q769" s="29">
        <v>25</v>
      </c>
    </row>
    <row r="770" spans="1:17" x14ac:dyDescent="0.35">
      <c r="A770" s="26">
        <v>40000002597</v>
      </c>
      <c r="B770" s="27">
        <v>1</v>
      </c>
      <c r="C770" s="29" t="str">
        <f>LOOKUP(A770,'QALS - Inspection Lot Record'!$A$2:$A$361,'QALS - Inspection Lot Record'!$O$2:$O$361)</f>
        <v>Metformin Tablets (200 MG)</v>
      </c>
      <c r="D770" s="27">
        <v>10</v>
      </c>
      <c r="E770" s="26" t="s">
        <v>399</v>
      </c>
      <c r="F770" s="29" t="str">
        <f>LOOKUP(A770,'QALS - Inspection Lot Record'!A:A,'QALS - Inspection Lot Record'!G:G)</f>
        <v>TP397880</v>
      </c>
      <c r="G770" s="59">
        <f ca="1">LOOKUP(A770,'QALS - Inspection Lot Record'!A:A,'QALS - Inspection Lot Record'!E:E)</f>
        <v>45918</v>
      </c>
      <c r="H770" s="34" t="str">
        <f t="shared" si="60"/>
        <v>A</v>
      </c>
      <c r="I770" s="29" t="str">
        <f t="shared" ref="I770:I833" si="61">F770</f>
        <v>TP397880</v>
      </c>
      <c r="J770" s="59">
        <f t="shared" ref="J770:J833" ca="1" si="62">G770</f>
        <v>45918</v>
      </c>
      <c r="K770" s="30">
        <f ca="1">LOOKUP(A770,'QALS - Inspection Lot Record'!A:A,'QALS - Inspection Lot Record'!I:I)</f>
        <v>0.72611111111111115</v>
      </c>
      <c r="L770" s="59">
        <f t="shared" ref="L770:L833" ca="1" si="63">G770</f>
        <v>45918</v>
      </c>
      <c r="M770" s="30">
        <f t="shared" ref="M770:M833" ca="1" si="64">K770+TIME(0,RANDBETWEEN(25,50),RANDBETWEEN(0,59))</f>
        <v>0.75643518518518527</v>
      </c>
      <c r="N770" s="31"/>
      <c r="O770" s="31">
        <v>99</v>
      </c>
      <c r="P770" s="29">
        <v>95</v>
      </c>
      <c r="Q770" s="29">
        <v>103</v>
      </c>
    </row>
    <row r="771" spans="1:17" x14ac:dyDescent="0.35">
      <c r="A771" s="26">
        <v>40000002597</v>
      </c>
      <c r="B771" s="27">
        <v>1</v>
      </c>
      <c r="C771" s="29" t="str">
        <f>LOOKUP(A771,'QALS - Inspection Lot Record'!$A$2:$A$361,'QALS - Inspection Lot Record'!$O$2:$O$361)</f>
        <v>Metformin Tablets (200 MG)</v>
      </c>
      <c r="D771" s="31">
        <v>20</v>
      </c>
      <c r="E771" s="29" t="s">
        <v>400</v>
      </c>
      <c r="F771" s="29" t="str">
        <f>LOOKUP(A771,'QALS - Inspection Lot Record'!A:A,'QALS - Inspection Lot Record'!G:G)</f>
        <v>TP397880</v>
      </c>
      <c r="G771" s="59">
        <f ca="1">LOOKUP(A771,'QALS - Inspection Lot Record'!A:A,'QALS - Inspection Lot Record'!E:E)</f>
        <v>45918</v>
      </c>
      <c r="H771" s="34" t="str">
        <f t="shared" si="60"/>
        <v>A</v>
      </c>
      <c r="I771" s="29" t="str">
        <f t="shared" si="61"/>
        <v>TP397880</v>
      </c>
      <c r="J771" s="59">
        <f t="shared" ca="1" si="62"/>
        <v>45918</v>
      </c>
      <c r="K771" s="30">
        <f ca="1">LOOKUP(A771,'QALS - Inspection Lot Record'!A:A,'QALS - Inspection Lot Record'!I:I)</f>
        <v>0.72611111111111115</v>
      </c>
      <c r="L771" s="59">
        <f t="shared" ca="1" si="63"/>
        <v>45918</v>
      </c>
      <c r="M771" s="30">
        <f t="shared" ca="1" si="64"/>
        <v>0.74406250000000007</v>
      </c>
      <c r="N771" s="31"/>
      <c r="O771" s="31">
        <v>7.75</v>
      </c>
      <c r="P771" s="29">
        <v>6</v>
      </c>
      <c r="Q771" s="29">
        <v>9.5</v>
      </c>
    </row>
    <row r="772" spans="1:17" x14ac:dyDescent="0.35">
      <c r="A772" s="26">
        <v>40000002597</v>
      </c>
      <c r="B772" s="31">
        <v>1</v>
      </c>
      <c r="C772" s="29" t="str">
        <f>LOOKUP(A772,'QALS - Inspection Lot Record'!$A$2:$A$361,'QALS - Inspection Lot Record'!$O$2:$O$361)</f>
        <v>Metformin Tablets (200 MG)</v>
      </c>
      <c r="D772" s="31">
        <v>30</v>
      </c>
      <c r="E772" s="29" t="s">
        <v>401</v>
      </c>
      <c r="F772" s="29" t="str">
        <f>LOOKUP(A772,'QALS - Inspection Lot Record'!A:A,'QALS - Inspection Lot Record'!G:G)</f>
        <v>TP397880</v>
      </c>
      <c r="G772" s="59">
        <f ca="1">LOOKUP(A772,'QALS - Inspection Lot Record'!A:A,'QALS - Inspection Lot Record'!E:E)</f>
        <v>45918</v>
      </c>
      <c r="H772" s="34" t="str">
        <f t="shared" si="60"/>
        <v>A</v>
      </c>
      <c r="I772" s="29" t="str">
        <f t="shared" si="61"/>
        <v>TP397880</v>
      </c>
      <c r="J772" s="59">
        <f t="shared" ca="1" si="62"/>
        <v>45918</v>
      </c>
      <c r="K772" s="30">
        <f ca="1">LOOKUP(A772,'QALS - Inspection Lot Record'!A:A,'QALS - Inspection Lot Record'!I:I)</f>
        <v>0.72611111111111115</v>
      </c>
      <c r="L772" s="59">
        <f t="shared" ca="1" si="63"/>
        <v>45918</v>
      </c>
      <c r="M772" s="30">
        <f t="shared" ca="1" si="64"/>
        <v>0.75717592592592597</v>
      </c>
      <c r="N772" s="11" t="s">
        <v>402</v>
      </c>
      <c r="O772" s="31"/>
      <c r="P772" s="29"/>
      <c r="Q772" s="29"/>
    </row>
    <row r="773" spans="1:17" x14ac:dyDescent="0.35">
      <c r="A773" s="26">
        <v>40000002597</v>
      </c>
      <c r="B773" s="31">
        <v>1</v>
      </c>
      <c r="C773" s="29" t="str">
        <f>LOOKUP(A773,'QALS - Inspection Lot Record'!$A$2:$A$361,'QALS - Inspection Lot Record'!$O$2:$O$361)</f>
        <v>Metformin Tablets (200 MG)</v>
      </c>
      <c r="D773" s="31">
        <v>40</v>
      </c>
      <c r="E773" s="29" t="s">
        <v>403</v>
      </c>
      <c r="F773" s="29" t="str">
        <f>LOOKUP(A773,'QALS - Inspection Lot Record'!A:A,'QALS - Inspection Lot Record'!G:G)</f>
        <v>TP397880</v>
      </c>
      <c r="G773" s="59">
        <f ca="1">LOOKUP(A773,'QALS - Inspection Lot Record'!A:A,'QALS - Inspection Lot Record'!E:E)</f>
        <v>45918</v>
      </c>
      <c r="H773" s="34" t="str">
        <f t="shared" si="60"/>
        <v>A</v>
      </c>
      <c r="I773" s="29" t="str">
        <f t="shared" si="61"/>
        <v>TP397880</v>
      </c>
      <c r="J773" s="59">
        <f t="shared" ca="1" si="62"/>
        <v>45918</v>
      </c>
      <c r="K773" s="30">
        <f ca="1">LOOKUP(A773,'QALS - Inspection Lot Record'!A:A,'QALS - Inspection Lot Record'!I:I)</f>
        <v>0.72611111111111115</v>
      </c>
      <c r="L773" s="59">
        <f t="shared" ca="1" si="63"/>
        <v>45918</v>
      </c>
      <c r="M773" s="30">
        <f t="shared" ca="1" si="64"/>
        <v>0.74635416666666665</v>
      </c>
      <c r="N773" s="31"/>
      <c r="O773" s="31">
        <v>0</v>
      </c>
      <c r="P773" s="29">
        <v>0</v>
      </c>
      <c r="Q773" s="29">
        <v>2</v>
      </c>
    </row>
    <row r="774" spans="1:17" x14ac:dyDescent="0.35">
      <c r="A774" s="26">
        <v>40000002597</v>
      </c>
      <c r="B774" s="31">
        <v>1</v>
      </c>
      <c r="C774" s="29" t="str">
        <f>LOOKUP(A774,'QALS - Inspection Lot Record'!$A$2:$A$361,'QALS - Inspection Lot Record'!$O$2:$O$361)</f>
        <v>Metformin Tablets (200 MG)</v>
      </c>
      <c r="D774" s="31">
        <v>50</v>
      </c>
      <c r="E774" s="29" t="s">
        <v>404</v>
      </c>
      <c r="F774" s="29" t="str">
        <f>LOOKUP(A774,'QALS - Inspection Lot Record'!A:A,'QALS - Inspection Lot Record'!G:G)</f>
        <v>TP397880</v>
      </c>
      <c r="G774" s="59">
        <f ca="1">LOOKUP(A774,'QALS - Inspection Lot Record'!A:A,'QALS - Inspection Lot Record'!E:E)</f>
        <v>45918</v>
      </c>
      <c r="H774" s="34" t="str">
        <f t="shared" si="60"/>
        <v>A</v>
      </c>
      <c r="I774" s="29" t="str">
        <f t="shared" si="61"/>
        <v>TP397880</v>
      </c>
      <c r="J774" s="59">
        <f t="shared" ca="1" si="62"/>
        <v>45918</v>
      </c>
      <c r="K774" s="30">
        <f ca="1">LOOKUP(A774,'QALS - Inspection Lot Record'!A:A,'QALS - Inspection Lot Record'!I:I)</f>
        <v>0.72611111111111115</v>
      </c>
      <c r="L774" s="59">
        <f t="shared" ca="1" si="63"/>
        <v>45918</v>
      </c>
      <c r="M774" s="30">
        <f t="shared" ca="1" si="64"/>
        <v>0.76134259259259263</v>
      </c>
      <c r="N774" s="31"/>
      <c r="O774" s="31">
        <v>50</v>
      </c>
      <c r="P774" s="29">
        <v>40</v>
      </c>
      <c r="Q774" s="29">
        <v>60</v>
      </c>
    </row>
    <row r="775" spans="1:17" x14ac:dyDescent="0.35">
      <c r="A775" s="26">
        <v>40000002597</v>
      </c>
      <c r="B775" s="31">
        <v>1</v>
      </c>
      <c r="C775" s="29" t="str">
        <f>LOOKUP(A775,'QALS - Inspection Lot Record'!$A$2:$A$361,'QALS - Inspection Lot Record'!$O$2:$O$361)</f>
        <v>Metformin Tablets (200 MG)</v>
      </c>
      <c r="D775" s="31">
        <v>60</v>
      </c>
      <c r="E775" s="29" t="s">
        <v>405</v>
      </c>
      <c r="F775" s="29" t="str">
        <f>LOOKUP(A775,'QALS - Inspection Lot Record'!A:A,'QALS - Inspection Lot Record'!G:G)</f>
        <v>TP397880</v>
      </c>
      <c r="G775" s="59">
        <f ca="1">LOOKUP(A775,'QALS - Inspection Lot Record'!A:A,'QALS - Inspection Lot Record'!E:E)</f>
        <v>45918</v>
      </c>
      <c r="H775" s="34" t="str">
        <f t="shared" si="60"/>
        <v>A</v>
      </c>
      <c r="I775" s="29" t="str">
        <f t="shared" si="61"/>
        <v>TP397880</v>
      </c>
      <c r="J775" s="59">
        <f t="shared" ca="1" si="62"/>
        <v>45918</v>
      </c>
      <c r="K775" s="30">
        <f ca="1">LOOKUP(A775,'QALS - Inspection Lot Record'!A:A,'QALS - Inspection Lot Record'!I:I)</f>
        <v>0.72611111111111115</v>
      </c>
      <c r="L775" s="59">
        <f t="shared" ca="1" si="63"/>
        <v>45918</v>
      </c>
      <c r="M775" s="30">
        <f t="shared" ca="1" si="64"/>
        <v>0.75666666666666671</v>
      </c>
      <c r="N775" s="31"/>
      <c r="O775" s="31">
        <v>77.5</v>
      </c>
      <c r="P775" s="29">
        <v>70</v>
      </c>
      <c r="Q775" s="29">
        <v>85</v>
      </c>
    </row>
    <row r="776" spans="1:17" x14ac:dyDescent="0.35">
      <c r="A776" s="26">
        <v>40000002597</v>
      </c>
      <c r="B776" s="31">
        <v>1</v>
      </c>
      <c r="C776" s="29" t="str">
        <f>LOOKUP(A776,'QALS - Inspection Lot Record'!$A$2:$A$361,'QALS - Inspection Lot Record'!$O$2:$O$361)</f>
        <v>Metformin Tablets (200 MG)</v>
      </c>
      <c r="D776" s="31">
        <v>70</v>
      </c>
      <c r="E776" s="29" t="s">
        <v>406</v>
      </c>
      <c r="F776" s="29" t="str">
        <f>LOOKUP(A776,'QALS - Inspection Lot Record'!A:A,'QALS - Inspection Lot Record'!G:G)</f>
        <v>TP397880</v>
      </c>
      <c r="G776" s="59">
        <f ca="1">LOOKUP(A776,'QALS - Inspection Lot Record'!A:A,'QALS - Inspection Lot Record'!E:E)</f>
        <v>45918</v>
      </c>
      <c r="H776" s="34" t="str">
        <f t="shared" si="60"/>
        <v>A</v>
      </c>
      <c r="I776" s="29" t="str">
        <f t="shared" si="61"/>
        <v>TP397880</v>
      </c>
      <c r="J776" s="59">
        <f t="shared" ca="1" si="62"/>
        <v>45918</v>
      </c>
      <c r="K776" s="30">
        <f ca="1">LOOKUP(A776,'QALS - Inspection Lot Record'!A:A,'QALS - Inspection Lot Record'!I:I)</f>
        <v>0.72611111111111115</v>
      </c>
      <c r="L776" s="59">
        <f t="shared" ca="1" si="63"/>
        <v>45918</v>
      </c>
      <c r="M776" s="30">
        <f t="shared" ca="1" si="64"/>
        <v>0.76114583333333341</v>
      </c>
      <c r="N776" s="31"/>
      <c r="O776" s="31">
        <v>85</v>
      </c>
      <c r="P776" s="29">
        <v>80</v>
      </c>
      <c r="Q776" s="29">
        <v>90</v>
      </c>
    </row>
    <row r="777" spans="1:17" x14ac:dyDescent="0.35">
      <c r="A777" s="26">
        <v>40000002597</v>
      </c>
      <c r="B777" s="31">
        <v>1</v>
      </c>
      <c r="C777" s="29" t="str">
        <f>LOOKUP(A777,'QALS - Inspection Lot Record'!$A$2:$A$361,'QALS - Inspection Lot Record'!$O$2:$O$361)</f>
        <v>Metformin Tablets (200 MG)</v>
      </c>
      <c r="D777" s="31">
        <v>80</v>
      </c>
      <c r="E777" s="29" t="s">
        <v>407</v>
      </c>
      <c r="F777" s="29" t="str">
        <f>LOOKUP(A777,'QALS - Inspection Lot Record'!A:A,'QALS - Inspection Lot Record'!G:G)</f>
        <v>TP397880</v>
      </c>
      <c r="G777" s="59">
        <f ca="1">LOOKUP(A777,'QALS - Inspection Lot Record'!A:A,'QALS - Inspection Lot Record'!E:E)</f>
        <v>45918</v>
      </c>
      <c r="H777" s="34" t="str">
        <f t="shared" si="60"/>
        <v>A</v>
      </c>
      <c r="I777" s="29" t="str">
        <f t="shared" si="61"/>
        <v>TP397880</v>
      </c>
      <c r="J777" s="59">
        <f t="shared" ca="1" si="62"/>
        <v>45918</v>
      </c>
      <c r="K777" s="30">
        <f ca="1">LOOKUP(A777,'QALS - Inspection Lot Record'!A:A,'QALS - Inspection Lot Record'!I:I)</f>
        <v>0.72611111111111115</v>
      </c>
      <c r="L777" s="59">
        <f t="shared" ca="1" si="63"/>
        <v>45918</v>
      </c>
      <c r="M777" s="30">
        <f t="shared" ca="1" si="64"/>
        <v>0.75237268518518519</v>
      </c>
      <c r="N777" s="31"/>
      <c r="O777" s="31">
        <v>25.5</v>
      </c>
      <c r="P777" s="29">
        <v>23</v>
      </c>
      <c r="Q777" s="29">
        <v>28</v>
      </c>
    </row>
    <row r="778" spans="1:17" x14ac:dyDescent="0.35">
      <c r="A778" s="26">
        <v>40000002598</v>
      </c>
      <c r="B778" s="27">
        <v>1</v>
      </c>
      <c r="C778" s="29" t="str">
        <f>LOOKUP(A778,'QALS - Inspection Lot Record'!$A$2:$A$361,'QALS - Inspection Lot Record'!$O$2:$O$361)</f>
        <v>Metformin Tablets (500 MG)</v>
      </c>
      <c r="D778" s="27">
        <v>10</v>
      </c>
      <c r="E778" s="26" t="s">
        <v>399</v>
      </c>
      <c r="F778" s="29" t="str">
        <f>LOOKUP(A778,'QALS - Inspection Lot Record'!A:A,'QALS - Inspection Lot Record'!G:G)</f>
        <v>TG509538</v>
      </c>
      <c r="G778" s="59">
        <f ca="1">LOOKUP(A778,'QALS - Inspection Lot Record'!A:A,'QALS - Inspection Lot Record'!E:E)</f>
        <v>45918</v>
      </c>
      <c r="H778" s="34" t="str">
        <f t="shared" ref="H778:H841" si="65">IF(AND(P778&lt;=O778,O778&lt;=Q778),"A","R")</f>
        <v>A</v>
      </c>
      <c r="I778" s="29" t="str">
        <f t="shared" si="61"/>
        <v>TG509538</v>
      </c>
      <c r="J778" s="59">
        <f t="shared" ca="1" si="62"/>
        <v>45918</v>
      </c>
      <c r="K778" s="30">
        <f ca="1">LOOKUP(A778,'QALS - Inspection Lot Record'!A:A,'QALS - Inspection Lot Record'!I:I)</f>
        <v>0.24635416666666668</v>
      </c>
      <c r="L778" s="59">
        <f t="shared" ca="1" si="63"/>
        <v>45918</v>
      </c>
      <c r="M778" s="30">
        <f t="shared" ca="1" si="64"/>
        <v>0.26920138888888889</v>
      </c>
      <c r="N778" s="31"/>
      <c r="O778" s="31">
        <v>100</v>
      </c>
      <c r="P778" s="29">
        <v>95</v>
      </c>
      <c r="Q778" s="29">
        <v>105</v>
      </c>
    </row>
    <row r="779" spans="1:17" x14ac:dyDescent="0.35">
      <c r="A779" s="26">
        <v>40000002598</v>
      </c>
      <c r="B779" s="27">
        <v>1</v>
      </c>
      <c r="C779" s="29" t="str">
        <f>LOOKUP(A779,'QALS - Inspection Lot Record'!$A$2:$A$361,'QALS - Inspection Lot Record'!$O$2:$O$361)</f>
        <v>Metformin Tablets (500 MG)</v>
      </c>
      <c r="D779" s="31">
        <v>20</v>
      </c>
      <c r="E779" s="29" t="s">
        <v>400</v>
      </c>
      <c r="F779" s="29" t="str">
        <f>LOOKUP(A779,'QALS - Inspection Lot Record'!A:A,'QALS - Inspection Lot Record'!G:G)</f>
        <v>TG509538</v>
      </c>
      <c r="G779" s="59">
        <f ca="1">LOOKUP(A779,'QALS - Inspection Lot Record'!A:A,'QALS - Inspection Lot Record'!E:E)</f>
        <v>45918</v>
      </c>
      <c r="H779" s="34" t="str">
        <f t="shared" si="65"/>
        <v>A</v>
      </c>
      <c r="I779" s="29" t="str">
        <f t="shared" si="61"/>
        <v>TG509538</v>
      </c>
      <c r="J779" s="59">
        <f t="shared" ca="1" si="62"/>
        <v>45918</v>
      </c>
      <c r="K779" s="30">
        <f ca="1">LOOKUP(A779,'QALS - Inspection Lot Record'!A:A,'QALS - Inspection Lot Record'!I:I)</f>
        <v>0.24635416666666668</v>
      </c>
      <c r="L779" s="59">
        <f t="shared" ca="1" si="63"/>
        <v>45918</v>
      </c>
      <c r="M779" s="30">
        <f t="shared" ca="1" si="64"/>
        <v>0.27755787037037039</v>
      </c>
      <c r="N779" s="31"/>
      <c r="O779" s="31">
        <v>7.25</v>
      </c>
      <c r="P779" s="29">
        <v>3.5</v>
      </c>
      <c r="Q779" s="29">
        <v>11</v>
      </c>
    </row>
    <row r="780" spans="1:17" x14ac:dyDescent="0.35">
      <c r="A780" s="26">
        <v>40000002598</v>
      </c>
      <c r="B780" s="31">
        <v>1</v>
      </c>
      <c r="C780" s="29" t="str">
        <f>LOOKUP(A780,'QALS - Inspection Lot Record'!$A$2:$A$361,'QALS - Inspection Lot Record'!$O$2:$O$361)</f>
        <v>Metformin Tablets (500 MG)</v>
      </c>
      <c r="D780" s="31">
        <v>30</v>
      </c>
      <c r="E780" s="29" t="s">
        <v>401</v>
      </c>
      <c r="F780" s="29" t="str">
        <f>LOOKUP(A780,'QALS - Inspection Lot Record'!A:A,'QALS - Inspection Lot Record'!G:G)</f>
        <v>TG509538</v>
      </c>
      <c r="G780" s="59">
        <f ca="1">LOOKUP(A780,'QALS - Inspection Lot Record'!A:A,'QALS - Inspection Lot Record'!E:E)</f>
        <v>45918</v>
      </c>
      <c r="H780" s="34" t="str">
        <f t="shared" si="65"/>
        <v>A</v>
      </c>
      <c r="I780" s="29" t="str">
        <f t="shared" si="61"/>
        <v>TG509538</v>
      </c>
      <c r="J780" s="59">
        <f t="shared" ca="1" si="62"/>
        <v>45918</v>
      </c>
      <c r="K780" s="30">
        <f ca="1">LOOKUP(A780,'QALS - Inspection Lot Record'!A:A,'QALS - Inspection Lot Record'!I:I)</f>
        <v>0.24635416666666668</v>
      </c>
      <c r="L780" s="59">
        <f t="shared" ca="1" si="63"/>
        <v>45918</v>
      </c>
      <c r="M780" s="30">
        <f t="shared" ca="1" si="64"/>
        <v>0.2726041666666667</v>
      </c>
      <c r="N780" s="11" t="s">
        <v>402</v>
      </c>
      <c r="O780" s="31"/>
      <c r="P780" s="29"/>
      <c r="Q780" s="29"/>
    </row>
    <row r="781" spans="1:17" x14ac:dyDescent="0.35">
      <c r="A781" s="26">
        <v>40000002598</v>
      </c>
      <c r="B781" s="31">
        <v>1</v>
      </c>
      <c r="C781" s="29" t="str">
        <f>LOOKUP(A781,'QALS - Inspection Lot Record'!$A$2:$A$361,'QALS - Inspection Lot Record'!$O$2:$O$361)</f>
        <v>Metformin Tablets (500 MG)</v>
      </c>
      <c r="D781" s="31">
        <v>40</v>
      </c>
      <c r="E781" s="29" t="s">
        <v>403</v>
      </c>
      <c r="F781" s="29" t="str">
        <f>LOOKUP(A781,'QALS - Inspection Lot Record'!A:A,'QALS - Inspection Lot Record'!G:G)</f>
        <v>TG509538</v>
      </c>
      <c r="G781" s="59">
        <f ca="1">LOOKUP(A781,'QALS - Inspection Lot Record'!A:A,'QALS - Inspection Lot Record'!E:E)</f>
        <v>45918</v>
      </c>
      <c r="H781" s="34" t="str">
        <f t="shared" si="65"/>
        <v>A</v>
      </c>
      <c r="I781" s="29" t="str">
        <f t="shared" si="61"/>
        <v>TG509538</v>
      </c>
      <c r="J781" s="59">
        <f t="shared" ca="1" si="62"/>
        <v>45918</v>
      </c>
      <c r="K781" s="30">
        <f ca="1">LOOKUP(A781,'QALS - Inspection Lot Record'!A:A,'QALS - Inspection Lot Record'!I:I)</f>
        <v>0.24635416666666668</v>
      </c>
      <c r="L781" s="59">
        <f t="shared" ca="1" si="63"/>
        <v>45918</v>
      </c>
      <c r="M781" s="30">
        <f t="shared" ca="1" si="64"/>
        <v>0.265625</v>
      </c>
      <c r="N781" s="31"/>
      <c r="O781" s="31">
        <v>0</v>
      </c>
      <c r="P781" s="29">
        <v>0</v>
      </c>
      <c r="Q781" s="29">
        <v>2</v>
      </c>
    </row>
    <row r="782" spans="1:17" x14ac:dyDescent="0.35">
      <c r="A782" s="26">
        <v>40000002598</v>
      </c>
      <c r="B782" s="31">
        <v>1</v>
      </c>
      <c r="C782" s="29" t="str">
        <f>LOOKUP(A782,'QALS - Inspection Lot Record'!$A$2:$A$361,'QALS - Inspection Lot Record'!$O$2:$O$361)</f>
        <v>Metformin Tablets (500 MG)</v>
      </c>
      <c r="D782" s="31">
        <v>50</v>
      </c>
      <c r="E782" s="29" t="s">
        <v>404</v>
      </c>
      <c r="F782" s="29" t="str">
        <f>LOOKUP(A782,'QALS - Inspection Lot Record'!A:A,'QALS - Inspection Lot Record'!G:G)</f>
        <v>TG509538</v>
      </c>
      <c r="G782" s="59">
        <f ca="1">LOOKUP(A782,'QALS - Inspection Lot Record'!A:A,'QALS - Inspection Lot Record'!E:E)</f>
        <v>45918</v>
      </c>
      <c r="H782" s="34" t="str">
        <f t="shared" si="65"/>
        <v>A</v>
      </c>
      <c r="I782" s="29" t="str">
        <f t="shared" si="61"/>
        <v>TG509538</v>
      </c>
      <c r="J782" s="59">
        <f t="shared" ca="1" si="62"/>
        <v>45918</v>
      </c>
      <c r="K782" s="30">
        <f ca="1">LOOKUP(A782,'QALS - Inspection Lot Record'!A:A,'QALS - Inspection Lot Record'!I:I)</f>
        <v>0.24635416666666668</v>
      </c>
      <c r="L782" s="59">
        <f t="shared" ca="1" si="63"/>
        <v>45918</v>
      </c>
      <c r="M782" s="30">
        <f t="shared" ca="1" si="64"/>
        <v>0.27913194444444445</v>
      </c>
      <c r="N782" s="31"/>
      <c r="O782" s="31">
        <v>50</v>
      </c>
      <c r="P782" s="29">
        <v>40</v>
      </c>
      <c r="Q782" s="29">
        <v>60</v>
      </c>
    </row>
    <row r="783" spans="1:17" x14ac:dyDescent="0.35">
      <c r="A783" s="26">
        <v>40000002598</v>
      </c>
      <c r="B783" s="31">
        <v>1</v>
      </c>
      <c r="C783" s="29" t="str">
        <f>LOOKUP(A783,'QALS - Inspection Lot Record'!$A$2:$A$361,'QALS - Inspection Lot Record'!$O$2:$O$361)</f>
        <v>Metformin Tablets (500 MG)</v>
      </c>
      <c r="D783" s="31">
        <v>60</v>
      </c>
      <c r="E783" s="29" t="s">
        <v>405</v>
      </c>
      <c r="F783" s="29" t="str">
        <f>LOOKUP(A783,'QALS - Inspection Lot Record'!A:A,'QALS - Inspection Lot Record'!G:G)</f>
        <v>TG509538</v>
      </c>
      <c r="G783" s="59">
        <f ca="1">LOOKUP(A783,'QALS - Inspection Lot Record'!A:A,'QALS - Inspection Lot Record'!E:E)</f>
        <v>45918</v>
      </c>
      <c r="H783" s="34" t="str">
        <f t="shared" si="65"/>
        <v>A</v>
      </c>
      <c r="I783" s="29" t="str">
        <f t="shared" si="61"/>
        <v>TG509538</v>
      </c>
      <c r="J783" s="59">
        <f t="shared" ca="1" si="62"/>
        <v>45918</v>
      </c>
      <c r="K783" s="30">
        <f ca="1">LOOKUP(A783,'QALS - Inspection Lot Record'!A:A,'QALS - Inspection Lot Record'!I:I)</f>
        <v>0.24635416666666668</v>
      </c>
      <c r="L783" s="59">
        <f t="shared" ca="1" si="63"/>
        <v>45918</v>
      </c>
      <c r="M783" s="30">
        <f t="shared" ca="1" si="64"/>
        <v>0.28133101851851855</v>
      </c>
      <c r="N783" s="31"/>
      <c r="O783" s="31">
        <v>77.5</v>
      </c>
      <c r="P783" s="29">
        <v>70</v>
      </c>
      <c r="Q783" s="29">
        <v>85</v>
      </c>
    </row>
    <row r="784" spans="1:17" x14ac:dyDescent="0.35">
      <c r="A784" s="26">
        <v>40000002598</v>
      </c>
      <c r="B784" s="31">
        <v>1</v>
      </c>
      <c r="C784" s="29" t="str">
        <f>LOOKUP(A784,'QALS - Inspection Lot Record'!$A$2:$A$361,'QALS - Inspection Lot Record'!$O$2:$O$361)</f>
        <v>Metformin Tablets (500 MG)</v>
      </c>
      <c r="D784" s="31">
        <v>70</v>
      </c>
      <c r="E784" s="29" t="s">
        <v>406</v>
      </c>
      <c r="F784" s="29" t="str">
        <f>LOOKUP(A784,'QALS - Inspection Lot Record'!A:A,'QALS - Inspection Lot Record'!G:G)</f>
        <v>TG509538</v>
      </c>
      <c r="G784" s="59">
        <f ca="1">LOOKUP(A784,'QALS - Inspection Lot Record'!A:A,'QALS - Inspection Lot Record'!E:E)</f>
        <v>45918</v>
      </c>
      <c r="H784" s="34" t="str">
        <f t="shared" si="65"/>
        <v>A</v>
      </c>
      <c r="I784" s="29" t="str">
        <f t="shared" si="61"/>
        <v>TG509538</v>
      </c>
      <c r="J784" s="59">
        <f t="shared" ca="1" si="62"/>
        <v>45918</v>
      </c>
      <c r="K784" s="30">
        <f ca="1">LOOKUP(A784,'QALS - Inspection Lot Record'!A:A,'QALS - Inspection Lot Record'!I:I)</f>
        <v>0.24635416666666668</v>
      </c>
      <c r="L784" s="59">
        <f t="shared" ca="1" si="63"/>
        <v>45918</v>
      </c>
      <c r="M784" s="30">
        <f t="shared" ca="1" si="64"/>
        <v>0.27379629629629632</v>
      </c>
      <c r="N784" s="31"/>
      <c r="O784" s="31">
        <v>85</v>
      </c>
      <c r="P784" s="29">
        <v>80</v>
      </c>
      <c r="Q784" s="29">
        <v>90</v>
      </c>
    </row>
    <row r="785" spans="1:17" x14ac:dyDescent="0.35">
      <c r="A785" s="26">
        <v>40000002598</v>
      </c>
      <c r="B785" s="31">
        <v>1</v>
      </c>
      <c r="C785" s="29" t="str">
        <f>LOOKUP(A785,'QALS - Inspection Lot Record'!$A$2:$A$361,'QALS - Inspection Lot Record'!$O$2:$O$361)</f>
        <v>Metformin Tablets (500 MG)</v>
      </c>
      <c r="D785" s="31">
        <v>80</v>
      </c>
      <c r="E785" s="29" t="s">
        <v>407</v>
      </c>
      <c r="F785" s="29" t="str">
        <f>LOOKUP(A785,'QALS - Inspection Lot Record'!A:A,'QALS - Inspection Lot Record'!G:G)</f>
        <v>TG509538</v>
      </c>
      <c r="G785" s="59">
        <f ca="1">LOOKUP(A785,'QALS - Inspection Lot Record'!A:A,'QALS - Inspection Lot Record'!E:E)</f>
        <v>45918</v>
      </c>
      <c r="H785" s="34" t="str">
        <f t="shared" si="65"/>
        <v>A</v>
      </c>
      <c r="I785" s="29" t="str">
        <f t="shared" si="61"/>
        <v>TG509538</v>
      </c>
      <c r="J785" s="59">
        <f t="shared" ca="1" si="62"/>
        <v>45918</v>
      </c>
      <c r="K785" s="30">
        <f ca="1">LOOKUP(A785,'QALS - Inspection Lot Record'!A:A,'QALS - Inspection Lot Record'!I:I)</f>
        <v>0.24635416666666668</v>
      </c>
      <c r="L785" s="59">
        <f t="shared" ca="1" si="63"/>
        <v>45918</v>
      </c>
      <c r="M785" s="30">
        <f t="shared" ca="1" si="64"/>
        <v>0.27599537037037036</v>
      </c>
      <c r="N785" s="31"/>
      <c r="O785" s="31">
        <v>25.5</v>
      </c>
      <c r="P785" s="29">
        <v>23</v>
      </c>
      <c r="Q785" s="29">
        <v>28</v>
      </c>
    </row>
    <row r="786" spans="1:17" x14ac:dyDescent="0.35">
      <c r="A786" s="26">
        <v>40000002599</v>
      </c>
      <c r="B786" s="27">
        <v>1</v>
      </c>
      <c r="C786" s="29" t="str">
        <f>LOOKUP(A786,'QALS - Inspection Lot Record'!$A$2:$A$361,'QALS - Inspection Lot Record'!$O$2:$O$361)</f>
        <v>Metformin Tablets (100 MG)</v>
      </c>
      <c r="D786" s="27">
        <v>10</v>
      </c>
      <c r="E786" s="26" t="s">
        <v>399</v>
      </c>
      <c r="F786" s="29" t="str">
        <f>LOOKUP(A786,'QALS - Inspection Lot Record'!A:A,'QALS - Inspection Lot Record'!G:G)</f>
        <v>ZK384180</v>
      </c>
      <c r="G786" s="59">
        <f ca="1">LOOKUP(A786,'QALS - Inspection Lot Record'!A:A,'QALS - Inspection Lot Record'!E:E)</f>
        <v>45919</v>
      </c>
      <c r="H786" s="34" t="str">
        <f t="shared" si="65"/>
        <v>A</v>
      </c>
      <c r="I786" s="29" t="str">
        <f t="shared" si="61"/>
        <v>ZK384180</v>
      </c>
      <c r="J786" s="59">
        <f t="shared" ca="1" si="62"/>
        <v>45919</v>
      </c>
      <c r="K786" s="30">
        <f ca="1">LOOKUP(A786,'QALS - Inspection Lot Record'!A:A,'QALS - Inspection Lot Record'!I:I)</f>
        <v>0.52453703703703702</v>
      </c>
      <c r="L786" s="59">
        <f t="shared" ca="1" si="63"/>
        <v>45919</v>
      </c>
      <c r="M786" s="30">
        <f t="shared" ca="1" si="64"/>
        <v>0.55091435185185189</v>
      </c>
      <c r="N786" s="31"/>
      <c r="O786" s="31">
        <v>98.5</v>
      </c>
      <c r="P786" s="29">
        <v>95</v>
      </c>
      <c r="Q786" s="29">
        <v>102</v>
      </c>
    </row>
    <row r="787" spans="1:17" x14ac:dyDescent="0.35">
      <c r="A787" s="26">
        <v>40000002599</v>
      </c>
      <c r="B787" s="27">
        <v>1</v>
      </c>
      <c r="C787" s="29" t="str">
        <f>LOOKUP(A787,'QALS - Inspection Lot Record'!$A$2:$A$361,'QALS - Inspection Lot Record'!$O$2:$O$361)</f>
        <v>Metformin Tablets (100 MG)</v>
      </c>
      <c r="D787" s="31">
        <v>20</v>
      </c>
      <c r="E787" s="29" t="s">
        <v>400</v>
      </c>
      <c r="F787" s="29" t="str">
        <f>LOOKUP(A787,'QALS - Inspection Lot Record'!A:A,'QALS - Inspection Lot Record'!G:G)</f>
        <v>ZK384180</v>
      </c>
      <c r="G787" s="59">
        <f ca="1">LOOKUP(A787,'QALS - Inspection Lot Record'!A:A,'QALS - Inspection Lot Record'!E:E)</f>
        <v>45919</v>
      </c>
      <c r="H787" s="34" t="str">
        <f t="shared" si="65"/>
        <v>R</v>
      </c>
      <c r="I787" s="29" t="str">
        <f t="shared" si="61"/>
        <v>ZK384180</v>
      </c>
      <c r="J787" s="59">
        <f t="shared" ca="1" si="62"/>
        <v>45919</v>
      </c>
      <c r="K787" s="30">
        <f ca="1">LOOKUP(A787,'QALS - Inspection Lot Record'!A:A,'QALS - Inspection Lot Record'!I:I)</f>
        <v>0.52453703703703702</v>
      </c>
      <c r="L787" s="59">
        <f t="shared" ca="1" si="63"/>
        <v>45919</v>
      </c>
      <c r="M787" s="30">
        <f t="shared" ca="1" si="64"/>
        <v>0.55269675925925921</v>
      </c>
      <c r="N787" s="31"/>
      <c r="O787" s="31">
        <v>2.5</v>
      </c>
      <c r="P787" s="29">
        <v>3.5</v>
      </c>
      <c r="Q787" s="29">
        <v>11</v>
      </c>
    </row>
    <row r="788" spans="1:17" x14ac:dyDescent="0.35">
      <c r="A788" s="26">
        <v>40000002599</v>
      </c>
      <c r="B788" s="31">
        <v>1</v>
      </c>
      <c r="C788" s="29" t="str">
        <f>LOOKUP(A788,'QALS - Inspection Lot Record'!$A$2:$A$361,'QALS - Inspection Lot Record'!$O$2:$O$361)</f>
        <v>Metformin Tablets (100 MG)</v>
      </c>
      <c r="D788" s="31">
        <v>30</v>
      </c>
      <c r="E788" s="29" t="s">
        <v>401</v>
      </c>
      <c r="F788" s="29" t="str">
        <f>LOOKUP(A788,'QALS - Inspection Lot Record'!A:A,'QALS - Inspection Lot Record'!G:G)</f>
        <v>ZK384180</v>
      </c>
      <c r="G788" s="59">
        <f ca="1">LOOKUP(A788,'QALS - Inspection Lot Record'!A:A,'QALS - Inspection Lot Record'!E:E)</f>
        <v>45919</v>
      </c>
      <c r="H788" s="34" t="str">
        <f t="shared" si="65"/>
        <v>A</v>
      </c>
      <c r="I788" s="29" t="str">
        <f t="shared" si="61"/>
        <v>ZK384180</v>
      </c>
      <c r="J788" s="59">
        <f t="shared" ca="1" si="62"/>
        <v>45919</v>
      </c>
      <c r="K788" s="30">
        <f ca="1">LOOKUP(A788,'QALS - Inspection Lot Record'!A:A,'QALS - Inspection Lot Record'!I:I)</f>
        <v>0.52453703703703702</v>
      </c>
      <c r="L788" s="59">
        <f t="shared" ca="1" si="63"/>
        <v>45919</v>
      </c>
      <c r="M788" s="30">
        <f t="shared" ca="1" si="64"/>
        <v>0.54599537037037038</v>
      </c>
      <c r="N788" s="11" t="s">
        <v>402</v>
      </c>
      <c r="O788" s="31"/>
      <c r="P788" s="29"/>
      <c r="Q788" s="29"/>
    </row>
    <row r="789" spans="1:17" x14ac:dyDescent="0.35">
      <c r="A789" s="26">
        <v>40000002599</v>
      </c>
      <c r="B789" s="31">
        <v>1</v>
      </c>
      <c r="C789" s="29" t="str">
        <f>LOOKUP(A789,'QALS - Inspection Lot Record'!$A$2:$A$361,'QALS - Inspection Lot Record'!$O$2:$O$361)</f>
        <v>Metformin Tablets (100 MG)</v>
      </c>
      <c r="D789" s="31">
        <v>40</v>
      </c>
      <c r="E789" s="29" t="s">
        <v>403</v>
      </c>
      <c r="F789" s="29" t="str">
        <f>LOOKUP(A789,'QALS - Inspection Lot Record'!A:A,'QALS - Inspection Lot Record'!G:G)</f>
        <v>ZK384180</v>
      </c>
      <c r="G789" s="59">
        <f ca="1">LOOKUP(A789,'QALS - Inspection Lot Record'!A:A,'QALS - Inspection Lot Record'!E:E)</f>
        <v>45919</v>
      </c>
      <c r="H789" s="34" t="str">
        <f t="shared" si="65"/>
        <v>A</v>
      </c>
      <c r="I789" s="29" t="str">
        <f t="shared" si="61"/>
        <v>ZK384180</v>
      </c>
      <c r="J789" s="59">
        <f t="shared" ca="1" si="62"/>
        <v>45919</v>
      </c>
      <c r="K789" s="30">
        <f ca="1">LOOKUP(A789,'QALS - Inspection Lot Record'!A:A,'QALS - Inspection Lot Record'!I:I)</f>
        <v>0.52453703703703702</v>
      </c>
      <c r="L789" s="59">
        <f t="shared" ca="1" si="63"/>
        <v>45919</v>
      </c>
      <c r="M789" s="30">
        <f t="shared" ca="1" si="64"/>
        <v>0.55480324074074072</v>
      </c>
      <c r="N789" s="31"/>
      <c r="O789" s="31">
        <v>0.5</v>
      </c>
      <c r="P789" s="29">
        <v>0</v>
      </c>
      <c r="Q789" s="29">
        <v>1</v>
      </c>
    </row>
    <row r="790" spans="1:17" x14ac:dyDescent="0.35">
      <c r="A790" s="26">
        <v>40000002599</v>
      </c>
      <c r="B790" s="31">
        <v>1</v>
      </c>
      <c r="C790" s="29" t="str">
        <f>LOOKUP(A790,'QALS - Inspection Lot Record'!$A$2:$A$361,'QALS - Inspection Lot Record'!$O$2:$O$361)</f>
        <v>Metformin Tablets (100 MG)</v>
      </c>
      <c r="D790" s="31">
        <v>50</v>
      </c>
      <c r="E790" s="29" t="s">
        <v>404</v>
      </c>
      <c r="F790" s="29" t="str">
        <f>LOOKUP(A790,'QALS - Inspection Lot Record'!A:A,'QALS - Inspection Lot Record'!G:G)</f>
        <v>ZK384180</v>
      </c>
      <c r="G790" s="59">
        <f ca="1">LOOKUP(A790,'QALS - Inspection Lot Record'!A:A,'QALS - Inspection Lot Record'!E:E)</f>
        <v>45919</v>
      </c>
      <c r="H790" s="34" t="str">
        <f t="shared" si="65"/>
        <v>R</v>
      </c>
      <c r="I790" s="29" t="str">
        <f t="shared" si="61"/>
        <v>ZK384180</v>
      </c>
      <c r="J790" s="59">
        <f t="shared" ca="1" si="62"/>
        <v>45919</v>
      </c>
      <c r="K790" s="30">
        <f ca="1">LOOKUP(A790,'QALS - Inspection Lot Record'!A:A,'QALS - Inspection Lot Record'!I:I)</f>
        <v>0.52453703703703702</v>
      </c>
      <c r="L790" s="59">
        <f t="shared" ca="1" si="63"/>
        <v>45919</v>
      </c>
      <c r="M790" s="30">
        <f t="shared" ca="1" si="64"/>
        <v>0.54219907407407408</v>
      </c>
      <c r="N790" s="31"/>
      <c r="O790" s="31">
        <v>38</v>
      </c>
      <c r="P790" s="29">
        <v>40</v>
      </c>
      <c r="Q790" s="29">
        <v>60</v>
      </c>
    </row>
    <row r="791" spans="1:17" x14ac:dyDescent="0.35">
      <c r="A791" s="26">
        <v>40000002599</v>
      </c>
      <c r="B791" s="31">
        <v>1</v>
      </c>
      <c r="C791" s="29" t="str">
        <f>LOOKUP(A791,'QALS - Inspection Lot Record'!$A$2:$A$361,'QALS - Inspection Lot Record'!$O$2:$O$361)</f>
        <v>Metformin Tablets (100 MG)</v>
      </c>
      <c r="D791" s="31">
        <v>60</v>
      </c>
      <c r="E791" s="29" t="s">
        <v>405</v>
      </c>
      <c r="F791" s="29" t="str">
        <f>LOOKUP(A791,'QALS - Inspection Lot Record'!A:A,'QALS - Inspection Lot Record'!G:G)</f>
        <v>ZK384180</v>
      </c>
      <c r="G791" s="59">
        <f ca="1">LOOKUP(A791,'QALS - Inspection Lot Record'!A:A,'QALS - Inspection Lot Record'!E:E)</f>
        <v>45919</v>
      </c>
      <c r="H791" s="34" t="str">
        <f t="shared" si="65"/>
        <v>A</v>
      </c>
      <c r="I791" s="29" t="str">
        <f t="shared" si="61"/>
        <v>ZK384180</v>
      </c>
      <c r="J791" s="59">
        <f t="shared" ca="1" si="62"/>
        <v>45919</v>
      </c>
      <c r="K791" s="30">
        <f ca="1">LOOKUP(A791,'QALS - Inspection Lot Record'!A:A,'QALS - Inspection Lot Record'!I:I)</f>
        <v>0.52453703703703702</v>
      </c>
      <c r="L791" s="59">
        <f t="shared" ca="1" si="63"/>
        <v>45919</v>
      </c>
      <c r="M791" s="30">
        <f t="shared" ca="1" si="64"/>
        <v>0.55388888888888888</v>
      </c>
      <c r="N791" s="31"/>
      <c r="O791" s="31">
        <v>73</v>
      </c>
      <c r="P791" s="29">
        <v>70</v>
      </c>
      <c r="Q791" s="29">
        <v>85</v>
      </c>
    </row>
    <row r="792" spans="1:17" x14ac:dyDescent="0.35">
      <c r="A792" s="26">
        <v>40000002599</v>
      </c>
      <c r="B792" s="31">
        <v>1</v>
      </c>
      <c r="C792" s="29" t="str">
        <f>LOOKUP(A792,'QALS - Inspection Lot Record'!$A$2:$A$361,'QALS - Inspection Lot Record'!$O$2:$O$361)</f>
        <v>Metformin Tablets (100 MG)</v>
      </c>
      <c r="D792" s="31">
        <v>70</v>
      </c>
      <c r="E792" s="29" t="s">
        <v>406</v>
      </c>
      <c r="F792" s="29" t="str">
        <f>LOOKUP(A792,'QALS - Inspection Lot Record'!A:A,'QALS - Inspection Lot Record'!G:G)</f>
        <v>ZK384180</v>
      </c>
      <c r="G792" s="59">
        <f ca="1">LOOKUP(A792,'QALS - Inspection Lot Record'!A:A,'QALS - Inspection Lot Record'!E:E)</f>
        <v>45919</v>
      </c>
      <c r="H792" s="34" t="str">
        <f t="shared" si="65"/>
        <v>A</v>
      </c>
      <c r="I792" s="29" t="str">
        <f t="shared" si="61"/>
        <v>ZK384180</v>
      </c>
      <c r="J792" s="59">
        <f t="shared" ca="1" si="62"/>
        <v>45919</v>
      </c>
      <c r="K792" s="30">
        <f ca="1">LOOKUP(A792,'QALS - Inspection Lot Record'!A:A,'QALS - Inspection Lot Record'!I:I)</f>
        <v>0.52453703703703702</v>
      </c>
      <c r="L792" s="59">
        <f t="shared" ca="1" si="63"/>
        <v>45919</v>
      </c>
      <c r="M792" s="30">
        <f t="shared" ca="1" si="64"/>
        <v>0.55048611111111112</v>
      </c>
      <c r="N792" s="31"/>
      <c r="O792" s="31">
        <v>85</v>
      </c>
      <c r="P792" s="29">
        <v>80</v>
      </c>
      <c r="Q792" s="29">
        <v>90</v>
      </c>
    </row>
    <row r="793" spans="1:17" x14ac:dyDescent="0.35">
      <c r="A793" s="26">
        <v>40000002599</v>
      </c>
      <c r="B793" s="31">
        <v>1</v>
      </c>
      <c r="C793" s="29" t="str">
        <f>LOOKUP(A793,'QALS - Inspection Lot Record'!$A$2:$A$361,'QALS - Inspection Lot Record'!$O$2:$O$361)</f>
        <v>Metformin Tablets (100 MG)</v>
      </c>
      <c r="D793" s="31">
        <v>80</v>
      </c>
      <c r="E793" s="29" t="s">
        <v>407</v>
      </c>
      <c r="F793" s="29" t="str">
        <f>LOOKUP(A793,'QALS - Inspection Lot Record'!A:A,'QALS - Inspection Lot Record'!G:G)</f>
        <v>ZK384180</v>
      </c>
      <c r="G793" s="59">
        <f ca="1">LOOKUP(A793,'QALS - Inspection Lot Record'!A:A,'QALS - Inspection Lot Record'!E:E)</f>
        <v>45919</v>
      </c>
      <c r="H793" s="34" t="str">
        <f t="shared" si="65"/>
        <v>A</v>
      </c>
      <c r="I793" s="29" t="str">
        <f t="shared" si="61"/>
        <v>ZK384180</v>
      </c>
      <c r="J793" s="59">
        <f t="shared" ca="1" si="62"/>
        <v>45919</v>
      </c>
      <c r="K793" s="30">
        <f ca="1">LOOKUP(A793,'QALS - Inspection Lot Record'!A:A,'QALS - Inspection Lot Record'!I:I)</f>
        <v>0.52453703703703702</v>
      </c>
      <c r="L793" s="59">
        <f t="shared" ca="1" si="63"/>
        <v>45919</v>
      </c>
      <c r="M793" s="30">
        <f t="shared" ca="1" si="64"/>
        <v>0.55310185185185179</v>
      </c>
      <c r="N793" s="31"/>
      <c r="O793" s="31">
        <v>23.8</v>
      </c>
      <c r="P793" s="29">
        <v>23</v>
      </c>
      <c r="Q793" s="29">
        <v>25</v>
      </c>
    </row>
    <row r="794" spans="1:17" x14ac:dyDescent="0.35">
      <c r="A794" s="26">
        <v>40000002600</v>
      </c>
      <c r="B794" s="27">
        <v>1</v>
      </c>
      <c r="C794" s="29" t="str">
        <f>LOOKUP(A794,'QALS - Inspection Lot Record'!$A$2:$A$361,'QALS - Inspection Lot Record'!$O$2:$O$361)</f>
        <v>Aspirin Tablets (500 MG)</v>
      </c>
      <c r="D794" s="27">
        <v>10</v>
      </c>
      <c r="E794" s="26" t="s">
        <v>399</v>
      </c>
      <c r="F794" s="29" t="str">
        <f>LOOKUP(A794,'QALS - Inspection Lot Record'!A:A,'QALS - Inspection Lot Record'!G:G)</f>
        <v>TG509538</v>
      </c>
      <c r="G794" s="59">
        <f ca="1">LOOKUP(A794,'QALS - Inspection Lot Record'!A:A,'QALS - Inspection Lot Record'!E:E)</f>
        <v>45919</v>
      </c>
      <c r="H794" s="34" t="str">
        <f t="shared" si="65"/>
        <v>R</v>
      </c>
      <c r="I794" s="29" t="str">
        <f t="shared" si="61"/>
        <v>TG509538</v>
      </c>
      <c r="J794" s="59">
        <f t="shared" ca="1" si="62"/>
        <v>45919</v>
      </c>
      <c r="K794" s="30">
        <f ca="1">LOOKUP(A794,'QALS - Inspection Lot Record'!A:A,'QALS - Inspection Lot Record'!I:I)</f>
        <v>0.18148148148148149</v>
      </c>
      <c r="L794" s="59">
        <f t="shared" ca="1" si="63"/>
        <v>45919</v>
      </c>
      <c r="M794" s="30">
        <f t="shared" ca="1" si="64"/>
        <v>0.21083333333333334</v>
      </c>
      <c r="N794" s="31"/>
      <c r="O794" s="31">
        <v>93.4</v>
      </c>
      <c r="P794" s="29">
        <v>95</v>
      </c>
      <c r="Q794" s="29">
        <v>105</v>
      </c>
    </row>
    <row r="795" spans="1:17" x14ac:dyDescent="0.35">
      <c r="A795" s="26">
        <v>40000002600</v>
      </c>
      <c r="B795" s="27">
        <v>1</v>
      </c>
      <c r="C795" s="29" t="str">
        <f>LOOKUP(A795,'QALS - Inspection Lot Record'!$A$2:$A$361,'QALS - Inspection Lot Record'!$O$2:$O$361)</f>
        <v>Aspirin Tablets (500 MG)</v>
      </c>
      <c r="D795" s="31">
        <v>20</v>
      </c>
      <c r="E795" s="29" t="s">
        <v>400</v>
      </c>
      <c r="F795" s="29" t="str">
        <f>LOOKUP(A795,'QALS - Inspection Lot Record'!A:A,'QALS - Inspection Lot Record'!G:G)</f>
        <v>TG509538</v>
      </c>
      <c r="G795" s="59">
        <f ca="1">LOOKUP(A795,'QALS - Inspection Lot Record'!A:A,'QALS - Inspection Lot Record'!E:E)</f>
        <v>45919</v>
      </c>
      <c r="H795" s="34" t="str">
        <f t="shared" si="65"/>
        <v>R</v>
      </c>
      <c r="I795" s="29" t="str">
        <f t="shared" si="61"/>
        <v>TG509538</v>
      </c>
      <c r="J795" s="59">
        <f t="shared" ca="1" si="62"/>
        <v>45919</v>
      </c>
      <c r="K795" s="30">
        <f ca="1">LOOKUP(A795,'QALS - Inspection Lot Record'!A:A,'QALS - Inspection Lot Record'!I:I)</f>
        <v>0.18148148148148149</v>
      </c>
      <c r="L795" s="59">
        <f t="shared" ca="1" si="63"/>
        <v>45919</v>
      </c>
      <c r="M795" s="30">
        <f t="shared" ca="1" si="64"/>
        <v>0.21291666666666667</v>
      </c>
      <c r="N795" s="31"/>
      <c r="O795" s="31">
        <v>2.4</v>
      </c>
      <c r="P795" s="29">
        <v>3.5</v>
      </c>
      <c r="Q795" s="29">
        <v>11</v>
      </c>
    </row>
    <row r="796" spans="1:17" x14ac:dyDescent="0.35">
      <c r="A796" s="26">
        <v>40000002600</v>
      </c>
      <c r="B796" s="31">
        <v>1</v>
      </c>
      <c r="C796" s="29" t="str">
        <f>LOOKUP(A796,'QALS - Inspection Lot Record'!$A$2:$A$361,'QALS - Inspection Lot Record'!$O$2:$O$361)</f>
        <v>Aspirin Tablets (500 MG)</v>
      </c>
      <c r="D796" s="31">
        <v>30</v>
      </c>
      <c r="E796" s="29" t="s">
        <v>401</v>
      </c>
      <c r="F796" s="29" t="str">
        <f>LOOKUP(A796,'QALS - Inspection Lot Record'!A:A,'QALS - Inspection Lot Record'!G:G)</f>
        <v>TG509538</v>
      </c>
      <c r="G796" s="59">
        <f ca="1">LOOKUP(A796,'QALS - Inspection Lot Record'!A:A,'QALS - Inspection Lot Record'!E:E)</f>
        <v>45919</v>
      </c>
      <c r="H796" s="34" t="str">
        <f t="shared" si="65"/>
        <v>A</v>
      </c>
      <c r="I796" s="29" t="str">
        <f t="shared" si="61"/>
        <v>TG509538</v>
      </c>
      <c r="J796" s="59">
        <f t="shared" ca="1" si="62"/>
        <v>45919</v>
      </c>
      <c r="K796" s="30">
        <f ca="1">LOOKUP(A796,'QALS - Inspection Lot Record'!A:A,'QALS - Inspection Lot Record'!I:I)</f>
        <v>0.18148148148148149</v>
      </c>
      <c r="L796" s="59">
        <f t="shared" ca="1" si="63"/>
        <v>45919</v>
      </c>
      <c r="M796" s="30">
        <f t="shared" ca="1" si="64"/>
        <v>0.2101851851851852</v>
      </c>
      <c r="N796" s="11" t="s">
        <v>402</v>
      </c>
      <c r="O796" s="31"/>
      <c r="P796" s="29"/>
      <c r="Q796" s="29"/>
    </row>
    <row r="797" spans="1:17" x14ac:dyDescent="0.35">
      <c r="A797" s="26">
        <v>40000002600</v>
      </c>
      <c r="B797" s="31">
        <v>1</v>
      </c>
      <c r="C797" s="29" t="str">
        <f>LOOKUP(A797,'QALS - Inspection Lot Record'!$A$2:$A$361,'QALS - Inspection Lot Record'!$O$2:$O$361)</f>
        <v>Aspirin Tablets (500 MG)</v>
      </c>
      <c r="D797" s="31">
        <v>40</v>
      </c>
      <c r="E797" s="29" t="s">
        <v>403</v>
      </c>
      <c r="F797" s="29" t="str">
        <f>LOOKUP(A797,'QALS - Inspection Lot Record'!A:A,'QALS - Inspection Lot Record'!G:G)</f>
        <v>TG509538</v>
      </c>
      <c r="G797" s="59">
        <f ca="1">LOOKUP(A797,'QALS - Inspection Lot Record'!A:A,'QALS - Inspection Lot Record'!E:E)</f>
        <v>45919</v>
      </c>
      <c r="H797" s="34" t="str">
        <f t="shared" si="65"/>
        <v>R</v>
      </c>
      <c r="I797" s="29" t="str">
        <f t="shared" si="61"/>
        <v>TG509538</v>
      </c>
      <c r="J797" s="59">
        <f t="shared" ca="1" si="62"/>
        <v>45919</v>
      </c>
      <c r="K797" s="30">
        <f ca="1">LOOKUP(A797,'QALS - Inspection Lot Record'!A:A,'QALS - Inspection Lot Record'!I:I)</f>
        <v>0.18148148148148149</v>
      </c>
      <c r="L797" s="59">
        <f t="shared" ca="1" si="63"/>
        <v>45919</v>
      </c>
      <c r="M797" s="30">
        <f t="shared" ca="1" si="64"/>
        <v>0.20181712962962964</v>
      </c>
      <c r="N797" s="31"/>
      <c r="O797" s="31">
        <v>2.6</v>
      </c>
      <c r="P797" s="29">
        <v>0</v>
      </c>
      <c r="Q797" s="29">
        <v>2.5</v>
      </c>
    </row>
    <row r="798" spans="1:17" x14ac:dyDescent="0.35">
      <c r="A798" s="26">
        <v>40000002600</v>
      </c>
      <c r="B798" s="31">
        <v>1</v>
      </c>
      <c r="C798" s="29" t="str">
        <f>LOOKUP(A798,'QALS - Inspection Lot Record'!$A$2:$A$361,'QALS - Inspection Lot Record'!$O$2:$O$361)</f>
        <v>Aspirin Tablets (500 MG)</v>
      </c>
      <c r="D798" s="31">
        <v>50</v>
      </c>
      <c r="E798" s="29" t="s">
        <v>404</v>
      </c>
      <c r="F798" s="29" t="str">
        <f>LOOKUP(A798,'QALS - Inspection Lot Record'!A:A,'QALS - Inspection Lot Record'!G:G)</f>
        <v>TG509538</v>
      </c>
      <c r="G798" s="59">
        <f ca="1">LOOKUP(A798,'QALS - Inspection Lot Record'!A:A,'QALS - Inspection Lot Record'!E:E)</f>
        <v>45919</v>
      </c>
      <c r="H798" s="34" t="str">
        <f t="shared" si="65"/>
        <v>A</v>
      </c>
      <c r="I798" s="29" t="str">
        <f t="shared" si="61"/>
        <v>TG509538</v>
      </c>
      <c r="J798" s="59">
        <f t="shared" ca="1" si="62"/>
        <v>45919</v>
      </c>
      <c r="K798" s="30">
        <f ca="1">LOOKUP(A798,'QALS - Inspection Lot Record'!A:A,'QALS - Inspection Lot Record'!I:I)</f>
        <v>0.18148148148148149</v>
      </c>
      <c r="L798" s="59">
        <f t="shared" ca="1" si="63"/>
        <v>45919</v>
      </c>
      <c r="M798" s="30">
        <f t="shared" ca="1" si="64"/>
        <v>0.19983796296296297</v>
      </c>
      <c r="N798" s="31"/>
      <c r="O798" s="31">
        <v>42</v>
      </c>
      <c r="P798" s="29">
        <v>40</v>
      </c>
      <c r="Q798" s="29">
        <v>60</v>
      </c>
    </row>
    <row r="799" spans="1:17" x14ac:dyDescent="0.35">
      <c r="A799" s="26">
        <v>40000002600</v>
      </c>
      <c r="B799" s="31">
        <v>1</v>
      </c>
      <c r="C799" s="29" t="str">
        <f>LOOKUP(A799,'QALS - Inspection Lot Record'!$A$2:$A$361,'QALS - Inspection Lot Record'!$O$2:$O$361)</f>
        <v>Aspirin Tablets (500 MG)</v>
      </c>
      <c r="D799" s="31">
        <v>60</v>
      </c>
      <c r="E799" s="29" t="s">
        <v>405</v>
      </c>
      <c r="F799" s="29" t="str">
        <f>LOOKUP(A799,'QALS - Inspection Lot Record'!A:A,'QALS - Inspection Lot Record'!G:G)</f>
        <v>TG509538</v>
      </c>
      <c r="G799" s="59">
        <f ca="1">LOOKUP(A799,'QALS - Inspection Lot Record'!A:A,'QALS - Inspection Lot Record'!E:E)</f>
        <v>45919</v>
      </c>
      <c r="H799" s="34" t="str">
        <f t="shared" si="65"/>
        <v>A</v>
      </c>
      <c r="I799" s="29" t="str">
        <f t="shared" si="61"/>
        <v>TG509538</v>
      </c>
      <c r="J799" s="59">
        <f t="shared" ca="1" si="62"/>
        <v>45919</v>
      </c>
      <c r="K799" s="30">
        <f ca="1">LOOKUP(A799,'QALS - Inspection Lot Record'!A:A,'QALS - Inspection Lot Record'!I:I)</f>
        <v>0.18148148148148149</v>
      </c>
      <c r="L799" s="59">
        <f t="shared" ca="1" si="63"/>
        <v>45919</v>
      </c>
      <c r="M799" s="30">
        <f t="shared" ca="1" si="64"/>
        <v>0.20401620370370371</v>
      </c>
      <c r="N799" s="31"/>
      <c r="O799" s="31">
        <v>73</v>
      </c>
      <c r="P799" s="29">
        <v>70</v>
      </c>
      <c r="Q799" s="29">
        <v>85</v>
      </c>
    </row>
    <row r="800" spans="1:17" x14ac:dyDescent="0.35">
      <c r="A800" s="26">
        <v>40000002600</v>
      </c>
      <c r="B800" s="31">
        <v>1</v>
      </c>
      <c r="C800" s="29" t="str">
        <f>LOOKUP(A800,'QALS - Inspection Lot Record'!$A$2:$A$361,'QALS - Inspection Lot Record'!$O$2:$O$361)</f>
        <v>Aspirin Tablets (500 MG)</v>
      </c>
      <c r="D800" s="31">
        <v>70</v>
      </c>
      <c r="E800" s="29" t="s">
        <v>406</v>
      </c>
      <c r="F800" s="29" t="str">
        <f>LOOKUP(A800,'QALS - Inspection Lot Record'!A:A,'QALS - Inspection Lot Record'!G:G)</f>
        <v>TG509538</v>
      </c>
      <c r="G800" s="59">
        <f ca="1">LOOKUP(A800,'QALS - Inspection Lot Record'!A:A,'QALS - Inspection Lot Record'!E:E)</f>
        <v>45919</v>
      </c>
      <c r="H800" s="34" t="str">
        <f t="shared" si="65"/>
        <v>R</v>
      </c>
      <c r="I800" s="29" t="str">
        <f t="shared" si="61"/>
        <v>TG509538</v>
      </c>
      <c r="J800" s="59">
        <f t="shared" ca="1" si="62"/>
        <v>45919</v>
      </c>
      <c r="K800" s="30">
        <f ca="1">LOOKUP(A800,'QALS - Inspection Lot Record'!A:A,'QALS - Inspection Lot Record'!I:I)</f>
        <v>0.18148148148148149</v>
      </c>
      <c r="L800" s="59">
        <f t="shared" ca="1" si="63"/>
        <v>45919</v>
      </c>
      <c r="M800" s="30">
        <f t="shared" ca="1" si="64"/>
        <v>0.21613425925925928</v>
      </c>
      <c r="N800" s="31"/>
      <c r="O800" s="31">
        <v>78.400000000000006</v>
      </c>
      <c r="P800" s="29">
        <v>80</v>
      </c>
      <c r="Q800" s="29">
        <v>90</v>
      </c>
    </row>
    <row r="801" spans="1:17" x14ac:dyDescent="0.35">
      <c r="A801" s="26">
        <v>40000002600</v>
      </c>
      <c r="B801" s="31">
        <v>1</v>
      </c>
      <c r="C801" s="29" t="str">
        <f>LOOKUP(A801,'QALS - Inspection Lot Record'!$A$2:$A$361,'QALS - Inspection Lot Record'!$O$2:$O$361)</f>
        <v>Aspirin Tablets (500 MG)</v>
      </c>
      <c r="D801" s="31">
        <v>80</v>
      </c>
      <c r="E801" s="29" t="s">
        <v>407</v>
      </c>
      <c r="F801" s="29" t="str">
        <f>LOOKUP(A801,'QALS - Inspection Lot Record'!A:A,'QALS - Inspection Lot Record'!G:G)</f>
        <v>TG509538</v>
      </c>
      <c r="G801" s="59">
        <f ca="1">LOOKUP(A801,'QALS - Inspection Lot Record'!A:A,'QALS - Inspection Lot Record'!E:E)</f>
        <v>45919</v>
      </c>
      <c r="H801" s="34" t="str">
        <f t="shared" si="65"/>
        <v>A</v>
      </c>
      <c r="I801" s="29" t="str">
        <f t="shared" si="61"/>
        <v>TG509538</v>
      </c>
      <c r="J801" s="59">
        <f t="shared" ca="1" si="62"/>
        <v>45919</v>
      </c>
      <c r="K801" s="30">
        <f ca="1">LOOKUP(A801,'QALS - Inspection Lot Record'!A:A,'QALS - Inspection Lot Record'!I:I)</f>
        <v>0.18148148148148149</v>
      </c>
      <c r="L801" s="59">
        <f t="shared" ca="1" si="63"/>
        <v>45919</v>
      </c>
      <c r="M801" s="30">
        <f t="shared" ca="1" si="64"/>
        <v>0.20342592592592593</v>
      </c>
      <c r="N801" s="31"/>
      <c r="O801" s="31">
        <v>24</v>
      </c>
      <c r="P801" s="29">
        <v>23</v>
      </c>
      <c r="Q801" s="29">
        <v>28</v>
      </c>
    </row>
    <row r="802" spans="1:17" x14ac:dyDescent="0.35">
      <c r="A802" s="26">
        <v>40000002601</v>
      </c>
      <c r="B802" s="27">
        <v>1</v>
      </c>
      <c r="C802" s="29" t="str">
        <f>LOOKUP(A802,'QALS - Inspection Lot Record'!$A$2:$A$361,'QALS - Inspection Lot Record'!$O$2:$O$361)</f>
        <v>Ibuprofen Tablets (100 MG)</v>
      </c>
      <c r="D802" s="27">
        <v>10</v>
      </c>
      <c r="E802" s="26" t="s">
        <v>399</v>
      </c>
      <c r="F802" s="29" t="str">
        <f>LOOKUP(A802,'QALS - Inspection Lot Record'!A:A,'QALS - Inspection Lot Record'!G:G)</f>
        <v>ZK384180</v>
      </c>
      <c r="G802" s="59">
        <f ca="1">LOOKUP(A802,'QALS - Inspection Lot Record'!A:A,'QALS - Inspection Lot Record'!E:E)</f>
        <v>45920</v>
      </c>
      <c r="H802" s="34" t="str">
        <f t="shared" si="65"/>
        <v>A</v>
      </c>
      <c r="I802" s="29" t="str">
        <f t="shared" si="61"/>
        <v>ZK384180</v>
      </c>
      <c r="J802" s="59">
        <f t="shared" ca="1" si="62"/>
        <v>45920</v>
      </c>
      <c r="K802" s="30">
        <f ca="1">LOOKUP(A802,'QALS - Inspection Lot Record'!A:A,'QALS - Inspection Lot Record'!I:I)</f>
        <v>0.79421296296296295</v>
      </c>
      <c r="L802" s="59">
        <f t="shared" ca="1" si="63"/>
        <v>45920</v>
      </c>
      <c r="M802" s="30">
        <f t="shared" ca="1" si="64"/>
        <v>0.82649305555555552</v>
      </c>
      <c r="N802" s="31"/>
      <c r="O802" s="31">
        <v>98.5</v>
      </c>
      <c r="P802" s="29">
        <v>95</v>
      </c>
      <c r="Q802" s="29">
        <v>102</v>
      </c>
    </row>
    <row r="803" spans="1:17" x14ac:dyDescent="0.35">
      <c r="A803" s="26">
        <v>40000002601</v>
      </c>
      <c r="B803" s="27">
        <v>1</v>
      </c>
      <c r="C803" s="29" t="str">
        <f>LOOKUP(A803,'QALS - Inspection Lot Record'!$A$2:$A$361,'QALS - Inspection Lot Record'!$O$2:$O$361)</f>
        <v>Ibuprofen Tablets (100 MG)</v>
      </c>
      <c r="D803" s="31">
        <v>20</v>
      </c>
      <c r="E803" s="29" t="s">
        <v>400</v>
      </c>
      <c r="F803" s="29" t="str">
        <f>LOOKUP(A803,'QALS - Inspection Lot Record'!A:A,'QALS - Inspection Lot Record'!G:G)</f>
        <v>ZK384180</v>
      </c>
      <c r="G803" s="59">
        <f ca="1">LOOKUP(A803,'QALS - Inspection Lot Record'!A:A,'QALS - Inspection Lot Record'!E:E)</f>
        <v>45920</v>
      </c>
      <c r="H803" s="34" t="str">
        <f t="shared" si="65"/>
        <v>A</v>
      </c>
      <c r="I803" s="29" t="str">
        <f t="shared" si="61"/>
        <v>ZK384180</v>
      </c>
      <c r="J803" s="59">
        <f t="shared" ca="1" si="62"/>
        <v>45920</v>
      </c>
      <c r="K803" s="30">
        <f ca="1">LOOKUP(A803,'QALS - Inspection Lot Record'!A:A,'QALS - Inspection Lot Record'!I:I)</f>
        <v>0.79421296296296295</v>
      </c>
      <c r="L803" s="59">
        <f t="shared" ca="1" si="63"/>
        <v>45920</v>
      </c>
      <c r="M803" s="30">
        <f t="shared" ca="1" si="64"/>
        <v>0.81606481481481485</v>
      </c>
      <c r="N803" s="31"/>
      <c r="O803" s="31">
        <v>7.25</v>
      </c>
      <c r="P803" s="29">
        <v>3.5</v>
      </c>
      <c r="Q803" s="29">
        <v>11</v>
      </c>
    </row>
    <row r="804" spans="1:17" x14ac:dyDescent="0.35">
      <c r="A804" s="26">
        <v>40000002601</v>
      </c>
      <c r="B804" s="31">
        <v>1</v>
      </c>
      <c r="C804" s="29" t="str">
        <f>LOOKUP(A804,'QALS - Inspection Lot Record'!$A$2:$A$361,'QALS - Inspection Lot Record'!$O$2:$O$361)</f>
        <v>Ibuprofen Tablets (100 MG)</v>
      </c>
      <c r="D804" s="31">
        <v>30</v>
      </c>
      <c r="E804" s="29" t="s">
        <v>401</v>
      </c>
      <c r="F804" s="29" t="str">
        <f>LOOKUP(A804,'QALS - Inspection Lot Record'!A:A,'QALS - Inspection Lot Record'!G:G)</f>
        <v>ZK384180</v>
      </c>
      <c r="G804" s="59">
        <f ca="1">LOOKUP(A804,'QALS - Inspection Lot Record'!A:A,'QALS - Inspection Lot Record'!E:E)</f>
        <v>45920</v>
      </c>
      <c r="H804" s="34" t="str">
        <f t="shared" si="65"/>
        <v>A</v>
      </c>
      <c r="I804" s="29" t="str">
        <f t="shared" si="61"/>
        <v>ZK384180</v>
      </c>
      <c r="J804" s="59">
        <f t="shared" ca="1" si="62"/>
        <v>45920</v>
      </c>
      <c r="K804" s="30">
        <f ca="1">LOOKUP(A804,'QALS - Inspection Lot Record'!A:A,'QALS - Inspection Lot Record'!I:I)</f>
        <v>0.79421296296296295</v>
      </c>
      <c r="L804" s="59">
        <f t="shared" ca="1" si="63"/>
        <v>45920</v>
      </c>
      <c r="M804" s="30">
        <f t="shared" ca="1" si="64"/>
        <v>0.82033564814814819</v>
      </c>
      <c r="N804" s="11" t="s">
        <v>402</v>
      </c>
      <c r="O804" s="31"/>
      <c r="P804" s="29"/>
      <c r="Q804" s="29"/>
    </row>
    <row r="805" spans="1:17" x14ac:dyDescent="0.35">
      <c r="A805" s="26">
        <v>40000002601</v>
      </c>
      <c r="B805" s="31">
        <v>1</v>
      </c>
      <c r="C805" s="29" t="str">
        <f>LOOKUP(A805,'QALS - Inspection Lot Record'!$A$2:$A$361,'QALS - Inspection Lot Record'!$O$2:$O$361)</f>
        <v>Ibuprofen Tablets (100 MG)</v>
      </c>
      <c r="D805" s="31">
        <v>40</v>
      </c>
      <c r="E805" s="29" t="s">
        <v>403</v>
      </c>
      <c r="F805" s="29" t="str">
        <f>LOOKUP(A805,'QALS - Inspection Lot Record'!A:A,'QALS - Inspection Lot Record'!G:G)</f>
        <v>ZK384180</v>
      </c>
      <c r="G805" s="59">
        <f ca="1">LOOKUP(A805,'QALS - Inspection Lot Record'!A:A,'QALS - Inspection Lot Record'!E:E)</f>
        <v>45920</v>
      </c>
      <c r="H805" s="34" t="str">
        <f t="shared" si="65"/>
        <v>A</v>
      </c>
      <c r="I805" s="29" t="str">
        <f t="shared" si="61"/>
        <v>ZK384180</v>
      </c>
      <c r="J805" s="59">
        <f t="shared" ca="1" si="62"/>
        <v>45920</v>
      </c>
      <c r="K805" s="30">
        <f ca="1">LOOKUP(A805,'QALS - Inspection Lot Record'!A:A,'QALS - Inspection Lot Record'!I:I)</f>
        <v>0.79421296296296295</v>
      </c>
      <c r="L805" s="59">
        <f t="shared" ca="1" si="63"/>
        <v>45920</v>
      </c>
      <c r="M805" s="30">
        <f t="shared" ca="1" si="64"/>
        <v>0.82530092592592597</v>
      </c>
      <c r="N805" s="31"/>
      <c r="O805" s="31">
        <v>0</v>
      </c>
      <c r="P805" s="29">
        <v>0</v>
      </c>
      <c r="Q805" s="29">
        <v>1</v>
      </c>
    </row>
    <row r="806" spans="1:17" x14ac:dyDescent="0.35">
      <c r="A806" s="26">
        <v>40000002601</v>
      </c>
      <c r="B806" s="31">
        <v>1</v>
      </c>
      <c r="C806" s="29" t="str">
        <f>LOOKUP(A806,'QALS - Inspection Lot Record'!$A$2:$A$361,'QALS - Inspection Lot Record'!$O$2:$O$361)</f>
        <v>Ibuprofen Tablets (100 MG)</v>
      </c>
      <c r="D806" s="31">
        <v>50</v>
      </c>
      <c r="E806" s="29" t="s">
        <v>404</v>
      </c>
      <c r="F806" s="29" t="str">
        <f>LOOKUP(A806,'QALS - Inspection Lot Record'!A:A,'QALS - Inspection Lot Record'!G:G)</f>
        <v>ZK384180</v>
      </c>
      <c r="G806" s="59">
        <f ca="1">LOOKUP(A806,'QALS - Inspection Lot Record'!A:A,'QALS - Inspection Lot Record'!E:E)</f>
        <v>45920</v>
      </c>
      <c r="H806" s="34" t="str">
        <f t="shared" si="65"/>
        <v>A</v>
      </c>
      <c r="I806" s="29" t="str">
        <f t="shared" si="61"/>
        <v>ZK384180</v>
      </c>
      <c r="J806" s="59">
        <f t="shared" ca="1" si="62"/>
        <v>45920</v>
      </c>
      <c r="K806" s="30">
        <f ca="1">LOOKUP(A806,'QALS - Inspection Lot Record'!A:A,'QALS - Inspection Lot Record'!I:I)</f>
        <v>0.79421296296296295</v>
      </c>
      <c r="L806" s="59">
        <f t="shared" ca="1" si="63"/>
        <v>45920</v>
      </c>
      <c r="M806" s="30">
        <f t="shared" ca="1" si="64"/>
        <v>0.82152777777777775</v>
      </c>
      <c r="N806" s="31"/>
      <c r="O806" s="31">
        <v>50</v>
      </c>
      <c r="P806" s="29">
        <v>40</v>
      </c>
      <c r="Q806" s="29">
        <v>60</v>
      </c>
    </row>
    <row r="807" spans="1:17" x14ac:dyDescent="0.35">
      <c r="A807" s="26">
        <v>40000002601</v>
      </c>
      <c r="B807" s="31">
        <v>1</v>
      </c>
      <c r="C807" s="29" t="str">
        <f>LOOKUP(A807,'QALS - Inspection Lot Record'!$A$2:$A$361,'QALS - Inspection Lot Record'!$O$2:$O$361)</f>
        <v>Ibuprofen Tablets (100 MG)</v>
      </c>
      <c r="D807" s="31">
        <v>60</v>
      </c>
      <c r="E807" s="29" t="s">
        <v>405</v>
      </c>
      <c r="F807" s="29" t="str">
        <f>LOOKUP(A807,'QALS - Inspection Lot Record'!A:A,'QALS - Inspection Lot Record'!G:G)</f>
        <v>ZK384180</v>
      </c>
      <c r="G807" s="59">
        <f ca="1">LOOKUP(A807,'QALS - Inspection Lot Record'!A:A,'QALS - Inspection Lot Record'!E:E)</f>
        <v>45920</v>
      </c>
      <c r="H807" s="34" t="str">
        <f t="shared" si="65"/>
        <v>A</v>
      </c>
      <c r="I807" s="29" t="str">
        <f t="shared" si="61"/>
        <v>ZK384180</v>
      </c>
      <c r="J807" s="59">
        <f t="shared" ca="1" si="62"/>
        <v>45920</v>
      </c>
      <c r="K807" s="30">
        <f ca="1">LOOKUP(A807,'QALS - Inspection Lot Record'!A:A,'QALS - Inspection Lot Record'!I:I)</f>
        <v>0.79421296296296295</v>
      </c>
      <c r="L807" s="59">
        <f t="shared" ca="1" si="63"/>
        <v>45920</v>
      </c>
      <c r="M807" s="30">
        <f t="shared" ca="1" si="64"/>
        <v>0.814849537037037</v>
      </c>
      <c r="N807" s="31"/>
      <c r="O807" s="31">
        <v>77.5</v>
      </c>
      <c r="P807" s="29">
        <v>70</v>
      </c>
      <c r="Q807" s="29">
        <v>85</v>
      </c>
    </row>
    <row r="808" spans="1:17" x14ac:dyDescent="0.35">
      <c r="A808" s="26">
        <v>40000002601</v>
      </c>
      <c r="B808" s="31">
        <v>1</v>
      </c>
      <c r="C808" s="29" t="str">
        <f>LOOKUP(A808,'QALS - Inspection Lot Record'!$A$2:$A$361,'QALS - Inspection Lot Record'!$O$2:$O$361)</f>
        <v>Ibuprofen Tablets (100 MG)</v>
      </c>
      <c r="D808" s="31">
        <v>70</v>
      </c>
      <c r="E808" s="29" t="s">
        <v>406</v>
      </c>
      <c r="F808" s="29" t="str">
        <f>LOOKUP(A808,'QALS - Inspection Lot Record'!A:A,'QALS - Inspection Lot Record'!G:G)</f>
        <v>ZK384180</v>
      </c>
      <c r="G808" s="59">
        <f ca="1">LOOKUP(A808,'QALS - Inspection Lot Record'!A:A,'QALS - Inspection Lot Record'!E:E)</f>
        <v>45920</v>
      </c>
      <c r="H808" s="34" t="str">
        <f t="shared" si="65"/>
        <v>A</v>
      </c>
      <c r="I808" s="29" t="str">
        <f t="shared" si="61"/>
        <v>ZK384180</v>
      </c>
      <c r="J808" s="59">
        <f t="shared" ca="1" si="62"/>
        <v>45920</v>
      </c>
      <c r="K808" s="30">
        <f ca="1">LOOKUP(A808,'QALS - Inspection Lot Record'!A:A,'QALS - Inspection Lot Record'!I:I)</f>
        <v>0.79421296296296295</v>
      </c>
      <c r="L808" s="59">
        <f t="shared" ca="1" si="63"/>
        <v>45920</v>
      </c>
      <c r="M808" s="30">
        <f t="shared" ca="1" si="64"/>
        <v>0.81931712962962966</v>
      </c>
      <c r="N808" s="31"/>
      <c r="O808" s="31">
        <v>81.400000000000006</v>
      </c>
      <c r="P808" s="29">
        <v>80</v>
      </c>
      <c r="Q808" s="29">
        <v>90</v>
      </c>
    </row>
    <row r="809" spans="1:17" x14ac:dyDescent="0.35">
      <c r="A809" s="26">
        <v>40000002601</v>
      </c>
      <c r="B809" s="31">
        <v>1</v>
      </c>
      <c r="C809" s="29" t="str">
        <f>LOOKUP(A809,'QALS - Inspection Lot Record'!$A$2:$A$361,'QALS - Inspection Lot Record'!$O$2:$O$361)</f>
        <v>Ibuprofen Tablets (100 MG)</v>
      </c>
      <c r="D809" s="31">
        <v>80</v>
      </c>
      <c r="E809" s="29" t="s">
        <v>407</v>
      </c>
      <c r="F809" s="29" t="str">
        <f>LOOKUP(A809,'QALS - Inspection Lot Record'!A:A,'QALS - Inspection Lot Record'!G:G)</f>
        <v>ZK384180</v>
      </c>
      <c r="G809" s="59">
        <f ca="1">LOOKUP(A809,'QALS - Inspection Lot Record'!A:A,'QALS - Inspection Lot Record'!E:E)</f>
        <v>45920</v>
      </c>
      <c r="H809" s="34" t="str">
        <f t="shared" si="65"/>
        <v>A</v>
      </c>
      <c r="I809" s="29" t="str">
        <f t="shared" si="61"/>
        <v>ZK384180</v>
      </c>
      <c r="J809" s="59">
        <f t="shared" ca="1" si="62"/>
        <v>45920</v>
      </c>
      <c r="K809" s="30">
        <f ca="1">LOOKUP(A809,'QALS - Inspection Lot Record'!A:A,'QALS - Inspection Lot Record'!I:I)</f>
        <v>0.79421296296296295</v>
      </c>
      <c r="L809" s="59">
        <f t="shared" ca="1" si="63"/>
        <v>45920</v>
      </c>
      <c r="M809" s="30">
        <f t="shared" ca="1" si="64"/>
        <v>0.82928240740740744</v>
      </c>
      <c r="N809" s="31"/>
      <c r="O809" s="31">
        <v>24</v>
      </c>
      <c r="P809" s="29">
        <v>23</v>
      </c>
      <c r="Q809" s="29">
        <v>25</v>
      </c>
    </row>
    <row r="810" spans="1:17" x14ac:dyDescent="0.35">
      <c r="A810" s="26">
        <v>40000002602</v>
      </c>
      <c r="B810" s="27">
        <v>1</v>
      </c>
      <c r="C810" s="29" t="str">
        <f>LOOKUP(A810,'QALS - Inspection Lot Record'!$A$2:$A$361,'QALS - Inspection Lot Record'!$O$2:$O$361)</f>
        <v>Metformin Tablets (500 MG)</v>
      </c>
      <c r="D810" s="27">
        <v>10</v>
      </c>
      <c r="E810" s="26" t="s">
        <v>399</v>
      </c>
      <c r="F810" s="29" t="str">
        <f>LOOKUP(A810,'QALS - Inspection Lot Record'!A:A,'QALS - Inspection Lot Record'!G:G)</f>
        <v>TG509538</v>
      </c>
      <c r="G810" s="59">
        <f ca="1">LOOKUP(A810,'QALS - Inspection Lot Record'!A:A,'QALS - Inspection Lot Record'!E:E)</f>
        <v>45920</v>
      </c>
      <c r="H810" s="34" t="str">
        <f t="shared" si="65"/>
        <v>A</v>
      </c>
      <c r="I810" s="29" t="str">
        <f t="shared" si="61"/>
        <v>TG509538</v>
      </c>
      <c r="J810" s="59">
        <f t="shared" ca="1" si="62"/>
        <v>45920</v>
      </c>
      <c r="K810" s="30">
        <f ca="1">LOOKUP(A810,'QALS - Inspection Lot Record'!A:A,'QALS - Inspection Lot Record'!I:I)</f>
        <v>1.8969907407407408E-2</v>
      </c>
      <c r="L810" s="59">
        <f t="shared" ca="1" si="63"/>
        <v>45920</v>
      </c>
      <c r="M810" s="30">
        <f t="shared" ca="1" si="64"/>
        <v>3.9305555555555552E-2</v>
      </c>
      <c r="N810" s="31"/>
      <c r="O810" s="31">
        <v>100</v>
      </c>
      <c r="P810" s="29">
        <v>95</v>
      </c>
      <c r="Q810" s="29">
        <v>105</v>
      </c>
    </row>
    <row r="811" spans="1:17" x14ac:dyDescent="0.35">
      <c r="A811" s="26">
        <v>40000002602</v>
      </c>
      <c r="B811" s="27">
        <v>1</v>
      </c>
      <c r="C811" s="29" t="str">
        <f>LOOKUP(A811,'QALS - Inspection Lot Record'!$A$2:$A$361,'QALS - Inspection Lot Record'!$O$2:$O$361)</f>
        <v>Metformin Tablets (500 MG)</v>
      </c>
      <c r="D811" s="31">
        <v>20</v>
      </c>
      <c r="E811" s="29" t="s">
        <v>400</v>
      </c>
      <c r="F811" s="29" t="str">
        <f>LOOKUP(A811,'QALS - Inspection Lot Record'!A:A,'QALS - Inspection Lot Record'!G:G)</f>
        <v>TG509538</v>
      </c>
      <c r="G811" s="59">
        <f ca="1">LOOKUP(A811,'QALS - Inspection Lot Record'!A:A,'QALS - Inspection Lot Record'!E:E)</f>
        <v>45920</v>
      </c>
      <c r="H811" s="34" t="str">
        <f t="shared" si="65"/>
        <v>A</v>
      </c>
      <c r="I811" s="29" t="str">
        <f t="shared" si="61"/>
        <v>TG509538</v>
      </c>
      <c r="J811" s="59">
        <f t="shared" ca="1" si="62"/>
        <v>45920</v>
      </c>
      <c r="K811" s="30">
        <f ca="1">LOOKUP(A811,'QALS - Inspection Lot Record'!A:A,'QALS - Inspection Lot Record'!I:I)</f>
        <v>1.8969907407407408E-2</v>
      </c>
      <c r="L811" s="59">
        <f t="shared" ca="1" si="63"/>
        <v>45920</v>
      </c>
      <c r="M811" s="30">
        <f t="shared" ca="1" si="64"/>
        <v>4.0613425925925928E-2</v>
      </c>
      <c r="N811" s="31"/>
      <c r="O811" s="31">
        <v>7.3</v>
      </c>
      <c r="P811" s="29">
        <v>3.5</v>
      </c>
      <c r="Q811" s="29">
        <v>11</v>
      </c>
    </row>
    <row r="812" spans="1:17" x14ac:dyDescent="0.35">
      <c r="A812" s="26">
        <v>40000002602</v>
      </c>
      <c r="B812" s="31">
        <v>1</v>
      </c>
      <c r="C812" s="29" t="str">
        <f>LOOKUP(A812,'QALS - Inspection Lot Record'!$A$2:$A$361,'QALS - Inspection Lot Record'!$O$2:$O$361)</f>
        <v>Metformin Tablets (500 MG)</v>
      </c>
      <c r="D812" s="31">
        <v>30</v>
      </c>
      <c r="E812" s="29" t="s">
        <v>401</v>
      </c>
      <c r="F812" s="29" t="str">
        <f>LOOKUP(A812,'QALS - Inspection Lot Record'!A:A,'QALS - Inspection Lot Record'!G:G)</f>
        <v>TG509538</v>
      </c>
      <c r="G812" s="59">
        <f ca="1">LOOKUP(A812,'QALS - Inspection Lot Record'!A:A,'QALS - Inspection Lot Record'!E:E)</f>
        <v>45920</v>
      </c>
      <c r="H812" s="34" t="str">
        <f t="shared" si="65"/>
        <v>A</v>
      </c>
      <c r="I812" s="29" t="str">
        <f t="shared" si="61"/>
        <v>TG509538</v>
      </c>
      <c r="J812" s="59">
        <f t="shared" ca="1" si="62"/>
        <v>45920</v>
      </c>
      <c r="K812" s="30">
        <f ca="1">LOOKUP(A812,'QALS - Inspection Lot Record'!A:A,'QALS - Inspection Lot Record'!I:I)</f>
        <v>1.8969907407407408E-2</v>
      </c>
      <c r="L812" s="59">
        <f t="shared" ca="1" si="63"/>
        <v>45920</v>
      </c>
      <c r="M812" s="30">
        <f t="shared" ca="1" si="64"/>
        <v>4.2187500000000003E-2</v>
      </c>
      <c r="N812" s="11" t="s">
        <v>402</v>
      </c>
      <c r="O812" s="31"/>
      <c r="P812" s="29"/>
      <c r="Q812" s="29"/>
    </row>
    <row r="813" spans="1:17" x14ac:dyDescent="0.35">
      <c r="A813" s="26">
        <v>40000002602</v>
      </c>
      <c r="B813" s="31">
        <v>1</v>
      </c>
      <c r="C813" s="29" t="str">
        <f>LOOKUP(A813,'QALS - Inspection Lot Record'!$A$2:$A$361,'QALS - Inspection Lot Record'!$O$2:$O$361)</f>
        <v>Metformin Tablets (500 MG)</v>
      </c>
      <c r="D813" s="31">
        <v>40</v>
      </c>
      <c r="E813" s="29" t="s">
        <v>403</v>
      </c>
      <c r="F813" s="29" t="str">
        <f>LOOKUP(A813,'QALS - Inspection Lot Record'!A:A,'QALS - Inspection Lot Record'!G:G)</f>
        <v>TG509538</v>
      </c>
      <c r="G813" s="59">
        <f ca="1">LOOKUP(A813,'QALS - Inspection Lot Record'!A:A,'QALS - Inspection Lot Record'!E:E)</f>
        <v>45920</v>
      </c>
      <c r="H813" s="34" t="str">
        <f t="shared" si="65"/>
        <v>A</v>
      </c>
      <c r="I813" s="29" t="str">
        <f t="shared" si="61"/>
        <v>TG509538</v>
      </c>
      <c r="J813" s="59">
        <f t="shared" ca="1" si="62"/>
        <v>45920</v>
      </c>
      <c r="K813" s="30">
        <f ca="1">LOOKUP(A813,'QALS - Inspection Lot Record'!A:A,'QALS - Inspection Lot Record'!I:I)</f>
        <v>1.8969907407407408E-2</v>
      </c>
      <c r="L813" s="59">
        <f t="shared" ca="1" si="63"/>
        <v>45920</v>
      </c>
      <c r="M813" s="30">
        <f t="shared" ca="1" si="64"/>
        <v>5.1145833333333335E-2</v>
      </c>
      <c r="N813" s="31"/>
      <c r="O813" s="31">
        <v>0</v>
      </c>
      <c r="P813" s="29">
        <v>0</v>
      </c>
      <c r="Q813" s="29">
        <v>2</v>
      </c>
    </row>
    <row r="814" spans="1:17" x14ac:dyDescent="0.35">
      <c r="A814" s="26">
        <v>40000002602</v>
      </c>
      <c r="B814" s="31">
        <v>1</v>
      </c>
      <c r="C814" s="29" t="str">
        <f>LOOKUP(A814,'QALS - Inspection Lot Record'!$A$2:$A$361,'QALS - Inspection Lot Record'!$O$2:$O$361)</f>
        <v>Metformin Tablets (500 MG)</v>
      </c>
      <c r="D814" s="31">
        <v>50</v>
      </c>
      <c r="E814" s="29" t="s">
        <v>404</v>
      </c>
      <c r="F814" s="29" t="str">
        <f>LOOKUP(A814,'QALS - Inspection Lot Record'!A:A,'QALS - Inspection Lot Record'!G:G)</f>
        <v>TG509538</v>
      </c>
      <c r="G814" s="59">
        <f ca="1">LOOKUP(A814,'QALS - Inspection Lot Record'!A:A,'QALS - Inspection Lot Record'!E:E)</f>
        <v>45920</v>
      </c>
      <c r="H814" s="34" t="str">
        <f t="shared" si="65"/>
        <v>A</v>
      </c>
      <c r="I814" s="29" t="str">
        <f t="shared" si="61"/>
        <v>TG509538</v>
      </c>
      <c r="J814" s="59">
        <f t="shared" ca="1" si="62"/>
        <v>45920</v>
      </c>
      <c r="K814" s="30">
        <f ca="1">LOOKUP(A814,'QALS - Inspection Lot Record'!A:A,'QALS - Inspection Lot Record'!I:I)</f>
        <v>1.8969907407407408E-2</v>
      </c>
      <c r="L814" s="59">
        <f t="shared" ca="1" si="63"/>
        <v>45920</v>
      </c>
      <c r="M814" s="30">
        <f t="shared" ca="1" si="64"/>
        <v>3.9016203703703706E-2</v>
      </c>
      <c r="N814" s="31"/>
      <c r="O814" s="31">
        <v>41.5</v>
      </c>
      <c r="P814" s="29">
        <v>40</v>
      </c>
      <c r="Q814" s="29">
        <v>60</v>
      </c>
    </row>
    <row r="815" spans="1:17" x14ac:dyDescent="0.35">
      <c r="A815" s="26">
        <v>40000002602</v>
      </c>
      <c r="B815" s="31">
        <v>1</v>
      </c>
      <c r="C815" s="29" t="str">
        <f>LOOKUP(A815,'QALS - Inspection Lot Record'!$A$2:$A$361,'QALS - Inspection Lot Record'!$O$2:$O$361)</f>
        <v>Metformin Tablets (500 MG)</v>
      </c>
      <c r="D815" s="31">
        <v>60</v>
      </c>
      <c r="E815" s="29" t="s">
        <v>405</v>
      </c>
      <c r="F815" s="29" t="str">
        <f>LOOKUP(A815,'QALS - Inspection Lot Record'!A:A,'QALS - Inspection Lot Record'!G:G)</f>
        <v>TG509538</v>
      </c>
      <c r="G815" s="59">
        <f ca="1">LOOKUP(A815,'QALS - Inspection Lot Record'!A:A,'QALS - Inspection Lot Record'!E:E)</f>
        <v>45920</v>
      </c>
      <c r="H815" s="34" t="str">
        <f t="shared" si="65"/>
        <v>A</v>
      </c>
      <c r="I815" s="29" t="str">
        <f t="shared" si="61"/>
        <v>TG509538</v>
      </c>
      <c r="J815" s="59">
        <f t="shared" ca="1" si="62"/>
        <v>45920</v>
      </c>
      <c r="K815" s="30">
        <f ca="1">LOOKUP(A815,'QALS - Inspection Lot Record'!A:A,'QALS - Inspection Lot Record'!I:I)</f>
        <v>1.8969907407407408E-2</v>
      </c>
      <c r="L815" s="59">
        <f t="shared" ca="1" si="63"/>
        <v>45920</v>
      </c>
      <c r="M815" s="30">
        <f t="shared" ca="1" si="64"/>
        <v>4.1400462962962958E-2</v>
      </c>
      <c r="N815" s="31"/>
      <c r="O815" s="31">
        <v>71.8</v>
      </c>
      <c r="P815" s="29">
        <v>70</v>
      </c>
      <c r="Q815" s="29">
        <v>85</v>
      </c>
    </row>
    <row r="816" spans="1:17" x14ac:dyDescent="0.35">
      <c r="A816" s="26">
        <v>40000002602</v>
      </c>
      <c r="B816" s="31">
        <v>1</v>
      </c>
      <c r="C816" s="29" t="str">
        <f>LOOKUP(A816,'QALS - Inspection Lot Record'!$A$2:$A$361,'QALS - Inspection Lot Record'!$O$2:$O$361)</f>
        <v>Metformin Tablets (500 MG)</v>
      </c>
      <c r="D816" s="31">
        <v>70</v>
      </c>
      <c r="E816" s="29" t="s">
        <v>406</v>
      </c>
      <c r="F816" s="29" t="str">
        <f>LOOKUP(A816,'QALS - Inspection Lot Record'!A:A,'QALS - Inspection Lot Record'!G:G)</f>
        <v>TG509538</v>
      </c>
      <c r="G816" s="59">
        <f ca="1">LOOKUP(A816,'QALS - Inspection Lot Record'!A:A,'QALS - Inspection Lot Record'!E:E)</f>
        <v>45920</v>
      </c>
      <c r="H816" s="34" t="str">
        <f t="shared" si="65"/>
        <v>A</v>
      </c>
      <c r="I816" s="29" t="str">
        <f t="shared" si="61"/>
        <v>TG509538</v>
      </c>
      <c r="J816" s="59">
        <f t="shared" ca="1" si="62"/>
        <v>45920</v>
      </c>
      <c r="K816" s="30">
        <f ca="1">LOOKUP(A816,'QALS - Inspection Lot Record'!A:A,'QALS - Inspection Lot Record'!I:I)</f>
        <v>1.8969907407407408E-2</v>
      </c>
      <c r="L816" s="59">
        <f t="shared" ca="1" si="63"/>
        <v>45920</v>
      </c>
      <c r="M816" s="30">
        <f t="shared" ca="1" si="64"/>
        <v>4.0092592592592596E-2</v>
      </c>
      <c r="N816" s="31"/>
      <c r="O816" s="31">
        <v>85</v>
      </c>
      <c r="P816" s="29">
        <v>80</v>
      </c>
      <c r="Q816" s="29">
        <v>90</v>
      </c>
    </row>
    <row r="817" spans="1:17" x14ac:dyDescent="0.35">
      <c r="A817" s="26">
        <v>40000002602</v>
      </c>
      <c r="B817" s="31">
        <v>1</v>
      </c>
      <c r="C817" s="29" t="str">
        <f>LOOKUP(A817,'QALS - Inspection Lot Record'!$A$2:$A$361,'QALS - Inspection Lot Record'!$O$2:$O$361)</f>
        <v>Metformin Tablets (500 MG)</v>
      </c>
      <c r="D817" s="31">
        <v>80</v>
      </c>
      <c r="E817" s="29" t="s">
        <v>407</v>
      </c>
      <c r="F817" s="29" t="str">
        <f>LOOKUP(A817,'QALS - Inspection Lot Record'!A:A,'QALS - Inspection Lot Record'!G:G)</f>
        <v>TG509538</v>
      </c>
      <c r="G817" s="59">
        <f ca="1">LOOKUP(A817,'QALS - Inspection Lot Record'!A:A,'QALS - Inspection Lot Record'!E:E)</f>
        <v>45920</v>
      </c>
      <c r="H817" s="34" t="str">
        <f t="shared" si="65"/>
        <v>A</v>
      </c>
      <c r="I817" s="29" t="str">
        <f t="shared" si="61"/>
        <v>TG509538</v>
      </c>
      <c r="J817" s="59">
        <f t="shared" ca="1" si="62"/>
        <v>45920</v>
      </c>
      <c r="K817" s="30">
        <f ca="1">LOOKUP(A817,'QALS - Inspection Lot Record'!A:A,'QALS - Inspection Lot Record'!I:I)</f>
        <v>1.8969907407407408E-2</v>
      </c>
      <c r="L817" s="59">
        <f t="shared" ca="1" si="63"/>
        <v>45920</v>
      </c>
      <c r="M817" s="30">
        <f t="shared" ca="1" si="64"/>
        <v>5.1481481481481482E-2</v>
      </c>
      <c r="N817" s="31"/>
      <c r="O817" s="31">
        <v>25.5</v>
      </c>
      <c r="P817" s="29">
        <v>23</v>
      </c>
      <c r="Q817" s="29">
        <v>28</v>
      </c>
    </row>
    <row r="818" spans="1:17" x14ac:dyDescent="0.35">
      <c r="A818" s="26">
        <v>40000002603</v>
      </c>
      <c r="B818" s="27">
        <v>1</v>
      </c>
      <c r="C818" s="29" t="str">
        <f>LOOKUP(A818,'QALS - Inspection Lot Record'!$A$2:$A$361,'QALS - Inspection Lot Record'!$O$2:$O$361)</f>
        <v>Ibuprofen Tablets (100 MG)</v>
      </c>
      <c r="D818" s="27">
        <v>10</v>
      </c>
      <c r="E818" s="26" t="s">
        <v>399</v>
      </c>
      <c r="F818" s="29" t="str">
        <f>LOOKUP(A818,'QALS - Inspection Lot Record'!A:A,'QALS - Inspection Lot Record'!G:G)</f>
        <v>ZK384180</v>
      </c>
      <c r="G818" s="59">
        <f ca="1">LOOKUP(A818,'QALS - Inspection Lot Record'!A:A,'QALS - Inspection Lot Record'!E:E)</f>
        <v>45921</v>
      </c>
      <c r="H818" s="34" t="str">
        <f t="shared" si="65"/>
        <v>A</v>
      </c>
      <c r="I818" s="29" t="str">
        <f t="shared" si="61"/>
        <v>ZK384180</v>
      </c>
      <c r="J818" s="59">
        <f t="shared" ca="1" si="62"/>
        <v>45921</v>
      </c>
      <c r="K818" s="30">
        <f ca="1">LOOKUP(A818,'QALS - Inspection Lot Record'!A:A,'QALS - Inspection Lot Record'!I:I)</f>
        <v>0.63592592592592589</v>
      </c>
      <c r="L818" s="59">
        <f t="shared" ca="1" si="63"/>
        <v>45921</v>
      </c>
      <c r="M818" s="30">
        <f t="shared" ca="1" si="64"/>
        <v>0.66237268518518511</v>
      </c>
      <c r="N818" s="31"/>
      <c r="O818" s="31">
        <v>98.5</v>
      </c>
      <c r="P818" s="29">
        <v>95</v>
      </c>
      <c r="Q818" s="29">
        <v>102</v>
      </c>
    </row>
    <row r="819" spans="1:17" x14ac:dyDescent="0.35">
      <c r="A819" s="26">
        <v>40000002603</v>
      </c>
      <c r="B819" s="27">
        <v>1</v>
      </c>
      <c r="C819" s="29" t="str">
        <f>LOOKUP(A819,'QALS - Inspection Lot Record'!$A$2:$A$361,'QALS - Inspection Lot Record'!$O$2:$O$361)</f>
        <v>Ibuprofen Tablets (100 MG)</v>
      </c>
      <c r="D819" s="31">
        <v>20</v>
      </c>
      <c r="E819" s="29" t="s">
        <v>400</v>
      </c>
      <c r="F819" s="29" t="str">
        <f>LOOKUP(A819,'QALS - Inspection Lot Record'!A:A,'QALS - Inspection Lot Record'!G:G)</f>
        <v>ZK384180</v>
      </c>
      <c r="G819" s="59">
        <f ca="1">LOOKUP(A819,'QALS - Inspection Lot Record'!A:A,'QALS - Inspection Lot Record'!E:E)</f>
        <v>45921</v>
      </c>
      <c r="H819" s="34" t="str">
        <f t="shared" si="65"/>
        <v>R</v>
      </c>
      <c r="I819" s="29" t="str">
        <f t="shared" si="61"/>
        <v>ZK384180</v>
      </c>
      <c r="J819" s="59">
        <f t="shared" ca="1" si="62"/>
        <v>45921</v>
      </c>
      <c r="K819" s="30">
        <f ca="1">LOOKUP(A819,'QALS - Inspection Lot Record'!A:A,'QALS - Inspection Lot Record'!I:I)</f>
        <v>0.63592592592592589</v>
      </c>
      <c r="L819" s="59">
        <f t="shared" ca="1" si="63"/>
        <v>45921</v>
      </c>
      <c r="M819" s="30">
        <f t="shared" ca="1" si="64"/>
        <v>0.66988425925925921</v>
      </c>
      <c r="N819" s="31"/>
      <c r="O819" s="31">
        <v>2.2999999999999998</v>
      </c>
      <c r="P819" s="29">
        <v>3.5</v>
      </c>
      <c r="Q819" s="29">
        <v>11</v>
      </c>
    </row>
    <row r="820" spans="1:17" x14ac:dyDescent="0.35">
      <c r="A820" s="26">
        <v>40000002603</v>
      </c>
      <c r="B820" s="31">
        <v>1</v>
      </c>
      <c r="C820" s="29" t="str">
        <f>LOOKUP(A820,'QALS - Inspection Lot Record'!$A$2:$A$361,'QALS - Inspection Lot Record'!$O$2:$O$361)</f>
        <v>Ibuprofen Tablets (100 MG)</v>
      </c>
      <c r="D820" s="31">
        <v>30</v>
      </c>
      <c r="E820" s="29" t="s">
        <v>401</v>
      </c>
      <c r="F820" s="29" t="str">
        <f>LOOKUP(A820,'QALS - Inspection Lot Record'!A:A,'QALS - Inspection Lot Record'!G:G)</f>
        <v>ZK384180</v>
      </c>
      <c r="G820" s="59">
        <f ca="1">LOOKUP(A820,'QALS - Inspection Lot Record'!A:A,'QALS - Inspection Lot Record'!E:E)</f>
        <v>45921</v>
      </c>
      <c r="H820" s="34" t="str">
        <f t="shared" si="65"/>
        <v>A</v>
      </c>
      <c r="I820" s="29" t="str">
        <f t="shared" si="61"/>
        <v>ZK384180</v>
      </c>
      <c r="J820" s="59">
        <f t="shared" ca="1" si="62"/>
        <v>45921</v>
      </c>
      <c r="K820" s="30">
        <f ca="1">LOOKUP(A820,'QALS - Inspection Lot Record'!A:A,'QALS - Inspection Lot Record'!I:I)</f>
        <v>0.63592592592592589</v>
      </c>
      <c r="L820" s="59">
        <f t="shared" ca="1" si="63"/>
        <v>45921</v>
      </c>
      <c r="M820" s="30">
        <f t="shared" ca="1" si="64"/>
        <v>0.65861111111111104</v>
      </c>
      <c r="N820" s="11" t="s">
        <v>402</v>
      </c>
      <c r="O820" s="31"/>
      <c r="P820" s="29"/>
      <c r="Q820" s="29"/>
    </row>
    <row r="821" spans="1:17" x14ac:dyDescent="0.35">
      <c r="A821" s="26">
        <v>40000002603</v>
      </c>
      <c r="B821" s="31">
        <v>1</v>
      </c>
      <c r="C821" s="29" t="str">
        <f>LOOKUP(A821,'QALS - Inspection Lot Record'!$A$2:$A$361,'QALS - Inspection Lot Record'!$O$2:$O$361)</f>
        <v>Ibuprofen Tablets (100 MG)</v>
      </c>
      <c r="D821" s="31">
        <v>40</v>
      </c>
      <c r="E821" s="29" t="s">
        <v>403</v>
      </c>
      <c r="F821" s="29" t="str">
        <f>LOOKUP(A821,'QALS - Inspection Lot Record'!A:A,'QALS - Inspection Lot Record'!G:G)</f>
        <v>ZK384180</v>
      </c>
      <c r="G821" s="59">
        <f ca="1">LOOKUP(A821,'QALS - Inspection Lot Record'!A:A,'QALS - Inspection Lot Record'!E:E)</f>
        <v>45921</v>
      </c>
      <c r="H821" s="34" t="str">
        <f t="shared" si="65"/>
        <v>A</v>
      </c>
      <c r="I821" s="29" t="str">
        <f t="shared" si="61"/>
        <v>ZK384180</v>
      </c>
      <c r="J821" s="59">
        <f t="shared" ca="1" si="62"/>
        <v>45921</v>
      </c>
      <c r="K821" s="30">
        <f ca="1">LOOKUP(A821,'QALS - Inspection Lot Record'!A:A,'QALS - Inspection Lot Record'!I:I)</f>
        <v>0.63592592592592589</v>
      </c>
      <c r="L821" s="59">
        <f t="shared" ca="1" si="63"/>
        <v>45921</v>
      </c>
      <c r="M821" s="30">
        <f t="shared" ca="1" si="64"/>
        <v>0.6638425925925926</v>
      </c>
      <c r="N821" s="31"/>
      <c r="O821" s="31">
        <v>0.5</v>
      </c>
      <c r="P821" s="29">
        <v>0</v>
      </c>
      <c r="Q821" s="29">
        <v>1</v>
      </c>
    </row>
    <row r="822" spans="1:17" x14ac:dyDescent="0.35">
      <c r="A822" s="26">
        <v>40000002603</v>
      </c>
      <c r="B822" s="31">
        <v>1</v>
      </c>
      <c r="C822" s="29" t="str">
        <f>LOOKUP(A822,'QALS - Inspection Lot Record'!$A$2:$A$361,'QALS - Inspection Lot Record'!$O$2:$O$361)</f>
        <v>Ibuprofen Tablets (100 MG)</v>
      </c>
      <c r="D822" s="31">
        <v>50</v>
      </c>
      <c r="E822" s="29" t="s">
        <v>404</v>
      </c>
      <c r="F822" s="29" t="str">
        <f>LOOKUP(A822,'QALS - Inspection Lot Record'!A:A,'QALS - Inspection Lot Record'!G:G)</f>
        <v>ZK384180</v>
      </c>
      <c r="G822" s="59">
        <f ca="1">LOOKUP(A822,'QALS - Inspection Lot Record'!A:A,'QALS - Inspection Lot Record'!E:E)</f>
        <v>45921</v>
      </c>
      <c r="H822" s="34" t="str">
        <f t="shared" si="65"/>
        <v>A</v>
      </c>
      <c r="I822" s="29" t="str">
        <f t="shared" si="61"/>
        <v>ZK384180</v>
      </c>
      <c r="J822" s="59">
        <f t="shared" ca="1" si="62"/>
        <v>45921</v>
      </c>
      <c r="K822" s="30">
        <f ca="1">LOOKUP(A822,'QALS - Inspection Lot Record'!A:A,'QALS - Inspection Lot Record'!I:I)</f>
        <v>0.63592592592592589</v>
      </c>
      <c r="L822" s="59">
        <f t="shared" ca="1" si="63"/>
        <v>45921</v>
      </c>
      <c r="M822" s="30">
        <f t="shared" ca="1" si="64"/>
        <v>0.66182870370370372</v>
      </c>
      <c r="N822" s="31"/>
      <c r="O822" s="31">
        <v>42.4</v>
      </c>
      <c r="P822" s="29">
        <v>40</v>
      </c>
      <c r="Q822" s="29">
        <v>60</v>
      </c>
    </row>
    <row r="823" spans="1:17" x14ac:dyDescent="0.35">
      <c r="A823" s="26">
        <v>40000002603</v>
      </c>
      <c r="B823" s="31">
        <v>1</v>
      </c>
      <c r="C823" s="29" t="str">
        <f>LOOKUP(A823,'QALS - Inspection Lot Record'!$A$2:$A$361,'QALS - Inspection Lot Record'!$O$2:$O$361)</f>
        <v>Ibuprofen Tablets (100 MG)</v>
      </c>
      <c r="D823" s="31">
        <v>60</v>
      </c>
      <c r="E823" s="29" t="s">
        <v>405</v>
      </c>
      <c r="F823" s="29" t="str">
        <f>LOOKUP(A823,'QALS - Inspection Lot Record'!A:A,'QALS - Inspection Lot Record'!G:G)</f>
        <v>ZK384180</v>
      </c>
      <c r="G823" s="59">
        <f ca="1">LOOKUP(A823,'QALS - Inspection Lot Record'!A:A,'QALS - Inspection Lot Record'!E:E)</f>
        <v>45921</v>
      </c>
      <c r="H823" s="34" t="str">
        <f t="shared" si="65"/>
        <v>A</v>
      </c>
      <c r="I823" s="29" t="str">
        <f t="shared" si="61"/>
        <v>ZK384180</v>
      </c>
      <c r="J823" s="59">
        <f t="shared" ca="1" si="62"/>
        <v>45921</v>
      </c>
      <c r="K823" s="30">
        <f ca="1">LOOKUP(A823,'QALS - Inspection Lot Record'!A:A,'QALS - Inspection Lot Record'!I:I)</f>
        <v>0.63592592592592589</v>
      </c>
      <c r="L823" s="59">
        <f t="shared" ca="1" si="63"/>
        <v>45921</v>
      </c>
      <c r="M823" s="30">
        <f t="shared" ca="1" si="64"/>
        <v>0.66128472222222223</v>
      </c>
      <c r="N823" s="31"/>
      <c r="O823" s="31">
        <v>75</v>
      </c>
      <c r="P823" s="29">
        <v>70</v>
      </c>
      <c r="Q823" s="29">
        <v>85</v>
      </c>
    </row>
    <row r="824" spans="1:17" x14ac:dyDescent="0.35">
      <c r="A824" s="26">
        <v>40000002603</v>
      </c>
      <c r="B824" s="31">
        <v>1</v>
      </c>
      <c r="C824" s="29" t="str">
        <f>LOOKUP(A824,'QALS - Inspection Lot Record'!$A$2:$A$361,'QALS - Inspection Lot Record'!$O$2:$O$361)</f>
        <v>Ibuprofen Tablets (100 MG)</v>
      </c>
      <c r="D824" s="31">
        <v>70</v>
      </c>
      <c r="E824" s="29" t="s">
        <v>406</v>
      </c>
      <c r="F824" s="29" t="str">
        <f>LOOKUP(A824,'QALS - Inspection Lot Record'!A:A,'QALS - Inspection Lot Record'!G:G)</f>
        <v>ZK384180</v>
      </c>
      <c r="G824" s="59">
        <f ca="1">LOOKUP(A824,'QALS - Inspection Lot Record'!A:A,'QALS - Inspection Lot Record'!E:E)</f>
        <v>45921</v>
      </c>
      <c r="H824" s="34" t="str">
        <f t="shared" si="65"/>
        <v>R</v>
      </c>
      <c r="I824" s="29" t="str">
        <f t="shared" si="61"/>
        <v>ZK384180</v>
      </c>
      <c r="J824" s="59">
        <f t="shared" ca="1" si="62"/>
        <v>45921</v>
      </c>
      <c r="K824" s="30">
        <f ca="1">LOOKUP(A824,'QALS - Inspection Lot Record'!A:A,'QALS - Inspection Lot Record'!I:I)</f>
        <v>0.63592592592592589</v>
      </c>
      <c r="L824" s="59">
        <f t="shared" ca="1" si="63"/>
        <v>45921</v>
      </c>
      <c r="M824" s="30">
        <f t="shared" ca="1" si="64"/>
        <v>0.65609953703703705</v>
      </c>
      <c r="N824" s="31"/>
      <c r="O824" s="31">
        <v>78</v>
      </c>
      <c r="P824" s="29">
        <v>80</v>
      </c>
      <c r="Q824" s="29">
        <v>90</v>
      </c>
    </row>
    <row r="825" spans="1:17" x14ac:dyDescent="0.35">
      <c r="A825" s="26">
        <v>40000002603</v>
      </c>
      <c r="B825" s="31">
        <v>1</v>
      </c>
      <c r="C825" s="29" t="str">
        <f>LOOKUP(A825,'QALS - Inspection Lot Record'!$A$2:$A$361,'QALS - Inspection Lot Record'!$O$2:$O$361)</f>
        <v>Ibuprofen Tablets (100 MG)</v>
      </c>
      <c r="D825" s="31">
        <v>80</v>
      </c>
      <c r="E825" s="29" t="s">
        <v>407</v>
      </c>
      <c r="F825" s="29" t="str">
        <f>LOOKUP(A825,'QALS - Inspection Lot Record'!A:A,'QALS - Inspection Lot Record'!G:G)</f>
        <v>ZK384180</v>
      </c>
      <c r="G825" s="59">
        <f ca="1">LOOKUP(A825,'QALS - Inspection Lot Record'!A:A,'QALS - Inspection Lot Record'!E:E)</f>
        <v>45921</v>
      </c>
      <c r="H825" s="34" t="str">
        <f t="shared" si="65"/>
        <v>R</v>
      </c>
      <c r="I825" s="29" t="str">
        <f t="shared" si="61"/>
        <v>ZK384180</v>
      </c>
      <c r="J825" s="59">
        <f t="shared" ca="1" si="62"/>
        <v>45921</v>
      </c>
      <c r="K825" s="30">
        <f ca="1">LOOKUP(A825,'QALS - Inspection Lot Record'!A:A,'QALS - Inspection Lot Record'!I:I)</f>
        <v>0.63592592592592589</v>
      </c>
      <c r="L825" s="59">
        <f t="shared" ca="1" si="63"/>
        <v>45921</v>
      </c>
      <c r="M825" s="30">
        <f t="shared" ca="1" si="64"/>
        <v>0.65534722222222219</v>
      </c>
      <c r="N825" s="31"/>
      <c r="O825" s="31">
        <v>21.5</v>
      </c>
      <c r="P825" s="29">
        <v>23</v>
      </c>
      <c r="Q825" s="29">
        <v>25</v>
      </c>
    </row>
    <row r="826" spans="1:17" x14ac:dyDescent="0.35">
      <c r="A826" s="26">
        <v>40000002604</v>
      </c>
      <c r="B826" s="27">
        <v>1</v>
      </c>
      <c r="C826" s="29" t="str">
        <f>LOOKUP(A826,'QALS - Inspection Lot Record'!$A$2:$A$361,'QALS - Inspection Lot Record'!$O$2:$O$361)</f>
        <v>Ibuprofen Tablets (100 MG)</v>
      </c>
      <c r="D826" s="27">
        <v>10</v>
      </c>
      <c r="E826" s="26" t="s">
        <v>399</v>
      </c>
      <c r="F826" s="29" t="str">
        <f>LOOKUP(A826,'QALS - Inspection Lot Record'!A:A,'QALS - Inspection Lot Record'!G:G)</f>
        <v>TG509538</v>
      </c>
      <c r="G826" s="59">
        <f ca="1">LOOKUP(A826,'QALS - Inspection Lot Record'!A:A,'QALS - Inspection Lot Record'!E:E)</f>
        <v>45921</v>
      </c>
      <c r="H826" s="34" t="str">
        <f t="shared" si="65"/>
        <v>A</v>
      </c>
      <c r="I826" s="29" t="str">
        <f t="shared" si="61"/>
        <v>TG509538</v>
      </c>
      <c r="J826" s="59">
        <f t="shared" ca="1" si="62"/>
        <v>45921</v>
      </c>
      <c r="K826" s="30">
        <f ca="1">LOOKUP(A826,'QALS - Inspection Lot Record'!A:A,'QALS - Inspection Lot Record'!I:I)</f>
        <v>0.38481481481481483</v>
      </c>
      <c r="L826" s="59">
        <f t="shared" ca="1" si="63"/>
        <v>45921</v>
      </c>
      <c r="M826" s="30">
        <f t="shared" ca="1" si="64"/>
        <v>0.41868055555555556</v>
      </c>
      <c r="N826" s="31"/>
      <c r="O826" s="31">
        <v>98.5</v>
      </c>
      <c r="P826" s="29">
        <v>95</v>
      </c>
      <c r="Q826" s="29">
        <v>102</v>
      </c>
    </row>
    <row r="827" spans="1:17" x14ac:dyDescent="0.35">
      <c r="A827" s="26">
        <v>40000002604</v>
      </c>
      <c r="B827" s="27">
        <v>1</v>
      </c>
      <c r="C827" s="29" t="str">
        <f>LOOKUP(A827,'QALS - Inspection Lot Record'!$A$2:$A$361,'QALS - Inspection Lot Record'!$O$2:$O$361)</f>
        <v>Ibuprofen Tablets (100 MG)</v>
      </c>
      <c r="D827" s="31">
        <v>20</v>
      </c>
      <c r="E827" s="29" t="s">
        <v>400</v>
      </c>
      <c r="F827" s="29" t="str">
        <f>LOOKUP(A827,'QALS - Inspection Lot Record'!A:A,'QALS - Inspection Lot Record'!G:G)</f>
        <v>TG509538</v>
      </c>
      <c r="G827" s="59">
        <f ca="1">LOOKUP(A827,'QALS - Inspection Lot Record'!A:A,'QALS - Inspection Lot Record'!E:E)</f>
        <v>45921</v>
      </c>
      <c r="H827" s="34" t="str">
        <f t="shared" si="65"/>
        <v>R</v>
      </c>
      <c r="I827" s="29" t="str">
        <f t="shared" si="61"/>
        <v>TG509538</v>
      </c>
      <c r="J827" s="59">
        <f t="shared" ca="1" si="62"/>
        <v>45921</v>
      </c>
      <c r="K827" s="30">
        <f ca="1">LOOKUP(A827,'QALS - Inspection Lot Record'!A:A,'QALS - Inspection Lot Record'!I:I)</f>
        <v>0.38481481481481483</v>
      </c>
      <c r="L827" s="59">
        <f t="shared" ca="1" si="63"/>
        <v>45921</v>
      </c>
      <c r="M827" s="30">
        <f t="shared" ca="1" si="64"/>
        <v>0.40248842592592593</v>
      </c>
      <c r="N827" s="31"/>
      <c r="O827" s="31">
        <v>2</v>
      </c>
      <c r="P827" s="29">
        <v>3.5</v>
      </c>
      <c r="Q827" s="29">
        <v>11</v>
      </c>
    </row>
    <row r="828" spans="1:17" x14ac:dyDescent="0.35">
      <c r="A828" s="26">
        <v>40000002604</v>
      </c>
      <c r="B828" s="31">
        <v>1</v>
      </c>
      <c r="C828" s="29" t="str">
        <f>LOOKUP(A828,'QALS - Inspection Lot Record'!$A$2:$A$361,'QALS - Inspection Lot Record'!$O$2:$O$361)</f>
        <v>Ibuprofen Tablets (100 MG)</v>
      </c>
      <c r="D828" s="31">
        <v>30</v>
      </c>
      <c r="E828" s="29" t="s">
        <v>401</v>
      </c>
      <c r="F828" s="29" t="str">
        <f>LOOKUP(A828,'QALS - Inspection Lot Record'!A:A,'QALS - Inspection Lot Record'!G:G)</f>
        <v>TG509538</v>
      </c>
      <c r="G828" s="59">
        <f ca="1">LOOKUP(A828,'QALS - Inspection Lot Record'!A:A,'QALS - Inspection Lot Record'!E:E)</f>
        <v>45921</v>
      </c>
      <c r="H828" s="34" t="str">
        <f t="shared" si="65"/>
        <v>A</v>
      </c>
      <c r="I828" s="29" t="str">
        <f t="shared" si="61"/>
        <v>TG509538</v>
      </c>
      <c r="J828" s="59">
        <f t="shared" ca="1" si="62"/>
        <v>45921</v>
      </c>
      <c r="K828" s="30">
        <f ca="1">LOOKUP(A828,'QALS - Inspection Lot Record'!A:A,'QALS - Inspection Lot Record'!I:I)</f>
        <v>0.38481481481481483</v>
      </c>
      <c r="L828" s="59">
        <f t="shared" ca="1" si="63"/>
        <v>45921</v>
      </c>
      <c r="M828" s="30">
        <f t="shared" ca="1" si="64"/>
        <v>0.40597222222222223</v>
      </c>
      <c r="N828" s="11" t="s">
        <v>402</v>
      </c>
      <c r="O828" s="31"/>
      <c r="P828" s="29"/>
      <c r="Q828" s="29"/>
    </row>
    <row r="829" spans="1:17" x14ac:dyDescent="0.35">
      <c r="A829" s="26">
        <v>40000002604</v>
      </c>
      <c r="B829" s="31">
        <v>1</v>
      </c>
      <c r="C829" s="29" t="str">
        <f>LOOKUP(A829,'QALS - Inspection Lot Record'!$A$2:$A$361,'QALS - Inspection Lot Record'!$O$2:$O$361)</f>
        <v>Ibuprofen Tablets (100 MG)</v>
      </c>
      <c r="D829" s="31">
        <v>40</v>
      </c>
      <c r="E829" s="29" t="s">
        <v>403</v>
      </c>
      <c r="F829" s="29" t="str">
        <f>LOOKUP(A829,'QALS - Inspection Lot Record'!A:A,'QALS - Inspection Lot Record'!G:G)</f>
        <v>TG509538</v>
      </c>
      <c r="G829" s="59">
        <f ca="1">LOOKUP(A829,'QALS - Inspection Lot Record'!A:A,'QALS - Inspection Lot Record'!E:E)</f>
        <v>45921</v>
      </c>
      <c r="H829" s="34" t="str">
        <f t="shared" si="65"/>
        <v>A</v>
      </c>
      <c r="I829" s="29" t="str">
        <f t="shared" si="61"/>
        <v>TG509538</v>
      </c>
      <c r="J829" s="59">
        <f t="shared" ca="1" si="62"/>
        <v>45921</v>
      </c>
      <c r="K829" s="30">
        <f ca="1">LOOKUP(A829,'QALS - Inspection Lot Record'!A:A,'QALS - Inspection Lot Record'!I:I)</f>
        <v>0.38481481481481483</v>
      </c>
      <c r="L829" s="59">
        <f t="shared" ca="1" si="63"/>
        <v>45921</v>
      </c>
      <c r="M829" s="30">
        <f t="shared" ca="1" si="64"/>
        <v>0.41554398148148147</v>
      </c>
      <c r="N829" s="31"/>
      <c r="O829" s="31">
        <v>0.5</v>
      </c>
      <c r="P829" s="29">
        <v>0</v>
      </c>
      <c r="Q829" s="29">
        <v>1</v>
      </c>
    </row>
    <row r="830" spans="1:17" x14ac:dyDescent="0.35">
      <c r="A830" s="26">
        <v>40000002604</v>
      </c>
      <c r="B830" s="31">
        <v>1</v>
      </c>
      <c r="C830" s="29" t="str">
        <f>LOOKUP(A830,'QALS - Inspection Lot Record'!$A$2:$A$361,'QALS - Inspection Lot Record'!$O$2:$O$361)</f>
        <v>Ibuprofen Tablets (100 MG)</v>
      </c>
      <c r="D830" s="31">
        <v>50</v>
      </c>
      <c r="E830" s="29" t="s">
        <v>404</v>
      </c>
      <c r="F830" s="29" t="str">
        <f>LOOKUP(A830,'QALS - Inspection Lot Record'!A:A,'QALS - Inspection Lot Record'!G:G)</f>
        <v>TG509538</v>
      </c>
      <c r="G830" s="59">
        <f ca="1">LOOKUP(A830,'QALS - Inspection Lot Record'!A:A,'QALS - Inspection Lot Record'!E:E)</f>
        <v>45921</v>
      </c>
      <c r="H830" s="34" t="str">
        <f t="shared" si="65"/>
        <v>R</v>
      </c>
      <c r="I830" s="29" t="str">
        <f t="shared" si="61"/>
        <v>TG509538</v>
      </c>
      <c r="J830" s="59">
        <f t="shared" ca="1" si="62"/>
        <v>45921</v>
      </c>
      <c r="K830" s="30">
        <f ca="1">LOOKUP(A830,'QALS - Inspection Lot Record'!A:A,'QALS - Inspection Lot Record'!I:I)</f>
        <v>0.38481481481481483</v>
      </c>
      <c r="L830" s="59">
        <f t="shared" ca="1" si="63"/>
        <v>45921</v>
      </c>
      <c r="M830" s="30">
        <f t="shared" ca="1" si="64"/>
        <v>0.41569444444444448</v>
      </c>
      <c r="N830" s="31"/>
      <c r="O830" s="31">
        <v>38.6</v>
      </c>
      <c r="P830" s="29">
        <v>40</v>
      </c>
      <c r="Q830" s="29">
        <v>60</v>
      </c>
    </row>
    <row r="831" spans="1:17" x14ac:dyDescent="0.35">
      <c r="A831" s="26">
        <v>40000002604</v>
      </c>
      <c r="B831" s="31">
        <v>1</v>
      </c>
      <c r="C831" s="29" t="str">
        <f>LOOKUP(A831,'QALS - Inspection Lot Record'!$A$2:$A$361,'QALS - Inspection Lot Record'!$O$2:$O$361)</f>
        <v>Ibuprofen Tablets (100 MG)</v>
      </c>
      <c r="D831" s="31">
        <v>60</v>
      </c>
      <c r="E831" s="29" t="s">
        <v>405</v>
      </c>
      <c r="F831" s="29" t="str">
        <f>LOOKUP(A831,'QALS - Inspection Lot Record'!A:A,'QALS - Inspection Lot Record'!G:G)</f>
        <v>TG509538</v>
      </c>
      <c r="G831" s="59">
        <f ca="1">LOOKUP(A831,'QALS - Inspection Lot Record'!A:A,'QALS - Inspection Lot Record'!E:E)</f>
        <v>45921</v>
      </c>
      <c r="H831" s="34" t="str">
        <f t="shared" si="65"/>
        <v>A</v>
      </c>
      <c r="I831" s="29" t="str">
        <f t="shared" si="61"/>
        <v>TG509538</v>
      </c>
      <c r="J831" s="59">
        <f t="shared" ca="1" si="62"/>
        <v>45921</v>
      </c>
      <c r="K831" s="30">
        <f ca="1">LOOKUP(A831,'QALS - Inspection Lot Record'!A:A,'QALS - Inspection Lot Record'!I:I)</f>
        <v>0.38481481481481483</v>
      </c>
      <c r="L831" s="59">
        <f t="shared" ca="1" si="63"/>
        <v>45921</v>
      </c>
      <c r="M831" s="30">
        <f t="shared" ca="1" si="64"/>
        <v>0.41140046296296295</v>
      </c>
      <c r="N831" s="31"/>
      <c r="O831" s="31">
        <v>73.599999999999994</v>
      </c>
      <c r="P831" s="29">
        <v>70</v>
      </c>
      <c r="Q831" s="29">
        <v>85</v>
      </c>
    </row>
    <row r="832" spans="1:17" x14ac:dyDescent="0.35">
      <c r="A832" s="26">
        <v>40000002604</v>
      </c>
      <c r="B832" s="31">
        <v>1</v>
      </c>
      <c r="C832" s="29" t="str">
        <f>LOOKUP(A832,'QALS - Inspection Lot Record'!$A$2:$A$361,'QALS - Inspection Lot Record'!$O$2:$O$361)</f>
        <v>Ibuprofen Tablets (100 MG)</v>
      </c>
      <c r="D832" s="31">
        <v>70</v>
      </c>
      <c r="E832" s="29" t="s">
        <v>406</v>
      </c>
      <c r="F832" s="29" t="str">
        <f>LOOKUP(A832,'QALS - Inspection Lot Record'!A:A,'QALS - Inspection Lot Record'!G:G)</f>
        <v>TG509538</v>
      </c>
      <c r="G832" s="59">
        <f ca="1">LOOKUP(A832,'QALS - Inspection Lot Record'!A:A,'QALS - Inspection Lot Record'!E:E)</f>
        <v>45921</v>
      </c>
      <c r="H832" s="34" t="str">
        <f t="shared" si="65"/>
        <v>A</v>
      </c>
      <c r="I832" s="29" t="str">
        <f t="shared" si="61"/>
        <v>TG509538</v>
      </c>
      <c r="J832" s="59">
        <f t="shared" ca="1" si="62"/>
        <v>45921</v>
      </c>
      <c r="K832" s="30">
        <f ca="1">LOOKUP(A832,'QALS - Inspection Lot Record'!A:A,'QALS - Inspection Lot Record'!I:I)</f>
        <v>0.38481481481481483</v>
      </c>
      <c r="L832" s="59">
        <f t="shared" ca="1" si="63"/>
        <v>45921</v>
      </c>
      <c r="M832" s="30">
        <f t="shared" ca="1" si="64"/>
        <v>0.40578703703703706</v>
      </c>
      <c r="N832" s="31"/>
      <c r="O832" s="31">
        <v>84.5</v>
      </c>
      <c r="P832" s="29">
        <v>80</v>
      </c>
      <c r="Q832" s="29">
        <v>90</v>
      </c>
    </row>
    <row r="833" spans="1:17" x14ac:dyDescent="0.35">
      <c r="A833" s="26">
        <v>40000002604</v>
      </c>
      <c r="B833" s="31">
        <v>1</v>
      </c>
      <c r="C833" s="29" t="str">
        <f>LOOKUP(A833,'QALS - Inspection Lot Record'!$A$2:$A$361,'QALS - Inspection Lot Record'!$O$2:$O$361)</f>
        <v>Ibuprofen Tablets (100 MG)</v>
      </c>
      <c r="D833" s="31">
        <v>80</v>
      </c>
      <c r="E833" s="29" t="s">
        <v>407</v>
      </c>
      <c r="F833" s="29" t="str">
        <f>LOOKUP(A833,'QALS - Inspection Lot Record'!A:A,'QALS - Inspection Lot Record'!G:G)</f>
        <v>TG509538</v>
      </c>
      <c r="G833" s="59">
        <f ca="1">LOOKUP(A833,'QALS - Inspection Lot Record'!A:A,'QALS - Inspection Lot Record'!E:E)</f>
        <v>45921</v>
      </c>
      <c r="H833" s="34" t="str">
        <f t="shared" si="65"/>
        <v>R</v>
      </c>
      <c r="I833" s="29" t="str">
        <f t="shared" si="61"/>
        <v>TG509538</v>
      </c>
      <c r="J833" s="59">
        <f t="shared" ca="1" si="62"/>
        <v>45921</v>
      </c>
      <c r="K833" s="30">
        <f ca="1">LOOKUP(A833,'QALS - Inspection Lot Record'!A:A,'QALS - Inspection Lot Record'!I:I)</f>
        <v>0.38481481481481483</v>
      </c>
      <c r="L833" s="59">
        <f t="shared" ca="1" si="63"/>
        <v>45921</v>
      </c>
      <c r="M833" s="30">
        <f t="shared" ca="1" si="64"/>
        <v>0.40217592592592594</v>
      </c>
      <c r="N833" s="31"/>
      <c r="O833" s="31">
        <v>21.2</v>
      </c>
      <c r="P833" s="29">
        <v>23</v>
      </c>
      <c r="Q833" s="29">
        <v>25</v>
      </c>
    </row>
    <row r="834" spans="1:17" x14ac:dyDescent="0.35">
      <c r="A834" s="26">
        <v>40000002605</v>
      </c>
      <c r="B834" s="27">
        <v>1</v>
      </c>
      <c r="C834" s="29" t="str">
        <f>LOOKUP(A834,'QALS - Inspection Lot Record'!$A$2:$A$361,'QALS - Inspection Lot Record'!$O$2:$O$361)</f>
        <v>Ibuprofen Tablets (100 MG)</v>
      </c>
      <c r="D834" s="27">
        <v>10</v>
      </c>
      <c r="E834" s="26" t="s">
        <v>399</v>
      </c>
      <c r="F834" s="29" t="str">
        <f>LOOKUP(A834,'QALS - Inspection Lot Record'!A:A,'QALS - Inspection Lot Record'!G:G)</f>
        <v>ZK384180</v>
      </c>
      <c r="G834" s="59">
        <f ca="1">LOOKUP(A834,'QALS - Inspection Lot Record'!A:A,'QALS - Inspection Lot Record'!E:E)</f>
        <v>45922</v>
      </c>
      <c r="H834" s="34" t="str">
        <f t="shared" si="65"/>
        <v>A</v>
      </c>
      <c r="I834" s="29" t="str">
        <f t="shared" ref="I834:I897" si="66">F834</f>
        <v>ZK384180</v>
      </c>
      <c r="J834" s="59">
        <f t="shared" ref="J834:J897" ca="1" si="67">G834</f>
        <v>45922</v>
      </c>
      <c r="K834" s="30">
        <f ca="1">LOOKUP(A834,'QALS - Inspection Lot Record'!A:A,'QALS - Inspection Lot Record'!I:I)</f>
        <v>0.74822916666666661</v>
      </c>
      <c r="L834" s="59">
        <f t="shared" ref="L834:L897" ca="1" si="68">G834</f>
        <v>45922</v>
      </c>
      <c r="M834" s="30">
        <f t="shared" ref="M834:M897" ca="1" si="69">K834+TIME(0,RANDBETWEEN(25,50),RANDBETWEEN(0,59))</f>
        <v>0.77876157407407398</v>
      </c>
      <c r="N834" s="31"/>
      <c r="O834" s="31">
        <v>98.5</v>
      </c>
      <c r="P834" s="29">
        <v>95</v>
      </c>
      <c r="Q834" s="29">
        <v>102</v>
      </c>
    </row>
    <row r="835" spans="1:17" x14ac:dyDescent="0.35">
      <c r="A835" s="26">
        <v>40000002605</v>
      </c>
      <c r="B835" s="27">
        <v>1</v>
      </c>
      <c r="C835" s="29" t="str">
        <f>LOOKUP(A835,'QALS - Inspection Lot Record'!$A$2:$A$361,'QALS - Inspection Lot Record'!$O$2:$O$361)</f>
        <v>Ibuprofen Tablets (100 MG)</v>
      </c>
      <c r="D835" s="31">
        <v>20</v>
      </c>
      <c r="E835" s="29" t="s">
        <v>400</v>
      </c>
      <c r="F835" s="29" t="str">
        <f>LOOKUP(A835,'QALS - Inspection Lot Record'!A:A,'QALS - Inspection Lot Record'!G:G)</f>
        <v>ZK384180</v>
      </c>
      <c r="G835" s="59">
        <f ca="1">LOOKUP(A835,'QALS - Inspection Lot Record'!A:A,'QALS - Inspection Lot Record'!E:E)</f>
        <v>45922</v>
      </c>
      <c r="H835" s="34" t="str">
        <f t="shared" si="65"/>
        <v>A</v>
      </c>
      <c r="I835" s="29" t="str">
        <f t="shared" si="66"/>
        <v>ZK384180</v>
      </c>
      <c r="J835" s="59">
        <f t="shared" ca="1" si="67"/>
        <v>45922</v>
      </c>
      <c r="K835" s="30">
        <f ca="1">LOOKUP(A835,'QALS - Inspection Lot Record'!A:A,'QALS - Inspection Lot Record'!I:I)</f>
        <v>0.74822916666666661</v>
      </c>
      <c r="L835" s="59">
        <f t="shared" ca="1" si="68"/>
        <v>45922</v>
      </c>
      <c r="M835" s="30">
        <f t="shared" ca="1" si="69"/>
        <v>0.78299768518518509</v>
      </c>
      <c r="N835" s="31"/>
      <c r="O835" s="31">
        <v>7.3</v>
      </c>
      <c r="P835" s="29">
        <v>3.5</v>
      </c>
      <c r="Q835" s="29">
        <v>11</v>
      </c>
    </row>
    <row r="836" spans="1:17" x14ac:dyDescent="0.35">
      <c r="A836" s="26">
        <v>40000002605</v>
      </c>
      <c r="B836" s="31">
        <v>1</v>
      </c>
      <c r="C836" s="29" t="str">
        <f>LOOKUP(A836,'QALS - Inspection Lot Record'!$A$2:$A$361,'QALS - Inspection Lot Record'!$O$2:$O$361)</f>
        <v>Ibuprofen Tablets (100 MG)</v>
      </c>
      <c r="D836" s="31">
        <v>30</v>
      </c>
      <c r="E836" s="29" t="s">
        <v>401</v>
      </c>
      <c r="F836" s="29" t="str">
        <f>LOOKUP(A836,'QALS - Inspection Lot Record'!A:A,'QALS - Inspection Lot Record'!G:G)</f>
        <v>ZK384180</v>
      </c>
      <c r="G836" s="59">
        <f ca="1">LOOKUP(A836,'QALS - Inspection Lot Record'!A:A,'QALS - Inspection Lot Record'!E:E)</f>
        <v>45922</v>
      </c>
      <c r="H836" s="34" t="str">
        <f t="shared" si="65"/>
        <v>A</v>
      </c>
      <c r="I836" s="29" t="str">
        <f t="shared" si="66"/>
        <v>ZK384180</v>
      </c>
      <c r="J836" s="59">
        <f t="shared" ca="1" si="67"/>
        <v>45922</v>
      </c>
      <c r="K836" s="30">
        <f ca="1">LOOKUP(A836,'QALS - Inspection Lot Record'!A:A,'QALS - Inspection Lot Record'!I:I)</f>
        <v>0.74822916666666661</v>
      </c>
      <c r="L836" s="59">
        <f t="shared" ca="1" si="68"/>
        <v>45922</v>
      </c>
      <c r="M836" s="30">
        <f t="shared" ca="1" si="69"/>
        <v>0.76997685185185183</v>
      </c>
      <c r="N836" s="11" t="s">
        <v>402</v>
      </c>
      <c r="O836" s="31"/>
      <c r="P836" s="29"/>
      <c r="Q836" s="29"/>
    </row>
    <row r="837" spans="1:17" x14ac:dyDescent="0.35">
      <c r="A837" s="26">
        <v>40000002605</v>
      </c>
      <c r="B837" s="31">
        <v>1</v>
      </c>
      <c r="C837" s="29" t="str">
        <f>LOOKUP(A837,'QALS - Inspection Lot Record'!$A$2:$A$361,'QALS - Inspection Lot Record'!$O$2:$O$361)</f>
        <v>Ibuprofen Tablets (100 MG)</v>
      </c>
      <c r="D837" s="31">
        <v>40</v>
      </c>
      <c r="E837" s="29" t="s">
        <v>403</v>
      </c>
      <c r="F837" s="29" t="str">
        <f>LOOKUP(A837,'QALS - Inspection Lot Record'!A:A,'QALS - Inspection Lot Record'!G:G)</f>
        <v>ZK384180</v>
      </c>
      <c r="G837" s="59">
        <f ca="1">LOOKUP(A837,'QALS - Inspection Lot Record'!A:A,'QALS - Inspection Lot Record'!E:E)</f>
        <v>45922</v>
      </c>
      <c r="H837" s="34" t="str">
        <f t="shared" si="65"/>
        <v>A</v>
      </c>
      <c r="I837" s="29" t="str">
        <f t="shared" si="66"/>
        <v>ZK384180</v>
      </c>
      <c r="J837" s="59">
        <f t="shared" ca="1" si="67"/>
        <v>45922</v>
      </c>
      <c r="K837" s="30">
        <f ca="1">LOOKUP(A837,'QALS - Inspection Lot Record'!A:A,'QALS - Inspection Lot Record'!I:I)</f>
        <v>0.74822916666666661</v>
      </c>
      <c r="L837" s="59">
        <f t="shared" ca="1" si="68"/>
        <v>45922</v>
      </c>
      <c r="M837" s="30">
        <f t="shared" ca="1" si="69"/>
        <v>0.78342592592592586</v>
      </c>
      <c r="N837" s="31"/>
      <c r="O837" s="31">
        <v>0</v>
      </c>
      <c r="P837" s="29">
        <v>0</v>
      </c>
      <c r="Q837" s="29">
        <v>1</v>
      </c>
    </row>
    <row r="838" spans="1:17" x14ac:dyDescent="0.35">
      <c r="A838" s="26">
        <v>40000002605</v>
      </c>
      <c r="B838" s="31">
        <v>1</v>
      </c>
      <c r="C838" s="29" t="str">
        <f>LOOKUP(A838,'QALS - Inspection Lot Record'!$A$2:$A$361,'QALS - Inspection Lot Record'!$O$2:$O$361)</f>
        <v>Ibuprofen Tablets (100 MG)</v>
      </c>
      <c r="D838" s="31">
        <v>50</v>
      </c>
      <c r="E838" s="29" t="s">
        <v>404</v>
      </c>
      <c r="F838" s="29" t="str">
        <f>LOOKUP(A838,'QALS - Inspection Lot Record'!A:A,'QALS - Inspection Lot Record'!G:G)</f>
        <v>ZK384180</v>
      </c>
      <c r="G838" s="59">
        <f ca="1">LOOKUP(A838,'QALS - Inspection Lot Record'!A:A,'QALS - Inspection Lot Record'!E:E)</f>
        <v>45922</v>
      </c>
      <c r="H838" s="34" t="str">
        <f t="shared" si="65"/>
        <v>A</v>
      </c>
      <c r="I838" s="29" t="str">
        <f t="shared" si="66"/>
        <v>ZK384180</v>
      </c>
      <c r="J838" s="59">
        <f t="shared" ca="1" si="67"/>
        <v>45922</v>
      </c>
      <c r="K838" s="30">
        <f ca="1">LOOKUP(A838,'QALS - Inspection Lot Record'!A:A,'QALS - Inspection Lot Record'!I:I)</f>
        <v>0.74822916666666661</v>
      </c>
      <c r="L838" s="59">
        <f t="shared" ca="1" si="68"/>
        <v>45922</v>
      </c>
      <c r="M838" s="30">
        <f t="shared" ca="1" si="69"/>
        <v>0.78133101851851849</v>
      </c>
      <c r="N838" s="31"/>
      <c r="O838" s="31">
        <v>50</v>
      </c>
      <c r="P838" s="29">
        <v>40</v>
      </c>
      <c r="Q838" s="29">
        <v>60</v>
      </c>
    </row>
    <row r="839" spans="1:17" x14ac:dyDescent="0.35">
      <c r="A839" s="26">
        <v>40000002605</v>
      </c>
      <c r="B839" s="31">
        <v>1</v>
      </c>
      <c r="C839" s="29" t="str">
        <f>LOOKUP(A839,'QALS - Inspection Lot Record'!$A$2:$A$361,'QALS - Inspection Lot Record'!$O$2:$O$361)</f>
        <v>Ibuprofen Tablets (100 MG)</v>
      </c>
      <c r="D839" s="31">
        <v>60</v>
      </c>
      <c r="E839" s="29" t="s">
        <v>405</v>
      </c>
      <c r="F839" s="29" t="str">
        <f>LOOKUP(A839,'QALS - Inspection Lot Record'!A:A,'QALS - Inspection Lot Record'!G:G)</f>
        <v>ZK384180</v>
      </c>
      <c r="G839" s="59">
        <f ca="1">LOOKUP(A839,'QALS - Inspection Lot Record'!A:A,'QALS - Inspection Lot Record'!E:E)</f>
        <v>45922</v>
      </c>
      <c r="H839" s="34" t="str">
        <f t="shared" si="65"/>
        <v>A</v>
      </c>
      <c r="I839" s="29" t="str">
        <f t="shared" si="66"/>
        <v>ZK384180</v>
      </c>
      <c r="J839" s="59">
        <f t="shared" ca="1" si="67"/>
        <v>45922</v>
      </c>
      <c r="K839" s="30">
        <f ca="1">LOOKUP(A839,'QALS - Inspection Lot Record'!A:A,'QALS - Inspection Lot Record'!I:I)</f>
        <v>0.74822916666666661</v>
      </c>
      <c r="L839" s="59">
        <f t="shared" ca="1" si="68"/>
        <v>45922</v>
      </c>
      <c r="M839" s="30">
        <f t="shared" ca="1" si="69"/>
        <v>0.77208333333333323</v>
      </c>
      <c r="N839" s="31"/>
      <c r="O839" s="31">
        <v>71.8</v>
      </c>
      <c r="P839" s="29">
        <v>70</v>
      </c>
      <c r="Q839" s="29">
        <v>85</v>
      </c>
    </row>
    <row r="840" spans="1:17" x14ac:dyDescent="0.35">
      <c r="A840" s="26">
        <v>40000002605</v>
      </c>
      <c r="B840" s="31">
        <v>1</v>
      </c>
      <c r="C840" s="29" t="str">
        <f>LOOKUP(A840,'QALS - Inspection Lot Record'!$A$2:$A$361,'QALS - Inspection Lot Record'!$O$2:$O$361)</f>
        <v>Ibuprofen Tablets (100 MG)</v>
      </c>
      <c r="D840" s="31">
        <v>70</v>
      </c>
      <c r="E840" s="29" t="s">
        <v>406</v>
      </c>
      <c r="F840" s="29" t="str">
        <f>LOOKUP(A840,'QALS - Inspection Lot Record'!A:A,'QALS - Inspection Lot Record'!G:G)</f>
        <v>ZK384180</v>
      </c>
      <c r="G840" s="59">
        <f ca="1">LOOKUP(A840,'QALS - Inspection Lot Record'!A:A,'QALS - Inspection Lot Record'!E:E)</f>
        <v>45922</v>
      </c>
      <c r="H840" s="34" t="str">
        <f t="shared" si="65"/>
        <v>A</v>
      </c>
      <c r="I840" s="29" t="str">
        <f t="shared" si="66"/>
        <v>ZK384180</v>
      </c>
      <c r="J840" s="59">
        <f t="shared" ca="1" si="67"/>
        <v>45922</v>
      </c>
      <c r="K840" s="30">
        <f ca="1">LOOKUP(A840,'QALS - Inspection Lot Record'!A:A,'QALS - Inspection Lot Record'!I:I)</f>
        <v>0.74822916666666661</v>
      </c>
      <c r="L840" s="59">
        <f t="shared" ca="1" si="68"/>
        <v>45922</v>
      </c>
      <c r="M840" s="30">
        <f t="shared" ca="1" si="69"/>
        <v>0.77949074074074065</v>
      </c>
      <c r="N840" s="31"/>
      <c r="O840" s="31">
        <v>85</v>
      </c>
      <c r="P840" s="29">
        <v>80</v>
      </c>
      <c r="Q840" s="29">
        <v>90</v>
      </c>
    </row>
    <row r="841" spans="1:17" x14ac:dyDescent="0.35">
      <c r="A841" s="26">
        <v>40000002605</v>
      </c>
      <c r="B841" s="31">
        <v>1</v>
      </c>
      <c r="C841" s="29" t="str">
        <f>LOOKUP(A841,'QALS - Inspection Lot Record'!$A$2:$A$361,'QALS - Inspection Lot Record'!$O$2:$O$361)</f>
        <v>Ibuprofen Tablets (100 MG)</v>
      </c>
      <c r="D841" s="31">
        <v>80</v>
      </c>
      <c r="E841" s="29" t="s">
        <v>407</v>
      </c>
      <c r="F841" s="29" t="str">
        <f>LOOKUP(A841,'QALS - Inspection Lot Record'!A:A,'QALS - Inspection Lot Record'!G:G)</f>
        <v>ZK384180</v>
      </c>
      <c r="G841" s="59">
        <f ca="1">LOOKUP(A841,'QALS - Inspection Lot Record'!A:A,'QALS - Inspection Lot Record'!E:E)</f>
        <v>45922</v>
      </c>
      <c r="H841" s="34" t="str">
        <f t="shared" si="65"/>
        <v>A</v>
      </c>
      <c r="I841" s="29" t="str">
        <f t="shared" si="66"/>
        <v>ZK384180</v>
      </c>
      <c r="J841" s="59">
        <f t="shared" ca="1" si="67"/>
        <v>45922</v>
      </c>
      <c r="K841" s="30">
        <f ca="1">LOOKUP(A841,'QALS - Inspection Lot Record'!A:A,'QALS - Inspection Lot Record'!I:I)</f>
        <v>0.74822916666666661</v>
      </c>
      <c r="L841" s="59">
        <f t="shared" ca="1" si="68"/>
        <v>45922</v>
      </c>
      <c r="M841" s="30">
        <f t="shared" ca="1" si="69"/>
        <v>0.77604166666666663</v>
      </c>
      <c r="N841" s="31"/>
      <c r="O841" s="31">
        <v>24</v>
      </c>
      <c r="P841" s="29">
        <v>23</v>
      </c>
      <c r="Q841" s="29">
        <v>25</v>
      </c>
    </row>
    <row r="842" spans="1:17" x14ac:dyDescent="0.35">
      <c r="A842" s="26">
        <v>40000002606</v>
      </c>
      <c r="B842" s="27">
        <v>1</v>
      </c>
      <c r="C842" s="29" t="str">
        <f>LOOKUP(A842,'QALS - Inspection Lot Record'!$A$2:$A$361,'QALS - Inspection Lot Record'!$O$2:$O$361)</f>
        <v>Metformin Tablets (200 MG)</v>
      </c>
      <c r="D842" s="27">
        <v>10</v>
      </c>
      <c r="E842" s="26" t="s">
        <v>399</v>
      </c>
      <c r="F842" s="29" t="str">
        <f>LOOKUP(A842,'QALS - Inspection Lot Record'!A:A,'QALS - Inspection Lot Record'!G:G)</f>
        <v>TG509538</v>
      </c>
      <c r="G842" s="59">
        <f ca="1">LOOKUP(A842,'QALS - Inspection Lot Record'!A:A,'QALS - Inspection Lot Record'!E:E)</f>
        <v>45922</v>
      </c>
      <c r="H842" s="34" t="str">
        <f t="shared" ref="H842:H905" si="70">IF(AND(P842&lt;=O842,O842&lt;=Q842),"A","R")</f>
        <v>A</v>
      </c>
      <c r="I842" s="29" t="str">
        <f t="shared" si="66"/>
        <v>TG509538</v>
      </c>
      <c r="J842" s="59">
        <f t="shared" ca="1" si="67"/>
        <v>45922</v>
      </c>
      <c r="K842" s="30">
        <f ca="1">LOOKUP(A842,'QALS - Inspection Lot Record'!A:A,'QALS - Inspection Lot Record'!I:I)</f>
        <v>0.18283564814814815</v>
      </c>
      <c r="L842" s="59">
        <f t="shared" ca="1" si="68"/>
        <v>45922</v>
      </c>
      <c r="M842" s="30">
        <f t="shared" ca="1" si="69"/>
        <v>0.21586805555555555</v>
      </c>
      <c r="N842" s="31"/>
      <c r="O842" s="31">
        <v>99</v>
      </c>
      <c r="P842" s="29">
        <v>95</v>
      </c>
      <c r="Q842" s="29">
        <v>103</v>
      </c>
    </row>
    <row r="843" spans="1:17" x14ac:dyDescent="0.35">
      <c r="A843" s="26">
        <v>40000002606</v>
      </c>
      <c r="B843" s="27">
        <v>1</v>
      </c>
      <c r="C843" s="29" t="str">
        <f>LOOKUP(A843,'QALS - Inspection Lot Record'!$A$2:$A$361,'QALS - Inspection Lot Record'!$O$2:$O$361)</f>
        <v>Metformin Tablets (200 MG)</v>
      </c>
      <c r="D843" s="31">
        <v>20</v>
      </c>
      <c r="E843" s="29" t="s">
        <v>400</v>
      </c>
      <c r="F843" s="29" t="str">
        <f>LOOKUP(A843,'QALS - Inspection Lot Record'!A:A,'QALS - Inspection Lot Record'!G:G)</f>
        <v>TG509538</v>
      </c>
      <c r="G843" s="59">
        <f ca="1">LOOKUP(A843,'QALS - Inspection Lot Record'!A:A,'QALS - Inspection Lot Record'!E:E)</f>
        <v>45922</v>
      </c>
      <c r="H843" s="34" t="str">
        <f t="shared" si="70"/>
        <v>A</v>
      </c>
      <c r="I843" s="29" t="str">
        <f t="shared" si="66"/>
        <v>TG509538</v>
      </c>
      <c r="J843" s="59">
        <f t="shared" ca="1" si="67"/>
        <v>45922</v>
      </c>
      <c r="K843" s="30">
        <f ca="1">LOOKUP(A843,'QALS - Inspection Lot Record'!A:A,'QALS - Inspection Lot Record'!I:I)</f>
        <v>0.18283564814814815</v>
      </c>
      <c r="L843" s="59">
        <f t="shared" ca="1" si="68"/>
        <v>45922</v>
      </c>
      <c r="M843" s="30">
        <f t="shared" ca="1" si="69"/>
        <v>0.20901620370370372</v>
      </c>
      <c r="N843" s="31"/>
      <c r="O843" s="31">
        <v>7.75</v>
      </c>
      <c r="P843" s="29">
        <v>6</v>
      </c>
      <c r="Q843" s="29">
        <v>9.5</v>
      </c>
    </row>
    <row r="844" spans="1:17" x14ac:dyDescent="0.35">
      <c r="A844" s="26">
        <v>40000002606</v>
      </c>
      <c r="B844" s="31">
        <v>1</v>
      </c>
      <c r="C844" s="29" t="str">
        <f>LOOKUP(A844,'QALS - Inspection Lot Record'!$A$2:$A$361,'QALS - Inspection Lot Record'!$O$2:$O$361)</f>
        <v>Metformin Tablets (200 MG)</v>
      </c>
      <c r="D844" s="31">
        <v>30</v>
      </c>
      <c r="E844" s="29" t="s">
        <v>401</v>
      </c>
      <c r="F844" s="29" t="str">
        <f>LOOKUP(A844,'QALS - Inspection Lot Record'!A:A,'QALS - Inspection Lot Record'!G:G)</f>
        <v>TG509538</v>
      </c>
      <c r="G844" s="59">
        <f ca="1">LOOKUP(A844,'QALS - Inspection Lot Record'!A:A,'QALS - Inspection Lot Record'!E:E)</f>
        <v>45922</v>
      </c>
      <c r="H844" s="34" t="str">
        <f t="shared" si="70"/>
        <v>A</v>
      </c>
      <c r="I844" s="29" t="str">
        <f t="shared" si="66"/>
        <v>TG509538</v>
      </c>
      <c r="J844" s="59">
        <f t="shared" ca="1" si="67"/>
        <v>45922</v>
      </c>
      <c r="K844" s="30">
        <f ca="1">LOOKUP(A844,'QALS - Inspection Lot Record'!A:A,'QALS - Inspection Lot Record'!I:I)</f>
        <v>0.18283564814814815</v>
      </c>
      <c r="L844" s="59">
        <f t="shared" ca="1" si="68"/>
        <v>45922</v>
      </c>
      <c r="M844" s="30">
        <f t="shared" ca="1" si="69"/>
        <v>0.21236111111111111</v>
      </c>
      <c r="N844" s="11" t="s">
        <v>402</v>
      </c>
      <c r="O844" s="31"/>
      <c r="P844" s="29"/>
      <c r="Q844" s="29"/>
    </row>
    <row r="845" spans="1:17" x14ac:dyDescent="0.35">
      <c r="A845" s="26">
        <v>40000002606</v>
      </c>
      <c r="B845" s="31">
        <v>1</v>
      </c>
      <c r="C845" s="29" t="str">
        <f>LOOKUP(A845,'QALS - Inspection Lot Record'!$A$2:$A$361,'QALS - Inspection Lot Record'!$O$2:$O$361)</f>
        <v>Metformin Tablets (200 MG)</v>
      </c>
      <c r="D845" s="31">
        <v>40</v>
      </c>
      <c r="E845" s="29" t="s">
        <v>403</v>
      </c>
      <c r="F845" s="29" t="str">
        <f>LOOKUP(A845,'QALS - Inspection Lot Record'!A:A,'QALS - Inspection Lot Record'!G:G)</f>
        <v>TG509538</v>
      </c>
      <c r="G845" s="59">
        <f ca="1">LOOKUP(A845,'QALS - Inspection Lot Record'!A:A,'QALS - Inspection Lot Record'!E:E)</f>
        <v>45922</v>
      </c>
      <c r="H845" s="34" t="str">
        <f t="shared" si="70"/>
        <v>A</v>
      </c>
      <c r="I845" s="29" t="str">
        <f t="shared" si="66"/>
        <v>TG509538</v>
      </c>
      <c r="J845" s="59">
        <f t="shared" ca="1" si="67"/>
        <v>45922</v>
      </c>
      <c r="K845" s="30">
        <f ca="1">LOOKUP(A845,'QALS - Inspection Lot Record'!A:A,'QALS - Inspection Lot Record'!I:I)</f>
        <v>0.18283564814814815</v>
      </c>
      <c r="L845" s="59">
        <f t="shared" ca="1" si="68"/>
        <v>45922</v>
      </c>
      <c r="M845" s="30">
        <f t="shared" ca="1" si="69"/>
        <v>0.21781249999999999</v>
      </c>
      <c r="N845" s="31"/>
      <c r="O845" s="31">
        <v>0</v>
      </c>
      <c r="P845" s="29">
        <v>0</v>
      </c>
      <c r="Q845" s="29">
        <v>2</v>
      </c>
    </row>
    <row r="846" spans="1:17" x14ac:dyDescent="0.35">
      <c r="A846" s="26">
        <v>40000002606</v>
      </c>
      <c r="B846" s="31">
        <v>1</v>
      </c>
      <c r="C846" s="29" t="str">
        <f>LOOKUP(A846,'QALS - Inspection Lot Record'!$A$2:$A$361,'QALS - Inspection Lot Record'!$O$2:$O$361)</f>
        <v>Metformin Tablets (200 MG)</v>
      </c>
      <c r="D846" s="31">
        <v>50</v>
      </c>
      <c r="E846" s="29" t="s">
        <v>404</v>
      </c>
      <c r="F846" s="29" t="str">
        <f>LOOKUP(A846,'QALS - Inspection Lot Record'!A:A,'QALS - Inspection Lot Record'!G:G)</f>
        <v>TG509538</v>
      </c>
      <c r="G846" s="59">
        <f ca="1">LOOKUP(A846,'QALS - Inspection Lot Record'!A:A,'QALS - Inspection Lot Record'!E:E)</f>
        <v>45922</v>
      </c>
      <c r="H846" s="34" t="str">
        <f t="shared" si="70"/>
        <v>A</v>
      </c>
      <c r="I846" s="29" t="str">
        <f t="shared" si="66"/>
        <v>TG509538</v>
      </c>
      <c r="J846" s="59">
        <f t="shared" ca="1" si="67"/>
        <v>45922</v>
      </c>
      <c r="K846" s="30">
        <f ca="1">LOOKUP(A846,'QALS - Inspection Lot Record'!A:A,'QALS - Inspection Lot Record'!I:I)</f>
        <v>0.18283564814814815</v>
      </c>
      <c r="L846" s="59">
        <f t="shared" ca="1" si="68"/>
        <v>45922</v>
      </c>
      <c r="M846" s="30">
        <f t="shared" ca="1" si="69"/>
        <v>0.20239583333333333</v>
      </c>
      <c r="N846" s="31"/>
      <c r="O846" s="31">
        <v>50</v>
      </c>
      <c r="P846" s="29">
        <v>40</v>
      </c>
      <c r="Q846" s="29">
        <v>60</v>
      </c>
    </row>
    <row r="847" spans="1:17" x14ac:dyDescent="0.35">
      <c r="A847" s="26">
        <v>40000002606</v>
      </c>
      <c r="B847" s="31">
        <v>1</v>
      </c>
      <c r="C847" s="29" t="str">
        <f>LOOKUP(A847,'QALS - Inspection Lot Record'!$A$2:$A$361,'QALS - Inspection Lot Record'!$O$2:$O$361)</f>
        <v>Metformin Tablets (200 MG)</v>
      </c>
      <c r="D847" s="31">
        <v>60</v>
      </c>
      <c r="E847" s="29" t="s">
        <v>405</v>
      </c>
      <c r="F847" s="29" t="str">
        <f>LOOKUP(A847,'QALS - Inspection Lot Record'!A:A,'QALS - Inspection Lot Record'!G:G)</f>
        <v>TG509538</v>
      </c>
      <c r="G847" s="59">
        <f ca="1">LOOKUP(A847,'QALS - Inspection Lot Record'!A:A,'QALS - Inspection Lot Record'!E:E)</f>
        <v>45922</v>
      </c>
      <c r="H847" s="34" t="str">
        <f t="shared" si="70"/>
        <v>A</v>
      </c>
      <c r="I847" s="29" t="str">
        <f t="shared" si="66"/>
        <v>TG509538</v>
      </c>
      <c r="J847" s="59">
        <f t="shared" ca="1" si="67"/>
        <v>45922</v>
      </c>
      <c r="K847" s="30">
        <f ca="1">LOOKUP(A847,'QALS - Inspection Lot Record'!A:A,'QALS - Inspection Lot Record'!I:I)</f>
        <v>0.18283564814814815</v>
      </c>
      <c r="L847" s="59">
        <f t="shared" ca="1" si="68"/>
        <v>45922</v>
      </c>
      <c r="M847" s="30">
        <f t="shared" ca="1" si="69"/>
        <v>0.21081018518518518</v>
      </c>
      <c r="N847" s="31"/>
      <c r="O847" s="31">
        <v>77.5</v>
      </c>
      <c r="P847" s="29">
        <v>70</v>
      </c>
      <c r="Q847" s="29">
        <v>85</v>
      </c>
    </row>
    <row r="848" spans="1:17" x14ac:dyDescent="0.35">
      <c r="A848" s="26">
        <v>40000002606</v>
      </c>
      <c r="B848" s="31">
        <v>1</v>
      </c>
      <c r="C848" s="29" t="str">
        <f>LOOKUP(A848,'QALS - Inspection Lot Record'!$A$2:$A$361,'QALS - Inspection Lot Record'!$O$2:$O$361)</f>
        <v>Metformin Tablets (200 MG)</v>
      </c>
      <c r="D848" s="31">
        <v>70</v>
      </c>
      <c r="E848" s="29" t="s">
        <v>406</v>
      </c>
      <c r="F848" s="29" t="str">
        <f>LOOKUP(A848,'QALS - Inspection Lot Record'!A:A,'QALS - Inspection Lot Record'!G:G)</f>
        <v>TG509538</v>
      </c>
      <c r="G848" s="59">
        <f ca="1">LOOKUP(A848,'QALS - Inspection Lot Record'!A:A,'QALS - Inspection Lot Record'!E:E)</f>
        <v>45922</v>
      </c>
      <c r="H848" s="34" t="str">
        <f t="shared" si="70"/>
        <v>A</v>
      </c>
      <c r="I848" s="29" t="str">
        <f t="shared" si="66"/>
        <v>TG509538</v>
      </c>
      <c r="J848" s="59">
        <f t="shared" ca="1" si="67"/>
        <v>45922</v>
      </c>
      <c r="K848" s="30">
        <f ca="1">LOOKUP(A848,'QALS - Inspection Lot Record'!A:A,'QALS - Inspection Lot Record'!I:I)</f>
        <v>0.18283564814814815</v>
      </c>
      <c r="L848" s="59">
        <f t="shared" ca="1" si="68"/>
        <v>45922</v>
      </c>
      <c r="M848" s="30">
        <f t="shared" ca="1" si="69"/>
        <v>0.20805555555555555</v>
      </c>
      <c r="N848" s="31"/>
      <c r="O848" s="31">
        <v>85</v>
      </c>
      <c r="P848" s="29">
        <v>80</v>
      </c>
      <c r="Q848" s="29">
        <v>90</v>
      </c>
    </row>
    <row r="849" spans="1:17" x14ac:dyDescent="0.35">
      <c r="A849" s="26">
        <v>40000002606</v>
      </c>
      <c r="B849" s="31">
        <v>1</v>
      </c>
      <c r="C849" s="29" t="str">
        <f>LOOKUP(A849,'QALS - Inspection Lot Record'!$A$2:$A$361,'QALS - Inspection Lot Record'!$O$2:$O$361)</f>
        <v>Metformin Tablets (200 MG)</v>
      </c>
      <c r="D849" s="31">
        <v>80</v>
      </c>
      <c r="E849" s="29" t="s">
        <v>407</v>
      </c>
      <c r="F849" s="29" t="str">
        <f>LOOKUP(A849,'QALS - Inspection Lot Record'!A:A,'QALS - Inspection Lot Record'!G:G)</f>
        <v>TG509538</v>
      </c>
      <c r="G849" s="59">
        <f ca="1">LOOKUP(A849,'QALS - Inspection Lot Record'!A:A,'QALS - Inspection Lot Record'!E:E)</f>
        <v>45922</v>
      </c>
      <c r="H849" s="34" t="str">
        <f t="shared" si="70"/>
        <v>A</v>
      </c>
      <c r="I849" s="29" t="str">
        <f t="shared" si="66"/>
        <v>TG509538</v>
      </c>
      <c r="J849" s="59">
        <f t="shared" ca="1" si="67"/>
        <v>45922</v>
      </c>
      <c r="K849" s="30">
        <f ca="1">LOOKUP(A849,'QALS - Inspection Lot Record'!A:A,'QALS - Inspection Lot Record'!I:I)</f>
        <v>0.18283564814814815</v>
      </c>
      <c r="L849" s="59">
        <f t="shared" ca="1" si="68"/>
        <v>45922</v>
      </c>
      <c r="M849" s="30">
        <f t="shared" ca="1" si="69"/>
        <v>0.21350694444444446</v>
      </c>
      <c r="N849" s="31"/>
      <c r="O849" s="31">
        <v>25.5</v>
      </c>
      <c r="P849" s="29">
        <v>23</v>
      </c>
      <c r="Q849" s="29">
        <v>28</v>
      </c>
    </row>
    <row r="850" spans="1:17" x14ac:dyDescent="0.35">
      <c r="A850" s="26">
        <v>40000002607</v>
      </c>
      <c r="B850" s="27">
        <v>1</v>
      </c>
      <c r="C850" s="29" t="str">
        <f>LOOKUP(A850,'QALS - Inspection Lot Record'!$A$2:$A$361,'QALS - Inspection Lot Record'!$O$2:$O$361)</f>
        <v>Metformin Tablets (500 MG)</v>
      </c>
      <c r="D850" s="27">
        <v>10</v>
      </c>
      <c r="E850" s="26" t="s">
        <v>399</v>
      </c>
      <c r="F850" s="29" t="str">
        <f>LOOKUP(A850,'QALS - Inspection Lot Record'!A:A,'QALS - Inspection Lot Record'!G:G)</f>
        <v>TP397880</v>
      </c>
      <c r="G850" s="59">
        <f ca="1">LOOKUP(A850,'QALS - Inspection Lot Record'!A:A,'QALS - Inspection Lot Record'!E:E)</f>
        <v>45923</v>
      </c>
      <c r="H850" s="34" t="str">
        <f t="shared" si="70"/>
        <v>R</v>
      </c>
      <c r="I850" s="29" t="str">
        <f t="shared" si="66"/>
        <v>TP397880</v>
      </c>
      <c r="J850" s="59">
        <f t="shared" ca="1" si="67"/>
        <v>45923</v>
      </c>
      <c r="K850" s="30">
        <f ca="1">LOOKUP(A850,'QALS - Inspection Lot Record'!A:A,'QALS - Inspection Lot Record'!I:I)</f>
        <v>0.85097222222222224</v>
      </c>
      <c r="L850" s="59">
        <f t="shared" ca="1" si="68"/>
        <v>45923</v>
      </c>
      <c r="M850" s="30">
        <f t="shared" ca="1" si="69"/>
        <v>0.86982638888888886</v>
      </c>
      <c r="N850" s="31"/>
      <c r="O850" s="31">
        <v>93.3</v>
      </c>
      <c r="P850" s="29">
        <v>95</v>
      </c>
      <c r="Q850" s="29">
        <v>105</v>
      </c>
    </row>
    <row r="851" spans="1:17" x14ac:dyDescent="0.35">
      <c r="A851" s="26">
        <v>40000002607</v>
      </c>
      <c r="B851" s="27">
        <v>1</v>
      </c>
      <c r="C851" s="29" t="str">
        <f>LOOKUP(A851,'QALS - Inspection Lot Record'!$A$2:$A$361,'QALS - Inspection Lot Record'!$O$2:$O$361)</f>
        <v>Metformin Tablets (500 MG)</v>
      </c>
      <c r="D851" s="31">
        <v>20</v>
      </c>
      <c r="E851" s="29" t="s">
        <v>400</v>
      </c>
      <c r="F851" s="29" t="str">
        <f>LOOKUP(A851,'QALS - Inspection Lot Record'!A:A,'QALS - Inspection Lot Record'!G:G)</f>
        <v>TP397880</v>
      </c>
      <c r="G851" s="59">
        <f ca="1">LOOKUP(A851,'QALS - Inspection Lot Record'!A:A,'QALS - Inspection Lot Record'!E:E)</f>
        <v>45923</v>
      </c>
      <c r="H851" s="34" t="str">
        <f t="shared" si="70"/>
        <v>A</v>
      </c>
      <c r="I851" s="29" t="str">
        <f t="shared" si="66"/>
        <v>TP397880</v>
      </c>
      <c r="J851" s="59">
        <f t="shared" ca="1" si="67"/>
        <v>45923</v>
      </c>
      <c r="K851" s="30">
        <f ca="1">LOOKUP(A851,'QALS - Inspection Lot Record'!A:A,'QALS - Inspection Lot Record'!I:I)</f>
        <v>0.85097222222222224</v>
      </c>
      <c r="L851" s="59">
        <f t="shared" ca="1" si="68"/>
        <v>45923</v>
      </c>
      <c r="M851" s="30">
        <f t="shared" ca="1" si="69"/>
        <v>0.87958333333333338</v>
      </c>
      <c r="N851" s="31"/>
      <c r="O851" s="31">
        <v>3.8</v>
      </c>
      <c r="P851" s="29">
        <v>3.5</v>
      </c>
      <c r="Q851" s="29">
        <v>11</v>
      </c>
    </row>
    <row r="852" spans="1:17" x14ac:dyDescent="0.35">
      <c r="A852" s="26">
        <v>40000002607</v>
      </c>
      <c r="B852" s="31">
        <v>1</v>
      </c>
      <c r="C852" s="29" t="str">
        <f>LOOKUP(A852,'QALS - Inspection Lot Record'!$A$2:$A$361,'QALS - Inspection Lot Record'!$O$2:$O$361)</f>
        <v>Metformin Tablets (500 MG)</v>
      </c>
      <c r="D852" s="31">
        <v>30</v>
      </c>
      <c r="E852" s="29" t="s">
        <v>401</v>
      </c>
      <c r="F852" s="29" t="str">
        <f>LOOKUP(A852,'QALS - Inspection Lot Record'!A:A,'QALS - Inspection Lot Record'!G:G)</f>
        <v>TP397880</v>
      </c>
      <c r="G852" s="59">
        <f ca="1">LOOKUP(A852,'QALS - Inspection Lot Record'!A:A,'QALS - Inspection Lot Record'!E:E)</f>
        <v>45923</v>
      </c>
      <c r="H852" s="34" t="str">
        <f t="shared" si="70"/>
        <v>A</v>
      </c>
      <c r="I852" s="29" t="str">
        <f t="shared" si="66"/>
        <v>TP397880</v>
      </c>
      <c r="J852" s="59">
        <f t="shared" ca="1" si="67"/>
        <v>45923</v>
      </c>
      <c r="K852" s="30">
        <f ca="1">LOOKUP(A852,'QALS - Inspection Lot Record'!A:A,'QALS - Inspection Lot Record'!I:I)</f>
        <v>0.85097222222222224</v>
      </c>
      <c r="L852" s="59">
        <f t="shared" ca="1" si="68"/>
        <v>45923</v>
      </c>
      <c r="M852" s="30">
        <f t="shared" ca="1" si="69"/>
        <v>0.88140046296296304</v>
      </c>
      <c r="N852" s="11" t="s">
        <v>402</v>
      </c>
      <c r="O852" s="31"/>
      <c r="P852" s="29"/>
      <c r="Q852" s="29"/>
    </row>
    <row r="853" spans="1:17" x14ac:dyDescent="0.35">
      <c r="A853" s="26">
        <v>40000002607</v>
      </c>
      <c r="B853" s="31">
        <v>1</v>
      </c>
      <c r="C853" s="29" t="str">
        <f>LOOKUP(A853,'QALS - Inspection Lot Record'!$A$2:$A$361,'QALS - Inspection Lot Record'!$O$2:$O$361)</f>
        <v>Metformin Tablets (500 MG)</v>
      </c>
      <c r="D853" s="31">
        <v>40</v>
      </c>
      <c r="E853" s="29" t="s">
        <v>403</v>
      </c>
      <c r="F853" s="29" t="str">
        <f>LOOKUP(A853,'QALS - Inspection Lot Record'!A:A,'QALS - Inspection Lot Record'!G:G)</f>
        <v>TP397880</v>
      </c>
      <c r="G853" s="59">
        <f ca="1">LOOKUP(A853,'QALS - Inspection Lot Record'!A:A,'QALS - Inspection Lot Record'!E:E)</f>
        <v>45923</v>
      </c>
      <c r="H853" s="34" t="str">
        <f t="shared" si="70"/>
        <v>A</v>
      </c>
      <c r="I853" s="29" t="str">
        <f t="shared" si="66"/>
        <v>TP397880</v>
      </c>
      <c r="J853" s="59">
        <f t="shared" ca="1" si="67"/>
        <v>45923</v>
      </c>
      <c r="K853" s="30">
        <f ca="1">LOOKUP(A853,'QALS - Inspection Lot Record'!A:A,'QALS - Inspection Lot Record'!I:I)</f>
        <v>0.85097222222222224</v>
      </c>
      <c r="L853" s="59">
        <f t="shared" ca="1" si="68"/>
        <v>45923</v>
      </c>
      <c r="M853" s="30">
        <f t="shared" ca="1" si="69"/>
        <v>0.87188657407407411</v>
      </c>
      <c r="N853" s="31"/>
      <c r="O853" s="31">
        <v>1.6</v>
      </c>
      <c r="P853" s="29">
        <v>0</v>
      </c>
      <c r="Q853" s="29">
        <v>2</v>
      </c>
    </row>
    <row r="854" spans="1:17" x14ac:dyDescent="0.35">
      <c r="A854" s="26">
        <v>40000002607</v>
      </c>
      <c r="B854" s="31">
        <v>1</v>
      </c>
      <c r="C854" s="29" t="str">
        <f>LOOKUP(A854,'QALS - Inspection Lot Record'!$A$2:$A$361,'QALS - Inspection Lot Record'!$O$2:$O$361)</f>
        <v>Metformin Tablets (500 MG)</v>
      </c>
      <c r="D854" s="31">
        <v>50</v>
      </c>
      <c r="E854" s="29" t="s">
        <v>404</v>
      </c>
      <c r="F854" s="29" t="str">
        <f>LOOKUP(A854,'QALS - Inspection Lot Record'!A:A,'QALS - Inspection Lot Record'!G:G)</f>
        <v>TP397880</v>
      </c>
      <c r="G854" s="59">
        <f ca="1">LOOKUP(A854,'QALS - Inspection Lot Record'!A:A,'QALS - Inspection Lot Record'!E:E)</f>
        <v>45923</v>
      </c>
      <c r="H854" s="34" t="str">
        <f t="shared" si="70"/>
        <v>R</v>
      </c>
      <c r="I854" s="29" t="str">
        <f t="shared" si="66"/>
        <v>TP397880</v>
      </c>
      <c r="J854" s="59">
        <f t="shared" ca="1" si="67"/>
        <v>45923</v>
      </c>
      <c r="K854" s="30">
        <f ca="1">LOOKUP(A854,'QALS - Inspection Lot Record'!A:A,'QALS - Inspection Lot Record'!I:I)</f>
        <v>0.85097222222222224</v>
      </c>
      <c r="L854" s="59">
        <f t="shared" ca="1" si="68"/>
        <v>45923</v>
      </c>
      <c r="M854" s="30">
        <f t="shared" ca="1" si="69"/>
        <v>0.87547453703703704</v>
      </c>
      <c r="N854" s="31"/>
      <c r="O854" s="31">
        <v>38.799999999999997</v>
      </c>
      <c r="P854" s="29">
        <v>40</v>
      </c>
      <c r="Q854" s="29">
        <v>60</v>
      </c>
    </row>
    <row r="855" spans="1:17" x14ac:dyDescent="0.35">
      <c r="A855" s="26">
        <v>40000002607</v>
      </c>
      <c r="B855" s="31">
        <v>1</v>
      </c>
      <c r="C855" s="29" t="str">
        <f>LOOKUP(A855,'QALS - Inspection Lot Record'!$A$2:$A$361,'QALS - Inspection Lot Record'!$O$2:$O$361)</f>
        <v>Metformin Tablets (500 MG)</v>
      </c>
      <c r="D855" s="31">
        <v>60</v>
      </c>
      <c r="E855" s="29" t="s">
        <v>405</v>
      </c>
      <c r="F855" s="29" t="str">
        <f>LOOKUP(A855,'QALS - Inspection Lot Record'!A:A,'QALS - Inspection Lot Record'!G:G)</f>
        <v>TP397880</v>
      </c>
      <c r="G855" s="59">
        <f ca="1">LOOKUP(A855,'QALS - Inspection Lot Record'!A:A,'QALS - Inspection Lot Record'!E:E)</f>
        <v>45923</v>
      </c>
      <c r="H855" s="34" t="str">
        <f t="shared" si="70"/>
        <v>A</v>
      </c>
      <c r="I855" s="29" t="str">
        <f t="shared" si="66"/>
        <v>TP397880</v>
      </c>
      <c r="J855" s="59">
        <f t="shared" ca="1" si="67"/>
        <v>45923</v>
      </c>
      <c r="K855" s="30">
        <f ca="1">LOOKUP(A855,'QALS - Inspection Lot Record'!A:A,'QALS - Inspection Lot Record'!I:I)</f>
        <v>0.85097222222222224</v>
      </c>
      <c r="L855" s="59">
        <f t="shared" ca="1" si="68"/>
        <v>45923</v>
      </c>
      <c r="M855" s="30">
        <f t="shared" ca="1" si="69"/>
        <v>0.86924768518518525</v>
      </c>
      <c r="N855" s="31"/>
      <c r="O855" s="31">
        <v>74.3</v>
      </c>
      <c r="P855" s="29">
        <v>70</v>
      </c>
      <c r="Q855" s="29">
        <v>85</v>
      </c>
    </row>
    <row r="856" spans="1:17" x14ac:dyDescent="0.35">
      <c r="A856" s="26">
        <v>40000002607</v>
      </c>
      <c r="B856" s="31">
        <v>1</v>
      </c>
      <c r="C856" s="29" t="str">
        <f>LOOKUP(A856,'QALS - Inspection Lot Record'!$A$2:$A$361,'QALS - Inspection Lot Record'!$O$2:$O$361)</f>
        <v>Metformin Tablets (500 MG)</v>
      </c>
      <c r="D856" s="31">
        <v>70</v>
      </c>
      <c r="E856" s="29" t="s">
        <v>406</v>
      </c>
      <c r="F856" s="29" t="str">
        <f>LOOKUP(A856,'QALS - Inspection Lot Record'!A:A,'QALS - Inspection Lot Record'!G:G)</f>
        <v>TP397880</v>
      </c>
      <c r="G856" s="59">
        <f ca="1">LOOKUP(A856,'QALS - Inspection Lot Record'!A:A,'QALS - Inspection Lot Record'!E:E)</f>
        <v>45923</v>
      </c>
      <c r="H856" s="34" t="str">
        <f t="shared" si="70"/>
        <v>R</v>
      </c>
      <c r="I856" s="29" t="str">
        <f t="shared" si="66"/>
        <v>TP397880</v>
      </c>
      <c r="J856" s="59">
        <f t="shared" ca="1" si="67"/>
        <v>45923</v>
      </c>
      <c r="K856" s="30">
        <f ca="1">LOOKUP(A856,'QALS - Inspection Lot Record'!A:A,'QALS - Inspection Lot Record'!I:I)</f>
        <v>0.85097222222222224</v>
      </c>
      <c r="L856" s="59">
        <f t="shared" ca="1" si="68"/>
        <v>45923</v>
      </c>
      <c r="M856" s="30">
        <f t="shared" ca="1" si="69"/>
        <v>0.87077546296296293</v>
      </c>
      <c r="N856" s="31"/>
      <c r="O856" s="31">
        <v>78</v>
      </c>
      <c r="P856" s="29">
        <v>80</v>
      </c>
      <c r="Q856" s="29">
        <v>90</v>
      </c>
    </row>
    <row r="857" spans="1:17" x14ac:dyDescent="0.35">
      <c r="A857" s="26">
        <v>40000002607</v>
      </c>
      <c r="B857" s="31">
        <v>1</v>
      </c>
      <c r="C857" s="29" t="str">
        <f>LOOKUP(A857,'QALS - Inspection Lot Record'!$A$2:$A$361,'QALS - Inspection Lot Record'!$O$2:$O$361)</f>
        <v>Metformin Tablets (500 MG)</v>
      </c>
      <c r="D857" s="31">
        <v>80</v>
      </c>
      <c r="E857" s="29" t="s">
        <v>407</v>
      </c>
      <c r="F857" s="29" t="str">
        <f>LOOKUP(A857,'QALS - Inspection Lot Record'!A:A,'QALS - Inspection Lot Record'!G:G)</f>
        <v>TP397880</v>
      </c>
      <c r="G857" s="59">
        <f ca="1">LOOKUP(A857,'QALS - Inspection Lot Record'!A:A,'QALS - Inspection Lot Record'!E:E)</f>
        <v>45923</v>
      </c>
      <c r="H857" s="34" t="str">
        <f t="shared" si="70"/>
        <v>A</v>
      </c>
      <c r="I857" s="29" t="str">
        <f t="shared" si="66"/>
        <v>TP397880</v>
      </c>
      <c r="J857" s="59">
        <f t="shared" ca="1" si="67"/>
        <v>45923</v>
      </c>
      <c r="K857" s="30">
        <f ca="1">LOOKUP(A857,'QALS - Inspection Lot Record'!A:A,'QALS - Inspection Lot Record'!I:I)</f>
        <v>0.85097222222222224</v>
      </c>
      <c r="L857" s="59">
        <f t="shared" ca="1" si="68"/>
        <v>45923</v>
      </c>
      <c r="M857" s="30">
        <f t="shared" ca="1" si="69"/>
        <v>0.87344907407407413</v>
      </c>
      <c r="N857" s="31"/>
      <c r="O857" s="31">
        <v>25.6</v>
      </c>
      <c r="P857" s="29">
        <v>23</v>
      </c>
      <c r="Q857" s="29">
        <v>28</v>
      </c>
    </row>
    <row r="858" spans="1:17" x14ac:dyDescent="0.35">
      <c r="A858" s="26">
        <v>40000002608</v>
      </c>
      <c r="B858" s="27">
        <v>1</v>
      </c>
      <c r="C858" s="29" t="str">
        <f>LOOKUP(A858,'QALS - Inspection Lot Record'!$A$2:$A$361,'QALS - Inspection Lot Record'!$O$2:$O$361)</f>
        <v>Metformin Tablets (200 MG)</v>
      </c>
      <c r="D858" s="27">
        <v>10</v>
      </c>
      <c r="E858" s="26" t="s">
        <v>399</v>
      </c>
      <c r="F858" s="29" t="str">
        <f>LOOKUP(A858,'QALS - Inspection Lot Record'!A:A,'QALS - Inspection Lot Record'!G:G)</f>
        <v>TG509538</v>
      </c>
      <c r="G858" s="59">
        <f ca="1">LOOKUP(A858,'QALS - Inspection Lot Record'!A:A,'QALS - Inspection Lot Record'!E:E)</f>
        <v>45923</v>
      </c>
      <c r="H858" s="34" t="str">
        <f t="shared" si="70"/>
        <v>A</v>
      </c>
      <c r="I858" s="29" t="str">
        <f t="shared" si="66"/>
        <v>TG509538</v>
      </c>
      <c r="J858" s="59">
        <f t="shared" ca="1" si="67"/>
        <v>45923</v>
      </c>
      <c r="K858" s="30">
        <f ca="1">LOOKUP(A858,'QALS - Inspection Lot Record'!A:A,'QALS - Inspection Lot Record'!I:I)</f>
        <v>0.16950231481481481</v>
      </c>
      <c r="L858" s="59">
        <f t="shared" ca="1" si="68"/>
        <v>45923</v>
      </c>
      <c r="M858" s="30">
        <f t="shared" ca="1" si="69"/>
        <v>0.20118055555555556</v>
      </c>
      <c r="N858" s="31"/>
      <c r="O858" s="31">
        <v>98.4</v>
      </c>
      <c r="P858" s="29">
        <v>95</v>
      </c>
      <c r="Q858" s="29">
        <v>103</v>
      </c>
    </row>
    <row r="859" spans="1:17" x14ac:dyDescent="0.35">
      <c r="A859" s="26">
        <v>40000002608</v>
      </c>
      <c r="B859" s="27">
        <v>1</v>
      </c>
      <c r="C859" s="29" t="str">
        <f>LOOKUP(A859,'QALS - Inspection Lot Record'!$A$2:$A$361,'QALS - Inspection Lot Record'!$O$2:$O$361)</f>
        <v>Metformin Tablets (200 MG)</v>
      </c>
      <c r="D859" s="31">
        <v>20</v>
      </c>
      <c r="E859" s="29" t="s">
        <v>400</v>
      </c>
      <c r="F859" s="29" t="str">
        <f>LOOKUP(A859,'QALS - Inspection Lot Record'!A:A,'QALS - Inspection Lot Record'!G:G)</f>
        <v>TG509538</v>
      </c>
      <c r="G859" s="59">
        <f ca="1">LOOKUP(A859,'QALS - Inspection Lot Record'!A:A,'QALS - Inspection Lot Record'!E:E)</f>
        <v>45923</v>
      </c>
      <c r="H859" s="34" t="str">
        <f t="shared" si="70"/>
        <v>A</v>
      </c>
      <c r="I859" s="29" t="str">
        <f t="shared" si="66"/>
        <v>TG509538</v>
      </c>
      <c r="J859" s="59">
        <f t="shared" ca="1" si="67"/>
        <v>45923</v>
      </c>
      <c r="K859" s="30">
        <f ca="1">LOOKUP(A859,'QALS - Inspection Lot Record'!A:A,'QALS - Inspection Lot Record'!I:I)</f>
        <v>0.16950231481481481</v>
      </c>
      <c r="L859" s="59">
        <f t="shared" ca="1" si="68"/>
        <v>45923</v>
      </c>
      <c r="M859" s="30">
        <f t="shared" ca="1" si="69"/>
        <v>0.19788194444444446</v>
      </c>
      <c r="N859" s="31"/>
      <c r="O859" s="31">
        <v>7.75</v>
      </c>
      <c r="P859" s="29">
        <v>6</v>
      </c>
      <c r="Q859" s="29">
        <v>9.5</v>
      </c>
    </row>
    <row r="860" spans="1:17" x14ac:dyDescent="0.35">
      <c r="A860" s="26">
        <v>40000002608</v>
      </c>
      <c r="B860" s="31">
        <v>1</v>
      </c>
      <c r="C860" s="29" t="str">
        <f>LOOKUP(A860,'QALS - Inspection Lot Record'!$A$2:$A$361,'QALS - Inspection Lot Record'!$O$2:$O$361)</f>
        <v>Metformin Tablets (200 MG)</v>
      </c>
      <c r="D860" s="31">
        <v>30</v>
      </c>
      <c r="E860" s="29" t="s">
        <v>401</v>
      </c>
      <c r="F860" s="29" t="str">
        <f>LOOKUP(A860,'QALS - Inspection Lot Record'!A:A,'QALS - Inspection Lot Record'!G:G)</f>
        <v>TG509538</v>
      </c>
      <c r="G860" s="59">
        <f ca="1">LOOKUP(A860,'QALS - Inspection Lot Record'!A:A,'QALS - Inspection Lot Record'!E:E)</f>
        <v>45923</v>
      </c>
      <c r="H860" s="34" t="str">
        <f t="shared" si="70"/>
        <v>A</v>
      </c>
      <c r="I860" s="29" t="str">
        <f t="shared" si="66"/>
        <v>TG509538</v>
      </c>
      <c r="J860" s="59">
        <f t="shared" ca="1" si="67"/>
        <v>45923</v>
      </c>
      <c r="K860" s="30">
        <f ca="1">LOOKUP(A860,'QALS - Inspection Lot Record'!A:A,'QALS - Inspection Lot Record'!I:I)</f>
        <v>0.16950231481481481</v>
      </c>
      <c r="L860" s="59">
        <f t="shared" ca="1" si="68"/>
        <v>45923</v>
      </c>
      <c r="M860" s="30">
        <f t="shared" ca="1" si="69"/>
        <v>0.18745370370370371</v>
      </c>
      <c r="N860" s="11" t="s">
        <v>402</v>
      </c>
      <c r="O860" s="31"/>
      <c r="P860" s="29"/>
      <c r="Q860" s="29"/>
    </row>
    <row r="861" spans="1:17" x14ac:dyDescent="0.35">
      <c r="A861" s="26">
        <v>40000002608</v>
      </c>
      <c r="B861" s="31">
        <v>1</v>
      </c>
      <c r="C861" s="29" t="str">
        <f>LOOKUP(A861,'QALS - Inspection Lot Record'!$A$2:$A$361,'QALS - Inspection Lot Record'!$O$2:$O$361)</f>
        <v>Metformin Tablets (200 MG)</v>
      </c>
      <c r="D861" s="31">
        <v>40</v>
      </c>
      <c r="E861" s="29" t="s">
        <v>403</v>
      </c>
      <c r="F861" s="29" t="str">
        <f>LOOKUP(A861,'QALS - Inspection Lot Record'!A:A,'QALS - Inspection Lot Record'!G:G)</f>
        <v>TG509538</v>
      </c>
      <c r="G861" s="59">
        <f ca="1">LOOKUP(A861,'QALS - Inspection Lot Record'!A:A,'QALS - Inspection Lot Record'!E:E)</f>
        <v>45923</v>
      </c>
      <c r="H861" s="34" t="str">
        <f t="shared" si="70"/>
        <v>A</v>
      </c>
      <c r="I861" s="29" t="str">
        <f t="shared" si="66"/>
        <v>TG509538</v>
      </c>
      <c r="J861" s="59">
        <f t="shared" ca="1" si="67"/>
        <v>45923</v>
      </c>
      <c r="K861" s="30">
        <f ca="1">LOOKUP(A861,'QALS - Inspection Lot Record'!A:A,'QALS - Inspection Lot Record'!I:I)</f>
        <v>0.16950231481481481</v>
      </c>
      <c r="L861" s="59">
        <f t="shared" ca="1" si="68"/>
        <v>45923</v>
      </c>
      <c r="M861" s="30">
        <f t="shared" ca="1" si="69"/>
        <v>0.18716435185185185</v>
      </c>
      <c r="N861" s="31"/>
      <c r="O861" s="31">
        <v>1.6</v>
      </c>
      <c r="P861" s="29">
        <v>0</v>
      </c>
      <c r="Q861" s="29">
        <v>2</v>
      </c>
    </row>
    <row r="862" spans="1:17" x14ac:dyDescent="0.35">
      <c r="A862" s="26">
        <v>40000002608</v>
      </c>
      <c r="B862" s="31">
        <v>1</v>
      </c>
      <c r="C862" s="29" t="str">
        <f>LOOKUP(A862,'QALS - Inspection Lot Record'!$A$2:$A$361,'QALS - Inspection Lot Record'!$O$2:$O$361)</f>
        <v>Metformin Tablets (200 MG)</v>
      </c>
      <c r="D862" s="31">
        <v>50</v>
      </c>
      <c r="E862" s="29" t="s">
        <v>404</v>
      </c>
      <c r="F862" s="29" t="str">
        <f>LOOKUP(A862,'QALS - Inspection Lot Record'!A:A,'QALS - Inspection Lot Record'!G:G)</f>
        <v>TG509538</v>
      </c>
      <c r="G862" s="59">
        <f ca="1">LOOKUP(A862,'QALS - Inspection Lot Record'!A:A,'QALS - Inspection Lot Record'!E:E)</f>
        <v>45923</v>
      </c>
      <c r="H862" s="34" t="str">
        <f t="shared" si="70"/>
        <v>A</v>
      </c>
      <c r="I862" s="29" t="str">
        <f t="shared" si="66"/>
        <v>TG509538</v>
      </c>
      <c r="J862" s="59">
        <f t="shared" ca="1" si="67"/>
        <v>45923</v>
      </c>
      <c r="K862" s="30">
        <f ca="1">LOOKUP(A862,'QALS - Inspection Lot Record'!A:A,'QALS - Inspection Lot Record'!I:I)</f>
        <v>0.16950231481481481</v>
      </c>
      <c r="L862" s="59">
        <f t="shared" ca="1" si="68"/>
        <v>45923</v>
      </c>
      <c r="M862" s="30">
        <f t="shared" ca="1" si="69"/>
        <v>0.20320601851851852</v>
      </c>
      <c r="N862" s="31"/>
      <c r="O862" s="31">
        <v>45</v>
      </c>
      <c r="P862" s="29">
        <v>40</v>
      </c>
      <c r="Q862" s="29">
        <v>60</v>
      </c>
    </row>
    <row r="863" spans="1:17" x14ac:dyDescent="0.35">
      <c r="A863" s="26">
        <v>40000002608</v>
      </c>
      <c r="B863" s="31">
        <v>1</v>
      </c>
      <c r="C863" s="29" t="str">
        <f>LOOKUP(A863,'QALS - Inspection Lot Record'!$A$2:$A$361,'QALS - Inspection Lot Record'!$O$2:$O$361)</f>
        <v>Metformin Tablets (200 MG)</v>
      </c>
      <c r="D863" s="31">
        <v>60</v>
      </c>
      <c r="E863" s="29" t="s">
        <v>405</v>
      </c>
      <c r="F863" s="29" t="str">
        <f>LOOKUP(A863,'QALS - Inspection Lot Record'!A:A,'QALS - Inspection Lot Record'!G:G)</f>
        <v>TG509538</v>
      </c>
      <c r="G863" s="59">
        <f ca="1">LOOKUP(A863,'QALS - Inspection Lot Record'!A:A,'QALS - Inspection Lot Record'!E:E)</f>
        <v>45923</v>
      </c>
      <c r="H863" s="34" t="str">
        <f t="shared" si="70"/>
        <v>A</v>
      </c>
      <c r="I863" s="29" t="str">
        <f t="shared" si="66"/>
        <v>TG509538</v>
      </c>
      <c r="J863" s="59">
        <f t="shared" ca="1" si="67"/>
        <v>45923</v>
      </c>
      <c r="K863" s="30">
        <f ca="1">LOOKUP(A863,'QALS - Inspection Lot Record'!A:A,'QALS - Inspection Lot Record'!I:I)</f>
        <v>0.16950231481481481</v>
      </c>
      <c r="L863" s="59">
        <f t="shared" ca="1" si="68"/>
        <v>45923</v>
      </c>
      <c r="M863" s="30">
        <f t="shared" ca="1" si="69"/>
        <v>0.1947800925925926</v>
      </c>
      <c r="N863" s="31"/>
      <c r="O863" s="31">
        <v>74.3</v>
      </c>
      <c r="P863" s="29">
        <v>70</v>
      </c>
      <c r="Q863" s="29">
        <v>85</v>
      </c>
    </row>
    <row r="864" spans="1:17" x14ac:dyDescent="0.35">
      <c r="A864" s="26">
        <v>40000002608</v>
      </c>
      <c r="B864" s="31">
        <v>1</v>
      </c>
      <c r="C864" s="29" t="str">
        <f>LOOKUP(A864,'QALS - Inspection Lot Record'!$A$2:$A$361,'QALS - Inspection Lot Record'!$O$2:$O$361)</f>
        <v>Metformin Tablets (200 MG)</v>
      </c>
      <c r="D864" s="31">
        <v>70</v>
      </c>
      <c r="E864" s="29" t="s">
        <v>406</v>
      </c>
      <c r="F864" s="29" t="str">
        <f>LOOKUP(A864,'QALS - Inspection Lot Record'!A:A,'QALS - Inspection Lot Record'!G:G)</f>
        <v>TG509538</v>
      </c>
      <c r="G864" s="59">
        <f ca="1">LOOKUP(A864,'QALS - Inspection Lot Record'!A:A,'QALS - Inspection Lot Record'!E:E)</f>
        <v>45923</v>
      </c>
      <c r="H864" s="34" t="str">
        <f t="shared" si="70"/>
        <v>R</v>
      </c>
      <c r="I864" s="29" t="str">
        <f t="shared" si="66"/>
        <v>TG509538</v>
      </c>
      <c r="J864" s="59">
        <f t="shared" ca="1" si="67"/>
        <v>45923</v>
      </c>
      <c r="K864" s="30">
        <f ca="1">LOOKUP(A864,'QALS - Inspection Lot Record'!A:A,'QALS - Inspection Lot Record'!I:I)</f>
        <v>0.16950231481481481</v>
      </c>
      <c r="L864" s="59">
        <f t="shared" ca="1" si="68"/>
        <v>45923</v>
      </c>
      <c r="M864" s="30">
        <f t="shared" ca="1" si="69"/>
        <v>0.1932986111111111</v>
      </c>
      <c r="N864" s="31"/>
      <c r="O864" s="31">
        <v>78.400000000000006</v>
      </c>
      <c r="P864" s="29">
        <v>80</v>
      </c>
      <c r="Q864" s="29">
        <v>90</v>
      </c>
    </row>
    <row r="865" spans="1:17" x14ac:dyDescent="0.35">
      <c r="A865" s="26">
        <v>40000002608</v>
      </c>
      <c r="B865" s="31">
        <v>1</v>
      </c>
      <c r="C865" s="29" t="str">
        <f>LOOKUP(A865,'QALS - Inspection Lot Record'!$A$2:$A$361,'QALS - Inspection Lot Record'!$O$2:$O$361)</f>
        <v>Metformin Tablets (200 MG)</v>
      </c>
      <c r="D865" s="31">
        <v>80</v>
      </c>
      <c r="E865" s="29" t="s">
        <v>407</v>
      </c>
      <c r="F865" s="29" t="str">
        <f>LOOKUP(A865,'QALS - Inspection Lot Record'!A:A,'QALS - Inspection Lot Record'!G:G)</f>
        <v>TG509538</v>
      </c>
      <c r="G865" s="59">
        <f ca="1">LOOKUP(A865,'QALS - Inspection Lot Record'!A:A,'QALS - Inspection Lot Record'!E:E)</f>
        <v>45923</v>
      </c>
      <c r="H865" s="34" t="str">
        <f t="shared" si="70"/>
        <v>R</v>
      </c>
      <c r="I865" s="29" t="str">
        <f t="shared" si="66"/>
        <v>TG509538</v>
      </c>
      <c r="J865" s="59">
        <f t="shared" ca="1" si="67"/>
        <v>45923</v>
      </c>
      <c r="K865" s="30">
        <f ca="1">LOOKUP(A865,'QALS - Inspection Lot Record'!A:A,'QALS - Inspection Lot Record'!I:I)</f>
        <v>0.16950231481481481</v>
      </c>
      <c r="L865" s="59">
        <f t="shared" ca="1" si="68"/>
        <v>45923</v>
      </c>
      <c r="M865" s="30">
        <f t="shared" ca="1" si="69"/>
        <v>0.19280092592592593</v>
      </c>
      <c r="N865" s="31"/>
      <c r="O865" s="31">
        <v>21</v>
      </c>
      <c r="P865" s="29">
        <v>23</v>
      </c>
      <c r="Q865" s="29">
        <v>28</v>
      </c>
    </row>
    <row r="866" spans="1:17" x14ac:dyDescent="0.35">
      <c r="A866" s="26">
        <v>40000002609</v>
      </c>
      <c r="B866" s="27">
        <v>1</v>
      </c>
      <c r="C866" s="29" t="str">
        <f>LOOKUP(A866,'QALS - Inspection Lot Record'!$A$2:$A$361,'QALS - Inspection Lot Record'!$O$2:$O$361)</f>
        <v>Metformin Tablets (500 MG)</v>
      </c>
      <c r="D866" s="27">
        <v>10</v>
      </c>
      <c r="E866" s="26" t="s">
        <v>399</v>
      </c>
      <c r="F866" s="29" t="str">
        <f>LOOKUP(A866,'QALS - Inspection Lot Record'!A:A,'QALS - Inspection Lot Record'!G:G)</f>
        <v>ZK384180</v>
      </c>
      <c r="G866" s="59">
        <f ca="1">LOOKUP(A866,'QALS - Inspection Lot Record'!A:A,'QALS - Inspection Lot Record'!E:E)</f>
        <v>45924</v>
      </c>
      <c r="H866" s="34" t="str">
        <f t="shared" si="70"/>
        <v>A</v>
      </c>
      <c r="I866" s="29" t="str">
        <f t="shared" si="66"/>
        <v>ZK384180</v>
      </c>
      <c r="J866" s="59">
        <f t="shared" ca="1" si="67"/>
        <v>45924</v>
      </c>
      <c r="K866" s="30">
        <f ca="1">LOOKUP(A866,'QALS - Inspection Lot Record'!A:A,'QALS - Inspection Lot Record'!I:I)</f>
        <v>0.62785879629629626</v>
      </c>
      <c r="L866" s="59">
        <f t="shared" ca="1" si="68"/>
        <v>45924</v>
      </c>
      <c r="M866" s="30">
        <f t="shared" ca="1" si="69"/>
        <v>0.65090277777777772</v>
      </c>
      <c r="N866" s="31"/>
      <c r="O866" s="31">
        <v>100</v>
      </c>
      <c r="P866" s="29">
        <v>95</v>
      </c>
      <c r="Q866" s="29">
        <v>105</v>
      </c>
    </row>
    <row r="867" spans="1:17" x14ac:dyDescent="0.35">
      <c r="A867" s="26">
        <v>40000002609</v>
      </c>
      <c r="B867" s="27">
        <v>1</v>
      </c>
      <c r="C867" s="29" t="str">
        <f>LOOKUP(A867,'QALS - Inspection Lot Record'!$A$2:$A$361,'QALS - Inspection Lot Record'!$O$2:$O$361)</f>
        <v>Metformin Tablets (500 MG)</v>
      </c>
      <c r="D867" s="31">
        <v>20</v>
      </c>
      <c r="E867" s="29" t="s">
        <v>400</v>
      </c>
      <c r="F867" s="29" t="str">
        <f>LOOKUP(A867,'QALS - Inspection Lot Record'!A:A,'QALS - Inspection Lot Record'!G:G)</f>
        <v>ZK384180</v>
      </c>
      <c r="G867" s="59">
        <f ca="1">LOOKUP(A867,'QALS - Inspection Lot Record'!A:A,'QALS - Inspection Lot Record'!E:E)</f>
        <v>45924</v>
      </c>
      <c r="H867" s="34" t="str">
        <f t="shared" si="70"/>
        <v>A</v>
      </c>
      <c r="I867" s="29" t="str">
        <f t="shared" si="66"/>
        <v>ZK384180</v>
      </c>
      <c r="J867" s="59">
        <f t="shared" ca="1" si="67"/>
        <v>45924</v>
      </c>
      <c r="K867" s="30">
        <f ca="1">LOOKUP(A867,'QALS - Inspection Lot Record'!A:A,'QALS - Inspection Lot Record'!I:I)</f>
        <v>0.62785879629629626</v>
      </c>
      <c r="L867" s="59">
        <f t="shared" ca="1" si="68"/>
        <v>45924</v>
      </c>
      <c r="M867" s="30">
        <f t="shared" ca="1" si="69"/>
        <v>0.65489583333333334</v>
      </c>
      <c r="N867" s="31"/>
      <c r="O867" s="31">
        <v>7.25</v>
      </c>
      <c r="P867" s="29">
        <v>3.5</v>
      </c>
      <c r="Q867" s="29">
        <v>11</v>
      </c>
    </row>
    <row r="868" spans="1:17" x14ac:dyDescent="0.35">
      <c r="A868" s="26">
        <v>40000002609</v>
      </c>
      <c r="B868" s="31">
        <v>1</v>
      </c>
      <c r="C868" s="29" t="str">
        <f>LOOKUP(A868,'QALS - Inspection Lot Record'!$A$2:$A$361,'QALS - Inspection Lot Record'!$O$2:$O$361)</f>
        <v>Metformin Tablets (500 MG)</v>
      </c>
      <c r="D868" s="31">
        <v>30</v>
      </c>
      <c r="E868" s="29" t="s">
        <v>401</v>
      </c>
      <c r="F868" s="29" t="str">
        <f>LOOKUP(A868,'QALS - Inspection Lot Record'!A:A,'QALS - Inspection Lot Record'!G:G)</f>
        <v>ZK384180</v>
      </c>
      <c r="G868" s="59">
        <f ca="1">LOOKUP(A868,'QALS - Inspection Lot Record'!A:A,'QALS - Inspection Lot Record'!E:E)</f>
        <v>45924</v>
      </c>
      <c r="H868" s="34" t="str">
        <f t="shared" si="70"/>
        <v>A</v>
      </c>
      <c r="I868" s="29" t="str">
        <f t="shared" si="66"/>
        <v>ZK384180</v>
      </c>
      <c r="J868" s="59">
        <f t="shared" ca="1" si="67"/>
        <v>45924</v>
      </c>
      <c r="K868" s="30">
        <f ca="1">LOOKUP(A868,'QALS - Inspection Lot Record'!A:A,'QALS - Inspection Lot Record'!I:I)</f>
        <v>0.62785879629629626</v>
      </c>
      <c r="L868" s="59">
        <f t="shared" ca="1" si="68"/>
        <v>45924</v>
      </c>
      <c r="M868" s="30">
        <f t="shared" ca="1" si="69"/>
        <v>0.64874999999999994</v>
      </c>
      <c r="N868" s="11" t="s">
        <v>402</v>
      </c>
      <c r="O868" s="31"/>
      <c r="P868" s="29"/>
      <c r="Q868" s="29"/>
    </row>
    <row r="869" spans="1:17" x14ac:dyDescent="0.35">
      <c r="A869" s="26">
        <v>40000002609</v>
      </c>
      <c r="B869" s="31">
        <v>1</v>
      </c>
      <c r="C869" s="29" t="str">
        <f>LOOKUP(A869,'QALS - Inspection Lot Record'!$A$2:$A$361,'QALS - Inspection Lot Record'!$O$2:$O$361)</f>
        <v>Metformin Tablets (500 MG)</v>
      </c>
      <c r="D869" s="31">
        <v>40</v>
      </c>
      <c r="E869" s="29" t="s">
        <v>403</v>
      </c>
      <c r="F869" s="29" t="str">
        <f>LOOKUP(A869,'QALS - Inspection Lot Record'!A:A,'QALS - Inspection Lot Record'!G:G)</f>
        <v>ZK384180</v>
      </c>
      <c r="G869" s="59">
        <f ca="1">LOOKUP(A869,'QALS - Inspection Lot Record'!A:A,'QALS - Inspection Lot Record'!E:E)</f>
        <v>45924</v>
      </c>
      <c r="H869" s="34" t="str">
        <f t="shared" si="70"/>
        <v>A</v>
      </c>
      <c r="I869" s="29" t="str">
        <f t="shared" si="66"/>
        <v>ZK384180</v>
      </c>
      <c r="J869" s="59">
        <f t="shared" ca="1" si="67"/>
        <v>45924</v>
      </c>
      <c r="K869" s="30">
        <f ca="1">LOOKUP(A869,'QALS - Inspection Lot Record'!A:A,'QALS - Inspection Lot Record'!I:I)</f>
        <v>0.62785879629629626</v>
      </c>
      <c r="L869" s="59">
        <f t="shared" ca="1" si="68"/>
        <v>45924</v>
      </c>
      <c r="M869" s="30">
        <f t="shared" ca="1" si="69"/>
        <v>0.65185185185185179</v>
      </c>
      <c r="N869" s="31"/>
      <c r="O869" s="31">
        <v>0</v>
      </c>
      <c r="P869" s="29">
        <v>0</v>
      </c>
      <c r="Q869" s="29">
        <v>2</v>
      </c>
    </row>
    <row r="870" spans="1:17" x14ac:dyDescent="0.35">
      <c r="A870" s="26">
        <v>40000002609</v>
      </c>
      <c r="B870" s="31">
        <v>1</v>
      </c>
      <c r="C870" s="29" t="str">
        <f>LOOKUP(A870,'QALS - Inspection Lot Record'!$A$2:$A$361,'QALS - Inspection Lot Record'!$O$2:$O$361)</f>
        <v>Metformin Tablets (500 MG)</v>
      </c>
      <c r="D870" s="31">
        <v>50</v>
      </c>
      <c r="E870" s="29" t="s">
        <v>404</v>
      </c>
      <c r="F870" s="29" t="str">
        <f>LOOKUP(A870,'QALS - Inspection Lot Record'!A:A,'QALS - Inspection Lot Record'!G:G)</f>
        <v>ZK384180</v>
      </c>
      <c r="G870" s="59">
        <f ca="1">LOOKUP(A870,'QALS - Inspection Lot Record'!A:A,'QALS - Inspection Lot Record'!E:E)</f>
        <v>45924</v>
      </c>
      <c r="H870" s="34" t="str">
        <f t="shared" si="70"/>
        <v>A</v>
      </c>
      <c r="I870" s="29" t="str">
        <f t="shared" si="66"/>
        <v>ZK384180</v>
      </c>
      <c r="J870" s="59">
        <f t="shared" ca="1" si="67"/>
        <v>45924</v>
      </c>
      <c r="K870" s="30">
        <f ca="1">LOOKUP(A870,'QALS - Inspection Lot Record'!A:A,'QALS - Inspection Lot Record'!I:I)</f>
        <v>0.62785879629629626</v>
      </c>
      <c r="L870" s="59">
        <f t="shared" ca="1" si="68"/>
        <v>45924</v>
      </c>
      <c r="M870" s="30">
        <f t="shared" ca="1" si="69"/>
        <v>0.66021990740740732</v>
      </c>
      <c r="N870" s="31"/>
      <c r="O870" s="31">
        <v>50</v>
      </c>
      <c r="P870" s="29">
        <v>40</v>
      </c>
      <c r="Q870" s="29">
        <v>60</v>
      </c>
    </row>
    <row r="871" spans="1:17" x14ac:dyDescent="0.35">
      <c r="A871" s="26">
        <v>40000002609</v>
      </c>
      <c r="B871" s="31">
        <v>1</v>
      </c>
      <c r="C871" s="29" t="str">
        <f>LOOKUP(A871,'QALS - Inspection Lot Record'!$A$2:$A$361,'QALS - Inspection Lot Record'!$O$2:$O$361)</f>
        <v>Metformin Tablets (500 MG)</v>
      </c>
      <c r="D871" s="31">
        <v>60</v>
      </c>
      <c r="E871" s="29" t="s">
        <v>405</v>
      </c>
      <c r="F871" s="29" t="str">
        <f>LOOKUP(A871,'QALS - Inspection Lot Record'!A:A,'QALS - Inspection Lot Record'!G:G)</f>
        <v>ZK384180</v>
      </c>
      <c r="G871" s="59">
        <f ca="1">LOOKUP(A871,'QALS - Inspection Lot Record'!A:A,'QALS - Inspection Lot Record'!E:E)</f>
        <v>45924</v>
      </c>
      <c r="H871" s="34" t="str">
        <f t="shared" si="70"/>
        <v>A</v>
      </c>
      <c r="I871" s="29" t="str">
        <f t="shared" si="66"/>
        <v>ZK384180</v>
      </c>
      <c r="J871" s="59">
        <f t="shared" ca="1" si="67"/>
        <v>45924</v>
      </c>
      <c r="K871" s="30">
        <f ca="1">LOOKUP(A871,'QALS - Inspection Lot Record'!A:A,'QALS - Inspection Lot Record'!I:I)</f>
        <v>0.62785879629629626</v>
      </c>
      <c r="L871" s="59">
        <f t="shared" ca="1" si="68"/>
        <v>45924</v>
      </c>
      <c r="M871" s="30">
        <f t="shared" ca="1" si="69"/>
        <v>0.64550925925925917</v>
      </c>
      <c r="N871" s="31"/>
      <c r="O871" s="31">
        <v>77.5</v>
      </c>
      <c r="P871" s="29">
        <v>70</v>
      </c>
      <c r="Q871" s="29">
        <v>85</v>
      </c>
    </row>
    <row r="872" spans="1:17" x14ac:dyDescent="0.35">
      <c r="A872" s="26">
        <v>40000002609</v>
      </c>
      <c r="B872" s="31">
        <v>1</v>
      </c>
      <c r="C872" s="29" t="str">
        <f>LOOKUP(A872,'QALS - Inspection Lot Record'!$A$2:$A$361,'QALS - Inspection Lot Record'!$O$2:$O$361)</f>
        <v>Metformin Tablets (500 MG)</v>
      </c>
      <c r="D872" s="31">
        <v>70</v>
      </c>
      <c r="E872" s="29" t="s">
        <v>406</v>
      </c>
      <c r="F872" s="29" t="str">
        <f>LOOKUP(A872,'QALS - Inspection Lot Record'!A:A,'QALS - Inspection Lot Record'!G:G)</f>
        <v>ZK384180</v>
      </c>
      <c r="G872" s="59">
        <f ca="1">LOOKUP(A872,'QALS - Inspection Lot Record'!A:A,'QALS - Inspection Lot Record'!E:E)</f>
        <v>45924</v>
      </c>
      <c r="H872" s="34" t="str">
        <f t="shared" si="70"/>
        <v>A</v>
      </c>
      <c r="I872" s="29" t="str">
        <f t="shared" si="66"/>
        <v>ZK384180</v>
      </c>
      <c r="J872" s="59">
        <f t="shared" ca="1" si="67"/>
        <v>45924</v>
      </c>
      <c r="K872" s="30">
        <f ca="1">LOOKUP(A872,'QALS - Inspection Lot Record'!A:A,'QALS - Inspection Lot Record'!I:I)</f>
        <v>0.62785879629629626</v>
      </c>
      <c r="L872" s="59">
        <f t="shared" ca="1" si="68"/>
        <v>45924</v>
      </c>
      <c r="M872" s="30">
        <f t="shared" ca="1" si="69"/>
        <v>0.66141203703703699</v>
      </c>
      <c r="N872" s="31"/>
      <c r="O872" s="31">
        <v>81.099999999999994</v>
      </c>
      <c r="P872" s="29">
        <v>80</v>
      </c>
      <c r="Q872" s="29">
        <v>90</v>
      </c>
    </row>
    <row r="873" spans="1:17" x14ac:dyDescent="0.35">
      <c r="A873" s="26">
        <v>40000002609</v>
      </c>
      <c r="B873" s="31">
        <v>1</v>
      </c>
      <c r="C873" s="29" t="str">
        <f>LOOKUP(A873,'QALS - Inspection Lot Record'!$A$2:$A$361,'QALS - Inspection Lot Record'!$O$2:$O$361)</f>
        <v>Metformin Tablets (500 MG)</v>
      </c>
      <c r="D873" s="31">
        <v>80</v>
      </c>
      <c r="E873" s="29" t="s">
        <v>407</v>
      </c>
      <c r="F873" s="29" t="str">
        <f>LOOKUP(A873,'QALS - Inspection Lot Record'!A:A,'QALS - Inspection Lot Record'!G:G)</f>
        <v>ZK384180</v>
      </c>
      <c r="G873" s="59">
        <f ca="1">LOOKUP(A873,'QALS - Inspection Lot Record'!A:A,'QALS - Inspection Lot Record'!E:E)</f>
        <v>45924</v>
      </c>
      <c r="H873" s="34" t="str">
        <f t="shared" si="70"/>
        <v>A</v>
      </c>
      <c r="I873" s="29" t="str">
        <f t="shared" si="66"/>
        <v>ZK384180</v>
      </c>
      <c r="J873" s="59">
        <f t="shared" ca="1" si="67"/>
        <v>45924</v>
      </c>
      <c r="K873" s="30">
        <f ca="1">LOOKUP(A873,'QALS - Inspection Lot Record'!A:A,'QALS - Inspection Lot Record'!I:I)</f>
        <v>0.62785879629629626</v>
      </c>
      <c r="L873" s="59">
        <f t="shared" ca="1" si="68"/>
        <v>45924</v>
      </c>
      <c r="M873" s="30">
        <f t="shared" ca="1" si="69"/>
        <v>0.65986111111111112</v>
      </c>
      <c r="N873" s="31"/>
      <c r="O873" s="31">
        <v>25.5</v>
      </c>
      <c r="P873" s="29">
        <v>23</v>
      </c>
      <c r="Q873" s="29">
        <v>28</v>
      </c>
    </row>
    <row r="874" spans="1:17" x14ac:dyDescent="0.35">
      <c r="A874" s="26">
        <v>40000002610</v>
      </c>
      <c r="B874" s="27">
        <v>1</v>
      </c>
      <c r="C874" s="29" t="str">
        <f>LOOKUP(A874,'QALS - Inspection Lot Record'!$A$2:$A$361,'QALS - Inspection Lot Record'!$O$2:$O$361)</f>
        <v>Aspirin Tablets (500 MG)</v>
      </c>
      <c r="D874" s="27">
        <v>10</v>
      </c>
      <c r="E874" s="26" t="s">
        <v>399</v>
      </c>
      <c r="F874" s="29" t="str">
        <f>LOOKUP(A874,'QALS - Inspection Lot Record'!A:A,'QALS - Inspection Lot Record'!G:G)</f>
        <v>TG509538</v>
      </c>
      <c r="G874" s="59">
        <f ca="1">LOOKUP(A874,'QALS - Inspection Lot Record'!A:A,'QALS - Inspection Lot Record'!E:E)</f>
        <v>45924</v>
      </c>
      <c r="H874" s="34" t="str">
        <f t="shared" si="70"/>
        <v>A</v>
      </c>
      <c r="I874" s="29" t="str">
        <f t="shared" si="66"/>
        <v>TG509538</v>
      </c>
      <c r="J874" s="59">
        <f t="shared" ca="1" si="67"/>
        <v>45924</v>
      </c>
      <c r="K874" s="30">
        <f ca="1">LOOKUP(A874,'QALS - Inspection Lot Record'!A:A,'QALS - Inspection Lot Record'!I:I)</f>
        <v>0.1570138888888889</v>
      </c>
      <c r="L874" s="59">
        <f t="shared" ca="1" si="68"/>
        <v>45924</v>
      </c>
      <c r="M874" s="30">
        <f t="shared" ca="1" si="69"/>
        <v>0.17799768518518519</v>
      </c>
      <c r="N874" s="31"/>
      <c r="O874" s="31">
        <v>100</v>
      </c>
      <c r="P874" s="29">
        <v>95</v>
      </c>
      <c r="Q874" s="29">
        <v>105</v>
      </c>
    </row>
    <row r="875" spans="1:17" x14ac:dyDescent="0.35">
      <c r="A875" s="26">
        <v>40000002610</v>
      </c>
      <c r="B875" s="27">
        <v>1</v>
      </c>
      <c r="C875" s="29" t="str">
        <f>LOOKUP(A875,'QALS - Inspection Lot Record'!$A$2:$A$361,'QALS - Inspection Lot Record'!$O$2:$O$361)</f>
        <v>Aspirin Tablets (500 MG)</v>
      </c>
      <c r="D875" s="31">
        <v>20</v>
      </c>
      <c r="E875" s="29" t="s">
        <v>400</v>
      </c>
      <c r="F875" s="29" t="str">
        <f>LOOKUP(A875,'QALS - Inspection Lot Record'!A:A,'QALS - Inspection Lot Record'!G:G)</f>
        <v>TG509538</v>
      </c>
      <c r="G875" s="59">
        <f ca="1">LOOKUP(A875,'QALS - Inspection Lot Record'!A:A,'QALS - Inspection Lot Record'!E:E)</f>
        <v>45924</v>
      </c>
      <c r="H875" s="34" t="str">
        <f t="shared" si="70"/>
        <v>A</v>
      </c>
      <c r="I875" s="29" t="str">
        <f t="shared" si="66"/>
        <v>TG509538</v>
      </c>
      <c r="J875" s="59">
        <f t="shared" ca="1" si="67"/>
        <v>45924</v>
      </c>
      <c r="K875" s="30">
        <f ca="1">LOOKUP(A875,'QALS - Inspection Lot Record'!A:A,'QALS - Inspection Lot Record'!I:I)</f>
        <v>0.1570138888888889</v>
      </c>
      <c r="L875" s="59">
        <f t="shared" ca="1" si="68"/>
        <v>45924</v>
      </c>
      <c r="M875" s="30">
        <f t="shared" ca="1" si="69"/>
        <v>0.18292824074074074</v>
      </c>
      <c r="N875" s="31"/>
      <c r="O875" s="31">
        <v>7.25</v>
      </c>
      <c r="P875" s="29">
        <v>3.5</v>
      </c>
      <c r="Q875" s="29">
        <v>11</v>
      </c>
    </row>
    <row r="876" spans="1:17" x14ac:dyDescent="0.35">
      <c r="A876" s="26">
        <v>40000002610</v>
      </c>
      <c r="B876" s="31">
        <v>1</v>
      </c>
      <c r="C876" s="29" t="str">
        <f>LOOKUP(A876,'QALS - Inspection Lot Record'!$A$2:$A$361,'QALS - Inspection Lot Record'!$O$2:$O$361)</f>
        <v>Aspirin Tablets (500 MG)</v>
      </c>
      <c r="D876" s="31">
        <v>30</v>
      </c>
      <c r="E876" s="29" t="s">
        <v>401</v>
      </c>
      <c r="F876" s="29" t="str">
        <f>LOOKUP(A876,'QALS - Inspection Lot Record'!A:A,'QALS - Inspection Lot Record'!G:G)</f>
        <v>TG509538</v>
      </c>
      <c r="G876" s="59">
        <f ca="1">LOOKUP(A876,'QALS - Inspection Lot Record'!A:A,'QALS - Inspection Lot Record'!E:E)</f>
        <v>45924</v>
      </c>
      <c r="H876" s="34" t="str">
        <f t="shared" si="70"/>
        <v>A</v>
      </c>
      <c r="I876" s="29" t="str">
        <f t="shared" si="66"/>
        <v>TG509538</v>
      </c>
      <c r="J876" s="59">
        <f t="shared" ca="1" si="67"/>
        <v>45924</v>
      </c>
      <c r="K876" s="30">
        <f ca="1">LOOKUP(A876,'QALS - Inspection Lot Record'!A:A,'QALS - Inspection Lot Record'!I:I)</f>
        <v>0.1570138888888889</v>
      </c>
      <c r="L876" s="59">
        <f t="shared" ca="1" si="68"/>
        <v>45924</v>
      </c>
      <c r="M876" s="30">
        <f t="shared" ca="1" si="69"/>
        <v>0.18806712962962963</v>
      </c>
      <c r="N876" s="11" t="s">
        <v>402</v>
      </c>
      <c r="O876" s="31"/>
      <c r="P876" s="29"/>
      <c r="Q876" s="29"/>
    </row>
    <row r="877" spans="1:17" x14ac:dyDescent="0.35">
      <c r="A877" s="26">
        <v>40000002610</v>
      </c>
      <c r="B877" s="31">
        <v>1</v>
      </c>
      <c r="C877" s="29" t="str">
        <f>LOOKUP(A877,'QALS - Inspection Lot Record'!$A$2:$A$361,'QALS - Inspection Lot Record'!$O$2:$O$361)</f>
        <v>Aspirin Tablets (500 MG)</v>
      </c>
      <c r="D877" s="31">
        <v>40</v>
      </c>
      <c r="E877" s="29" t="s">
        <v>403</v>
      </c>
      <c r="F877" s="29" t="str">
        <f>LOOKUP(A877,'QALS - Inspection Lot Record'!A:A,'QALS - Inspection Lot Record'!G:G)</f>
        <v>TG509538</v>
      </c>
      <c r="G877" s="59">
        <f ca="1">LOOKUP(A877,'QALS - Inspection Lot Record'!A:A,'QALS - Inspection Lot Record'!E:E)</f>
        <v>45924</v>
      </c>
      <c r="H877" s="34" t="str">
        <f t="shared" si="70"/>
        <v>A</v>
      </c>
      <c r="I877" s="29" t="str">
        <f t="shared" si="66"/>
        <v>TG509538</v>
      </c>
      <c r="J877" s="59">
        <f t="shared" ca="1" si="67"/>
        <v>45924</v>
      </c>
      <c r="K877" s="30">
        <f ca="1">LOOKUP(A877,'QALS - Inspection Lot Record'!A:A,'QALS - Inspection Lot Record'!I:I)</f>
        <v>0.1570138888888889</v>
      </c>
      <c r="L877" s="59">
        <f t="shared" ca="1" si="68"/>
        <v>45924</v>
      </c>
      <c r="M877" s="30">
        <f t="shared" ca="1" si="69"/>
        <v>0.1849652777777778</v>
      </c>
      <c r="N877" s="31"/>
      <c r="O877" s="31">
        <v>0</v>
      </c>
      <c r="P877" s="29">
        <v>0</v>
      </c>
      <c r="Q877" s="29">
        <v>2.5</v>
      </c>
    </row>
    <row r="878" spans="1:17" x14ac:dyDescent="0.35">
      <c r="A878" s="26">
        <v>40000002610</v>
      </c>
      <c r="B878" s="31">
        <v>1</v>
      </c>
      <c r="C878" s="29" t="str">
        <f>LOOKUP(A878,'QALS - Inspection Lot Record'!$A$2:$A$361,'QALS - Inspection Lot Record'!$O$2:$O$361)</f>
        <v>Aspirin Tablets (500 MG)</v>
      </c>
      <c r="D878" s="31">
        <v>50</v>
      </c>
      <c r="E878" s="29" t="s">
        <v>404</v>
      </c>
      <c r="F878" s="29" t="str">
        <f>LOOKUP(A878,'QALS - Inspection Lot Record'!A:A,'QALS - Inspection Lot Record'!G:G)</f>
        <v>TG509538</v>
      </c>
      <c r="G878" s="59">
        <f ca="1">LOOKUP(A878,'QALS - Inspection Lot Record'!A:A,'QALS - Inspection Lot Record'!E:E)</f>
        <v>45924</v>
      </c>
      <c r="H878" s="34" t="str">
        <f t="shared" si="70"/>
        <v>A</v>
      </c>
      <c r="I878" s="29" t="str">
        <f t="shared" si="66"/>
        <v>TG509538</v>
      </c>
      <c r="J878" s="59">
        <f t="shared" ca="1" si="67"/>
        <v>45924</v>
      </c>
      <c r="K878" s="30">
        <f ca="1">LOOKUP(A878,'QALS - Inspection Lot Record'!A:A,'QALS - Inspection Lot Record'!I:I)</f>
        <v>0.1570138888888889</v>
      </c>
      <c r="L878" s="59">
        <f t="shared" ca="1" si="68"/>
        <v>45924</v>
      </c>
      <c r="M878" s="30">
        <f t="shared" ca="1" si="69"/>
        <v>0.17901620370370372</v>
      </c>
      <c r="N878" s="31"/>
      <c r="O878" s="31">
        <v>41.4</v>
      </c>
      <c r="P878" s="29">
        <v>40</v>
      </c>
      <c r="Q878" s="29">
        <v>60</v>
      </c>
    </row>
    <row r="879" spans="1:17" x14ac:dyDescent="0.35">
      <c r="A879" s="26">
        <v>40000002610</v>
      </c>
      <c r="B879" s="31">
        <v>1</v>
      </c>
      <c r="C879" s="29" t="str">
        <f>LOOKUP(A879,'QALS - Inspection Lot Record'!$A$2:$A$361,'QALS - Inspection Lot Record'!$O$2:$O$361)</f>
        <v>Aspirin Tablets (500 MG)</v>
      </c>
      <c r="D879" s="31">
        <v>60</v>
      </c>
      <c r="E879" s="29" t="s">
        <v>405</v>
      </c>
      <c r="F879" s="29" t="str">
        <f>LOOKUP(A879,'QALS - Inspection Lot Record'!A:A,'QALS - Inspection Lot Record'!G:G)</f>
        <v>TG509538</v>
      </c>
      <c r="G879" s="59">
        <f ca="1">LOOKUP(A879,'QALS - Inspection Lot Record'!A:A,'QALS - Inspection Lot Record'!E:E)</f>
        <v>45924</v>
      </c>
      <c r="H879" s="34" t="str">
        <f t="shared" si="70"/>
        <v>A</v>
      </c>
      <c r="I879" s="29" t="str">
        <f t="shared" si="66"/>
        <v>TG509538</v>
      </c>
      <c r="J879" s="59">
        <f t="shared" ca="1" si="67"/>
        <v>45924</v>
      </c>
      <c r="K879" s="30">
        <f ca="1">LOOKUP(A879,'QALS - Inspection Lot Record'!A:A,'QALS - Inspection Lot Record'!I:I)</f>
        <v>0.1570138888888889</v>
      </c>
      <c r="L879" s="59">
        <f t="shared" ca="1" si="68"/>
        <v>45924</v>
      </c>
      <c r="M879" s="30">
        <f t="shared" ca="1" si="69"/>
        <v>0.18215277777777777</v>
      </c>
      <c r="N879" s="31"/>
      <c r="O879" s="31">
        <v>77.5</v>
      </c>
      <c r="P879" s="29">
        <v>70</v>
      </c>
      <c r="Q879" s="29">
        <v>85</v>
      </c>
    </row>
    <row r="880" spans="1:17" x14ac:dyDescent="0.35">
      <c r="A880" s="26">
        <v>40000002610</v>
      </c>
      <c r="B880" s="31">
        <v>1</v>
      </c>
      <c r="C880" s="29" t="str">
        <f>LOOKUP(A880,'QALS - Inspection Lot Record'!$A$2:$A$361,'QALS - Inspection Lot Record'!$O$2:$O$361)</f>
        <v>Aspirin Tablets (500 MG)</v>
      </c>
      <c r="D880" s="31">
        <v>70</v>
      </c>
      <c r="E880" s="29" t="s">
        <v>406</v>
      </c>
      <c r="F880" s="29" t="str">
        <f>LOOKUP(A880,'QALS - Inspection Lot Record'!A:A,'QALS - Inspection Lot Record'!G:G)</f>
        <v>TG509538</v>
      </c>
      <c r="G880" s="59">
        <f ca="1">LOOKUP(A880,'QALS - Inspection Lot Record'!A:A,'QALS - Inspection Lot Record'!E:E)</f>
        <v>45924</v>
      </c>
      <c r="H880" s="34" t="str">
        <f t="shared" si="70"/>
        <v>A</v>
      </c>
      <c r="I880" s="29" t="str">
        <f t="shared" si="66"/>
        <v>TG509538</v>
      </c>
      <c r="J880" s="59">
        <f t="shared" ca="1" si="67"/>
        <v>45924</v>
      </c>
      <c r="K880" s="30">
        <f ca="1">LOOKUP(A880,'QALS - Inspection Lot Record'!A:A,'QALS - Inspection Lot Record'!I:I)</f>
        <v>0.1570138888888889</v>
      </c>
      <c r="L880" s="59">
        <f t="shared" ca="1" si="68"/>
        <v>45924</v>
      </c>
      <c r="M880" s="30">
        <f t="shared" ca="1" si="69"/>
        <v>0.19048611111111113</v>
      </c>
      <c r="N880" s="31"/>
      <c r="O880" s="31">
        <v>85</v>
      </c>
      <c r="P880" s="29">
        <v>80</v>
      </c>
      <c r="Q880" s="29">
        <v>90</v>
      </c>
    </row>
    <row r="881" spans="1:17" x14ac:dyDescent="0.35">
      <c r="A881" s="26">
        <v>40000002610</v>
      </c>
      <c r="B881" s="31">
        <v>1</v>
      </c>
      <c r="C881" s="29" t="str">
        <f>LOOKUP(A881,'QALS - Inspection Lot Record'!$A$2:$A$361,'QALS - Inspection Lot Record'!$O$2:$O$361)</f>
        <v>Aspirin Tablets (500 MG)</v>
      </c>
      <c r="D881" s="31">
        <v>80</v>
      </c>
      <c r="E881" s="29" t="s">
        <v>407</v>
      </c>
      <c r="F881" s="29" t="str">
        <f>LOOKUP(A881,'QALS - Inspection Lot Record'!A:A,'QALS - Inspection Lot Record'!G:G)</f>
        <v>TG509538</v>
      </c>
      <c r="G881" s="59">
        <f ca="1">LOOKUP(A881,'QALS - Inspection Lot Record'!A:A,'QALS - Inspection Lot Record'!E:E)</f>
        <v>45924</v>
      </c>
      <c r="H881" s="34" t="str">
        <f t="shared" si="70"/>
        <v>A</v>
      </c>
      <c r="I881" s="29" t="str">
        <f t="shared" si="66"/>
        <v>TG509538</v>
      </c>
      <c r="J881" s="59">
        <f t="shared" ca="1" si="67"/>
        <v>45924</v>
      </c>
      <c r="K881" s="30">
        <f ca="1">LOOKUP(A881,'QALS - Inspection Lot Record'!A:A,'QALS - Inspection Lot Record'!I:I)</f>
        <v>0.1570138888888889</v>
      </c>
      <c r="L881" s="59">
        <f t="shared" ca="1" si="68"/>
        <v>45924</v>
      </c>
      <c r="M881" s="30">
        <f t="shared" ca="1" si="69"/>
        <v>0.18659722222222222</v>
      </c>
      <c r="N881" s="31"/>
      <c r="O881" s="31">
        <v>25.5</v>
      </c>
      <c r="P881" s="29">
        <v>23</v>
      </c>
      <c r="Q881" s="29">
        <v>28</v>
      </c>
    </row>
    <row r="882" spans="1:17" x14ac:dyDescent="0.35">
      <c r="A882" s="26">
        <v>40000002611</v>
      </c>
      <c r="B882" s="27">
        <v>1</v>
      </c>
      <c r="C882" s="29" t="str">
        <f>LOOKUP(A882,'QALS - Inspection Lot Record'!$A$2:$A$361,'QALS - Inspection Lot Record'!$O$2:$O$361)</f>
        <v>Metformin Tablets (100 MG)</v>
      </c>
      <c r="D882" s="27">
        <v>10</v>
      </c>
      <c r="E882" s="26" t="s">
        <v>399</v>
      </c>
      <c r="F882" s="29" t="str">
        <f>LOOKUP(A882,'QALS - Inspection Lot Record'!A:A,'QALS - Inspection Lot Record'!G:G)</f>
        <v>TP397880</v>
      </c>
      <c r="G882" s="59">
        <f ca="1">LOOKUP(A882,'QALS - Inspection Lot Record'!A:A,'QALS - Inspection Lot Record'!E:E)</f>
        <v>45925</v>
      </c>
      <c r="H882" s="34" t="str">
        <f t="shared" si="70"/>
        <v>R</v>
      </c>
      <c r="I882" s="29" t="str">
        <f t="shared" si="66"/>
        <v>TP397880</v>
      </c>
      <c r="J882" s="59">
        <f t="shared" ca="1" si="67"/>
        <v>45925</v>
      </c>
      <c r="K882" s="30">
        <f ca="1">LOOKUP(A882,'QALS - Inspection Lot Record'!A:A,'QALS - Inspection Lot Record'!I:I)</f>
        <v>0.64107638888888885</v>
      </c>
      <c r="L882" s="59">
        <f t="shared" ca="1" si="68"/>
        <v>45925</v>
      </c>
      <c r="M882" s="30">
        <f t="shared" ca="1" si="69"/>
        <v>0.65865740740740741</v>
      </c>
      <c r="N882" s="31"/>
      <c r="O882" s="31">
        <v>93.3</v>
      </c>
      <c r="P882" s="29">
        <v>95</v>
      </c>
      <c r="Q882" s="29">
        <v>102</v>
      </c>
    </row>
    <row r="883" spans="1:17" x14ac:dyDescent="0.35">
      <c r="A883" s="26">
        <v>40000002611</v>
      </c>
      <c r="B883" s="27">
        <v>1</v>
      </c>
      <c r="C883" s="29" t="str">
        <f>LOOKUP(A883,'QALS - Inspection Lot Record'!$A$2:$A$361,'QALS - Inspection Lot Record'!$O$2:$O$361)</f>
        <v>Metformin Tablets (100 MG)</v>
      </c>
      <c r="D883" s="31">
        <v>20</v>
      </c>
      <c r="E883" s="29" t="s">
        <v>400</v>
      </c>
      <c r="F883" s="29" t="str">
        <f>LOOKUP(A883,'QALS - Inspection Lot Record'!A:A,'QALS - Inspection Lot Record'!G:G)</f>
        <v>TP397880</v>
      </c>
      <c r="G883" s="59">
        <f ca="1">LOOKUP(A883,'QALS - Inspection Lot Record'!A:A,'QALS - Inspection Lot Record'!E:E)</f>
        <v>45925</v>
      </c>
      <c r="H883" s="34" t="str">
        <f t="shared" si="70"/>
        <v>R</v>
      </c>
      <c r="I883" s="29" t="str">
        <f t="shared" si="66"/>
        <v>TP397880</v>
      </c>
      <c r="J883" s="59">
        <f t="shared" ca="1" si="67"/>
        <v>45925</v>
      </c>
      <c r="K883" s="30">
        <f ca="1">LOOKUP(A883,'QALS - Inspection Lot Record'!A:A,'QALS - Inspection Lot Record'!I:I)</f>
        <v>0.64107638888888885</v>
      </c>
      <c r="L883" s="59">
        <f t="shared" ca="1" si="68"/>
        <v>45925</v>
      </c>
      <c r="M883" s="30">
        <f t="shared" ca="1" si="69"/>
        <v>0.67571759259259256</v>
      </c>
      <c r="N883" s="31"/>
      <c r="O883" s="31">
        <v>2.2000000000000002</v>
      </c>
      <c r="P883" s="29">
        <v>3.5</v>
      </c>
      <c r="Q883" s="29">
        <v>11</v>
      </c>
    </row>
    <row r="884" spans="1:17" x14ac:dyDescent="0.35">
      <c r="A884" s="26">
        <v>40000002611</v>
      </c>
      <c r="B884" s="31">
        <v>1</v>
      </c>
      <c r="C884" s="29" t="str">
        <f>LOOKUP(A884,'QALS - Inspection Lot Record'!$A$2:$A$361,'QALS - Inspection Lot Record'!$O$2:$O$361)</f>
        <v>Metformin Tablets (100 MG)</v>
      </c>
      <c r="D884" s="31">
        <v>30</v>
      </c>
      <c r="E884" s="29" t="s">
        <v>401</v>
      </c>
      <c r="F884" s="29" t="str">
        <f>LOOKUP(A884,'QALS - Inspection Lot Record'!A:A,'QALS - Inspection Lot Record'!G:G)</f>
        <v>TP397880</v>
      </c>
      <c r="G884" s="59">
        <f ca="1">LOOKUP(A884,'QALS - Inspection Lot Record'!A:A,'QALS - Inspection Lot Record'!E:E)</f>
        <v>45925</v>
      </c>
      <c r="H884" s="34" t="str">
        <f t="shared" si="70"/>
        <v>A</v>
      </c>
      <c r="I884" s="29" t="str">
        <f t="shared" si="66"/>
        <v>TP397880</v>
      </c>
      <c r="J884" s="59">
        <f t="shared" ca="1" si="67"/>
        <v>45925</v>
      </c>
      <c r="K884" s="30">
        <f ca="1">LOOKUP(A884,'QALS - Inspection Lot Record'!A:A,'QALS - Inspection Lot Record'!I:I)</f>
        <v>0.64107638888888885</v>
      </c>
      <c r="L884" s="59">
        <f t="shared" ca="1" si="68"/>
        <v>45925</v>
      </c>
      <c r="M884" s="30">
        <f t="shared" ca="1" si="69"/>
        <v>0.67292824074074065</v>
      </c>
      <c r="N884" s="11" t="s">
        <v>402</v>
      </c>
      <c r="O884" s="31"/>
      <c r="P884" s="29"/>
      <c r="Q884" s="29"/>
    </row>
    <row r="885" spans="1:17" x14ac:dyDescent="0.35">
      <c r="A885" s="26">
        <v>40000002611</v>
      </c>
      <c r="B885" s="31">
        <v>1</v>
      </c>
      <c r="C885" s="29" t="str">
        <f>LOOKUP(A885,'QALS - Inspection Lot Record'!$A$2:$A$361,'QALS - Inspection Lot Record'!$O$2:$O$361)</f>
        <v>Metformin Tablets (100 MG)</v>
      </c>
      <c r="D885" s="31">
        <v>40</v>
      </c>
      <c r="E885" s="29" t="s">
        <v>403</v>
      </c>
      <c r="F885" s="29" t="str">
        <f>LOOKUP(A885,'QALS - Inspection Lot Record'!A:A,'QALS - Inspection Lot Record'!G:G)</f>
        <v>TP397880</v>
      </c>
      <c r="G885" s="59">
        <f ca="1">LOOKUP(A885,'QALS - Inspection Lot Record'!A:A,'QALS - Inspection Lot Record'!E:E)</f>
        <v>45925</v>
      </c>
      <c r="H885" s="34" t="str">
        <f t="shared" si="70"/>
        <v>A</v>
      </c>
      <c r="I885" s="29" t="str">
        <f t="shared" si="66"/>
        <v>TP397880</v>
      </c>
      <c r="J885" s="59">
        <f t="shared" ca="1" si="67"/>
        <v>45925</v>
      </c>
      <c r="K885" s="30">
        <f ca="1">LOOKUP(A885,'QALS - Inspection Lot Record'!A:A,'QALS - Inspection Lot Record'!I:I)</f>
        <v>0.64107638888888885</v>
      </c>
      <c r="L885" s="59">
        <f t="shared" ca="1" si="68"/>
        <v>45925</v>
      </c>
      <c r="M885" s="30">
        <f t="shared" ca="1" si="69"/>
        <v>0.67537037037037029</v>
      </c>
      <c r="N885" s="31"/>
      <c r="O885" s="31">
        <v>0.5</v>
      </c>
      <c r="P885" s="29">
        <v>0</v>
      </c>
      <c r="Q885" s="29">
        <v>1</v>
      </c>
    </row>
    <row r="886" spans="1:17" x14ac:dyDescent="0.35">
      <c r="A886" s="26">
        <v>40000002611</v>
      </c>
      <c r="B886" s="31">
        <v>1</v>
      </c>
      <c r="C886" s="29" t="str">
        <f>LOOKUP(A886,'QALS - Inspection Lot Record'!$A$2:$A$361,'QALS - Inspection Lot Record'!$O$2:$O$361)</f>
        <v>Metformin Tablets (100 MG)</v>
      </c>
      <c r="D886" s="31">
        <v>50</v>
      </c>
      <c r="E886" s="29" t="s">
        <v>404</v>
      </c>
      <c r="F886" s="29" t="str">
        <f>LOOKUP(A886,'QALS - Inspection Lot Record'!A:A,'QALS - Inspection Lot Record'!G:G)</f>
        <v>TP397880</v>
      </c>
      <c r="G886" s="59">
        <f ca="1">LOOKUP(A886,'QALS - Inspection Lot Record'!A:A,'QALS - Inspection Lot Record'!E:E)</f>
        <v>45925</v>
      </c>
      <c r="H886" s="34" t="str">
        <f t="shared" si="70"/>
        <v>A</v>
      </c>
      <c r="I886" s="29" t="str">
        <f t="shared" si="66"/>
        <v>TP397880</v>
      </c>
      <c r="J886" s="59">
        <f t="shared" ca="1" si="67"/>
        <v>45925</v>
      </c>
      <c r="K886" s="30">
        <f ca="1">LOOKUP(A886,'QALS - Inspection Lot Record'!A:A,'QALS - Inspection Lot Record'!I:I)</f>
        <v>0.64107638888888885</v>
      </c>
      <c r="L886" s="59">
        <f t="shared" ca="1" si="68"/>
        <v>45925</v>
      </c>
      <c r="M886" s="30">
        <f t="shared" ca="1" si="69"/>
        <v>0.66364583333333327</v>
      </c>
      <c r="N886" s="31"/>
      <c r="O886" s="31">
        <v>43</v>
      </c>
      <c r="P886" s="29">
        <v>40</v>
      </c>
      <c r="Q886" s="29">
        <v>60</v>
      </c>
    </row>
    <row r="887" spans="1:17" x14ac:dyDescent="0.35">
      <c r="A887" s="26">
        <v>40000002611</v>
      </c>
      <c r="B887" s="31">
        <v>1</v>
      </c>
      <c r="C887" s="29" t="str">
        <f>LOOKUP(A887,'QALS - Inspection Lot Record'!$A$2:$A$361,'QALS - Inspection Lot Record'!$O$2:$O$361)</f>
        <v>Metformin Tablets (100 MG)</v>
      </c>
      <c r="D887" s="31">
        <v>60</v>
      </c>
      <c r="E887" s="29" t="s">
        <v>405</v>
      </c>
      <c r="F887" s="29" t="str">
        <f>LOOKUP(A887,'QALS - Inspection Lot Record'!A:A,'QALS - Inspection Lot Record'!G:G)</f>
        <v>TP397880</v>
      </c>
      <c r="G887" s="59">
        <f ca="1">LOOKUP(A887,'QALS - Inspection Lot Record'!A:A,'QALS - Inspection Lot Record'!E:E)</f>
        <v>45925</v>
      </c>
      <c r="H887" s="34" t="str">
        <f t="shared" si="70"/>
        <v>R</v>
      </c>
      <c r="I887" s="29" t="str">
        <f t="shared" si="66"/>
        <v>TP397880</v>
      </c>
      <c r="J887" s="59">
        <f t="shared" ca="1" si="67"/>
        <v>45925</v>
      </c>
      <c r="K887" s="30">
        <f ca="1">LOOKUP(A887,'QALS - Inspection Lot Record'!A:A,'QALS - Inspection Lot Record'!I:I)</f>
        <v>0.64107638888888885</v>
      </c>
      <c r="L887" s="59">
        <f t="shared" ca="1" si="68"/>
        <v>45925</v>
      </c>
      <c r="M887" s="30">
        <f t="shared" ca="1" si="69"/>
        <v>0.67010416666666661</v>
      </c>
      <c r="N887" s="31"/>
      <c r="O887" s="31">
        <v>69</v>
      </c>
      <c r="P887" s="29">
        <v>70</v>
      </c>
      <c r="Q887" s="29">
        <v>85</v>
      </c>
    </row>
    <row r="888" spans="1:17" x14ac:dyDescent="0.35">
      <c r="A888" s="26">
        <v>40000002611</v>
      </c>
      <c r="B888" s="31">
        <v>1</v>
      </c>
      <c r="C888" s="29" t="str">
        <f>LOOKUP(A888,'QALS - Inspection Lot Record'!$A$2:$A$361,'QALS - Inspection Lot Record'!$O$2:$O$361)</f>
        <v>Metformin Tablets (100 MG)</v>
      </c>
      <c r="D888" s="31">
        <v>70</v>
      </c>
      <c r="E888" s="29" t="s">
        <v>406</v>
      </c>
      <c r="F888" s="29" t="str">
        <f>LOOKUP(A888,'QALS - Inspection Lot Record'!A:A,'QALS - Inspection Lot Record'!G:G)</f>
        <v>TP397880</v>
      </c>
      <c r="G888" s="59">
        <f ca="1">LOOKUP(A888,'QALS - Inspection Lot Record'!A:A,'QALS - Inspection Lot Record'!E:E)</f>
        <v>45925</v>
      </c>
      <c r="H888" s="34" t="str">
        <f t="shared" si="70"/>
        <v>R</v>
      </c>
      <c r="I888" s="29" t="str">
        <f t="shared" si="66"/>
        <v>TP397880</v>
      </c>
      <c r="J888" s="59">
        <f t="shared" ca="1" si="67"/>
        <v>45925</v>
      </c>
      <c r="K888" s="30">
        <f ca="1">LOOKUP(A888,'QALS - Inspection Lot Record'!A:A,'QALS - Inspection Lot Record'!I:I)</f>
        <v>0.64107638888888885</v>
      </c>
      <c r="L888" s="59">
        <f t="shared" ca="1" si="68"/>
        <v>45925</v>
      </c>
      <c r="M888" s="30">
        <f t="shared" ca="1" si="69"/>
        <v>0.6693634259259259</v>
      </c>
      <c r="N888" s="31"/>
      <c r="O888" s="31">
        <v>78.7</v>
      </c>
      <c r="P888" s="29">
        <v>80</v>
      </c>
      <c r="Q888" s="29">
        <v>90</v>
      </c>
    </row>
    <row r="889" spans="1:17" x14ac:dyDescent="0.35">
      <c r="A889" s="26">
        <v>40000002611</v>
      </c>
      <c r="B889" s="31">
        <v>1</v>
      </c>
      <c r="C889" s="29" t="str">
        <f>LOOKUP(A889,'QALS - Inspection Lot Record'!$A$2:$A$361,'QALS - Inspection Lot Record'!$O$2:$O$361)</f>
        <v>Metformin Tablets (100 MG)</v>
      </c>
      <c r="D889" s="31">
        <v>80</v>
      </c>
      <c r="E889" s="29" t="s">
        <v>407</v>
      </c>
      <c r="F889" s="29" t="str">
        <f>LOOKUP(A889,'QALS - Inspection Lot Record'!A:A,'QALS - Inspection Lot Record'!G:G)</f>
        <v>TP397880</v>
      </c>
      <c r="G889" s="59">
        <f ca="1">LOOKUP(A889,'QALS - Inspection Lot Record'!A:A,'QALS - Inspection Lot Record'!E:E)</f>
        <v>45925</v>
      </c>
      <c r="H889" s="34" t="str">
        <f t="shared" si="70"/>
        <v>A</v>
      </c>
      <c r="I889" s="29" t="str">
        <f t="shared" si="66"/>
        <v>TP397880</v>
      </c>
      <c r="J889" s="59">
        <f t="shared" ca="1" si="67"/>
        <v>45925</v>
      </c>
      <c r="K889" s="30">
        <f ca="1">LOOKUP(A889,'QALS - Inspection Lot Record'!A:A,'QALS - Inspection Lot Record'!I:I)</f>
        <v>0.64107638888888885</v>
      </c>
      <c r="L889" s="59">
        <f t="shared" ca="1" si="68"/>
        <v>45925</v>
      </c>
      <c r="M889" s="30">
        <f t="shared" ca="1" si="69"/>
        <v>0.67591435185185178</v>
      </c>
      <c r="N889" s="31"/>
      <c r="O889" s="31">
        <v>23.8</v>
      </c>
      <c r="P889" s="29">
        <v>23</v>
      </c>
      <c r="Q889" s="29">
        <v>25</v>
      </c>
    </row>
    <row r="890" spans="1:17" x14ac:dyDescent="0.35">
      <c r="A890" s="26">
        <v>40000002612</v>
      </c>
      <c r="B890" s="27">
        <v>1</v>
      </c>
      <c r="C890" s="29" t="str">
        <f>LOOKUP(A890,'QALS - Inspection Lot Record'!$A$2:$A$361,'QALS - Inspection Lot Record'!$O$2:$O$361)</f>
        <v>Ibuprofen Tablets (100 MG)</v>
      </c>
      <c r="D890" s="27">
        <v>10</v>
      </c>
      <c r="E890" s="26" t="s">
        <v>399</v>
      </c>
      <c r="F890" s="29" t="str">
        <f>LOOKUP(A890,'QALS - Inspection Lot Record'!A:A,'QALS - Inspection Lot Record'!G:G)</f>
        <v>YA284176</v>
      </c>
      <c r="G890" s="59">
        <f ca="1">LOOKUP(A890,'QALS - Inspection Lot Record'!A:A,'QALS - Inspection Lot Record'!E:E)</f>
        <v>45925</v>
      </c>
      <c r="H890" s="34" t="str">
        <f t="shared" si="70"/>
        <v>R</v>
      </c>
      <c r="I890" s="29" t="str">
        <f t="shared" si="66"/>
        <v>YA284176</v>
      </c>
      <c r="J890" s="59">
        <f t="shared" ca="1" si="67"/>
        <v>45925</v>
      </c>
      <c r="K890" s="30">
        <f ca="1">LOOKUP(A890,'QALS - Inspection Lot Record'!A:A,'QALS - Inspection Lot Record'!I:I)</f>
        <v>9.8298611111111114E-2</v>
      </c>
      <c r="L890" s="59">
        <f t="shared" ca="1" si="68"/>
        <v>45925</v>
      </c>
      <c r="M890" s="30">
        <f t="shared" ca="1" si="69"/>
        <v>0.13342592592592592</v>
      </c>
      <c r="N890" s="31"/>
      <c r="O890" s="31">
        <v>93.5</v>
      </c>
      <c r="P890" s="29">
        <v>95</v>
      </c>
      <c r="Q890" s="29">
        <v>102</v>
      </c>
    </row>
    <row r="891" spans="1:17" x14ac:dyDescent="0.35">
      <c r="A891" s="26">
        <v>40000002612</v>
      </c>
      <c r="B891" s="27">
        <v>1</v>
      </c>
      <c r="C891" s="29" t="str">
        <f>LOOKUP(A891,'QALS - Inspection Lot Record'!$A$2:$A$361,'QALS - Inspection Lot Record'!$O$2:$O$361)</f>
        <v>Ibuprofen Tablets (100 MG)</v>
      </c>
      <c r="D891" s="31">
        <v>20</v>
      </c>
      <c r="E891" s="29" t="s">
        <v>400</v>
      </c>
      <c r="F891" s="29" t="str">
        <f>LOOKUP(A891,'QALS - Inspection Lot Record'!A:A,'QALS - Inspection Lot Record'!G:G)</f>
        <v>YA284176</v>
      </c>
      <c r="G891" s="59">
        <f ca="1">LOOKUP(A891,'QALS - Inspection Lot Record'!A:A,'QALS - Inspection Lot Record'!E:E)</f>
        <v>45925</v>
      </c>
      <c r="H891" s="34" t="str">
        <f t="shared" si="70"/>
        <v>R</v>
      </c>
      <c r="I891" s="29" t="str">
        <f t="shared" si="66"/>
        <v>YA284176</v>
      </c>
      <c r="J891" s="59">
        <f t="shared" ca="1" si="67"/>
        <v>45925</v>
      </c>
      <c r="K891" s="30">
        <f ca="1">LOOKUP(A891,'QALS - Inspection Lot Record'!A:A,'QALS - Inspection Lot Record'!I:I)</f>
        <v>9.8298611111111114E-2</v>
      </c>
      <c r="L891" s="59">
        <f t="shared" ca="1" si="68"/>
        <v>45925</v>
      </c>
      <c r="M891" s="30">
        <f t="shared" ca="1" si="69"/>
        <v>0.12842592592592594</v>
      </c>
      <c r="N891" s="31"/>
      <c r="O891" s="31">
        <v>2.4</v>
      </c>
      <c r="P891" s="29">
        <v>3.5</v>
      </c>
      <c r="Q891" s="29">
        <v>11</v>
      </c>
    </row>
    <row r="892" spans="1:17" x14ac:dyDescent="0.35">
      <c r="A892" s="26">
        <v>40000002612</v>
      </c>
      <c r="B892" s="31">
        <v>1</v>
      </c>
      <c r="C892" s="29" t="str">
        <f>LOOKUP(A892,'QALS - Inspection Lot Record'!$A$2:$A$361,'QALS - Inspection Lot Record'!$O$2:$O$361)</f>
        <v>Ibuprofen Tablets (100 MG)</v>
      </c>
      <c r="D892" s="31">
        <v>30</v>
      </c>
      <c r="E892" s="29" t="s">
        <v>401</v>
      </c>
      <c r="F892" s="29" t="str">
        <f>LOOKUP(A892,'QALS - Inspection Lot Record'!A:A,'QALS - Inspection Lot Record'!G:G)</f>
        <v>YA284176</v>
      </c>
      <c r="G892" s="59">
        <f ca="1">LOOKUP(A892,'QALS - Inspection Lot Record'!A:A,'QALS - Inspection Lot Record'!E:E)</f>
        <v>45925</v>
      </c>
      <c r="H892" s="34" t="str">
        <f t="shared" si="70"/>
        <v>A</v>
      </c>
      <c r="I892" s="29" t="str">
        <f t="shared" si="66"/>
        <v>YA284176</v>
      </c>
      <c r="J892" s="59">
        <f t="shared" ca="1" si="67"/>
        <v>45925</v>
      </c>
      <c r="K892" s="30">
        <f ca="1">LOOKUP(A892,'QALS - Inspection Lot Record'!A:A,'QALS - Inspection Lot Record'!I:I)</f>
        <v>9.8298611111111114E-2</v>
      </c>
      <c r="L892" s="59">
        <f t="shared" ca="1" si="68"/>
        <v>45925</v>
      </c>
      <c r="M892" s="30">
        <f t="shared" ca="1" si="69"/>
        <v>0.12710648148148149</v>
      </c>
      <c r="N892" s="11" t="s">
        <v>402</v>
      </c>
      <c r="O892" s="31"/>
      <c r="P892" s="29"/>
      <c r="Q892" s="29"/>
    </row>
    <row r="893" spans="1:17" x14ac:dyDescent="0.35">
      <c r="A893" s="26">
        <v>40000002612</v>
      </c>
      <c r="B893" s="31">
        <v>1</v>
      </c>
      <c r="C893" s="29" t="str">
        <f>LOOKUP(A893,'QALS - Inspection Lot Record'!$A$2:$A$361,'QALS - Inspection Lot Record'!$O$2:$O$361)</f>
        <v>Ibuprofen Tablets (100 MG)</v>
      </c>
      <c r="D893" s="31">
        <v>40</v>
      </c>
      <c r="E893" s="29" t="s">
        <v>403</v>
      </c>
      <c r="F893" s="29" t="str">
        <f>LOOKUP(A893,'QALS - Inspection Lot Record'!A:A,'QALS - Inspection Lot Record'!G:G)</f>
        <v>YA284176</v>
      </c>
      <c r="G893" s="59">
        <f ca="1">LOOKUP(A893,'QALS - Inspection Lot Record'!A:A,'QALS - Inspection Lot Record'!E:E)</f>
        <v>45925</v>
      </c>
      <c r="H893" s="34" t="str">
        <f t="shared" si="70"/>
        <v>A</v>
      </c>
      <c r="I893" s="29" t="str">
        <f t="shared" si="66"/>
        <v>YA284176</v>
      </c>
      <c r="J893" s="59">
        <f t="shared" ca="1" si="67"/>
        <v>45925</v>
      </c>
      <c r="K893" s="30">
        <f ca="1">LOOKUP(A893,'QALS - Inspection Lot Record'!A:A,'QALS - Inspection Lot Record'!I:I)</f>
        <v>9.8298611111111114E-2</v>
      </c>
      <c r="L893" s="59">
        <f t="shared" ca="1" si="68"/>
        <v>45925</v>
      </c>
      <c r="M893" s="30">
        <f t="shared" ca="1" si="69"/>
        <v>0.1302662037037037</v>
      </c>
      <c r="N893" s="31"/>
      <c r="O893" s="31">
        <v>0.5</v>
      </c>
      <c r="P893" s="29">
        <v>0</v>
      </c>
      <c r="Q893" s="29">
        <v>1</v>
      </c>
    </row>
    <row r="894" spans="1:17" x14ac:dyDescent="0.35">
      <c r="A894" s="26">
        <v>40000002612</v>
      </c>
      <c r="B894" s="31">
        <v>1</v>
      </c>
      <c r="C894" s="29" t="str">
        <f>LOOKUP(A894,'QALS - Inspection Lot Record'!$A$2:$A$361,'QALS - Inspection Lot Record'!$O$2:$O$361)</f>
        <v>Ibuprofen Tablets (100 MG)</v>
      </c>
      <c r="D894" s="31">
        <v>50</v>
      </c>
      <c r="E894" s="29" t="s">
        <v>404</v>
      </c>
      <c r="F894" s="29" t="str">
        <f>LOOKUP(A894,'QALS - Inspection Lot Record'!A:A,'QALS - Inspection Lot Record'!G:G)</f>
        <v>YA284176</v>
      </c>
      <c r="G894" s="59">
        <f ca="1">LOOKUP(A894,'QALS - Inspection Lot Record'!A:A,'QALS - Inspection Lot Record'!E:E)</f>
        <v>45925</v>
      </c>
      <c r="H894" s="34" t="str">
        <f t="shared" si="70"/>
        <v>R</v>
      </c>
      <c r="I894" s="29" t="str">
        <f t="shared" si="66"/>
        <v>YA284176</v>
      </c>
      <c r="J894" s="59">
        <f t="shared" ca="1" si="67"/>
        <v>45925</v>
      </c>
      <c r="K894" s="30">
        <f ca="1">LOOKUP(A894,'QALS - Inspection Lot Record'!A:A,'QALS - Inspection Lot Record'!I:I)</f>
        <v>9.8298611111111114E-2</v>
      </c>
      <c r="L894" s="59">
        <f t="shared" ca="1" si="68"/>
        <v>45925</v>
      </c>
      <c r="M894" s="30">
        <f t="shared" ca="1" si="69"/>
        <v>0.11747685185185186</v>
      </c>
      <c r="N894" s="31"/>
      <c r="O894" s="31">
        <v>63</v>
      </c>
      <c r="P894" s="29">
        <v>40</v>
      </c>
      <c r="Q894" s="29">
        <v>60</v>
      </c>
    </row>
    <row r="895" spans="1:17" x14ac:dyDescent="0.35">
      <c r="A895" s="26">
        <v>40000002612</v>
      </c>
      <c r="B895" s="31">
        <v>1</v>
      </c>
      <c r="C895" s="29" t="str">
        <f>LOOKUP(A895,'QALS - Inspection Lot Record'!$A$2:$A$361,'QALS - Inspection Lot Record'!$O$2:$O$361)</f>
        <v>Ibuprofen Tablets (100 MG)</v>
      </c>
      <c r="D895" s="31">
        <v>60</v>
      </c>
      <c r="E895" s="29" t="s">
        <v>405</v>
      </c>
      <c r="F895" s="29" t="str">
        <f>LOOKUP(A895,'QALS - Inspection Lot Record'!A:A,'QALS - Inspection Lot Record'!G:G)</f>
        <v>YA284176</v>
      </c>
      <c r="G895" s="59">
        <f ca="1">LOOKUP(A895,'QALS - Inspection Lot Record'!A:A,'QALS - Inspection Lot Record'!E:E)</f>
        <v>45925</v>
      </c>
      <c r="H895" s="34" t="str">
        <f t="shared" si="70"/>
        <v>A</v>
      </c>
      <c r="I895" s="29" t="str">
        <f t="shared" si="66"/>
        <v>YA284176</v>
      </c>
      <c r="J895" s="59">
        <f t="shared" ca="1" si="67"/>
        <v>45925</v>
      </c>
      <c r="K895" s="30">
        <f ca="1">LOOKUP(A895,'QALS - Inspection Lot Record'!A:A,'QALS - Inspection Lot Record'!I:I)</f>
        <v>9.8298611111111114E-2</v>
      </c>
      <c r="L895" s="59">
        <f t="shared" ca="1" si="68"/>
        <v>45925</v>
      </c>
      <c r="M895" s="30">
        <f t="shared" ca="1" si="69"/>
        <v>0.12225694444444445</v>
      </c>
      <c r="N895" s="31"/>
      <c r="O895" s="31">
        <v>78</v>
      </c>
      <c r="P895" s="29">
        <v>70</v>
      </c>
      <c r="Q895" s="29">
        <v>85</v>
      </c>
    </row>
    <row r="896" spans="1:17" x14ac:dyDescent="0.35">
      <c r="A896" s="26">
        <v>40000002612</v>
      </c>
      <c r="B896" s="31">
        <v>1</v>
      </c>
      <c r="C896" s="29" t="str">
        <f>LOOKUP(A896,'QALS - Inspection Lot Record'!$A$2:$A$361,'QALS - Inspection Lot Record'!$O$2:$O$361)</f>
        <v>Ibuprofen Tablets (100 MG)</v>
      </c>
      <c r="D896" s="31">
        <v>70</v>
      </c>
      <c r="E896" s="29" t="s">
        <v>406</v>
      </c>
      <c r="F896" s="29" t="str">
        <f>LOOKUP(A896,'QALS - Inspection Lot Record'!A:A,'QALS - Inspection Lot Record'!G:G)</f>
        <v>YA284176</v>
      </c>
      <c r="G896" s="59">
        <f ca="1">LOOKUP(A896,'QALS - Inspection Lot Record'!A:A,'QALS - Inspection Lot Record'!E:E)</f>
        <v>45925</v>
      </c>
      <c r="H896" s="34" t="str">
        <f t="shared" si="70"/>
        <v>A</v>
      </c>
      <c r="I896" s="29" t="str">
        <f t="shared" si="66"/>
        <v>YA284176</v>
      </c>
      <c r="J896" s="59">
        <f t="shared" ca="1" si="67"/>
        <v>45925</v>
      </c>
      <c r="K896" s="30">
        <f ca="1">LOOKUP(A896,'QALS - Inspection Lot Record'!A:A,'QALS - Inspection Lot Record'!I:I)</f>
        <v>9.8298611111111114E-2</v>
      </c>
      <c r="L896" s="59">
        <f t="shared" ca="1" si="68"/>
        <v>45925</v>
      </c>
      <c r="M896" s="30">
        <f t="shared" ca="1" si="69"/>
        <v>0.12505787037037036</v>
      </c>
      <c r="N896" s="31"/>
      <c r="O896" s="31">
        <v>88</v>
      </c>
      <c r="P896" s="29">
        <v>80</v>
      </c>
      <c r="Q896" s="29">
        <v>90</v>
      </c>
    </row>
    <row r="897" spans="1:17" x14ac:dyDescent="0.35">
      <c r="A897" s="26">
        <v>40000002612</v>
      </c>
      <c r="B897" s="31">
        <v>1</v>
      </c>
      <c r="C897" s="29" t="str">
        <f>LOOKUP(A897,'QALS - Inspection Lot Record'!$A$2:$A$361,'QALS - Inspection Lot Record'!$O$2:$O$361)</f>
        <v>Ibuprofen Tablets (100 MG)</v>
      </c>
      <c r="D897" s="31">
        <v>80</v>
      </c>
      <c r="E897" s="29" t="s">
        <v>407</v>
      </c>
      <c r="F897" s="29" t="str">
        <f>LOOKUP(A897,'QALS - Inspection Lot Record'!A:A,'QALS - Inspection Lot Record'!G:G)</f>
        <v>YA284176</v>
      </c>
      <c r="G897" s="59">
        <f ca="1">LOOKUP(A897,'QALS - Inspection Lot Record'!A:A,'QALS - Inspection Lot Record'!E:E)</f>
        <v>45925</v>
      </c>
      <c r="H897" s="34" t="str">
        <f t="shared" si="70"/>
        <v>R</v>
      </c>
      <c r="I897" s="29" t="str">
        <f t="shared" si="66"/>
        <v>YA284176</v>
      </c>
      <c r="J897" s="59">
        <f t="shared" ca="1" si="67"/>
        <v>45925</v>
      </c>
      <c r="K897" s="30">
        <f ca="1">LOOKUP(A897,'QALS - Inspection Lot Record'!A:A,'QALS - Inspection Lot Record'!I:I)</f>
        <v>9.8298611111111114E-2</v>
      </c>
      <c r="L897" s="59">
        <f t="shared" ca="1" si="68"/>
        <v>45925</v>
      </c>
      <c r="M897" s="30">
        <f t="shared" ca="1" si="69"/>
        <v>0.13166666666666665</v>
      </c>
      <c r="N897" s="31"/>
      <c r="O897" s="31">
        <v>21.8</v>
      </c>
      <c r="P897" s="29">
        <v>23</v>
      </c>
      <c r="Q897" s="29">
        <v>25</v>
      </c>
    </row>
    <row r="898" spans="1:17" x14ac:dyDescent="0.35">
      <c r="A898" s="26">
        <v>40000002613</v>
      </c>
      <c r="B898" s="27">
        <v>1</v>
      </c>
      <c r="C898" s="29" t="str">
        <f>LOOKUP(A898,'QALS - Inspection Lot Record'!$A$2:$A$361,'QALS - Inspection Lot Record'!$O$2:$O$361)</f>
        <v>Metformin Tablets (500 MG)</v>
      </c>
      <c r="D898" s="27">
        <v>10</v>
      </c>
      <c r="E898" s="26" t="s">
        <v>399</v>
      </c>
      <c r="F898" s="29" t="str">
        <f>LOOKUP(A898,'QALS - Inspection Lot Record'!A:A,'QALS - Inspection Lot Record'!G:G)</f>
        <v>AB406550</v>
      </c>
      <c r="G898" s="59">
        <f ca="1">LOOKUP(A898,'QALS - Inspection Lot Record'!A:A,'QALS - Inspection Lot Record'!E:E)</f>
        <v>45926</v>
      </c>
      <c r="H898" s="34" t="str">
        <f t="shared" si="70"/>
        <v>A</v>
      </c>
      <c r="I898" s="29" t="str">
        <f t="shared" ref="I898:I961" si="71">F898</f>
        <v>AB406550</v>
      </c>
      <c r="J898" s="59">
        <f t="shared" ref="J898:J961" ca="1" si="72">G898</f>
        <v>45926</v>
      </c>
      <c r="K898" s="30">
        <f ca="1">LOOKUP(A898,'QALS - Inspection Lot Record'!A:A,'QALS - Inspection Lot Record'!I:I)</f>
        <v>0.79491898148148143</v>
      </c>
      <c r="L898" s="59">
        <f t="shared" ref="L898:L961" ca="1" si="73">G898</f>
        <v>45926</v>
      </c>
      <c r="M898" s="30">
        <f t="shared" ref="M898:M961" ca="1" si="74">K898+TIME(0,RANDBETWEEN(25,50),RANDBETWEEN(0,59))</f>
        <v>0.81699074074074074</v>
      </c>
      <c r="N898" s="31"/>
      <c r="O898" s="31">
        <v>100</v>
      </c>
      <c r="P898" s="29">
        <v>95</v>
      </c>
      <c r="Q898" s="29">
        <v>105</v>
      </c>
    </row>
    <row r="899" spans="1:17" x14ac:dyDescent="0.35">
      <c r="A899" s="26">
        <v>40000002613</v>
      </c>
      <c r="B899" s="27">
        <v>1</v>
      </c>
      <c r="C899" s="29" t="str">
        <f>LOOKUP(A899,'QALS - Inspection Lot Record'!$A$2:$A$361,'QALS - Inspection Lot Record'!$O$2:$O$361)</f>
        <v>Metformin Tablets (500 MG)</v>
      </c>
      <c r="D899" s="31">
        <v>20</v>
      </c>
      <c r="E899" s="29" t="s">
        <v>400</v>
      </c>
      <c r="F899" s="29" t="str">
        <f>LOOKUP(A899,'QALS - Inspection Lot Record'!A:A,'QALS - Inspection Lot Record'!G:G)</f>
        <v>AB406550</v>
      </c>
      <c r="G899" s="59">
        <f ca="1">LOOKUP(A899,'QALS - Inspection Lot Record'!A:A,'QALS - Inspection Lot Record'!E:E)</f>
        <v>45926</v>
      </c>
      <c r="H899" s="34" t="str">
        <f t="shared" si="70"/>
        <v>A</v>
      </c>
      <c r="I899" s="29" t="str">
        <f t="shared" si="71"/>
        <v>AB406550</v>
      </c>
      <c r="J899" s="59">
        <f t="shared" ca="1" si="72"/>
        <v>45926</v>
      </c>
      <c r="K899" s="30">
        <f ca="1">LOOKUP(A899,'QALS - Inspection Lot Record'!A:A,'QALS - Inspection Lot Record'!I:I)</f>
        <v>0.79491898148148143</v>
      </c>
      <c r="L899" s="59">
        <f t="shared" ca="1" si="73"/>
        <v>45926</v>
      </c>
      <c r="M899" s="30">
        <f t="shared" ca="1" si="74"/>
        <v>0.82229166666666664</v>
      </c>
      <c r="N899" s="31"/>
      <c r="O899" s="31">
        <v>7.25</v>
      </c>
      <c r="P899" s="29">
        <v>3.5</v>
      </c>
      <c r="Q899" s="29">
        <v>11</v>
      </c>
    </row>
    <row r="900" spans="1:17" x14ac:dyDescent="0.35">
      <c r="A900" s="26">
        <v>40000002613</v>
      </c>
      <c r="B900" s="31">
        <v>1</v>
      </c>
      <c r="C900" s="29" t="str">
        <f>LOOKUP(A900,'QALS - Inspection Lot Record'!$A$2:$A$361,'QALS - Inspection Lot Record'!$O$2:$O$361)</f>
        <v>Metformin Tablets (500 MG)</v>
      </c>
      <c r="D900" s="31">
        <v>30</v>
      </c>
      <c r="E900" s="29" t="s">
        <v>401</v>
      </c>
      <c r="F900" s="29" t="str">
        <f>LOOKUP(A900,'QALS - Inspection Lot Record'!A:A,'QALS - Inspection Lot Record'!G:G)</f>
        <v>AB406550</v>
      </c>
      <c r="G900" s="59">
        <f ca="1">LOOKUP(A900,'QALS - Inspection Lot Record'!A:A,'QALS - Inspection Lot Record'!E:E)</f>
        <v>45926</v>
      </c>
      <c r="H900" s="34" t="str">
        <f t="shared" si="70"/>
        <v>A</v>
      </c>
      <c r="I900" s="29" t="str">
        <f t="shared" si="71"/>
        <v>AB406550</v>
      </c>
      <c r="J900" s="59">
        <f t="shared" ca="1" si="72"/>
        <v>45926</v>
      </c>
      <c r="K900" s="30">
        <f ca="1">LOOKUP(A900,'QALS - Inspection Lot Record'!A:A,'QALS - Inspection Lot Record'!I:I)</f>
        <v>0.79491898148148143</v>
      </c>
      <c r="L900" s="59">
        <f t="shared" ca="1" si="73"/>
        <v>45926</v>
      </c>
      <c r="M900" s="30">
        <f t="shared" ca="1" si="74"/>
        <v>0.8128587962962962</v>
      </c>
      <c r="N900" s="11" t="s">
        <v>402</v>
      </c>
      <c r="O900" s="31"/>
      <c r="P900" s="29"/>
      <c r="Q900" s="29"/>
    </row>
    <row r="901" spans="1:17" x14ac:dyDescent="0.35">
      <c r="A901" s="26">
        <v>40000002613</v>
      </c>
      <c r="B901" s="31">
        <v>1</v>
      </c>
      <c r="C901" s="29" t="str">
        <f>LOOKUP(A901,'QALS - Inspection Lot Record'!$A$2:$A$361,'QALS - Inspection Lot Record'!$O$2:$O$361)</f>
        <v>Metformin Tablets (500 MG)</v>
      </c>
      <c r="D901" s="31">
        <v>40</v>
      </c>
      <c r="E901" s="29" t="s">
        <v>403</v>
      </c>
      <c r="F901" s="29" t="str">
        <f>LOOKUP(A901,'QALS - Inspection Lot Record'!A:A,'QALS - Inspection Lot Record'!G:G)</f>
        <v>AB406550</v>
      </c>
      <c r="G901" s="59">
        <f ca="1">LOOKUP(A901,'QALS - Inspection Lot Record'!A:A,'QALS - Inspection Lot Record'!E:E)</f>
        <v>45926</v>
      </c>
      <c r="H901" s="34" t="str">
        <f t="shared" si="70"/>
        <v>A</v>
      </c>
      <c r="I901" s="29" t="str">
        <f t="shared" si="71"/>
        <v>AB406550</v>
      </c>
      <c r="J901" s="59">
        <f t="shared" ca="1" si="72"/>
        <v>45926</v>
      </c>
      <c r="K901" s="30">
        <f ca="1">LOOKUP(A901,'QALS - Inspection Lot Record'!A:A,'QALS - Inspection Lot Record'!I:I)</f>
        <v>0.79491898148148143</v>
      </c>
      <c r="L901" s="59">
        <f t="shared" ca="1" si="73"/>
        <v>45926</v>
      </c>
      <c r="M901" s="30">
        <f t="shared" ca="1" si="74"/>
        <v>0.82636574074074065</v>
      </c>
      <c r="N901" s="31"/>
      <c r="O901" s="31">
        <v>0</v>
      </c>
      <c r="P901" s="29">
        <v>0</v>
      </c>
      <c r="Q901" s="29">
        <v>2</v>
      </c>
    </row>
    <row r="902" spans="1:17" x14ac:dyDescent="0.35">
      <c r="A902" s="26">
        <v>40000002613</v>
      </c>
      <c r="B902" s="31">
        <v>1</v>
      </c>
      <c r="C902" s="29" t="str">
        <f>LOOKUP(A902,'QALS - Inspection Lot Record'!$A$2:$A$361,'QALS - Inspection Lot Record'!$O$2:$O$361)</f>
        <v>Metformin Tablets (500 MG)</v>
      </c>
      <c r="D902" s="31">
        <v>50</v>
      </c>
      <c r="E902" s="29" t="s">
        <v>404</v>
      </c>
      <c r="F902" s="29" t="str">
        <f>LOOKUP(A902,'QALS - Inspection Lot Record'!A:A,'QALS - Inspection Lot Record'!G:G)</f>
        <v>AB406550</v>
      </c>
      <c r="G902" s="59">
        <f ca="1">LOOKUP(A902,'QALS - Inspection Lot Record'!A:A,'QALS - Inspection Lot Record'!E:E)</f>
        <v>45926</v>
      </c>
      <c r="H902" s="34" t="str">
        <f t="shared" si="70"/>
        <v>A</v>
      </c>
      <c r="I902" s="29" t="str">
        <f t="shared" si="71"/>
        <v>AB406550</v>
      </c>
      <c r="J902" s="59">
        <f t="shared" ca="1" si="72"/>
        <v>45926</v>
      </c>
      <c r="K902" s="30">
        <f ca="1">LOOKUP(A902,'QALS - Inspection Lot Record'!A:A,'QALS - Inspection Lot Record'!I:I)</f>
        <v>0.79491898148148143</v>
      </c>
      <c r="L902" s="59">
        <f t="shared" ca="1" si="73"/>
        <v>45926</v>
      </c>
      <c r="M902" s="30">
        <f t="shared" ca="1" si="74"/>
        <v>0.81737268518518513</v>
      </c>
      <c r="N902" s="31"/>
      <c r="O902" s="31">
        <v>50</v>
      </c>
      <c r="P902" s="29">
        <v>40</v>
      </c>
      <c r="Q902" s="29">
        <v>60</v>
      </c>
    </row>
    <row r="903" spans="1:17" x14ac:dyDescent="0.35">
      <c r="A903" s="26">
        <v>40000002613</v>
      </c>
      <c r="B903" s="31">
        <v>1</v>
      </c>
      <c r="C903" s="29" t="str">
        <f>LOOKUP(A903,'QALS - Inspection Lot Record'!$A$2:$A$361,'QALS - Inspection Lot Record'!$O$2:$O$361)</f>
        <v>Metformin Tablets (500 MG)</v>
      </c>
      <c r="D903" s="31">
        <v>60</v>
      </c>
      <c r="E903" s="29" t="s">
        <v>405</v>
      </c>
      <c r="F903" s="29" t="str">
        <f>LOOKUP(A903,'QALS - Inspection Lot Record'!A:A,'QALS - Inspection Lot Record'!G:G)</f>
        <v>AB406550</v>
      </c>
      <c r="G903" s="59">
        <f ca="1">LOOKUP(A903,'QALS - Inspection Lot Record'!A:A,'QALS - Inspection Lot Record'!E:E)</f>
        <v>45926</v>
      </c>
      <c r="H903" s="34" t="str">
        <f t="shared" si="70"/>
        <v>A</v>
      </c>
      <c r="I903" s="29" t="str">
        <f t="shared" si="71"/>
        <v>AB406550</v>
      </c>
      <c r="J903" s="59">
        <f t="shared" ca="1" si="72"/>
        <v>45926</v>
      </c>
      <c r="K903" s="30">
        <f ca="1">LOOKUP(A903,'QALS - Inspection Lot Record'!A:A,'QALS - Inspection Lot Record'!I:I)</f>
        <v>0.79491898148148143</v>
      </c>
      <c r="L903" s="59">
        <f t="shared" ca="1" si="73"/>
        <v>45926</v>
      </c>
      <c r="M903" s="30">
        <f t="shared" ca="1" si="74"/>
        <v>0.81349537037037034</v>
      </c>
      <c r="N903" s="31"/>
      <c r="O903" s="31">
        <v>77.5</v>
      </c>
      <c r="P903" s="29">
        <v>70</v>
      </c>
      <c r="Q903" s="29">
        <v>85</v>
      </c>
    </row>
    <row r="904" spans="1:17" x14ac:dyDescent="0.35">
      <c r="A904" s="26">
        <v>40000002613</v>
      </c>
      <c r="B904" s="31">
        <v>1</v>
      </c>
      <c r="C904" s="29" t="str">
        <f>LOOKUP(A904,'QALS - Inspection Lot Record'!$A$2:$A$361,'QALS - Inspection Lot Record'!$O$2:$O$361)</f>
        <v>Metformin Tablets (500 MG)</v>
      </c>
      <c r="D904" s="31">
        <v>70</v>
      </c>
      <c r="E904" s="29" t="s">
        <v>406</v>
      </c>
      <c r="F904" s="29" t="str">
        <f>LOOKUP(A904,'QALS - Inspection Lot Record'!A:A,'QALS - Inspection Lot Record'!G:G)</f>
        <v>AB406550</v>
      </c>
      <c r="G904" s="59">
        <f ca="1">LOOKUP(A904,'QALS - Inspection Lot Record'!A:A,'QALS - Inspection Lot Record'!E:E)</f>
        <v>45926</v>
      </c>
      <c r="H904" s="34" t="str">
        <f t="shared" si="70"/>
        <v>A</v>
      </c>
      <c r="I904" s="29" t="str">
        <f t="shared" si="71"/>
        <v>AB406550</v>
      </c>
      <c r="J904" s="59">
        <f t="shared" ca="1" si="72"/>
        <v>45926</v>
      </c>
      <c r="K904" s="30">
        <f ca="1">LOOKUP(A904,'QALS - Inspection Lot Record'!A:A,'QALS - Inspection Lot Record'!I:I)</f>
        <v>0.79491898148148143</v>
      </c>
      <c r="L904" s="59">
        <f t="shared" ca="1" si="73"/>
        <v>45926</v>
      </c>
      <c r="M904" s="30">
        <f t="shared" ca="1" si="74"/>
        <v>0.81509259259259259</v>
      </c>
      <c r="N904" s="31"/>
      <c r="O904" s="31">
        <v>85</v>
      </c>
      <c r="P904" s="29">
        <v>80</v>
      </c>
      <c r="Q904" s="29">
        <v>90</v>
      </c>
    </row>
    <row r="905" spans="1:17" x14ac:dyDescent="0.35">
      <c r="A905" s="26">
        <v>40000002613</v>
      </c>
      <c r="B905" s="31">
        <v>1</v>
      </c>
      <c r="C905" s="29" t="str">
        <f>LOOKUP(A905,'QALS - Inspection Lot Record'!$A$2:$A$361,'QALS - Inspection Lot Record'!$O$2:$O$361)</f>
        <v>Metformin Tablets (500 MG)</v>
      </c>
      <c r="D905" s="31">
        <v>80</v>
      </c>
      <c r="E905" s="29" t="s">
        <v>407</v>
      </c>
      <c r="F905" s="29" t="str">
        <f>LOOKUP(A905,'QALS - Inspection Lot Record'!A:A,'QALS - Inspection Lot Record'!G:G)</f>
        <v>AB406550</v>
      </c>
      <c r="G905" s="59">
        <f ca="1">LOOKUP(A905,'QALS - Inspection Lot Record'!A:A,'QALS - Inspection Lot Record'!E:E)</f>
        <v>45926</v>
      </c>
      <c r="H905" s="34" t="str">
        <f t="shared" si="70"/>
        <v>A</v>
      </c>
      <c r="I905" s="29" t="str">
        <f t="shared" si="71"/>
        <v>AB406550</v>
      </c>
      <c r="J905" s="59">
        <f t="shared" ca="1" si="72"/>
        <v>45926</v>
      </c>
      <c r="K905" s="30">
        <f ca="1">LOOKUP(A905,'QALS - Inspection Lot Record'!A:A,'QALS - Inspection Lot Record'!I:I)</f>
        <v>0.79491898148148143</v>
      </c>
      <c r="L905" s="59">
        <f t="shared" ca="1" si="73"/>
        <v>45926</v>
      </c>
      <c r="M905" s="30">
        <f t="shared" ca="1" si="74"/>
        <v>0.81490740740740741</v>
      </c>
      <c r="N905" s="31"/>
      <c r="O905" s="31">
        <v>25.5</v>
      </c>
      <c r="P905" s="29">
        <v>23</v>
      </c>
      <c r="Q905" s="29">
        <v>28</v>
      </c>
    </row>
    <row r="906" spans="1:17" x14ac:dyDescent="0.35">
      <c r="A906" s="26">
        <v>40000002614</v>
      </c>
      <c r="B906" s="27">
        <v>1</v>
      </c>
      <c r="C906" s="29" t="str">
        <f>LOOKUP(A906,'QALS - Inspection Lot Record'!$A$2:$A$361,'QALS - Inspection Lot Record'!$O$2:$O$361)</f>
        <v>Metformin Tablets (100 MG)</v>
      </c>
      <c r="D906" s="27">
        <v>10</v>
      </c>
      <c r="E906" s="26" t="s">
        <v>399</v>
      </c>
      <c r="F906" s="29" t="str">
        <f>LOOKUP(A906,'QALS - Inspection Lot Record'!A:A,'QALS - Inspection Lot Record'!G:G)</f>
        <v>YA284176</v>
      </c>
      <c r="G906" s="59">
        <f ca="1">LOOKUP(A906,'QALS - Inspection Lot Record'!A:A,'QALS - Inspection Lot Record'!E:E)</f>
        <v>45926</v>
      </c>
      <c r="H906" s="34" t="str">
        <f t="shared" ref="H906:H969" si="75">IF(AND(P906&lt;=O906,O906&lt;=Q906),"A","R")</f>
        <v>A</v>
      </c>
      <c r="I906" s="29" t="str">
        <f t="shared" si="71"/>
        <v>YA284176</v>
      </c>
      <c r="J906" s="59">
        <f t="shared" ca="1" si="72"/>
        <v>45926</v>
      </c>
      <c r="K906" s="30">
        <f ca="1">LOOKUP(A906,'QALS - Inspection Lot Record'!A:A,'QALS - Inspection Lot Record'!I:I)</f>
        <v>1.6423611111111111E-2</v>
      </c>
      <c r="L906" s="59">
        <f t="shared" ca="1" si="73"/>
        <v>45926</v>
      </c>
      <c r="M906" s="30">
        <f t="shared" ca="1" si="74"/>
        <v>5.0833333333333335E-2</v>
      </c>
      <c r="N906" s="31"/>
      <c r="O906" s="31">
        <v>98.5</v>
      </c>
      <c r="P906" s="29">
        <v>95</v>
      </c>
      <c r="Q906" s="29">
        <v>102</v>
      </c>
    </row>
    <row r="907" spans="1:17" x14ac:dyDescent="0.35">
      <c r="A907" s="26">
        <v>40000002614</v>
      </c>
      <c r="B907" s="27">
        <v>1</v>
      </c>
      <c r="C907" s="29" t="str">
        <f>LOOKUP(A907,'QALS - Inspection Lot Record'!$A$2:$A$361,'QALS - Inspection Lot Record'!$O$2:$O$361)</f>
        <v>Metformin Tablets (100 MG)</v>
      </c>
      <c r="D907" s="31">
        <v>20</v>
      </c>
      <c r="E907" s="29" t="s">
        <v>400</v>
      </c>
      <c r="F907" s="29" t="str">
        <f>LOOKUP(A907,'QALS - Inspection Lot Record'!A:A,'QALS - Inspection Lot Record'!G:G)</f>
        <v>YA284176</v>
      </c>
      <c r="G907" s="59">
        <f ca="1">LOOKUP(A907,'QALS - Inspection Lot Record'!A:A,'QALS - Inspection Lot Record'!E:E)</f>
        <v>45926</v>
      </c>
      <c r="H907" s="34" t="str">
        <f t="shared" si="75"/>
        <v>A</v>
      </c>
      <c r="I907" s="29" t="str">
        <f t="shared" si="71"/>
        <v>YA284176</v>
      </c>
      <c r="J907" s="59">
        <f t="shared" ca="1" si="72"/>
        <v>45926</v>
      </c>
      <c r="K907" s="30">
        <f ca="1">LOOKUP(A907,'QALS - Inspection Lot Record'!A:A,'QALS - Inspection Lot Record'!I:I)</f>
        <v>1.6423611111111111E-2</v>
      </c>
      <c r="L907" s="59">
        <f t="shared" ca="1" si="73"/>
        <v>45926</v>
      </c>
      <c r="M907" s="30">
        <f t="shared" ca="1" si="74"/>
        <v>3.528935185185185E-2</v>
      </c>
      <c r="N907" s="31"/>
      <c r="O907" s="31">
        <v>7.25</v>
      </c>
      <c r="P907" s="29">
        <v>3.5</v>
      </c>
      <c r="Q907" s="29">
        <v>11</v>
      </c>
    </row>
    <row r="908" spans="1:17" x14ac:dyDescent="0.35">
      <c r="A908" s="26">
        <v>40000002614</v>
      </c>
      <c r="B908" s="31">
        <v>1</v>
      </c>
      <c r="C908" s="29" t="str">
        <f>LOOKUP(A908,'QALS - Inspection Lot Record'!$A$2:$A$361,'QALS - Inspection Lot Record'!$O$2:$O$361)</f>
        <v>Metformin Tablets (100 MG)</v>
      </c>
      <c r="D908" s="31">
        <v>30</v>
      </c>
      <c r="E908" s="29" t="s">
        <v>401</v>
      </c>
      <c r="F908" s="29" t="str">
        <f>LOOKUP(A908,'QALS - Inspection Lot Record'!A:A,'QALS - Inspection Lot Record'!G:G)</f>
        <v>YA284176</v>
      </c>
      <c r="G908" s="59">
        <f ca="1">LOOKUP(A908,'QALS - Inspection Lot Record'!A:A,'QALS - Inspection Lot Record'!E:E)</f>
        <v>45926</v>
      </c>
      <c r="H908" s="34" t="str">
        <f t="shared" si="75"/>
        <v>A</v>
      </c>
      <c r="I908" s="29" t="str">
        <f t="shared" si="71"/>
        <v>YA284176</v>
      </c>
      <c r="J908" s="59">
        <f t="shared" ca="1" si="72"/>
        <v>45926</v>
      </c>
      <c r="K908" s="30">
        <f ca="1">LOOKUP(A908,'QALS - Inspection Lot Record'!A:A,'QALS - Inspection Lot Record'!I:I)</f>
        <v>1.6423611111111111E-2</v>
      </c>
      <c r="L908" s="59">
        <f t="shared" ca="1" si="73"/>
        <v>45926</v>
      </c>
      <c r="M908" s="30">
        <f t="shared" ca="1" si="74"/>
        <v>4.3171296296296298E-2</v>
      </c>
      <c r="N908" s="11" t="s">
        <v>402</v>
      </c>
      <c r="O908" s="31"/>
      <c r="P908" s="29"/>
      <c r="Q908" s="29"/>
    </row>
    <row r="909" spans="1:17" x14ac:dyDescent="0.35">
      <c r="A909" s="26">
        <v>40000002614</v>
      </c>
      <c r="B909" s="31">
        <v>1</v>
      </c>
      <c r="C909" s="29" t="str">
        <f>LOOKUP(A909,'QALS - Inspection Lot Record'!$A$2:$A$361,'QALS - Inspection Lot Record'!$O$2:$O$361)</f>
        <v>Metformin Tablets (100 MG)</v>
      </c>
      <c r="D909" s="31">
        <v>40</v>
      </c>
      <c r="E909" s="29" t="s">
        <v>403</v>
      </c>
      <c r="F909" s="29" t="str">
        <f>LOOKUP(A909,'QALS - Inspection Lot Record'!A:A,'QALS - Inspection Lot Record'!G:G)</f>
        <v>YA284176</v>
      </c>
      <c r="G909" s="59">
        <f ca="1">LOOKUP(A909,'QALS - Inspection Lot Record'!A:A,'QALS - Inspection Lot Record'!E:E)</f>
        <v>45926</v>
      </c>
      <c r="H909" s="34" t="str">
        <f t="shared" si="75"/>
        <v>A</v>
      </c>
      <c r="I909" s="29" t="str">
        <f t="shared" si="71"/>
        <v>YA284176</v>
      </c>
      <c r="J909" s="59">
        <f t="shared" ca="1" si="72"/>
        <v>45926</v>
      </c>
      <c r="K909" s="30">
        <f ca="1">LOOKUP(A909,'QALS - Inspection Lot Record'!A:A,'QALS - Inspection Lot Record'!I:I)</f>
        <v>1.6423611111111111E-2</v>
      </c>
      <c r="L909" s="59">
        <f t="shared" ca="1" si="73"/>
        <v>45926</v>
      </c>
      <c r="M909" s="30">
        <f t="shared" ca="1" si="74"/>
        <v>4.7627314814814817E-2</v>
      </c>
      <c r="N909" s="31"/>
      <c r="O909" s="31">
        <v>0</v>
      </c>
      <c r="P909" s="29">
        <v>0</v>
      </c>
      <c r="Q909" s="29">
        <v>1</v>
      </c>
    </row>
    <row r="910" spans="1:17" x14ac:dyDescent="0.35">
      <c r="A910" s="26">
        <v>40000002614</v>
      </c>
      <c r="B910" s="31">
        <v>1</v>
      </c>
      <c r="C910" s="29" t="str">
        <f>LOOKUP(A910,'QALS - Inspection Lot Record'!$A$2:$A$361,'QALS - Inspection Lot Record'!$O$2:$O$361)</f>
        <v>Metformin Tablets (100 MG)</v>
      </c>
      <c r="D910" s="31">
        <v>50</v>
      </c>
      <c r="E910" s="29" t="s">
        <v>404</v>
      </c>
      <c r="F910" s="29" t="str">
        <f>LOOKUP(A910,'QALS - Inspection Lot Record'!A:A,'QALS - Inspection Lot Record'!G:G)</f>
        <v>YA284176</v>
      </c>
      <c r="G910" s="59">
        <f ca="1">LOOKUP(A910,'QALS - Inspection Lot Record'!A:A,'QALS - Inspection Lot Record'!E:E)</f>
        <v>45926</v>
      </c>
      <c r="H910" s="34" t="str">
        <f t="shared" si="75"/>
        <v>A</v>
      </c>
      <c r="I910" s="29" t="str">
        <f t="shared" si="71"/>
        <v>YA284176</v>
      </c>
      <c r="J910" s="59">
        <f t="shared" ca="1" si="72"/>
        <v>45926</v>
      </c>
      <c r="K910" s="30">
        <f ca="1">LOOKUP(A910,'QALS - Inspection Lot Record'!A:A,'QALS - Inspection Lot Record'!I:I)</f>
        <v>1.6423611111111111E-2</v>
      </c>
      <c r="L910" s="59">
        <f t="shared" ca="1" si="73"/>
        <v>45926</v>
      </c>
      <c r="M910" s="30">
        <f t="shared" ca="1" si="74"/>
        <v>4.2881944444444445E-2</v>
      </c>
      <c r="N910" s="31"/>
      <c r="O910" s="31">
        <v>50</v>
      </c>
      <c r="P910" s="29">
        <v>40</v>
      </c>
      <c r="Q910" s="29">
        <v>60</v>
      </c>
    </row>
    <row r="911" spans="1:17" x14ac:dyDescent="0.35">
      <c r="A911" s="26">
        <v>40000002614</v>
      </c>
      <c r="B911" s="31">
        <v>1</v>
      </c>
      <c r="C911" s="29" t="str">
        <f>LOOKUP(A911,'QALS - Inspection Lot Record'!$A$2:$A$361,'QALS - Inspection Lot Record'!$O$2:$O$361)</f>
        <v>Metformin Tablets (100 MG)</v>
      </c>
      <c r="D911" s="31">
        <v>60</v>
      </c>
      <c r="E911" s="29" t="s">
        <v>405</v>
      </c>
      <c r="F911" s="29" t="str">
        <f>LOOKUP(A911,'QALS - Inspection Lot Record'!A:A,'QALS - Inspection Lot Record'!G:G)</f>
        <v>YA284176</v>
      </c>
      <c r="G911" s="59">
        <f ca="1">LOOKUP(A911,'QALS - Inspection Lot Record'!A:A,'QALS - Inspection Lot Record'!E:E)</f>
        <v>45926</v>
      </c>
      <c r="H911" s="34" t="str">
        <f t="shared" si="75"/>
        <v>A</v>
      </c>
      <c r="I911" s="29" t="str">
        <f t="shared" si="71"/>
        <v>YA284176</v>
      </c>
      <c r="J911" s="59">
        <f t="shared" ca="1" si="72"/>
        <v>45926</v>
      </c>
      <c r="K911" s="30">
        <f ca="1">LOOKUP(A911,'QALS - Inspection Lot Record'!A:A,'QALS - Inspection Lot Record'!I:I)</f>
        <v>1.6423611111111111E-2</v>
      </c>
      <c r="L911" s="59">
        <f t="shared" ca="1" si="73"/>
        <v>45926</v>
      </c>
      <c r="M911" s="30">
        <f t="shared" ca="1" si="74"/>
        <v>4.2349537037037033E-2</v>
      </c>
      <c r="N911" s="31"/>
      <c r="O911" s="31">
        <v>72</v>
      </c>
      <c r="P911" s="29">
        <v>70</v>
      </c>
      <c r="Q911" s="29">
        <v>85</v>
      </c>
    </row>
    <row r="912" spans="1:17" x14ac:dyDescent="0.35">
      <c r="A912" s="26">
        <v>40000002614</v>
      </c>
      <c r="B912" s="31">
        <v>1</v>
      </c>
      <c r="C912" s="29" t="str">
        <f>LOOKUP(A912,'QALS - Inspection Lot Record'!$A$2:$A$361,'QALS - Inspection Lot Record'!$O$2:$O$361)</f>
        <v>Metformin Tablets (100 MG)</v>
      </c>
      <c r="D912" s="31">
        <v>70</v>
      </c>
      <c r="E912" s="29" t="s">
        <v>406</v>
      </c>
      <c r="F912" s="29" t="str">
        <f>LOOKUP(A912,'QALS - Inspection Lot Record'!A:A,'QALS - Inspection Lot Record'!G:G)</f>
        <v>YA284176</v>
      </c>
      <c r="G912" s="59">
        <f ca="1">LOOKUP(A912,'QALS - Inspection Lot Record'!A:A,'QALS - Inspection Lot Record'!E:E)</f>
        <v>45926</v>
      </c>
      <c r="H912" s="34" t="str">
        <f t="shared" si="75"/>
        <v>A</v>
      </c>
      <c r="I912" s="29" t="str">
        <f t="shared" si="71"/>
        <v>YA284176</v>
      </c>
      <c r="J912" s="59">
        <f t="shared" ca="1" si="72"/>
        <v>45926</v>
      </c>
      <c r="K912" s="30">
        <f ca="1">LOOKUP(A912,'QALS - Inspection Lot Record'!A:A,'QALS - Inspection Lot Record'!I:I)</f>
        <v>1.6423611111111111E-2</v>
      </c>
      <c r="L912" s="59">
        <f t="shared" ca="1" si="73"/>
        <v>45926</v>
      </c>
      <c r="M912" s="30">
        <f t="shared" ca="1" si="74"/>
        <v>5.0891203703703702E-2</v>
      </c>
      <c r="N912" s="31"/>
      <c r="O912" s="31">
        <v>85</v>
      </c>
      <c r="P912" s="29">
        <v>80</v>
      </c>
      <c r="Q912" s="29">
        <v>90</v>
      </c>
    </row>
    <row r="913" spans="1:17" x14ac:dyDescent="0.35">
      <c r="A913" s="26">
        <v>40000002614</v>
      </c>
      <c r="B913" s="31">
        <v>1</v>
      </c>
      <c r="C913" s="29" t="str">
        <f>LOOKUP(A913,'QALS - Inspection Lot Record'!$A$2:$A$361,'QALS - Inspection Lot Record'!$O$2:$O$361)</f>
        <v>Metformin Tablets (100 MG)</v>
      </c>
      <c r="D913" s="31">
        <v>80</v>
      </c>
      <c r="E913" s="29" t="s">
        <v>407</v>
      </c>
      <c r="F913" s="29" t="str">
        <f>LOOKUP(A913,'QALS - Inspection Lot Record'!A:A,'QALS - Inspection Lot Record'!G:G)</f>
        <v>YA284176</v>
      </c>
      <c r="G913" s="59">
        <f ca="1">LOOKUP(A913,'QALS - Inspection Lot Record'!A:A,'QALS - Inspection Lot Record'!E:E)</f>
        <v>45926</v>
      </c>
      <c r="H913" s="34" t="str">
        <f t="shared" si="75"/>
        <v>A</v>
      </c>
      <c r="I913" s="29" t="str">
        <f t="shared" si="71"/>
        <v>YA284176</v>
      </c>
      <c r="J913" s="59">
        <f t="shared" ca="1" si="72"/>
        <v>45926</v>
      </c>
      <c r="K913" s="30">
        <f ca="1">LOOKUP(A913,'QALS - Inspection Lot Record'!A:A,'QALS - Inspection Lot Record'!I:I)</f>
        <v>1.6423611111111111E-2</v>
      </c>
      <c r="L913" s="59">
        <f t="shared" ca="1" si="73"/>
        <v>45926</v>
      </c>
      <c r="M913" s="30">
        <f t="shared" ca="1" si="74"/>
        <v>4.2534722222222224E-2</v>
      </c>
      <c r="N913" s="31"/>
      <c r="O913" s="31">
        <v>24</v>
      </c>
      <c r="P913" s="29">
        <v>23</v>
      </c>
      <c r="Q913" s="29">
        <v>25</v>
      </c>
    </row>
    <row r="914" spans="1:17" x14ac:dyDescent="0.35">
      <c r="A914" s="26">
        <v>40000002615</v>
      </c>
      <c r="B914" s="27">
        <v>1</v>
      </c>
      <c r="C914" s="29" t="str">
        <f>LOOKUP(A914,'QALS - Inspection Lot Record'!$A$2:$A$361,'QALS - Inspection Lot Record'!$O$2:$O$361)</f>
        <v>Ibuprofen Tablets (100 MG)</v>
      </c>
      <c r="D914" s="27">
        <v>10</v>
      </c>
      <c r="E914" s="26" t="s">
        <v>399</v>
      </c>
      <c r="F914" s="29" t="str">
        <f>LOOKUP(A914,'QALS - Inspection Lot Record'!A:A,'QALS - Inspection Lot Record'!G:G)</f>
        <v>AB406550</v>
      </c>
      <c r="G914" s="59">
        <f ca="1">LOOKUP(A914,'QALS - Inspection Lot Record'!A:A,'QALS - Inspection Lot Record'!E:E)</f>
        <v>45927</v>
      </c>
      <c r="H914" s="34" t="str">
        <f t="shared" si="75"/>
        <v>R</v>
      </c>
      <c r="I914" s="29" t="str">
        <f t="shared" si="71"/>
        <v>AB406550</v>
      </c>
      <c r="J914" s="59">
        <f t="shared" ca="1" si="72"/>
        <v>45927</v>
      </c>
      <c r="K914" s="30">
        <f ca="1">LOOKUP(A914,'QALS - Inspection Lot Record'!A:A,'QALS - Inspection Lot Record'!I:I)</f>
        <v>0.90839120370370374</v>
      </c>
      <c r="L914" s="59">
        <f t="shared" ca="1" si="73"/>
        <v>45927</v>
      </c>
      <c r="M914" s="30">
        <f t="shared" ca="1" si="74"/>
        <v>0.93018518518518523</v>
      </c>
      <c r="N914" s="31"/>
      <c r="O914" s="31">
        <v>93.1</v>
      </c>
      <c r="P914" s="29">
        <v>95</v>
      </c>
      <c r="Q914" s="29">
        <v>102</v>
      </c>
    </row>
    <row r="915" spans="1:17" x14ac:dyDescent="0.35">
      <c r="A915" s="26">
        <v>40000002615</v>
      </c>
      <c r="B915" s="27">
        <v>1</v>
      </c>
      <c r="C915" s="29" t="str">
        <f>LOOKUP(A915,'QALS - Inspection Lot Record'!$A$2:$A$361,'QALS - Inspection Lot Record'!$O$2:$O$361)</f>
        <v>Ibuprofen Tablets (100 MG)</v>
      </c>
      <c r="D915" s="31">
        <v>20</v>
      </c>
      <c r="E915" s="29" t="s">
        <v>400</v>
      </c>
      <c r="F915" s="29" t="str">
        <f>LOOKUP(A915,'QALS - Inspection Lot Record'!A:A,'QALS - Inspection Lot Record'!G:G)</f>
        <v>AB406550</v>
      </c>
      <c r="G915" s="59">
        <f ca="1">LOOKUP(A915,'QALS - Inspection Lot Record'!A:A,'QALS - Inspection Lot Record'!E:E)</f>
        <v>45927</v>
      </c>
      <c r="H915" s="34" t="str">
        <f t="shared" si="75"/>
        <v>R</v>
      </c>
      <c r="I915" s="29" t="str">
        <f t="shared" si="71"/>
        <v>AB406550</v>
      </c>
      <c r="J915" s="59">
        <f t="shared" ca="1" si="72"/>
        <v>45927</v>
      </c>
      <c r="K915" s="30">
        <f ca="1">LOOKUP(A915,'QALS - Inspection Lot Record'!A:A,'QALS - Inspection Lot Record'!I:I)</f>
        <v>0.90839120370370374</v>
      </c>
      <c r="L915" s="59">
        <f t="shared" ca="1" si="73"/>
        <v>45927</v>
      </c>
      <c r="M915" s="30">
        <f t="shared" ca="1" si="74"/>
        <v>0.9260532407407408</v>
      </c>
      <c r="N915" s="31"/>
      <c r="O915" s="31">
        <v>1.8</v>
      </c>
      <c r="P915" s="29">
        <v>3.5</v>
      </c>
      <c r="Q915" s="29">
        <v>11</v>
      </c>
    </row>
    <row r="916" spans="1:17" x14ac:dyDescent="0.35">
      <c r="A916" s="26">
        <v>40000002615</v>
      </c>
      <c r="B916" s="31">
        <v>1</v>
      </c>
      <c r="C916" s="29" t="str">
        <f>LOOKUP(A916,'QALS - Inspection Lot Record'!$A$2:$A$361,'QALS - Inspection Lot Record'!$O$2:$O$361)</f>
        <v>Ibuprofen Tablets (100 MG)</v>
      </c>
      <c r="D916" s="31">
        <v>30</v>
      </c>
      <c r="E916" s="29" t="s">
        <v>401</v>
      </c>
      <c r="F916" s="29" t="str">
        <f>LOOKUP(A916,'QALS - Inspection Lot Record'!A:A,'QALS - Inspection Lot Record'!G:G)</f>
        <v>AB406550</v>
      </c>
      <c r="G916" s="59">
        <f ca="1">LOOKUP(A916,'QALS - Inspection Lot Record'!A:A,'QALS - Inspection Lot Record'!E:E)</f>
        <v>45927</v>
      </c>
      <c r="H916" s="34" t="str">
        <f t="shared" si="75"/>
        <v>A</v>
      </c>
      <c r="I916" s="29" t="str">
        <f t="shared" si="71"/>
        <v>AB406550</v>
      </c>
      <c r="J916" s="59">
        <f t="shared" ca="1" si="72"/>
        <v>45927</v>
      </c>
      <c r="K916" s="30">
        <f ca="1">LOOKUP(A916,'QALS - Inspection Lot Record'!A:A,'QALS - Inspection Lot Record'!I:I)</f>
        <v>0.90839120370370374</v>
      </c>
      <c r="L916" s="59">
        <f t="shared" ca="1" si="73"/>
        <v>45927</v>
      </c>
      <c r="M916" s="30">
        <f t="shared" ca="1" si="74"/>
        <v>0.93707175925925934</v>
      </c>
      <c r="N916" s="11" t="s">
        <v>402</v>
      </c>
      <c r="O916" s="31"/>
      <c r="P916" s="29"/>
      <c r="Q916" s="29"/>
    </row>
    <row r="917" spans="1:17" x14ac:dyDescent="0.35">
      <c r="A917" s="26">
        <v>40000002615</v>
      </c>
      <c r="B917" s="31">
        <v>1</v>
      </c>
      <c r="C917" s="29" t="str">
        <f>LOOKUP(A917,'QALS - Inspection Lot Record'!$A$2:$A$361,'QALS - Inspection Lot Record'!$O$2:$O$361)</f>
        <v>Ibuprofen Tablets (100 MG)</v>
      </c>
      <c r="D917" s="31">
        <v>40</v>
      </c>
      <c r="E917" s="29" t="s">
        <v>403</v>
      </c>
      <c r="F917" s="29" t="str">
        <f>LOOKUP(A917,'QALS - Inspection Lot Record'!A:A,'QALS - Inspection Lot Record'!G:G)</f>
        <v>AB406550</v>
      </c>
      <c r="G917" s="59">
        <f ca="1">LOOKUP(A917,'QALS - Inspection Lot Record'!A:A,'QALS - Inspection Lot Record'!E:E)</f>
        <v>45927</v>
      </c>
      <c r="H917" s="34" t="str">
        <f t="shared" si="75"/>
        <v>A</v>
      </c>
      <c r="I917" s="29" t="str">
        <f t="shared" si="71"/>
        <v>AB406550</v>
      </c>
      <c r="J917" s="59">
        <f t="shared" ca="1" si="72"/>
        <v>45927</v>
      </c>
      <c r="K917" s="30">
        <f ca="1">LOOKUP(A917,'QALS - Inspection Lot Record'!A:A,'QALS - Inspection Lot Record'!I:I)</f>
        <v>0.90839120370370374</v>
      </c>
      <c r="L917" s="59">
        <f t="shared" ca="1" si="73"/>
        <v>45927</v>
      </c>
      <c r="M917" s="30">
        <f t="shared" ca="1" si="74"/>
        <v>0.9405324074074074</v>
      </c>
      <c r="N917" s="31"/>
      <c r="O917" s="31">
        <v>0.5</v>
      </c>
      <c r="P917" s="29">
        <v>0</v>
      </c>
      <c r="Q917" s="29">
        <v>1</v>
      </c>
    </row>
    <row r="918" spans="1:17" x14ac:dyDescent="0.35">
      <c r="A918" s="26">
        <v>40000002615</v>
      </c>
      <c r="B918" s="31">
        <v>1</v>
      </c>
      <c r="C918" s="29" t="str">
        <f>LOOKUP(A918,'QALS - Inspection Lot Record'!$A$2:$A$361,'QALS - Inspection Lot Record'!$O$2:$O$361)</f>
        <v>Ibuprofen Tablets (100 MG)</v>
      </c>
      <c r="D918" s="31">
        <v>50</v>
      </c>
      <c r="E918" s="29" t="s">
        <v>404</v>
      </c>
      <c r="F918" s="29" t="str">
        <f>LOOKUP(A918,'QALS - Inspection Lot Record'!A:A,'QALS - Inspection Lot Record'!G:G)</f>
        <v>AB406550</v>
      </c>
      <c r="G918" s="59">
        <f ca="1">LOOKUP(A918,'QALS - Inspection Lot Record'!A:A,'QALS - Inspection Lot Record'!E:E)</f>
        <v>45927</v>
      </c>
      <c r="H918" s="34" t="str">
        <f t="shared" si="75"/>
        <v>A</v>
      </c>
      <c r="I918" s="29" t="str">
        <f t="shared" si="71"/>
        <v>AB406550</v>
      </c>
      <c r="J918" s="59">
        <f t="shared" ca="1" si="72"/>
        <v>45927</v>
      </c>
      <c r="K918" s="30">
        <f ca="1">LOOKUP(A918,'QALS - Inspection Lot Record'!A:A,'QALS - Inspection Lot Record'!I:I)</f>
        <v>0.90839120370370374</v>
      </c>
      <c r="L918" s="59">
        <f t="shared" ca="1" si="73"/>
        <v>45927</v>
      </c>
      <c r="M918" s="30">
        <f t="shared" ca="1" si="74"/>
        <v>0.93440972222222229</v>
      </c>
      <c r="N918" s="31"/>
      <c r="O918" s="31">
        <v>45</v>
      </c>
      <c r="P918" s="29">
        <v>40</v>
      </c>
      <c r="Q918" s="29">
        <v>60</v>
      </c>
    </row>
    <row r="919" spans="1:17" x14ac:dyDescent="0.35">
      <c r="A919" s="26">
        <v>40000002615</v>
      </c>
      <c r="B919" s="31">
        <v>1</v>
      </c>
      <c r="C919" s="29" t="str">
        <f>LOOKUP(A919,'QALS - Inspection Lot Record'!$A$2:$A$361,'QALS - Inspection Lot Record'!$O$2:$O$361)</f>
        <v>Ibuprofen Tablets (100 MG)</v>
      </c>
      <c r="D919" s="31">
        <v>60</v>
      </c>
      <c r="E919" s="29" t="s">
        <v>405</v>
      </c>
      <c r="F919" s="29" t="str">
        <f>LOOKUP(A919,'QALS - Inspection Lot Record'!A:A,'QALS - Inspection Lot Record'!G:G)</f>
        <v>AB406550</v>
      </c>
      <c r="G919" s="59">
        <f ca="1">LOOKUP(A919,'QALS - Inspection Lot Record'!A:A,'QALS - Inspection Lot Record'!E:E)</f>
        <v>45927</v>
      </c>
      <c r="H919" s="34" t="str">
        <f t="shared" si="75"/>
        <v>A</v>
      </c>
      <c r="I919" s="29" t="str">
        <f t="shared" si="71"/>
        <v>AB406550</v>
      </c>
      <c r="J919" s="59">
        <f t="shared" ca="1" si="72"/>
        <v>45927</v>
      </c>
      <c r="K919" s="30">
        <f ca="1">LOOKUP(A919,'QALS - Inspection Lot Record'!A:A,'QALS - Inspection Lot Record'!I:I)</f>
        <v>0.90839120370370374</v>
      </c>
      <c r="L919" s="59">
        <f t="shared" ca="1" si="73"/>
        <v>45927</v>
      </c>
      <c r="M919" s="30">
        <f t="shared" ca="1" si="74"/>
        <v>0.93415509259259266</v>
      </c>
      <c r="N919" s="31"/>
      <c r="O919" s="31">
        <v>72</v>
      </c>
      <c r="P919" s="29">
        <v>70</v>
      </c>
      <c r="Q919" s="29">
        <v>85</v>
      </c>
    </row>
    <row r="920" spans="1:17" x14ac:dyDescent="0.35">
      <c r="A920" s="26">
        <v>40000002615</v>
      </c>
      <c r="B920" s="31">
        <v>1</v>
      </c>
      <c r="C920" s="29" t="str">
        <f>LOOKUP(A920,'QALS - Inspection Lot Record'!$A$2:$A$361,'QALS - Inspection Lot Record'!$O$2:$O$361)</f>
        <v>Ibuprofen Tablets (100 MG)</v>
      </c>
      <c r="D920" s="31">
        <v>70</v>
      </c>
      <c r="E920" s="29" t="s">
        <v>406</v>
      </c>
      <c r="F920" s="29" t="str">
        <f>LOOKUP(A920,'QALS - Inspection Lot Record'!A:A,'QALS - Inspection Lot Record'!G:G)</f>
        <v>AB406550</v>
      </c>
      <c r="G920" s="59">
        <f ca="1">LOOKUP(A920,'QALS - Inspection Lot Record'!A:A,'QALS - Inspection Lot Record'!E:E)</f>
        <v>45927</v>
      </c>
      <c r="H920" s="34" t="str">
        <f t="shared" si="75"/>
        <v>R</v>
      </c>
      <c r="I920" s="29" t="str">
        <f t="shared" si="71"/>
        <v>AB406550</v>
      </c>
      <c r="J920" s="59">
        <f t="shared" ca="1" si="72"/>
        <v>45927</v>
      </c>
      <c r="K920" s="30">
        <f ca="1">LOOKUP(A920,'QALS - Inspection Lot Record'!A:A,'QALS - Inspection Lot Record'!I:I)</f>
        <v>0.90839120370370374</v>
      </c>
      <c r="L920" s="59">
        <f t="shared" ca="1" si="73"/>
        <v>45927</v>
      </c>
      <c r="M920" s="30">
        <f t="shared" ca="1" si="74"/>
        <v>0.93984953703703711</v>
      </c>
      <c r="N920" s="31"/>
      <c r="O920" s="31">
        <v>78.3</v>
      </c>
      <c r="P920" s="29">
        <v>80</v>
      </c>
      <c r="Q920" s="29">
        <v>90</v>
      </c>
    </row>
    <row r="921" spans="1:17" x14ac:dyDescent="0.35">
      <c r="A921" s="26">
        <v>40000002615</v>
      </c>
      <c r="B921" s="31">
        <v>1</v>
      </c>
      <c r="C921" s="29" t="str">
        <f>LOOKUP(A921,'QALS - Inspection Lot Record'!$A$2:$A$361,'QALS - Inspection Lot Record'!$O$2:$O$361)</f>
        <v>Ibuprofen Tablets (100 MG)</v>
      </c>
      <c r="D921" s="31">
        <v>80</v>
      </c>
      <c r="E921" s="29" t="s">
        <v>407</v>
      </c>
      <c r="F921" s="29" t="str">
        <f>LOOKUP(A921,'QALS - Inspection Lot Record'!A:A,'QALS - Inspection Lot Record'!G:G)</f>
        <v>AB406550</v>
      </c>
      <c r="G921" s="59">
        <f ca="1">LOOKUP(A921,'QALS - Inspection Lot Record'!A:A,'QALS - Inspection Lot Record'!E:E)</f>
        <v>45927</v>
      </c>
      <c r="H921" s="34" t="str">
        <f t="shared" si="75"/>
        <v>A</v>
      </c>
      <c r="I921" s="29" t="str">
        <f t="shared" si="71"/>
        <v>AB406550</v>
      </c>
      <c r="J921" s="59">
        <f t="shared" ca="1" si="72"/>
        <v>45927</v>
      </c>
      <c r="K921" s="30">
        <f ca="1">LOOKUP(A921,'QALS - Inspection Lot Record'!A:A,'QALS - Inspection Lot Record'!I:I)</f>
        <v>0.90839120370370374</v>
      </c>
      <c r="L921" s="59">
        <f t="shared" ca="1" si="73"/>
        <v>45927</v>
      </c>
      <c r="M921" s="30">
        <f t="shared" ca="1" si="74"/>
        <v>0.930613425925926</v>
      </c>
      <c r="N921" s="31"/>
      <c r="O921" s="31">
        <v>23.7</v>
      </c>
      <c r="P921" s="29">
        <v>23</v>
      </c>
      <c r="Q921" s="29">
        <v>25</v>
      </c>
    </row>
    <row r="922" spans="1:17" x14ac:dyDescent="0.35">
      <c r="A922" s="26">
        <v>40000002616</v>
      </c>
      <c r="B922" s="27">
        <v>1</v>
      </c>
      <c r="C922" s="29" t="str">
        <f>LOOKUP(A922,'QALS - Inspection Lot Record'!$A$2:$A$361,'QALS - Inspection Lot Record'!$O$2:$O$361)</f>
        <v>Metformin Tablets (100 MG)</v>
      </c>
      <c r="D922" s="27">
        <v>10</v>
      </c>
      <c r="E922" s="26" t="s">
        <v>399</v>
      </c>
      <c r="F922" s="29" t="str">
        <f>LOOKUP(A922,'QALS - Inspection Lot Record'!A:A,'QALS - Inspection Lot Record'!G:G)</f>
        <v>TG509538</v>
      </c>
      <c r="G922" s="59">
        <f ca="1">LOOKUP(A922,'QALS - Inspection Lot Record'!A:A,'QALS - Inspection Lot Record'!E:E)</f>
        <v>45927</v>
      </c>
      <c r="H922" s="34" t="str">
        <f t="shared" si="75"/>
        <v>A</v>
      </c>
      <c r="I922" s="29" t="str">
        <f t="shared" si="71"/>
        <v>TG509538</v>
      </c>
      <c r="J922" s="59">
        <f t="shared" ca="1" si="72"/>
        <v>45927</v>
      </c>
      <c r="K922" s="30">
        <f ca="1">LOOKUP(A922,'QALS - Inspection Lot Record'!A:A,'QALS - Inspection Lot Record'!I:I)</f>
        <v>0.39479166666666665</v>
      </c>
      <c r="L922" s="59">
        <f t="shared" ca="1" si="73"/>
        <v>45927</v>
      </c>
      <c r="M922" s="30">
        <f t="shared" ca="1" si="74"/>
        <v>0.42401620370370369</v>
      </c>
      <c r="N922" s="31"/>
      <c r="O922" s="31">
        <v>98.7</v>
      </c>
      <c r="P922" s="29">
        <v>95</v>
      </c>
      <c r="Q922" s="29">
        <v>102</v>
      </c>
    </row>
    <row r="923" spans="1:17" x14ac:dyDescent="0.35">
      <c r="A923" s="26">
        <v>40000002616</v>
      </c>
      <c r="B923" s="27">
        <v>1</v>
      </c>
      <c r="C923" s="29" t="str">
        <f>LOOKUP(A923,'QALS - Inspection Lot Record'!$A$2:$A$361,'QALS - Inspection Lot Record'!$O$2:$O$361)</f>
        <v>Metformin Tablets (100 MG)</v>
      </c>
      <c r="D923" s="31">
        <v>20</v>
      </c>
      <c r="E923" s="29" t="s">
        <v>400</v>
      </c>
      <c r="F923" s="29" t="str">
        <f>LOOKUP(A923,'QALS - Inspection Lot Record'!A:A,'QALS - Inspection Lot Record'!G:G)</f>
        <v>TG509538</v>
      </c>
      <c r="G923" s="59">
        <f ca="1">LOOKUP(A923,'QALS - Inspection Lot Record'!A:A,'QALS - Inspection Lot Record'!E:E)</f>
        <v>45927</v>
      </c>
      <c r="H923" s="34" t="str">
        <f t="shared" si="75"/>
        <v>R</v>
      </c>
      <c r="I923" s="29" t="str">
        <f t="shared" si="71"/>
        <v>TG509538</v>
      </c>
      <c r="J923" s="59">
        <f t="shared" ca="1" si="72"/>
        <v>45927</v>
      </c>
      <c r="K923" s="30">
        <f ca="1">LOOKUP(A923,'QALS - Inspection Lot Record'!A:A,'QALS - Inspection Lot Record'!I:I)</f>
        <v>0.39479166666666665</v>
      </c>
      <c r="L923" s="59">
        <f t="shared" ca="1" si="73"/>
        <v>45927</v>
      </c>
      <c r="M923" s="30">
        <f t="shared" ca="1" si="74"/>
        <v>0.42245370370370366</v>
      </c>
      <c r="N923" s="31"/>
      <c r="O923" s="31">
        <v>2</v>
      </c>
      <c r="P923" s="29">
        <v>3.5</v>
      </c>
      <c r="Q923" s="29">
        <v>11</v>
      </c>
    </row>
    <row r="924" spans="1:17" x14ac:dyDescent="0.35">
      <c r="A924" s="26">
        <v>40000002616</v>
      </c>
      <c r="B924" s="31">
        <v>1</v>
      </c>
      <c r="C924" s="29" t="str">
        <f>LOOKUP(A924,'QALS - Inspection Lot Record'!$A$2:$A$361,'QALS - Inspection Lot Record'!$O$2:$O$361)</f>
        <v>Metformin Tablets (100 MG)</v>
      </c>
      <c r="D924" s="31">
        <v>30</v>
      </c>
      <c r="E924" s="29" t="s">
        <v>401</v>
      </c>
      <c r="F924" s="29" t="str">
        <f>LOOKUP(A924,'QALS - Inspection Lot Record'!A:A,'QALS - Inspection Lot Record'!G:G)</f>
        <v>TG509538</v>
      </c>
      <c r="G924" s="59">
        <f ca="1">LOOKUP(A924,'QALS - Inspection Lot Record'!A:A,'QALS - Inspection Lot Record'!E:E)</f>
        <v>45927</v>
      </c>
      <c r="H924" s="34" t="str">
        <f t="shared" si="75"/>
        <v>A</v>
      </c>
      <c r="I924" s="29" t="str">
        <f t="shared" si="71"/>
        <v>TG509538</v>
      </c>
      <c r="J924" s="59">
        <f t="shared" ca="1" si="72"/>
        <v>45927</v>
      </c>
      <c r="K924" s="30">
        <f ca="1">LOOKUP(A924,'QALS - Inspection Lot Record'!A:A,'QALS - Inspection Lot Record'!I:I)</f>
        <v>0.39479166666666665</v>
      </c>
      <c r="L924" s="59">
        <f t="shared" ca="1" si="73"/>
        <v>45927</v>
      </c>
      <c r="M924" s="30">
        <f t="shared" ca="1" si="74"/>
        <v>0.4281712962962963</v>
      </c>
      <c r="N924" s="11" t="s">
        <v>402</v>
      </c>
      <c r="O924" s="31"/>
      <c r="P924" s="29"/>
      <c r="Q924" s="29"/>
    </row>
    <row r="925" spans="1:17" x14ac:dyDescent="0.35">
      <c r="A925" s="26">
        <v>40000002616</v>
      </c>
      <c r="B925" s="31">
        <v>1</v>
      </c>
      <c r="C925" s="29" t="str">
        <f>LOOKUP(A925,'QALS - Inspection Lot Record'!$A$2:$A$361,'QALS - Inspection Lot Record'!$O$2:$O$361)</f>
        <v>Metformin Tablets (100 MG)</v>
      </c>
      <c r="D925" s="31">
        <v>40</v>
      </c>
      <c r="E925" s="29" t="s">
        <v>403</v>
      </c>
      <c r="F925" s="29" t="str">
        <f>LOOKUP(A925,'QALS - Inspection Lot Record'!A:A,'QALS - Inspection Lot Record'!G:G)</f>
        <v>TG509538</v>
      </c>
      <c r="G925" s="59">
        <f ca="1">LOOKUP(A925,'QALS - Inspection Lot Record'!A:A,'QALS - Inspection Lot Record'!E:E)</f>
        <v>45927</v>
      </c>
      <c r="H925" s="34" t="str">
        <f t="shared" si="75"/>
        <v>A</v>
      </c>
      <c r="I925" s="29" t="str">
        <f t="shared" si="71"/>
        <v>TG509538</v>
      </c>
      <c r="J925" s="59">
        <f t="shared" ca="1" si="72"/>
        <v>45927</v>
      </c>
      <c r="K925" s="30">
        <f ca="1">LOOKUP(A925,'QALS - Inspection Lot Record'!A:A,'QALS - Inspection Lot Record'!I:I)</f>
        <v>0.39479166666666665</v>
      </c>
      <c r="L925" s="59">
        <f t="shared" ca="1" si="73"/>
        <v>45927</v>
      </c>
      <c r="M925" s="30">
        <f t="shared" ca="1" si="74"/>
        <v>0.42071759259259256</v>
      </c>
      <c r="N925" s="31"/>
      <c r="O925" s="31">
        <v>0.5</v>
      </c>
      <c r="P925" s="29">
        <v>0</v>
      </c>
      <c r="Q925" s="29">
        <v>1</v>
      </c>
    </row>
    <row r="926" spans="1:17" x14ac:dyDescent="0.35">
      <c r="A926" s="26">
        <v>40000002616</v>
      </c>
      <c r="B926" s="31">
        <v>1</v>
      </c>
      <c r="C926" s="29" t="str">
        <f>LOOKUP(A926,'QALS - Inspection Lot Record'!$A$2:$A$361,'QALS - Inspection Lot Record'!$O$2:$O$361)</f>
        <v>Metformin Tablets (100 MG)</v>
      </c>
      <c r="D926" s="31">
        <v>50</v>
      </c>
      <c r="E926" s="29" t="s">
        <v>404</v>
      </c>
      <c r="F926" s="29" t="str">
        <f>LOOKUP(A926,'QALS - Inspection Lot Record'!A:A,'QALS - Inspection Lot Record'!G:G)</f>
        <v>TG509538</v>
      </c>
      <c r="G926" s="59">
        <f ca="1">LOOKUP(A926,'QALS - Inspection Lot Record'!A:A,'QALS - Inspection Lot Record'!E:E)</f>
        <v>45927</v>
      </c>
      <c r="H926" s="34" t="str">
        <f t="shared" si="75"/>
        <v>A</v>
      </c>
      <c r="I926" s="29" t="str">
        <f t="shared" si="71"/>
        <v>TG509538</v>
      </c>
      <c r="J926" s="59">
        <f t="shared" ca="1" si="72"/>
        <v>45927</v>
      </c>
      <c r="K926" s="30">
        <f ca="1">LOOKUP(A926,'QALS - Inspection Lot Record'!A:A,'QALS - Inspection Lot Record'!I:I)</f>
        <v>0.39479166666666665</v>
      </c>
      <c r="L926" s="59">
        <f t="shared" ca="1" si="73"/>
        <v>45927</v>
      </c>
      <c r="M926" s="30">
        <f t="shared" ca="1" si="74"/>
        <v>0.42079861111111111</v>
      </c>
      <c r="N926" s="31"/>
      <c r="O926" s="31">
        <v>47.3</v>
      </c>
      <c r="P926" s="29">
        <v>40</v>
      </c>
      <c r="Q926" s="29">
        <v>60</v>
      </c>
    </row>
    <row r="927" spans="1:17" x14ac:dyDescent="0.35">
      <c r="A927" s="26">
        <v>40000002616</v>
      </c>
      <c r="B927" s="31">
        <v>1</v>
      </c>
      <c r="C927" s="29" t="str">
        <f>LOOKUP(A927,'QALS - Inspection Lot Record'!$A$2:$A$361,'QALS - Inspection Lot Record'!$O$2:$O$361)</f>
        <v>Metformin Tablets (100 MG)</v>
      </c>
      <c r="D927" s="31">
        <v>60</v>
      </c>
      <c r="E927" s="29" t="s">
        <v>405</v>
      </c>
      <c r="F927" s="29" t="str">
        <f>LOOKUP(A927,'QALS - Inspection Lot Record'!A:A,'QALS - Inspection Lot Record'!G:G)</f>
        <v>TG509538</v>
      </c>
      <c r="G927" s="59">
        <f ca="1">LOOKUP(A927,'QALS - Inspection Lot Record'!A:A,'QALS - Inspection Lot Record'!E:E)</f>
        <v>45927</v>
      </c>
      <c r="H927" s="34" t="str">
        <f t="shared" si="75"/>
        <v>A</v>
      </c>
      <c r="I927" s="29" t="str">
        <f t="shared" si="71"/>
        <v>TG509538</v>
      </c>
      <c r="J927" s="59">
        <f t="shared" ca="1" si="72"/>
        <v>45927</v>
      </c>
      <c r="K927" s="30">
        <f ca="1">LOOKUP(A927,'QALS - Inspection Lot Record'!A:A,'QALS - Inspection Lot Record'!I:I)</f>
        <v>0.39479166666666665</v>
      </c>
      <c r="L927" s="59">
        <f t="shared" ca="1" si="73"/>
        <v>45927</v>
      </c>
      <c r="M927" s="30">
        <f t="shared" ca="1" si="74"/>
        <v>0.42425925925925922</v>
      </c>
      <c r="N927" s="31"/>
      <c r="O927" s="31">
        <v>73</v>
      </c>
      <c r="P927" s="29">
        <v>70</v>
      </c>
      <c r="Q927" s="29">
        <v>85</v>
      </c>
    </row>
    <row r="928" spans="1:17" x14ac:dyDescent="0.35">
      <c r="A928" s="26">
        <v>40000002616</v>
      </c>
      <c r="B928" s="31">
        <v>1</v>
      </c>
      <c r="C928" s="29" t="str">
        <f>LOOKUP(A928,'QALS - Inspection Lot Record'!$A$2:$A$361,'QALS - Inspection Lot Record'!$O$2:$O$361)</f>
        <v>Metformin Tablets (100 MG)</v>
      </c>
      <c r="D928" s="31">
        <v>70</v>
      </c>
      <c r="E928" s="29" t="s">
        <v>406</v>
      </c>
      <c r="F928" s="29" t="str">
        <f>LOOKUP(A928,'QALS - Inspection Lot Record'!A:A,'QALS - Inspection Lot Record'!G:G)</f>
        <v>TG509538</v>
      </c>
      <c r="G928" s="59">
        <f ca="1">LOOKUP(A928,'QALS - Inspection Lot Record'!A:A,'QALS - Inspection Lot Record'!E:E)</f>
        <v>45927</v>
      </c>
      <c r="H928" s="34" t="str">
        <f t="shared" si="75"/>
        <v>R</v>
      </c>
      <c r="I928" s="29" t="str">
        <f t="shared" si="71"/>
        <v>TG509538</v>
      </c>
      <c r="J928" s="59">
        <f t="shared" ca="1" si="72"/>
        <v>45927</v>
      </c>
      <c r="K928" s="30">
        <f ca="1">LOOKUP(A928,'QALS - Inspection Lot Record'!A:A,'QALS - Inspection Lot Record'!I:I)</f>
        <v>0.39479166666666665</v>
      </c>
      <c r="L928" s="59">
        <f t="shared" ca="1" si="73"/>
        <v>45927</v>
      </c>
      <c r="M928" s="30">
        <f t="shared" ca="1" si="74"/>
        <v>0.41759259259259257</v>
      </c>
      <c r="N928" s="31"/>
      <c r="O928" s="31">
        <v>78.7</v>
      </c>
      <c r="P928" s="29">
        <v>80</v>
      </c>
      <c r="Q928" s="29">
        <v>90</v>
      </c>
    </row>
    <row r="929" spans="1:17" x14ac:dyDescent="0.35">
      <c r="A929" s="26">
        <v>40000002616</v>
      </c>
      <c r="B929" s="31">
        <v>1</v>
      </c>
      <c r="C929" s="29" t="str">
        <f>LOOKUP(A929,'QALS - Inspection Lot Record'!$A$2:$A$361,'QALS - Inspection Lot Record'!$O$2:$O$361)</f>
        <v>Metformin Tablets (100 MG)</v>
      </c>
      <c r="D929" s="31">
        <v>80</v>
      </c>
      <c r="E929" s="29" t="s">
        <v>407</v>
      </c>
      <c r="F929" s="29" t="str">
        <f>LOOKUP(A929,'QALS - Inspection Lot Record'!A:A,'QALS - Inspection Lot Record'!G:G)</f>
        <v>TG509538</v>
      </c>
      <c r="G929" s="59">
        <f ca="1">LOOKUP(A929,'QALS - Inspection Lot Record'!A:A,'QALS - Inspection Lot Record'!E:E)</f>
        <v>45927</v>
      </c>
      <c r="H929" s="34" t="str">
        <f t="shared" si="75"/>
        <v>R</v>
      </c>
      <c r="I929" s="29" t="str">
        <f t="shared" si="71"/>
        <v>TG509538</v>
      </c>
      <c r="J929" s="59">
        <f t="shared" ca="1" si="72"/>
        <v>45927</v>
      </c>
      <c r="K929" s="30">
        <f ca="1">LOOKUP(A929,'QALS - Inspection Lot Record'!A:A,'QALS - Inspection Lot Record'!I:I)</f>
        <v>0.39479166666666665</v>
      </c>
      <c r="L929" s="59">
        <f t="shared" ca="1" si="73"/>
        <v>45927</v>
      </c>
      <c r="M929" s="30">
        <f t="shared" ca="1" si="74"/>
        <v>0.4148263888888889</v>
      </c>
      <c r="N929" s="31"/>
      <c r="O929" s="31">
        <v>21.5</v>
      </c>
      <c r="P929" s="29">
        <v>23</v>
      </c>
      <c r="Q929" s="29">
        <v>25</v>
      </c>
    </row>
    <row r="930" spans="1:17" x14ac:dyDescent="0.35">
      <c r="A930" s="26">
        <v>40000002617</v>
      </c>
      <c r="B930" s="27">
        <v>1</v>
      </c>
      <c r="C930" s="29" t="str">
        <f>LOOKUP(A930,'QALS - Inspection Lot Record'!$A$2:$A$361,'QALS - Inspection Lot Record'!$O$2:$O$361)</f>
        <v>Metformin Tablets (500 MG)</v>
      </c>
      <c r="D930" s="27">
        <v>10</v>
      </c>
      <c r="E930" s="26" t="s">
        <v>399</v>
      </c>
      <c r="F930" s="29" t="str">
        <f>LOOKUP(A930,'QALS - Inspection Lot Record'!A:A,'QALS - Inspection Lot Record'!G:G)</f>
        <v>TP397880</v>
      </c>
      <c r="G930" s="59">
        <f ca="1">LOOKUP(A930,'QALS - Inspection Lot Record'!A:A,'QALS - Inspection Lot Record'!E:E)</f>
        <v>45928</v>
      </c>
      <c r="H930" s="34" t="str">
        <f t="shared" si="75"/>
        <v>A</v>
      </c>
      <c r="I930" s="29" t="str">
        <f t="shared" si="71"/>
        <v>TP397880</v>
      </c>
      <c r="J930" s="59">
        <f t="shared" ca="1" si="72"/>
        <v>45928</v>
      </c>
      <c r="K930" s="30">
        <f ca="1">LOOKUP(A930,'QALS - Inspection Lot Record'!A:A,'QALS - Inspection Lot Record'!I:I)</f>
        <v>0.65550925925925929</v>
      </c>
      <c r="L930" s="59">
        <f t="shared" ca="1" si="73"/>
        <v>45928</v>
      </c>
      <c r="M930" s="30">
        <f t="shared" ca="1" si="74"/>
        <v>0.67314814814814816</v>
      </c>
      <c r="N930" s="31"/>
      <c r="O930" s="31">
        <v>100</v>
      </c>
      <c r="P930" s="29">
        <v>95</v>
      </c>
      <c r="Q930" s="29">
        <v>105</v>
      </c>
    </row>
    <row r="931" spans="1:17" x14ac:dyDescent="0.35">
      <c r="A931" s="26">
        <v>40000002617</v>
      </c>
      <c r="B931" s="27">
        <v>1</v>
      </c>
      <c r="C931" s="29" t="str">
        <f>LOOKUP(A931,'QALS - Inspection Lot Record'!$A$2:$A$361,'QALS - Inspection Lot Record'!$O$2:$O$361)</f>
        <v>Metformin Tablets (500 MG)</v>
      </c>
      <c r="D931" s="31">
        <v>20</v>
      </c>
      <c r="E931" s="29" t="s">
        <v>400</v>
      </c>
      <c r="F931" s="29" t="str">
        <f>LOOKUP(A931,'QALS - Inspection Lot Record'!A:A,'QALS - Inspection Lot Record'!G:G)</f>
        <v>TP397880</v>
      </c>
      <c r="G931" s="59">
        <f ca="1">LOOKUP(A931,'QALS - Inspection Lot Record'!A:A,'QALS - Inspection Lot Record'!E:E)</f>
        <v>45928</v>
      </c>
      <c r="H931" s="34" t="str">
        <f t="shared" si="75"/>
        <v>A</v>
      </c>
      <c r="I931" s="29" t="str">
        <f t="shared" si="71"/>
        <v>TP397880</v>
      </c>
      <c r="J931" s="59">
        <f t="shared" ca="1" si="72"/>
        <v>45928</v>
      </c>
      <c r="K931" s="30">
        <f ca="1">LOOKUP(A931,'QALS - Inspection Lot Record'!A:A,'QALS - Inspection Lot Record'!I:I)</f>
        <v>0.65550925925925929</v>
      </c>
      <c r="L931" s="59">
        <f t="shared" ca="1" si="73"/>
        <v>45928</v>
      </c>
      <c r="M931" s="30">
        <f t="shared" ca="1" si="74"/>
        <v>0.67321759259259262</v>
      </c>
      <c r="N931" s="31"/>
      <c r="O931" s="31">
        <v>7.25</v>
      </c>
      <c r="P931" s="29">
        <v>3.5</v>
      </c>
      <c r="Q931" s="29">
        <v>11</v>
      </c>
    </row>
    <row r="932" spans="1:17" x14ac:dyDescent="0.35">
      <c r="A932" s="26">
        <v>40000002617</v>
      </c>
      <c r="B932" s="31">
        <v>1</v>
      </c>
      <c r="C932" s="29" t="str">
        <f>LOOKUP(A932,'QALS - Inspection Lot Record'!$A$2:$A$361,'QALS - Inspection Lot Record'!$O$2:$O$361)</f>
        <v>Metformin Tablets (500 MG)</v>
      </c>
      <c r="D932" s="31">
        <v>30</v>
      </c>
      <c r="E932" s="29" t="s">
        <v>401</v>
      </c>
      <c r="F932" s="29" t="str">
        <f>LOOKUP(A932,'QALS - Inspection Lot Record'!A:A,'QALS - Inspection Lot Record'!G:G)</f>
        <v>TP397880</v>
      </c>
      <c r="G932" s="59">
        <f ca="1">LOOKUP(A932,'QALS - Inspection Lot Record'!A:A,'QALS - Inspection Lot Record'!E:E)</f>
        <v>45928</v>
      </c>
      <c r="H932" s="34" t="str">
        <f t="shared" si="75"/>
        <v>A</v>
      </c>
      <c r="I932" s="29" t="str">
        <f t="shared" si="71"/>
        <v>TP397880</v>
      </c>
      <c r="J932" s="59">
        <f t="shared" ca="1" si="72"/>
        <v>45928</v>
      </c>
      <c r="K932" s="30">
        <f ca="1">LOOKUP(A932,'QALS - Inspection Lot Record'!A:A,'QALS - Inspection Lot Record'!I:I)</f>
        <v>0.65550925925925929</v>
      </c>
      <c r="L932" s="59">
        <f t="shared" ca="1" si="73"/>
        <v>45928</v>
      </c>
      <c r="M932" s="30">
        <f t="shared" ca="1" si="74"/>
        <v>0.67504629629629631</v>
      </c>
      <c r="N932" s="11" t="s">
        <v>402</v>
      </c>
      <c r="O932" s="31"/>
      <c r="P932" s="29"/>
      <c r="Q932" s="29"/>
    </row>
    <row r="933" spans="1:17" x14ac:dyDescent="0.35">
      <c r="A933" s="26">
        <v>40000002617</v>
      </c>
      <c r="B933" s="31">
        <v>1</v>
      </c>
      <c r="C933" s="29" t="str">
        <f>LOOKUP(A933,'QALS - Inspection Lot Record'!$A$2:$A$361,'QALS - Inspection Lot Record'!$O$2:$O$361)</f>
        <v>Metformin Tablets (500 MG)</v>
      </c>
      <c r="D933" s="31">
        <v>40</v>
      </c>
      <c r="E933" s="29" t="s">
        <v>403</v>
      </c>
      <c r="F933" s="29" t="str">
        <f>LOOKUP(A933,'QALS - Inspection Lot Record'!A:A,'QALS - Inspection Lot Record'!G:G)</f>
        <v>TP397880</v>
      </c>
      <c r="G933" s="59">
        <f ca="1">LOOKUP(A933,'QALS - Inspection Lot Record'!A:A,'QALS - Inspection Lot Record'!E:E)</f>
        <v>45928</v>
      </c>
      <c r="H933" s="34" t="str">
        <f t="shared" si="75"/>
        <v>A</v>
      </c>
      <c r="I933" s="29" t="str">
        <f t="shared" si="71"/>
        <v>TP397880</v>
      </c>
      <c r="J933" s="59">
        <f t="shared" ca="1" si="72"/>
        <v>45928</v>
      </c>
      <c r="K933" s="30">
        <f ca="1">LOOKUP(A933,'QALS - Inspection Lot Record'!A:A,'QALS - Inspection Lot Record'!I:I)</f>
        <v>0.65550925925925929</v>
      </c>
      <c r="L933" s="59">
        <f t="shared" ca="1" si="73"/>
        <v>45928</v>
      </c>
      <c r="M933" s="30">
        <f t="shared" ca="1" si="74"/>
        <v>0.68607638888888889</v>
      </c>
      <c r="N933" s="31"/>
      <c r="O933" s="31">
        <v>0</v>
      </c>
      <c r="P933" s="29">
        <v>0</v>
      </c>
      <c r="Q933" s="29">
        <v>2</v>
      </c>
    </row>
    <row r="934" spans="1:17" x14ac:dyDescent="0.35">
      <c r="A934" s="26">
        <v>40000002617</v>
      </c>
      <c r="B934" s="31">
        <v>1</v>
      </c>
      <c r="C934" s="29" t="str">
        <f>LOOKUP(A934,'QALS - Inspection Lot Record'!$A$2:$A$361,'QALS - Inspection Lot Record'!$O$2:$O$361)</f>
        <v>Metformin Tablets (500 MG)</v>
      </c>
      <c r="D934" s="31">
        <v>50</v>
      </c>
      <c r="E934" s="29" t="s">
        <v>404</v>
      </c>
      <c r="F934" s="29" t="str">
        <f>LOOKUP(A934,'QALS - Inspection Lot Record'!A:A,'QALS - Inspection Lot Record'!G:G)</f>
        <v>TP397880</v>
      </c>
      <c r="G934" s="59">
        <f ca="1">LOOKUP(A934,'QALS - Inspection Lot Record'!A:A,'QALS - Inspection Lot Record'!E:E)</f>
        <v>45928</v>
      </c>
      <c r="H934" s="34" t="str">
        <f t="shared" si="75"/>
        <v>A</v>
      </c>
      <c r="I934" s="29" t="str">
        <f t="shared" si="71"/>
        <v>TP397880</v>
      </c>
      <c r="J934" s="59">
        <f t="shared" ca="1" si="72"/>
        <v>45928</v>
      </c>
      <c r="K934" s="30">
        <f ca="1">LOOKUP(A934,'QALS - Inspection Lot Record'!A:A,'QALS - Inspection Lot Record'!I:I)</f>
        <v>0.65550925925925929</v>
      </c>
      <c r="L934" s="59">
        <f t="shared" ca="1" si="73"/>
        <v>45928</v>
      </c>
      <c r="M934" s="30">
        <f t="shared" ca="1" si="74"/>
        <v>0.68990740740740741</v>
      </c>
      <c r="N934" s="31"/>
      <c r="O934" s="31">
        <v>50</v>
      </c>
      <c r="P934" s="29">
        <v>40</v>
      </c>
      <c r="Q934" s="29">
        <v>60</v>
      </c>
    </row>
    <row r="935" spans="1:17" x14ac:dyDescent="0.35">
      <c r="A935" s="26">
        <v>40000002617</v>
      </c>
      <c r="B935" s="31">
        <v>1</v>
      </c>
      <c r="C935" s="29" t="str">
        <f>LOOKUP(A935,'QALS - Inspection Lot Record'!$A$2:$A$361,'QALS - Inspection Lot Record'!$O$2:$O$361)</f>
        <v>Metformin Tablets (500 MG)</v>
      </c>
      <c r="D935" s="31">
        <v>60</v>
      </c>
      <c r="E935" s="29" t="s">
        <v>405</v>
      </c>
      <c r="F935" s="29" t="str">
        <f>LOOKUP(A935,'QALS - Inspection Lot Record'!A:A,'QALS - Inspection Lot Record'!G:G)</f>
        <v>TP397880</v>
      </c>
      <c r="G935" s="59">
        <f ca="1">LOOKUP(A935,'QALS - Inspection Lot Record'!A:A,'QALS - Inspection Lot Record'!E:E)</f>
        <v>45928</v>
      </c>
      <c r="H935" s="34" t="str">
        <f t="shared" si="75"/>
        <v>A</v>
      </c>
      <c r="I935" s="29" t="str">
        <f t="shared" si="71"/>
        <v>TP397880</v>
      </c>
      <c r="J935" s="59">
        <f t="shared" ca="1" si="72"/>
        <v>45928</v>
      </c>
      <c r="K935" s="30">
        <f ca="1">LOOKUP(A935,'QALS - Inspection Lot Record'!A:A,'QALS - Inspection Lot Record'!I:I)</f>
        <v>0.65550925925925929</v>
      </c>
      <c r="L935" s="59">
        <f t="shared" ca="1" si="73"/>
        <v>45928</v>
      </c>
      <c r="M935" s="30">
        <f t="shared" ca="1" si="74"/>
        <v>0.68018518518518523</v>
      </c>
      <c r="N935" s="31"/>
      <c r="O935" s="31">
        <v>77.5</v>
      </c>
      <c r="P935" s="29">
        <v>70</v>
      </c>
      <c r="Q935" s="29">
        <v>85</v>
      </c>
    </row>
    <row r="936" spans="1:17" x14ac:dyDescent="0.35">
      <c r="A936" s="26">
        <v>40000002617</v>
      </c>
      <c r="B936" s="31">
        <v>1</v>
      </c>
      <c r="C936" s="29" t="str">
        <f>LOOKUP(A936,'QALS - Inspection Lot Record'!$A$2:$A$361,'QALS - Inspection Lot Record'!$O$2:$O$361)</f>
        <v>Metformin Tablets (500 MG)</v>
      </c>
      <c r="D936" s="31">
        <v>70</v>
      </c>
      <c r="E936" s="29" t="s">
        <v>406</v>
      </c>
      <c r="F936" s="29" t="str">
        <f>LOOKUP(A936,'QALS - Inspection Lot Record'!A:A,'QALS - Inspection Lot Record'!G:G)</f>
        <v>TP397880</v>
      </c>
      <c r="G936" s="59">
        <f ca="1">LOOKUP(A936,'QALS - Inspection Lot Record'!A:A,'QALS - Inspection Lot Record'!E:E)</f>
        <v>45928</v>
      </c>
      <c r="H936" s="34" t="str">
        <f t="shared" si="75"/>
        <v>A</v>
      </c>
      <c r="I936" s="29" t="str">
        <f t="shared" si="71"/>
        <v>TP397880</v>
      </c>
      <c r="J936" s="59">
        <f t="shared" ca="1" si="72"/>
        <v>45928</v>
      </c>
      <c r="K936" s="30">
        <f ca="1">LOOKUP(A936,'QALS - Inspection Lot Record'!A:A,'QALS - Inspection Lot Record'!I:I)</f>
        <v>0.65550925925925929</v>
      </c>
      <c r="L936" s="59">
        <f t="shared" ca="1" si="73"/>
        <v>45928</v>
      </c>
      <c r="M936" s="30">
        <f t="shared" ca="1" si="74"/>
        <v>0.68328703703703708</v>
      </c>
      <c r="N936" s="31"/>
      <c r="O936" s="31">
        <v>85</v>
      </c>
      <c r="P936" s="29">
        <v>80</v>
      </c>
      <c r="Q936" s="29">
        <v>90</v>
      </c>
    </row>
    <row r="937" spans="1:17" x14ac:dyDescent="0.35">
      <c r="A937" s="26">
        <v>40000002617</v>
      </c>
      <c r="B937" s="31">
        <v>1</v>
      </c>
      <c r="C937" s="29" t="str">
        <f>LOOKUP(A937,'QALS - Inspection Lot Record'!$A$2:$A$361,'QALS - Inspection Lot Record'!$O$2:$O$361)</f>
        <v>Metformin Tablets (500 MG)</v>
      </c>
      <c r="D937" s="31">
        <v>80</v>
      </c>
      <c r="E937" s="29" t="s">
        <v>407</v>
      </c>
      <c r="F937" s="29" t="str">
        <f>LOOKUP(A937,'QALS - Inspection Lot Record'!A:A,'QALS - Inspection Lot Record'!G:G)</f>
        <v>TP397880</v>
      </c>
      <c r="G937" s="59">
        <f ca="1">LOOKUP(A937,'QALS - Inspection Lot Record'!A:A,'QALS - Inspection Lot Record'!E:E)</f>
        <v>45928</v>
      </c>
      <c r="H937" s="34" t="str">
        <f t="shared" si="75"/>
        <v>A</v>
      </c>
      <c r="I937" s="29" t="str">
        <f t="shared" si="71"/>
        <v>TP397880</v>
      </c>
      <c r="J937" s="59">
        <f t="shared" ca="1" si="72"/>
        <v>45928</v>
      </c>
      <c r="K937" s="30">
        <f ca="1">LOOKUP(A937,'QALS - Inspection Lot Record'!A:A,'QALS - Inspection Lot Record'!I:I)</f>
        <v>0.65550925925925929</v>
      </c>
      <c r="L937" s="59">
        <f t="shared" ca="1" si="73"/>
        <v>45928</v>
      </c>
      <c r="M937" s="30">
        <f t="shared" ca="1" si="74"/>
        <v>0.69028935185185192</v>
      </c>
      <c r="N937" s="31"/>
      <c r="O937" s="31">
        <v>25.5</v>
      </c>
      <c r="P937" s="29">
        <v>23</v>
      </c>
      <c r="Q937" s="29">
        <v>28</v>
      </c>
    </row>
    <row r="938" spans="1:17" x14ac:dyDescent="0.35">
      <c r="A938" s="26">
        <v>40000002618</v>
      </c>
      <c r="B938" s="27">
        <v>1</v>
      </c>
      <c r="C938" s="29" t="str">
        <f>LOOKUP(A938,'QALS - Inspection Lot Record'!$A$2:$A$361,'QALS - Inspection Lot Record'!$O$2:$O$361)</f>
        <v>Metformin Tablets (200 MG)</v>
      </c>
      <c r="D938" s="27">
        <v>10</v>
      </c>
      <c r="E938" s="26" t="s">
        <v>399</v>
      </c>
      <c r="F938" s="29" t="str">
        <f>LOOKUP(A938,'QALS - Inspection Lot Record'!A:A,'QALS - Inspection Lot Record'!G:G)</f>
        <v>YA284176</v>
      </c>
      <c r="G938" s="59">
        <f ca="1">LOOKUP(A938,'QALS - Inspection Lot Record'!A:A,'QALS - Inspection Lot Record'!E:E)</f>
        <v>45928</v>
      </c>
      <c r="H938" s="34" t="str">
        <f t="shared" si="75"/>
        <v>A</v>
      </c>
      <c r="I938" s="29" t="str">
        <f t="shared" si="71"/>
        <v>YA284176</v>
      </c>
      <c r="J938" s="59">
        <f t="shared" ca="1" si="72"/>
        <v>45928</v>
      </c>
      <c r="K938" s="30">
        <f ca="1">LOOKUP(A938,'QALS - Inspection Lot Record'!A:A,'QALS - Inspection Lot Record'!I:I)</f>
        <v>0.33932870370370372</v>
      </c>
      <c r="L938" s="59">
        <f t="shared" ca="1" si="73"/>
        <v>45928</v>
      </c>
      <c r="M938" s="30">
        <f t="shared" ca="1" si="74"/>
        <v>0.36180555555555555</v>
      </c>
      <c r="N938" s="31"/>
      <c r="O938" s="31">
        <v>99</v>
      </c>
      <c r="P938" s="29">
        <v>95</v>
      </c>
      <c r="Q938" s="29">
        <v>103</v>
      </c>
    </row>
    <row r="939" spans="1:17" x14ac:dyDescent="0.35">
      <c r="A939" s="26">
        <v>40000002618</v>
      </c>
      <c r="B939" s="27">
        <v>1</v>
      </c>
      <c r="C939" s="29" t="str">
        <f>LOOKUP(A939,'QALS - Inspection Lot Record'!$A$2:$A$361,'QALS - Inspection Lot Record'!$O$2:$O$361)</f>
        <v>Metformin Tablets (200 MG)</v>
      </c>
      <c r="D939" s="31">
        <v>20</v>
      </c>
      <c r="E939" s="29" t="s">
        <v>400</v>
      </c>
      <c r="F939" s="29" t="str">
        <f>LOOKUP(A939,'QALS - Inspection Lot Record'!A:A,'QALS - Inspection Lot Record'!G:G)</f>
        <v>YA284176</v>
      </c>
      <c r="G939" s="59">
        <f ca="1">LOOKUP(A939,'QALS - Inspection Lot Record'!A:A,'QALS - Inspection Lot Record'!E:E)</f>
        <v>45928</v>
      </c>
      <c r="H939" s="34" t="str">
        <f t="shared" si="75"/>
        <v>A</v>
      </c>
      <c r="I939" s="29" t="str">
        <f t="shared" si="71"/>
        <v>YA284176</v>
      </c>
      <c r="J939" s="59">
        <f t="shared" ca="1" si="72"/>
        <v>45928</v>
      </c>
      <c r="K939" s="30">
        <f ca="1">LOOKUP(A939,'QALS - Inspection Lot Record'!A:A,'QALS - Inspection Lot Record'!I:I)</f>
        <v>0.33932870370370372</v>
      </c>
      <c r="L939" s="59">
        <f t="shared" ca="1" si="73"/>
        <v>45928</v>
      </c>
      <c r="M939" s="30">
        <f t="shared" ca="1" si="74"/>
        <v>0.36903935185185188</v>
      </c>
      <c r="N939" s="31"/>
      <c r="O939" s="31">
        <v>7.75</v>
      </c>
      <c r="P939" s="29">
        <v>6</v>
      </c>
      <c r="Q939" s="29">
        <v>9.5</v>
      </c>
    </row>
    <row r="940" spans="1:17" x14ac:dyDescent="0.35">
      <c r="A940" s="26">
        <v>40000002618</v>
      </c>
      <c r="B940" s="31">
        <v>1</v>
      </c>
      <c r="C940" s="29" t="str">
        <f>LOOKUP(A940,'QALS - Inspection Lot Record'!$A$2:$A$361,'QALS - Inspection Lot Record'!$O$2:$O$361)</f>
        <v>Metformin Tablets (200 MG)</v>
      </c>
      <c r="D940" s="31">
        <v>30</v>
      </c>
      <c r="E940" s="29" t="s">
        <v>401</v>
      </c>
      <c r="F940" s="29" t="str">
        <f>LOOKUP(A940,'QALS - Inspection Lot Record'!A:A,'QALS - Inspection Lot Record'!G:G)</f>
        <v>YA284176</v>
      </c>
      <c r="G940" s="59">
        <f ca="1">LOOKUP(A940,'QALS - Inspection Lot Record'!A:A,'QALS - Inspection Lot Record'!E:E)</f>
        <v>45928</v>
      </c>
      <c r="H940" s="34" t="str">
        <f t="shared" si="75"/>
        <v>A</v>
      </c>
      <c r="I940" s="29" t="str">
        <f t="shared" si="71"/>
        <v>YA284176</v>
      </c>
      <c r="J940" s="59">
        <f t="shared" ca="1" si="72"/>
        <v>45928</v>
      </c>
      <c r="K940" s="30">
        <f ca="1">LOOKUP(A940,'QALS - Inspection Lot Record'!A:A,'QALS - Inspection Lot Record'!I:I)</f>
        <v>0.33932870370370372</v>
      </c>
      <c r="L940" s="59">
        <f t="shared" ca="1" si="73"/>
        <v>45928</v>
      </c>
      <c r="M940" s="30">
        <f t="shared" ca="1" si="74"/>
        <v>0.37070601851851853</v>
      </c>
      <c r="N940" s="11" t="s">
        <v>402</v>
      </c>
      <c r="O940" s="31"/>
      <c r="P940" s="29"/>
      <c r="Q940" s="29"/>
    </row>
    <row r="941" spans="1:17" x14ac:dyDescent="0.35">
      <c r="A941" s="26">
        <v>40000002618</v>
      </c>
      <c r="B941" s="31">
        <v>1</v>
      </c>
      <c r="C941" s="29" t="str">
        <f>LOOKUP(A941,'QALS - Inspection Lot Record'!$A$2:$A$361,'QALS - Inspection Lot Record'!$O$2:$O$361)</f>
        <v>Metformin Tablets (200 MG)</v>
      </c>
      <c r="D941" s="31">
        <v>40</v>
      </c>
      <c r="E941" s="29" t="s">
        <v>403</v>
      </c>
      <c r="F941" s="29" t="str">
        <f>LOOKUP(A941,'QALS - Inspection Lot Record'!A:A,'QALS - Inspection Lot Record'!G:G)</f>
        <v>YA284176</v>
      </c>
      <c r="G941" s="59">
        <f ca="1">LOOKUP(A941,'QALS - Inspection Lot Record'!A:A,'QALS - Inspection Lot Record'!E:E)</f>
        <v>45928</v>
      </c>
      <c r="H941" s="34" t="str">
        <f t="shared" si="75"/>
        <v>A</v>
      </c>
      <c r="I941" s="29" t="str">
        <f t="shared" si="71"/>
        <v>YA284176</v>
      </c>
      <c r="J941" s="59">
        <f t="shared" ca="1" si="72"/>
        <v>45928</v>
      </c>
      <c r="K941" s="30">
        <f ca="1">LOOKUP(A941,'QALS - Inspection Lot Record'!A:A,'QALS - Inspection Lot Record'!I:I)</f>
        <v>0.33932870370370372</v>
      </c>
      <c r="L941" s="59">
        <f t="shared" ca="1" si="73"/>
        <v>45928</v>
      </c>
      <c r="M941" s="30">
        <f t="shared" ca="1" si="74"/>
        <v>0.3578587962962963</v>
      </c>
      <c r="N941" s="31"/>
      <c r="O941" s="31">
        <v>0</v>
      </c>
      <c r="P941" s="29">
        <v>0</v>
      </c>
      <c r="Q941" s="29">
        <v>2</v>
      </c>
    </row>
    <row r="942" spans="1:17" x14ac:dyDescent="0.35">
      <c r="A942" s="26">
        <v>40000002618</v>
      </c>
      <c r="B942" s="31">
        <v>1</v>
      </c>
      <c r="C942" s="29" t="str">
        <f>LOOKUP(A942,'QALS - Inspection Lot Record'!$A$2:$A$361,'QALS - Inspection Lot Record'!$O$2:$O$361)</f>
        <v>Metformin Tablets (200 MG)</v>
      </c>
      <c r="D942" s="31">
        <v>50</v>
      </c>
      <c r="E942" s="29" t="s">
        <v>404</v>
      </c>
      <c r="F942" s="29" t="str">
        <f>LOOKUP(A942,'QALS - Inspection Lot Record'!A:A,'QALS - Inspection Lot Record'!G:G)</f>
        <v>YA284176</v>
      </c>
      <c r="G942" s="59">
        <f ca="1">LOOKUP(A942,'QALS - Inspection Lot Record'!A:A,'QALS - Inspection Lot Record'!E:E)</f>
        <v>45928</v>
      </c>
      <c r="H942" s="34" t="str">
        <f t="shared" si="75"/>
        <v>A</v>
      </c>
      <c r="I942" s="29" t="str">
        <f t="shared" si="71"/>
        <v>YA284176</v>
      </c>
      <c r="J942" s="59">
        <f t="shared" ca="1" si="72"/>
        <v>45928</v>
      </c>
      <c r="K942" s="30">
        <f ca="1">LOOKUP(A942,'QALS - Inspection Lot Record'!A:A,'QALS - Inspection Lot Record'!I:I)</f>
        <v>0.33932870370370372</v>
      </c>
      <c r="L942" s="59">
        <f t="shared" ca="1" si="73"/>
        <v>45928</v>
      </c>
      <c r="M942" s="30">
        <f t="shared" ca="1" si="74"/>
        <v>0.36010416666666667</v>
      </c>
      <c r="N942" s="31"/>
      <c r="O942" s="31">
        <v>50</v>
      </c>
      <c r="P942" s="29">
        <v>40</v>
      </c>
      <c r="Q942" s="29">
        <v>60</v>
      </c>
    </row>
    <row r="943" spans="1:17" x14ac:dyDescent="0.35">
      <c r="A943" s="26">
        <v>40000002618</v>
      </c>
      <c r="B943" s="31">
        <v>1</v>
      </c>
      <c r="C943" s="29" t="str">
        <f>LOOKUP(A943,'QALS - Inspection Lot Record'!$A$2:$A$361,'QALS - Inspection Lot Record'!$O$2:$O$361)</f>
        <v>Metformin Tablets (200 MG)</v>
      </c>
      <c r="D943" s="31">
        <v>60</v>
      </c>
      <c r="E943" s="29" t="s">
        <v>405</v>
      </c>
      <c r="F943" s="29" t="str">
        <f>LOOKUP(A943,'QALS - Inspection Lot Record'!A:A,'QALS - Inspection Lot Record'!G:G)</f>
        <v>YA284176</v>
      </c>
      <c r="G943" s="59">
        <f ca="1">LOOKUP(A943,'QALS - Inspection Lot Record'!A:A,'QALS - Inspection Lot Record'!E:E)</f>
        <v>45928</v>
      </c>
      <c r="H943" s="34" t="str">
        <f t="shared" si="75"/>
        <v>A</v>
      </c>
      <c r="I943" s="29" t="str">
        <f t="shared" si="71"/>
        <v>YA284176</v>
      </c>
      <c r="J943" s="59">
        <f t="shared" ca="1" si="72"/>
        <v>45928</v>
      </c>
      <c r="K943" s="30">
        <f ca="1">LOOKUP(A943,'QALS - Inspection Lot Record'!A:A,'QALS - Inspection Lot Record'!I:I)</f>
        <v>0.33932870370370372</v>
      </c>
      <c r="L943" s="59">
        <f t="shared" ca="1" si="73"/>
        <v>45928</v>
      </c>
      <c r="M943" s="30">
        <f t="shared" ca="1" si="74"/>
        <v>0.357025462962963</v>
      </c>
      <c r="N943" s="31"/>
      <c r="O943" s="31">
        <v>77.5</v>
      </c>
      <c r="P943" s="29">
        <v>70</v>
      </c>
      <c r="Q943" s="29">
        <v>85</v>
      </c>
    </row>
    <row r="944" spans="1:17" x14ac:dyDescent="0.35">
      <c r="A944" s="26">
        <v>40000002618</v>
      </c>
      <c r="B944" s="31">
        <v>1</v>
      </c>
      <c r="C944" s="29" t="str">
        <f>LOOKUP(A944,'QALS - Inspection Lot Record'!$A$2:$A$361,'QALS - Inspection Lot Record'!$O$2:$O$361)</f>
        <v>Metformin Tablets (200 MG)</v>
      </c>
      <c r="D944" s="31">
        <v>70</v>
      </c>
      <c r="E944" s="29" t="s">
        <v>406</v>
      </c>
      <c r="F944" s="29" t="str">
        <f>LOOKUP(A944,'QALS - Inspection Lot Record'!A:A,'QALS - Inspection Lot Record'!G:G)</f>
        <v>YA284176</v>
      </c>
      <c r="G944" s="59">
        <f ca="1">LOOKUP(A944,'QALS - Inspection Lot Record'!A:A,'QALS - Inspection Lot Record'!E:E)</f>
        <v>45928</v>
      </c>
      <c r="H944" s="34" t="str">
        <f t="shared" si="75"/>
        <v>A</v>
      </c>
      <c r="I944" s="29" t="str">
        <f t="shared" si="71"/>
        <v>YA284176</v>
      </c>
      <c r="J944" s="59">
        <f t="shared" ca="1" si="72"/>
        <v>45928</v>
      </c>
      <c r="K944" s="30">
        <f ca="1">LOOKUP(A944,'QALS - Inspection Lot Record'!A:A,'QALS - Inspection Lot Record'!I:I)</f>
        <v>0.33932870370370372</v>
      </c>
      <c r="L944" s="59">
        <f t="shared" ca="1" si="73"/>
        <v>45928</v>
      </c>
      <c r="M944" s="30">
        <f t="shared" ca="1" si="74"/>
        <v>0.36982638888888891</v>
      </c>
      <c r="N944" s="31"/>
      <c r="O944" s="31">
        <v>81.400000000000006</v>
      </c>
      <c r="P944" s="29">
        <v>80</v>
      </c>
      <c r="Q944" s="29">
        <v>90</v>
      </c>
    </row>
    <row r="945" spans="1:17" x14ac:dyDescent="0.35">
      <c r="A945" s="26">
        <v>40000002618</v>
      </c>
      <c r="B945" s="31">
        <v>1</v>
      </c>
      <c r="C945" s="29" t="str">
        <f>LOOKUP(A945,'QALS - Inspection Lot Record'!$A$2:$A$361,'QALS - Inspection Lot Record'!$O$2:$O$361)</f>
        <v>Metformin Tablets (200 MG)</v>
      </c>
      <c r="D945" s="31">
        <v>80</v>
      </c>
      <c r="E945" s="29" t="s">
        <v>407</v>
      </c>
      <c r="F945" s="29" t="str">
        <f>LOOKUP(A945,'QALS - Inspection Lot Record'!A:A,'QALS - Inspection Lot Record'!G:G)</f>
        <v>YA284176</v>
      </c>
      <c r="G945" s="59">
        <f ca="1">LOOKUP(A945,'QALS - Inspection Lot Record'!A:A,'QALS - Inspection Lot Record'!E:E)</f>
        <v>45928</v>
      </c>
      <c r="H945" s="34" t="str">
        <f t="shared" si="75"/>
        <v>A</v>
      </c>
      <c r="I945" s="29" t="str">
        <f t="shared" si="71"/>
        <v>YA284176</v>
      </c>
      <c r="J945" s="59">
        <f t="shared" ca="1" si="72"/>
        <v>45928</v>
      </c>
      <c r="K945" s="30">
        <f ca="1">LOOKUP(A945,'QALS - Inspection Lot Record'!A:A,'QALS - Inspection Lot Record'!I:I)</f>
        <v>0.33932870370370372</v>
      </c>
      <c r="L945" s="59">
        <f t="shared" ca="1" si="73"/>
        <v>45928</v>
      </c>
      <c r="M945" s="30">
        <f t="shared" ca="1" si="74"/>
        <v>0.36761574074074077</v>
      </c>
      <c r="N945" s="31"/>
      <c r="O945" s="31">
        <v>25.5</v>
      </c>
      <c r="P945" s="29">
        <v>23</v>
      </c>
      <c r="Q945" s="29">
        <v>28</v>
      </c>
    </row>
    <row r="946" spans="1:17" x14ac:dyDescent="0.35">
      <c r="A946" s="26">
        <v>40000002619</v>
      </c>
      <c r="B946" s="27">
        <v>1</v>
      </c>
      <c r="C946" s="29" t="str">
        <f>LOOKUP(A946,'QALS - Inspection Lot Record'!$A$2:$A$361,'QALS - Inspection Lot Record'!$O$2:$O$361)</f>
        <v>Ibuprofen Tablets (100 MG)</v>
      </c>
      <c r="D946" s="27">
        <v>10</v>
      </c>
      <c r="E946" s="26" t="s">
        <v>399</v>
      </c>
      <c r="F946" s="29" t="str">
        <f>LOOKUP(A946,'QALS - Inspection Lot Record'!A:A,'QALS - Inspection Lot Record'!G:G)</f>
        <v>ZK384180</v>
      </c>
      <c r="G946" s="59">
        <f ca="1">LOOKUP(A946,'QALS - Inspection Lot Record'!A:A,'QALS - Inspection Lot Record'!E:E)</f>
        <v>45929</v>
      </c>
      <c r="H946" s="34" t="str">
        <f t="shared" si="75"/>
        <v>R</v>
      </c>
      <c r="I946" s="29" t="str">
        <f t="shared" si="71"/>
        <v>ZK384180</v>
      </c>
      <c r="J946" s="59">
        <f t="shared" ca="1" si="72"/>
        <v>45929</v>
      </c>
      <c r="K946" s="30">
        <f ca="1">LOOKUP(A946,'QALS - Inspection Lot Record'!A:A,'QALS - Inspection Lot Record'!I:I)</f>
        <v>0.67122685185185182</v>
      </c>
      <c r="L946" s="59">
        <f t="shared" ca="1" si="73"/>
        <v>45929</v>
      </c>
      <c r="M946" s="30">
        <f t="shared" ca="1" si="74"/>
        <v>0.69917824074074075</v>
      </c>
      <c r="N946" s="31"/>
      <c r="O946" s="31">
        <v>93.2</v>
      </c>
      <c r="P946" s="29">
        <v>95</v>
      </c>
      <c r="Q946" s="29">
        <v>102</v>
      </c>
    </row>
    <row r="947" spans="1:17" x14ac:dyDescent="0.35">
      <c r="A947" s="26">
        <v>40000002619</v>
      </c>
      <c r="B947" s="27">
        <v>1</v>
      </c>
      <c r="C947" s="29" t="str">
        <f>LOOKUP(A947,'QALS - Inspection Lot Record'!$A$2:$A$361,'QALS - Inspection Lot Record'!$O$2:$O$361)</f>
        <v>Ibuprofen Tablets (100 MG)</v>
      </c>
      <c r="D947" s="31">
        <v>20</v>
      </c>
      <c r="E947" s="29" t="s">
        <v>400</v>
      </c>
      <c r="F947" s="29" t="str">
        <f>LOOKUP(A947,'QALS - Inspection Lot Record'!A:A,'QALS - Inspection Lot Record'!G:G)</f>
        <v>ZK384180</v>
      </c>
      <c r="G947" s="59">
        <f ca="1">LOOKUP(A947,'QALS - Inspection Lot Record'!A:A,'QALS - Inspection Lot Record'!E:E)</f>
        <v>45929</v>
      </c>
      <c r="H947" s="34" t="str">
        <f t="shared" si="75"/>
        <v>A</v>
      </c>
      <c r="I947" s="29" t="str">
        <f t="shared" si="71"/>
        <v>ZK384180</v>
      </c>
      <c r="J947" s="59">
        <f t="shared" ca="1" si="72"/>
        <v>45929</v>
      </c>
      <c r="K947" s="30">
        <f ca="1">LOOKUP(A947,'QALS - Inspection Lot Record'!A:A,'QALS - Inspection Lot Record'!I:I)</f>
        <v>0.67122685185185182</v>
      </c>
      <c r="L947" s="59">
        <f t="shared" ca="1" si="73"/>
        <v>45929</v>
      </c>
      <c r="M947" s="30">
        <f t="shared" ca="1" si="74"/>
        <v>0.69</v>
      </c>
      <c r="N947" s="31"/>
      <c r="O947" s="31">
        <v>7.25</v>
      </c>
      <c r="P947" s="29">
        <v>3.5</v>
      </c>
      <c r="Q947" s="29">
        <v>11</v>
      </c>
    </row>
    <row r="948" spans="1:17" x14ac:dyDescent="0.35">
      <c r="A948" s="26">
        <v>40000002619</v>
      </c>
      <c r="B948" s="31">
        <v>1</v>
      </c>
      <c r="C948" s="29" t="str">
        <f>LOOKUP(A948,'QALS - Inspection Lot Record'!$A$2:$A$361,'QALS - Inspection Lot Record'!$O$2:$O$361)</f>
        <v>Ibuprofen Tablets (100 MG)</v>
      </c>
      <c r="D948" s="31">
        <v>30</v>
      </c>
      <c r="E948" s="29" t="s">
        <v>401</v>
      </c>
      <c r="F948" s="29" t="str">
        <f>LOOKUP(A948,'QALS - Inspection Lot Record'!A:A,'QALS - Inspection Lot Record'!G:G)</f>
        <v>ZK384180</v>
      </c>
      <c r="G948" s="59">
        <f ca="1">LOOKUP(A948,'QALS - Inspection Lot Record'!A:A,'QALS - Inspection Lot Record'!E:E)</f>
        <v>45929</v>
      </c>
      <c r="H948" s="34" t="str">
        <f t="shared" si="75"/>
        <v>A</v>
      </c>
      <c r="I948" s="29" t="str">
        <f t="shared" si="71"/>
        <v>ZK384180</v>
      </c>
      <c r="J948" s="59">
        <f t="shared" ca="1" si="72"/>
        <v>45929</v>
      </c>
      <c r="K948" s="30">
        <f ca="1">LOOKUP(A948,'QALS - Inspection Lot Record'!A:A,'QALS - Inspection Lot Record'!I:I)</f>
        <v>0.67122685185185182</v>
      </c>
      <c r="L948" s="59">
        <f t="shared" ca="1" si="73"/>
        <v>45929</v>
      </c>
      <c r="M948" s="30">
        <f t="shared" ca="1" si="74"/>
        <v>0.7041898148148148</v>
      </c>
      <c r="N948" s="11" t="s">
        <v>402</v>
      </c>
      <c r="O948" s="31"/>
      <c r="P948" s="29"/>
      <c r="Q948" s="29"/>
    </row>
    <row r="949" spans="1:17" x14ac:dyDescent="0.35">
      <c r="A949" s="26">
        <v>40000002619</v>
      </c>
      <c r="B949" s="31">
        <v>1</v>
      </c>
      <c r="C949" s="29" t="str">
        <f>LOOKUP(A949,'QALS - Inspection Lot Record'!$A$2:$A$361,'QALS - Inspection Lot Record'!$O$2:$O$361)</f>
        <v>Ibuprofen Tablets (100 MG)</v>
      </c>
      <c r="D949" s="31">
        <v>40</v>
      </c>
      <c r="E949" s="29" t="s">
        <v>403</v>
      </c>
      <c r="F949" s="29" t="str">
        <f>LOOKUP(A949,'QALS - Inspection Lot Record'!A:A,'QALS - Inspection Lot Record'!G:G)</f>
        <v>ZK384180</v>
      </c>
      <c r="G949" s="59">
        <f ca="1">LOOKUP(A949,'QALS - Inspection Lot Record'!A:A,'QALS - Inspection Lot Record'!E:E)</f>
        <v>45929</v>
      </c>
      <c r="H949" s="34" t="str">
        <f t="shared" si="75"/>
        <v>A</v>
      </c>
      <c r="I949" s="29" t="str">
        <f t="shared" si="71"/>
        <v>ZK384180</v>
      </c>
      <c r="J949" s="59">
        <f t="shared" ca="1" si="72"/>
        <v>45929</v>
      </c>
      <c r="K949" s="30">
        <f ca="1">LOOKUP(A949,'QALS - Inspection Lot Record'!A:A,'QALS - Inspection Lot Record'!I:I)</f>
        <v>0.67122685185185182</v>
      </c>
      <c r="L949" s="59">
        <f t="shared" ca="1" si="73"/>
        <v>45929</v>
      </c>
      <c r="M949" s="30">
        <f t="shared" ca="1" si="74"/>
        <v>0.70586805555555554</v>
      </c>
      <c r="N949" s="31"/>
      <c r="O949" s="31">
        <v>0</v>
      </c>
      <c r="P949" s="29">
        <v>0</v>
      </c>
      <c r="Q949" s="29">
        <v>1</v>
      </c>
    </row>
    <row r="950" spans="1:17" x14ac:dyDescent="0.35">
      <c r="A950" s="26">
        <v>40000002619</v>
      </c>
      <c r="B950" s="31">
        <v>1</v>
      </c>
      <c r="C950" s="29" t="str">
        <f>LOOKUP(A950,'QALS - Inspection Lot Record'!$A$2:$A$361,'QALS - Inspection Lot Record'!$O$2:$O$361)</f>
        <v>Ibuprofen Tablets (100 MG)</v>
      </c>
      <c r="D950" s="31">
        <v>50</v>
      </c>
      <c r="E950" s="29" t="s">
        <v>404</v>
      </c>
      <c r="F950" s="29" t="str">
        <f>LOOKUP(A950,'QALS - Inspection Lot Record'!A:A,'QALS - Inspection Lot Record'!G:G)</f>
        <v>ZK384180</v>
      </c>
      <c r="G950" s="59">
        <f ca="1">LOOKUP(A950,'QALS - Inspection Lot Record'!A:A,'QALS - Inspection Lot Record'!E:E)</f>
        <v>45929</v>
      </c>
      <c r="H950" s="34" t="str">
        <f t="shared" si="75"/>
        <v>A</v>
      </c>
      <c r="I950" s="29" t="str">
        <f t="shared" si="71"/>
        <v>ZK384180</v>
      </c>
      <c r="J950" s="59">
        <f t="shared" ca="1" si="72"/>
        <v>45929</v>
      </c>
      <c r="K950" s="30">
        <f ca="1">LOOKUP(A950,'QALS - Inspection Lot Record'!A:A,'QALS - Inspection Lot Record'!I:I)</f>
        <v>0.67122685185185182</v>
      </c>
      <c r="L950" s="59">
        <f t="shared" ca="1" si="73"/>
        <v>45929</v>
      </c>
      <c r="M950" s="30">
        <f t="shared" ca="1" si="74"/>
        <v>0.70089120370370372</v>
      </c>
      <c r="N950" s="31"/>
      <c r="O950" s="31">
        <v>50</v>
      </c>
      <c r="P950" s="29">
        <v>40</v>
      </c>
      <c r="Q950" s="29">
        <v>60</v>
      </c>
    </row>
    <row r="951" spans="1:17" x14ac:dyDescent="0.35">
      <c r="A951" s="26">
        <v>40000002619</v>
      </c>
      <c r="B951" s="31">
        <v>1</v>
      </c>
      <c r="C951" s="29" t="str">
        <f>LOOKUP(A951,'QALS - Inspection Lot Record'!$A$2:$A$361,'QALS - Inspection Lot Record'!$O$2:$O$361)</f>
        <v>Ibuprofen Tablets (100 MG)</v>
      </c>
      <c r="D951" s="31">
        <v>60</v>
      </c>
      <c r="E951" s="29" t="s">
        <v>405</v>
      </c>
      <c r="F951" s="29" t="str">
        <f>LOOKUP(A951,'QALS - Inspection Lot Record'!A:A,'QALS - Inspection Lot Record'!G:G)</f>
        <v>ZK384180</v>
      </c>
      <c r="G951" s="59">
        <f ca="1">LOOKUP(A951,'QALS - Inspection Lot Record'!A:A,'QALS - Inspection Lot Record'!E:E)</f>
        <v>45929</v>
      </c>
      <c r="H951" s="34" t="str">
        <f t="shared" si="75"/>
        <v>A</v>
      </c>
      <c r="I951" s="29" t="str">
        <f t="shared" si="71"/>
        <v>ZK384180</v>
      </c>
      <c r="J951" s="59">
        <f t="shared" ca="1" si="72"/>
        <v>45929</v>
      </c>
      <c r="K951" s="30">
        <f ca="1">LOOKUP(A951,'QALS - Inspection Lot Record'!A:A,'QALS - Inspection Lot Record'!I:I)</f>
        <v>0.67122685185185182</v>
      </c>
      <c r="L951" s="59">
        <f t="shared" ca="1" si="73"/>
        <v>45929</v>
      </c>
      <c r="M951" s="30">
        <f t="shared" ca="1" si="74"/>
        <v>0.69457175925925918</v>
      </c>
      <c r="N951" s="31"/>
      <c r="O951" s="31">
        <v>77.5</v>
      </c>
      <c r="P951" s="29">
        <v>70</v>
      </c>
      <c r="Q951" s="29">
        <v>85</v>
      </c>
    </row>
    <row r="952" spans="1:17" x14ac:dyDescent="0.35">
      <c r="A952" s="26">
        <v>40000002619</v>
      </c>
      <c r="B952" s="31">
        <v>1</v>
      </c>
      <c r="C952" s="29" t="str">
        <f>LOOKUP(A952,'QALS - Inspection Lot Record'!$A$2:$A$361,'QALS - Inspection Lot Record'!$O$2:$O$361)</f>
        <v>Ibuprofen Tablets (100 MG)</v>
      </c>
      <c r="D952" s="31">
        <v>70</v>
      </c>
      <c r="E952" s="29" t="s">
        <v>406</v>
      </c>
      <c r="F952" s="29" t="str">
        <f>LOOKUP(A952,'QALS - Inspection Lot Record'!A:A,'QALS - Inspection Lot Record'!G:G)</f>
        <v>ZK384180</v>
      </c>
      <c r="G952" s="59">
        <f ca="1">LOOKUP(A952,'QALS - Inspection Lot Record'!A:A,'QALS - Inspection Lot Record'!E:E)</f>
        <v>45929</v>
      </c>
      <c r="H952" s="34" t="str">
        <f t="shared" si="75"/>
        <v>A</v>
      </c>
      <c r="I952" s="29" t="str">
        <f t="shared" si="71"/>
        <v>ZK384180</v>
      </c>
      <c r="J952" s="59">
        <f t="shared" ca="1" si="72"/>
        <v>45929</v>
      </c>
      <c r="K952" s="30">
        <f ca="1">LOOKUP(A952,'QALS - Inspection Lot Record'!A:A,'QALS - Inspection Lot Record'!I:I)</f>
        <v>0.67122685185185182</v>
      </c>
      <c r="L952" s="59">
        <f t="shared" ca="1" si="73"/>
        <v>45929</v>
      </c>
      <c r="M952" s="30">
        <f t="shared" ca="1" si="74"/>
        <v>0.6959143518518518</v>
      </c>
      <c r="N952" s="31"/>
      <c r="O952" s="31">
        <v>85</v>
      </c>
      <c r="P952" s="29">
        <v>80</v>
      </c>
      <c r="Q952" s="29">
        <v>90</v>
      </c>
    </row>
    <row r="953" spans="1:17" x14ac:dyDescent="0.35">
      <c r="A953" s="26">
        <v>40000002619</v>
      </c>
      <c r="B953" s="31">
        <v>1</v>
      </c>
      <c r="C953" s="29" t="str">
        <f>LOOKUP(A953,'QALS - Inspection Lot Record'!$A$2:$A$361,'QALS - Inspection Lot Record'!$O$2:$O$361)</f>
        <v>Ibuprofen Tablets (100 MG)</v>
      </c>
      <c r="D953" s="31">
        <v>80</v>
      </c>
      <c r="E953" s="29" t="s">
        <v>407</v>
      </c>
      <c r="F953" s="29" t="str">
        <f>LOOKUP(A953,'QALS - Inspection Lot Record'!A:A,'QALS - Inspection Lot Record'!G:G)</f>
        <v>ZK384180</v>
      </c>
      <c r="G953" s="59">
        <f ca="1">LOOKUP(A953,'QALS - Inspection Lot Record'!A:A,'QALS - Inspection Lot Record'!E:E)</f>
        <v>45929</v>
      </c>
      <c r="H953" s="34" t="str">
        <f t="shared" si="75"/>
        <v>A</v>
      </c>
      <c r="I953" s="29" t="str">
        <f t="shared" si="71"/>
        <v>ZK384180</v>
      </c>
      <c r="J953" s="59">
        <f t="shared" ca="1" si="72"/>
        <v>45929</v>
      </c>
      <c r="K953" s="30">
        <f ca="1">LOOKUP(A953,'QALS - Inspection Lot Record'!A:A,'QALS - Inspection Lot Record'!I:I)</f>
        <v>0.67122685185185182</v>
      </c>
      <c r="L953" s="59">
        <f t="shared" ca="1" si="73"/>
        <v>45929</v>
      </c>
      <c r="M953" s="30">
        <f t="shared" ca="1" si="74"/>
        <v>0.6943287037037037</v>
      </c>
      <c r="N953" s="31"/>
      <c r="O953" s="31">
        <v>24</v>
      </c>
      <c r="P953" s="29">
        <v>23</v>
      </c>
      <c r="Q953" s="29">
        <v>25</v>
      </c>
    </row>
    <row r="954" spans="1:17" x14ac:dyDescent="0.35">
      <c r="A954" s="26">
        <v>40000002620</v>
      </c>
      <c r="B954" s="27">
        <v>1</v>
      </c>
      <c r="C954" s="29" t="str">
        <f>LOOKUP(A954,'QALS - Inspection Lot Record'!$A$2:$A$361,'QALS - Inspection Lot Record'!$O$2:$O$361)</f>
        <v>Metformin Tablets (500 MG)</v>
      </c>
      <c r="D954" s="27">
        <v>10</v>
      </c>
      <c r="E954" s="26" t="s">
        <v>399</v>
      </c>
      <c r="F954" s="29" t="str">
        <f>LOOKUP(A954,'QALS - Inspection Lot Record'!A:A,'QALS - Inspection Lot Record'!G:G)</f>
        <v>GC197258</v>
      </c>
      <c r="G954" s="59">
        <f ca="1">LOOKUP(A954,'QALS - Inspection Lot Record'!A:A,'QALS - Inspection Lot Record'!E:E)</f>
        <v>45929</v>
      </c>
      <c r="H954" s="34" t="str">
        <f t="shared" si="75"/>
        <v>A</v>
      </c>
      <c r="I954" s="29" t="str">
        <f t="shared" si="71"/>
        <v>GC197258</v>
      </c>
      <c r="J954" s="59">
        <f t="shared" ca="1" si="72"/>
        <v>45929</v>
      </c>
      <c r="K954" s="30">
        <f ca="1">LOOKUP(A954,'QALS - Inspection Lot Record'!A:A,'QALS - Inspection Lot Record'!I:I)</f>
        <v>0.45594907407407409</v>
      </c>
      <c r="L954" s="59">
        <f t="shared" ca="1" si="73"/>
        <v>45929</v>
      </c>
      <c r="M954" s="30">
        <f t="shared" ca="1" si="74"/>
        <v>0.48494212962962963</v>
      </c>
      <c r="N954" s="31"/>
      <c r="O954" s="31">
        <v>100</v>
      </c>
      <c r="P954" s="29">
        <v>95</v>
      </c>
      <c r="Q954" s="29">
        <v>105</v>
      </c>
    </row>
    <row r="955" spans="1:17" x14ac:dyDescent="0.35">
      <c r="A955" s="26">
        <v>40000002620</v>
      </c>
      <c r="B955" s="27">
        <v>1</v>
      </c>
      <c r="C955" s="29" t="str">
        <f>LOOKUP(A955,'QALS - Inspection Lot Record'!$A$2:$A$361,'QALS - Inspection Lot Record'!$O$2:$O$361)</f>
        <v>Metformin Tablets (500 MG)</v>
      </c>
      <c r="D955" s="31">
        <v>20</v>
      </c>
      <c r="E955" s="29" t="s">
        <v>400</v>
      </c>
      <c r="F955" s="29" t="str">
        <f>LOOKUP(A955,'QALS - Inspection Lot Record'!A:A,'QALS - Inspection Lot Record'!G:G)</f>
        <v>GC197258</v>
      </c>
      <c r="G955" s="59">
        <f ca="1">LOOKUP(A955,'QALS - Inspection Lot Record'!A:A,'QALS - Inspection Lot Record'!E:E)</f>
        <v>45929</v>
      </c>
      <c r="H955" s="34" t="str">
        <f t="shared" si="75"/>
        <v>A</v>
      </c>
      <c r="I955" s="29" t="str">
        <f t="shared" si="71"/>
        <v>GC197258</v>
      </c>
      <c r="J955" s="59">
        <f t="shared" ca="1" si="72"/>
        <v>45929</v>
      </c>
      <c r="K955" s="30">
        <f ca="1">LOOKUP(A955,'QALS - Inspection Lot Record'!A:A,'QALS - Inspection Lot Record'!I:I)</f>
        <v>0.45594907407407409</v>
      </c>
      <c r="L955" s="59">
        <f t="shared" ca="1" si="73"/>
        <v>45929</v>
      </c>
      <c r="M955" s="30">
        <f t="shared" ca="1" si="74"/>
        <v>0.48373842592592592</v>
      </c>
      <c r="N955" s="31"/>
      <c r="O955" s="31">
        <v>7.25</v>
      </c>
      <c r="P955" s="29">
        <v>3.5</v>
      </c>
      <c r="Q955" s="29">
        <v>11</v>
      </c>
    </row>
    <row r="956" spans="1:17" x14ac:dyDescent="0.35">
      <c r="A956" s="26">
        <v>40000002620</v>
      </c>
      <c r="B956" s="31">
        <v>1</v>
      </c>
      <c r="C956" s="29" t="str">
        <f>LOOKUP(A956,'QALS - Inspection Lot Record'!$A$2:$A$361,'QALS - Inspection Lot Record'!$O$2:$O$361)</f>
        <v>Metformin Tablets (500 MG)</v>
      </c>
      <c r="D956" s="31">
        <v>30</v>
      </c>
      <c r="E956" s="29" t="s">
        <v>401</v>
      </c>
      <c r="F956" s="29" t="str">
        <f>LOOKUP(A956,'QALS - Inspection Lot Record'!A:A,'QALS - Inspection Lot Record'!G:G)</f>
        <v>GC197258</v>
      </c>
      <c r="G956" s="59">
        <f ca="1">LOOKUP(A956,'QALS - Inspection Lot Record'!A:A,'QALS - Inspection Lot Record'!E:E)</f>
        <v>45929</v>
      </c>
      <c r="H956" s="34" t="str">
        <f t="shared" si="75"/>
        <v>A</v>
      </c>
      <c r="I956" s="29" t="str">
        <f t="shared" si="71"/>
        <v>GC197258</v>
      </c>
      <c r="J956" s="59">
        <f t="shared" ca="1" si="72"/>
        <v>45929</v>
      </c>
      <c r="K956" s="30">
        <f ca="1">LOOKUP(A956,'QALS - Inspection Lot Record'!A:A,'QALS - Inspection Lot Record'!I:I)</f>
        <v>0.45594907407407409</v>
      </c>
      <c r="L956" s="59">
        <f t="shared" ca="1" si="73"/>
        <v>45929</v>
      </c>
      <c r="M956" s="30">
        <f t="shared" ca="1" si="74"/>
        <v>0.47997685185185185</v>
      </c>
      <c r="N956" s="11" t="s">
        <v>402</v>
      </c>
      <c r="O956" s="31"/>
      <c r="P956" s="29"/>
      <c r="Q956" s="29"/>
    </row>
    <row r="957" spans="1:17" x14ac:dyDescent="0.35">
      <c r="A957" s="26">
        <v>40000002620</v>
      </c>
      <c r="B957" s="31">
        <v>1</v>
      </c>
      <c r="C957" s="29" t="str">
        <f>LOOKUP(A957,'QALS - Inspection Lot Record'!$A$2:$A$361,'QALS - Inspection Lot Record'!$O$2:$O$361)</f>
        <v>Metformin Tablets (500 MG)</v>
      </c>
      <c r="D957" s="31">
        <v>40</v>
      </c>
      <c r="E957" s="29" t="s">
        <v>403</v>
      </c>
      <c r="F957" s="29" t="str">
        <f>LOOKUP(A957,'QALS - Inspection Lot Record'!A:A,'QALS - Inspection Lot Record'!G:G)</f>
        <v>GC197258</v>
      </c>
      <c r="G957" s="59">
        <f ca="1">LOOKUP(A957,'QALS - Inspection Lot Record'!A:A,'QALS - Inspection Lot Record'!E:E)</f>
        <v>45929</v>
      </c>
      <c r="H957" s="34" t="str">
        <f t="shared" si="75"/>
        <v>A</v>
      </c>
      <c r="I957" s="29" t="str">
        <f t="shared" si="71"/>
        <v>GC197258</v>
      </c>
      <c r="J957" s="59">
        <f t="shared" ca="1" si="72"/>
        <v>45929</v>
      </c>
      <c r="K957" s="30">
        <f ca="1">LOOKUP(A957,'QALS - Inspection Lot Record'!A:A,'QALS - Inspection Lot Record'!I:I)</f>
        <v>0.45594907407407409</v>
      </c>
      <c r="L957" s="59">
        <f t="shared" ca="1" si="73"/>
        <v>45929</v>
      </c>
      <c r="M957" s="30">
        <f t="shared" ca="1" si="74"/>
        <v>0.47598379629629634</v>
      </c>
      <c r="N957" s="31"/>
      <c r="O957" s="31">
        <v>0</v>
      </c>
      <c r="P957" s="29">
        <v>0</v>
      </c>
      <c r="Q957" s="29">
        <v>2</v>
      </c>
    </row>
    <row r="958" spans="1:17" x14ac:dyDescent="0.35">
      <c r="A958" s="26">
        <v>40000002620</v>
      </c>
      <c r="B958" s="31">
        <v>1</v>
      </c>
      <c r="C958" s="29" t="str">
        <f>LOOKUP(A958,'QALS - Inspection Lot Record'!$A$2:$A$361,'QALS - Inspection Lot Record'!$O$2:$O$361)</f>
        <v>Metformin Tablets (500 MG)</v>
      </c>
      <c r="D958" s="31">
        <v>50</v>
      </c>
      <c r="E958" s="29" t="s">
        <v>404</v>
      </c>
      <c r="F958" s="29" t="str">
        <f>LOOKUP(A958,'QALS - Inspection Lot Record'!A:A,'QALS - Inspection Lot Record'!G:G)</f>
        <v>GC197258</v>
      </c>
      <c r="G958" s="59">
        <f ca="1">LOOKUP(A958,'QALS - Inspection Lot Record'!A:A,'QALS - Inspection Lot Record'!E:E)</f>
        <v>45929</v>
      </c>
      <c r="H958" s="34" t="str">
        <f t="shared" si="75"/>
        <v>A</v>
      </c>
      <c r="I958" s="29" t="str">
        <f t="shared" si="71"/>
        <v>GC197258</v>
      </c>
      <c r="J958" s="59">
        <f t="shared" ca="1" si="72"/>
        <v>45929</v>
      </c>
      <c r="K958" s="30">
        <f ca="1">LOOKUP(A958,'QALS - Inspection Lot Record'!A:A,'QALS - Inspection Lot Record'!I:I)</f>
        <v>0.45594907407407409</v>
      </c>
      <c r="L958" s="59">
        <f t="shared" ca="1" si="73"/>
        <v>45929</v>
      </c>
      <c r="M958" s="30">
        <f t="shared" ca="1" si="74"/>
        <v>0.47498842592592594</v>
      </c>
      <c r="N958" s="31"/>
      <c r="O958" s="31">
        <v>50</v>
      </c>
      <c r="P958" s="29">
        <v>40</v>
      </c>
      <c r="Q958" s="29">
        <v>60</v>
      </c>
    </row>
    <row r="959" spans="1:17" x14ac:dyDescent="0.35">
      <c r="A959" s="26">
        <v>40000002620</v>
      </c>
      <c r="B959" s="31">
        <v>1</v>
      </c>
      <c r="C959" s="29" t="str">
        <f>LOOKUP(A959,'QALS - Inspection Lot Record'!$A$2:$A$361,'QALS - Inspection Lot Record'!$O$2:$O$361)</f>
        <v>Metformin Tablets (500 MG)</v>
      </c>
      <c r="D959" s="31">
        <v>60</v>
      </c>
      <c r="E959" s="29" t="s">
        <v>405</v>
      </c>
      <c r="F959" s="29" t="str">
        <f>LOOKUP(A959,'QALS - Inspection Lot Record'!A:A,'QALS - Inspection Lot Record'!G:G)</f>
        <v>GC197258</v>
      </c>
      <c r="G959" s="59">
        <f ca="1">LOOKUP(A959,'QALS - Inspection Lot Record'!A:A,'QALS - Inspection Lot Record'!E:E)</f>
        <v>45929</v>
      </c>
      <c r="H959" s="34" t="str">
        <f t="shared" si="75"/>
        <v>A</v>
      </c>
      <c r="I959" s="29" t="str">
        <f t="shared" si="71"/>
        <v>GC197258</v>
      </c>
      <c r="J959" s="59">
        <f t="shared" ca="1" si="72"/>
        <v>45929</v>
      </c>
      <c r="K959" s="30">
        <f ca="1">LOOKUP(A959,'QALS - Inspection Lot Record'!A:A,'QALS - Inspection Lot Record'!I:I)</f>
        <v>0.45594907407407409</v>
      </c>
      <c r="L959" s="59">
        <f t="shared" ca="1" si="73"/>
        <v>45929</v>
      </c>
      <c r="M959" s="30">
        <f t="shared" ca="1" si="74"/>
        <v>0.48068287037037039</v>
      </c>
      <c r="N959" s="31"/>
      <c r="O959" s="31">
        <v>77.5</v>
      </c>
      <c r="P959" s="29">
        <v>70</v>
      </c>
      <c r="Q959" s="29">
        <v>85</v>
      </c>
    </row>
    <row r="960" spans="1:17" x14ac:dyDescent="0.35">
      <c r="A960" s="26">
        <v>40000002620</v>
      </c>
      <c r="B960" s="31">
        <v>1</v>
      </c>
      <c r="C960" s="29" t="str">
        <f>LOOKUP(A960,'QALS - Inspection Lot Record'!$A$2:$A$361,'QALS - Inspection Lot Record'!$O$2:$O$361)</f>
        <v>Metformin Tablets (500 MG)</v>
      </c>
      <c r="D960" s="31">
        <v>70</v>
      </c>
      <c r="E960" s="29" t="s">
        <v>406</v>
      </c>
      <c r="F960" s="29" t="str">
        <f>LOOKUP(A960,'QALS - Inspection Lot Record'!A:A,'QALS - Inspection Lot Record'!G:G)</f>
        <v>GC197258</v>
      </c>
      <c r="G960" s="59">
        <f ca="1">LOOKUP(A960,'QALS - Inspection Lot Record'!A:A,'QALS - Inspection Lot Record'!E:E)</f>
        <v>45929</v>
      </c>
      <c r="H960" s="34" t="str">
        <f t="shared" si="75"/>
        <v>A</v>
      </c>
      <c r="I960" s="29" t="str">
        <f t="shared" si="71"/>
        <v>GC197258</v>
      </c>
      <c r="J960" s="59">
        <f t="shared" ca="1" si="72"/>
        <v>45929</v>
      </c>
      <c r="K960" s="30">
        <f ca="1">LOOKUP(A960,'QALS - Inspection Lot Record'!A:A,'QALS - Inspection Lot Record'!I:I)</f>
        <v>0.45594907407407409</v>
      </c>
      <c r="L960" s="59">
        <f t="shared" ca="1" si="73"/>
        <v>45929</v>
      </c>
      <c r="M960" s="30">
        <f t="shared" ca="1" si="74"/>
        <v>0.49020833333333336</v>
      </c>
      <c r="N960" s="31"/>
      <c r="O960" s="31">
        <v>85</v>
      </c>
      <c r="P960" s="29">
        <v>80</v>
      </c>
      <c r="Q960" s="29">
        <v>90</v>
      </c>
    </row>
    <row r="961" spans="1:17" x14ac:dyDescent="0.35">
      <c r="A961" s="26">
        <v>40000002620</v>
      </c>
      <c r="B961" s="31">
        <v>1</v>
      </c>
      <c r="C961" s="29" t="str">
        <f>LOOKUP(A961,'QALS - Inspection Lot Record'!$A$2:$A$361,'QALS - Inspection Lot Record'!$O$2:$O$361)</f>
        <v>Metformin Tablets (500 MG)</v>
      </c>
      <c r="D961" s="31">
        <v>80</v>
      </c>
      <c r="E961" s="29" t="s">
        <v>407</v>
      </c>
      <c r="F961" s="29" t="str">
        <f>LOOKUP(A961,'QALS - Inspection Lot Record'!A:A,'QALS - Inspection Lot Record'!G:G)</f>
        <v>GC197258</v>
      </c>
      <c r="G961" s="59">
        <f ca="1">LOOKUP(A961,'QALS - Inspection Lot Record'!A:A,'QALS - Inspection Lot Record'!E:E)</f>
        <v>45929</v>
      </c>
      <c r="H961" s="34" t="str">
        <f t="shared" si="75"/>
        <v>A</v>
      </c>
      <c r="I961" s="29" t="str">
        <f t="shared" si="71"/>
        <v>GC197258</v>
      </c>
      <c r="J961" s="59">
        <f t="shared" ca="1" si="72"/>
        <v>45929</v>
      </c>
      <c r="K961" s="30">
        <f ca="1">LOOKUP(A961,'QALS - Inspection Lot Record'!A:A,'QALS - Inspection Lot Record'!I:I)</f>
        <v>0.45594907407407409</v>
      </c>
      <c r="L961" s="59">
        <f t="shared" ca="1" si="73"/>
        <v>45929</v>
      </c>
      <c r="M961" s="30">
        <f t="shared" ca="1" si="74"/>
        <v>0.47797453703703707</v>
      </c>
      <c r="N961" s="31"/>
      <c r="O961" s="31">
        <v>25.5</v>
      </c>
      <c r="P961" s="29">
        <v>23</v>
      </c>
      <c r="Q961" s="29">
        <v>28</v>
      </c>
    </row>
    <row r="962" spans="1:17" x14ac:dyDescent="0.35">
      <c r="A962" s="26">
        <v>40000002621</v>
      </c>
      <c r="B962" s="27">
        <v>1</v>
      </c>
      <c r="C962" s="29" t="str">
        <f>LOOKUP(A962,'QALS - Inspection Lot Record'!$A$2:$A$361,'QALS - Inspection Lot Record'!$O$2:$O$361)</f>
        <v>Aspirin Tablets (500 MG)</v>
      </c>
      <c r="D962" s="27">
        <v>10</v>
      </c>
      <c r="E962" s="26" t="s">
        <v>399</v>
      </c>
      <c r="F962" s="29" t="str">
        <f>LOOKUP(A962,'QALS - Inspection Lot Record'!A:A,'QALS - Inspection Lot Record'!G:G)</f>
        <v>TP397880</v>
      </c>
      <c r="G962" s="59">
        <f ca="1">LOOKUP(A962,'QALS - Inspection Lot Record'!A:A,'QALS - Inspection Lot Record'!E:E)</f>
        <v>45930</v>
      </c>
      <c r="H962" s="34" t="str">
        <f t="shared" si="75"/>
        <v>R</v>
      </c>
      <c r="I962" s="29" t="str">
        <f t="shared" ref="I962:I1025" si="76">F962</f>
        <v>TP397880</v>
      </c>
      <c r="J962" s="59">
        <f t="shared" ref="J962:J1025" ca="1" si="77">G962</f>
        <v>45930</v>
      </c>
      <c r="K962" s="30">
        <f ca="1">LOOKUP(A962,'QALS - Inspection Lot Record'!A:A,'QALS - Inspection Lot Record'!I:I)</f>
        <v>0.86495370370370372</v>
      </c>
      <c r="L962" s="59">
        <f t="shared" ref="L962:L1025" ca="1" si="78">G962</f>
        <v>45930</v>
      </c>
      <c r="M962" s="30">
        <f t="shared" ref="M962:M1025" ca="1" si="79">K962+TIME(0,RANDBETWEEN(25,50),RANDBETWEEN(0,59))</f>
        <v>0.88821759259259259</v>
      </c>
      <c r="N962" s="31"/>
      <c r="O962" s="31">
        <v>93.5</v>
      </c>
      <c r="P962" s="29">
        <v>95</v>
      </c>
      <c r="Q962" s="29">
        <v>105</v>
      </c>
    </row>
    <row r="963" spans="1:17" x14ac:dyDescent="0.35">
      <c r="A963" s="26">
        <v>40000002621</v>
      </c>
      <c r="B963" s="27">
        <v>1</v>
      </c>
      <c r="C963" s="29" t="str">
        <f>LOOKUP(A963,'QALS - Inspection Lot Record'!$A$2:$A$361,'QALS - Inspection Lot Record'!$O$2:$O$361)</f>
        <v>Aspirin Tablets (500 MG)</v>
      </c>
      <c r="D963" s="31">
        <v>20</v>
      </c>
      <c r="E963" s="29" t="s">
        <v>400</v>
      </c>
      <c r="F963" s="29" t="str">
        <f>LOOKUP(A963,'QALS - Inspection Lot Record'!A:A,'QALS - Inspection Lot Record'!G:G)</f>
        <v>TP397880</v>
      </c>
      <c r="G963" s="59">
        <f ca="1">LOOKUP(A963,'QALS - Inspection Lot Record'!A:A,'QALS - Inspection Lot Record'!E:E)</f>
        <v>45930</v>
      </c>
      <c r="H963" s="34" t="str">
        <f t="shared" si="75"/>
        <v>A</v>
      </c>
      <c r="I963" s="29" t="str">
        <f t="shared" si="76"/>
        <v>TP397880</v>
      </c>
      <c r="J963" s="59">
        <f t="shared" ca="1" si="77"/>
        <v>45930</v>
      </c>
      <c r="K963" s="30">
        <f ca="1">LOOKUP(A963,'QALS - Inspection Lot Record'!A:A,'QALS - Inspection Lot Record'!I:I)</f>
        <v>0.86495370370370372</v>
      </c>
      <c r="L963" s="59">
        <f t="shared" ca="1" si="78"/>
        <v>45930</v>
      </c>
      <c r="M963" s="30">
        <f t="shared" ca="1" si="79"/>
        <v>0.89774305555555556</v>
      </c>
      <c r="N963" s="31"/>
      <c r="O963" s="31">
        <v>7.25</v>
      </c>
      <c r="P963" s="29">
        <v>3.5</v>
      </c>
      <c r="Q963" s="29">
        <v>11</v>
      </c>
    </row>
    <row r="964" spans="1:17" x14ac:dyDescent="0.35">
      <c r="A964" s="26">
        <v>40000002621</v>
      </c>
      <c r="B964" s="31">
        <v>1</v>
      </c>
      <c r="C964" s="29" t="str">
        <f>LOOKUP(A964,'QALS - Inspection Lot Record'!$A$2:$A$361,'QALS - Inspection Lot Record'!$O$2:$O$361)</f>
        <v>Aspirin Tablets (500 MG)</v>
      </c>
      <c r="D964" s="31">
        <v>30</v>
      </c>
      <c r="E964" s="29" t="s">
        <v>401</v>
      </c>
      <c r="F964" s="29" t="str">
        <f>LOOKUP(A964,'QALS - Inspection Lot Record'!A:A,'QALS - Inspection Lot Record'!G:G)</f>
        <v>TP397880</v>
      </c>
      <c r="G964" s="59">
        <f ca="1">LOOKUP(A964,'QALS - Inspection Lot Record'!A:A,'QALS - Inspection Lot Record'!E:E)</f>
        <v>45930</v>
      </c>
      <c r="H964" s="34" t="str">
        <f t="shared" si="75"/>
        <v>A</v>
      </c>
      <c r="I964" s="29" t="str">
        <f t="shared" si="76"/>
        <v>TP397880</v>
      </c>
      <c r="J964" s="59">
        <f t="shared" ca="1" si="77"/>
        <v>45930</v>
      </c>
      <c r="K964" s="30">
        <f ca="1">LOOKUP(A964,'QALS - Inspection Lot Record'!A:A,'QALS - Inspection Lot Record'!I:I)</f>
        <v>0.86495370370370372</v>
      </c>
      <c r="L964" s="59">
        <f t="shared" ca="1" si="78"/>
        <v>45930</v>
      </c>
      <c r="M964" s="30">
        <f t="shared" ca="1" si="79"/>
        <v>0.88995370370370375</v>
      </c>
      <c r="N964" s="11" t="s">
        <v>402</v>
      </c>
      <c r="O964" s="31"/>
      <c r="P964" s="29"/>
      <c r="Q964" s="29"/>
    </row>
    <row r="965" spans="1:17" x14ac:dyDescent="0.35">
      <c r="A965" s="26">
        <v>40000002621</v>
      </c>
      <c r="B965" s="31">
        <v>1</v>
      </c>
      <c r="C965" s="29" t="str">
        <f>LOOKUP(A965,'QALS - Inspection Lot Record'!$A$2:$A$361,'QALS - Inspection Lot Record'!$O$2:$O$361)</f>
        <v>Aspirin Tablets (500 MG)</v>
      </c>
      <c r="D965" s="31">
        <v>40</v>
      </c>
      <c r="E965" s="29" t="s">
        <v>403</v>
      </c>
      <c r="F965" s="29" t="str">
        <f>LOOKUP(A965,'QALS - Inspection Lot Record'!A:A,'QALS - Inspection Lot Record'!G:G)</f>
        <v>TP397880</v>
      </c>
      <c r="G965" s="59">
        <f ca="1">LOOKUP(A965,'QALS - Inspection Lot Record'!A:A,'QALS - Inspection Lot Record'!E:E)</f>
        <v>45930</v>
      </c>
      <c r="H965" s="34" t="str">
        <f t="shared" si="75"/>
        <v>R</v>
      </c>
      <c r="I965" s="29" t="str">
        <f t="shared" si="76"/>
        <v>TP397880</v>
      </c>
      <c r="J965" s="59">
        <f t="shared" ca="1" si="77"/>
        <v>45930</v>
      </c>
      <c r="K965" s="30">
        <f ca="1">LOOKUP(A965,'QALS - Inspection Lot Record'!A:A,'QALS - Inspection Lot Record'!I:I)</f>
        <v>0.86495370370370372</v>
      </c>
      <c r="L965" s="59">
        <f t="shared" ca="1" si="78"/>
        <v>45930</v>
      </c>
      <c r="M965" s="30">
        <f t="shared" ca="1" si="79"/>
        <v>0.89467592592592593</v>
      </c>
      <c r="N965" s="31"/>
      <c r="O965" s="31">
        <v>3</v>
      </c>
      <c r="P965" s="29">
        <v>0</v>
      </c>
      <c r="Q965" s="29">
        <v>2.5</v>
      </c>
    </row>
    <row r="966" spans="1:17" x14ac:dyDescent="0.35">
      <c r="A966" s="26">
        <v>40000002621</v>
      </c>
      <c r="B966" s="31">
        <v>1</v>
      </c>
      <c r="C966" s="29" t="str">
        <f>LOOKUP(A966,'QALS - Inspection Lot Record'!$A$2:$A$361,'QALS - Inspection Lot Record'!$O$2:$O$361)</f>
        <v>Aspirin Tablets (500 MG)</v>
      </c>
      <c r="D966" s="31">
        <v>50</v>
      </c>
      <c r="E966" s="29" t="s">
        <v>404</v>
      </c>
      <c r="F966" s="29" t="str">
        <f>LOOKUP(A966,'QALS - Inspection Lot Record'!A:A,'QALS - Inspection Lot Record'!G:G)</f>
        <v>TP397880</v>
      </c>
      <c r="G966" s="59">
        <f ca="1">LOOKUP(A966,'QALS - Inspection Lot Record'!A:A,'QALS - Inspection Lot Record'!E:E)</f>
        <v>45930</v>
      </c>
      <c r="H966" s="34" t="str">
        <f t="shared" si="75"/>
        <v>R</v>
      </c>
      <c r="I966" s="29" t="str">
        <f t="shared" si="76"/>
        <v>TP397880</v>
      </c>
      <c r="J966" s="59">
        <f t="shared" ca="1" si="77"/>
        <v>45930</v>
      </c>
      <c r="K966" s="30">
        <f ca="1">LOOKUP(A966,'QALS - Inspection Lot Record'!A:A,'QALS - Inspection Lot Record'!I:I)</f>
        <v>0.86495370370370372</v>
      </c>
      <c r="L966" s="59">
        <f t="shared" ca="1" si="78"/>
        <v>45930</v>
      </c>
      <c r="M966" s="30">
        <f t="shared" ca="1" si="79"/>
        <v>0.88480324074074079</v>
      </c>
      <c r="N966" s="31"/>
      <c r="O966" s="31">
        <v>38.700000000000003</v>
      </c>
      <c r="P966" s="29">
        <v>40</v>
      </c>
      <c r="Q966" s="29">
        <v>60</v>
      </c>
    </row>
    <row r="967" spans="1:17" x14ac:dyDescent="0.35">
      <c r="A967" s="26">
        <v>40000002621</v>
      </c>
      <c r="B967" s="31">
        <v>1</v>
      </c>
      <c r="C967" s="29" t="str">
        <f>LOOKUP(A967,'QALS - Inspection Lot Record'!$A$2:$A$361,'QALS - Inspection Lot Record'!$O$2:$O$361)</f>
        <v>Aspirin Tablets (500 MG)</v>
      </c>
      <c r="D967" s="31">
        <v>60</v>
      </c>
      <c r="E967" s="29" t="s">
        <v>405</v>
      </c>
      <c r="F967" s="29" t="str">
        <f>LOOKUP(A967,'QALS - Inspection Lot Record'!A:A,'QALS - Inspection Lot Record'!G:G)</f>
        <v>TP397880</v>
      </c>
      <c r="G967" s="59">
        <f ca="1">LOOKUP(A967,'QALS - Inspection Lot Record'!A:A,'QALS - Inspection Lot Record'!E:E)</f>
        <v>45930</v>
      </c>
      <c r="H967" s="34" t="str">
        <f t="shared" si="75"/>
        <v>A</v>
      </c>
      <c r="I967" s="29" t="str">
        <f t="shared" si="76"/>
        <v>TP397880</v>
      </c>
      <c r="J967" s="59">
        <f t="shared" ca="1" si="77"/>
        <v>45930</v>
      </c>
      <c r="K967" s="30">
        <f ca="1">LOOKUP(A967,'QALS - Inspection Lot Record'!A:A,'QALS - Inspection Lot Record'!I:I)</f>
        <v>0.86495370370370372</v>
      </c>
      <c r="L967" s="59">
        <f t="shared" ca="1" si="78"/>
        <v>45930</v>
      </c>
      <c r="M967" s="30">
        <f t="shared" ca="1" si="79"/>
        <v>0.88598379629629631</v>
      </c>
      <c r="N967" s="31"/>
      <c r="O967" s="31">
        <v>79</v>
      </c>
      <c r="P967" s="29">
        <v>70</v>
      </c>
      <c r="Q967" s="29">
        <v>85</v>
      </c>
    </row>
    <row r="968" spans="1:17" x14ac:dyDescent="0.35">
      <c r="A968" s="26">
        <v>40000002621</v>
      </c>
      <c r="B968" s="31">
        <v>1</v>
      </c>
      <c r="C968" s="29" t="str">
        <f>LOOKUP(A968,'QALS - Inspection Lot Record'!$A$2:$A$361,'QALS - Inspection Lot Record'!$O$2:$O$361)</f>
        <v>Aspirin Tablets (500 MG)</v>
      </c>
      <c r="D968" s="31">
        <v>70</v>
      </c>
      <c r="E968" s="29" t="s">
        <v>406</v>
      </c>
      <c r="F968" s="29" t="str">
        <f>LOOKUP(A968,'QALS - Inspection Lot Record'!A:A,'QALS - Inspection Lot Record'!G:G)</f>
        <v>TP397880</v>
      </c>
      <c r="G968" s="59">
        <f ca="1">LOOKUP(A968,'QALS - Inspection Lot Record'!A:A,'QALS - Inspection Lot Record'!E:E)</f>
        <v>45930</v>
      </c>
      <c r="H968" s="34" t="str">
        <f t="shared" si="75"/>
        <v>A</v>
      </c>
      <c r="I968" s="29" t="str">
        <f t="shared" si="76"/>
        <v>TP397880</v>
      </c>
      <c r="J968" s="59">
        <f t="shared" ca="1" si="77"/>
        <v>45930</v>
      </c>
      <c r="K968" s="30">
        <f ca="1">LOOKUP(A968,'QALS - Inspection Lot Record'!A:A,'QALS - Inspection Lot Record'!I:I)</f>
        <v>0.86495370370370372</v>
      </c>
      <c r="L968" s="59">
        <f t="shared" ca="1" si="78"/>
        <v>45930</v>
      </c>
      <c r="M968" s="30">
        <f t="shared" ca="1" si="79"/>
        <v>0.88526620370370368</v>
      </c>
      <c r="N968" s="31"/>
      <c r="O968" s="31">
        <v>87</v>
      </c>
      <c r="P968" s="29">
        <v>80</v>
      </c>
      <c r="Q968" s="29">
        <v>90</v>
      </c>
    </row>
    <row r="969" spans="1:17" x14ac:dyDescent="0.35">
      <c r="A969" s="26">
        <v>40000002621</v>
      </c>
      <c r="B969" s="31">
        <v>1</v>
      </c>
      <c r="C969" s="29" t="str">
        <f>LOOKUP(A969,'QALS - Inspection Lot Record'!$A$2:$A$361,'QALS - Inspection Lot Record'!$O$2:$O$361)</f>
        <v>Aspirin Tablets (500 MG)</v>
      </c>
      <c r="D969" s="31">
        <v>80</v>
      </c>
      <c r="E969" s="29" t="s">
        <v>407</v>
      </c>
      <c r="F969" s="29" t="str">
        <f>LOOKUP(A969,'QALS - Inspection Lot Record'!A:A,'QALS - Inspection Lot Record'!G:G)</f>
        <v>TP397880</v>
      </c>
      <c r="G969" s="59">
        <f ca="1">LOOKUP(A969,'QALS - Inspection Lot Record'!A:A,'QALS - Inspection Lot Record'!E:E)</f>
        <v>45930</v>
      </c>
      <c r="H969" s="34" t="str">
        <f t="shared" si="75"/>
        <v>R</v>
      </c>
      <c r="I969" s="29" t="str">
        <f t="shared" si="76"/>
        <v>TP397880</v>
      </c>
      <c r="J969" s="59">
        <f t="shared" ca="1" si="77"/>
        <v>45930</v>
      </c>
      <c r="K969" s="30">
        <f ca="1">LOOKUP(A969,'QALS - Inspection Lot Record'!A:A,'QALS - Inspection Lot Record'!I:I)</f>
        <v>0.86495370370370372</v>
      </c>
      <c r="L969" s="59">
        <f t="shared" ca="1" si="78"/>
        <v>45930</v>
      </c>
      <c r="M969" s="30">
        <f t="shared" ca="1" si="79"/>
        <v>0.88386574074074076</v>
      </c>
      <c r="N969" s="31"/>
      <c r="O969" s="31">
        <v>21.9</v>
      </c>
      <c r="P969" s="29">
        <v>23</v>
      </c>
      <c r="Q969" s="29">
        <v>28</v>
      </c>
    </row>
    <row r="970" spans="1:17" x14ac:dyDescent="0.35">
      <c r="A970" s="26">
        <v>40000002622</v>
      </c>
      <c r="B970" s="27">
        <v>1</v>
      </c>
      <c r="C970" s="29" t="str">
        <f>LOOKUP(A970,'QALS - Inspection Lot Record'!$A$2:$A$361,'QALS - Inspection Lot Record'!$O$2:$O$361)</f>
        <v>Metformin Tablets (100 MG)</v>
      </c>
      <c r="D970" s="27">
        <v>10</v>
      </c>
      <c r="E970" s="26" t="s">
        <v>399</v>
      </c>
      <c r="F970" s="29" t="str">
        <f>LOOKUP(A970,'QALS - Inspection Lot Record'!A:A,'QALS - Inspection Lot Record'!G:G)</f>
        <v>YA284176</v>
      </c>
      <c r="G970" s="59">
        <f ca="1">LOOKUP(A970,'QALS - Inspection Lot Record'!A:A,'QALS - Inspection Lot Record'!E:E)</f>
        <v>45930</v>
      </c>
      <c r="H970" s="34" t="str">
        <f t="shared" ref="H970:H1033" si="80">IF(AND(P970&lt;=O970,O970&lt;=Q970),"A","R")</f>
        <v>R</v>
      </c>
      <c r="I970" s="29" t="str">
        <f t="shared" si="76"/>
        <v>YA284176</v>
      </c>
      <c r="J970" s="59">
        <f t="shared" ca="1" si="77"/>
        <v>45930</v>
      </c>
      <c r="K970" s="30">
        <f ca="1">LOOKUP(A970,'QALS - Inspection Lot Record'!A:A,'QALS - Inspection Lot Record'!I:I)</f>
        <v>0.1215625</v>
      </c>
      <c r="L970" s="59">
        <f t="shared" ca="1" si="78"/>
        <v>45930</v>
      </c>
      <c r="M970" s="30">
        <f t="shared" ca="1" si="79"/>
        <v>0.14436342592592594</v>
      </c>
      <c r="N970" s="31"/>
      <c r="O970" s="31">
        <v>93.8</v>
      </c>
      <c r="P970" s="29">
        <v>95</v>
      </c>
      <c r="Q970" s="29">
        <v>102</v>
      </c>
    </row>
    <row r="971" spans="1:17" x14ac:dyDescent="0.35">
      <c r="A971" s="26">
        <v>40000002622</v>
      </c>
      <c r="B971" s="27">
        <v>1</v>
      </c>
      <c r="C971" s="29" t="str">
        <f>LOOKUP(A971,'QALS - Inspection Lot Record'!$A$2:$A$361,'QALS - Inspection Lot Record'!$O$2:$O$361)</f>
        <v>Metformin Tablets (100 MG)</v>
      </c>
      <c r="D971" s="31">
        <v>20</v>
      </c>
      <c r="E971" s="29" t="s">
        <v>400</v>
      </c>
      <c r="F971" s="29" t="str">
        <f>LOOKUP(A971,'QALS - Inspection Lot Record'!A:A,'QALS - Inspection Lot Record'!G:G)</f>
        <v>YA284176</v>
      </c>
      <c r="G971" s="59">
        <f ca="1">LOOKUP(A971,'QALS - Inspection Lot Record'!A:A,'QALS - Inspection Lot Record'!E:E)</f>
        <v>45930</v>
      </c>
      <c r="H971" s="34" t="str">
        <f t="shared" si="80"/>
        <v>R</v>
      </c>
      <c r="I971" s="29" t="str">
        <f t="shared" si="76"/>
        <v>YA284176</v>
      </c>
      <c r="J971" s="59">
        <f t="shared" ca="1" si="77"/>
        <v>45930</v>
      </c>
      <c r="K971" s="30">
        <f ca="1">LOOKUP(A971,'QALS - Inspection Lot Record'!A:A,'QALS - Inspection Lot Record'!I:I)</f>
        <v>0.1215625</v>
      </c>
      <c r="L971" s="59">
        <f t="shared" ca="1" si="78"/>
        <v>45930</v>
      </c>
      <c r="M971" s="30">
        <f t="shared" ca="1" si="79"/>
        <v>0.14662037037037037</v>
      </c>
      <c r="N971" s="31"/>
      <c r="O971" s="31">
        <v>2.4</v>
      </c>
      <c r="P971" s="29">
        <v>3.5</v>
      </c>
      <c r="Q971" s="29">
        <v>11</v>
      </c>
    </row>
    <row r="972" spans="1:17" x14ac:dyDescent="0.35">
      <c r="A972" s="26">
        <v>40000002622</v>
      </c>
      <c r="B972" s="31">
        <v>1</v>
      </c>
      <c r="C972" s="29" t="str">
        <f>LOOKUP(A972,'QALS - Inspection Lot Record'!$A$2:$A$361,'QALS - Inspection Lot Record'!$O$2:$O$361)</f>
        <v>Metformin Tablets (100 MG)</v>
      </c>
      <c r="D972" s="31">
        <v>30</v>
      </c>
      <c r="E972" s="29" t="s">
        <v>401</v>
      </c>
      <c r="F972" s="29" t="str">
        <f>LOOKUP(A972,'QALS - Inspection Lot Record'!A:A,'QALS - Inspection Lot Record'!G:G)</f>
        <v>YA284176</v>
      </c>
      <c r="G972" s="59">
        <f ca="1">LOOKUP(A972,'QALS - Inspection Lot Record'!A:A,'QALS - Inspection Lot Record'!E:E)</f>
        <v>45930</v>
      </c>
      <c r="H972" s="34" t="str">
        <f t="shared" si="80"/>
        <v>A</v>
      </c>
      <c r="I972" s="29" t="str">
        <f t="shared" si="76"/>
        <v>YA284176</v>
      </c>
      <c r="J972" s="59">
        <f t="shared" ca="1" si="77"/>
        <v>45930</v>
      </c>
      <c r="K972" s="30">
        <f ca="1">LOOKUP(A972,'QALS - Inspection Lot Record'!A:A,'QALS - Inspection Lot Record'!I:I)</f>
        <v>0.1215625</v>
      </c>
      <c r="L972" s="59">
        <f t="shared" ca="1" si="78"/>
        <v>45930</v>
      </c>
      <c r="M972" s="30">
        <f t="shared" ca="1" si="79"/>
        <v>0.15353009259259259</v>
      </c>
      <c r="N972" s="11" t="s">
        <v>402</v>
      </c>
      <c r="O972" s="31"/>
      <c r="P972" s="29"/>
      <c r="Q972" s="29"/>
    </row>
    <row r="973" spans="1:17" x14ac:dyDescent="0.35">
      <c r="A973" s="26">
        <v>40000002622</v>
      </c>
      <c r="B973" s="31">
        <v>1</v>
      </c>
      <c r="C973" s="29" t="str">
        <f>LOOKUP(A973,'QALS - Inspection Lot Record'!$A$2:$A$361,'QALS - Inspection Lot Record'!$O$2:$O$361)</f>
        <v>Metformin Tablets (100 MG)</v>
      </c>
      <c r="D973" s="31">
        <v>40</v>
      </c>
      <c r="E973" s="29" t="s">
        <v>403</v>
      </c>
      <c r="F973" s="29" t="str">
        <f>LOOKUP(A973,'QALS - Inspection Lot Record'!A:A,'QALS - Inspection Lot Record'!G:G)</f>
        <v>YA284176</v>
      </c>
      <c r="G973" s="59">
        <f ca="1">LOOKUP(A973,'QALS - Inspection Lot Record'!A:A,'QALS - Inspection Lot Record'!E:E)</f>
        <v>45930</v>
      </c>
      <c r="H973" s="34" t="str">
        <f t="shared" si="80"/>
        <v>R</v>
      </c>
      <c r="I973" s="29" t="str">
        <f t="shared" si="76"/>
        <v>YA284176</v>
      </c>
      <c r="J973" s="59">
        <f t="shared" ca="1" si="77"/>
        <v>45930</v>
      </c>
      <c r="K973" s="30">
        <f ca="1">LOOKUP(A973,'QALS - Inspection Lot Record'!A:A,'QALS - Inspection Lot Record'!I:I)</f>
        <v>0.1215625</v>
      </c>
      <c r="L973" s="59">
        <f t="shared" ca="1" si="78"/>
        <v>45930</v>
      </c>
      <c r="M973" s="30">
        <f t="shared" ca="1" si="79"/>
        <v>0.14579861111111111</v>
      </c>
      <c r="N973" s="31"/>
      <c r="O973" s="31">
        <v>1.2</v>
      </c>
      <c r="P973" s="29">
        <v>0</v>
      </c>
      <c r="Q973" s="29">
        <v>1</v>
      </c>
    </row>
    <row r="974" spans="1:17" x14ac:dyDescent="0.35">
      <c r="A974" s="26">
        <v>40000002622</v>
      </c>
      <c r="B974" s="31">
        <v>1</v>
      </c>
      <c r="C974" s="29" t="str">
        <f>LOOKUP(A974,'QALS - Inspection Lot Record'!$A$2:$A$361,'QALS - Inspection Lot Record'!$O$2:$O$361)</f>
        <v>Metformin Tablets (100 MG)</v>
      </c>
      <c r="D974" s="31">
        <v>50</v>
      </c>
      <c r="E974" s="29" t="s">
        <v>404</v>
      </c>
      <c r="F974" s="29" t="str">
        <f>LOOKUP(A974,'QALS - Inspection Lot Record'!A:A,'QALS - Inspection Lot Record'!G:G)</f>
        <v>YA284176</v>
      </c>
      <c r="G974" s="59">
        <f ca="1">LOOKUP(A974,'QALS - Inspection Lot Record'!A:A,'QALS - Inspection Lot Record'!E:E)</f>
        <v>45930</v>
      </c>
      <c r="H974" s="34" t="str">
        <f t="shared" si="80"/>
        <v>R</v>
      </c>
      <c r="I974" s="29" t="str">
        <f t="shared" si="76"/>
        <v>YA284176</v>
      </c>
      <c r="J974" s="59">
        <f t="shared" ca="1" si="77"/>
        <v>45930</v>
      </c>
      <c r="K974" s="30">
        <f ca="1">LOOKUP(A974,'QALS - Inspection Lot Record'!A:A,'QALS - Inspection Lot Record'!I:I)</f>
        <v>0.1215625</v>
      </c>
      <c r="L974" s="59">
        <f t="shared" ca="1" si="78"/>
        <v>45930</v>
      </c>
      <c r="M974" s="30">
        <f t="shared" ca="1" si="79"/>
        <v>0.15309027777777778</v>
      </c>
      <c r="N974" s="31"/>
      <c r="O974" s="31">
        <v>38.799999999999997</v>
      </c>
      <c r="P974" s="29">
        <v>40</v>
      </c>
      <c r="Q974" s="29">
        <v>60</v>
      </c>
    </row>
    <row r="975" spans="1:17" x14ac:dyDescent="0.35">
      <c r="A975" s="26">
        <v>40000002622</v>
      </c>
      <c r="B975" s="31">
        <v>1</v>
      </c>
      <c r="C975" s="29" t="str">
        <f>LOOKUP(A975,'QALS - Inspection Lot Record'!$A$2:$A$361,'QALS - Inspection Lot Record'!$O$2:$O$361)</f>
        <v>Metformin Tablets (100 MG)</v>
      </c>
      <c r="D975" s="31">
        <v>60</v>
      </c>
      <c r="E975" s="29" t="s">
        <v>405</v>
      </c>
      <c r="F975" s="29" t="str">
        <f>LOOKUP(A975,'QALS - Inspection Lot Record'!A:A,'QALS - Inspection Lot Record'!G:G)</f>
        <v>YA284176</v>
      </c>
      <c r="G975" s="59">
        <f ca="1">LOOKUP(A975,'QALS - Inspection Lot Record'!A:A,'QALS - Inspection Lot Record'!E:E)</f>
        <v>45930</v>
      </c>
      <c r="H975" s="34" t="str">
        <f t="shared" si="80"/>
        <v>A</v>
      </c>
      <c r="I975" s="29" t="str">
        <f t="shared" si="76"/>
        <v>YA284176</v>
      </c>
      <c r="J975" s="59">
        <f t="shared" ca="1" si="77"/>
        <v>45930</v>
      </c>
      <c r="K975" s="30">
        <f ca="1">LOOKUP(A975,'QALS - Inspection Lot Record'!A:A,'QALS - Inspection Lot Record'!I:I)</f>
        <v>0.1215625</v>
      </c>
      <c r="L975" s="59">
        <f t="shared" ca="1" si="78"/>
        <v>45930</v>
      </c>
      <c r="M975" s="30">
        <f t="shared" ca="1" si="79"/>
        <v>0.15208333333333335</v>
      </c>
      <c r="N975" s="31"/>
      <c r="O975" s="31">
        <v>73</v>
      </c>
      <c r="P975" s="29">
        <v>70</v>
      </c>
      <c r="Q975" s="29">
        <v>85</v>
      </c>
    </row>
    <row r="976" spans="1:17" x14ac:dyDescent="0.35">
      <c r="A976" s="26">
        <v>40000002622</v>
      </c>
      <c r="B976" s="31">
        <v>1</v>
      </c>
      <c r="C976" s="29" t="str">
        <f>LOOKUP(A976,'QALS - Inspection Lot Record'!$A$2:$A$361,'QALS - Inspection Lot Record'!$O$2:$O$361)</f>
        <v>Metformin Tablets (100 MG)</v>
      </c>
      <c r="D976" s="31">
        <v>70</v>
      </c>
      <c r="E976" s="29" t="s">
        <v>406</v>
      </c>
      <c r="F976" s="29" t="str">
        <f>LOOKUP(A976,'QALS - Inspection Lot Record'!A:A,'QALS - Inspection Lot Record'!G:G)</f>
        <v>YA284176</v>
      </c>
      <c r="G976" s="59">
        <f ca="1">LOOKUP(A976,'QALS - Inspection Lot Record'!A:A,'QALS - Inspection Lot Record'!E:E)</f>
        <v>45930</v>
      </c>
      <c r="H976" s="34" t="str">
        <f t="shared" si="80"/>
        <v>A</v>
      </c>
      <c r="I976" s="29" t="str">
        <f t="shared" si="76"/>
        <v>YA284176</v>
      </c>
      <c r="J976" s="59">
        <f t="shared" ca="1" si="77"/>
        <v>45930</v>
      </c>
      <c r="K976" s="30">
        <f ca="1">LOOKUP(A976,'QALS - Inspection Lot Record'!A:A,'QALS - Inspection Lot Record'!I:I)</f>
        <v>0.1215625</v>
      </c>
      <c r="L976" s="59">
        <f t="shared" ca="1" si="78"/>
        <v>45930</v>
      </c>
      <c r="M976" s="30">
        <f t="shared" ca="1" si="79"/>
        <v>0.1544675925925926</v>
      </c>
      <c r="N976" s="31"/>
      <c r="O976" s="31">
        <v>84.5</v>
      </c>
      <c r="P976" s="29">
        <v>80</v>
      </c>
      <c r="Q976" s="29">
        <v>90</v>
      </c>
    </row>
    <row r="977" spans="1:17" x14ac:dyDescent="0.35">
      <c r="A977" s="26">
        <v>40000002622</v>
      </c>
      <c r="B977" s="31">
        <v>1</v>
      </c>
      <c r="C977" s="29" t="str">
        <f>LOOKUP(A977,'QALS - Inspection Lot Record'!$A$2:$A$361,'QALS - Inspection Lot Record'!$O$2:$O$361)</f>
        <v>Metformin Tablets (100 MG)</v>
      </c>
      <c r="D977" s="31">
        <v>80</v>
      </c>
      <c r="E977" s="29" t="s">
        <v>407</v>
      </c>
      <c r="F977" s="29" t="str">
        <f>LOOKUP(A977,'QALS - Inspection Lot Record'!A:A,'QALS - Inspection Lot Record'!G:G)</f>
        <v>YA284176</v>
      </c>
      <c r="G977" s="59">
        <f ca="1">LOOKUP(A977,'QALS - Inspection Lot Record'!A:A,'QALS - Inspection Lot Record'!E:E)</f>
        <v>45930</v>
      </c>
      <c r="H977" s="34" t="str">
        <f t="shared" si="80"/>
        <v>A</v>
      </c>
      <c r="I977" s="29" t="str">
        <f t="shared" si="76"/>
        <v>YA284176</v>
      </c>
      <c r="J977" s="59">
        <f t="shared" ca="1" si="77"/>
        <v>45930</v>
      </c>
      <c r="K977" s="30">
        <f ca="1">LOOKUP(A977,'QALS - Inspection Lot Record'!A:A,'QALS - Inspection Lot Record'!I:I)</f>
        <v>0.1215625</v>
      </c>
      <c r="L977" s="59">
        <f t="shared" ca="1" si="78"/>
        <v>45930</v>
      </c>
      <c r="M977" s="30">
        <f t="shared" ca="1" si="79"/>
        <v>0.15195601851851853</v>
      </c>
      <c r="N977" s="31"/>
      <c r="O977" s="31">
        <v>23.6</v>
      </c>
      <c r="P977" s="29">
        <v>23</v>
      </c>
      <c r="Q977" s="29">
        <v>25</v>
      </c>
    </row>
    <row r="978" spans="1:17" x14ac:dyDescent="0.35">
      <c r="A978" s="26">
        <v>40000002623</v>
      </c>
      <c r="B978" s="27">
        <v>1</v>
      </c>
      <c r="C978" s="29" t="str">
        <f>LOOKUP(A978,'QALS - Inspection Lot Record'!$A$2:$A$361,'QALS - Inspection Lot Record'!$O$2:$O$361)</f>
        <v>Metformin Tablets (200 MG)</v>
      </c>
      <c r="D978" s="27">
        <v>10</v>
      </c>
      <c r="E978" s="26" t="s">
        <v>399</v>
      </c>
      <c r="F978" s="29" t="str">
        <f>LOOKUP(A978,'QALS - Inspection Lot Record'!A:A,'QALS - Inspection Lot Record'!G:G)</f>
        <v>ZK384180</v>
      </c>
      <c r="G978" s="59">
        <f ca="1">LOOKUP(A978,'QALS - Inspection Lot Record'!A:A,'QALS - Inspection Lot Record'!E:E)</f>
        <v>45931</v>
      </c>
      <c r="H978" s="34" t="str">
        <f t="shared" si="80"/>
        <v>A</v>
      </c>
      <c r="I978" s="29" t="str">
        <f t="shared" si="76"/>
        <v>ZK384180</v>
      </c>
      <c r="J978" s="59">
        <f t="shared" ca="1" si="77"/>
        <v>45931</v>
      </c>
      <c r="K978" s="30">
        <f ca="1">LOOKUP(A978,'QALS - Inspection Lot Record'!A:A,'QALS - Inspection Lot Record'!I:I)</f>
        <v>0.63078703703703709</v>
      </c>
      <c r="L978" s="59">
        <f t="shared" ca="1" si="78"/>
        <v>45931</v>
      </c>
      <c r="M978" s="30">
        <f t="shared" ca="1" si="79"/>
        <v>0.65726851851851853</v>
      </c>
      <c r="N978" s="31"/>
      <c r="O978" s="31">
        <v>99</v>
      </c>
      <c r="P978" s="29">
        <v>95</v>
      </c>
      <c r="Q978" s="29">
        <v>103</v>
      </c>
    </row>
    <row r="979" spans="1:17" x14ac:dyDescent="0.35">
      <c r="A979" s="26">
        <v>40000002623</v>
      </c>
      <c r="B979" s="27">
        <v>1</v>
      </c>
      <c r="C979" s="29" t="str">
        <f>LOOKUP(A979,'QALS - Inspection Lot Record'!$A$2:$A$361,'QALS - Inspection Lot Record'!$O$2:$O$361)</f>
        <v>Metformin Tablets (200 MG)</v>
      </c>
      <c r="D979" s="31">
        <v>20</v>
      </c>
      <c r="E979" s="29" t="s">
        <v>400</v>
      </c>
      <c r="F979" s="29" t="str">
        <f>LOOKUP(A979,'QALS - Inspection Lot Record'!A:A,'QALS - Inspection Lot Record'!G:G)</f>
        <v>ZK384180</v>
      </c>
      <c r="G979" s="59">
        <f ca="1">LOOKUP(A979,'QALS - Inspection Lot Record'!A:A,'QALS - Inspection Lot Record'!E:E)</f>
        <v>45931</v>
      </c>
      <c r="H979" s="34" t="str">
        <f t="shared" si="80"/>
        <v>R</v>
      </c>
      <c r="I979" s="29" t="str">
        <f t="shared" si="76"/>
        <v>ZK384180</v>
      </c>
      <c r="J979" s="59">
        <f t="shared" ca="1" si="77"/>
        <v>45931</v>
      </c>
      <c r="K979" s="30">
        <f ca="1">LOOKUP(A979,'QALS - Inspection Lot Record'!A:A,'QALS - Inspection Lot Record'!I:I)</f>
        <v>0.63078703703703709</v>
      </c>
      <c r="L979" s="59">
        <f t="shared" ca="1" si="78"/>
        <v>45931</v>
      </c>
      <c r="M979" s="30">
        <f t="shared" ca="1" si="79"/>
        <v>0.66467592592592595</v>
      </c>
      <c r="N979" s="31"/>
      <c r="O979" s="31">
        <v>4.9000000000000004</v>
      </c>
      <c r="P979" s="29">
        <v>6</v>
      </c>
      <c r="Q979" s="29">
        <v>9.5</v>
      </c>
    </row>
    <row r="980" spans="1:17" x14ac:dyDescent="0.35">
      <c r="A980" s="26">
        <v>40000002623</v>
      </c>
      <c r="B980" s="31">
        <v>1</v>
      </c>
      <c r="C980" s="29" t="str">
        <f>LOOKUP(A980,'QALS - Inspection Lot Record'!$A$2:$A$361,'QALS - Inspection Lot Record'!$O$2:$O$361)</f>
        <v>Metformin Tablets (200 MG)</v>
      </c>
      <c r="D980" s="31">
        <v>30</v>
      </c>
      <c r="E980" s="29" t="s">
        <v>401</v>
      </c>
      <c r="F980" s="29" t="str">
        <f>LOOKUP(A980,'QALS - Inspection Lot Record'!A:A,'QALS - Inspection Lot Record'!G:G)</f>
        <v>ZK384180</v>
      </c>
      <c r="G980" s="59">
        <f ca="1">LOOKUP(A980,'QALS - Inspection Lot Record'!A:A,'QALS - Inspection Lot Record'!E:E)</f>
        <v>45931</v>
      </c>
      <c r="H980" s="34" t="str">
        <f t="shared" si="80"/>
        <v>A</v>
      </c>
      <c r="I980" s="29" t="str">
        <f t="shared" si="76"/>
        <v>ZK384180</v>
      </c>
      <c r="J980" s="59">
        <f t="shared" ca="1" si="77"/>
        <v>45931</v>
      </c>
      <c r="K980" s="30">
        <f ca="1">LOOKUP(A980,'QALS - Inspection Lot Record'!A:A,'QALS - Inspection Lot Record'!I:I)</f>
        <v>0.63078703703703709</v>
      </c>
      <c r="L980" s="59">
        <f t="shared" ca="1" si="78"/>
        <v>45931</v>
      </c>
      <c r="M980" s="30">
        <f t="shared" ca="1" si="79"/>
        <v>0.65849537037037043</v>
      </c>
      <c r="N980" s="11" t="s">
        <v>402</v>
      </c>
      <c r="O980" s="31"/>
      <c r="P980" s="29"/>
      <c r="Q980" s="29"/>
    </row>
    <row r="981" spans="1:17" x14ac:dyDescent="0.35">
      <c r="A981" s="26">
        <v>40000002623</v>
      </c>
      <c r="B981" s="31">
        <v>1</v>
      </c>
      <c r="C981" s="29" t="str">
        <f>LOOKUP(A981,'QALS - Inspection Lot Record'!$A$2:$A$361,'QALS - Inspection Lot Record'!$O$2:$O$361)</f>
        <v>Metformin Tablets (200 MG)</v>
      </c>
      <c r="D981" s="31">
        <v>40</v>
      </c>
      <c r="E981" s="29" t="s">
        <v>403</v>
      </c>
      <c r="F981" s="29" t="str">
        <f>LOOKUP(A981,'QALS - Inspection Lot Record'!A:A,'QALS - Inspection Lot Record'!G:G)</f>
        <v>ZK384180</v>
      </c>
      <c r="G981" s="59">
        <f ca="1">LOOKUP(A981,'QALS - Inspection Lot Record'!A:A,'QALS - Inspection Lot Record'!E:E)</f>
        <v>45931</v>
      </c>
      <c r="H981" s="34" t="str">
        <f t="shared" si="80"/>
        <v>A</v>
      </c>
      <c r="I981" s="29" t="str">
        <f t="shared" si="76"/>
        <v>ZK384180</v>
      </c>
      <c r="J981" s="59">
        <f t="shared" ca="1" si="77"/>
        <v>45931</v>
      </c>
      <c r="K981" s="30">
        <f ca="1">LOOKUP(A981,'QALS - Inspection Lot Record'!A:A,'QALS - Inspection Lot Record'!I:I)</f>
        <v>0.63078703703703709</v>
      </c>
      <c r="L981" s="59">
        <f t="shared" ca="1" si="78"/>
        <v>45931</v>
      </c>
      <c r="M981" s="30">
        <f t="shared" ca="1" si="79"/>
        <v>0.66296296296296298</v>
      </c>
      <c r="N981" s="31"/>
      <c r="O981" s="31">
        <v>1</v>
      </c>
      <c r="P981" s="29">
        <v>0</v>
      </c>
      <c r="Q981" s="29">
        <v>2</v>
      </c>
    </row>
    <row r="982" spans="1:17" x14ac:dyDescent="0.35">
      <c r="A982" s="26">
        <v>40000002623</v>
      </c>
      <c r="B982" s="31">
        <v>1</v>
      </c>
      <c r="C982" s="29" t="str">
        <f>LOOKUP(A982,'QALS - Inspection Lot Record'!$A$2:$A$361,'QALS - Inspection Lot Record'!$O$2:$O$361)</f>
        <v>Metformin Tablets (200 MG)</v>
      </c>
      <c r="D982" s="31">
        <v>50</v>
      </c>
      <c r="E982" s="29" t="s">
        <v>404</v>
      </c>
      <c r="F982" s="29" t="str">
        <f>LOOKUP(A982,'QALS - Inspection Lot Record'!A:A,'QALS - Inspection Lot Record'!G:G)</f>
        <v>ZK384180</v>
      </c>
      <c r="G982" s="59">
        <f ca="1">LOOKUP(A982,'QALS - Inspection Lot Record'!A:A,'QALS - Inspection Lot Record'!E:E)</f>
        <v>45931</v>
      </c>
      <c r="H982" s="34" t="str">
        <f t="shared" si="80"/>
        <v>A</v>
      </c>
      <c r="I982" s="29" t="str">
        <f t="shared" si="76"/>
        <v>ZK384180</v>
      </c>
      <c r="J982" s="59">
        <f t="shared" ca="1" si="77"/>
        <v>45931</v>
      </c>
      <c r="K982" s="30">
        <f ca="1">LOOKUP(A982,'QALS - Inspection Lot Record'!A:A,'QALS - Inspection Lot Record'!I:I)</f>
        <v>0.63078703703703709</v>
      </c>
      <c r="L982" s="59">
        <f t="shared" ca="1" si="78"/>
        <v>45931</v>
      </c>
      <c r="M982" s="30">
        <f t="shared" ca="1" si="79"/>
        <v>0.66216435185185185</v>
      </c>
      <c r="N982" s="31"/>
      <c r="O982" s="31">
        <v>50</v>
      </c>
      <c r="P982" s="29">
        <v>40</v>
      </c>
      <c r="Q982" s="29">
        <v>60</v>
      </c>
    </row>
    <row r="983" spans="1:17" x14ac:dyDescent="0.35">
      <c r="A983" s="26">
        <v>40000002623</v>
      </c>
      <c r="B983" s="31">
        <v>1</v>
      </c>
      <c r="C983" s="29" t="str">
        <f>LOOKUP(A983,'QALS - Inspection Lot Record'!$A$2:$A$361,'QALS - Inspection Lot Record'!$O$2:$O$361)</f>
        <v>Metformin Tablets (200 MG)</v>
      </c>
      <c r="D983" s="31">
        <v>60</v>
      </c>
      <c r="E983" s="29" t="s">
        <v>405</v>
      </c>
      <c r="F983" s="29" t="str">
        <f>LOOKUP(A983,'QALS - Inspection Lot Record'!A:A,'QALS - Inspection Lot Record'!G:G)</f>
        <v>ZK384180</v>
      </c>
      <c r="G983" s="59">
        <f ca="1">LOOKUP(A983,'QALS - Inspection Lot Record'!A:A,'QALS - Inspection Lot Record'!E:E)</f>
        <v>45931</v>
      </c>
      <c r="H983" s="34" t="str">
        <f t="shared" si="80"/>
        <v>A</v>
      </c>
      <c r="I983" s="29" t="str">
        <f t="shared" si="76"/>
        <v>ZK384180</v>
      </c>
      <c r="J983" s="59">
        <f t="shared" ca="1" si="77"/>
        <v>45931</v>
      </c>
      <c r="K983" s="30">
        <f ca="1">LOOKUP(A983,'QALS - Inspection Lot Record'!A:A,'QALS - Inspection Lot Record'!I:I)</f>
        <v>0.63078703703703709</v>
      </c>
      <c r="L983" s="59">
        <f t="shared" ca="1" si="78"/>
        <v>45931</v>
      </c>
      <c r="M983" s="30">
        <f t="shared" ca="1" si="79"/>
        <v>0.65508101851851852</v>
      </c>
      <c r="N983" s="31"/>
      <c r="O983" s="31">
        <v>77.5</v>
      </c>
      <c r="P983" s="29">
        <v>70</v>
      </c>
      <c r="Q983" s="29">
        <v>85</v>
      </c>
    </row>
    <row r="984" spans="1:17" x14ac:dyDescent="0.35">
      <c r="A984" s="26">
        <v>40000002623</v>
      </c>
      <c r="B984" s="31">
        <v>1</v>
      </c>
      <c r="C984" s="29" t="str">
        <f>LOOKUP(A984,'QALS - Inspection Lot Record'!$A$2:$A$361,'QALS - Inspection Lot Record'!$O$2:$O$361)</f>
        <v>Metformin Tablets (200 MG)</v>
      </c>
      <c r="D984" s="31">
        <v>70</v>
      </c>
      <c r="E984" s="29" t="s">
        <v>406</v>
      </c>
      <c r="F984" s="29" t="str">
        <f>LOOKUP(A984,'QALS - Inspection Lot Record'!A:A,'QALS - Inspection Lot Record'!G:G)</f>
        <v>ZK384180</v>
      </c>
      <c r="G984" s="59">
        <f ca="1">LOOKUP(A984,'QALS - Inspection Lot Record'!A:A,'QALS - Inspection Lot Record'!E:E)</f>
        <v>45931</v>
      </c>
      <c r="H984" s="34" t="str">
        <f t="shared" si="80"/>
        <v>A</v>
      </c>
      <c r="I984" s="29" t="str">
        <f t="shared" si="76"/>
        <v>ZK384180</v>
      </c>
      <c r="J984" s="59">
        <f t="shared" ca="1" si="77"/>
        <v>45931</v>
      </c>
      <c r="K984" s="30">
        <f ca="1">LOOKUP(A984,'QALS - Inspection Lot Record'!A:A,'QALS - Inspection Lot Record'!I:I)</f>
        <v>0.63078703703703709</v>
      </c>
      <c r="L984" s="59">
        <f t="shared" ca="1" si="78"/>
        <v>45931</v>
      </c>
      <c r="M984" s="30">
        <f t="shared" ca="1" si="79"/>
        <v>0.65206018518518527</v>
      </c>
      <c r="N984" s="31"/>
      <c r="O984" s="31">
        <v>85</v>
      </c>
      <c r="P984" s="29">
        <v>80</v>
      </c>
      <c r="Q984" s="29">
        <v>90</v>
      </c>
    </row>
    <row r="985" spans="1:17" x14ac:dyDescent="0.35">
      <c r="A985" s="26">
        <v>40000002623</v>
      </c>
      <c r="B985" s="31">
        <v>1</v>
      </c>
      <c r="C985" s="29" t="str">
        <f>LOOKUP(A985,'QALS - Inspection Lot Record'!$A$2:$A$361,'QALS - Inspection Lot Record'!$O$2:$O$361)</f>
        <v>Metformin Tablets (200 MG)</v>
      </c>
      <c r="D985" s="31">
        <v>80</v>
      </c>
      <c r="E985" s="29" t="s">
        <v>407</v>
      </c>
      <c r="F985" s="29" t="str">
        <f>LOOKUP(A985,'QALS - Inspection Lot Record'!A:A,'QALS - Inspection Lot Record'!G:G)</f>
        <v>ZK384180</v>
      </c>
      <c r="G985" s="59">
        <f ca="1">LOOKUP(A985,'QALS - Inspection Lot Record'!A:A,'QALS - Inspection Lot Record'!E:E)</f>
        <v>45931</v>
      </c>
      <c r="H985" s="34" t="str">
        <f t="shared" si="80"/>
        <v>R</v>
      </c>
      <c r="I985" s="29" t="str">
        <f t="shared" si="76"/>
        <v>ZK384180</v>
      </c>
      <c r="J985" s="59">
        <f t="shared" ca="1" si="77"/>
        <v>45931</v>
      </c>
      <c r="K985" s="30">
        <f ca="1">LOOKUP(A985,'QALS - Inspection Lot Record'!A:A,'QALS - Inspection Lot Record'!I:I)</f>
        <v>0.63078703703703709</v>
      </c>
      <c r="L985" s="59">
        <f t="shared" ca="1" si="78"/>
        <v>45931</v>
      </c>
      <c r="M985" s="30">
        <f t="shared" ca="1" si="79"/>
        <v>0.65787037037037044</v>
      </c>
      <c r="N985" s="31"/>
      <c r="O985" s="31">
        <v>21.3</v>
      </c>
      <c r="P985" s="29">
        <v>23</v>
      </c>
      <c r="Q985" s="29">
        <v>28</v>
      </c>
    </row>
    <row r="986" spans="1:17" x14ac:dyDescent="0.35">
      <c r="A986" s="26">
        <v>40000002624</v>
      </c>
      <c r="B986" s="27">
        <v>1</v>
      </c>
      <c r="C986" s="29" t="str">
        <f>LOOKUP(A986,'QALS - Inspection Lot Record'!$A$2:$A$361,'QALS - Inspection Lot Record'!$O$2:$O$361)</f>
        <v>Ibuprofen Tablets (100 MG)</v>
      </c>
      <c r="D986" s="27">
        <v>10</v>
      </c>
      <c r="E986" s="26" t="s">
        <v>399</v>
      </c>
      <c r="F986" s="29" t="str">
        <f>LOOKUP(A986,'QALS - Inspection Lot Record'!A:A,'QALS - Inspection Lot Record'!G:G)</f>
        <v>TG509538</v>
      </c>
      <c r="G986" s="59">
        <f ca="1">LOOKUP(A986,'QALS - Inspection Lot Record'!A:A,'QALS - Inspection Lot Record'!E:E)</f>
        <v>45931</v>
      </c>
      <c r="H986" s="34" t="str">
        <f t="shared" si="80"/>
        <v>A</v>
      </c>
      <c r="I986" s="29" t="str">
        <f t="shared" si="76"/>
        <v>TG509538</v>
      </c>
      <c r="J986" s="59">
        <f t="shared" ca="1" si="77"/>
        <v>45931</v>
      </c>
      <c r="K986" s="30">
        <f ca="1">LOOKUP(A986,'QALS - Inspection Lot Record'!A:A,'QALS - Inspection Lot Record'!I:I)</f>
        <v>0.14028935185185185</v>
      </c>
      <c r="L986" s="59">
        <f t="shared" ca="1" si="78"/>
        <v>45931</v>
      </c>
      <c r="M986" s="30">
        <f t="shared" ca="1" si="79"/>
        <v>0.16802083333333334</v>
      </c>
      <c r="N986" s="31"/>
      <c r="O986" s="31">
        <v>98.5</v>
      </c>
      <c r="P986" s="29">
        <v>95</v>
      </c>
      <c r="Q986" s="29">
        <v>102</v>
      </c>
    </row>
    <row r="987" spans="1:17" x14ac:dyDescent="0.35">
      <c r="A987" s="26">
        <v>40000002624</v>
      </c>
      <c r="B987" s="27">
        <v>1</v>
      </c>
      <c r="C987" s="29" t="str">
        <f>LOOKUP(A987,'QALS - Inspection Lot Record'!$A$2:$A$361,'QALS - Inspection Lot Record'!$O$2:$O$361)</f>
        <v>Ibuprofen Tablets (100 MG)</v>
      </c>
      <c r="D987" s="31">
        <v>20</v>
      </c>
      <c r="E987" s="29" t="s">
        <v>400</v>
      </c>
      <c r="F987" s="29" t="str">
        <f>LOOKUP(A987,'QALS - Inspection Lot Record'!A:A,'QALS - Inspection Lot Record'!G:G)</f>
        <v>TG509538</v>
      </c>
      <c r="G987" s="59">
        <f ca="1">LOOKUP(A987,'QALS - Inspection Lot Record'!A:A,'QALS - Inspection Lot Record'!E:E)</f>
        <v>45931</v>
      </c>
      <c r="H987" s="34" t="str">
        <f t="shared" si="80"/>
        <v>A</v>
      </c>
      <c r="I987" s="29" t="str">
        <f t="shared" si="76"/>
        <v>TG509538</v>
      </c>
      <c r="J987" s="59">
        <f t="shared" ca="1" si="77"/>
        <v>45931</v>
      </c>
      <c r="K987" s="30">
        <f ca="1">LOOKUP(A987,'QALS - Inspection Lot Record'!A:A,'QALS - Inspection Lot Record'!I:I)</f>
        <v>0.14028935185185185</v>
      </c>
      <c r="L987" s="59">
        <f t="shared" ca="1" si="78"/>
        <v>45931</v>
      </c>
      <c r="M987" s="30">
        <f t="shared" ca="1" si="79"/>
        <v>0.16304398148148147</v>
      </c>
      <c r="N987" s="31"/>
      <c r="O987" s="31">
        <v>7.25</v>
      </c>
      <c r="P987" s="29">
        <v>3.5</v>
      </c>
      <c r="Q987" s="29">
        <v>11</v>
      </c>
    </row>
    <row r="988" spans="1:17" x14ac:dyDescent="0.35">
      <c r="A988" s="26">
        <v>40000002624</v>
      </c>
      <c r="B988" s="31">
        <v>1</v>
      </c>
      <c r="C988" s="29" t="str">
        <f>LOOKUP(A988,'QALS - Inspection Lot Record'!$A$2:$A$361,'QALS - Inspection Lot Record'!$O$2:$O$361)</f>
        <v>Ibuprofen Tablets (100 MG)</v>
      </c>
      <c r="D988" s="31">
        <v>30</v>
      </c>
      <c r="E988" s="29" t="s">
        <v>401</v>
      </c>
      <c r="F988" s="29" t="str">
        <f>LOOKUP(A988,'QALS - Inspection Lot Record'!A:A,'QALS - Inspection Lot Record'!G:G)</f>
        <v>TG509538</v>
      </c>
      <c r="G988" s="59">
        <f ca="1">LOOKUP(A988,'QALS - Inspection Lot Record'!A:A,'QALS - Inspection Lot Record'!E:E)</f>
        <v>45931</v>
      </c>
      <c r="H988" s="34" t="str">
        <f t="shared" si="80"/>
        <v>A</v>
      </c>
      <c r="I988" s="29" t="str">
        <f t="shared" si="76"/>
        <v>TG509538</v>
      </c>
      <c r="J988" s="59">
        <f t="shared" ca="1" si="77"/>
        <v>45931</v>
      </c>
      <c r="K988" s="30">
        <f ca="1">LOOKUP(A988,'QALS - Inspection Lot Record'!A:A,'QALS - Inspection Lot Record'!I:I)</f>
        <v>0.14028935185185185</v>
      </c>
      <c r="L988" s="59">
        <f t="shared" ca="1" si="78"/>
        <v>45931</v>
      </c>
      <c r="M988" s="30">
        <f t="shared" ca="1" si="79"/>
        <v>0.17075231481481482</v>
      </c>
      <c r="N988" s="11" t="s">
        <v>402</v>
      </c>
      <c r="O988" s="31"/>
      <c r="P988" s="29"/>
      <c r="Q988" s="29"/>
    </row>
    <row r="989" spans="1:17" x14ac:dyDescent="0.35">
      <c r="A989" s="26">
        <v>40000002624</v>
      </c>
      <c r="B989" s="31">
        <v>1</v>
      </c>
      <c r="C989" s="29" t="str">
        <f>LOOKUP(A989,'QALS - Inspection Lot Record'!$A$2:$A$361,'QALS - Inspection Lot Record'!$O$2:$O$361)</f>
        <v>Ibuprofen Tablets (100 MG)</v>
      </c>
      <c r="D989" s="31">
        <v>40</v>
      </c>
      <c r="E989" s="29" t="s">
        <v>403</v>
      </c>
      <c r="F989" s="29" t="str">
        <f>LOOKUP(A989,'QALS - Inspection Lot Record'!A:A,'QALS - Inspection Lot Record'!G:G)</f>
        <v>TG509538</v>
      </c>
      <c r="G989" s="59">
        <f ca="1">LOOKUP(A989,'QALS - Inspection Lot Record'!A:A,'QALS - Inspection Lot Record'!E:E)</f>
        <v>45931</v>
      </c>
      <c r="H989" s="34" t="str">
        <f t="shared" si="80"/>
        <v>A</v>
      </c>
      <c r="I989" s="29" t="str">
        <f t="shared" si="76"/>
        <v>TG509538</v>
      </c>
      <c r="J989" s="59">
        <f t="shared" ca="1" si="77"/>
        <v>45931</v>
      </c>
      <c r="K989" s="30">
        <f ca="1">LOOKUP(A989,'QALS - Inspection Lot Record'!A:A,'QALS - Inspection Lot Record'!I:I)</f>
        <v>0.14028935185185185</v>
      </c>
      <c r="L989" s="59">
        <f t="shared" ca="1" si="78"/>
        <v>45931</v>
      </c>
      <c r="M989" s="30">
        <f t="shared" ca="1" si="79"/>
        <v>0.16903935185185184</v>
      </c>
      <c r="N989" s="31"/>
      <c r="O989" s="31">
        <v>0</v>
      </c>
      <c r="P989" s="29">
        <v>0</v>
      </c>
      <c r="Q989" s="29">
        <v>1</v>
      </c>
    </row>
    <row r="990" spans="1:17" x14ac:dyDescent="0.35">
      <c r="A990" s="26">
        <v>40000002624</v>
      </c>
      <c r="B990" s="31">
        <v>1</v>
      </c>
      <c r="C990" s="29" t="str">
        <f>LOOKUP(A990,'QALS - Inspection Lot Record'!$A$2:$A$361,'QALS - Inspection Lot Record'!$O$2:$O$361)</f>
        <v>Ibuprofen Tablets (100 MG)</v>
      </c>
      <c r="D990" s="31">
        <v>50</v>
      </c>
      <c r="E990" s="29" t="s">
        <v>404</v>
      </c>
      <c r="F990" s="29" t="str">
        <f>LOOKUP(A990,'QALS - Inspection Lot Record'!A:A,'QALS - Inspection Lot Record'!G:G)</f>
        <v>TG509538</v>
      </c>
      <c r="G990" s="59">
        <f ca="1">LOOKUP(A990,'QALS - Inspection Lot Record'!A:A,'QALS - Inspection Lot Record'!E:E)</f>
        <v>45931</v>
      </c>
      <c r="H990" s="34" t="str">
        <f t="shared" si="80"/>
        <v>A</v>
      </c>
      <c r="I990" s="29" t="str">
        <f t="shared" si="76"/>
        <v>TG509538</v>
      </c>
      <c r="J990" s="59">
        <f t="shared" ca="1" si="77"/>
        <v>45931</v>
      </c>
      <c r="K990" s="30">
        <f ca="1">LOOKUP(A990,'QALS - Inspection Lot Record'!A:A,'QALS - Inspection Lot Record'!I:I)</f>
        <v>0.14028935185185185</v>
      </c>
      <c r="L990" s="59">
        <f t="shared" ca="1" si="78"/>
        <v>45931</v>
      </c>
      <c r="M990" s="30">
        <f t="shared" ca="1" si="79"/>
        <v>0.17002314814814815</v>
      </c>
      <c r="N990" s="31"/>
      <c r="O990" s="31">
        <v>50</v>
      </c>
      <c r="P990" s="29">
        <v>40</v>
      </c>
      <c r="Q990" s="29">
        <v>60</v>
      </c>
    </row>
    <row r="991" spans="1:17" x14ac:dyDescent="0.35">
      <c r="A991" s="26">
        <v>40000002624</v>
      </c>
      <c r="B991" s="31">
        <v>1</v>
      </c>
      <c r="C991" s="29" t="str">
        <f>LOOKUP(A991,'QALS - Inspection Lot Record'!$A$2:$A$361,'QALS - Inspection Lot Record'!$O$2:$O$361)</f>
        <v>Ibuprofen Tablets (100 MG)</v>
      </c>
      <c r="D991" s="31">
        <v>60</v>
      </c>
      <c r="E991" s="29" t="s">
        <v>405</v>
      </c>
      <c r="F991" s="29" t="str">
        <f>LOOKUP(A991,'QALS - Inspection Lot Record'!A:A,'QALS - Inspection Lot Record'!G:G)</f>
        <v>TG509538</v>
      </c>
      <c r="G991" s="59">
        <f ca="1">LOOKUP(A991,'QALS - Inspection Lot Record'!A:A,'QALS - Inspection Lot Record'!E:E)</f>
        <v>45931</v>
      </c>
      <c r="H991" s="34" t="str">
        <f t="shared" si="80"/>
        <v>A</v>
      </c>
      <c r="I991" s="29" t="str">
        <f t="shared" si="76"/>
        <v>TG509538</v>
      </c>
      <c r="J991" s="59">
        <f t="shared" ca="1" si="77"/>
        <v>45931</v>
      </c>
      <c r="K991" s="30">
        <f ca="1">LOOKUP(A991,'QALS - Inspection Lot Record'!A:A,'QALS - Inspection Lot Record'!I:I)</f>
        <v>0.14028935185185185</v>
      </c>
      <c r="L991" s="59">
        <f t="shared" ca="1" si="78"/>
        <v>45931</v>
      </c>
      <c r="M991" s="30">
        <f t="shared" ca="1" si="79"/>
        <v>0.16902777777777778</v>
      </c>
      <c r="N991" s="31"/>
      <c r="O991" s="31">
        <v>77.5</v>
      </c>
      <c r="P991" s="29">
        <v>70</v>
      </c>
      <c r="Q991" s="29">
        <v>85</v>
      </c>
    </row>
    <row r="992" spans="1:17" x14ac:dyDescent="0.35">
      <c r="A992" s="26">
        <v>40000002624</v>
      </c>
      <c r="B992" s="31">
        <v>1</v>
      </c>
      <c r="C992" s="29" t="str">
        <f>LOOKUP(A992,'QALS - Inspection Lot Record'!$A$2:$A$361,'QALS - Inspection Lot Record'!$O$2:$O$361)</f>
        <v>Ibuprofen Tablets (100 MG)</v>
      </c>
      <c r="D992" s="31">
        <v>70</v>
      </c>
      <c r="E992" s="29" t="s">
        <v>406</v>
      </c>
      <c r="F992" s="29" t="str">
        <f>LOOKUP(A992,'QALS - Inspection Lot Record'!A:A,'QALS - Inspection Lot Record'!G:G)</f>
        <v>TG509538</v>
      </c>
      <c r="G992" s="59">
        <f ca="1">LOOKUP(A992,'QALS - Inspection Lot Record'!A:A,'QALS - Inspection Lot Record'!E:E)</f>
        <v>45931</v>
      </c>
      <c r="H992" s="34" t="str">
        <f t="shared" si="80"/>
        <v>A</v>
      </c>
      <c r="I992" s="29" t="str">
        <f t="shared" si="76"/>
        <v>TG509538</v>
      </c>
      <c r="J992" s="59">
        <f t="shared" ca="1" si="77"/>
        <v>45931</v>
      </c>
      <c r="K992" s="30">
        <f ca="1">LOOKUP(A992,'QALS - Inspection Lot Record'!A:A,'QALS - Inspection Lot Record'!I:I)</f>
        <v>0.14028935185185185</v>
      </c>
      <c r="L992" s="59">
        <f t="shared" ca="1" si="78"/>
        <v>45931</v>
      </c>
      <c r="M992" s="30">
        <f t="shared" ca="1" si="79"/>
        <v>0.1650810185185185</v>
      </c>
      <c r="N992" s="31"/>
      <c r="O992" s="31">
        <v>85</v>
      </c>
      <c r="P992" s="29">
        <v>80</v>
      </c>
      <c r="Q992" s="29">
        <v>90</v>
      </c>
    </row>
    <row r="993" spans="1:17" x14ac:dyDescent="0.35">
      <c r="A993" s="26">
        <v>40000002624</v>
      </c>
      <c r="B993" s="31">
        <v>1</v>
      </c>
      <c r="C993" s="29" t="str">
        <f>LOOKUP(A993,'QALS - Inspection Lot Record'!$A$2:$A$361,'QALS - Inspection Lot Record'!$O$2:$O$361)</f>
        <v>Ibuprofen Tablets (100 MG)</v>
      </c>
      <c r="D993" s="31">
        <v>80</v>
      </c>
      <c r="E993" s="29" t="s">
        <v>407</v>
      </c>
      <c r="F993" s="29" t="str">
        <f>LOOKUP(A993,'QALS - Inspection Lot Record'!A:A,'QALS - Inspection Lot Record'!G:G)</f>
        <v>TG509538</v>
      </c>
      <c r="G993" s="59">
        <f ca="1">LOOKUP(A993,'QALS - Inspection Lot Record'!A:A,'QALS - Inspection Lot Record'!E:E)</f>
        <v>45931</v>
      </c>
      <c r="H993" s="34" t="str">
        <f t="shared" si="80"/>
        <v>A</v>
      </c>
      <c r="I993" s="29" t="str">
        <f t="shared" si="76"/>
        <v>TG509538</v>
      </c>
      <c r="J993" s="59">
        <f t="shared" ca="1" si="77"/>
        <v>45931</v>
      </c>
      <c r="K993" s="30">
        <f ca="1">LOOKUP(A993,'QALS - Inspection Lot Record'!A:A,'QALS - Inspection Lot Record'!I:I)</f>
        <v>0.14028935185185185</v>
      </c>
      <c r="L993" s="59">
        <f t="shared" ca="1" si="78"/>
        <v>45931</v>
      </c>
      <c r="M993" s="30">
        <f t="shared" ca="1" si="79"/>
        <v>0.1653472222222222</v>
      </c>
      <c r="N993" s="31"/>
      <c r="O993" s="31">
        <v>24</v>
      </c>
      <c r="P993" s="29">
        <v>23</v>
      </c>
      <c r="Q993" s="29">
        <v>25</v>
      </c>
    </row>
    <row r="994" spans="1:17" x14ac:dyDescent="0.35">
      <c r="A994" s="26">
        <v>40000002625</v>
      </c>
      <c r="B994" s="27">
        <v>1</v>
      </c>
      <c r="C994" s="29" t="str">
        <f>LOOKUP(A994,'QALS - Inspection Lot Record'!$A$2:$A$361,'QALS - Inspection Lot Record'!$O$2:$O$361)</f>
        <v>Aspirin Tablets (500 MG)</v>
      </c>
      <c r="D994" s="27">
        <v>10</v>
      </c>
      <c r="E994" s="26" t="s">
        <v>399</v>
      </c>
      <c r="F994" s="29" t="str">
        <f>LOOKUP(A994,'QALS - Inspection Lot Record'!A:A,'QALS - Inspection Lot Record'!G:G)</f>
        <v>TP397880</v>
      </c>
      <c r="G994" s="59">
        <f ca="1">LOOKUP(A994,'QALS - Inspection Lot Record'!A:A,'QALS - Inspection Lot Record'!E:E)</f>
        <v>45932</v>
      </c>
      <c r="H994" s="34" t="str">
        <f t="shared" si="80"/>
        <v>R</v>
      </c>
      <c r="I994" s="29" t="str">
        <f t="shared" si="76"/>
        <v>TP397880</v>
      </c>
      <c r="J994" s="59">
        <f t="shared" ca="1" si="77"/>
        <v>45932</v>
      </c>
      <c r="K994" s="30">
        <f ca="1">LOOKUP(A994,'QALS - Inspection Lot Record'!A:A,'QALS - Inspection Lot Record'!I:I)</f>
        <v>0.61891203703703701</v>
      </c>
      <c r="L994" s="59">
        <f t="shared" ca="1" si="78"/>
        <v>45932</v>
      </c>
      <c r="M994" s="30">
        <f t="shared" ca="1" si="79"/>
        <v>0.65416666666666667</v>
      </c>
      <c r="N994" s="31"/>
      <c r="O994" s="31">
        <v>93.3</v>
      </c>
      <c r="P994" s="29">
        <v>95</v>
      </c>
      <c r="Q994" s="29">
        <v>105</v>
      </c>
    </row>
    <row r="995" spans="1:17" x14ac:dyDescent="0.35">
      <c r="A995" s="26">
        <v>40000002625</v>
      </c>
      <c r="B995" s="27">
        <v>1</v>
      </c>
      <c r="C995" s="29" t="str">
        <f>LOOKUP(A995,'QALS - Inspection Lot Record'!$A$2:$A$361,'QALS - Inspection Lot Record'!$O$2:$O$361)</f>
        <v>Aspirin Tablets (500 MG)</v>
      </c>
      <c r="D995" s="31">
        <v>20</v>
      </c>
      <c r="E995" s="29" t="s">
        <v>400</v>
      </c>
      <c r="F995" s="29" t="str">
        <f>LOOKUP(A995,'QALS - Inspection Lot Record'!A:A,'QALS - Inspection Lot Record'!G:G)</f>
        <v>TP397880</v>
      </c>
      <c r="G995" s="59">
        <f ca="1">LOOKUP(A995,'QALS - Inspection Lot Record'!A:A,'QALS - Inspection Lot Record'!E:E)</f>
        <v>45932</v>
      </c>
      <c r="H995" s="34" t="str">
        <f t="shared" si="80"/>
        <v>A</v>
      </c>
      <c r="I995" s="29" t="str">
        <f t="shared" si="76"/>
        <v>TP397880</v>
      </c>
      <c r="J995" s="59">
        <f t="shared" ca="1" si="77"/>
        <v>45932</v>
      </c>
      <c r="K995" s="30">
        <f ca="1">LOOKUP(A995,'QALS - Inspection Lot Record'!A:A,'QALS - Inspection Lot Record'!I:I)</f>
        <v>0.61891203703703701</v>
      </c>
      <c r="L995" s="59">
        <f t="shared" ca="1" si="78"/>
        <v>45932</v>
      </c>
      <c r="M995" s="30">
        <f t="shared" ca="1" si="79"/>
        <v>0.64902777777777776</v>
      </c>
      <c r="N995" s="31"/>
      <c r="O995" s="31">
        <v>7.25</v>
      </c>
      <c r="P995" s="29">
        <v>3.5</v>
      </c>
      <c r="Q995" s="29">
        <v>11</v>
      </c>
    </row>
    <row r="996" spans="1:17" x14ac:dyDescent="0.35">
      <c r="A996" s="26">
        <v>40000002625</v>
      </c>
      <c r="B996" s="31">
        <v>1</v>
      </c>
      <c r="C996" s="29" t="str">
        <f>LOOKUP(A996,'QALS - Inspection Lot Record'!$A$2:$A$361,'QALS - Inspection Lot Record'!$O$2:$O$361)</f>
        <v>Aspirin Tablets (500 MG)</v>
      </c>
      <c r="D996" s="31">
        <v>30</v>
      </c>
      <c r="E996" s="29" t="s">
        <v>401</v>
      </c>
      <c r="F996" s="29" t="str">
        <f>LOOKUP(A996,'QALS - Inspection Lot Record'!A:A,'QALS - Inspection Lot Record'!G:G)</f>
        <v>TP397880</v>
      </c>
      <c r="G996" s="59">
        <f ca="1">LOOKUP(A996,'QALS - Inspection Lot Record'!A:A,'QALS - Inspection Lot Record'!E:E)</f>
        <v>45932</v>
      </c>
      <c r="H996" s="34" t="str">
        <f t="shared" si="80"/>
        <v>A</v>
      </c>
      <c r="I996" s="29" t="str">
        <f t="shared" si="76"/>
        <v>TP397880</v>
      </c>
      <c r="J996" s="59">
        <f t="shared" ca="1" si="77"/>
        <v>45932</v>
      </c>
      <c r="K996" s="30">
        <f ca="1">LOOKUP(A996,'QALS - Inspection Lot Record'!A:A,'QALS - Inspection Lot Record'!I:I)</f>
        <v>0.61891203703703701</v>
      </c>
      <c r="L996" s="59">
        <f t="shared" ca="1" si="78"/>
        <v>45932</v>
      </c>
      <c r="M996" s="30">
        <f t="shared" ca="1" si="79"/>
        <v>0.65318287037037037</v>
      </c>
      <c r="N996" s="11" t="s">
        <v>402</v>
      </c>
      <c r="O996" s="31"/>
      <c r="P996" s="29"/>
      <c r="Q996" s="29"/>
    </row>
    <row r="997" spans="1:17" x14ac:dyDescent="0.35">
      <c r="A997" s="26">
        <v>40000002625</v>
      </c>
      <c r="B997" s="31">
        <v>1</v>
      </c>
      <c r="C997" s="29" t="str">
        <f>LOOKUP(A997,'QALS - Inspection Lot Record'!$A$2:$A$361,'QALS - Inspection Lot Record'!$O$2:$O$361)</f>
        <v>Aspirin Tablets (500 MG)</v>
      </c>
      <c r="D997" s="31">
        <v>40</v>
      </c>
      <c r="E997" s="29" t="s">
        <v>403</v>
      </c>
      <c r="F997" s="29" t="str">
        <f>LOOKUP(A997,'QALS - Inspection Lot Record'!A:A,'QALS - Inspection Lot Record'!G:G)</f>
        <v>TP397880</v>
      </c>
      <c r="G997" s="59">
        <f ca="1">LOOKUP(A997,'QALS - Inspection Lot Record'!A:A,'QALS - Inspection Lot Record'!E:E)</f>
        <v>45932</v>
      </c>
      <c r="H997" s="34" t="str">
        <f t="shared" si="80"/>
        <v>A</v>
      </c>
      <c r="I997" s="29" t="str">
        <f t="shared" si="76"/>
        <v>TP397880</v>
      </c>
      <c r="J997" s="59">
        <f t="shared" ca="1" si="77"/>
        <v>45932</v>
      </c>
      <c r="K997" s="30">
        <f ca="1">LOOKUP(A997,'QALS - Inspection Lot Record'!A:A,'QALS - Inspection Lot Record'!I:I)</f>
        <v>0.61891203703703701</v>
      </c>
      <c r="L997" s="59">
        <f t="shared" ca="1" si="78"/>
        <v>45932</v>
      </c>
      <c r="M997" s="30">
        <f t="shared" ca="1" si="79"/>
        <v>0.64792824074074074</v>
      </c>
      <c r="N997" s="31"/>
      <c r="O997" s="31">
        <v>1.8</v>
      </c>
      <c r="P997" s="29">
        <v>0</v>
      </c>
      <c r="Q997" s="29">
        <v>2.5</v>
      </c>
    </row>
    <row r="998" spans="1:17" x14ac:dyDescent="0.35">
      <c r="A998" s="26">
        <v>40000002625</v>
      </c>
      <c r="B998" s="31">
        <v>1</v>
      </c>
      <c r="C998" s="29" t="str">
        <f>LOOKUP(A998,'QALS - Inspection Lot Record'!$A$2:$A$361,'QALS - Inspection Lot Record'!$O$2:$O$361)</f>
        <v>Aspirin Tablets (500 MG)</v>
      </c>
      <c r="D998" s="31">
        <v>50</v>
      </c>
      <c r="E998" s="29" t="s">
        <v>404</v>
      </c>
      <c r="F998" s="29" t="str">
        <f>LOOKUP(A998,'QALS - Inspection Lot Record'!A:A,'QALS - Inspection Lot Record'!G:G)</f>
        <v>TP397880</v>
      </c>
      <c r="G998" s="59">
        <f ca="1">LOOKUP(A998,'QALS - Inspection Lot Record'!A:A,'QALS - Inspection Lot Record'!E:E)</f>
        <v>45932</v>
      </c>
      <c r="H998" s="34" t="str">
        <f t="shared" si="80"/>
        <v>R</v>
      </c>
      <c r="I998" s="29" t="str">
        <f t="shared" si="76"/>
        <v>TP397880</v>
      </c>
      <c r="J998" s="59">
        <f t="shared" ca="1" si="77"/>
        <v>45932</v>
      </c>
      <c r="K998" s="30">
        <f ca="1">LOOKUP(A998,'QALS - Inspection Lot Record'!A:A,'QALS - Inspection Lot Record'!I:I)</f>
        <v>0.61891203703703701</v>
      </c>
      <c r="L998" s="59">
        <f t="shared" ca="1" si="78"/>
        <v>45932</v>
      </c>
      <c r="M998" s="30">
        <f t="shared" ca="1" si="79"/>
        <v>0.64571759259259254</v>
      </c>
      <c r="N998" s="31"/>
      <c r="O998" s="31">
        <v>38.1</v>
      </c>
      <c r="P998" s="29">
        <v>40</v>
      </c>
      <c r="Q998" s="29">
        <v>60</v>
      </c>
    </row>
    <row r="999" spans="1:17" x14ac:dyDescent="0.35">
      <c r="A999" s="26">
        <v>40000002625</v>
      </c>
      <c r="B999" s="31">
        <v>1</v>
      </c>
      <c r="C999" s="29" t="str">
        <f>LOOKUP(A999,'QALS - Inspection Lot Record'!$A$2:$A$361,'QALS - Inspection Lot Record'!$O$2:$O$361)</f>
        <v>Aspirin Tablets (500 MG)</v>
      </c>
      <c r="D999" s="31">
        <v>60</v>
      </c>
      <c r="E999" s="29" t="s">
        <v>405</v>
      </c>
      <c r="F999" s="29" t="str">
        <f>LOOKUP(A999,'QALS - Inspection Lot Record'!A:A,'QALS - Inspection Lot Record'!G:G)</f>
        <v>TP397880</v>
      </c>
      <c r="G999" s="59">
        <f ca="1">LOOKUP(A999,'QALS - Inspection Lot Record'!A:A,'QALS - Inspection Lot Record'!E:E)</f>
        <v>45932</v>
      </c>
      <c r="H999" s="34" t="str">
        <f t="shared" si="80"/>
        <v>R</v>
      </c>
      <c r="I999" s="29" t="str">
        <f t="shared" si="76"/>
        <v>TP397880</v>
      </c>
      <c r="J999" s="59">
        <f t="shared" ca="1" si="77"/>
        <v>45932</v>
      </c>
      <c r="K999" s="30">
        <f ca="1">LOOKUP(A999,'QALS - Inspection Lot Record'!A:A,'QALS - Inspection Lot Record'!I:I)</f>
        <v>0.61891203703703701</v>
      </c>
      <c r="L999" s="59">
        <f t="shared" ca="1" si="78"/>
        <v>45932</v>
      </c>
      <c r="M999" s="30">
        <f t="shared" ca="1" si="79"/>
        <v>0.6366087962962963</v>
      </c>
      <c r="N999" s="31"/>
      <c r="O999" s="31">
        <v>68.599999999999994</v>
      </c>
      <c r="P999" s="29">
        <v>70</v>
      </c>
      <c r="Q999" s="29">
        <v>85</v>
      </c>
    </row>
    <row r="1000" spans="1:17" x14ac:dyDescent="0.35">
      <c r="A1000" s="26">
        <v>40000002625</v>
      </c>
      <c r="B1000" s="31">
        <v>1</v>
      </c>
      <c r="C1000" s="29" t="str">
        <f>LOOKUP(A1000,'QALS - Inspection Lot Record'!$A$2:$A$361,'QALS - Inspection Lot Record'!$O$2:$O$361)</f>
        <v>Aspirin Tablets (500 MG)</v>
      </c>
      <c r="D1000" s="31">
        <v>70</v>
      </c>
      <c r="E1000" s="29" t="s">
        <v>406</v>
      </c>
      <c r="F1000" s="29" t="str">
        <f>LOOKUP(A1000,'QALS - Inspection Lot Record'!A:A,'QALS - Inspection Lot Record'!G:G)</f>
        <v>TP397880</v>
      </c>
      <c r="G1000" s="59">
        <f ca="1">LOOKUP(A1000,'QALS - Inspection Lot Record'!A:A,'QALS - Inspection Lot Record'!E:E)</f>
        <v>45932</v>
      </c>
      <c r="H1000" s="34" t="str">
        <f t="shared" si="80"/>
        <v>R</v>
      </c>
      <c r="I1000" s="29" t="str">
        <f t="shared" si="76"/>
        <v>TP397880</v>
      </c>
      <c r="J1000" s="59">
        <f t="shared" ca="1" si="77"/>
        <v>45932</v>
      </c>
      <c r="K1000" s="30">
        <f ca="1">LOOKUP(A1000,'QALS - Inspection Lot Record'!A:A,'QALS - Inspection Lot Record'!I:I)</f>
        <v>0.61891203703703701</v>
      </c>
      <c r="L1000" s="59">
        <f t="shared" ca="1" si="78"/>
        <v>45932</v>
      </c>
      <c r="M1000" s="30">
        <f t="shared" ca="1" si="79"/>
        <v>0.64175925925925925</v>
      </c>
      <c r="N1000" s="31"/>
      <c r="O1000" s="31">
        <v>78.900000000000006</v>
      </c>
      <c r="P1000" s="29">
        <v>80</v>
      </c>
      <c r="Q1000" s="29">
        <v>90</v>
      </c>
    </row>
    <row r="1001" spans="1:17" x14ac:dyDescent="0.35">
      <c r="A1001" s="26">
        <v>40000002625</v>
      </c>
      <c r="B1001" s="31">
        <v>1</v>
      </c>
      <c r="C1001" s="29" t="str">
        <f>LOOKUP(A1001,'QALS - Inspection Lot Record'!$A$2:$A$361,'QALS - Inspection Lot Record'!$O$2:$O$361)</f>
        <v>Aspirin Tablets (500 MG)</v>
      </c>
      <c r="D1001" s="31">
        <v>80</v>
      </c>
      <c r="E1001" s="29" t="s">
        <v>407</v>
      </c>
      <c r="F1001" s="29" t="str">
        <f>LOOKUP(A1001,'QALS - Inspection Lot Record'!A:A,'QALS - Inspection Lot Record'!G:G)</f>
        <v>TP397880</v>
      </c>
      <c r="G1001" s="59">
        <f ca="1">LOOKUP(A1001,'QALS - Inspection Lot Record'!A:A,'QALS - Inspection Lot Record'!E:E)</f>
        <v>45932</v>
      </c>
      <c r="H1001" s="34" t="str">
        <f t="shared" si="80"/>
        <v>A</v>
      </c>
      <c r="I1001" s="29" t="str">
        <f t="shared" si="76"/>
        <v>TP397880</v>
      </c>
      <c r="J1001" s="59">
        <f t="shared" ca="1" si="77"/>
        <v>45932</v>
      </c>
      <c r="K1001" s="30">
        <f ca="1">LOOKUP(A1001,'QALS - Inspection Lot Record'!A:A,'QALS - Inspection Lot Record'!I:I)</f>
        <v>0.61891203703703701</v>
      </c>
      <c r="L1001" s="59">
        <f t="shared" ca="1" si="78"/>
        <v>45932</v>
      </c>
      <c r="M1001" s="30">
        <f t="shared" ca="1" si="79"/>
        <v>0.64533564814814814</v>
      </c>
      <c r="N1001" s="31"/>
      <c r="O1001" s="31">
        <v>23.7</v>
      </c>
      <c r="P1001" s="29">
        <v>23</v>
      </c>
      <c r="Q1001" s="29">
        <v>28</v>
      </c>
    </row>
    <row r="1002" spans="1:17" x14ac:dyDescent="0.35">
      <c r="A1002" s="26">
        <v>40000002626</v>
      </c>
      <c r="B1002" s="27">
        <v>1</v>
      </c>
      <c r="C1002" s="29" t="str">
        <f>LOOKUP(A1002,'QALS - Inspection Lot Record'!$A$2:$A$361,'QALS - Inspection Lot Record'!$O$2:$O$361)</f>
        <v>Metformin Tablets (100 MG)</v>
      </c>
      <c r="D1002" s="27">
        <v>10</v>
      </c>
      <c r="E1002" s="26" t="s">
        <v>399</v>
      </c>
      <c r="F1002" s="29" t="str">
        <f>LOOKUP(A1002,'QALS - Inspection Lot Record'!A:A,'QALS - Inspection Lot Record'!G:G)</f>
        <v>GC197258</v>
      </c>
      <c r="G1002" s="59">
        <f ca="1">LOOKUP(A1002,'QALS - Inspection Lot Record'!A:A,'QALS - Inspection Lot Record'!E:E)</f>
        <v>45932</v>
      </c>
      <c r="H1002" s="34" t="str">
        <f t="shared" si="80"/>
        <v>R</v>
      </c>
      <c r="I1002" s="29" t="str">
        <f t="shared" si="76"/>
        <v>GC197258</v>
      </c>
      <c r="J1002" s="59">
        <f t="shared" ca="1" si="77"/>
        <v>45932</v>
      </c>
      <c r="K1002" s="30">
        <f ca="1">LOOKUP(A1002,'QALS - Inspection Lot Record'!A:A,'QALS - Inspection Lot Record'!I:I)</f>
        <v>0.21236111111111111</v>
      </c>
      <c r="L1002" s="59">
        <f t="shared" ca="1" si="78"/>
        <v>45932</v>
      </c>
      <c r="M1002" s="30">
        <f t="shared" ca="1" si="79"/>
        <v>0.24496527777777777</v>
      </c>
      <c r="N1002" s="31"/>
      <c r="O1002" s="31">
        <v>94</v>
      </c>
      <c r="P1002" s="29">
        <v>95</v>
      </c>
      <c r="Q1002" s="29">
        <v>102</v>
      </c>
    </row>
    <row r="1003" spans="1:17" x14ac:dyDescent="0.35">
      <c r="A1003" s="26">
        <v>40000002626</v>
      </c>
      <c r="B1003" s="27">
        <v>1</v>
      </c>
      <c r="C1003" s="29" t="str">
        <f>LOOKUP(A1003,'QALS - Inspection Lot Record'!$A$2:$A$361,'QALS - Inspection Lot Record'!$O$2:$O$361)</f>
        <v>Metformin Tablets (100 MG)</v>
      </c>
      <c r="D1003" s="31">
        <v>20</v>
      </c>
      <c r="E1003" s="29" t="s">
        <v>400</v>
      </c>
      <c r="F1003" s="29" t="str">
        <f>LOOKUP(A1003,'QALS - Inspection Lot Record'!A:A,'QALS - Inspection Lot Record'!G:G)</f>
        <v>GC197258</v>
      </c>
      <c r="G1003" s="59">
        <f ca="1">LOOKUP(A1003,'QALS - Inspection Lot Record'!A:A,'QALS - Inspection Lot Record'!E:E)</f>
        <v>45932</v>
      </c>
      <c r="H1003" s="34" t="str">
        <f t="shared" si="80"/>
        <v>R</v>
      </c>
      <c r="I1003" s="29" t="str">
        <f t="shared" si="76"/>
        <v>GC197258</v>
      </c>
      <c r="J1003" s="59">
        <f t="shared" ca="1" si="77"/>
        <v>45932</v>
      </c>
      <c r="K1003" s="30">
        <f ca="1">LOOKUP(A1003,'QALS - Inspection Lot Record'!A:A,'QALS - Inspection Lot Record'!I:I)</f>
        <v>0.21236111111111111</v>
      </c>
      <c r="L1003" s="59">
        <f t="shared" ca="1" si="78"/>
        <v>45932</v>
      </c>
      <c r="M1003" s="30">
        <f t="shared" ca="1" si="79"/>
        <v>0.23627314814814815</v>
      </c>
      <c r="N1003" s="31"/>
      <c r="O1003" s="31">
        <v>2.1</v>
      </c>
      <c r="P1003" s="29">
        <v>3.5</v>
      </c>
      <c r="Q1003" s="29">
        <v>11</v>
      </c>
    </row>
    <row r="1004" spans="1:17" x14ac:dyDescent="0.35">
      <c r="A1004" s="26">
        <v>40000002626</v>
      </c>
      <c r="B1004" s="31">
        <v>1</v>
      </c>
      <c r="C1004" s="29" t="str">
        <f>LOOKUP(A1004,'QALS - Inspection Lot Record'!$A$2:$A$361,'QALS - Inspection Lot Record'!$O$2:$O$361)</f>
        <v>Metformin Tablets (100 MG)</v>
      </c>
      <c r="D1004" s="31">
        <v>30</v>
      </c>
      <c r="E1004" s="29" t="s">
        <v>401</v>
      </c>
      <c r="F1004" s="29" t="str">
        <f>LOOKUP(A1004,'QALS - Inspection Lot Record'!A:A,'QALS - Inspection Lot Record'!G:G)</f>
        <v>GC197258</v>
      </c>
      <c r="G1004" s="59">
        <f ca="1">LOOKUP(A1004,'QALS - Inspection Lot Record'!A:A,'QALS - Inspection Lot Record'!E:E)</f>
        <v>45932</v>
      </c>
      <c r="H1004" s="34" t="str">
        <f t="shared" si="80"/>
        <v>A</v>
      </c>
      <c r="I1004" s="29" t="str">
        <f t="shared" si="76"/>
        <v>GC197258</v>
      </c>
      <c r="J1004" s="59">
        <f t="shared" ca="1" si="77"/>
        <v>45932</v>
      </c>
      <c r="K1004" s="30">
        <f ca="1">LOOKUP(A1004,'QALS - Inspection Lot Record'!A:A,'QALS - Inspection Lot Record'!I:I)</f>
        <v>0.21236111111111111</v>
      </c>
      <c r="L1004" s="59">
        <f t="shared" ca="1" si="78"/>
        <v>45932</v>
      </c>
      <c r="M1004" s="30">
        <f t="shared" ca="1" si="79"/>
        <v>0.23054398148148147</v>
      </c>
      <c r="N1004" s="11" t="s">
        <v>402</v>
      </c>
      <c r="O1004" s="31"/>
      <c r="P1004" s="29"/>
      <c r="Q1004" s="29"/>
    </row>
    <row r="1005" spans="1:17" x14ac:dyDescent="0.35">
      <c r="A1005" s="26">
        <v>40000002626</v>
      </c>
      <c r="B1005" s="31">
        <v>1</v>
      </c>
      <c r="C1005" s="29" t="str">
        <f>LOOKUP(A1005,'QALS - Inspection Lot Record'!$A$2:$A$361,'QALS - Inspection Lot Record'!$O$2:$O$361)</f>
        <v>Metformin Tablets (100 MG)</v>
      </c>
      <c r="D1005" s="31">
        <v>40</v>
      </c>
      <c r="E1005" s="29" t="s">
        <v>403</v>
      </c>
      <c r="F1005" s="29" t="str">
        <f>LOOKUP(A1005,'QALS - Inspection Lot Record'!A:A,'QALS - Inspection Lot Record'!G:G)</f>
        <v>GC197258</v>
      </c>
      <c r="G1005" s="59">
        <f ca="1">LOOKUP(A1005,'QALS - Inspection Lot Record'!A:A,'QALS - Inspection Lot Record'!E:E)</f>
        <v>45932</v>
      </c>
      <c r="H1005" s="34" t="str">
        <f t="shared" si="80"/>
        <v>R</v>
      </c>
      <c r="I1005" s="29" t="str">
        <f t="shared" si="76"/>
        <v>GC197258</v>
      </c>
      <c r="J1005" s="59">
        <f t="shared" ca="1" si="77"/>
        <v>45932</v>
      </c>
      <c r="K1005" s="30">
        <f ca="1">LOOKUP(A1005,'QALS - Inspection Lot Record'!A:A,'QALS - Inspection Lot Record'!I:I)</f>
        <v>0.21236111111111111</v>
      </c>
      <c r="L1005" s="59">
        <f t="shared" ca="1" si="78"/>
        <v>45932</v>
      </c>
      <c r="M1005" s="30">
        <f t="shared" ca="1" si="79"/>
        <v>0.23372685185185185</v>
      </c>
      <c r="N1005" s="31"/>
      <c r="O1005" s="31">
        <v>2</v>
      </c>
      <c r="P1005" s="29">
        <v>0</v>
      </c>
      <c r="Q1005" s="29">
        <v>1</v>
      </c>
    </row>
    <row r="1006" spans="1:17" x14ac:dyDescent="0.35">
      <c r="A1006" s="26">
        <v>40000002626</v>
      </c>
      <c r="B1006" s="31">
        <v>1</v>
      </c>
      <c r="C1006" s="29" t="str">
        <f>LOOKUP(A1006,'QALS - Inspection Lot Record'!$A$2:$A$361,'QALS - Inspection Lot Record'!$O$2:$O$361)</f>
        <v>Metformin Tablets (100 MG)</v>
      </c>
      <c r="D1006" s="31">
        <v>50</v>
      </c>
      <c r="E1006" s="29" t="s">
        <v>404</v>
      </c>
      <c r="F1006" s="29" t="str">
        <f>LOOKUP(A1006,'QALS - Inspection Lot Record'!A:A,'QALS - Inspection Lot Record'!G:G)</f>
        <v>GC197258</v>
      </c>
      <c r="G1006" s="59">
        <f ca="1">LOOKUP(A1006,'QALS - Inspection Lot Record'!A:A,'QALS - Inspection Lot Record'!E:E)</f>
        <v>45932</v>
      </c>
      <c r="H1006" s="34" t="str">
        <f t="shared" si="80"/>
        <v>R</v>
      </c>
      <c r="I1006" s="29" t="str">
        <f t="shared" si="76"/>
        <v>GC197258</v>
      </c>
      <c r="J1006" s="59">
        <f t="shared" ca="1" si="77"/>
        <v>45932</v>
      </c>
      <c r="K1006" s="30">
        <f ca="1">LOOKUP(A1006,'QALS - Inspection Lot Record'!A:A,'QALS - Inspection Lot Record'!I:I)</f>
        <v>0.21236111111111111</v>
      </c>
      <c r="L1006" s="59">
        <f t="shared" ca="1" si="78"/>
        <v>45932</v>
      </c>
      <c r="M1006" s="30">
        <f t="shared" ca="1" si="79"/>
        <v>0.24336805555555555</v>
      </c>
      <c r="N1006" s="31"/>
      <c r="O1006" s="31">
        <v>62</v>
      </c>
      <c r="P1006" s="29">
        <v>40</v>
      </c>
      <c r="Q1006" s="29">
        <v>60</v>
      </c>
    </row>
    <row r="1007" spans="1:17" x14ac:dyDescent="0.35">
      <c r="A1007" s="26">
        <v>40000002626</v>
      </c>
      <c r="B1007" s="31">
        <v>1</v>
      </c>
      <c r="C1007" s="29" t="str">
        <f>LOOKUP(A1007,'QALS - Inspection Lot Record'!$A$2:$A$361,'QALS - Inspection Lot Record'!$O$2:$O$361)</f>
        <v>Metformin Tablets (100 MG)</v>
      </c>
      <c r="D1007" s="31">
        <v>60</v>
      </c>
      <c r="E1007" s="29" t="s">
        <v>405</v>
      </c>
      <c r="F1007" s="29" t="str">
        <f>LOOKUP(A1007,'QALS - Inspection Lot Record'!A:A,'QALS - Inspection Lot Record'!G:G)</f>
        <v>GC197258</v>
      </c>
      <c r="G1007" s="59">
        <f ca="1">LOOKUP(A1007,'QALS - Inspection Lot Record'!A:A,'QALS - Inspection Lot Record'!E:E)</f>
        <v>45932</v>
      </c>
      <c r="H1007" s="34" t="str">
        <f t="shared" si="80"/>
        <v>A</v>
      </c>
      <c r="I1007" s="29" t="str">
        <f t="shared" si="76"/>
        <v>GC197258</v>
      </c>
      <c r="J1007" s="59">
        <f t="shared" ca="1" si="77"/>
        <v>45932</v>
      </c>
      <c r="K1007" s="30">
        <f ca="1">LOOKUP(A1007,'QALS - Inspection Lot Record'!A:A,'QALS - Inspection Lot Record'!I:I)</f>
        <v>0.21236111111111111</v>
      </c>
      <c r="L1007" s="59">
        <f t="shared" ca="1" si="78"/>
        <v>45932</v>
      </c>
      <c r="M1007" s="30">
        <f t="shared" ca="1" si="79"/>
        <v>0.23700231481481482</v>
      </c>
      <c r="N1007" s="31"/>
      <c r="O1007" s="31">
        <v>78</v>
      </c>
      <c r="P1007" s="29">
        <v>70</v>
      </c>
      <c r="Q1007" s="29">
        <v>85</v>
      </c>
    </row>
    <row r="1008" spans="1:17" x14ac:dyDescent="0.35">
      <c r="A1008" s="26">
        <v>40000002626</v>
      </c>
      <c r="B1008" s="31">
        <v>1</v>
      </c>
      <c r="C1008" s="29" t="str">
        <f>LOOKUP(A1008,'QALS - Inspection Lot Record'!$A$2:$A$361,'QALS - Inspection Lot Record'!$O$2:$O$361)</f>
        <v>Metformin Tablets (100 MG)</v>
      </c>
      <c r="D1008" s="31">
        <v>70</v>
      </c>
      <c r="E1008" s="29" t="s">
        <v>406</v>
      </c>
      <c r="F1008" s="29" t="str">
        <f>LOOKUP(A1008,'QALS - Inspection Lot Record'!A:A,'QALS - Inspection Lot Record'!G:G)</f>
        <v>GC197258</v>
      </c>
      <c r="G1008" s="59">
        <f ca="1">LOOKUP(A1008,'QALS - Inspection Lot Record'!A:A,'QALS - Inspection Lot Record'!E:E)</f>
        <v>45932</v>
      </c>
      <c r="H1008" s="34" t="str">
        <f t="shared" si="80"/>
        <v>A</v>
      </c>
      <c r="I1008" s="29" t="str">
        <f t="shared" si="76"/>
        <v>GC197258</v>
      </c>
      <c r="J1008" s="59">
        <f t="shared" ca="1" si="77"/>
        <v>45932</v>
      </c>
      <c r="K1008" s="30">
        <f ca="1">LOOKUP(A1008,'QALS - Inspection Lot Record'!A:A,'QALS - Inspection Lot Record'!I:I)</f>
        <v>0.21236111111111111</v>
      </c>
      <c r="L1008" s="59">
        <f t="shared" ca="1" si="78"/>
        <v>45932</v>
      </c>
      <c r="M1008" s="30">
        <f t="shared" ca="1" si="79"/>
        <v>0.24744212962962964</v>
      </c>
      <c r="N1008" s="31"/>
      <c r="O1008" s="31">
        <v>84.3</v>
      </c>
      <c r="P1008" s="29">
        <v>80</v>
      </c>
      <c r="Q1008" s="29">
        <v>90</v>
      </c>
    </row>
    <row r="1009" spans="1:17" x14ac:dyDescent="0.35">
      <c r="A1009" s="26">
        <v>40000002626</v>
      </c>
      <c r="B1009" s="31">
        <v>1</v>
      </c>
      <c r="C1009" s="29" t="str">
        <f>LOOKUP(A1009,'QALS - Inspection Lot Record'!$A$2:$A$361,'QALS - Inspection Lot Record'!$O$2:$O$361)</f>
        <v>Metformin Tablets (100 MG)</v>
      </c>
      <c r="D1009" s="31">
        <v>80</v>
      </c>
      <c r="E1009" s="29" t="s">
        <v>407</v>
      </c>
      <c r="F1009" s="29" t="str">
        <f>LOOKUP(A1009,'QALS - Inspection Lot Record'!A:A,'QALS - Inspection Lot Record'!G:G)</f>
        <v>GC197258</v>
      </c>
      <c r="G1009" s="59">
        <f ca="1">LOOKUP(A1009,'QALS - Inspection Lot Record'!A:A,'QALS - Inspection Lot Record'!E:E)</f>
        <v>45932</v>
      </c>
      <c r="H1009" s="34" t="str">
        <f t="shared" si="80"/>
        <v>A</v>
      </c>
      <c r="I1009" s="29" t="str">
        <f t="shared" si="76"/>
        <v>GC197258</v>
      </c>
      <c r="J1009" s="59">
        <f t="shared" ca="1" si="77"/>
        <v>45932</v>
      </c>
      <c r="K1009" s="30">
        <f ca="1">LOOKUP(A1009,'QALS - Inspection Lot Record'!A:A,'QALS - Inspection Lot Record'!I:I)</f>
        <v>0.21236111111111111</v>
      </c>
      <c r="L1009" s="59">
        <f t="shared" ca="1" si="78"/>
        <v>45932</v>
      </c>
      <c r="M1009" s="30">
        <f t="shared" ca="1" si="79"/>
        <v>0.24414351851851851</v>
      </c>
      <c r="N1009" s="31"/>
      <c r="O1009" s="31">
        <v>23.5</v>
      </c>
      <c r="P1009" s="29">
        <v>23</v>
      </c>
      <c r="Q1009" s="29">
        <v>25</v>
      </c>
    </row>
    <row r="1010" spans="1:17" x14ac:dyDescent="0.35">
      <c r="A1010" s="26">
        <v>40000002627</v>
      </c>
      <c r="B1010" s="27">
        <v>1</v>
      </c>
      <c r="C1010" s="29" t="str">
        <f>LOOKUP(A1010,'QALS - Inspection Lot Record'!$A$2:$A$361,'QALS - Inspection Lot Record'!$O$2:$O$361)</f>
        <v>Aspirin Tablets (500 MG)</v>
      </c>
      <c r="D1010" s="27">
        <v>10</v>
      </c>
      <c r="E1010" s="26" t="s">
        <v>399</v>
      </c>
      <c r="F1010" s="29" t="str">
        <f>LOOKUP(A1010,'QALS - Inspection Lot Record'!A:A,'QALS - Inspection Lot Record'!G:G)</f>
        <v>ZK384180</v>
      </c>
      <c r="G1010" s="59">
        <f ca="1">LOOKUP(A1010,'QALS - Inspection Lot Record'!A:A,'QALS - Inspection Lot Record'!E:E)</f>
        <v>45933</v>
      </c>
      <c r="H1010" s="34" t="str">
        <f t="shared" si="80"/>
        <v>A</v>
      </c>
      <c r="I1010" s="29" t="str">
        <f t="shared" si="76"/>
        <v>ZK384180</v>
      </c>
      <c r="J1010" s="59">
        <f t="shared" ca="1" si="77"/>
        <v>45933</v>
      </c>
      <c r="K1010" s="30">
        <f ca="1">LOOKUP(A1010,'QALS - Inspection Lot Record'!A:A,'QALS - Inspection Lot Record'!I:I)</f>
        <v>0.65635416666666668</v>
      </c>
      <c r="L1010" s="59">
        <f t="shared" ca="1" si="78"/>
        <v>45933</v>
      </c>
      <c r="M1010" s="30">
        <f t="shared" ca="1" si="79"/>
        <v>0.68267361111111113</v>
      </c>
      <c r="N1010" s="31"/>
      <c r="O1010" s="31">
        <v>100</v>
      </c>
      <c r="P1010" s="29">
        <v>95</v>
      </c>
      <c r="Q1010" s="29">
        <v>105</v>
      </c>
    </row>
    <row r="1011" spans="1:17" x14ac:dyDescent="0.35">
      <c r="A1011" s="26">
        <v>40000002627</v>
      </c>
      <c r="B1011" s="27">
        <v>1</v>
      </c>
      <c r="C1011" s="29" t="str">
        <f>LOOKUP(A1011,'QALS - Inspection Lot Record'!$A$2:$A$361,'QALS - Inspection Lot Record'!$O$2:$O$361)</f>
        <v>Aspirin Tablets (500 MG)</v>
      </c>
      <c r="D1011" s="31">
        <v>20</v>
      </c>
      <c r="E1011" s="29" t="s">
        <v>400</v>
      </c>
      <c r="F1011" s="29" t="str">
        <f>LOOKUP(A1011,'QALS - Inspection Lot Record'!A:A,'QALS - Inspection Lot Record'!G:G)</f>
        <v>ZK384180</v>
      </c>
      <c r="G1011" s="59">
        <f ca="1">LOOKUP(A1011,'QALS - Inspection Lot Record'!A:A,'QALS - Inspection Lot Record'!E:E)</f>
        <v>45933</v>
      </c>
      <c r="H1011" s="34" t="str">
        <f t="shared" si="80"/>
        <v>A</v>
      </c>
      <c r="I1011" s="29" t="str">
        <f t="shared" si="76"/>
        <v>ZK384180</v>
      </c>
      <c r="J1011" s="59">
        <f t="shared" ca="1" si="77"/>
        <v>45933</v>
      </c>
      <c r="K1011" s="30">
        <f ca="1">LOOKUP(A1011,'QALS - Inspection Lot Record'!A:A,'QALS - Inspection Lot Record'!I:I)</f>
        <v>0.65635416666666668</v>
      </c>
      <c r="L1011" s="59">
        <f t="shared" ca="1" si="78"/>
        <v>45933</v>
      </c>
      <c r="M1011" s="30">
        <f t="shared" ca="1" si="79"/>
        <v>0.67878472222222219</v>
      </c>
      <c r="N1011" s="31"/>
      <c r="O1011" s="31">
        <v>7.25</v>
      </c>
      <c r="P1011" s="29">
        <v>3.5</v>
      </c>
      <c r="Q1011" s="29">
        <v>11</v>
      </c>
    </row>
    <row r="1012" spans="1:17" x14ac:dyDescent="0.35">
      <c r="A1012" s="26">
        <v>40000002627</v>
      </c>
      <c r="B1012" s="31">
        <v>1</v>
      </c>
      <c r="C1012" s="29" t="str">
        <f>LOOKUP(A1012,'QALS - Inspection Lot Record'!$A$2:$A$361,'QALS - Inspection Lot Record'!$O$2:$O$361)</f>
        <v>Aspirin Tablets (500 MG)</v>
      </c>
      <c r="D1012" s="31">
        <v>30</v>
      </c>
      <c r="E1012" s="29" t="s">
        <v>401</v>
      </c>
      <c r="F1012" s="29" t="str">
        <f>LOOKUP(A1012,'QALS - Inspection Lot Record'!A:A,'QALS - Inspection Lot Record'!G:G)</f>
        <v>ZK384180</v>
      </c>
      <c r="G1012" s="59">
        <f ca="1">LOOKUP(A1012,'QALS - Inspection Lot Record'!A:A,'QALS - Inspection Lot Record'!E:E)</f>
        <v>45933</v>
      </c>
      <c r="H1012" s="34" t="str">
        <f t="shared" si="80"/>
        <v>A</v>
      </c>
      <c r="I1012" s="29" t="str">
        <f t="shared" si="76"/>
        <v>ZK384180</v>
      </c>
      <c r="J1012" s="59">
        <f t="shared" ca="1" si="77"/>
        <v>45933</v>
      </c>
      <c r="K1012" s="30">
        <f ca="1">LOOKUP(A1012,'QALS - Inspection Lot Record'!A:A,'QALS - Inspection Lot Record'!I:I)</f>
        <v>0.65635416666666668</v>
      </c>
      <c r="L1012" s="59">
        <f t="shared" ca="1" si="78"/>
        <v>45933</v>
      </c>
      <c r="M1012" s="30">
        <f t="shared" ca="1" si="79"/>
        <v>0.68309027777777775</v>
      </c>
      <c r="N1012" s="11" t="s">
        <v>402</v>
      </c>
      <c r="O1012" s="31"/>
      <c r="P1012" s="29"/>
      <c r="Q1012" s="29"/>
    </row>
    <row r="1013" spans="1:17" x14ac:dyDescent="0.35">
      <c r="A1013" s="26">
        <v>40000002627</v>
      </c>
      <c r="B1013" s="31">
        <v>1</v>
      </c>
      <c r="C1013" s="29" t="str">
        <f>LOOKUP(A1013,'QALS - Inspection Lot Record'!$A$2:$A$361,'QALS - Inspection Lot Record'!$O$2:$O$361)</f>
        <v>Aspirin Tablets (500 MG)</v>
      </c>
      <c r="D1013" s="31">
        <v>40</v>
      </c>
      <c r="E1013" s="29" t="s">
        <v>403</v>
      </c>
      <c r="F1013" s="29" t="str">
        <f>LOOKUP(A1013,'QALS - Inspection Lot Record'!A:A,'QALS - Inspection Lot Record'!G:G)</f>
        <v>ZK384180</v>
      </c>
      <c r="G1013" s="59">
        <f ca="1">LOOKUP(A1013,'QALS - Inspection Lot Record'!A:A,'QALS - Inspection Lot Record'!E:E)</f>
        <v>45933</v>
      </c>
      <c r="H1013" s="34" t="str">
        <f t="shared" si="80"/>
        <v>A</v>
      </c>
      <c r="I1013" s="29" t="str">
        <f t="shared" si="76"/>
        <v>ZK384180</v>
      </c>
      <c r="J1013" s="59">
        <f t="shared" ca="1" si="77"/>
        <v>45933</v>
      </c>
      <c r="K1013" s="30">
        <f ca="1">LOOKUP(A1013,'QALS - Inspection Lot Record'!A:A,'QALS - Inspection Lot Record'!I:I)</f>
        <v>0.65635416666666668</v>
      </c>
      <c r="L1013" s="59">
        <f t="shared" ca="1" si="78"/>
        <v>45933</v>
      </c>
      <c r="M1013" s="30">
        <f t="shared" ca="1" si="79"/>
        <v>0.69156249999999997</v>
      </c>
      <c r="N1013" s="31"/>
      <c r="O1013" s="31">
        <v>0</v>
      </c>
      <c r="P1013" s="29">
        <v>0</v>
      </c>
      <c r="Q1013" s="29">
        <v>2.5</v>
      </c>
    </row>
    <row r="1014" spans="1:17" x14ac:dyDescent="0.35">
      <c r="A1014" s="26">
        <v>40000002627</v>
      </c>
      <c r="B1014" s="31">
        <v>1</v>
      </c>
      <c r="C1014" s="29" t="str">
        <f>LOOKUP(A1014,'QALS - Inspection Lot Record'!$A$2:$A$361,'QALS - Inspection Lot Record'!$O$2:$O$361)</f>
        <v>Aspirin Tablets (500 MG)</v>
      </c>
      <c r="D1014" s="31">
        <v>50</v>
      </c>
      <c r="E1014" s="29" t="s">
        <v>404</v>
      </c>
      <c r="F1014" s="29" t="str">
        <f>LOOKUP(A1014,'QALS - Inspection Lot Record'!A:A,'QALS - Inspection Lot Record'!G:G)</f>
        <v>ZK384180</v>
      </c>
      <c r="G1014" s="59">
        <f ca="1">LOOKUP(A1014,'QALS - Inspection Lot Record'!A:A,'QALS - Inspection Lot Record'!E:E)</f>
        <v>45933</v>
      </c>
      <c r="H1014" s="34" t="str">
        <f t="shared" si="80"/>
        <v>A</v>
      </c>
      <c r="I1014" s="29" t="str">
        <f t="shared" si="76"/>
        <v>ZK384180</v>
      </c>
      <c r="J1014" s="59">
        <f t="shared" ca="1" si="77"/>
        <v>45933</v>
      </c>
      <c r="K1014" s="30">
        <f ca="1">LOOKUP(A1014,'QALS - Inspection Lot Record'!A:A,'QALS - Inspection Lot Record'!I:I)</f>
        <v>0.65635416666666668</v>
      </c>
      <c r="L1014" s="59">
        <f t="shared" ca="1" si="78"/>
        <v>45933</v>
      </c>
      <c r="M1014" s="30">
        <f t="shared" ca="1" si="79"/>
        <v>0.67570601851851853</v>
      </c>
      <c r="N1014" s="31"/>
      <c r="O1014" s="31">
        <v>50</v>
      </c>
      <c r="P1014" s="29">
        <v>40</v>
      </c>
      <c r="Q1014" s="29">
        <v>60</v>
      </c>
    </row>
    <row r="1015" spans="1:17" x14ac:dyDescent="0.35">
      <c r="A1015" s="26">
        <v>40000002627</v>
      </c>
      <c r="B1015" s="31">
        <v>1</v>
      </c>
      <c r="C1015" s="29" t="str">
        <f>LOOKUP(A1015,'QALS - Inspection Lot Record'!$A$2:$A$361,'QALS - Inspection Lot Record'!$O$2:$O$361)</f>
        <v>Aspirin Tablets (500 MG)</v>
      </c>
      <c r="D1015" s="31">
        <v>60</v>
      </c>
      <c r="E1015" s="29" t="s">
        <v>405</v>
      </c>
      <c r="F1015" s="29" t="str">
        <f>LOOKUP(A1015,'QALS - Inspection Lot Record'!A:A,'QALS - Inspection Lot Record'!G:G)</f>
        <v>ZK384180</v>
      </c>
      <c r="G1015" s="59">
        <f ca="1">LOOKUP(A1015,'QALS - Inspection Lot Record'!A:A,'QALS - Inspection Lot Record'!E:E)</f>
        <v>45933</v>
      </c>
      <c r="H1015" s="34" t="str">
        <f t="shared" si="80"/>
        <v>R</v>
      </c>
      <c r="I1015" s="29" t="str">
        <f t="shared" si="76"/>
        <v>ZK384180</v>
      </c>
      <c r="J1015" s="59">
        <f t="shared" ca="1" si="77"/>
        <v>45933</v>
      </c>
      <c r="K1015" s="30">
        <f ca="1">LOOKUP(A1015,'QALS - Inspection Lot Record'!A:A,'QALS - Inspection Lot Record'!I:I)</f>
        <v>0.65635416666666668</v>
      </c>
      <c r="L1015" s="59">
        <f t="shared" ca="1" si="78"/>
        <v>45933</v>
      </c>
      <c r="M1015" s="30">
        <f t="shared" ca="1" si="79"/>
        <v>0.68256944444444445</v>
      </c>
      <c r="N1015" s="31"/>
      <c r="O1015" s="31">
        <v>68.900000000000006</v>
      </c>
      <c r="P1015" s="29">
        <v>70</v>
      </c>
      <c r="Q1015" s="29">
        <v>85</v>
      </c>
    </row>
    <row r="1016" spans="1:17" x14ac:dyDescent="0.35">
      <c r="A1016" s="26">
        <v>40000002627</v>
      </c>
      <c r="B1016" s="31">
        <v>1</v>
      </c>
      <c r="C1016" s="29" t="str">
        <f>LOOKUP(A1016,'QALS - Inspection Lot Record'!$A$2:$A$361,'QALS - Inspection Lot Record'!$O$2:$O$361)</f>
        <v>Aspirin Tablets (500 MG)</v>
      </c>
      <c r="D1016" s="31">
        <v>70</v>
      </c>
      <c r="E1016" s="29" t="s">
        <v>406</v>
      </c>
      <c r="F1016" s="29" t="str">
        <f>LOOKUP(A1016,'QALS - Inspection Lot Record'!A:A,'QALS - Inspection Lot Record'!G:G)</f>
        <v>ZK384180</v>
      </c>
      <c r="G1016" s="59">
        <f ca="1">LOOKUP(A1016,'QALS - Inspection Lot Record'!A:A,'QALS - Inspection Lot Record'!E:E)</f>
        <v>45933</v>
      </c>
      <c r="H1016" s="34" t="str">
        <f t="shared" si="80"/>
        <v>A</v>
      </c>
      <c r="I1016" s="29" t="str">
        <f t="shared" si="76"/>
        <v>ZK384180</v>
      </c>
      <c r="J1016" s="59">
        <f t="shared" ca="1" si="77"/>
        <v>45933</v>
      </c>
      <c r="K1016" s="30">
        <f ca="1">LOOKUP(A1016,'QALS - Inspection Lot Record'!A:A,'QALS - Inspection Lot Record'!I:I)</f>
        <v>0.65635416666666668</v>
      </c>
      <c r="L1016" s="59">
        <f t="shared" ca="1" si="78"/>
        <v>45933</v>
      </c>
      <c r="M1016" s="30">
        <f t="shared" ca="1" si="79"/>
        <v>0.67663194444444441</v>
      </c>
      <c r="N1016" s="31"/>
      <c r="O1016" s="31">
        <v>85</v>
      </c>
      <c r="P1016" s="29">
        <v>80</v>
      </c>
      <c r="Q1016" s="29">
        <v>90</v>
      </c>
    </row>
    <row r="1017" spans="1:17" x14ac:dyDescent="0.35">
      <c r="A1017" s="26">
        <v>40000002627</v>
      </c>
      <c r="B1017" s="31">
        <v>1</v>
      </c>
      <c r="C1017" s="29" t="str">
        <f>LOOKUP(A1017,'QALS - Inspection Lot Record'!$A$2:$A$361,'QALS - Inspection Lot Record'!$O$2:$O$361)</f>
        <v>Aspirin Tablets (500 MG)</v>
      </c>
      <c r="D1017" s="31">
        <v>80</v>
      </c>
      <c r="E1017" s="29" t="s">
        <v>407</v>
      </c>
      <c r="F1017" s="29" t="str">
        <f>LOOKUP(A1017,'QALS - Inspection Lot Record'!A:A,'QALS - Inspection Lot Record'!G:G)</f>
        <v>ZK384180</v>
      </c>
      <c r="G1017" s="59">
        <f ca="1">LOOKUP(A1017,'QALS - Inspection Lot Record'!A:A,'QALS - Inspection Lot Record'!E:E)</f>
        <v>45933</v>
      </c>
      <c r="H1017" s="34" t="str">
        <f t="shared" si="80"/>
        <v>R</v>
      </c>
      <c r="I1017" s="29" t="str">
        <f t="shared" si="76"/>
        <v>ZK384180</v>
      </c>
      <c r="J1017" s="59">
        <f t="shared" ca="1" si="77"/>
        <v>45933</v>
      </c>
      <c r="K1017" s="30">
        <f ca="1">LOOKUP(A1017,'QALS - Inspection Lot Record'!A:A,'QALS - Inspection Lot Record'!I:I)</f>
        <v>0.65635416666666668</v>
      </c>
      <c r="L1017" s="59">
        <f t="shared" ca="1" si="78"/>
        <v>45933</v>
      </c>
      <c r="M1017" s="30">
        <f t="shared" ca="1" si="79"/>
        <v>0.67498842592592589</v>
      </c>
      <c r="N1017" s="31"/>
      <c r="O1017" s="31">
        <v>21.8</v>
      </c>
      <c r="P1017" s="29">
        <v>23</v>
      </c>
      <c r="Q1017" s="29">
        <v>28</v>
      </c>
    </row>
    <row r="1018" spans="1:17" x14ac:dyDescent="0.35">
      <c r="A1018" s="26">
        <v>40000002628</v>
      </c>
      <c r="B1018" s="27">
        <v>1</v>
      </c>
      <c r="C1018" s="29" t="str">
        <f>LOOKUP(A1018,'QALS - Inspection Lot Record'!$A$2:$A$361,'QALS - Inspection Lot Record'!$O$2:$O$361)</f>
        <v>Metformin Tablets (500 MG)</v>
      </c>
      <c r="D1018" s="27">
        <v>10</v>
      </c>
      <c r="E1018" s="26" t="s">
        <v>399</v>
      </c>
      <c r="F1018" s="29" t="str">
        <f>LOOKUP(A1018,'QALS - Inspection Lot Record'!A:A,'QALS - Inspection Lot Record'!G:G)</f>
        <v>YA284176</v>
      </c>
      <c r="G1018" s="59">
        <f ca="1">LOOKUP(A1018,'QALS - Inspection Lot Record'!A:A,'QALS - Inspection Lot Record'!E:E)</f>
        <v>45933</v>
      </c>
      <c r="H1018" s="34" t="str">
        <f t="shared" si="80"/>
        <v>A</v>
      </c>
      <c r="I1018" s="29" t="str">
        <f t="shared" si="76"/>
        <v>YA284176</v>
      </c>
      <c r="J1018" s="59">
        <f t="shared" ca="1" si="77"/>
        <v>45933</v>
      </c>
      <c r="K1018" s="30">
        <f ca="1">LOOKUP(A1018,'QALS - Inspection Lot Record'!A:A,'QALS - Inspection Lot Record'!I:I)</f>
        <v>0.18671296296296297</v>
      </c>
      <c r="L1018" s="59">
        <f t="shared" ca="1" si="78"/>
        <v>45933</v>
      </c>
      <c r="M1018" s="30">
        <f t="shared" ca="1" si="79"/>
        <v>0.21108796296296298</v>
      </c>
      <c r="N1018" s="31"/>
      <c r="O1018" s="31">
        <v>100</v>
      </c>
      <c r="P1018" s="29">
        <v>95</v>
      </c>
      <c r="Q1018" s="29">
        <v>105</v>
      </c>
    </row>
    <row r="1019" spans="1:17" x14ac:dyDescent="0.35">
      <c r="A1019" s="26">
        <v>40000002628</v>
      </c>
      <c r="B1019" s="27">
        <v>1</v>
      </c>
      <c r="C1019" s="29" t="str">
        <f>LOOKUP(A1019,'QALS - Inspection Lot Record'!$A$2:$A$361,'QALS - Inspection Lot Record'!$O$2:$O$361)</f>
        <v>Metformin Tablets (500 MG)</v>
      </c>
      <c r="D1019" s="31">
        <v>20</v>
      </c>
      <c r="E1019" s="29" t="s">
        <v>400</v>
      </c>
      <c r="F1019" s="29" t="str">
        <f>LOOKUP(A1019,'QALS - Inspection Lot Record'!A:A,'QALS - Inspection Lot Record'!G:G)</f>
        <v>YA284176</v>
      </c>
      <c r="G1019" s="59">
        <f ca="1">LOOKUP(A1019,'QALS - Inspection Lot Record'!A:A,'QALS - Inspection Lot Record'!E:E)</f>
        <v>45933</v>
      </c>
      <c r="H1019" s="34" t="str">
        <f t="shared" si="80"/>
        <v>A</v>
      </c>
      <c r="I1019" s="29" t="str">
        <f t="shared" si="76"/>
        <v>YA284176</v>
      </c>
      <c r="J1019" s="59">
        <f t="shared" ca="1" si="77"/>
        <v>45933</v>
      </c>
      <c r="K1019" s="30">
        <f ca="1">LOOKUP(A1019,'QALS - Inspection Lot Record'!A:A,'QALS - Inspection Lot Record'!I:I)</f>
        <v>0.18671296296296297</v>
      </c>
      <c r="L1019" s="59">
        <f t="shared" ca="1" si="78"/>
        <v>45933</v>
      </c>
      <c r="M1019" s="30">
        <f t="shared" ca="1" si="79"/>
        <v>0.22189814814814815</v>
      </c>
      <c r="N1019" s="31"/>
      <c r="O1019" s="31">
        <v>7.25</v>
      </c>
      <c r="P1019" s="29">
        <v>3.5</v>
      </c>
      <c r="Q1019" s="29">
        <v>11</v>
      </c>
    </row>
    <row r="1020" spans="1:17" x14ac:dyDescent="0.35">
      <c r="A1020" s="26">
        <v>40000002628</v>
      </c>
      <c r="B1020" s="31">
        <v>1</v>
      </c>
      <c r="C1020" s="29" t="str">
        <f>LOOKUP(A1020,'QALS - Inspection Lot Record'!$A$2:$A$361,'QALS - Inspection Lot Record'!$O$2:$O$361)</f>
        <v>Metformin Tablets (500 MG)</v>
      </c>
      <c r="D1020" s="31">
        <v>30</v>
      </c>
      <c r="E1020" s="29" t="s">
        <v>401</v>
      </c>
      <c r="F1020" s="29" t="str">
        <f>LOOKUP(A1020,'QALS - Inspection Lot Record'!A:A,'QALS - Inspection Lot Record'!G:G)</f>
        <v>YA284176</v>
      </c>
      <c r="G1020" s="59">
        <f ca="1">LOOKUP(A1020,'QALS - Inspection Lot Record'!A:A,'QALS - Inspection Lot Record'!E:E)</f>
        <v>45933</v>
      </c>
      <c r="H1020" s="34" t="str">
        <f t="shared" si="80"/>
        <v>A</v>
      </c>
      <c r="I1020" s="29" t="str">
        <f t="shared" si="76"/>
        <v>YA284176</v>
      </c>
      <c r="J1020" s="59">
        <f t="shared" ca="1" si="77"/>
        <v>45933</v>
      </c>
      <c r="K1020" s="30">
        <f ca="1">LOOKUP(A1020,'QALS - Inspection Lot Record'!A:A,'QALS - Inspection Lot Record'!I:I)</f>
        <v>0.18671296296296297</v>
      </c>
      <c r="L1020" s="59">
        <f t="shared" ca="1" si="78"/>
        <v>45933</v>
      </c>
      <c r="M1020" s="30">
        <f t="shared" ca="1" si="79"/>
        <v>0.20626157407407408</v>
      </c>
      <c r="N1020" s="11" t="s">
        <v>402</v>
      </c>
      <c r="O1020" s="31"/>
      <c r="P1020" s="29"/>
      <c r="Q1020" s="29"/>
    </row>
    <row r="1021" spans="1:17" x14ac:dyDescent="0.35">
      <c r="A1021" s="26">
        <v>40000002628</v>
      </c>
      <c r="B1021" s="31">
        <v>1</v>
      </c>
      <c r="C1021" s="29" t="str">
        <f>LOOKUP(A1021,'QALS - Inspection Lot Record'!$A$2:$A$361,'QALS - Inspection Lot Record'!$O$2:$O$361)</f>
        <v>Metformin Tablets (500 MG)</v>
      </c>
      <c r="D1021" s="31">
        <v>40</v>
      </c>
      <c r="E1021" s="29" t="s">
        <v>403</v>
      </c>
      <c r="F1021" s="29" t="str">
        <f>LOOKUP(A1021,'QALS - Inspection Lot Record'!A:A,'QALS - Inspection Lot Record'!G:G)</f>
        <v>YA284176</v>
      </c>
      <c r="G1021" s="59">
        <f ca="1">LOOKUP(A1021,'QALS - Inspection Lot Record'!A:A,'QALS - Inspection Lot Record'!E:E)</f>
        <v>45933</v>
      </c>
      <c r="H1021" s="34" t="str">
        <f t="shared" si="80"/>
        <v>A</v>
      </c>
      <c r="I1021" s="29" t="str">
        <f t="shared" si="76"/>
        <v>YA284176</v>
      </c>
      <c r="J1021" s="59">
        <f t="shared" ca="1" si="77"/>
        <v>45933</v>
      </c>
      <c r="K1021" s="30">
        <f ca="1">LOOKUP(A1021,'QALS - Inspection Lot Record'!A:A,'QALS - Inspection Lot Record'!I:I)</f>
        <v>0.18671296296296297</v>
      </c>
      <c r="L1021" s="59">
        <f t="shared" ca="1" si="78"/>
        <v>45933</v>
      </c>
      <c r="M1021" s="30">
        <f t="shared" ca="1" si="79"/>
        <v>0.21056712962962965</v>
      </c>
      <c r="N1021" s="31"/>
      <c r="O1021" s="31">
        <v>0</v>
      </c>
      <c r="P1021" s="29">
        <v>0</v>
      </c>
      <c r="Q1021" s="29">
        <v>2</v>
      </c>
    </row>
    <row r="1022" spans="1:17" x14ac:dyDescent="0.35">
      <c r="A1022" s="26">
        <v>40000002628</v>
      </c>
      <c r="B1022" s="31">
        <v>1</v>
      </c>
      <c r="C1022" s="29" t="str">
        <f>LOOKUP(A1022,'QALS - Inspection Lot Record'!$A$2:$A$361,'QALS - Inspection Lot Record'!$O$2:$O$361)</f>
        <v>Metformin Tablets (500 MG)</v>
      </c>
      <c r="D1022" s="31">
        <v>50</v>
      </c>
      <c r="E1022" s="29" t="s">
        <v>404</v>
      </c>
      <c r="F1022" s="29" t="str">
        <f>LOOKUP(A1022,'QALS - Inspection Lot Record'!A:A,'QALS - Inspection Lot Record'!G:G)</f>
        <v>YA284176</v>
      </c>
      <c r="G1022" s="59">
        <f ca="1">LOOKUP(A1022,'QALS - Inspection Lot Record'!A:A,'QALS - Inspection Lot Record'!E:E)</f>
        <v>45933</v>
      </c>
      <c r="H1022" s="34" t="str">
        <f t="shared" si="80"/>
        <v>A</v>
      </c>
      <c r="I1022" s="29" t="str">
        <f t="shared" si="76"/>
        <v>YA284176</v>
      </c>
      <c r="J1022" s="59">
        <f t="shared" ca="1" si="77"/>
        <v>45933</v>
      </c>
      <c r="K1022" s="30">
        <f ca="1">LOOKUP(A1022,'QALS - Inspection Lot Record'!A:A,'QALS - Inspection Lot Record'!I:I)</f>
        <v>0.18671296296296297</v>
      </c>
      <c r="L1022" s="59">
        <f t="shared" ca="1" si="78"/>
        <v>45933</v>
      </c>
      <c r="M1022" s="30">
        <f t="shared" ca="1" si="79"/>
        <v>0.22190972222222222</v>
      </c>
      <c r="N1022" s="31"/>
      <c r="O1022" s="31">
        <v>50</v>
      </c>
      <c r="P1022" s="29">
        <v>40</v>
      </c>
      <c r="Q1022" s="29">
        <v>60</v>
      </c>
    </row>
    <row r="1023" spans="1:17" x14ac:dyDescent="0.35">
      <c r="A1023" s="26">
        <v>40000002628</v>
      </c>
      <c r="B1023" s="31">
        <v>1</v>
      </c>
      <c r="C1023" s="29" t="str">
        <f>LOOKUP(A1023,'QALS - Inspection Lot Record'!$A$2:$A$361,'QALS - Inspection Lot Record'!$O$2:$O$361)</f>
        <v>Metformin Tablets (500 MG)</v>
      </c>
      <c r="D1023" s="31">
        <v>60</v>
      </c>
      <c r="E1023" s="29" t="s">
        <v>405</v>
      </c>
      <c r="F1023" s="29" t="str">
        <f>LOOKUP(A1023,'QALS - Inspection Lot Record'!A:A,'QALS - Inspection Lot Record'!G:G)</f>
        <v>YA284176</v>
      </c>
      <c r="G1023" s="59">
        <f ca="1">LOOKUP(A1023,'QALS - Inspection Lot Record'!A:A,'QALS - Inspection Lot Record'!E:E)</f>
        <v>45933</v>
      </c>
      <c r="H1023" s="34" t="str">
        <f t="shared" si="80"/>
        <v>A</v>
      </c>
      <c r="I1023" s="29" t="str">
        <f t="shared" si="76"/>
        <v>YA284176</v>
      </c>
      <c r="J1023" s="59">
        <f t="shared" ca="1" si="77"/>
        <v>45933</v>
      </c>
      <c r="K1023" s="30">
        <f ca="1">LOOKUP(A1023,'QALS - Inspection Lot Record'!A:A,'QALS - Inspection Lot Record'!I:I)</f>
        <v>0.18671296296296297</v>
      </c>
      <c r="L1023" s="59">
        <f t="shared" ca="1" si="78"/>
        <v>45933</v>
      </c>
      <c r="M1023" s="30">
        <f t="shared" ca="1" si="79"/>
        <v>0.21634259259259259</v>
      </c>
      <c r="N1023" s="31"/>
      <c r="O1023" s="31">
        <v>77.5</v>
      </c>
      <c r="P1023" s="29">
        <v>70</v>
      </c>
      <c r="Q1023" s="29">
        <v>85</v>
      </c>
    </row>
    <row r="1024" spans="1:17" x14ac:dyDescent="0.35">
      <c r="A1024" s="26">
        <v>40000002628</v>
      </c>
      <c r="B1024" s="31">
        <v>1</v>
      </c>
      <c r="C1024" s="29" t="str">
        <f>LOOKUP(A1024,'QALS - Inspection Lot Record'!$A$2:$A$361,'QALS - Inspection Lot Record'!$O$2:$O$361)</f>
        <v>Metformin Tablets (500 MG)</v>
      </c>
      <c r="D1024" s="31">
        <v>70</v>
      </c>
      <c r="E1024" s="29" t="s">
        <v>406</v>
      </c>
      <c r="F1024" s="29" t="str">
        <f>LOOKUP(A1024,'QALS - Inspection Lot Record'!A:A,'QALS - Inspection Lot Record'!G:G)</f>
        <v>YA284176</v>
      </c>
      <c r="G1024" s="59">
        <f ca="1">LOOKUP(A1024,'QALS - Inspection Lot Record'!A:A,'QALS - Inspection Lot Record'!E:E)</f>
        <v>45933</v>
      </c>
      <c r="H1024" s="34" t="str">
        <f t="shared" si="80"/>
        <v>A</v>
      </c>
      <c r="I1024" s="29" t="str">
        <f t="shared" si="76"/>
        <v>YA284176</v>
      </c>
      <c r="J1024" s="59">
        <f t="shared" ca="1" si="77"/>
        <v>45933</v>
      </c>
      <c r="K1024" s="30">
        <f ca="1">LOOKUP(A1024,'QALS - Inspection Lot Record'!A:A,'QALS - Inspection Lot Record'!I:I)</f>
        <v>0.18671296296296297</v>
      </c>
      <c r="L1024" s="59">
        <f t="shared" ca="1" si="78"/>
        <v>45933</v>
      </c>
      <c r="M1024" s="30">
        <f t="shared" ca="1" si="79"/>
        <v>0.22041666666666668</v>
      </c>
      <c r="N1024" s="31"/>
      <c r="O1024" s="31">
        <v>85</v>
      </c>
      <c r="P1024" s="29">
        <v>80</v>
      </c>
      <c r="Q1024" s="29">
        <v>90</v>
      </c>
    </row>
    <row r="1025" spans="1:17" x14ac:dyDescent="0.35">
      <c r="A1025" s="26">
        <v>40000002628</v>
      </c>
      <c r="B1025" s="31">
        <v>1</v>
      </c>
      <c r="C1025" s="29" t="str">
        <f>LOOKUP(A1025,'QALS - Inspection Lot Record'!$A$2:$A$361,'QALS - Inspection Lot Record'!$O$2:$O$361)</f>
        <v>Metformin Tablets (500 MG)</v>
      </c>
      <c r="D1025" s="31">
        <v>80</v>
      </c>
      <c r="E1025" s="29" t="s">
        <v>407</v>
      </c>
      <c r="F1025" s="29" t="str">
        <f>LOOKUP(A1025,'QALS - Inspection Lot Record'!A:A,'QALS - Inspection Lot Record'!G:G)</f>
        <v>YA284176</v>
      </c>
      <c r="G1025" s="59">
        <f ca="1">LOOKUP(A1025,'QALS - Inspection Lot Record'!A:A,'QALS - Inspection Lot Record'!E:E)</f>
        <v>45933</v>
      </c>
      <c r="H1025" s="34" t="str">
        <f t="shared" si="80"/>
        <v>A</v>
      </c>
      <c r="I1025" s="29" t="str">
        <f t="shared" si="76"/>
        <v>YA284176</v>
      </c>
      <c r="J1025" s="59">
        <f t="shared" ca="1" si="77"/>
        <v>45933</v>
      </c>
      <c r="K1025" s="30">
        <f ca="1">LOOKUP(A1025,'QALS - Inspection Lot Record'!A:A,'QALS - Inspection Lot Record'!I:I)</f>
        <v>0.18671296296296297</v>
      </c>
      <c r="L1025" s="59">
        <f t="shared" ca="1" si="78"/>
        <v>45933</v>
      </c>
      <c r="M1025" s="30">
        <f t="shared" ca="1" si="79"/>
        <v>0.21709490740740742</v>
      </c>
      <c r="N1025" s="31"/>
      <c r="O1025" s="31">
        <v>25.5</v>
      </c>
      <c r="P1025" s="29">
        <v>23</v>
      </c>
      <c r="Q1025" s="29">
        <v>28</v>
      </c>
    </row>
    <row r="1026" spans="1:17" x14ac:dyDescent="0.35">
      <c r="A1026" s="26">
        <v>40000002629</v>
      </c>
      <c r="B1026" s="27">
        <v>1</v>
      </c>
      <c r="C1026" s="29" t="str">
        <f>LOOKUP(A1026,'QALS - Inspection Lot Record'!$A$2:$A$361,'QALS - Inspection Lot Record'!$O$2:$O$361)</f>
        <v>Metformin Tablets (100 MG)</v>
      </c>
      <c r="D1026" s="27">
        <v>10</v>
      </c>
      <c r="E1026" s="26" t="s">
        <v>399</v>
      </c>
      <c r="F1026" s="29" t="str">
        <f>LOOKUP(A1026,'QALS - Inspection Lot Record'!A:A,'QALS - Inspection Lot Record'!G:G)</f>
        <v>ZK384180</v>
      </c>
      <c r="G1026" s="59">
        <f ca="1">LOOKUP(A1026,'QALS - Inspection Lot Record'!A:A,'QALS - Inspection Lot Record'!E:E)</f>
        <v>45934</v>
      </c>
      <c r="H1026" s="34" t="str">
        <f t="shared" si="80"/>
        <v>R</v>
      </c>
      <c r="I1026" s="29" t="str">
        <f t="shared" ref="I1026:I1089" si="81">F1026</f>
        <v>ZK384180</v>
      </c>
      <c r="J1026" s="59">
        <f t="shared" ref="J1026:J1089" ca="1" si="82">G1026</f>
        <v>45934</v>
      </c>
      <c r="K1026" s="30">
        <f ca="1">LOOKUP(A1026,'QALS - Inspection Lot Record'!A:A,'QALS - Inspection Lot Record'!I:I)</f>
        <v>0.63506944444444446</v>
      </c>
      <c r="L1026" s="59">
        <f t="shared" ref="L1026:L1089" ca="1" si="83">G1026</f>
        <v>45934</v>
      </c>
      <c r="M1026" s="30">
        <f t="shared" ref="M1026:M1089" ca="1" si="84">K1026+TIME(0,RANDBETWEEN(25,50),RANDBETWEEN(0,59))</f>
        <v>0.65785879629629629</v>
      </c>
      <c r="N1026" s="31"/>
      <c r="O1026" s="31">
        <v>93.3</v>
      </c>
      <c r="P1026" s="29">
        <v>95</v>
      </c>
      <c r="Q1026" s="29">
        <v>102</v>
      </c>
    </row>
    <row r="1027" spans="1:17" x14ac:dyDescent="0.35">
      <c r="A1027" s="26">
        <v>40000002629</v>
      </c>
      <c r="B1027" s="27">
        <v>1</v>
      </c>
      <c r="C1027" s="29" t="str">
        <f>LOOKUP(A1027,'QALS - Inspection Lot Record'!$A$2:$A$361,'QALS - Inspection Lot Record'!$O$2:$O$361)</f>
        <v>Metformin Tablets (100 MG)</v>
      </c>
      <c r="D1027" s="31">
        <v>20</v>
      </c>
      <c r="E1027" s="29" t="s">
        <v>400</v>
      </c>
      <c r="F1027" s="29" t="str">
        <f>LOOKUP(A1027,'QALS - Inspection Lot Record'!A:A,'QALS - Inspection Lot Record'!G:G)</f>
        <v>ZK384180</v>
      </c>
      <c r="G1027" s="59">
        <f ca="1">LOOKUP(A1027,'QALS - Inspection Lot Record'!A:A,'QALS - Inspection Lot Record'!E:E)</f>
        <v>45934</v>
      </c>
      <c r="H1027" s="34" t="str">
        <f t="shared" si="80"/>
        <v>A</v>
      </c>
      <c r="I1027" s="29" t="str">
        <f t="shared" si="81"/>
        <v>ZK384180</v>
      </c>
      <c r="J1027" s="59">
        <f t="shared" ca="1" si="82"/>
        <v>45934</v>
      </c>
      <c r="K1027" s="30">
        <f ca="1">LOOKUP(A1027,'QALS - Inspection Lot Record'!A:A,'QALS - Inspection Lot Record'!I:I)</f>
        <v>0.63506944444444446</v>
      </c>
      <c r="L1027" s="59">
        <f t="shared" ca="1" si="83"/>
        <v>45934</v>
      </c>
      <c r="M1027" s="30">
        <f t="shared" ca="1" si="84"/>
        <v>0.66063657407407406</v>
      </c>
      <c r="N1027" s="31"/>
      <c r="O1027" s="31">
        <v>7.3</v>
      </c>
      <c r="P1027" s="29">
        <v>3.5</v>
      </c>
      <c r="Q1027" s="29">
        <v>11</v>
      </c>
    </row>
    <row r="1028" spans="1:17" x14ac:dyDescent="0.35">
      <c r="A1028" s="26">
        <v>40000002629</v>
      </c>
      <c r="B1028" s="31">
        <v>1</v>
      </c>
      <c r="C1028" s="29" t="str">
        <f>LOOKUP(A1028,'QALS - Inspection Lot Record'!$A$2:$A$361,'QALS - Inspection Lot Record'!$O$2:$O$361)</f>
        <v>Metformin Tablets (100 MG)</v>
      </c>
      <c r="D1028" s="31">
        <v>30</v>
      </c>
      <c r="E1028" s="29" t="s">
        <v>401</v>
      </c>
      <c r="F1028" s="29" t="str">
        <f>LOOKUP(A1028,'QALS - Inspection Lot Record'!A:A,'QALS - Inspection Lot Record'!G:G)</f>
        <v>ZK384180</v>
      </c>
      <c r="G1028" s="59">
        <f ca="1">LOOKUP(A1028,'QALS - Inspection Lot Record'!A:A,'QALS - Inspection Lot Record'!E:E)</f>
        <v>45934</v>
      </c>
      <c r="H1028" s="34" t="str">
        <f t="shared" si="80"/>
        <v>A</v>
      </c>
      <c r="I1028" s="29" t="str">
        <f t="shared" si="81"/>
        <v>ZK384180</v>
      </c>
      <c r="J1028" s="59">
        <f t="shared" ca="1" si="82"/>
        <v>45934</v>
      </c>
      <c r="K1028" s="30">
        <f ca="1">LOOKUP(A1028,'QALS - Inspection Lot Record'!A:A,'QALS - Inspection Lot Record'!I:I)</f>
        <v>0.63506944444444446</v>
      </c>
      <c r="L1028" s="59">
        <f t="shared" ca="1" si="83"/>
        <v>45934</v>
      </c>
      <c r="M1028" s="30">
        <f t="shared" ca="1" si="84"/>
        <v>0.66284722222222225</v>
      </c>
      <c r="N1028" s="11" t="s">
        <v>402</v>
      </c>
      <c r="O1028" s="31"/>
      <c r="P1028" s="29"/>
      <c r="Q1028" s="29"/>
    </row>
    <row r="1029" spans="1:17" x14ac:dyDescent="0.35">
      <c r="A1029" s="26">
        <v>40000002629</v>
      </c>
      <c r="B1029" s="31">
        <v>1</v>
      </c>
      <c r="C1029" s="29" t="str">
        <f>LOOKUP(A1029,'QALS - Inspection Lot Record'!$A$2:$A$361,'QALS - Inspection Lot Record'!$O$2:$O$361)</f>
        <v>Metformin Tablets (100 MG)</v>
      </c>
      <c r="D1029" s="31">
        <v>40</v>
      </c>
      <c r="E1029" s="29" t="s">
        <v>403</v>
      </c>
      <c r="F1029" s="29" t="str">
        <f>LOOKUP(A1029,'QALS - Inspection Lot Record'!A:A,'QALS - Inspection Lot Record'!G:G)</f>
        <v>ZK384180</v>
      </c>
      <c r="G1029" s="59">
        <f ca="1">LOOKUP(A1029,'QALS - Inspection Lot Record'!A:A,'QALS - Inspection Lot Record'!E:E)</f>
        <v>45934</v>
      </c>
      <c r="H1029" s="34" t="str">
        <f t="shared" si="80"/>
        <v>A</v>
      </c>
      <c r="I1029" s="29" t="str">
        <f t="shared" si="81"/>
        <v>ZK384180</v>
      </c>
      <c r="J1029" s="59">
        <f t="shared" ca="1" si="82"/>
        <v>45934</v>
      </c>
      <c r="K1029" s="30">
        <f ca="1">LOOKUP(A1029,'QALS - Inspection Lot Record'!A:A,'QALS - Inspection Lot Record'!I:I)</f>
        <v>0.63506944444444446</v>
      </c>
      <c r="L1029" s="59">
        <f t="shared" ca="1" si="83"/>
        <v>45934</v>
      </c>
      <c r="M1029" s="30">
        <f t="shared" ca="1" si="84"/>
        <v>0.65432870370370377</v>
      </c>
      <c r="N1029" s="31"/>
      <c r="O1029" s="31">
        <v>0.5</v>
      </c>
      <c r="P1029" s="29">
        <v>0</v>
      </c>
      <c r="Q1029" s="29">
        <v>1</v>
      </c>
    </row>
    <row r="1030" spans="1:17" x14ac:dyDescent="0.35">
      <c r="A1030" s="26">
        <v>40000002629</v>
      </c>
      <c r="B1030" s="31">
        <v>1</v>
      </c>
      <c r="C1030" s="29" t="str">
        <f>LOOKUP(A1030,'QALS - Inspection Lot Record'!$A$2:$A$361,'QALS - Inspection Lot Record'!$O$2:$O$361)</f>
        <v>Metformin Tablets (100 MG)</v>
      </c>
      <c r="D1030" s="31">
        <v>50</v>
      </c>
      <c r="E1030" s="29" t="s">
        <v>404</v>
      </c>
      <c r="F1030" s="29" t="str">
        <f>LOOKUP(A1030,'QALS - Inspection Lot Record'!A:A,'QALS - Inspection Lot Record'!G:G)</f>
        <v>ZK384180</v>
      </c>
      <c r="G1030" s="59">
        <f ca="1">LOOKUP(A1030,'QALS - Inspection Lot Record'!A:A,'QALS - Inspection Lot Record'!E:E)</f>
        <v>45934</v>
      </c>
      <c r="H1030" s="34" t="str">
        <f t="shared" si="80"/>
        <v>A</v>
      </c>
      <c r="I1030" s="29" t="str">
        <f t="shared" si="81"/>
        <v>ZK384180</v>
      </c>
      <c r="J1030" s="59">
        <f t="shared" ca="1" si="82"/>
        <v>45934</v>
      </c>
      <c r="K1030" s="30">
        <f ca="1">LOOKUP(A1030,'QALS - Inspection Lot Record'!A:A,'QALS - Inspection Lot Record'!I:I)</f>
        <v>0.63506944444444446</v>
      </c>
      <c r="L1030" s="59">
        <f t="shared" ca="1" si="83"/>
        <v>45934</v>
      </c>
      <c r="M1030" s="30">
        <f t="shared" ca="1" si="84"/>
        <v>0.6552662037037037</v>
      </c>
      <c r="N1030" s="31"/>
      <c r="O1030" s="31">
        <v>41.6</v>
      </c>
      <c r="P1030" s="29">
        <v>40</v>
      </c>
      <c r="Q1030" s="29">
        <v>60</v>
      </c>
    </row>
    <row r="1031" spans="1:17" x14ac:dyDescent="0.35">
      <c r="A1031" s="26">
        <v>40000002629</v>
      </c>
      <c r="B1031" s="31">
        <v>1</v>
      </c>
      <c r="C1031" s="29" t="str">
        <f>LOOKUP(A1031,'QALS - Inspection Lot Record'!$A$2:$A$361,'QALS - Inspection Lot Record'!$O$2:$O$361)</f>
        <v>Metformin Tablets (100 MG)</v>
      </c>
      <c r="D1031" s="31">
        <v>60</v>
      </c>
      <c r="E1031" s="29" t="s">
        <v>405</v>
      </c>
      <c r="F1031" s="29" t="str">
        <f>LOOKUP(A1031,'QALS - Inspection Lot Record'!A:A,'QALS - Inspection Lot Record'!G:G)</f>
        <v>ZK384180</v>
      </c>
      <c r="G1031" s="59">
        <f ca="1">LOOKUP(A1031,'QALS - Inspection Lot Record'!A:A,'QALS - Inspection Lot Record'!E:E)</f>
        <v>45934</v>
      </c>
      <c r="H1031" s="34" t="str">
        <f t="shared" si="80"/>
        <v>A</v>
      </c>
      <c r="I1031" s="29" t="str">
        <f t="shared" si="81"/>
        <v>ZK384180</v>
      </c>
      <c r="J1031" s="59">
        <f t="shared" ca="1" si="82"/>
        <v>45934</v>
      </c>
      <c r="K1031" s="30">
        <f ca="1">LOOKUP(A1031,'QALS - Inspection Lot Record'!A:A,'QALS - Inspection Lot Record'!I:I)</f>
        <v>0.63506944444444446</v>
      </c>
      <c r="L1031" s="59">
        <f t="shared" ca="1" si="83"/>
        <v>45934</v>
      </c>
      <c r="M1031" s="30">
        <f t="shared" ca="1" si="84"/>
        <v>0.66576388888888893</v>
      </c>
      <c r="N1031" s="31"/>
      <c r="O1031" s="31">
        <v>71.7</v>
      </c>
      <c r="P1031" s="29">
        <v>70</v>
      </c>
      <c r="Q1031" s="29">
        <v>85</v>
      </c>
    </row>
    <row r="1032" spans="1:17" x14ac:dyDescent="0.35">
      <c r="A1032" s="26">
        <v>40000002629</v>
      </c>
      <c r="B1032" s="31">
        <v>1</v>
      </c>
      <c r="C1032" s="29" t="str">
        <f>LOOKUP(A1032,'QALS - Inspection Lot Record'!$A$2:$A$361,'QALS - Inspection Lot Record'!$O$2:$O$361)</f>
        <v>Metformin Tablets (100 MG)</v>
      </c>
      <c r="D1032" s="31">
        <v>70</v>
      </c>
      <c r="E1032" s="29" t="s">
        <v>406</v>
      </c>
      <c r="F1032" s="29" t="str">
        <f>LOOKUP(A1032,'QALS - Inspection Lot Record'!A:A,'QALS - Inspection Lot Record'!G:G)</f>
        <v>ZK384180</v>
      </c>
      <c r="G1032" s="59">
        <f ca="1">LOOKUP(A1032,'QALS - Inspection Lot Record'!A:A,'QALS - Inspection Lot Record'!E:E)</f>
        <v>45934</v>
      </c>
      <c r="H1032" s="34" t="str">
        <f t="shared" si="80"/>
        <v>A</v>
      </c>
      <c r="I1032" s="29" t="str">
        <f t="shared" si="81"/>
        <v>ZK384180</v>
      </c>
      <c r="J1032" s="59">
        <f t="shared" ca="1" si="82"/>
        <v>45934</v>
      </c>
      <c r="K1032" s="30">
        <f ca="1">LOOKUP(A1032,'QALS - Inspection Lot Record'!A:A,'QALS - Inspection Lot Record'!I:I)</f>
        <v>0.63506944444444446</v>
      </c>
      <c r="L1032" s="59">
        <f t="shared" ca="1" si="83"/>
        <v>45934</v>
      </c>
      <c r="M1032" s="30">
        <f t="shared" ca="1" si="84"/>
        <v>0.65704861111111112</v>
      </c>
      <c r="N1032" s="31"/>
      <c r="O1032" s="31">
        <v>81.099999999999994</v>
      </c>
      <c r="P1032" s="29">
        <v>80</v>
      </c>
      <c r="Q1032" s="29">
        <v>90</v>
      </c>
    </row>
    <row r="1033" spans="1:17" x14ac:dyDescent="0.35">
      <c r="A1033" s="26">
        <v>40000002629</v>
      </c>
      <c r="B1033" s="31">
        <v>1</v>
      </c>
      <c r="C1033" s="29" t="str">
        <f>LOOKUP(A1033,'QALS - Inspection Lot Record'!$A$2:$A$361,'QALS - Inspection Lot Record'!$O$2:$O$361)</f>
        <v>Metformin Tablets (100 MG)</v>
      </c>
      <c r="D1033" s="31">
        <v>80</v>
      </c>
      <c r="E1033" s="29" t="s">
        <v>407</v>
      </c>
      <c r="F1033" s="29" t="str">
        <f>LOOKUP(A1033,'QALS - Inspection Lot Record'!A:A,'QALS - Inspection Lot Record'!G:G)</f>
        <v>ZK384180</v>
      </c>
      <c r="G1033" s="59">
        <f ca="1">LOOKUP(A1033,'QALS - Inspection Lot Record'!A:A,'QALS - Inspection Lot Record'!E:E)</f>
        <v>45934</v>
      </c>
      <c r="H1033" s="34" t="str">
        <f t="shared" si="80"/>
        <v>A</v>
      </c>
      <c r="I1033" s="29" t="str">
        <f t="shared" si="81"/>
        <v>ZK384180</v>
      </c>
      <c r="J1033" s="59">
        <f t="shared" ca="1" si="82"/>
        <v>45934</v>
      </c>
      <c r="K1033" s="30">
        <f ca="1">LOOKUP(A1033,'QALS - Inspection Lot Record'!A:A,'QALS - Inspection Lot Record'!I:I)</f>
        <v>0.63506944444444446</v>
      </c>
      <c r="L1033" s="59">
        <f t="shared" ca="1" si="83"/>
        <v>45934</v>
      </c>
      <c r="M1033" s="30">
        <f t="shared" ca="1" si="84"/>
        <v>0.66296296296296298</v>
      </c>
      <c r="N1033" s="31"/>
      <c r="O1033" s="31">
        <v>24</v>
      </c>
      <c r="P1033" s="29">
        <v>23</v>
      </c>
      <c r="Q1033" s="29">
        <v>25</v>
      </c>
    </row>
    <row r="1034" spans="1:17" x14ac:dyDescent="0.35">
      <c r="A1034" s="26">
        <v>40000002630</v>
      </c>
      <c r="B1034" s="27">
        <v>1</v>
      </c>
      <c r="C1034" s="29" t="str">
        <f>LOOKUP(A1034,'QALS - Inspection Lot Record'!$A$2:$A$361,'QALS - Inspection Lot Record'!$O$2:$O$361)</f>
        <v>Aspirin Tablets (500 MG)</v>
      </c>
      <c r="D1034" s="27">
        <v>10</v>
      </c>
      <c r="E1034" s="26" t="s">
        <v>399</v>
      </c>
      <c r="F1034" s="29" t="str">
        <f>LOOKUP(A1034,'QALS - Inspection Lot Record'!A:A,'QALS - Inspection Lot Record'!G:G)</f>
        <v>TG509538</v>
      </c>
      <c r="G1034" s="59">
        <f ca="1">LOOKUP(A1034,'QALS - Inspection Lot Record'!A:A,'QALS - Inspection Lot Record'!E:E)</f>
        <v>45934</v>
      </c>
      <c r="H1034" s="34" t="str">
        <f t="shared" ref="H1034:H1097" si="85">IF(AND(P1034&lt;=O1034,O1034&lt;=Q1034),"A","R")</f>
        <v>A</v>
      </c>
      <c r="I1034" s="29" t="str">
        <f t="shared" si="81"/>
        <v>TG509538</v>
      </c>
      <c r="J1034" s="59">
        <f t="shared" ca="1" si="82"/>
        <v>45934</v>
      </c>
      <c r="K1034" s="30">
        <f ca="1">LOOKUP(A1034,'QALS - Inspection Lot Record'!A:A,'QALS - Inspection Lot Record'!I:I)</f>
        <v>7.3067129629629635E-2</v>
      </c>
      <c r="L1034" s="59">
        <f t="shared" ca="1" si="83"/>
        <v>45934</v>
      </c>
      <c r="M1034" s="30">
        <f t="shared" ca="1" si="84"/>
        <v>9.1539351851851858E-2</v>
      </c>
      <c r="N1034" s="31"/>
      <c r="O1034" s="31">
        <v>100</v>
      </c>
      <c r="P1034" s="29">
        <v>95</v>
      </c>
      <c r="Q1034" s="29">
        <v>105</v>
      </c>
    </row>
    <row r="1035" spans="1:17" x14ac:dyDescent="0.35">
      <c r="A1035" s="26">
        <v>40000002630</v>
      </c>
      <c r="B1035" s="27">
        <v>1</v>
      </c>
      <c r="C1035" s="29" t="str">
        <f>LOOKUP(A1035,'QALS - Inspection Lot Record'!$A$2:$A$361,'QALS - Inspection Lot Record'!$O$2:$O$361)</f>
        <v>Aspirin Tablets (500 MG)</v>
      </c>
      <c r="D1035" s="31">
        <v>20</v>
      </c>
      <c r="E1035" s="29" t="s">
        <v>400</v>
      </c>
      <c r="F1035" s="29" t="str">
        <f>LOOKUP(A1035,'QALS - Inspection Lot Record'!A:A,'QALS - Inspection Lot Record'!G:G)</f>
        <v>TG509538</v>
      </c>
      <c r="G1035" s="59">
        <f ca="1">LOOKUP(A1035,'QALS - Inspection Lot Record'!A:A,'QALS - Inspection Lot Record'!E:E)</f>
        <v>45934</v>
      </c>
      <c r="H1035" s="34" t="str">
        <f t="shared" si="85"/>
        <v>A</v>
      </c>
      <c r="I1035" s="29" t="str">
        <f t="shared" si="81"/>
        <v>TG509538</v>
      </c>
      <c r="J1035" s="59">
        <f t="shared" ca="1" si="82"/>
        <v>45934</v>
      </c>
      <c r="K1035" s="30">
        <f ca="1">LOOKUP(A1035,'QALS - Inspection Lot Record'!A:A,'QALS - Inspection Lot Record'!I:I)</f>
        <v>7.3067129629629635E-2</v>
      </c>
      <c r="L1035" s="59">
        <f t="shared" ca="1" si="83"/>
        <v>45934</v>
      </c>
      <c r="M1035" s="30">
        <f t="shared" ca="1" si="84"/>
        <v>9.9421296296296299E-2</v>
      </c>
      <c r="N1035" s="31"/>
      <c r="O1035" s="31">
        <v>7.25</v>
      </c>
      <c r="P1035" s="29">
        <v>3.5</v>
      </c>
      <c r="Q1035" s="29">
        <v>11</v>
      </c>
    </row>
    <row r="1036" spans="1:17" x14ac:dyDescent="0.35">
      <c r="A1036" s="26">
        <v>40000002630</v>
      </c>
      <c r="B1036" s="31">
        <v>1</v>
      </c>
      <c r="C1036" s="29" t="str">
        <f>LOOKUP(A1036,'QALS - Inspection Lot Record'!$A$2:$A$361,'QALS - Inspection Lot Record'!$O$2:$O$361)</f>
        <v>Aspirin Tablets (500 MG)</v>
      </c>
      <c r="D1036" s="31">
        <v>30</v>
      </c>
      <c r="E1036" s="29" t="s">
        <v>401</v>
      </c>
      <c r="F1036" s="29" t="str">
        <f>LOOKUP(A1036,'QALS - Inspection Lot Record'!A:A,'QALS - Inspection Lot Record'!G:G)</f>
        <v>TG509538</v>
      </c>
      <c r="G1036" s="59">
        <f ca="1">LOOKUP(A1036,'QALS - Inspection Lot Record'!A:A,'QALS - Inspection Lot Record'!E:E)</f>
        <v>45934</v>
      </c>
      <c r="H1036" s="34" t="str">
        <f t="shared" si="85"/>
        <v>A</v>
      </c>
      <c r="I1036" s="29" t="str">
        <f t="shared" si="81"/>
        <v>TG509538</v>
      </c>
      <c r="J1036" s="59">
        <f t="shared" ca="1" si="82"/>
        <v>45934</v>
      </c>
      <c r="K1036" s="30">
        <f ca="1">LOOKUP(A1036,'QALS - Inspection Lot Record'!A:A,'QALS - Inspection Lot Record'!I:I)</f>
        <v>7.3067129629629635E-2</v>
      </c>
      <c r="L1036" s="59">
        <f t="shared" ca="1" si="83"/>
        <v>45934</v>
      </c>
      <c r="M1036" s="30">
        <f t="shared" ca="1" si="84"/>
        <v>0.10386574074074074</v>
      </c>
      <c r="N1036" s="11" t="s">
        <v>402</v>
      </c>
      <c r="O1036" s="31"/>
      <c r="P1036" s="29"/>
      <c r="Q1036" s="29"/>
    </row>
    <row r="1037" spans="1:17" x14ac:dyDescent="0.35">
      <c r="A1037" s="26">
        <v>40000002630</v>
      </c>
      <c r="B1037" s="31">
        <v>1</v>
      </c>
      <c r="C1037" s="29" t="str">
        <f>LOOKUP(A1037,'QALS - Inspection Lot Record'!$A$2:$A$361,'QALS - Inspection Lot Record'!$O$2:$O$361)</f>
        <v>Aspirin Tablets (500 MG)</v>
      </c>
      <c r="D1037" s="31">
        <v>40</v>
      </c>
      <c r="E1037" s="29" t="s">
        <v>403</v>
      </c>
      <c r="F1037" s="29" t="str">
        <f>LOOKUP(A1037,'QALS - Inspection Lot Record'!A:A,'QALS - Inspection Lot Record'!G:G)</f>
        <v>TG509538</v>
      </c>
      <c r="G1037" s="59">
        <f ca="1">LOOKUP(A1037,'QALS - Inspection Lot Record'!A:A,'QALS - Inspection Lot Record'!E:E)</f>
        <v>45934</v>
      </c>
      <c r="H1037" s="34" t="str">
        <f t="shared" si="85"/>
        <v>A</v>
      </c>
      <c r="I1037" s="29" t="str">
        <f t="shared" si="81"/>
        <v>TG509538</v>
      </c>
      <c r="J1037" s="59">
        <f t="shared" ca="1" si="82"/>
        <v>45934</v>
      </c>
      <c r="K1037" s="30">
        <f ca="1">LOOKUP(A1037,'QALS - Inspection Lot Record'!A:A,'QALS - Inspection Lot Record'!I:I)</f>
        <v>7.3067129629629635E-2</v>
      </c>
      <c r="L1037" s="59">
        <f t="shared" ca="1" si="83"/>
        <v>45934</v>
      </c>
      <c r="M1037" s="30">
        <f t="shared" ca="1" si="84"/>
        <v>9.3078703703703705E-2</v>
      </c>
      <c r="N1037" s="31"/>
      <c r="O1037" s="31">
        <v>1.8</v>
      </c>
      <c r="P1037" s="29">
        <v>0</v>
      </c>
      <c r="Q1037" s="29">
        <v>2.5</v>
      </c>
    </row>
    <row r="1038" spans="1:17" x14ac:dyDescent="0.35">
      <c r="A1038" s="26">
        <v>40000002630</v>
      </c>
      <c r="B1038" s="31">
        <v>1</v>
      </c>
      <c r="C1038" s="29" t="str">
        <f>LOOKUP(A1038,'QALS - Inspection Lot Record'!$A$2:$A$361,'QALS - Inspection Lot Record'!$O$2:$O$361)</f>
        <v>Aspirin Tablets (500 MG)</v>
      </c>
      <c r="D1038" s="31">
        <v>50</v>
      </c>
      <c r="E1038" s="29" t="s">
        <v>404</v>
      </c>
      <c r="F1038" s="29" t="str">
        <f>LOOKUP(A1038,'QALS - Inspection Lot Record'!A:A,'QALS - Inspection Lot Record'!G:G)</f>
        <v>TG509538</v>
      </c>
      <c r="G1038" s="59">
        <f ca="1">LOOKUP(A1038,'QALS - Inspection Lot Record'!A:A,'QALS - Inspection Lot Record'!E:E)</f>
        <v>45934</v>
      </c>
      <c r="H1038" s="34" t="str">
        <f t="shared" si="85"/>
        <v>A</v>
      </c>
      <c r="I1038" s="29" t="str">
        <f t="shared" si="81"/>
        <v>TG509538</v>
      </c>
      <c r="J1038" s="59">
        <f t="shared" ca="1" si="82"/>
        <v>45934</v>
      </c>
      <c r="K1038" s="30">
        <f ca="1">LOOKUP(A1038,'QALS - Inspection Lot Record'!A:A,'QALS - Inspection Lot Record'!I:I)</f>
        <v>7.3067129629629635E-2</v>
      </c>
      <c r="L1038" s="59">
        <f t="shared" ca="1" si="83"/>
        <v>45934</v>
      </c>
      <c r="M1038" s="30">
        <f t="shared" ca="1" si="84"/>
        <v>0.10171296296296296</v>
      </c>
      <c r="N1038" s="31"/>
      <c r="O1038" s="31">
        <v>41.7</v>
      </c>
      <c r="P1038" s="29">
        <v>40</v>
      </c>
      <c r="Q1038" s="29">
        <v>60</v>
      </c>
    </row>
    <row r="1039" spans="1:17" x14ac:dyDescent="0.35">
      <c r="A1039" s="26">
        <v>40000002630</v>
      </c>
      <c r="B1039" s="31">
        <v>1</v>
      </c>
      <c r="C1039" s="29" t="str">
        <f>LOOKUP(A1039,'QALS - Inspection Lot Record'!$A$2:$A$361,'QALS - Inspection Lot Record'!$O$2:$O$361)</f>
        <v>Aspirin Tablets (500 MG)</v>
      </c>
      <c r="D1039" s="31">
        <v>60</v>
      </c>
      <c r="E1039" s="29" t="s">
        <v>405</v>
      </c>
      <c r="F1039" s="29" t="str">
        <f>LOOKUP(A1039,'QALS - Inspection Lot Record'!A:A,'QALS - Inspection Lot Record'!G:G)</f>
        <v>TG509538</v>
      </c>
      <c r="G1039" s="59">
        <f ca="1">LOOKUP(A1039,'QALS - Inspection Lot Record'!A:A,'QALS - Inspection Lot Record'!E:E)</f>
        <v>45934</v>
      </c>
      <c r="H1039" s="34" t="str">
        <f t="shared" si="85"/>
        <v>A</v>
      </c>
      <c r="I1039" s="29" t="str">
        <f t="shared" si="81"/>
        <v>TG509538</v>
      </c>
      <c r="J1039" s="59">
        <f t="shared" ca="1" si="82"/>
        <v>45934</v>
      </c>
      <c r="K1039" s="30">
        <f ca="1">LOOKUP(A1039,'QALS - Inspection Lot Record'!A:A,'QALS - Inspection Lot Record'!I:I)</f>
        <v>7.3067129629629635E-2</v>
      </c>
      <c r="L1039" s="59">
        <f t="shared" ca="1" si="83"/>
        <v>45934</v>
      </c>
      <c r="M1039" s="30">
        <f t="shared" ca="1" si="84"/>
        <v>0.10615740740740742</v>
      </c>
      <c r="N1039" s="31"/>
      <c r="O1039" s="31">
        <v>71.7</v>
      </c>
      <c r="P1039" s="29">
        <v>70</v>
      </c>
      <c r="Q1039" s="29">
        <v>85</v>
      </c>
    </row>
    <row r="1040" spans="1:17" x14ac:dyDescent="0.35">
      <c r="A1040" s="26">
        <v>40000002630</v>
      </c>
      <c r="B1040" s="31">
        <v>1</v>
      </c>
      <c r="C1040" s="29" t="str">
        <f>LOOKUP(A1040,'QALS - Inspection Lot Record'!$A$2:$A$361,'QALS - Inspection Lot Record'!$O$2:$O$361)</f>
        <v>Aspirin Tablets (500 MG)</v>
      </c>
      <c r="D1040" s="31">
        <v>70</v>
      </c>
      <c r="E1040" s="29" t="s">
        <v>406</v>
      </c>
      <c r="F1040" s="29" t="str">
        <f>LOOKUP(A1040,'QALS - Inspection Lot Record'!A:A,'QALS - Inspection Lot Record'!G:G)</f>
        <v>TG509538</v>
      </c>
      <c r="G1040" s="59">
        <f ca="1">LOOKUP(A1040,'QALS - Inspection Lot Record'!A:A,'QALS - Inspection Lot Record'!E:E)</f>
        <v>45934</v>
      </c>
      <c r="H1040" s="34" t="str">
        <f t="shared" si="85"/>
        <v>A</v>
      </c>
      <c r="I1040" s="29" t="str">
        <f t="shared" si="81"/>
        <v>TG509538</v>
      </c>
      <c r="J1040" s="59">
        <f t="shared" ca="1" si="82"/>
        <v>45934</v>
      </c>
      <c r="K1040" s="30">
        <f ca="1">LOOKUP(A1040,'QALS - Inspection Lot Record'!A:A,'QALS - Inspection Lot Record'!I:I)</f>
        <v>7.3067129629629635E-2</v>
      </c>
      <c r="L1040" s="59">
        <f t="shared" ca="1" si="83"/>
        <v>45934</v>
      </c>
      <c r="M1040" s="30">
        <f t="shared" ca="1" si="84"/>
        <v>9.2835648148148153E-2</v>
      </c>
      <c r="N1040" s="31"/>
      <c r="O1040" s="31">
        <v>81.599999999999994</v>
      </c>
      <c r="P1040" s="29">
        <v>80</v>
      </c>
      <c r="Q1040" s="29">
        <v>90</v>
      </c>
    </row>
    <row r="1041" spans="1:17" x14ac:dyDescent="0.35">
      <c r="A1041" s="26">
        <v>40000002630</v>
      </c>
      <c r="B1041" s="31">
        <v>1</v>
      </c>
      <c r="C1041" s="29" t="str">
        <f>LOOKUP(A1041,'QALS - Inspection Lot Record'!$A$2:$A$361,'QALS - Inspection Lot Record'!$O$2:$O$361)</f>
        <v>Aspirin Tablets (500 MG)</v>
      </c>
      <c r="D1041" s="31">
        <v>80</v>
      </c>
      <c r="E1041" s="29" t="s">
        <v>407</v>
      </c>
      <c r="F1041" s="29" t="str">
        <f>LOOKUP(A1041,'QALS - Inspection Lot Record'!A:A,'QALS - Inspection Lot Record'!G:G)</f>
        <v>TG509538</v>
      </c>
      <c r="G1041" s="59">
        <f ca="1">LOOKUP(A1041,'QALS - Inspection Lot Record'!A:A,'QALS - Inspection Lot Record'!E:E)</f>
        <v>45934</v>
      </c>
      <c r="H1041" s="34" t="str">
        <f t="shared" si="85"/>
        <v>A</v>
      </c>
      <c r="I1041" s="29" t="str">
        <f t="shared" si="81"/>
        <v>TG509538</v>
      </c>
      <c r="J1041" s="59">
        <f t="shared" ca="1" si="82"/>
        <v>45934</v>
      </c>
      <c r="K1041" s="30">
        <f ca="1">LOOKUP(A1041,'QALS - Inspection Lot Record'!A:A,'QALS - Inspection Lot Record'!I:I)</f>
        <v>7.3067129629629635E-2</v>
      </c>
      <c r="L1041" s="59">
        <f t="shared" ca="1" si="83"/>
        <v>45934</v>
      </c>
      <c r="M1041" s="30">
        <f t="shared" ca="1" si="84"/>
        <v>0.10096064814814815</v>
      </c>
      <c r="N1041" s="31"/>
      <c r="O1041" s="31">
        <v>25.5</v>
      </c>
      <c r="P1041" s="29">
        <v>23</v>
      </c>
      <c r="Q1041" s="29">
        <v>28</v>
      </c>
    </row>
    <row r="1042" spans="1:17" x14ac:dyDescent="0.35">
      <c r="A1042" s="26">
        <v>40000002631</v>
      </c>
      <c r="B1042" s="27">
        <v>1</v>
      </c>
      <c r="C1042" s="29" t="str">
        <f>LOOKUP(A1042,'QALS - Inspection Lot Record'!$A$2:$A$361,'QALS - Inspection Lot Record'!$O$2:$O$361)</f>
        <v>Metformin Tablets (500 MG)</v>
      </c>
      <c r="D1042" s="27">
        <v>10</v>
      </c>
      <c r="E1042" s="26" t="s">
        <v>399</v>
      </c>
      <c r="F1042" s="29" t="str">
        <f>LOOKUP(A1042,'QALS - Inspection Lot Record'!A:A,'QALS - Inspection Lot Record'!G:G)</f>
        <v>AB406550</v>
      </c>
      <c r="G1042" s="59">
        <f ca="1">LOOKUP(A1042,'QALS - Inspection Lot Record'!A:A,'QALS - Inspection Lot Record'!E:E)</f>
        <v>45935</v>
      </c>
      <c r="H1042" s="34" t="str">
        <f t="shared" si="85"/>
        <v>A</v>
      </c>
      <c r="I1042" s="29" t="str">
        <f t="shared" si="81"/>
        <v>AB406550</v>
      </c>
      <c r="J1042" s="59">
        <f t="shared" ca="1" si="82"/>
        <v>45935</v>
      </c>
      <c r="K1042" s="30">
        <f ca="1">LOOKUP(A1042,'QALS - Inspection Lot Record'!A:A,'QALS - Inspection Lot Record'!I:I)</f>
        <v>0.69877314814814817</v>
      </c>
      <c r="L1042" s="59">
        <f t="shared" ca="1" si="83"/>
        <v>45935</v>
      </c>
      <c r="M1042" s="30">
        <f t="shared" ca="1" si="84"/>
        <v>0.73021990740740739</v>
      </c>
      <c r="N1042" s="31"/>
      <c r="O1042" s="31">
        <v>100</v>
      </c>
      <c r="P1042" s="29">
        <v>95</v>
      </c>
      <c r="Q1042" s="29">
        <v>105</v>
      </c>
    </row>
    <row r="1043" spans="1:17" x14ac:dyDescent="0.35">
      <c r="A1043" s="26">
        <v>40000002631</v>
      </c>
      <c r="B1043" s="27">
        <v>1</v>
      </c>
      <c r="C1043" s="29" t="str">
        <f>LOOKUP(A1043,'QALS - Inspection Lot Record'!$A$2:$A$361,'QALS - Inspection Lot Record'!$O$2:$O$361)</f>
        <v>Metformin Tablets (500 MG)</v>
      </c>
      <c r="D1043" s="31">
        <v>20</v>
      </c>
      <c r="E1043" s="29" t="s">
        <v>400</v>
      </c>
      <c r="F1043" s="29" t="str">
        <f>LOOKUP(A1043,'QALS - Inspection Lot Record'!A:A,'QALS - Inspection Lot Record'!G:G)</f>
        <v>AB406550</v>
      </c>
      <c r="G1043" s="59">
        <f ca="1">LOOKUP(A1043,'QALS - Inspection Lot Record'!A:A,'QALS - Inspection Lot Record'!E:E)</f>
        <v>45935</v>
      </c>
      <c r="H1043" s="34" t="str">
        <f t="shared" si="85"/>
        <v>A</v>
      </c>
      <c r="I1043" s="29" t="str">
        <f t="shared" si="81"/>
        <v>AB406550</v>
      </c>
      <c r="J1043" s="59">
        <f t="shared" ca="1" si="82"/>
        <v>45935</v>
      </c>
      <c r="K1043" s="30">
        <f ca="1">LOOKUP(A1043,'QALS - Inspection Lot Record'!A:A,'QALS - Inspection Lot Record'!I:I)</f>
        <v>0.69877314814814817</v>
      </c>
      <c r="L1043" s="59">
        <f t="shared" ca="1" si="83"/>
        <v>45935</v>
      </c>
      <c r="M1043" s="30">
        <f t="shared" ca="1" si="84"/>
        <v>0.72055555555555562</v>
      </c>
      <c r="N1043" s="31"/>
      <c r="O1043" s="31">
        <v>7.25</v>
      </c>
      <c r="P1043" s="29">
        <v>3.5</v>
      </c>
      <c r="Q1043" s="29">
        <v>11</v>
      </c>
    </row>
    <row r="1044" spans="1:17" x14ac:dyDescent="0.35">
      <c r="A1044" s="26">
        <v>40000002631</v>
      </c>
      <c r="B1044" s="31">
        <v>1</v>
      </c>
      <c r="C1044" s="29" t="str">
        <f>LOOKUP(A1044,'QALS - Inspection Lot Record'!$A$2:$A$361,'QALS - Inspection Lot Record'!$O$2:$O$361)</f>
        <v>Metformin Tablets (500 MG)</v>
      </c>
      <c r="D1044" s="31">
        <v>30</v>
      </c>
      <c r="E1044" s="29" t="s">
        <v>401</v>
      </c>
      <c r="F1044" s="29" t="str">
        <f>LOOKUP(A1044,'QALS - Inspection Lot Record'!A:A,'QALS - Inspection Lot Record'!G:G)</f>
        <v>AB406550</v>
      </c>
      <c r="G1044" s="59">
        <f ca="1">LOOKUP(A1044,'QALS - Inspection Lot Record'!A:A,'QALS - Inspection Lot Record'!E:E)</f>
        <v>45935</v>
      </c>
      <c r="H1044" s="34" t="str">
        <f t="shared" si="85"/>
        <v>A</v>
      </c>
      <c r="I1044" s="29" t="str">
        <f t="shared" si="81"/>
        <v>AB406550</v>
      </c>
      <c r="J1044" s="59">
        <f t="shared" ca="1" si="82"/>
        <v>45935</v>
      </c>
      <c r="K1044" s="30">
        <f ca="1">LOOKUP(A1044,'QALS - Inspection Lot Record'!A:A,'QALS - Inspection Lot Record'!I:I)</f>
        <v>0.69877314814814817</v>
      </c>
      <c r="L1044" s="59">
        <f t="shared" ca="1" si="83"/>
        <v>45935</v>
      </c>
      <c r="M1044" s="30">
        <f t="shared" ca="1" si="84"/>
        <v>0.72449074074074071</v>
      </c>
      <c r="N1044" s="11" t="s">
        <v>402</v>
      </c>
      <c r="O1044" s="31"/>
      <c r="P1044" s="29"/>
      <c r="Q1044" s="29"/>
    </row>
    <row r="1045" spans="1:17" x14ac:dyDescent="0.35">
      <c r="A1045" s="26">
        <v>40000002631</v>
      </c>
      <c r="B1045" s="31">
        <v>1</v>
      </c>
      <c r="C1045" s="29" t="str">
        <f>LOOKUP(A1045,'QALS - Inspection Lot Record'!$A$2:$A$361,'QALS - Inspection Lot Record'!$O$2:$O$361)</f>
        <v>Metformin Tablets (500 MG)</v>
      </c>
      <c r="D1045" s="31">
        <v>40</v>
      </c>
      <c r="E1045" s="29" t="s">
        <v>403</v>
      </c>
      <c r="F1045" s="29" t="str">
        <f>LOOKUP(A1045,'QALS - Inspection Lot Record'!A:A,'QALS - Inspection Lot Record'!G:G)</f>
        <v>AB406550</v>
      </c>
      <c r="G1045" s="59">
        <f ca="1">LOOKUP(A1045,'QALS - Inspection Lot Record'!A:A,'QALS - Inspection Lot Record'!E:E)</f>
        <v>45935</v>
      </c>
      <c r="H1045" s="34" t="str">
        <f t="shared" si="85"/>
        <v>A</v>
      </c>
      <c r="I1045" s="29" t="str">
        <f t="shared" si="81"/>
        <v>AB406550</v>
      </c>
      <c r="J1045" s="59">
        <f t="shared" ca="1" si="82"/>
        <v>45935</v>
      </c>
      <c r="K1045" s="30">
        <f ca="1">LOOKUP(A1045,'QALS - Inspection Lot Record'!A:A,'QALS - Inspection Lot Record'!I:I)</f>
        <v>0.69877314814814817</v>
      </c>
      <c r="L1045" s="59">
        <f t="shared" ca="1" si="83"/>
        <v>45935</v>
      </c>
      <c r="M1045" s="30">
        <f t="shared" ca="1" si="84"/>
        <v>0.7277083333333334</v>
      </c>
      <c r="N1045" s="31"/>
      <c r="O1045" s="31">
        <v>0</v>
      </c>
      <c r="P1045" s="29">
        <v>0</v>
      </c>
      <c r="Q1045" s="29">
        <v>2</v>
      </c>
    </row>
    <row r="1046" spans="1:17" x14ac:dyDescent="0.35">
      <c r="A1046" s="26">
        <v>40000002631</v>
      </c>
      <c r="B1046" s="31">
        <v>1</v>
      </c>
      <c r="C1046" s="29" t="str">
        <f>LOOKUP(A1046,'QALS - Inspection Lot Record'!$A$2:$A$361,'QALS - Inspection Lot Record'!$O$2:$O$361)</f>
        <v>Metformin Tablets (500 MG)</v>
      </c>
      <c r="D1046" s="31">
        <v>50</v>
      </c>
      <c r="E1046" s="29" t="s">
        <v>404</v>
      </c>
      <c r="F1046" s="29" t="str">
        <f>LOOKUP(A1046,'QALS - Inspection Lot Record'!A:A,'QALS - Inspection Lot Record'!G:G)</f>
        <v>AB406550</v>
      </c>
      <c r="G1046" s="59">
        <f ca="1">LOOKUP(A1046,'QALS - Inspection Lot Record'!A:A,'QALS - Inspection Lot Record'!E:E)</f>
        <v>45935</v>
      </c>
      <c r="H1046" s="34" t="str">
        <f t="shared" si="85"/>
        <v>A</v>
      </c>
      <c r="I1046" s="29" t="str">
        <f t="shared" si="81"/>
        <v>AB406550</v>
      </c>
      <c r="J1046" s="59">
        <f t="shared" ca="1" si="82"/>
        <v>45935</v>
      </c>
      <c r="K1046" s="30">
        <f ca="1">LOOKUP(A1046,'QALS - Inspection Lot Record'!A:A,'QALS - Inspection Lot Record'!I:I)</f>
        <v>0.69877314814814817</v>
      </c>
      <c r="L1046" s="59">
        <f t="shared" ca="1" si="83"/>
        <v>45935</v>
      </c>
      <c r="M1046" s="30">
        <f t="shared" ca="1" si="84"/>
        <v>0.73178240740740741</v>
      </c>
      <c r="N1046" s="31"/>
      <c r="O1046" s="31">
        <v>50</v>
      </c>
      <c r="P1046" s="29">
        <v>40</v>
      </c>
      <c r="Q1046" s="29">
        <v>60</v>
      </c>
    </row>
    <row r="1047" spans="1:17" x14ac:dyDescent="0.35">
      <c r="A1047" s="26">
        <v>40000002631</v>
      </c>
      <c r="B1047" s="31">
        <v>1</v>
      </c>
      <c r="C1047" s="29" t="str">
        <f>LOOKUP(A1047,'QALS - Inspection Lot Record'!$A$2:$A$361,'QALS - Inspection Lot Record'!$O$2:$O$361)</f>
        <v>Metformin Tablets (500 MG)</v>
      </c>
      <c r="D1047" s="31">
        <v>60</v>
      </c>
      <c r="E1047" s="29" t="s">
        <v>405</v>
      </c>
      <c r="F1047" s="29" t="str">
        <f>LOOKUP(A1047,'QALS - Inspection Lot Record'!A:A,'QALS - Inspection Lot Record'!G:G)</f>
        <v>AB406550</v>
      </c>
      <c r="G1047" s="59">
        <f ca="1">LOOKUP(A1047,'QALS - Inspection Lot Record'!A:A,'QALS - Inspection Lot Record'!E:E)</f>
        <v>45935</v>
      </c>
      <c r="H1047" s="34" t="str">
        <f t="shared" si="85"/>
        <v>A</v>
      </c>
      <c r="I1047" s="29" t="str">
        <f t="shared" si="81"/>
        <v>AB406550</v>
      </c>
      <c r="J1047" s="59">
        <f t="shared" ca="1" si="82"/>
        <v>45935</v>
      </c>
      <c r="K1047" s="30">
        <f ca="1">LOOKUP(A1047,'QALS - Inspection Lot Record'!A:A,'QALS - Inspection Lot Record'!I:I)</f>
        <v>0.69877314814814817</v>
      </c>
      <c r="L1047" s="59">
        <f t="shared" ca="1" si="83"/>
        <v>45935</v>
      </c>
      <c r="M1047" s="30">
        <f t="shared" ca="1" si="84"/>
        <v>0.72532407407407407</v>
      </c>
      <c r="N1047" s="31"/>
      <c r="O1047" s="31">
        <v>77.5</v>
      </c>
      <c r="P1047" s="29">
        <v>70</v>
      </c>
      <c r="Q1047" s="29">
        <v>85</v>
      </c>
    </row>
    <row r="1048" spans="1:17" x14ac:dyDescent="0.35">
      <c r="A1048" s="26">
        <v>40000002631</v>
      </c>
      <c r="B1048" s="31">
        <v>1</v>
      </c>
      <c r="C1048" s="29" t="str">
        <f>LOOKUP(A1048,'QALS - Inspection Lot Record'!$A$2:$A$361,'QALS - Inspection Lot Record'!$O$2:$O$361)</f>
        <v>Metformin Tablets (500 MG)</v>
      </c>
      <c r="D1048" s="31">
        <v>70</v>
      </c>
      <c r="E1048" s="29" t="s">
        <v>406</v>
      </c>
      <c r="F1048" s="29" t="str">
        <f>LOOKUP(A1048,'QALS - Inspection Lot Record'!A:A,'QALS - Inspection Lot Record'!G:G)</f>
        <v>AB406550</v>
      </c>
      <c r="G1048" s="59">
        <f ca="1">LOOKUP(A1048,'QALS - Inspection Lot Record'!A:A,'QALS - Inspection Lot Record'!E:E)</f>
        <v>45935</v>
      </c>
      <c r="H1048" s="34" t="str">
        <f t="shared" si="85"/>
        <v>A</v>
      </c>
      <c r="I1048" s="29" t="str">
        <f t="shared" si="81"/>
        <v>AB406550</v>
      </c>
      <c r="J1048" s="59">
        <f t="shared" ca="1" si="82"/>
        <v>45935</v>
      </c>
      <c r="K1048" s="30">
        <f ca="1">LOOKUP(A1048,'QALS - Inspection Lot Record'!A:A,'QALS - Inspection Lot Record'!I:I)</f>
        <v>0.69877314814814817</v>
      </c>
      <c r="L1048" s="59">
        <f t="shared" ca="1" si="83"/>
        <v>45935</v>
      </c>
      <c r="M1048" s="30">
        <f t="shared" ca="1" si="84"/>
        <v>0.72521990740740738</v>
      </c>
      <c r="N1048" s="31"/>
      <c r="O1048" s="31">
        <v>85</v>
      </c>
      <c r="P1048" s="29">
        <v>80</v>
      </c>
      <c r="Q1048" s="29">
        <v>90</v>
      </c>
    </row>
    <row r="1049" spans="1:17" x14ac:dyDescent="0.35">
      <c r="A1049" s="26">
        <v>40000002631</v>
      </c>
      <c r="B1049" s="31">
        <v>1</v>
      </c>
      <c r="C1049" s="29" t="str">
        <f>LOOKUP(A1049,'QALS - Inspection Lot Record'!$A$2:$A$361,'QALS - Inspection Lot Record'!$O$2:$O$361)</f>
        <v>Metformin Tablets (500 MG)</v>
      </c>
      <c r="D1049" s="31">
        <v>80</v>
      </c>
      <c r="E1049" s="29" t="s">
        <v>407</v>
      </c>
      <c r="F1049" s="29" t="str">
        <f>LOOKUP(A1049,'QALS - Inspection Lot Record'!A:A,'QALS - Inspection Lot Record'!G:G)</f>
        <v>AB406550</v>
      </c>
      <c r="G1049" s="59">
        <f ca="1">LOOKUP(A1049,'QALS - Inspection Lot Record'!A:A,'QALS - Inspection Lot Record'!E:E)</f>
        <v>45935</v>
      </c>
      <c r="H1049" s="34" t="str">
        <f t="shared" si="85"/>
        <v>R</v>
      </c>
      <c r="I1049" s="29" t="str">
        <f t="shared" si="81"/>
        <v>AB406550</v>
      </c>
      <c r="J1049" s="59">
        <f t="shared" ca="1" si="82"/>
        <v>45935</v>
      </c>
      <c r="K1049" s="30">
        <f ca="1">LOOKUP(A1049,'QALS - Inspection Lot Record'!A:A,'QALS - Inspection Lot Record'!I:I)</f>
        <v>0.69877314814814817</v>
      </c>
      <c r="L1049" s="59">
        <f t="shared" ca="1" si="83"/>
        <v>45935</v>
      </c>
      <c r="M1049" s="30">
        <f t="shared" ca="1" si="84"/>
        <v>0.72214120370370372</v>
      </c>
      <c r="N1049" s="31"/>
      <c r="O1049" s="31">
        <v>21.1</v>
      </c>
      <c r="P1049" s="29">
        <v>23</v>
      </c>
      <c r="Q1049" s="29">
        <v>28</v>
      </c>
    </row>
    <row r="1050" spans="1:17" x14ac:dyDescent="0.35">
      <c r="A1050" s="26">
        <v>40000002632</v>
      </c>
      <c r="B1050" s="27">
        <v>1</v>
      </c>
      <c r="C1050" s="29" t="str">
        <f>LOOKUP(A1050,'QALS - Inspection Lot Record'!$A$2:$A$361,'QALS - Inspection Lot Record'!$O$2:$O$361)</f>
        <v>Aspirin Tablets (500 MG)</v>
      </c>
      <c r="D1050" s="27">
        <v>10</v>
      </c>
      <c r="E1050" s="26" t="s">
        <v>399</v>
      </c>
      <c r="F1050" s="29" t="str">
        <f>LOOKUP(A1050,'QALS - Inspection Lot Record'!A:A,'QALS - Inspection Lot Record'!G:G)</f>
        <v>TG509538</v>
      </c>
      <c r="G1050" s="59">
        <f ca="1">LOOKUP(A1050,'QALS - Inspection Lot Record'!A:A,'QALS - Inspection Lot Record'!E:E)</f>
        <v>45935</v>
      </c>
      <c r="H1050" s="34" t="str">
        <f t="shared" si="85"/>
        <v>A</v>
      </c>
      <c r="I1050" s="29" t="str">
        <f t="shared" si="81"/>
        <v>TG509538</v>
      </c>
      <c r="J1050" s="59">
        <f t="shared" ca="1" si="82"/>
        <v>45935</v>
      </c>
      <c r="K1050" s="30">
        <f ca="1">LOOKUP(A1050,'QALS - Inspection Lot Record'!A:A,'QALS - Inspection Lot Record'!I:I)</f>
        <v>0.3394212962962963</v>
      </c>
      <c r="L1050" s="59">
        <f t="shared" ca="1" si="83"/>
        <v>45935</v>
      </c>
      <c r="M1050" s="30">
        <f t="shared" ca="1" si="84"/>
        <v>0.36160879629629628</v>
      </c>
      <c r="N1050" s="31"/>
      <c r="O1050" s="31">
        <v>100</v>
      </c>
      <c r="P1050" s="29">
        <v>95</v>
      </c>
      <c r="Q1050" s="29">
        <v>105</v>
      </c>
    </row>
    <row r="1051" spans="1:17" x14ac:dyDescent="0.35">
      <c r="A1051" s="26">
        <v>40000002632</v>
      </c>
      <c r="B1051" s="27">
        <v>1</v>
      </c>
      <c r="C1051" s="29" t="str">
        <f>LOOKUP(A1051,'QALS - Inspection Lot Record'!$A$2:$A$361,'QALS - Inspection Lot Record'!$O$2:$O$361)</f>
        <v>Aspirin Tablets (500 MG)</v>
      </c>
      <c r="D1051" s="31">
        <v>20</v>
      </c>
      <c r="E1051" s="29" t="s">
        <v>400</v>
      </c>
      <c r="F1051" s="29" t="str">
        <f>LOOKUP(A1051,'QALS - Inspection Lot Record'!A:A,'QALS - Inspection Lot Record'!G:G)</f>
        <v>TG509538</v>
      </c>
      <c r="G1051" s="59">
        <f ca="1">LOOKUP(A1051,'QALS - Inspection Lot Record'!A:A,'QALS - Inspection Lot Record'!E:E)</f>
        <v>45935</v>
      </c>
      <c r="H1051" s="34" t="str">
        <f t="shared" si="85"/>
        <v>A</v>
      </c>
      <c r="I1051" s="29" t="str">
        <f t="shared" si="81"/>
        <v>TG509538</v>
      </c>
      <c r="J1051" s="59">
        <f t="shared" ca="1" si="82"/>
        <v>45935</v>
      </c>
      <c r="K1051" s="30">
        <f ca="1">LOOKUP(A1051,'QALS - Inspection Lot Record'!A:A,'QALS - Inspection Lot Record'!I:I)</f>
        <v>0.3394212962962963</v>
      </c>
      <c r="L1051" s="59">
        <f t="shared" ca="1" si="83"/>
        <v>45935</v>
      </c>
      <c r="M1051" s="30">
        <f t="shared" ca="1" si="84"/>
        <v>0.36855324074074075</v>
      </c>
      <c r="N1051" s="31"/>
      <c r="O1051" s="31">
        <v>7.25</v>
      </c>
      <c r="P1051" s="29">
        <v>3.5</v>
      </c>
      <c r="Q1051" s="29">
        <v>11</v>
      </c>
    </row>
    <row r="1052" spans="1:17" x14ac:dyDescent="0.35">
      <c r="A1052" s="26">
        <v>40000002632</v>
      </c>
      <c r="B1052" s="31">
        <v>1</v>
      </c>
      <c r="C1052" s="29" t="str">
        <f>LOOKUP(A1052,'QALS - Inspection Lot Record'!$A$2:$A$361,'QALS - Inspection Lot Record'!$O$2:$O$361)</f>
        <v>Aspirin Tablets (500 MG)</v>
      </c>
      <c r="D1052" s="31">
        <v>30</v>
      </c>
      <c r="E1052" s="29" t="s">
        <v>401</v>
      </c>
      <c r="F1052" s="29" t="str">
        <f>LOOKUP(A1052,'QALS - Inspection Lot Record'!A:A,'QALS - Inspection Lot Record'!G:G)</f>
        <v>TG509538</v>
      </c>
      <c r="G1052" s="59">
        <f ca="1">LOOKUP(A1052,'QALS - Inspection Lot Record'!A:A,'QALS - Inspection Lot Record'!E:E)</f>
        <v>45935</v>
      </c>
      <c r="H1052" s="34" t="str">
        <f t="shared" si="85"/>
        <v>A</v>
      </c>
      <c r="I1052" s="29" t="str">
        <f t="shared" si="81"/>
        <v>TG509538</v>
      </c>
      <c r="J1052" s="59">
        <f t="shared" ca="1" si="82"/>
        <v>45935</v>
      </c>
      <c r="K1052" s="30">
        <f ca="1">LOOKUP(A1052,'QALS - Inspection Lot Record'!A:A,'QALS - Inspection Lot Record'!I:I)</f>
        <v>0.3394212962962963</v>
      </c>
      <c r="L1052" s="59">
        <f t="shared" ca="1" si="83"/>
        <v>45935</v>
      </c>
      <c r="M1052" s="30">
        <f t="shared" ca="1" si="84"/>
        <v>0.37363425925925925</v>
      </c>
      <c r="N1052" s="11" t="s">
        <v>402</v>
      </c>
      <c r="O1052" s="31"/>
      <c r="P1052" s="29"/>
      <c r="Q1052" s="29"/>
    </row>
    <row r="1053" spans="1:17" x14ac:dyDescent="0.35">
      <c r="A1053" s="26">
        <v>40000002632</v>
      </c>
      <c r="B1053" s="31">
        <v>1</v>
      </c>
      <c r="C1053" s="29" t="str">
        <f>LOOKUP(A1053,'QALS - Inspection Lot Record'!$A$2:$A$361,'QALS - Inspection Lot Record'!$O$2:$O$361)</f>
        <v>Aspirin Tablets (500 MG)</v>
      </c>
      <c r="D1053" s="31">
        <v>40</v>
      </c>
      <c r="E1053" s="29" t="s">
        <v>403</v>
      </c>
      <c r="F1053" s="29" t="str">
        <f>LOOKUP(A1053,'QALS - Inspection Lot Record'!A:A,'QALS - Inspection Lot Record'!G:G)</f>
        <v>TG509538</v>
      </c>
      <c r="G1053" s="59">
        <f ca="1">LOOKUP(A1053,'QALS - Inspection Lot Record'!A:A,'QALS - Inspection Lot Record'!E:E)</f>
        <v>45935</v>
      </c>
      <c r="H1053" s="34" t="str">
        <f t="shared" si="85"/>
        <v>A</v>
      </c>
      <c r="I1053" s="29" t="str">
        <f t="shared" si="81"/>
        <v>TG509538</v>
      </c>
      <c r="J1053" s="59">
        <f t="shared" ca="1" si="82"/>
        <v>45935</v>
      </c>
      <c r="K1053" s="30">
        <f ca="1">LOOKUP(A1053,'QALS - Inspection Lot Record'!A:A,'QALS - Inspection Lot Record'!I:I)</f>
        <v>0.3394212962962963</v>
      </c>
      <c r="L1053" s="59">
        <f t="shared" ca="1" si="83"/>
        <v>45935</v>
      </c>
      <c r="M1053" s="30">
        <f t="shared" ca="1" si="84"/>
        <v>0.36988425925925927</v>
      </c>
      <c r="N1053" s="31"/>
      <c r="O1053" s="31">
        <v>0</v>
      </c>
      <c r="P1053" s="29">
        <v>0</v>
      </c>
      <c r="Q1053" s="29">
        <v>2.5</v>
      </c>
    </row>
    <row r="1054" spans="1:17" x14ac:dyDescent="0.35">
      <c r="A1054" s="26">
        <v>40000002632</v>
      </c>
      <c r="B1054" s="31">
        <v>1</v>
      </c>
      <c r="C1054" s="29" t="str">
        <f>LOOKUP(A1054,'QALS - Inspection Lot Record'!$A$2:$A$361,'QALS - Inspection Lot Record'!$O$2:$O$361)</f>
        <v>Aspirin Tablets (500 MG)</v>
      </c>
      <c r="D1054" s="31">
        <v>50</v>
      </c>
      <c r="E1054" s="29" t="s">
        <v>404</v>
      </c>
      <c r="F1054" s="29" t="str">
        <f>LOOKUP(A1054,'QALS - Inspection Lot Record'!A:A,'QALS - Inspection Lot Record'!G:G)</f>
        <v>TG509538</v>
      </c>
      <c r="G1054" s="59">
        <f ca="1">LOOKUP(A1054,'QALS - Inspection Lot Record'!A:A,'QALS - Inspection Lot Record'!E:E)</f>
        <v>45935</v>
      </c>
      <c r="H1054" s="34" t="str">
        <f t="shared" si="85"/>
        <v>A</v>
      </c>
      <c r="I1054" s="29" t="str">
        <f t="shared" si="81"/>
        <v>TG509538</v>
      </c>
      <c r="J1054" s="59">
        <f t="shared" ca="1" si="82"/>
        <v>45935</v>
      </c>
      <c r="K1054" s="30">
        <f ca="1">LOOKUP(A1054,'QALS - Inspection Lot Record'!A:A,'QALS - Inspection Lot Record'!I:I)</f>
        <v>0.3394212962962963</v>
      </c>
      <c r="L1054" s="59">
        <f t="shared" ca="1" si="83"/>
        <v>45935</v>
      </c>
      <c r="M1054" s="30">
        <f t="shared" ca="1" si="84"/>
        <v>0.3746990740740741</v>
      </c>
      <c r="N1054" s="31"/>
      <c r="O1054" s="31">
        <v>50</v>
      </c>
      <c r="P1054" s="29">
        <v>40</v>
      </c>
      <c r="Q1054" s="29">
        <v>60</v>
      </c>
    </row>
    <row r="1055" spans="1:17" x14ac:dyDescent="0.35">
      <c r="A1055" s="26">
        <v>40000002632</v>
      </c>
      <c r="B1055" s="31">
        <v>1</v>
      </c>
      <c r="C1055" s="29" t="str">
        <f>LOOKUP(A1055,'QALS - Inspection Lot Record'!$A$2:$A$361,'QALS - Inspection Lot Record'!$O$2:$O$361)</f>
        <v>Aspirin Tablets (500 MG)</v>
      </c>
      <c r="D1055" s="31">
        <v>60</v>
      </c>
      <c r="E1055" s="29" t="s">
        <v>405</v>
      </c>
      <c r="F1055" s="29" t="str">
        <f>LOOKUP(A1055,'QALS - Inspection Lot Record'!A:A,'QALS - Inspection Lot Record'!G:G)</f>
        <v>TG509538</v>
      </c>
      <c r="G1055" s="59">
        <f ca="1">LOOKUP(A1055,'QALS - Inspection Lot Record'!A:A,'QALS - Inspection Lot Record'!E:E)</f>
        <v>45935</v>
      </c>
      <c r="H1055" s="34" t="str">
        <f t="shared" si="85"/>
        <v>A</v>
      </c>
      <c r="I1055" s="29" t="str">
        <f t="shared" si="81"/>
        <v>TG509538</v>
      </c>
      <c r="J1055" s="59">
        <f t="shared" ca="1" si="82"/>
        <v>45935</v>
      </c>
      <c r="K1055" s="30">
        <f ca="1">LOOKUP(A1055,'QALS - Inspection Lot Record'!A:A,'QALS - Inspection Lot Record'!I:I)</f>
        <v>0.3394212962962963</v>
      </c>
      <c r="L1055" s="59">
        <f t="shared" ca="1" si="83"/>
        <v>45935</v>
      </c>
      <c r="M1055" s="30">
        <f t="shared" ca="1" si="84"/>
        <v>0.35890046296296296</v>
      </c>
      <c r="N1055" s="31"/>
      <c r="O1055" s="31">
        <v>77.5</v>
      </c>
      <c r="P1055" s="29">
        <v>70</v>
      </c>
      <c r="Q1055" s="29">
        <v>85</v>
      </c>
    </row>
    <row r="1056" spans="1:17" x14ac:dyDescent="0.35">
      <c r="A1056" s="26">
        <v>40000002632</v>
      </c>
      <c r="B1056" s="31">
        <v>1</v>
      </c>
      <c r="C1056" s="29" t="str">
        <f>LOOKUP(A1056,'QALS - Inspection Lot Record'!$A$2:$A$361,'QALS - Inspection Lot Record'!$O$2:$O$361)</f>
        <v>Aspirin Tablets (500 MG)</v>
      </c>
      <c r="D1056" s="31">
        <v>70</v>
      </c>
      <c r="E1056" s="29" t="s">
        <v>406</v>
      </c>
      <c r="F1056" s="29" t="str">
        <f>LOOKUP(A1056,'QALS - Inspection Lot Record'!A:A,'QALS - Inspection Lot Record'!G:G)</f>
        <v>TG509538</v>
      </c>
      <c r="G1056" s="59">
        <f ca="1">LOOKUP(A1056,'QALS - Inspection Lot Record'!A:A,'QALS - Inspection Lot Record'!E:E)</f>
        <v>45935</v>
      </c>
      <c r="H1056" s="34" t="str">
        <f t="shared" si="85"/>
        <v>A</v>
      </c>
      <c r="I1056" s="29" t="str">
        <f t="shared" si="81"/>
        <v>TG509538</v>
      </c>
      <c r="J1056" s="59">
        <f t="shared" ca="1" si="82"/>
        <v>45935</v>
      </c>
      <c r="K1056" s="30">
        <f ca="1">LOOKUP(A1056,'QALS - Inspection Lot Record'!A:A,'QALS - Inspection Lot Record'!I:I)</f>
        <v>0.3394212962962963</v>
      </c>
      <c r="L1056" s="59">
        <f t="shared" ca="1" si="83"/>
        <v>45935</v>
      </c>
      <c r="M1056" s="30">
        <f t="shared" ca="1" si="84"/>
        <v>0.36836805555555557</v>
      </c>
      <c r="N1056" s="31"/>
      <c r="O1056" s="31">
        <v>85</v>
      </c>
      <c r="P1056" s="29">
        <v>80</v>
      </c>
      <c r="Q1056" s="29">
        <v>90</v>
      </c>
    </row>
    <row r="1057" spans="1:17" x14ac:dyDescent="0.35">
      <c r="A1057" s="26">
        <v>40000002632</v>
      </c>
      <c r="B1057" s="31">
        <v>1</v>
      </c>
      <c r="C1057" s="29" t="str">
        <f>LOOKUP(A1057,'QALS - Inspection Lot Record'!$A$2:$A$361,'QALS - Inspection Lot Record'!$O$2:$O$361)</f>
        <v>Aspirin Tablets (500 MG)</v>
      </c>
      <c r="D1057" s="31">
        <v>80</v>
      </c>
      <c r="E1057" s="29" t="s">
        <v>407</v>
      </c>
      <c r="F1057" s="29" t="str">
        <f>LOOKUP(A1057,'QALS - Inspection Lot Record'!A:A,'QALS - Inspection Lot Record'!G:G)</f>
        <v>TG509538</v>
      </c>
      <c r="G1057" s="59">
        <f ca="1">LOOKUP(A1057,'QALS - Inspection Lot Record'!A:A,'QALS - Inspection Lot Record'!E:E)</f>
        <v>45935</v>
      </c>
      <c r="H1057" s="34" t="str">
        <f t="shared" si="85"/>
        <v>A</v>
      </c>
      <c r="I1057" s="29" t="str">
        <f t="shared" si="81"/>
        <v>TG509538</v>
      </c>
      <c r="J1057" s="59">
        <f t="shared" ca="1" si="82"/>
        <v>45935</v>
      </c>
      <c r="K1057" s="30">
        <f ca="1">LOOKUP(A1057,'QALS - Inspection Lot Record'!A:A,'QALS - Inspection Lot Record'!I:I)</f>
        <v>0.3394212962962963</v>
      </c>
      <c r="L1057" s="59">
        <f t="shared" ca="1" si="83"/>
        <v>45935</v>
      </c>
      <c r="M1057" s="30">
        <f t="shared" ca="1" si="84"/>
        <v>0.36143518518518519</v>
      </c>
      <c r="N1057" s="31"/>
      <c r="O1057" s="31">
        <v>25.5</v>
      </c>
      <c r="P1057" s="29">
        <v>23</v>
      </c>
      <c r="Q1057" s="29">
        <v>28</v>
      </c>
    </row>
    <row r="1058" spans="1:17" x14ac:dyDescent="0.35">
      <c r="A1058" s="26">
        <v>40000002633</v>
      </c>
      <c r="B1058" s="27">
        <v>1</v>
      </c>
      <c r="C1058" s="29" t="str">
        <f>LOOKUP(A1058,'QALS - Inspection Lot Record'!$A$2:$A$361,'QALS - Inspection Lot Record'!$O$2:$O$361)</f>
        <v>Metformin Tablets (100 MG)</v>
      </c>
      <c r="D1058" s="27">
        <v>10</v>
      </c>
      <c r="E1058" s="26" t="s">
        <v>399</v>
      </c>
      <c r="F1058" s="29" t="str">
        <f>LOOKUP(A1058,'QALS - Inspection Lot Record'!A:A,'QALS - Inspection Lot Record'!G:G)</f>
        <v>TP397880</v>
      </c>
      <c r="G1058" s="59">
        <f ca="1">LOOKUP(A1058,'QALS - Inspection Lot Record'!A:A,'QALS - Inspection Lot Record'!E:E)</f>
        <v>45936</v>
      </c>
      <c r="H1058" s="34" t="str">
        <f t="shared" si="85"/>
        <v>R</v>
      </c>
      <c r="I1058" s="29" t="str">
        <f t="shared" si="81"/>
        <v>TP397880</v>
      </c>
      <c r="J1058" s="59">
        <f t="shared" ca="1" si="82"/>
        <v>45936</v>
      </c>
      <c r="K1058" s="30">
        <f ca="1">LOOKUP(A1058,'QALS - Inspection Lot Record'!A:A,'QALS - Inspection Lot Record'!I:I)</f>
        <v>0.54385416666666664</v>
      </c>
      <c r="L1058" s="59">
        <f t="shared" ca="1" si="83"/>
        <v>45936</v>
      </c>
      <c r="M1058" s="30">
        <f t="shared" ca="1" si="84"/>
        <v>0.57495370370370369</v>
      </c>
      <c r="N1058" s="31"/>
      <c r="O1058" s="31">
        <v>93.1</v>
      </c>
      <c r="P1058" s="29">
        <v>95</v>
      </c>
      <c r="Q1058" s="29">
        <v>102</v>
      </c>
    </row>
    <row r="1059" spans="1:17" x14ac:dyDescent="0.35">
      <c r="A1059" s="26">
        <v>40000002633</v>
      </c>
      <c r="B1059" s="27">
        <v>1</v>
      </c>
      <c r="C1059" s="29" t="str">
        <f>LOOKUP(A1059,'QALS - Inspection Lot Record'!$A$2:$A$361,'QALS - Inspection Lot Record'!$O$2:$O$361)</f>
        <v>Metformin Tablets (100 MG)</v>
      </c>
      <c r="D1059" s="31">
        <v>20</v>
      </c>
      <c r="E1059" s="29" t="s">
        <v>400</v>
      </c>
      <c r="F1059" s="29" t="str">
        <f>LOOKUP(A1059,'QALS - Inspection Lot Record'!A:A,'QALS - Inspection Lot Record'!G:G)</f>
        <v>TP397880</v>
      </c>
      <c r="G1059" s="59">
        <f ca="1">LOOKUP(A1059,'QALS - Inspection Lot Record'!A:A,'QALS - Inspection Lot Record'!E:E)</f>
        <v>45936</v>
      </c>
      <c r="H1059" s="34" t="str">
        <f t="shared" si="85"/>
        <v>A</v>
      </c>
      <c r="I1059" s="29" t="str">
        <f t="shared" si="81"/>
        <v>TP397880</v>
      </c>
      <c r="J1059" s="59">
        <f t="shared" ca="1" si="82"/>
        <v>45936</v>
      </c>
      <c r="K1059" s="30">
        <f ca="1">LOOKUP(A1059,'QALS - Inspection Lot Record'!A:A,'QALS - Inspection Lot Record'!I:I)</f>
        <v>0.54385416666666664</v>
      </c>
      <c r="L1059" s="59">
        <f t="shared" ca="1" si="83"/>
        <v>45936</v>
      </c>
      <c r="M1059" s="30">
        <f t="shared" ca="1" si="84"/>
        <v>0.57037037037037031</v>
      </c>
      <c r="N1059" s="31"/>
      <c r="O1059" s="31">
        <v>7.3</v>
      </c>
      <c r="P1059" s="29">
        <v>3.5</v>
      </c>
      <c r="Q1059" s="29">
        <v>11</v>
      </c>
    </row>
    <row r="1060" spans="1:17" x14ac:dyDescent="0.35">
      <c r="A1060" s="26">
        <v>40000002633</v>
      </c>
      <c r="B1060" s="31">
        <v>1</v>
      </c>
      <c r="C1060" s="29" t="str">
        <f>LOOKUP(A1060,'QALS - Inspection Lot Record'!$A$2:$A$361,'QALS - Inspection Lot Record'!$O$2:$O$361)</f>
        <v>Metformin Tablets (100 MG)</v>
      </c>
      <c r="D1060" s="31">
        <v>30</v>
      </c>
      <c r="E1060" s="29" t="s">
        <v>401</v>
      </c>
      <c r="F1060" s="29" t="str">
        <f>LOOKUP(A1060,'QALS - Inspection Lot Record'!A:A,'QALS - Inspection Lot Record'!G:G)</f>
        <v>TP397880</v>
      </c>
      <c r="G1060" s="59">
        <f ca="1">LOOKUP(A1060,'QALS - Inspection Lot Record'!A:A,'QALS - Inspection Lot Record'!E:E)</f>
        <v>45936</v>
      </c>
      <c r="H1060" s="34" t="str">
        <f t="shared" si="85"/>
        <v>A</v>
      </c>
      <c r="I1060" s="29" t="str">
        <f t="shared" si="81"/>
        <v>TP397880</v>
      </c>
      <c r="J1060" s="59">
        <f t="shared" ca="1" si="82"/>
        <v>45936</v>
      </c>
      <c r="K1060" s="30">
        <f ca="1">LOOKUP(A1060,'QALS - Inspection Lot Record'!A:A,'QALS - Inspection Lot Record'!I:I)</f>
        <v>0.54385416666666664</v>
      </c>
      <c r="L1060" s="59">
        <f t="shared" ca="1" si="83"/>
        <v>45936</v>
      </c>
      <c r="M1060" s="30">
        <f t="shared" ca="1" si="84"/>
        <v>0.57658564814814817</v>
      </c>
      <c r="N1060" s="11" t="s">
        <v>402</v>
      </c>
      <c r="O1060" s="31"/>
      <c r="P1060" s="29"/>
      <c r="Q1060" s="29"/>
    </row>
    <row r="1061" spans="1:17" x14ac:dyDescent="0.35">
      <c r="A1061" s="26">
        <v>40000002633</v>
      </c>
      <c r="B1061" s="31">
        <v>1</v>
      </c>
      <c r="C1061" s="29" t="str">
        <f>LOOKUP(A1061,'QALS - Inspection Lot Record'!$A$2:$A$361,'QALS - Inspection Lot Record'!$O$2:$O$361)</f>
        <v>Metformin Tablets (100 MG)</v>
      </c>
      <c r="D1061" s="31">
        <v>40</v>
      </c>
      <c r="E1061" s="29" t="s">
        <v>403</v>
      </c>
      <c r="F1061" s="29" t="str">
        <f>LOOKUP(A1061,'QALS - Inspection Lot Record'!A:A,'QALS - Inspection Lot Record'!G:G)</f>
        <v>TP397880</v>
      </c>
      <c r="G1061" s="59">
        <f ca="1">LOOKUP(A1061,'QALS - Inspection Lot Record'!A:A,'QALS - Inspection Lot Record'!E:E)</f>
        <v>45936</v>
      </c>
      <c r="H1061" s="34" t="str">
        <f t="shared" si="85"/>
        <v>A</v>
      </c>
      <c r="I1061" s="29" t="str">
        <f t="shared" si="81"/>
        <v>TP397880</v>
      </c>
      <c r="J1061" s="59">
        <f t="shared" ca="1" si="82"/>
        <v>45936</v>
      </c>
      <c r="K1061" s="30">
        <f ca="1">LOOKUP(A1061,'QALS - Inspection Lot Record'!A:A,'QALS - Inspection Lot Record'!I:I)</f>
        <v>0.54385416666666664</v>
      </c>
      <c r="L1061" s="59">
        <f t="shared" ca="1" si="83"/>
        <v>45936</v>
      </c>
      <c r="M1061" s="30">
        <f t="shared" ca="1" si="84"/>
        <v>0.57133101851851853</v>
      </c>
      <c r="N1061" s="31"/>
      <c r="O1061" s="31">
        <v>0.5</v>
      </c>
      <c r="P1061" s="29">
        <v>0</v>
      </c>
      <c r="Q1061" s="29">
        <v>1</v>
      </c>
    </row>
    <row r="1062" spans="1:17" x14ac:dyDescent="0.35">
      <c r="A1062" s="26">
        <v>40000002633</v>
      </c>
      <c r="B1062" s="31">
        <v>1</v>
      </c>
      <c r="C1062" s="29" t="str">
        <f>LOOKUP(A1062,'QALS - Inspection Lot Record'!$A$2:$A$361,'QALS - Inspection Lot Record'!$O$2:$O$361)</f>
        <v>Metformin Tablets (100 MG)</v>
      </c>
      <c r="D1062" s="31">
        <v>50</v>
      </c>
      <c r="E1062" s="29" t="s">
        <v>404</v>
      </c>
      <c r="F1062" s="29" t="str">
        <f>LOOKUP(A1062,'QALS - Inspection Lot Record'!A:A,'QALS - Inspection Lot Record'!G:G)</f>
        <v>TP397880</v>
      </c>
      <c r="G1062" s="59">
        <f ca="1">LOOKUP(A1062,'QALS - Inspection Lot Record'!A:A,'QALS - Inspection Lot Record'!E:E)</f>
        <v>45936</v>
      </c>
      <c r="H1062" s="34" t="str">
        <f t="shared" si="85"/>
        <v>A</v>
      </c>
      <c r="I1062" s="29" t="str">
        <f t="shared" si="81"/>
        <v>TP397880</v>
      </c>
      <c r="J1062" s="59">
        <f t="shared" ca="1" si="82"/>
        <v>45936</v>
      </c>
      <c r="K1062" s="30">
        <f ca="1">LOOKUP(A1062,'QALS - Inspection Lot Record'!A:A,'QALS - Inspection Lot Record'!I:I)</f>
        <v>0.54385416666666664</v>
      </c>
      <c r="L1062" s="59">
        <f t="shared" ca="1" si="83"/>
        <v>45936</v>
      </c>
      <c r="M1062" s="30">
        <f t="shared" ca="1" si="84"/>
        <v>0.57379629629629625</v>
      </c>
      <c r="N1062" s="31"/>
      <c r="O1062" s="31">
        <v>41.9</v>
      </c>
      <c r="P1062" s="29">
        <v>40</v>
      </c>
      <c r="Q1062" s="29">
        <v>60</v>
      </c>
    </row>
    <row r="1063" spans="1:17" x14ac:dyDescent="0.35">
      <c r="A1063" s="26">
        <v>40000002633</v>
      </c>
      <c r="B1063" s="31">
        <v>1</v>
      </c>
      <c r="C1063" s="29" t="str">
        <f>LOOKUP(A1063,'QALS - Inspection Lot Record'!$A$2:$A$361,'QALS - Inspection Lot Record'!$O$2:$O$361)</f>
        <v>Metformin Tablets (100 MG)</v>
      </c>
      <c r="D1063" s="31">
        <v>60</v>
      </c>
      <c r="E1063" s="29" t="s">
        <v>405</v>
      </c>
      <c r="F1063" s="29" t="str">
        <f>LOOKUP(A1063,'QALS - Inspection Lot Record'!A:A,'QALS - Inspection Lot Record'!G:G)</f>
        <v>TP397880</v>
      </c>
      <c r="G1063" s="59">
        <f ca="1">LOOKUP(A1063,'QALS - Inspection Lot Record'!A:A,'QALS - Inspection Lot Record'!E:E)</f>
        <v>45936</v>
      </c>
      <c r="H1063" s="34" t="str">
        <f t="shared" si="85"/>
        <v>A</v>
      </c>
      <c r="I1063" s="29" t="str">
        <f t="shared" si="81"/>
        <v>TP397880</v>
      </c>
      <c r="J1063" s="59">
        <f t="shared" ca="1" si="82"/>
        <v>45936</v>
      </c>
      <c r="K1063" s="30">
        <f ca="1">LOOKUP(A1063,'QALS - Inspection Lot Record'!A:A,'QALS - Inspection Lot Record'!I:I)</f>
        <v>0.54385416666666664</v>
      </c>
      <c r="L1063" s="59">
        <f t="shared" ca="1" si="83"/>
        <v>45936</v>
      </c>
      <c r="M1063" s="30">
        <f t="shared" ca="1" si="84"/>
        <v>0.5701504629629629</v>
      </c>
      <c r="N1063" s="31"/>
      <c r="O1063" s="31">
        <v>71</v>
      </c>
      <c r="P1063" s="29">
        <v>70</v>
      </c>
      <c r="Q1063" s="29">
        <v>85</v>
      </c>
    </row>
    <row r="1064" spans="1:17" x14ac:dyDescent="0.35">
      <c r="A1064" s="26">
        <v>40000002633</v>
      </c>
      <c r="B1064" s="31">
        <v>1</v>
      </c>
      <c r="C1064" s="29" t="str">
        <f>LOOKUP(A1064,'QALS - Inspection Lot Record'!$A$2:$A$361,'QALS - Inspection Lot Record'!$O$2:$O$361)</f>
        <v>Metformin Tablets (100 MG)</v>
      </c>
      <c r="D1064" s="31">
        <v>70</v>
      </c>
      <c r="E1064" s="29" t="s">
        <v>406</v>
      </c>
      <c r="F1064" s="29" t="str">
        <f>LOOKUP(A1064,'QALS - Inspection Lot Record'!A:A,'QALS - Inspection Lot Record'!G:G)</f>
        <v>TP397880</v>
      </c>
      <c r="G1064" s="59">
        <f ca="1">LOOKUP(A1064,'QALS - Inspection Lot Record'!A:A,'QALS - Inspection Lot Record'!E:E)</f>
        <v>45936</v>
      </c>
      <c r="H1064" s="34" t="str">
        <f t="shared" si="85"/>
        <v>A</v>
      </c>
      <c r="I1064" s="29" t="str">
        <f t="shared" si="81"/>
        <v>TP397880</v>
      </c>
      <c r="J1064" s="59">
        <f t="shared" ca="1" si="82"/>
        <v>45936</v>
      </c>
      <c r="K1064" s="30">
        <f ca="1">LOOKUP(A1064,'QALS - Inspection Lot Record'!A:A,'QALS - Inspection Lot Record'!I:I)</f>
        <v>0.54385416666666664</v>
      </c>
      <c r="L1064" s="59">
        <f t="shared" ca="1" si="83"/>
        <v>45936</v>
      </c>
      <c r="M1064" s="30">
        <f t="shared" ca="1" si="84"/>
        <v>0.5774421296296296</v>
      </c>
      <c r="N1064" s="31"/>
      <c r="O1064" s="31">
        <v>81.7</v>
      </c>
      <c r="P1064" s="29">
        <v>80</v>
      </c>
      <c r="Q1064" s="29">
        <v>90</v>
      </c>
    </row>
    <row r="1065" spans="1:17" x14ac:dyDescent="0.35">
      <c r="A1065" s="26">
        <v>40000002633</v>
      </c>
      <c r="B1065" s="31">
        <v>1</v>
      </c>
      <c r="C1065" s="29" t="str">
        <f>LOOKUP(A1065,'QALS - Inspection Lot Record'!$A$2:$A$361,'QALS - Inspection Lot Record'!$O$2:$O$361)</f>
        <v>Metformin Tablets (100 MG)</v>
      </c>
      <c r="D1065" s="31">
        <v>80</v>
      </c>
      <c r="E1065" s="29" t="s">
        <v>407</v>
      </c>
      <c r="F1065" s="29" t="str">
        <f>LOOKUP(A1065,'QALS - Inspection Lot Record'!A:A,'QALS - Inspection Lot Record'!G:G)</f>
        <v>TP397880</v>
      </c>
      <c r="G1065" s="59">
        <f ca="1">LOOKUP(A1065,'QALS - Inspection Lot Record'!A:A,'QALS - Inspection Lot Record'!E:E)</f>
        <v>45936</v>
      </c>
      <c r="H1065" s="34" t="str">
        <f t="shared" si="85"/>
        <v>A</v>
      </c>
      <c r="I1065" s="29" t="str">
        <f t="shared" si="81"/>
        <v>TP397880</v>
      </c>
      <c r="J1065" s="59">
        <f t="shared" ca="1" si="82"/>
        <v>45936</v>
      </c>
      <c r="K1065" s="30">
        <f ca="1">LOOKUP(A1065,'QALS - Inspection Lot Record'!A:A,'QALS - Inspection Lot Record'!I:I)</f>
        <v>0.54385416666666664</v>
      </c>
      <c r="L1065" s="59">
        <f t="shared" ca="1" si="83"/>
        <v>45936</v>
      </c>
      <c r="M1065" s="30">
        <f t="shared" ca="1" si="84"/>
        <v>0.56488425925925922</v>
      </c>
      <c r="N1065" s="31"/>
      <c r="O1065" s="31">
        <v>24</v>
      </c>
      <c r="P1065" s="29">
        <v>23</v>
      </c>
      <c r="Q1065" s="29">
        <v>25</v>
      </c>
    </row>
    <row r="1066" spans="1:17" x14ac:dyDescent="0.35">
      <c r="A1066" s="26">
        <v>40000002634</v>
      </c>
      <c r="B1066" s="27">
        <v>1</v>
      </c>
      <c r="C1066" s="29" t="str">
        <f>LOOKUP(A1066,'QALS - Inspection Lot Record'!$A$2:$A$361,'QALS - Inspection Lot Record'!$O$2:$O$361)</f>
        <v>Metformin Tablets (200 MG)</v>
      </c>
      <c r="D1066" s="27">
        <v>10</v>
      </c>
      <c r="E1066" s="26" t="s">
        <v>399</v>
      </c>
      <c r="F1066" s="29" t="str">
        <f>LOOKUP(A1066,'QALS - Inspection Lot Record'!A:A,'QALS - Inspection Lot Record'!G:G)</f>
        <v>TG509538</v>
      </c>
      <c r="G1066" s="59">
        <f ca="1">LOOKUP(A1066,'QALS - Inspection Lot Record'!A:A,'QALS - Inspection Lot Record'!E:E)</f>
        <v>45936</v>
      </c>
      <c r="H1066" s="34" t="str">
        <f t="shared" si="85"/>
        <v>A</v>
      </c>
      <c r="I1066" s="29" t="str">
        <f t="shared" si="81"/>
        <v>TG509538</v>
      </c>
      <c r="J1066" s="59">
        <f t="shared" ca="1" si="82"/>
        <v>45936</v>
      </c>
      <c r="K1066" s="30">
        <f ca="1">LOOKUP(A1066,'QALS - Inspection Lot Record'!A:A,'QALS - Inspection Lot Record'!I:I)</f>
        <v>0.37385416666666665</v>
      </c>
      <c r="L1066" s="59">
        <f t="shared" ca="1" si="83"/>
        <v>45936</v>
      </c>
      <c r="M1066" s="30">
        <f t="shared" ca="1" si="84"/>
        <v>0.4007060185185185</v>
      </c>
      <c r="N1066" s="31"/>
      <c r="O1066" s="31">
        <v>99</v>
      </c>
      <c r="P1066" s="29">
        <v>95</v>
      </c>
      <c r="Q1066" s="29">
        <v>103</v>
      </c>
    </row>
    <row r="1067" spans="1:17" x14ac:dyDescent="0.35">
      <c r="A1067" s="26">
        <v>40000002634</v>
      </c>
      <c r="B1067" s="27">
        <v>1</v>
      </c>
      <c r="C1067" s="29" t="str">
        <f>LOOKUP(A1067,'QALS - Inspection Lot Record'!$A$2:$A$361,'QALS - Inspection Lot Record'!$O$2:$O$361)</f>
        <v>Metformin Tablets (200 MG)</v>
      </c>
      <c r="D1067" s="31">
        <v>20</v>
      </c>
      <c r="E1067" s="29" t="s">
        <v>400</v>
      </c>
      <c r="F1067" s="29" t="str">
        <f>LOOKUP(A1067,'QALS - Inspection Lot Record'!A:A,'QALS - Inspection Lot Record'!G:G)</f>
        <v>TG509538</v>
      </c>
      <c r="G1067" s="59">
        <f ca="1">LOOKUP(A1067,'QALS - Inspection Lot Record'!A:A,'QALS - Inspection Lot Record'!E:E)</f>
        <v>45936</v>
      </c>
      <c r="H1067" s="34" t="str">
        <f t="shared" si="85"/>
        <v>A</v>
      </c>
      <c r="I1067" s="29" t="str">
        <f t="shared" si="81"/>
        <v>TG509538</v>
      </c>
      <c r="J1067" s="59">
        <f t="shared" ca="1" si="82"/>
        <v>45936</v>
      </c>
      <c r="K1067" s="30">
        <f ca="1">LOOKUP(A1067,'QALS - Inspection Lot Record'!A:A,'QALS - Inspection Lot Record'!I:I)</f>
        <v>0.37385416666666665</v>
      </c>
      <c r="L1067" s="59">
        <f t="shared" ca="1" si="83"/>
        <v>45936</v>
      </c>
      <c r="M1067" s="30">
        <f t="shared" ca="1" si="84"/>
        <v>0.39928240740740739</v>
      </c>
      <c r="N1067" s="31"/>
      <c r="O1067" s="31">
        <v>7.8</v>
      </c>
      <c r="P1067" s="29">
        <v>6</v>
      </c>
      <c r="Q1067" s="29">
        <v>9.5</v>
      </c>
    </row>
    <row r="1068" spans="1:17" x14ac:dyDescent="0.35">
      <c r="A1068" s="26">
        <v>40000002634</v>
      </c>
      <c r="B1068" s="31">
        <v>1</v>
      </c>
      <c r="C1068" s="29" t="str">
        <f>LOOKUP(A1068,'QALS - Inspection Lot Record'!$A$2:$A$361,'QALS - Inspection Lot Record'!$O$2:$O$361)</f>
        <v>Metformin Tablets (200 MG)</v>
      </c>
      <c r="D1068" s="31">
        <v>30</v>
      </c>
      <c r="E1068" s="29" t="s">
        <v>401</v>
      </c>
      <c r="F1068" s="29" t="str">
        <f>LOOKUP(A1068,'QALS - Inspection Lot Record'!A:A,'QALS - Inspection Lot Record'!G:G)</f>
        <v>TG509538</v>
      </c>
      <c r="G1068" s="59">
        <f ca="1">LOOKUP(A1068,'QALS - Inspection Lot Record'!A:A,'QALS - Inspection Lot Record'!E:E)</f>
        <v>45936</v>
      </c>
      <c r="H1068" s="34" t="str">
        <f t="shared" si="85"/>
        <v>A</v>
      </c>
      <c r="I1068" s="29" t="str">
        <f t="shared" si="81"/>
        <v>TG509538</v>
      </c>
      <c r="J1068" s="59">
        <f t="shared" ca="1" si="82"/>
        <v>45936</v>
      </c>
      <c r="K1068" s="30">
        <f ca="1">LOOKUP(A1068,'QALS - Inspection Lot Record'!A:A,'QALS - Inspection Lot Record'!I:I)</f>
        <v>0.37385416666666665</v>
      </c>
      <c r="L1068" s="59">
        <f t="shared" ca="1" si="83"/>
        <v>45936</v>
      </c>
      <c r="M1068" s="30">
        <f t="shared" ca="1" si="84"/>
        <v>0.39141203703703703</v>
      </c>
      <c r="N1068" s="11" t="s">
        <v>402</v>
      </c>
      <c r="O1068" s="31"/>
      <c r="P1068" s="29"/>
      <c r="Q1068" s="29"/>
    </row>
    <row r="1069" spans="1:17" x14ac:dyDescent="0.35">
      <c r="A1069" s="26">
        <v>40000002634</v>
      </c>
      <c r="B1069" s="31">
        <v>1</v>
      </c>
      <c r="C1069" s="29" t="str">
        <f>LOOKUP(A1069,'QALS - Inspection Lot Record'!$A$2:$A$361,'QALS - Inspection Lot Record'!$O$2:$O$361)</f>
        <v>Metformin Tablets (200 MG)</v>
      </c>
      <c r="D1069" s="31">
        <v>40</v>
      </c>
      <c r="E1069" s="29" t="s">
        <v>403</v>
      </c>
      <c r="F1069" s="29" t="str">
        <f>LOOKUP(A1069,'QALS - Inspection Lot Record'!A:A,'QALS - Inspection Lot Record'!G:G)</f>
        <v>TG509538</v>
      </c>
      <c r="G1069" s="59">
        <f ca="1">LOOKUP(A1069,'QALS - Inspection Lot Record'!A:A,'QALS - Inspection Lot Record'!E:E)</f>
        <v>45936</v>
      </c>
      <c r="H1069" s="34" t="str">
        <f t="shared" si="85"/>
        <v>A</v>
      </c>
      <c r="I1069" s="29" t="str">
        <f t="shared" si="81"/>
        <v>TG509538</v>
      </c>
      <c r="J1069" s="59">
        <f t="shared" ca="1" si="82"/>
        <v>45936</v>
      </c>
      <c r="K1069" s="30">
        <f ca="1">LOOKUP(A1069,'QALS - Inspection Lot Record'!A:A,'QALS - Inspection Lot Record'!I:I)</f>
        <v>0.37385416666666665</v>
      </c>
      <c r="L1069" s="59">
        <f t="shared" ca="1" si="83"/>
        <v>45936</v>
      </c>
      <c r="M1069" s="30">
        <f t="shared" ca="1" si="84"/>
        <v>0.39134259259259258</v>
      </c>
      <c r="N1069" s="31"/>
      <c r="O1069" s="31">
        <v>1.6</v>
      </c>
      <c r="P1069" s="29">
        <v>0</v>
      </c>
      <c r="Q1069" s="29">
        <v>2</v>
      </c>
    </row>
    <row r="1070" spans="1:17" x14ac:dyDescent="0.35">
      <c r="A1070" s="26">
        <v>40000002634</v>
      </c>
      <c r="B1070" s="31">
        <v>1</v>
      </c>
      <c r="C1070" s="29" t="str">
        <f>LOOKUP(A1070,'QALS - Inspection Lot Record'!$A$2:$A$361,'QALS - Inspection Lot Record'!$O$2:$O$361)</f>
        <v>Metformin Tablets (200 MG)</v>
      </c>
      <c r="D1070" s="31">
        <v>50</v>
      </c>
      <c r="E1070" s="29" t="s">
        <v>404</v>
      </c>
      <c r="F1070" s="29" t="str">
        <f>LOOKUP(A1070,'QALS - Inspection Lot Record'!A:A,'QALS - Inspection Lot Record'!G:G)</f>
        <v>TG509538</v>
      </c>
      <c r="G1070" s="59">
        <f ca="1">LOOKUP(A1070,'QALS - Inspection Lot Record'!A:A,'QALS - Inspection Lot Record'!E:E)</f>
        <v>45936</v>
      </c>
      <c r="H1070" s="34" t="str">
        <f t="shared" si="85"/>
        <v>A</v>
      </c>
      <c r="I1070" s="29" t="str">
        <f t="shared" si="81"/>
        <v>TG509538</v>
      </c>
      <c r="J1070" s="59">
        <f t="shared" ca="1" si="82"/>
        <v>45936</v>
      </c>
      <c r="K1070" s="30">
        <f ca="1">LOOKUP(A1070,'QALS - Inspection Lot Record'!A:A,'QALS - Inspection Lot Record'!I:I)</f>
        <v>0.37385416666666665</v>
      </c>
      <c r="L1070" s="59">
        <f t="shared" ca="1" si="83"/>
        <v>45936</v>
      </c>
      <c r="M1070" s="30">
        <f t="shared" ca="1" si="84"/>
        <v>0.39543981481481483</v>
      </c>
      <c r="N1070" s="31"/>
      <c r="O1070" s="31">
        <v>41.8</v>
      </c>
      <c r="P1070" s="29">
        <v>40</v>
      </c>
      <c r="Q1070" s="29">
        <v>60</v>
      </c>
    </row>
    <row r="1071" spans="1:17" x14ac:dyDescent="0.35">
      <c r="A1071" s="26">
        <v>40000002634</v>
      </c>
      <c r="B1071" s="31">
        <v>1</v>
      </c>
      <c r="C1071" s="29" t="str">
        <f>LOOKUP(A1071,'QALS - Inspection Lot Record'!$A$2:$A$361,'QALS - Inspection Lot Record'!$O$2:$O$361)</f>
        <v>Metformin Tablets (200 MG)</v>
      </c>
      <c r="D1071" s="31">
        <v>60</v>
      </c>
      <c r="E1071" s="29" t="s">
        <v>405</v>
      </c>
      <c r="F1071" s="29" t="str">
        <f>LOOKUP(A1071,'QALS - Inspection Lot Record'!A:A,'QALS - Inspection Lot Record'!G:G)</f>
        <v>TG509538</v>
      </c>
      <c r="G1071" s="59">
        <f ca="1">LOOKUP(A1071,'QALS - Inspection Lot Record'!A:A,'QALS - Inspection Lot Record'!E:E)</f>
        <v>45936</v>
      </c>
      <c r="H1071" s="34" t="str">
        <f t="shared" si="85"/>
        <v>A</v>
      </c>
      <c r="I1071" s="29" t="str">
        <f t="shared" si="81"/>
        <v>TG509538</v>
      </c>
      <c r="J1071" s="59">
        <f t="shared" ca="1" si="82"/>
        <v>45936</v>
      </c>
      <c r="K1071" s="30">
        <f ca="1">LOOKUP(A1071,'QALS - Inspection Lot Record'!A:A,'QALS - Inspection Lot Record'!I:I)</f>
        <v>0.37385416666666665</v>
      </c>
      <c r="L1071" s="59">
        <f t="shared" ca="1" si="83"/>
        <v>45936</v>
      </c>
      <c r="M1071" s="30">
        <f t="shared" ca="1" si="84"/>
        <v>0.40023148148148147</v>
      </c>
      <c r="N1071" s="31"/>
      <c r="O1071" s="31">
        <v>71.3</v>
      </c>
      <c r="P1071" s="29">
        <v>70</v>
      </c>
      <c r="Q1071" s="29">
        <v>85</v>
      </c>
    </row>
    <row r="1072" spans="1:17" x14ac:dyDescent="0.35">
      <c r="A1072" s="26">
        <v>40000002634</v>
      </c>
      <c r="B1072" s="31">
        <v>1</v>
      </c>
      <c r="C1072" s="29" t="str">
        <f>LOOKUP(A1072,'QALS - Inspection Lot Record'!$A$2:$A$361,'QALS - Inspection Lot Record'!$O$2:$O$361)</f>
        <v>Metformin Tablets (200 MG)</v>
      </c>
      <c r="D1072" s="31">
        <v>70</v>
      </c>
      <c r="E1072" s="29" t="s">
        <v>406</v>
      </c>
      <c r="F1072" s="29" t="str">
        <f>LOOKUP(A1072,'QALS - Inspection Lot Record'!A:A,'QALS - Inspection Lot Record'!G:G)</f>
        <v>TG509538</v>
      </c>
      <c r="G1072" s="59">
        <f ca="1">LOOKUP(A1072,'QALS - Inspection Lot Record'!A:A,'QALS - Inspection Lot Record'!E:E)</f>
        <v>45936</v>
      </c>
      <c r="H1072" s="34" t="str">
        <f t="shared" si="85"/>
        <v>A</v>
      </c>
      <c r="I1072" s="29" t="str">
        <f t="shared" si="81"/>
        <v>TG509538</v>
      </c>
      <c r="J1072" s="59">
        <f t="shared" ca="1" si="82"/>
        <v>45936</v>
      </c>
      <c r="K1072" s="30">
        <f ca="1">LOOKUP(A1072,'QALS - Inspection Lot Record'!A:A,'QALS - Inspection Lot Record'!I:I)</f>
        <v>0.37385416666666665</v>
      </c>
      <c r="L1072" s="59">
        <f t="shared" ca="1" si="83"/>
        <v>45936</v>
      </c>
      <c r="M1072" s="30">
        <f t="shared" ca="1" si="84"/>
        <v>0.40537037037037038</v>
      </c>
      <c r="N1072" s="31"/>
      <c r="O1072" s="31">
        <v>81.5</v>
      </c>
      <c r="P1072" s="29">
        <v>80</v>
      </c>
      <c r="Q1072" s="29">
        <v>90</v>
      </c>
    </row>
    <row r="1073" spans="1:17" x14ac:dyDescent="0.35">
      <c r="A1073" s="26">
        <v>40000002634</v>
      </c>
      <c r="B1073" s="31">
        <v>1</v>
      </c>
      <c r="C1073" s="29" t="str">
        <f>LOOKUP(A1073,'QALS - Inspection Lot Record'!$A$2:$A$361,'QALS - Inspection Lot Record'!$O$2:$O$361)</f>
        <v>Metformin Tablets (200 MG)</v>
      </c>
      <c r="D1073" s="31">
        <v>80</v>
      </c>
      <c r="E1073" s="29" t="s">
        <v>407</v>
      </c>
      <c r="F1073" s="29" t="str">
        <f>LOOKUP(A1073,'QALS - Inspection Lot Record'!A:A,'QALS - Inspection Lot Record'!G:G)</f>
        <v>TG509538</v>
      </c>
      <c r="G1073" s="59">
        <f ca="1">LOOKUP(A1073,'QALS - Inspection Lot Record'!A:A,'QALS - Inspection Lot Record'!E:E)</f>
        <v>45936</v>
      </c>
      <c r="H1073" s="34" t="str">
        <f t="shared" si="85"/>
        <v>A</v>
      </c>
      <c r="I1073" s="29" t="str">
        <f t="shared" si="81"/>
        <v>TG509538</v>
      </c>
      <c r="J1073" s="59">
        <f t="shared" ca="1" si="82"/>
        <v>45936</v>
      </c>
      <c r="K1073" s="30">
        <f ca="1">LOOKUP(A1073,'QALS - Inspection Lot Record'!A:A,'QALS - Inspection Lot Record'!I:I)</f>
        <v>0.37385416666666665</v>
      </c>
      <c r="L1073" s="59">
        <f t="shared" ca="1" si="83"/>
        <v>45936</v>
      </c>
      <c r="M1073" s="30">
        <f t="shared" ca="1" si="84"/>
        <v>0.39915509259259258</v>
      </c>
      <c r="N1073" s="31"/>
      <c r="O1073" s="31">
        <v>25.5</v>
      </c>
      <c r="P1073" s="29">
        <v>23</v>
      </c>
      <c r="Q1073" s="29">
        <v>28</v>
      </c>
    </row>
    <row r="1074" spans="1:17" x14ac:dyDescent="0.35">
      <c r="A1074" s="26">
        <v>40000002635</v>
      </c>
      <c r="B1074" s="27">
        <v>1</v>
      </c>
      <c r="C1074" s="29" t="str">
        <f>LOOKUP(A1074,'QALS - Inspection Lot Record'!$A$2:$A$361,'QALS - Inspection Lot Record'!$O$2:$O$361)</f>
        <v>Ibuprofen Tablets (100 MG)</v>
      </c>
      <c r="D1074" s="27">
        <v>10</v>
      </c>
      <c r="E1074" s="26" t="s">
        <v>399</v>
      </c>
      <c r="F1074" s="29" t="str">
        <f>LOOKUP(A1074,'QALS - Inspection Lot Record'!A:A,'QALS - Inspection Lot Record'!G:G)</f>
        <v>ZK384180</v>
      </c>
      <c r="G1074" s="59">
        <f ca="1">LOOKUP(A1074,'QALS - Inspection Lot Record'!A:A,'QALS - Inspection Lot Record'!E:E)</f>
        <v>45937</v>
      </c>
      <c r="H1074" s="34" t="str">
        <f t="shared" si="85"/>
        <v>A</v>
      </c>
      <c r="I1074" s="29" t="str">
        <f t="shared" si="81"/>
        <v>ZK384180</v>
      </c>
      <c r="J1074" s="59">
        <f t="shared" ca="1" si="82"/>
        <v>45937</v>
      </c>
      <c r="K1074" s="30">
        <f ca="1">LOOKUP(A1074,'QALS - Inspection Lot Record'!A:A,'QALS - Inspection Lot Record'!I:I)</f>
        <v>0.67380787037037038</v>
      </c>
      <c r="L1074" s="59">
        <f t="shared" ca="1" si="83"/>
        <v>45937</v>
      </c>
      <c r="M1074" s="30">
        <f t="shared" ca="1" si="84"/>
        <v>0.69390046296296293</v>
      </c>
      <c r="N1074" s="31"/>
      <c r="O1074" s="31">
        <v>98.5</v>
      </c>
      <c r="P1074" s="29">
        <v>95</v>
      </c>
      <c r="Q1074" s="29">
        <v>102</v>
      </c>
    </row>
    <row r="1075" spans="1:17" x14ac:dyDescent="0.35">
      <c r="A1075" s="26">
        <v>40000002635</v>
      </c>
      <c r="B1075" s="27">
        <v>1</v>
      </c>
      <c r="C1075" s="29" t="str">
        <f>LOOKUP(A1075,'QALS - Inspection Lot Record'!$A$2:$A$361,'QALS - Inspection Lot Record'!$O$2:$O$361)</f>
        <v>Ibuprofen Tablets (100 MG)</v>
      </c>
      <c r="D1075" s="31">
        <v>20</v>
      </c>
      <c r="E1075" s="29" t="s">
        <v>400</v>
      </c>
      <c r="F1075" s="29" t="str">
        <f>LOOKUP(A1075,'QALS - Inspection Lot Record'!A:A,'QALS - Inspection Lot Record'!G:G)</f>
        <v>ZK384180</v>
      </c>
      <c r="G1075" s="59">
        <f ca="1">LOOKUP(A1075,'QALS - Inspection Lot Record'!A:A,'QALS - Inspection Lot Record'!E:E)</f>
        <v>45937</v>
      </c>
      <c r="H1075" s="34" t="str">
        <f t="shared" si="85"/>
        <v>R</v>
      </c>
      <c r="I1075" s="29" t="str">
        <f t="shared" si="81"/>
        <v>ZK384180</v>
      </c>
      <c r="J1075" s="59">
        <f t="shared" ca="1" si="82"/>
        <v>45937</v>
      </c>
      <c r="K1075" s="30">
        <f ca="1">LOOKUP(A1075,'QALS - Inspection Lot Record'!A:A,'QALS - Inspection Lot Record'!I:I)</f>
        <v>0.67380787037037038</v>
      </c>
      <c r="L1075" s="59">
        <f t="shared" ca="1" si="83"/>
        <v>45937</v>
      </c>
      <c r="M1075" s="30">
        <f t="shared" ca="1" si="84"/>
        <v>0.70451388888888888</v>
      </c>
      <c r="N1075" s="31"/>
      <c r="O1075" s="31">
        <v>2.1</v>
      </c>
      <c r="P1075" s="29">
        <v>3.5</v>
      </c>
      <c r="Q1075" s="29">
        <v>11</v>
      </c>
    </row>
    <row r="1076" spans="1:17" x14ac:dyDescent="0.35">
      <c r="A1076" s="26">
        <v>40000002635</v>
      </c>
      <c r="B1076" s="31">
        <v>1</v>
      </c>
      <c r="C1076" s="29" t="str">
        <f>LOOKUP(A1076,'QALS - Inspection Lot Record'!$A$2:$A$361,'QALS - Inspection Lot Record'!$O$2:$O$361)</f>
        <v>Ibuprofen Tablets (100 MG)</v>
      </c>
      <c r="D1076" s="31">
        <v>30</v>
      </c>
      <c r="E1076" s="29" t="s">
        <v>401</v>
      </c>
      <c r="F1076" s="29" t="str">
        <f>LOOKUP(A1076,'QALS - Inspection Lot Record'!A:A,'QALS - Inspection Lot Record'!G:G)</f>
        <v>ZK384180</v>
      </c>
      <c r="G1076" s="59">
        <f ca="1">LOOKUP(A1076,'QALS - Inspection Lot Record'!A:A,'QALS - Inspection Lot Record'!E:E)</f>
        <v>45937</v>
      </c>
      <c r="H1076" s="34" t="str">
        <f t="shared" si="85"/>
        <v>A</v>
      </c>
      <c r="I1076" s="29" t="str">
        <f t="shared" si="81"/>
        <v>ZK384180</v>
      </c>
      <c r="J1076" s="59">
        <f t="shared" ca="1" si="82"/>
        <v>45937</v>
      </c>
      <c r="K1076" s="30">
        <f ca="1">LOOKUP(A1076,'QALS - Inspection Lot Record'!A:A,'QALS - Inspection Lot Record'!I:I)</f>
        <v>0.67380787037037038</v>
      </c>
      <c r="L1076" s="59">
        <f t="shared" ca="1" si="83"/>
        <v>45937</v>
      </c>
      <c r="M1076" s="30">
        <f t="shared" ca="1" si="84"/>
        <v>0.6995717592592593</v>
      </c>
      <c r="N1076" s="11" t="s">
        <v>402</v>
      </c>
      <c r="O1076" s="31"/>
      <c r="P1076" s="29"/>
      <c r="Q1076" s="29"/>
    </row>
    <row r="1077" spans="1:17" x14ac:dyDescent="0.35">
      <c r="A1077" s="26">
        <v>40000002635</v>
      </c>
      <c r="B1077" s="31">
        <v>1</v>
      </c>
      <c r="C1077" s="29" t="str">
        <f>LOOKUP(A1077,'QALS - Inspection Lot Record'!$A$2:$A$361,'QALS - Inspection Lot Record'!$O$2:$O$361)</f>
        <v>Ibuprofen Tablets (100 MG)</v>
      </c>
      <c r="D1077" s="31">
        <v>40</v>
      </c>
      <c r="E1077" s="29" t="s">
        <v>403</v>
      </c>
      <c r="F1077" s="29" t="str">
        <f>LOOKUP(A1077,'QALS - Inspection Lot Record'!A:A,'QALS - Inspection Lot Record'!G:G)</f>
        <v>ZK384180</v>
      </c>
      <c r="G1077" s="59">
        <f ca="1">LOOKUP(A1077,'QALS - Inspection Lot Record'!A:A,'QALS - Inspection Lot Record'!E:E)</f>
        <v>45937</v>
      </c>
      <c r="H1077" s="34" t="str">
        <f t="shared" si="85"/>
        <v>A</v>
      </c>
      <c r="I1077" s="29" t="str">
        <f t="shared" si="81"/>
        <v>ZK384180</v>
      </c>
      <c r="J1077" s="59">
        <f t="shared" ca="1" si="82"/>
        <v>45937</v>
      </c>
      <c r="K1077" s="30">
        <f ca="1">LOOKUP(A1077,'QALS - Inspection Lot Record'!A:A,'QALS - Inspection Lot Record'!I:I)</f>
        <v>0.67380787037037038</v>
      </c>
      <c r="L1077" s="59">
        <f t="shared" ca="1" si="83"/>
        <v>45937</v>
      </c>
      <c r="M1077" s="30">
        <f t="shared" ca="1" si="84"/>
        <v>0.70459490740740738</v>
      </c>
      <c r="N1077" s="31"/>
      <c r="O1077" s="31">
        <v>0</v>
      </c>
      <c r="P1077" s="29">
        <v>0</v>
      </c>
      <c r="Q1077" s="29">
        <v>1</v>
      </c>
    </row>
    <row r="1078" spans="1:17" x14ac:dyDescent="0.35">
      <c r="A1078" s="26">
        <v>40000002635</v>
      </c>
      <c r="B1078" s="31">
        <v>1</v>
      </c>
      <c r="C1078" s="29" t="str">
        <f>LOOKUP(A1078,'QALS - Inspection Lot Record'!$A$2:$A$361,'QALS - Inspection Lot Record'!$O$2:$O$361)</f>
        <v>Ibuprofen Tablets (100 MG)</v>
      </c>
      <c r="D1078" s="31">
        <v>50</v>
      </c>
      <c r="E1078" s="29" t="s">
        <v>404</v>
      </c>
      <c r="F1078" s="29" t="str">
        <f>LOOKUP(A1078,'QALS - Inspection Lot Record'!A:A,'QALS - Inspection Lot Record'!G:G)</f>
        <v>ZK384180</v>
      </c>
      <c r="G1078" s="59">
        <f ca="1">LOOKUP(A1078,'QALS - Inspection Lot Record'!A:A,'QALS - Inspection Lot Record'!E:E)</f>
        <v>45937</v>
      </c>
      <c r="H1078" s="34" t="str">
        <f t="shared" si="85"/>
        <v>A</v>
      </c>
      <c r="I1078" s="29" t="str">
        <f t="shared" si="81"/>
        <v>ZK384180</v>
      </c>
      <c r="J1078" s="59">
        <f t="shared" ca="1" si="82"/>
        <v>45937</v>
      </c>
      <c r="K1078" s="30">
        <f ca="1">LOOKUP(A1078,'QALS - Inspection Lot Record'!A:A,'QALS - Inspection Lot Record'!I:I)</f>
        <v>0.67380787037037038</v>
      </c>
      <c r="L1078" s="59">
        <f t="shared" ca="1" si="83"/>
        <v>45937</v>
      </c>
      <c r="M1078" s="30">
        <f t="shared" ca="1" si="84"/>
        <v>0.70321759259259264</v>
      </c>
      <c r="N1078" s="31"/>
      <c r="O1078" s="31">
        <v>50</v>
      </c>
      <c r="P1078" s="29">
        <v>40</v>
      </c>
      <c r="Q1078" s="29">
        <v>60</v>
      </c>
    </row>
    <row r="1079" spans="1:17" x14ac:dyDescent="0.35">
      <c r="A1079" s="26">
        <v>40000002635</v>
      </c>
      <c r="B1079" s="31">
        <v>1</v>
      </c>
      <c r="C1079" s="29" t="str">
        <f>LOOKUP(A1079,'QALS - Inspection Lot Record'!$A$2:$A$361,'QALS - Inspection Lot Record'!$O$2:$O$361)</f>
        <v>Ibuprofen Tablets (100 MG)</v>
      </c>
      <c r="D1079" s="31">
        <v>60</v>
      </c>
      <c r="E1079" s="29" t="s">
        <v>405</v>
      </c>
      <c r="F1079" s="29" t="str">
        <f>LOOKUP(A1079,'QALS - Inspection Lot Record'!A:A,'QALS - Inspection Lot Record'!G:G)</f>
        <v>ZK384180</v>
      </c>
      <c r="G1079" s="59">
        <f ca="1">LOOKUP(A1079,'QALS - Inspection Lot Record'!A:A,'QALS - Inspection Lot Record'!E:E)</f>
        <v>45937</v>
      </c>
      <c r="H1079" s="34" t="str">
        <f t="shared" si="85"/>
        <v>R</v>
      </c>
      <c r="I1079" s="29" t="str">
        <f t="shared" si="81"/>
        <v>ZK384180</v>
      </c>
      <c r="J1079" s="59">
        <f t="shared" ca="1" si="82"/>
        <v>45937</v>
      </c>
      <c r="K1079" s="30">
        <f ca="1">LOOKUP(A1079,'QALS - Inspection Lot Record'!A:A,'QALS - Inspection Lot Record'!I:I)</f>
        <v>0.67380787037037038</v>
      </c>
      <c r="L1079" s="59">
        <f t="shared" ca="1" si="83"/>
        <v>45937</v>
      </c>
      <c r="M1079" s="30">
        <f t="shared" ca="1" si="84"/>
        <v>0.69591435185185191</v>
      </c>
      <c r="N1079" s="31"/>
      <c r="O1079" s="31">
        <v>68.2</v>
      </c>
      <c r="P1079" s="29">
        <v>70</v>
      </c>
      <c r="Q1079" s="29">
        <v>85</v>
      </c>
    </row>
    <row r="1080" spans="1:17" x14ac:dyDescent="0.35">
      <c r="A1080" s="26">
        <v>40000002635</v>
      </c>
      <c r="B1080" s="31">
        <v>1</v>
      </c>
      <c r="C1080" s="29" t="str">
        <f>LOOKUP(A1080,'QALS - Inspection Lot Record'!$A$2:$A$361,'QALS - Inspection Lot Record'!$O$2:$O$361)</f>
        <v>Ibuprofen Tablets (100 MG)</v>
      </c>
      <c r="D1080" s="31">
        <v>70</v>
      </c>
      <c r="E1080" s="29" t="s">
        <v>406</v>
      </c>
      <c r="F1080" s="29" t="str">
        <f>LOOKUP(A1080,'QALS - Inspection Lot Record'!A:A,'QALS - Inspection Lot Record'!G:G)</f>
        <v>ZK384180</v>
      </c>
      <c r="G1080" s="59">
        <f ca="1">LOOKUP(A1080,'QALS - Inspection Lot Record'!A:A,'QALS - Inspection Lot Record'!E:E)</f>
        <v>45937</v>
      </c>
      <c r="H1080" s="34" t="str">
        <f t="shared" si="85"/>
        <v>R</v>
      </c>
      <c r="I1080" s="29" t="str">
        <f t="shared" si="81"/>
        <v>ZK384180</v>
      </c>
      <c r="J1080" s="59">
        <f t="shared" ca="1" si="82"/>
        <v>45937</v>
      </c>
      <c r="K1080" s="30">
        <f ca="1">LOOKUP(A1080,'QALS - Inspection Lot Record'!A:A,'QALS - Inspection Lot Record'!I:I)</f>
        <v>0.67380787037037038</v>
      </c>
      <c r="L1080" s="59">
        <f t="shared" ca="1" si="83"/>
        <v>45937</v>
      </c>
      <c r="M1080" s="30">
        <f t="shared" ca="1" si="84"/>
        <v>0.69906250000000003</v>
      </c>
      <c r="N1080" s="31"/>
      <c r="O1080" s="31">
        <v>78.3</v>
      </c>
      <c r="P1080" s="29">
        <v>80</v>
      </c>
      <c r="Q1080" s="29">
        <v>90</v>
      </c>
    </row>
    <row r="1081" spans="1:17" x14ac:dyDescent="0.35">
      <c r="A1081" s="26">
        <v>40000002635</v>
      </c>
      <c r="B1081" s="31">
        <v>1</v>
      </c>
      <c r="C1081" s="29" t="str">
        <f>LOOKUP(A1081,'QALS - Inspection Lot Record'!$A$2:$A$361,'QALS - Inspection Lot Record'!$O$2:$O$361)</f>
        <v>Ibuprofen Tablets (100 MG)</v>
      </c>
      <c r="D1081" s="31">
        <v>80</v>
      </c>
      <c r="E1081" s="29" t="s">
        <v>407</v>
      </c>
      <c r="F1081" s="29" t="str">
        <f>LOOKUP(A1081,'QALS - Inspection Lot Record'!A:A,'QALS - Inspection Lot Record'!G:G)</f>
        <v>ZK384180</v>
      </c>
      <c r="G1081" s="59">
        <f ca="1">LOOKUP(A1081,'QALS - Inspection Lot Record'!A:A,'QALS - Inspection Lot Record'!E:E)</f>
        <v>45937</v>
      </c>
      <c r="H1081" s="34" t="str">
        <f t="shared" si="85"/>
        <v>R</v>
      </c>
      <c r="I1081" s="29" t="str">
        <f t="shared" si="81"/>
        <v>ZK384180</v>
      </c>
      <c r="J1081" s="59">
        <f t="shared" ca="1" si="82"/>
        <v>45937</v>
      </c>
      <c r="K1081" s="30">
        <f ca="1">LOOKUP(A1081,'QALS - Inspection Lot Record'!A:A,'QALS - Inspection Lot Record'!I:I)</f>
        <v>0.67380787037037038</v>
      </c>
      <c r="L1081" s="59">
        <f t="shared" ca="1" si="83"/>
        <v>45937</v>
      </c>
      <c r="M1081" s="30">
        <f t="shared" ca="1" si="84"/>
        <v>0.69495370370370368</v>
      </c>
      <c r="N1081" s="31"/>
      <c r="O1081" s="31">
        <v>22</v>
      </c>
      <c r="P1081" s="29">
        <v>23</v>
      </c>
      <c r="Q1081" s="29">
        <v>25</v>
      </c>
    </row>
    <row r="1082" spans="1:17" x14ac:dyDescent="0.35">
      <c r="A1082" s="26">
        <v>40000002636</v>
      </c>
      <c r="B1082" s="27">
        <v>1</v>
      </c>
      <c r="C1082" s="29" t="str">
        <f>LOOKUP(A1082,'QALS - Inspection Lot Record'!$A$2:$A$361,'QALS - Inspection Lot Record'!$O$2:$O$361)</f>
        <v>Metformin Tablets (200 MG)</v>
      </c>
      <c r="D1082" s="27">
        <v>10</v>
      </c>
      <c r="E1082" s="26" t="s">
        <v>399</v>
      </c>
      <c r="F1082" s="29" t="str">
        <f>LOOKUP(A1082,'QALS - Inspection Lot Record'!A:A,'QALS - Inspection Lot Record'!G:G)</f>
        <v>TG509538</v>
      </c>
      <c r="G1082" s="59">
        <f ca="1">LOOKUP(A1082,'QALS - Inspection Lot Record'!A:A,'QALS - Inspection Lot Record'!E:E)</f>
        <v>45937</v>
      </c>
      <c r="H1082" s="34" t="str">
        <f t="shared" si="85"/>
        <v>A</v>
      </c>
      <c r="I1082" s="29" t="str">
        <f t="shared" si="81"/>
        <v>TG509538</v>
      </c>
      <c r="J1082" s="59">
        <f t="shared" ca="1" si="82"/>
        <v>45937</v>
      </c>
      <c r="K1082" s="30">
        <f ca="1">LOOKUP(A1082,'QALS - Inspection Lot Record'!A:A,'QALS - Inspection Lot Record'!I:I)</f>
        <v>0.26775462962962965</v>
      </c>
      <c r="L1082" s="59">
        <f t="shared" ca="1" si="83"/>
        <v>45937</v>
      </c>
      <c r="M1082" s="30">
        <f t="shared" ca="1" si="84"/>
        <v>0.29053240740740743</v>
      </c>
      <c r="N1082" s="31"/>
      <c r="O1082" s="31">
        <v>99</v>
      </c>
      <c r="P1082" s="29">
        <v>95</v>
      </c>
      <c r="Q1082" s="29">
        <v>103</v>
      </c>
    </row>
    <row r="1083" spans="1:17" x14ac:dyDescent="0.35">
      <c r="A1083" s="26">
        <v>40000002636</v>
      </c>
      <c r="B1083" s="27">
        <v>1</v>
      </c>
      <c r="C1083" s="29" t="str">
        <f>LOOKUP(A1083,'QALS - Inspection Lot Record'!$A$2:$A$361,'QALS - Inspection Lot Record'!$O$2:$O$361)</f>
        <v>Metformin Tablets (200 MG)</v>
      </c>
      <c r="D1083" s="31">
        <v>20</v>
      </c>
      <c r="E1083" s="29" t="s">
        <v>400</v>
      </c>
      <c r="F1083" s="29" t="str">
        <f>LOOKUP(A1083,'QALS - Inspection Lot Record'!A:A,'QALS - Inspection Lot Record'!G:G)</f>
        <v>TG509538</v>
      </c>
      <c r="G1083" s="59">
        <f ca="1">LOOKUP(A1083,'QALS - Inspection Lot Record'!A:A,'QALS - Inspection Lot Record'!E:E)</f>
        <v>45937</v>
      </c>
      <c r="H1083" s="34" t="str">
        <f t="shared" si="85"/>
        <v>A</v>
      </c>
      <c r="I1083" s="29" t="str">
        <f t="shared" si="81"/>
        <v>TG509538</v>
      </c>
      <c r="J1083" s="59">
        <f t="shared" ca="1" si="82"/>
        <v>45937</v>
      </c>
      <c r="K1083" s="30">
        <f ca="1">LOOKUP(A1083,'QALS - Inspection Lot Record'!A:A,'QALS - Inspection Lot Record'!I:I)</f>
        <v>0.26775462962962965</v>
      </c>
      <c r="L1083" s="59">
        <f t="shared" ca="1" si="83"/>
        <v>45937</v>
      </c>
      <c r="M1083" s="30">
        <f t="shared" ca="1" si="84"/>
        <v>0.29767361111111112</v>
      </c>
      <c r="N1083" s="31"/>
      <c r="O1083" s="31">
        <v>7.75</v>
      </c>
      <c r="P1083" s="29">
        <v>6</v>
      </c>
      <c r="Q1083" s="29">
        <v>9.5</v>
      </c>
    </row>
    <row r="1084" spans="1:17" x14ac:dyDescent="0.35">
      <c r="A1084" s="26">
        <v>40000002636</v>
      </c>
      <c r="B1084" s="31">
        <v>1</v>
      </c>
      <c r="C1084" s="29" t="str">
        <f>LOOKUP(A1084,'QALS - Inspection Lot Record'!$A$2:$A$361,'QALS - Inspection Lot Record'!$O$2:$O$361)</f>
        <v>Metformin Tablets (200 MG)</v>
      </c>
      <c r="D1084" s="31">
        <v>30</v>
      </c>
      <c r="E1084" s="29" t="s">
        <v>401</v>
      </c>
      <c r="F1084" s="29" t="str">
        <f>LOOKUP(A1084,'QALS - Inspection Lot Record'!A:A,'QALS - Inspection Lot Record'!G:G)</f>
        <v>TG509538</v>
      </c>
      <c r="G1084" s="59">
        <f ca="1">LOOKUP(A1084,'QALS - Inspection Lot Record'!A:A,'QALS - Inspection Lot Record'!E:E)</f>
        <v>45937</v>
      </c>
      <c r="H1084" s="34" t="str">
        <f t="shared" si="85"/>
        <v>A</v>
      </c>
      <c r="I1084" s="29" t="str">
        <f t="shared" si="81"/>
        <v>TG509538</v>
      </c>
      <c r="J1084" s="59">
        <f t="shared" ca="1" si="82"/>
        <v>45937</v>
      </c>
      <c r="K1084" s="30">
        <f ca="1">LOOKUP(A1084,'QALS - Inspection Lot Record'!A:A,'QALS - Inspection Lot Record'!I:I)</f>
        <v>0.26775462962962965</v>
      </c>
      <c r="L1084" s="59">
        <f t="shared" ca="1" si="83"/>
        <v>45937</v>
      </c>
      <c r="M1084" s="30">
        <f t="shared" ca="1" si="84"/>
        <v>0.29574074074074075</v>
      </c>
      <c r="N1084" s="11" t="s">
        <v>402</v>
      </c>
      <c r="O1084" s="31"/>
      <c r="P1084" s="29"/>
      <c r="Q1084" s="29"/>
    </row>
    <row r="1085" spans="1:17" x14ac:dyDescent="0.35">
      <c r="A1085" s="26">
        <v>40000002636</v>
      </c>
      <c r="B1085" s="31">
        <v>1</v>
      </c>
      <c r="C1085" s="29" t="str">
        <f>LOOKUP(A1085,'QALS - Inspection Lot Record'!$A$2:$A$361,'QALS - Inspection Lot Record'!$O$2:$O$361)</f>
        <v>Metformin Tablets (200 MG)</v>
      </c>
      <c r="D1085" s="31">
        <v>40</v>
      </c>
      <c r="E1085" s="29" t="s">
        <v>403</v>
      </c>
      <c r="F1085" s="29" t="str">
        <f>LOOKUP(A1085,'QALS - Inspection Lot Record'!A:A,'QALS - Inspection Lot Record'!G:G)</f>
        <v>TG509538</v>
      </c>
      <c r="G1085" s="59">
        <f ca="1">LOOKUP(A1085,'QALS - Inspection Lot Record'!A:A,'QALS - Inspection Lot Record'!E:E)</f>
        <v>45937</v>
      </c>
      <c r="H1085" s="34" t="str">
        <f t="shared" si="85"/>
        <v>A</v>
      </c>
      <c r="I1085" s="29" t="str">
        <f t="shared" si="81"/>
        <v>TG509538</v>
      </c>
      <c r="J1085" s="59">
        <f t="shared" ca="1" si="82"/>
        <v>45937</v>
      </c>
      <c r="K1085" s="30">
        <f ca="1">LOOKUP(A1085,'QALS - Inspection Lot Record'!A:A,'QALS - Inspection Lot Record'!I:I)</f>
        <v>0.26775462962962965</v>
      </c>
      <c r="L1085" s="59">
        <f t="shared" ca="1" si="83"/>
        <v>45937</v>
      </c>
      <c r="M1085" s="30">
        <f t="shared" ca="1" si="84"/>
        <v>0.30305555555555558</v>
      </c>
      <c r="N1085" s="31"/>
      <c r="O1085" s="31">
        <v>0</v>
      </c>
      <c r="P1085" s="29">
        <v>0</v>
      </c>
      <c r="Q1085" s="29">
        <v>2</v>
      </c>
    </row>
    <row r="1086" spans="1:17" x14ac:dyDescent="0.35">
      <c r="A1086" s="26">
        <v>40000002636</v>
      </c>
      <c r="B1086" s="31">
        <v>1</v>
      </c>
      <c r="C1086" s="29" t="str">
        <f>LOOKUP(A1086,'QALS - Inspection Lot Record'!$A$2:$A$361,'QALS - Inspection Lot Record'!$O$2:$O$361)</f>
        <v>Metformin Tablets (200 MG)</v>
      </c>
      <c r="D1086" s="31">
        <v>50</v>
      </c>
      <c r="E1086" s="29" t="s">
        <v>404</v>
      </c>
      <c r="F1086" s="29" t="str">
        <f>LOOKUP(A1086,'QALS - Inspection Lot Record'!A:A,'QALS - Inspection Lot Record'!G:G)</f>
        <v>TG509538</v>
      </c>
      <c r="G1086" s="59">
        <f ca="1">LOOKUP(A1086,'QALS - Inspection Lot Record'!A:A,'QALS - Inspection Lot Record'!E:E)</f>
        <v>45937</v>
      </c>
      <c r="H1086" s="34" t="str">
        <f t="shared" si="85"/>
        <v>R</v>
      </c>
      <c r="I1086" s="29" t="str">
        <f t="shared" si="81"/>
        <v>TG509538</v>
      </c>
      <c r="J1086" s="59">
        <f t="shared" ca="1" si="82"/>
        <v>45937</v>
      </c>
      <c r="K1086" s="30">
        <f ca="1">LOOKUP(A1086,'QALS - Inspection Lot Record'!A:A,'QALS - Inspection Lot Record'!I:I)</f>
        <v>0.26775462962962965</v>
      </c>
      <c r="L1086" s="59">
        <f t="shared" ca="1" si="83"/>
        <v>45937</v>
      </c>
      <c r="M1086" s="30">
        <f t="shared" ca="1" si="84"/>
        <v>0.29681712962962964</v>
      </c>
      <c r="N1086" s="31"/>
      <c r="O1086" s="31">
        <v>38.9</v>
      </c>
      <c r="P1086" s="29">
        <v>40</v>
      </c>
      <c r="Q1086" s="29">
        <v>60</v>
      </c>
    </row>
    <row r="1087" spans="1:17" x14ac:dyDescent="0.35">
      <c r="A1087" s="26">
        <v>40000002636</v>
      </c>
      <c r="B1087" s="31">
        <v>1</v>
      </c>
      <c r="C1087" s="29" t="str">
        <f>LOOKUP(A1087,'QALS - Inspection Lot Record'!$A$2:$A$361,'QALS - Inspection Lot Record'!$O$2:$O$361)</f>
        <v>Metformin Tablets (200 MG)</v>
      </c>
      <c r="D1087" s="31">
        <v>60</v>
      </c>
      <c r="E1087" s="29" t="s">
        <v>405</v>
      </c>
      <c r="F1087" s="29" t="str">
        <f>LOOKUP(A1087,'QALS - Inspection Lot Record'!A:A,'QALS - Inspection Lot Record'!G:G)</f>
        <v>TG509538</v>
      </c>
      <c r="G1087" s="59">
        <f ca="1">LOOKUP(A1087,'QALS - Inspection Lot Record'!A:A,'QALS - Inspection Lot Record'!E:E)</f>
        <v>45937</v>
      </c>
      <c r="H1087" s="34" t="str">
        <f t="shared" si="85"/>
        <v>A</v>
      </c>
      <c r="I1087" s="29" t="str">
        <f t="shared" si="81"/>
        <v>TG509538</v>
      </c>
      <c r="J1087" s="59">
        <f t="shared" ca="1" si="82"/>
        <v>45937</v>
      </c>
      <c r="K1087" s="30">
        <f ca="1">LOOKUP(A1087,'QALS - Inspection Lot Record'!A:A,'QALS - Inspection Lot Record'!I:I)</f>
        <v>0.26775462962962965</v>
      </c>
      <c r="L1087" s="59">
        <f t="shared" ca="1" si="83"/>
        <v>45937</v>
      </c>
      <c r="M1087" s="30">
        <f t="shared" ca="1" si="84"/>
        <v>0.30077546296296298</v>
      </c>
      <c r="N1087" s="31"/>
      <c r="O1087" s="31">
        <v>77.5</v>
      </c>
      <c r="P1087" s="29">
        <v>70</v>
      </c>
      <c r="Q1087" s="29">
        <v>85</v>
      </c>
    </row>
    <row r="1088" spans="1:17" x14ac:dyDescent="0.35">
      <c r="A1088" s="26">
        <v>40000002636</v>
      </c>
      <c r="B1088" s="31">
        <v>1</v>
      </c>
      <c r="C1088" s="29" t="str">
        <f>LOOKUP(A1088,'QALS - Inspection Lot Record'!$A$2:$A$361,'QALS - Inspection Lot Record'!$O$2:$O$361)</f>
        <v>Metformin Tablets (200 MG)</v>
      </c>
      <c r="D1088" s="31">
        <v>70</v>
      </c>
      <c r="E1088" s="29" t="s">
        <v>406</v>
      </c>
      <c r="F1088" s="29" t="str">
        <f>LOOKUP(A1088,'QALS - Inspection Lot Record'!A:A,'QALS - Inspection Lot Record'!G:G)</f>
        <v>TG509538</v>
      </c>
      <c r="G1088" s="59">
        <f ca="1">LOOKUP(A1088,'QALS - Inspection Lot Record'!A:A,'QALS - Inspection Lot Record'!E:E)</f>
        <v>45937</v>
      </c>
      <c r="H1088" s="34" t="str">
        <f t="shared" si="85"/>
        <v>A</v>
      </c>
      <c r="I1088" s="29" t="str">
        <f t="shared" si="81"/>
        <v>TG509538</v>
      </c>
      <c r="J1088" s="59">
        <f t="shared" ca="1" si="82"/>
        <v>45937</v>
      </c>
      <c r="K1088" s="30">
        <f ca="1">LOOKUP(A1088,'QALS - Inspection Lot Record'!A:A,'QALS - Inspection Lot Record'!I:I)</f>
        <v>0.26775462962962965</v>
      </c>
      <c r="L1088" s="59">
        <f t="shared" ca="1" si="83"/>
        <v>45937</v>
      </c>
      <c r="M1088" s="30">
        <f t="shared" ca="1" si="84"/>
        <v>0.30292824074074076</v>
      </c>
      <c r="N1088" s="31"/>
      <c r="O1088" s="31">
        <v>85</v>
      </c>
      <c r="P1088" s="29">
        <v>80</v>
      </c>
      <c r="Q1088" s="29">
        <v>90</v>
      </c>
    </row>
    <row r="1089" spans="1:17" x14ac:dyDescent="0.35">
      <c r="A1089" s="26">
        <v>40000002636</v>
      </c>
      <c r="B1089" s="31">
        <v>1</v>
      </c>
      <c r="C1089" s="29" t="str">
        <f>LOOKUP(A1089,'QALS - Inspection Lot Record'!$A$2:$A$361,'QALS - Inspection Lot Record'!$O$2:$O$361)</f>
        <v>Metformin Tablets (200 MG)</v>
      </c>
      <c r="D1089" s="31">
        <v>80</v>
      </c>
      <c r="E1089" s="29" t="s">
        <v>407</v>
      </c>
      <c r="F1089" s="29" t="str">
        <f>LOOKUP(A1089,'QALS - Inspection Lot Record'!A:A,'QALS - Inspection Lot Record'!G:G)</f>
        <v>TG509538</v>
      </c>
      <c r="G1089" s="59">
        <f ca="1">LOOKUP(A1089,'QALS - Inspection Lot Record'!A:A,'QALS - Inspection Lot Record'!E:E)</f>
        <v>45937</v>
      </c>
      <c r="H1089" s="34" t="str">
        <f t="shared" si="85"/>
        <v>A</v>
      </c>
      <c r="I1089" s="29" t="str">
        <f t="shared" si="81"/>
        <v>TG509538</v>
      </c>
      <c r="J1089" s="59">
        <f t="shared" ca="1" si="82"/>
        <v>45937</v>
      </c>
      <c r="K1089" s="30">
        <f ca="1">LOOKUP(A1089,'QALS - Inspection Lot Record'!A:A,'QALS - Inspection Lot Record'!I:I)</f>
        <v>0.26775462962962965</v>
      </c>
      <c r="L1089" s="59">
        <f t="shared" ca="1" si="83"/>
        <v>45937</v>
      </c>
      <c r="M1089" s="30">
        <f t="shared" ca="1" si="84"/>
        <v>0.29959490740740741</v>
      </c>
      <c r="N1089" s="31"/>
      <c r="O1089" s="31">
        <v>25.5</v>
      </c>
      <c r="P1089" s="29">
        <v>23</v>
      </c>
      <c r="Q1089" s="29">
        <v>28</v>
      </c>
    </row>
    <row r="1090" spans="1:17" x14ac:dyDescent="0.35">
      <c r="A1090" s="26">
        <v>40000002637</v>
      </c>
      <c r="B1090" s="27">
        <v>1</v>
      </c>
      <c r="C1090" s="29" t="str">
        <f>LOOKUP(A1090,'QALS - Inspection Lot Record'!$A$2:$A$361,'QALS - Inspection Lot Record'!$O$2:$O$361)</f>
        <v>Metformin Tablets (100 MG)</v>
      </c>
      <c r="D1090" s="27">
        <v>10</v>
      </c>
      <c r="E1090" s="26" t="s">
        <v>399</v>
      </c>
      <c r="F1090" s="29" t="str">
        <f>LOOKUP(A1090,'QALS - Inspection Lot Record'!A:A,'QALS - Inspection Lot Record'!G:G)</f>
        <v>ZK384180</v>
      </c>
      <c r="G1090" s="59">
        <f ca="1">LOOKUP(A1090,'QALS - Inspection Lot Record'!A:A,'QALS - Inspection Lot Record'!E:E)</f>
        <v>45938</v>
      </c>
      <c r="H1090" s="34" t="str">
        <f t="shared" si="85"/>
        <v>R</v>
      </c>
      <c r="I1090" s="29" t="str">
        <f t="shared" ref="I1090:I1153" si="86">F1090</f>
        <v>ZK384180</v>
      </c>
      <c r="J1090" s="59">
        <f t="shared" ref="J1090:J1153" ca="1" si="87">G1090</f>
        <v>45938</v>
      </c>
      <c r="K1090" s="30">
        <f ca="1">LOOKUP(A1090,'QALS - Inspection Lot Record'!A:A,'QALS - Inspection Lot Record'!I:I)</f>
        <v>0.60315972222222225</v>
      </c>
      <c r="L1090" s="59">
        <f t="shared" ref="L1090:L1153" ca="1" si="88">G1090</f>
        <v>45938</v>
      </c>
      <c r="M1090" s="30">
        <f t="shared" ref="M1090:M1153" ca="1" si="89">K1090+TIME(0,RANDBETWEEN(25,50),RANDBETWEEN(0,59))</f>
        <v>0.63126157407407413</v>
      </c>
      <c r="N1090" s="31"/>
      <c r="O1090" s="31">
        <v>93.2</v>
      </c>
      <c r="P1090" s="29">
        <v>95</v>
      </c>
      <c r="Q1090" s="29">
        <v>102</v>
      </c>
    </row>
    <row r="1091" spans="1:17" x14ac:dyDescent="0.35">
      <c r="A1091" s="26">
        <v>40000002637</v>
      </c>
      <c r="B1091" s="27">
        <v>1</v>
      </c>
      <c r="C1091" s="29" t="str">
        <f>LOOKUP(A1091,'QALS - Inspection Lot Record'!$A$2:$A$361,'QALS - Inspection Lot Record'!$O$2:$O$361)</f>
        <v>Metformin Tablets (100 MG)</v>
      </c>
      <c r="D1091" s="31">
        <v>20</v>
      </c>
      <c r="E1091" s="29" t="s">
        <v>400</v>
      </c>
      <c r="F1091" s="29" t="str">
        <f>LOOKUP(A1091,'QALS - Inspection Lot Record'!A:A,'QALS - Inspection Lot Record'!G:G)</f>
        <v>ZK384180</v>
      </c>
      <c r="G1091" s="59">
        <f ca="1">LOOKUP(A1091,'QALS - Inspection Lot Record'!A:A,'QALS - Inspection Lot Record'!E:E)</f>
        <v>45938</v>
      </c>
      <c r="H1091" s="34" t="str">
        <f t="shared" si="85"/>
        <v>A</v>
      </c>
      <c r="I1091" s="29" t="str">
        <f t="shared" si="86"/>
        <v>ZK384180</v>
      </c>
      <c r="J1091" s="59">
        <f t="shared" ca="1" si="87"/>
        <v>45938</v>
      </c>
      <c r="K1091" s="30">
        <f ca="1">LOOKUP(A1091,'QALS - Inspection Lot Record'!A:A,'QALS - Inspection Lot Record'!I:I)</f>
        <v>0.60315972222222225</v>
      </c>
      <c r="L1091" s="59">
        <f t="shared" ca="1" si="88"/>
        <v>45938</v>
      </c>
      <c r="M1091" s="30">
        <f t="shared" ca="1" si="89"/>
        <v>0.62731481481481488</v>
      </c>
      <c r="N1091" s="31"/>
      <c r="O1091" s="31">
        <v>7.3</v>
      </c>
      <c r="P1091" s="29">
        <v>3.5</v>
      </c>
      <c r="Q1091" s="29">
        <v>11</v>
      </c>
    </row>
    <row r="1092" spans="1:17" x14ac:dyDescent="0.35">
      <c r="A1092" s="26">
        <v>40000002637</v>
      </c>
      <c r="B1092" s="31">
        <v>1</v>
      </c>
      <c r="C1092" s="29" t="str">
        <f>LOOKUP(A1092,'QALS - Inspection Lot Record'!$A$2:$A$361,'QALS - Inspection Lot Record'!$O$2:$O$361)</f>
        <v>Metformin Tablets (100 MG)</v>
      </c>
      <c r="D1092" s="31">
        <v>30</v>
      </c>
      <c r="E1092" s="29" t="s">
        <v>401</v>
      </c>
      <c r="F1092" s="29" t="str">
        <f>LOOKUP(A1092,'QALS - Inspection Lot Record'!A:A,'QALS - Inspection Lot Record'!G:G)</f>
        <v>ZK384180</v>
      </c>
      <c r="G1092" s="59">
        <f ca="1">LOOKUP(A1092,'QALS - Inspection Lot Record'!A:A,'QALS - Inspection Lot Record'!E:E)</f>
        <v>45938</v>
      </c>
      <c r="H1092" s="34" t="str">
        <f t="shared" si="85"/>
        <v>A</v>
      </c>
      <c r="I1092" s="29" t="str">
        <f t="shared" si="86"/>
        <v>ZK384180</v>
      </c>
      <c r="J1092" s="59">
        <f t="shared" ca="1" si="87"/>
        <v>45938</v>
      </c>
      <c r="K1092" s="30">
        <f ca="1">LOOKUP(A1092,'QALS - Inspection Lot Record'!A:A,'QALS - Inspection Lot Record'!I:I)</f>
        <v>0.60315972222222225</v>
      </c>
      <c r="L1092" s="59">
        <f t="shared" ca="1" si="88"/>
        <v>45938</v>
      </c>
      <c r="M1092" s="30">
        <f t="shared" ca="1" si="89"/>
        <v>0.6236342592592593</v>
      </c>
      <c r="N1092" s="11" t="s">
        <v>402</v>
      </c>
      <c r="O1092" s="31"/>
      <c r="P1092" s="29"/>
      <c r="Q1092" s="29"/>
    </row>
    <row r="1093" spans="1:17" x14ac:dyDescent="0.35">
      <c r="A1093" s="26">
        <v>40000002637</v>
      </c>
      <c r="B1093" s="31">
        <v>1</v>
      </c>
      <c r="C1093" s="29" t="str">
        <f>LOOKUP(A1093,'QALS - Inspection Lot Record'!$A$2:$A$361,'QALS - Inspection Lot Record'!$O$2:$O$361)</f>
        <v>Metformin Tablets (100 MG)</v>
      </c>
      <c r="D1093" s="31">
        <v>40</v>
      </c>
      <c r="E1093" s="29" t="s">
        <v>403</v>
      </c>
      <c r="F1093" s="29" t="str">
        <f>LOOKUP(A1093,'QALS - Inspection Lot Record'!A:A,'QALS - Inspection Lot Record'!G:G)</f>
        <v>ZK384180</v>
      </c>
      <c r="G1093" s="59">
        <f ca="1">LOOKUP(A1093,'QALS - Inspection Lot Record'!A:A,'QALS - Inspection Lot Record'!E:E)</f>
        <v>45938</v>
      </c>
      <c r="H1093" s="34" t="str">
        <f t="shared" si="85"/>
        <v>A</v>
      </c>
      <c r="I1093" s="29" t="str">
        <f t="shared" si="86"/>
        <v>ZK384180</v>
      </c>
      <c r="J1093" s="59">
        <f t="shared" ca="1" si="87"/>
        <v>45938</v>
      </c>
      <c r="K1093" s="30">
        <f ca="1">LOOKUP(A1093,'QALS - Inspection Lot Record'!A:A,'QALS - Inspection Lot Record'!I:I)</f>
        <v>0.60315972222222225</v>
      </c>
      <c r="L1093" s="59">
        <f t="shared" ca="1" si="88"/>
        <v>45938</v>
      </c>
      <c r="M1093" s="30">
        <f t="shared" ca="1" si="89"/>
        <v>0.62361111111111112</v>
      </c>
      <c r="N1093" s="31"/>
      <c r="O1093" s="31">
        <v>0.5</v>
      </c>
      <c r="P1093" s="29">
        <v>0</v>
      </c>
      <c r="Q1093" s="29">
        <v>1</v>
      </c>
    </row>
    <row r="1094" spans="1:17" x14ac:dyDescent="0.35">
      <c r="A1094" s="26">
        <v>40000002637</v>
      </c>
      <c r="B1094" s="31">
        <v>1</v>
      </c>
      <c r="C1094" s="29" t="str">
        <f>LOOKUP(A1094,'QALS - Inspection Lot Record'!$A$2:$A$361,'QALS - Inspection Lot Record'!$O$2:$O$361)</f>
        <v>Metformin Tablets (100 MG)</v>
      </c>
      <c r="D1094" s="31">
        <v>50</v>
      </c>
      <c r="E1094" s="29" t="s">
        <v>404</v>
      </c>
      <c r="F1094" s="29" t="str">
        <f>LOOKUP(A1094,'QALS - Inspection Lot Record'!A:A,'QALS - Inspection Lot Record'!G:G)</f>
        <v>ZK384180</v>
      </c>
      <c r="G1094" s="59">
        <f ca="1">LOOKUP(A1094,'QALS - Inspection Lot Record'!A:A,'QALS - Inspection Lot Record'!E:E)</f>
        <v>45938</v>
      </c>
      <c r="H1094" s="34" t="str">
        <f t="shared" si="85"/>
        <v>A</v>
      </c>
      <c r="I1094" s="29" t="str">
        <f t="shared" si="86"/>
        <v>ZK384180</v>
      </c>
      <c r="J1094" s="59">
        <f t="shared" ca="1" si="87"/>
        <v>45938</v>
      </c>
      <c r="K1094" s="30">
        <f ca="1">LOOKUP(A1094,'QALS - Inspection Lot Record'!A:A,'QALS - Inspection Lot Record'!I:I)</f>
        <v>0.60315972222222225</v>
      </c>
      <c r="L1094" s="59">
        <f t="shared" ca="1" si="88"/>
        <v>45938</v>
      </c>
      <c r="M1094" s="30">
        <f t="shared" ca="1" si="89"/>
        <v>0.62369212962962961</v>
      </c>
      <c r="N1094" s="31"/>
      <c r="O1094" s="31">
        <v>41.4</v>
      </c>
      <c r="P1094" s="29">
        <v>40</v>
      </c>
      <c r="Q1094" s="29">
        <v>60</v>
      </c>
    </row>
    <row r="1095" spans="1:17" x14ac:dyDescent="0.35">
      <c r="A1095" s="26">
        <v>40000002637</v>
      </c>
      <c r="B1095" s="31">
        <v>1</v>
      </c>
      <c r="C1095" s="29" t="str">
        <f>LOOKUP(A1095,'QALS - Inspection Lot Record'!$A$2:$A$361,'QALS - Inspection Lot Record'!$O$2:$O$361)</f>
        <v>Metformin Tablets (100 MG)</v>
      </c>
      <c r="D1095" s="31">
        <v>60</v>
      </c>
      <c r="E1095" s="29" t="s">
        <v>405</v>
      </c>
      <c r="F1095" s="29" t="str">
        <f>LOOKUP(A1095,'QALS - Inspection Lot Record'!A:A,'QALS - Inspection Lot Record'!G:G)</f>
        <v>ZK384180</v>
      </c>
      <c r="G1095" s="59">
        <f ca="1">LOOKUP(A1095,'QALS - Inspection Lot Record'!A:A,'QALS - Inspection Lot Record'!E:E)</f>
        <v>45938</v>
      </c>
      <c r="H1095" s="34" t="str">
        <f t="shared" si="85"/>
        <v>A</v>
      </c>
      <c r="I1095" s="29" t="str">
        <f t="shared" si="86"/>
        <v>ZK384180</v>
      </c>
      <c r="J1095" s="59">
        <f t="shared" ca="1" si="87"/>
        <v>45938</v>
      </c>
      <c r="K1095" s="30">
        <f ca="1">LOOKUP(A1095,'QALS - Inspection Lot Record'!A:A,'QALS - Inspection Lot Record'!I:I)</f>
        <v>0.60315972222222225</v>
      </c>
      <c r="L1095" s="59">
        <f t="shared" ca="1" si="88"/>
        <v>45938</v>
      </c>
      <c r="M1095" s="30">
        <f t="shared" ca="1" si="89"/>
        <v>0.63365740740740739</v>
      </c>
      <c r="N1095" s="31"/>
      <c r="O1095" s="31">
        <v>71.099999999999994</v>
      </c>
      <c r="P1095" s="29">
        <v>70</v>
      </c>
      <c r="Q1095" s="29">
        <v>85</v>
      </c>
    </row>
    <row r="1096" spans="1:17" x14ac:dyDescent="0.35">
      <c r="A1096" s="26">
        <v>40000002637</v>
      </c>
      <c r="B1096" s="31">
        <v>1</v>
      </c>
      <c r="C1096" s="29" t="str">
        <f>LOOKUP(A1096,'QALS - Inspection Lot Record'!$A$2:$A$361,'QALS - Inspection Lot Record'!$O$2:$O$361)</f>
        <v>Metformin Tablets (100 MG)</v>
      </c>
      <c r="D1096" s="31">
        <v>70</v>
      </c>
      <c r="E1096" s="29" t="s">
        <v>406</v>
      </c>
      <c r="F1096" s="29" t="str">
        <f>LOOKUP(A1096,'QALS - Inspection Lot Record'!A:A,'QALS - Inspection Lot Record'!G:G)</f>
        <v>ZK384180</v>
      </c>
      <c r="G1096" s="59">
        <f ca="1">LOOKUP(A1096,'QALS - Inspection Lot Record'!A:A,'QALS - Inspection Lot Record'!E:E)</f>
        <v>45938</v>
      </c>
      <c r="H1096" s="34" t="str">
        <f t="shared" si="85"/>
        <v>A</v>
      </c>
      <c r="I1096" s="29" t="str">
        <f t="shared" si="86"/>
        <v>ZK384180</v>
      </c>
      <c r="J1096" s="59">
        <f t="shared" ca="1" si="87"/>
        <v>45938</v>
      </c>
      <c r="K1096" s="30">
        <f ca="1">LOOKUP(A1096,'QALS - Inspection Lot Record'!A:A,'QALS - Inspection Lot Record'!I:I)</f>
        <v>0.60315972222222225</v>
      </c>
      <c r="L1096" s="59">
        <f t="shared" ca="1" si="88"/>
        <v>45938</v>
      </c>
      <c r="M1096" s="30">
        <f t="shared" ca="1" si="89"/>
        <v>0.63118055555555563</v>
      </c>
      <c r="N1096" s="31"/>
      <c r="O1096" s="31">
        <v>81.400000000000006</v>
      </c>
      <c r="P1096" s="29">
        <v>80</v>
      </c>
      <c r="Q1096" s="29">
        <v>90</v>
      </c>
    </row>
    <row r="1097" spans="1:17" x14ac:dyDescent="0.35">
      <c r="A1097" s="26">
        <v>40000002637</v>
      </c>
      <c r="B1097" s="31">
        <v>1</v>
      </c>
      <c r="C1097" s="29" t="str">
        <f>LOOKUP(A1097,'QALS - Inspection Lot Record'!$A$2:$A$361,'QALS - Inspection Lot Record'!$O$2:$O$361)</f>
        <v>Metformin Tablets (100 MG)</v>
      </c>
      <c r="D1097" s="31">
        <v>80</v>
      </c>
      <c r="E1097" s="29" t="s">
        <v>407</v>
      </c>
      <c r="F1097" s="29" t="str">
        <f>LOOKUP(A1097,'QALS - Inspection Lot Record'!A:A,'QALS - Inspection Lot Record'!G:G)</f>
        <v>ZK384180</v>
      </c>
      <c r="G1097" s="59">
        <f ca="1">LOOKUP(A1097,'QALS - Inspection Lot Record'!A:A,'QALS - Inspection Lot Record'!E:E)</f>
        <v>45938</v>
      </c>
      <c r="H1097" s="34" t="str">
        <f t="shared" si="85"/>
        <v>A</v>
      </c>
      <c r="I1097" s="29" t="str">
        <f t="shared" si="86"/>
        <v>ZK384180</v>
      </c>
      <c r="J1097" s="59">
        <f t="shared" ca="1" si="87"/>
        <v>45938</v>
      </c>
      <c r="K1097" s="30">
        <f ca="1">LOOKUP(A1097,'QALS - Inspection Lot Record'!A:A,'QALS - Inspection Lot Record'!I:I)</f>
        <v>0.60315972222222225</v>
      </c>
      <c r="L1097" s="59">
        <f t="shared" ca="1" si="88"/>
        <v>45938</v>
      </c>
      <c r="M1097" s="30">
        <f t="shared" ca="1" si="89"/>
        <v>0.63629629629629636</v>
      </c>
      <c r="N1097" s="31"/>
      <c r="O1097" s="31">
        <v>24</v>
      </c>
      <c r="P1097" s="29">
        <v>23</v>
      </c>
      <c r="Q1097" s="29">
        <v>25</v>
      </c>
    </row>
    <row r="1098" spans="1:17" x14ac:dyDescent="0.35">
      <c r="A1098" s="26">
        <v>40000002638</v>
      </c>
      <c r="B1098" s="27">
        <v>1</v>
      </c>
      <c r="C1098" s="29" t="str">
        <f>LOOKUP(A1098,'QALS - Inspection Lot Record'!$A$2:$A$361,'QALS - Inspection Lot Record'!$O$2:$O$361)</f>
        <v>Ibuprofen Tablets (100 MG)</v>
      </c>
      <c r="D1098" s="27">
        <v>10</v>
      </c>
      <c r="E1098" s="26" t="s">
        <v>399</v>
      </c>
      <c r="F1098" s="29" t="str">
        <f>LOOKUP(A1098,'QALS - Inspection Lot Record'!A:A,'QALS - Inspection Lot Record'!G:G)</f>
        <v>YA284176</v>
      </c>
      <c r="G1098" s="59">
        <f ca="1">LOOKUP(A1098,'QALS - Inspection Lot Record'!A:A,'QALS - Inspection Lot Record'!E:E)</f>
        <v>45938</v>
      </c>
      <c r="H1098" s="34" t="str">
        <f t="shared" ref="H1098:H1161" si="90">IF(AND(P1098&lt;=O1098,O1098&lt;=Q1098),"A","R")</f>
        <v>R</v>
      </c>
      <c r="I1098" s="29" t="str">
        <f t="shared" si="86"/>
        <v>YA284176</v>
      </c>
      <c r="J1098" s="59">
        <f t="shared" ca="1" si="87"/>
        <v>45938</v>
      </c>
      <c r="K1098" s="30">
        <f ca="1">LOOKUP(A1098,'QALS - Inspection Lot Record'!A:A,'QALS - Inspection Lot Record'!I:I)</f>
        <v>0.3896412037037037</v>
      </c>
      <c r="L1098" s="59">
        <f t="shared" ca="1" si="88"/>
        <v>45938</v>
      </c>
      <c r="M1098" s="30">
        <f t="shared" ca="1" si="89"/>
        <v>0.42127314814814815</v>
      </c>
      <c r="N1098" s="31"/>
      <c r="O1098" s="31">
        <v>93.5</v>
      </c>
      <c r="P1098" s="29">
        <v>95</v>
      </c>
      <c r="Q1098" s="29">
        <v>102</v>
      </c>
    </row>
    <row r="1099" spans="1:17" x14ac:dyDescent="0.35">
      <c r="A1099" s="26">
        <v>40000002638</v>
      </c>
      <c r="B1099" s="27">
        <v>1</v>
      </c>
      <c r="C1099" s="29" t="str">
        <f>LOOKUP(A1099,'QALS - Inspection Lot Record'!$A$2:$A$361,'QALS - Inspection Lot Record'!$O$2:$O$361)</f>
        <v>Ibuprofen Tablets (100 MG)</v>
      </c>
      <c r="D1099" s="31">
        <v>20</v>
      </c>
      <c r="E1099" s="29" t="s">
        <v>400</v>
      </c>
      <c r="F1099" s="29" t="str">
        <f>LOOKUP(A1099,'QALS - Inspection Lot Record'!A:A,'QALS - Inspection Lot Record'!G:G)</f>
        <v>YA284176</v>
      </c>
      <c r="G1099" s="59">
        <f ca="1">LOOKUP(A1099,'QALS - Inspection Lot Record'!A:A,'QALS - Inspection Lot Record'!E:E)</f>
        <v>45938</v>
      </c>
      <c r="H1099" s="34" t="str">
        <f t="shared" si="90"/>
        <v>A</v>
      </c>
      <c r="I1099" s="29" t="str">
        <f t="shared" si="86"/>
        <v>YA284176</v>
      </c>
      <c r="J1099" s="59">
        <f t="shared" ca="1" si="87"/>
        <v>45938</v>
      </c>
      <c r="K1099" s="30">
        <f ca="1">LOOKUP(A1099,'QALS - Inspection Lot Record'!A:A,'QALS - Inspection Lot Record'!I:I)</f>
        <v>0.3896412037037037</v>
      </c>
      <c r="L1099" s="59">
        <f t="shared" ca="1" si="88"/>
        <v>45938</v>
      </c>
      <c r="M1099" s="30">
        <f t="shared" ca="1" si="89"/>
        <v>0.40982638888888889</v>
      </c>
      <c r="N1099" s="31"/>
      <c r="O1099" s="31">
        <v>7.3</v>
      </c>
      <c r="P1099" s="29">
        <v>3.5</v>
      </c>
      <c r="Q1099" s="29">
        <v>11</v>
      </c>
    </row>
    <row r="1100" spans="1:17" x14ac:dyDescent="0.35">
      <c r="A1100" s="26">
        <v>40000002638</v>
      </c>
      <c r="B1100" s="31">
        <v>1</v>
      </c>
      <c r="C1100" s="29" t="str">
        <f>LOOKUP(A1100,'QALS - Inspection Lot Record'!$A$2:$A$361,'QALS - Inspection Lot Record'!$O$2:$O$361)</f>
        <v>Ibuprofen Tablets (100 MG)</v>
      </c>
      <c r="D1100" s="31">
        <v>30</v>
      </c>
      <c r="E1100" s="29" t="s">
        <v>401</v>
      </c>
      <c r="F1100" s="29" t="str">
        <f>LOOKUP(A1100,'QALS - Inspection Lot Record'!A:A,'QALS - Inspection Lot Record'!G:G)</f>
        <v>YA284176</v>
      </c>
      <c r="G1100" s="59">
        <f ca="1">LOOKUP(A1100,'QALS - Inspection Lot Record'!A:A,'QALS - Inspection Lot Record'!E:E)</f>
        <v>45938</v>
      </c>
      <c r="H1100" s="34" t="str">
        <f t="shared" si="90"/>
        <v>A</v>
      </c>
      <c r="I1100" s="29" t="str">
        <f t="shared" si="86"/>
        <v>YA284176</v>
      </c>
      <c r="J1100" s="59">
        <f t="shared" ca="1" si="87"/>
        <v>45938</v>
      </c>
      <c r="K1100" s="30">
        <f ca="1">LOOKUP(A1100,'QALS - Inspection Lot Record'!A:A,'QALS - Inspection Lot Record'!I:I)</f>
        <v>0.3896412037037037</v>
      </c>
      <c r="L1100" s="59">
        <f t="shared" ca="1" si="88"/>
        <v>45938</v>
      </c>
      <c r="M1100" s="30">
        <f t="shared" ca="1" si="89"/>
        <v>0.42313657407407407</v>
      </c>
      <c r="N1100" s="11" t="s">
        <v>402</v>
      </c>
      <c r="O1100" s="31"/>
      <c r="P1100" s="29"/>
      <c r="Q1100" s="29"/>
    </row>
    <row r="1101" spans="1:17" x14ac:dyDescent="0.35">
      <c r="A1101" s="26">
        <v>40000002638</v>
      </c>
      <c r="B1101" s="31">
        <v>1</v>
      </c>
      <c r="C1101" s="29" t="str">
        <f>LOOKUP(A1101,'QALS - Inspection Lot Record'!$A$2:$A$361,'QALS - Inspection Lot Record'!$O$2:$O$361)</f>
        <v>Ibuprofen Tablets (100 MG)</v>
      </c>
      <c r="D1101" s="31">
        <v>40</v>
      </c>
      <c r="E1101" s="29" t="s">
        <v>403</v>
      </c>
      <c r="F1101" s="29" t="str">
        <f>LOOKUP(A1101,'QALS - Inspection Lot Record'!A:A,'QALS - Inspection Lot Record'!G:G)</f>
        <v>YA284176</v>
      </c>
      <c r="G1101" s="59">
        <f ca="1">LOOKUP(A1101,'QALS - Inspection Lot Record'!A:A,'QALS - Inspection Lot Record'!E:E)</f>
        <v>45938</v>
      </c>
      <c r="H1101" s="34" t="str">
        <f t="shared" si="90"/>
        <v>A</v>
      </c>
      <c r="I1101" s="29" t="str">
        <f t="shared" si="86"/>
        <v>YA284176</v>
      </c>
      <c r="J1101" s="59">
        <f t="shared" ca="1" si="87"/>
        <v>45938</v>
      </c>
      <c r="K1101" s="30">
        <f ca="1">LOOKUP(A1101,'QALS - Inspection Lot Record'!A:A,'QALS - Inspection Lot Record'!I:I)</f>
        <v>0.3896412037037037</v>
      </c>
      <c r="L1101" s="59">
        <f t="shared" ca="1" si="88"/>
        <v>45938</v>
      </c>
      <c r="M1101" s="30">
        <f t="shared" ca="1" si="89"/>
        <v>0.41120370370370368</v>
      </c>
      <c r="N1101" s="31"/>
      <c r="O1101" s="31">
        <v>0.5</v>
      </c>
      <c r="P1101" s="29">
        <v>0</v>
      </c>
      <c r="Q1101" s="29">
        <v>1</v>
      </c>
    </row>
    <row r="1102" spans="1:17" x14ac:dyDescent="0.35">
      <c r="A1102" s="26">
        <v>40000002638</v>
      </c>
      <c r="B1102" s="31">
        <v>1</v>
      </c>
      <c r="C1102" s="29" t="str">
        <f>LOOKUP(A1102,'QALS - Inspection Lot Record'!$A$2:$A$361,'QALS - Inspection Lot Record'!$O$2:$O$361)</f>
        <v>Ibuprofen Tablets (100 MG)</v>
      </c>
      <c r="D1102" s="31">
        <v>50</v>
      </c>
      <c r="E1102" s="29" t="s">
        <v>404</v>
      </c>
      <c r="F1102" s="29" t="str">
        <f>LOOKUP(A1102,'QALS - Inspection Lot Record'!A:A,'QALS - Inspection Lot Record'!G:G)</f>
        <v>YA284176</v>
      </c>
      <c r="G1102" s="59">
        <f ca="1">LOOKUP(A1102,'QALS - Inspection Lot Record'!A:A,'QALS - Inspection Lot Record'!E:E)</f>
        <v>45938</v>
      </c>
      <c r="H1102" s="34" t="str">
        <f t="shared" si="90"/>
        <v>A</v>
      </c>
      <c r="I1102" s="29" t="str">
        <f t="shared" si="86"/>
        <v>YA284176</v>
      </c>
      <c r="J1102" s="59">
        <f t="shared" ca="1" si="87"/>
        <v>45938</v>
      </c>
      <c r="K1102" s="30">
        <f ca="1">LOOKUP(A1102,'QALS - Inspection Lot Record'!A:A,'QALS - Inspection Lot Record'!I:I)</f>
        <v>0.3896412037037037</v>
      </c>
      <c r="L1102" s="59">
        <f t="shared" ca="1" si="88"/>
        <v>45938</v>
      </c>
      <c r="M1102" s="30">
        <f t="shared" ca="1" si="89"/>
        <v>0.41787037037037034</v>
      </c>
      <c r="N1102" s="31"/>
      <c r="O1102" s="31">
        <v>50</v>
      </c>
      <c r="P1102" s="29">
        <v>40</v>
      </c>
      <c r="Q1102" s="29">
        <v>60</v>
      </c>
    </row>
    <row r="1103" spans="1:17" x14ac:dyDescent="0.35">
      <c r="A1103" s="26">
        <v>40000002638</v>
      </c>
      <c r="B1103" s="31">
        <v>1</v>
      </c>
      <c r="C1103" s="29" t="str">
        <f>LOOKUP(A1103,'QALS - Inspection Lot Record'!$A$2:$A$361,'QALS - Inspection Lot Record'!$O$2:$O$361)</f>
        <v>Ibuprofen Tablets (100 MG)</v>
      </c>
      <c r="D1103" s="31">
        <v>60</v>
      </c>
      <c r="E1103" s="29" t="s">
        <v>405</v>
      </c>
      <c r="F1103" s="29" t="str">
        <f>LOOKUP(A1103,'QALS - Inspection Lot Record'!A:A,'QALS - Inspection Lot Record'!G:G)</f>
        <v>YA284176</v>
      </c>
      <c r="G1103" s="59">
        <f ca="1">LOOKUP(A1103,'QALS - Inspection Lot Record'!A:A,'QALS - Inspection Lot Record'!E:E)</f>
        <v>45938</v>
      </c>
      <c r="H1103" s="34" t="str">
        <f t="shared" si="90"/>
        <v>A</v>
      </c>
      <c r="I1103" s="29" t="str">
        <f t="shared" si="86"/>
        <v>YA284176</v>
      </c>
      <c r="J1103" s="59">
        <f t="shared" ca="1" si="87"/>
        <v>45938</v>
      </c>
      <c r="K1103" s="30">
        <f ca="1">LOOKUP(A1103,'QALS - Inspection Lot Record'!A:A,'QALS - Inspection Lot Record'!I:I)</f>
        <v>0.3896412037037037</v>
      </c>
      <c r="L1103" s="59">
        <f t="shared" ca="1" si="88"/>
        <v>45938</v>
      </c>
      <c r="M1103" s="30">
        <f t="shared" ca="1" si="89"/>
        <v>0.41880787037037037</v>
      </c>
      <c r="N1103" s="31"/>
      <c r="O1103" s="31">
        <v>71.900000000000006</v>
      </c>
      <c r="P1103" s="29">
        <v>70</v>
      </c>
      <c r="Q1103" s="29">
        <v>85</v>
      </c>
    </row>
    <row r="1104" spans="1:17" x14ac:dyDescent="0.35">
      <c r="A1104" s="26">
        <v>40000002638</v>
      </c>
      <c r="B1104" s="31">
        <v>1</v>
      </c>
      <c r="C1104" s="29" t="str">
        <f>LOOKUP(A1104,'QALS - Inspection Lot Record'!$A$2:$A$361,'QALS - Inspection Lot Record'!$O$2:$O$361)</f>
        <v>Ibuprofen Tablets (100 MG)</v>
      </c>
      <c r="D1104" s="31">
        <v>70</v>
      </c>
      <c r="E1104" s="29" t="s">
        <v>406</v>
      </c>
      <c r="F1104" s="29" t="str">
        <f>LOOKUP(A1104,'QALS - Inspection Lot Record'!A:A,'QALS - Inspection Lot Record'!G:G)</f>
        <v>YA284176</v>
      </c>
      <c r="G1104" s="59">
        <f ca="1">LOOKUP(A1104,'QALS - Inspection Lot Record'!A:A,'QALS - Inspection Lot Record'!E:E)</f>
        <v>45938</v>
      </c>
      <c r="H1104" s="34" t="str">
        <f t="shared" si="90"/>
        <v>A</v>
      </c>
      <c r="I1104" s="29" t="str">
        <f t="shared" si="86"/>
        <v>YA284176</v>
      </c>
      <c r="J1104" s="59">
        <f t="shared" ca="1" si="87"/>
        <v>45938</v>
      </c>
      <c r="K1104" s="30">
        <f ca="1">LOOKUP(A1104,'QALS - Inspection Lot Record'!A:A,'QALS - Inspection Lot Record'!I:I)</f>
        <v>0.3896412037037037</v>
      </c>
      <c r="L1104" s="59">
        <f t="shared" ca="1" si="88"/>
        <v>45938</v>
      </c>
      <c r="M1104" s="30">
        <f t="shared" ca="1" si="89"/>
        <v>0.40781250000000002</v>
      </c>
      <c r="N1104" s="31"/>
      <c r="O1104" s="31">
        <v>81.900000000000006</v>
      </c>
      <c r="P1104" s="29">
        <v>80</v>
      </c>
      <c r="Q1104" s="29">
        <v>90</v>
      </c>
    </row>
    <row r="1105" spans="1:17" x14ac:dyDescent="0.35">
      <c r="A1105" s="26">
        <v>40000002638</v>
      </c>
      <c r="B1105" s="31">
        <v>1</v>
      </c>
      <c r="C1105" s="29" t="str">
        <f>LOOKUP(A1105,'QALS - Inspection Lot Record'!$A$2:$A$361,'QALS - Inspection Lot Record'!$O$2:$O$361)</f>
        <v>Ibuprofen Tablets (100 MG)</v>
      </c>
      <c r="D1105" s="31">
        <v>80</v>
      </c>
      <c r="E1105" s="29" t="s">
        <v>407</v>
      </c>
      <c r="F1105" s="29" t="str">
        <f>LOOKUP(A1105,'QALS - Inspection Lot Record'!A:A,'QALS - Inspection Lot Record'!G:G)</f>
        <v>YA284176</v>
      </c>
      <c r="G1105" s="59">
        <f ca="1">LOOKUP(A1105,'QALS - Inspection Lot Record'!A:A,'QALS - Inspection Lot Record'!E:E)</f>
        <v>45938</v>
      </c>
      <c r="H1105" s="34" t="str">
        <f t="shared" si="90"/>
        <v>A</v>
      </c>
      <c r="I1105" s="29" t="str">
        <f t="shared" si="86"/>
        <v>YA284176</v>
      </c>
      <c r="J1105" s="59">
        <f t="shared" ca="1" si="87"/>
        <v>45938</v>
      </c>
      <c r="K1105" s="30">
        <f ca="1">LOOKUP(A1105,'QALS - Inspection Lot Record'!A:A,'QALS - Inspection Lot Record'!I:I)</f>
        <v>0.3896412037037037</v>
      </c>
      <c r="L1105" s="59">
        <f t="shared" ca="1" si="88"/>
        <v>45938</v>
      </c>
      <c r="M1105" s="30">
        <f t="shared" ca="1" si="89"/>
        <v>0.41415509259259259</v>
      </c>
      <c r="N1105" s="31"/>
      <c r="O1105" s="31">
        <v>24</v>
      </c>
      <c r="P1105" s="29">
        <v>23</v>
      </c>
      <c r="Q1105" s="29">
        <v>25</v>
      </c>
    </row>
    <row r="1106" spans="1:17" x14ac:dyDescent="0.35">
      <c r="A1106" s="26">
        <v>40000002639</v>
      </c>
      <c r="B1106" s="27">
        <v>1</v>
      </c>
      <c r="C1106" s="29" t="str">
        <f>LOOKUP(A1106,'QALS - Inspection Lot Record'!$A$2:$A$361,'QALS - Inspection Lot Record'!$O$2:$O$361)</f>
        <v>Ibuprofen Tablets (100 MG)</v>
      </c>
      <c r="D1106" s="27">
        <v>10</v>
      </c>
      <c r="E1106" s="26" t="s">
        <v>399</v>
      </c>
      <c r="F1106" s="29" t="str">
        <f>LOOKUP(A1106,'QALS - Inspection Lot Record'!A:A,'QALS - Inspection Lot Record'!G:G)</f>
        <v>ZK384180</v>
      </c>
      <c r="G1106" s="59">
        <f ca="1">LOOKUP(A1106,'QALS - Inspection Lot Record'!A:A,'QALS - Inspection Lot Record'!E:E)</f>
        <v>45939</v>
      </c>
      <c r="H1106" s="34" t="str">
        <f t="shared" si="90"/>
        <v>A</v>
      </c>
      <c r="I1106" s="29" t="str">
        <f t="shared" si="86"/>
        <v>ZK384180</v>
      </c>
      <c r="J1106" s="59">
        <f t="shared" ca="1" si="87"/>
        <v>45939</v>
      </c>
      <c r="K1106" s="30">
        <f ca="1">LOOKUP(A1106,'QALS - Inspection Lot Record'!A:A,'QALS - Inspection Lot Record'!I:I)</f>
        <v>0.75574074074074071</v>
      </c>
      <c r="L1106" s="59">
        <f t="shared" ca="1" si="88"/>
        <v>45939</v>
      </c>
      <c r="M1106" s="30">
        <f t="shared" ca="1" si="89"/>
        <v>0.78787037037037033</v>
      </c>
      <c r="N1106" s="31"/>
      <c r="O1106" s="31">
        <v>98.5</v>
      </c>
      <c r="P1106" s="29">
        <v>95</v>
      </c>
      <c r="Q1106" s="29">
        <v>102</v>
      </c>
    </row>
    <row r="1107" spans="1:17" x14ac:dyDescent="0.35">
      <c r="A1107" s="26">
        <v>40000002639</v>
      </c>
      <c r="B1107" s="27">
        <v>1</v>
      </c>
      <c r="C1107" s="29" t="str">
        <f>LOOKUP(A1107,'QALS - Inspection Lot Record'!$A$2:$A$361,'QALS - Inspection Lot Record'!$O$2:$O$361)</f>
        <v>Ibuprofen Tablets (100 MG)</v>
      </c>
      <c r="D1107" s="31">
        <v>20</v>
      </c>
      <c r="E1107" s="29" t="s">
        <v>400</v>
      </c>
      <c r="F1107" s="29" t="str">
        <f>LOOKUP(A1107,'QALS - Inspection Lot Record'!A:A,'QALS - Inspection Lot Record'!G:G)</f>
        <v>ZK384180</v>
      </c>
      <c r="G1107" s="59">
        <f ca="1">LOOKUP(A1107,'QALS - Inspection Lot Record'!A:A,'QALS - Inspection Lot Record'!E:E)</f>
        <v>45939</v>
      </c>
      <c r="H1107" s="34" t="str">
        <f t="shared" si="90"/>
        <v>A</v>
      </c>
      <c r="I1107" s="29" t="str">
        <f t="shared" si="86"/>
        <v>ZK384180</v>
      </c>
      <c r="J1107" s="59">
        <f t="shared" ca="1" si="87"/>
        <v>45939</v>
      </c>
      <c r="K1107" s="30">
        <f ca="1">LOOKUP(A1107,'QALS - Inspection Lot Record'!A:A,'QALS - Inspection Lot Record'!I:I)</f>
        <v>0.75574074074074071</v>
      </c>
      <c r="L1107" s="59">
        <f t="shared" ca="1" si="88"/>
        <v>45939</v>
      </c>
      <c r="M1107" s="30">
        <f t="shared" ca="1" si="89"/>
        <v>0.77402777777777776</v>
      </c>
      <c r="N1107" s="31"/>
      <c r="O1107" s="31">
        <v>7.25</v>
      </c>
      <c r="P1107" s="29">
        <v>3.5</v>
      </c>
      <c r="Q1107" s="29">
        <v>11</v>
      </c>
    </row>
    <row r="1108" spans="1:17" x14ac:dyDescent="0.35">
      <c r="A1108" s="26">
        <v>40000002639</v>
      </c>
      <c r="B1108" s="31">
        <v>1</v>
      </c>
      <c r="C1108" s="29" t="str">
        <f>LOOKUP(A1108,'QALS - Inspection Lot Record'!$A$2:$A$361,'QALS - Inspection Lot Record'!$O$2:$O$361)</f>
        <v>Ibuprofen Tablets (100 MG)</v>
      </c>
      <c r="D1108" s="31">
        <v>30</v>
      </c>
      <c r="E1108" s="29" t="s">
        <v>401</v>
      </c>
      <c r="F1108" s="29" t="str">
        <f>LOOKUP(A1108,'QALS - Inspection Lot Record'!A:A,'QALS - Inspection Lot Record'!G:G)</f>
        <v>ZK384180</v>
      </c>
      <c r="G1108" s="59">
        <f ca="1">LOOKUP(A1108,'QALS - Inspection Lot Record'!A:A,'QALS - Inspection Lot Record'!E:E)</f>
        <v>45939</v>
      </c>
      <c r="H1108" s="34" t="str">
        <f t="shared" si="90"/>
        <v>A</v>
      </c>
      <c r="I1108" s="29" t="str">
        <f t="shared" si="86"/>
        <v>ZK384180</v>
      </c>
      <c r="J1108" s="59">
        <f t="shared" ca="1" si="87"/>
        <v>45939</v>
      </c>
      <c r="K1108" s="30">
        <f ca="1">LOOKUP(A1108,'QALS - Inspection Lot Record'!A:A,'QALS - Inspection Lot Record'!I:I)</f>
        <v>0.75574074074074071</v>
      </c>
      <c r="L1108" s="59">
        <f t="shared" ca="1" si="88"/>
        <v>45939</v>
      </c>
      <c r="M1108" s="30">
        <f t="shared" ca="1" si="89"/>
        <v>0.78712962962962962</v>
      </c>
      <c r="N1108" s="11" t="s">
        <v>402</v>
      </c>
      <c r="O1108" s="31"/>
      <c r="P1108" s="29"/>
      <c r="Q1108" s="29"/>
    </row>
    <row r="1109" spans="1:17" x14ac:dyDescent="0.35">
      <c r="A1109" s="26">
        <v>40000002639</v>
      </c>
      <c r="B1109" s="31">
        <v>1</v>
      </c>
      <c r="C1109" s="29" t="str">
        <f>LOOKUP(A1109,'QALS - Inspection Lot Record'!$A$2:$A$361,'QALS - Inspection Lot Record'!$O$2:$O$361)</f>
        <v>Ibuprofen Tablets (100 MG)</v>
      </c>
      <c r="D1109" s="31">
        <v>40</v>
      </c>
      <c r="E1109" s="29" t="s">
        <v>403</v>
      </c>
      <c r="F1109" s="29" t="str">
        <f>LOOKUP(A1109,'QALS - Inspection Lot Record'!A:A,'QALS - Inspection Lot Record'!G:G)</f>
        <v>ZK384180</v>
      </c>
      <c r="G1109" s="59">
        <f ca="1">LOOKUP(A1109,'QALS - Inspection Lot Record'!A:A,'QALS - Inspection Lot Record'!E:E)</f>
        <v>45939</v>
      </c>
      <c r="H1109" s="34" t="str">
        <f t="shared" si="90"/>
        <v>A</v>
      </c>
      <c r="I1109" s="29" t="str">
        <f t="shared" si="86"/>
        <v>ZK384180</v>
      </c>
      <c r="J1109" s="59">
        <f t="shared" ca="1" si="87"/>
        <v>45939</v>
      </c>
      <c r="K1109" s="30">
        <f ca="1">LOOKUP(A1109,'QALS - Inspection Lot Record'!A:A,'QALS - Inspection Lot Record'!I:I)</f>
        <v>0.75574074074074071</v>
      </c>
      <c r="L1109" s="59">
        <f t="shared" ca="1" si="88"/>
        <v>45939</v>
      </c>
      <c r="M1109" s="30">
        <f t="shared" ca="1" si="89"/>
        <v>0.77611111111111108</v>
      </c>
      <c r="N1109" s="31"/>
      <c r="O1109" s="31">
        <v>0</v>
      </c>
      <c r="P1109" s="29">
        <v>0</v>
      </c>
      <c r="Q1109" s="29">
        <v>1</v>
      </c>
    </row>
    <row r="1110" spans="1:17" x14ac:dyDescent="0.35">
      <c r="A1110" s="26">
        <v>40000002639</v>
      </c>
      <c r="B1110" s="31">
        <v>1</v>
      </c>
      <c r="C1110" s="29" t="str">
        <f>LOOKUP(A1110,'QALS - Inspection Lot Record'!$A$2:$A$361,'QALS - Inspection Lot Record'!$O$2:$O$361)</f>
        <v>Ibuprofen Tablets (100 MG)</v>
      </c>
      <c r="D1110" s="31">
        <v>50</v>
      </c>
      <c r="E1110" s="29" t="s">
        <v>404</v>
      </c>
      <c r="F1110" s="29" t="str">
        <f>LOOKUP(A1110,'QALS - Inspection Lot Record'!A:A,'QALS - Inspection Lot Record'!G:G)</f>
        <v>ZK384180</v>
      </c>
      <c r="G1110" s="59">
        <f ca="1">LOOKUP(A1110,'QALS - Inspection Lot Record'!A:A,'QALS - Inspection Lot Record'!E:E)</f>
        <v>45939</v>
      </c>
      <c r="H1110" s="34" t="str">
        <f t="shared" si="90"/>
        <v>A</v>
      </c>
      <c r="I1110" s="29" t="str">
        <f t="shared" si="86"/>
        <v>ZK384180</v>
      </c>
      <c r="J1110" s="59">
        <f t="shared" ca="1" si="87"/>
        <v>45939</v>
      </c>
      <c r="K1110" s="30">
        <f ca="1">LOOKUP(A1110,'QALS - Inspection Lot Record'!A:A,'QALS - Inspection Lot Record'!I:I)</f>
        <v>0.75574074074074071</v>
      </c>
      <c r="L1110" s="59">
        <f t="shared" ca="1" si="88"/>
        <v>45939</v>
      </c>
      <c r="M1110" s="30">
        <f t="shared" ca="1" si="89"/>
        <v>0.77894675925925927</v>
      </c>
      <c r="N1110" s="31"/>
      <c r="O1110" s="31">
        <v>50</v>
      </c>
      <c r="P1110" s="29">
        <v>40</v>
      </c>
      <c r="Q1110" s="29">
        <v>60</v>
      </c>
    </row>
    <row r="1111" spans="1:17" x14ac:dyDescent="0.35">
      <c r="A1111" s="26">
        <v>40000002639</v>
      </c>
      <c r="B1111" s="31">
        <v>1</v>
      </c>
      <c r="C1111" s="29" t="str">
        <f>LOOKUP(A1111,'QALS - Inspection Lot Record'!$A$2:$A$361,'QALS - Inspection Lot Record'!$O$2:$O$361)</f>
        <v>Ibuprofen Tablets (100 MG)</v>
      </c>
      <c r="D1111" s="31">
        <v>60</v>
      </c>
      <c r="E1111" s="29" t="s">
        <v>405</v>
      </c>
      <c r="F1111" s="29" t="str">
        <f>LOOKUP(A1111,'QALS - Inspection Lot Record'!A:A,'QALS - Inspection Lot Record'!G:G)</f>
        <v>ZK384180</v>
      </c>
      <c r="G1111" s="59">
        <f ca="1">LOOKUP(A1111,'QALS - Inspection Lot Record'!A:A,'QALS - Inspection Lot Record'!E:E)</f>
        <v>45939</v>
      </c>
      <c r="H1111" s="34" t="str">
        <f t="shared" si="90"/>
        <v>A</v>
      </c>
      <c r="I1111" s="29" t="str">
        <f t="shared" si="86"/>
        <v>ZK384180</v>
      </c>
      <c r="J1111" s="59">
        <f t="shared" ca="1" si="87"/>
        <v>45939</v>
      </c>
      <c r="K1111" s="30">
        <f ca="1">LOOKUP(A1111,'QALS - Inspection Lot Record'!A:A,'QALS - Inspection Lot Record'!I:I)</f>
        <v>0.75574074074074071</v>
      </c>
      <c r="L1111" s="59">
        <f t="shared" ca="1" si="88"/>
        <v>45939</v>
      </c>
      <c r="M1111" s="30">
        <f t="shared" ca="1" si="89"/>
        <v>0.7880787037037037</v>
      </c>
      <c r="N1111" s="31"/>
      <c r="O1111" s="31">
        <v>77.5</v>
      </c>
      <c r="P1111" s="29">
        <v>70</v>
      </c>
      <c r="Q1111" s="29">
        <v>85</v>
      </c>
    </row>
    <row r="1112" spans="1:17" x14ac:dyDescent="0.35">
      <c r="A1112" s="26">
        <v>40000002639</v>
      </c>
      <c r="B1112" s="31">
        <v>1</v>
      </c>
      <c r="C1112" s="29" t="str">
        <f>LOOKUP(A1112,'QALS - Inspection Lot Record'!$A$2:$A$361,'QALS - Inspection Lot Record'!$O$2:$O$361)</f>
        <v>Ibuprofen Tablets (100 MG)</v>
      </c>
      <c r="D1112" s="31">
        <v>70</v>
      </c>
      <c r="E1112" s="29" t="s">
        <v>406</v>
      </c>
      <c r="F1112" s="29" t="str">
        <f>LOOKUP(A1112,'QALS - Inspection Lot Record'!A:A,'QALS - Inspection Lot Record'!G:G)</f>
        <v>ZK384180</v>
      </c>
      <c r="G1112" s="59">
        <f ca="1">LOOKUP(A1112,'QALS - Inspection Lot Record'!A:A,'QALS - Inspection Lot Record'!E:E)</f>
        <v>45939</v>
      </c>
      <c r="H1112" s="34" t="str">
        <f t="shared" si="90"/>
        <v>A</v>
      </c>
      <c r="I1112" s="29" t="str">
        <f t="shared" si="86"/>
        <v>ZK384180</v>
      </c>
      <c r="J1112" s="59">
        <f t="shared" ca="1" si="87"/>
        <v>45939</v>
      </c>
      <c r="K1112" s="30">
        <f ca="1">LOOKUP(A1112,'QALS - Inspection Lot Record'!A:A,'QALS - Inspection Lot Record'!I:I)</f>
        <v>0.75574074074074071</v>
      </c>
      <c r="L1112" s="59">
        <f t="shared" ca="1" si="88"/>
        <v>45939</v>
      </c>
      <c r="M1112" s="30">
        <f t="shared" ca="1" si="89"/>
        <v>0.78203703703703698</v>
      </c>
      <c r="N1112" s="31"/>
      <c r="O1112" s="31">
        <v>85</v>
      </c>
      <c r="P1112" s="29">
        <v>80</v>
      </c>
      <c r="Q1112" s="29">
        <v>90</v>
      </c>
    </row>
    <row r="1113" spans="1:17" x14ac:dyDescent="0.35">
      <c r="A1113" s="26">
        <v>40000002639</v>
      </c>
      <c r="B1113" s="31">
        <v>1</v>
      </c>
      <c r="C1113" s="29" t="str">
        <f>LOOKUP(A1113,'QALS - Inspection Lot Record'!$A$2:$A$361,'QALS - Inspection Lot Record'!$O$2:$O$361)</f>
        <v>Ibuprofen Tablets (100 MG)</v>
      </c>
      <c r="D1113" s="31">
        <v>80</v>
      </c>
      <c r="E1113" s="29" t="s">
        <v>407</v>
      </c>
      <c r="F1113" s="29" t="str">
        <f>LOOKUP(A1113,'QALS - Inspection Lot Record'!A:A,'QALS - Inspection Lot Record'!G:G)</f>
        <v>ZK384180</v>
      </c>
      <c r="G1113" s="59">
        <f ca="1">LOOKUP(A1113,'QALS - Inspection Lot Record'!A:A,'QALS - Inspection Lot Record'!E:E)</f>
        <v>45939</v>
      </c>
      <c r="H1113" s="34" t="str">
        <f t="shared" si="90"/>
        <v>R</v>
      </c>
      <c r="I1113" s="29" t="str">
        <f t="shared" si="86"/>
        <v>ZK384180</v>
      </c>
      <c r="J1113" s="59">
        <f t="shared" ca="1" si="87"/>
        <v>45939</v>
      </c>
      <c r="K1113" s="30">
        <f ca="1">LOOKUP(A1113,'QALS - Inspection Lot Record'!A:A,'QALS - Inspection Lot Record'!I:I)</f>
        <v>0.75574074074074071</v>
      </c>
      <c r="L1113" s="59">
        <f t="shared" ca="1" si="88"/>
        <v>45939</v>
      </c>
      <c r="M1113" s="30">
        <f t="shared" ca="1" si="89"/>
        <v>0.77785879629629628</v>
      </c>
      <c r="N1113" s="31"/>
      <c r="O1113" s="31">
        <v>21.7</v>
      </c>
      <c r="P1113" s="29">
        <v>23</v>
      </c>
      <c r="Q1113" s="29">
        <v>25</v>
      </c>
    </row>
    <row r="1114" spans="1:17" x14ac:dyDescent="0.35">
      <c r="A1114" s="26">
        <v>40000002640</v>
      </c>
      <c r="B1114" s="27">
        <v>1</v>
      </c>
      <c r="C1114" s="29" t="str">
        <f>LOOKUP(A1114,'QALS - Inspection Lot Record'!$A$2:$A$361,'QALS - Inspection Lot Record'!$O$2:$O$361)</f>
        <v>Metformin Tablets (500 MG)</v>
      </c>
      <c r="D1114" s="27">
        <v>10</v>
      </c>
      <c r="E1114" s="26" t="s">
        <v>399</v>
      </c>
      <c r="F1114" s="29" t="str">
        <f>LOOKUP(A1114,'QALS - Inspection Lot Record'!A:A,'QALS - Inspection Lot Record'!G:G)</f>
        <v>GC197258</v>
      </c>
      <c r="G1114" s="59">
        <f ca="1">LOOKUP(A1114,'QALS - Inspection Lot Record'!A:A,'QALS - Inspection Lot Record'!E:E)</f>
        <v>45939</v>
      </c>
      <c r="H1114" s="34" t="str">
        <f t="shared" si="90"/>
        <v>A</v>
      </c>
      <c r="I1114" s="29" t="str">
        <f t="shared" si="86"/>
        <v>GC197258</v>
      </c>
      <c r="J1114" s="59">
        <f t="shared" ca="1" si="87"/>
        <v>45939</v>
      </c>
      <c r="K1114" s="30">
        <f ca="1">LOOKUP(A1114,'QALS - Inspection Lot Record'!A:A,'QALS - Inspection Lot Record'!I:I)</f>
        <v>5.3530092592592594E-2</v>
      </c>
      <c r="L1114" s="59">
        <f t="shared" ca="1" si="88"/>
        <v>45939</v>
      </c>
      <c r="M1114" s="30">
        <f t="shared" ca="1" si="89"/>
        <v>7.300925925925926E-2</v>
      </c>
      <c r="N1114" s="31"/>
      <c r="O1114" s="31">
        <v>100</v>
      </c>
      <c r="P1114" s="29">
        <v>95</v>
      </c>
      <c r="Q1114" s="29">
        <v>105</v>
      </c>
    </row>
    <row r="1115" spans="1:17" x14ac:dyDescent="0.35">
      <c r="A1115" s="26">
        <v>40000002640</v>
      </c>
      <c r="B1115" s="27">
        <v>1</v>
      </c>
      <c r="C1115" s="29" t="str">
        <f>LOOKUP(A1115,'QALS - Inspection Lot Record'!$A$2:$A$361,'QALS - Inspection Lot Record'!$O$2:$O$361)</f>
        <v>Metformin Tablets (500 MG)</v>
      </c>
      <c r="D1115" s="31">
        <v>20</v>
      </c>
      <c r="E1115" s="29" t="s">
        <v>400</v>
      </c>
      <c r="F1115" s="29" t="str">
        <f>LOOKUP(A1115,'QALS - Inspection Lot Record'!A:A,'QALS - Inspection Lot Record'!G:G)</f>
        <v>GC197258</v>
      </c>
      <c r="G1115" s="59">
        <f ca="1">LOOKUP(A1115,'QALS - Inspection Lot Record'!A:A,'QALS - Inspection Lot Record'!E:E)</f>
        <v>45939</v>
      </c>
      <c r="H1115" s="34" t="str">
        <f t="shared" si="90"/>
        <v>A</v>
      </c>
      <c r="I1115" s="29" t="str">
        <f t="shared" si="86"/>
        <v>GC197258</v>
      </c>
      <c r="J1115" s="59">
        <f t="shared" ca="1" si="87"/>
        <v>45939</v>
      </c>
      <c r="K1115" s="30">
        <f ca="1">LOOKUP(A1115,'QALS - Inspection Lot Record'!A:A,'QALS - Inspection Lot Record'!I:I)</f>
        <v>5.3530092592592594E-2</v>
      </c>
      <c r="L1115" s="59">
        <f t="shared" ca="1" si="88"/>
        <v>45939</v>
      </c>
      <c r="M1115" s="30">
        <f t="shared" ca="1" si="89"/>
        <v>7.9317129629629626E-2</v>
      </c>
      <c r="N1115" s="31"/>
      <c r="O1115" s="31">
        <v>7.25</v>
      </c>
      <c r="P1115" s="29">
        <v>3.5</v>
      </c>
      <c r="Q1115" s="29">
        <v>11</v>
      </c>
    </row>
    <row r="1116" spans="1:17" x14ac:dyDescent="0.35">
      <c r="A1116" s="26">
        <v>40000002640</v>
      </c>
      <c r="B1116" s="31">
        <v>1</v>
      </c>
      <c r="C1116" s="29" t="str">
        <f>LOOKUP(A1116,'QALS - Inspection Lot Record'!$A$2:$A$361,'QALS - Inspection Lot Record'!$O$2:$O$361)</f>
        <v>Metformin Tablets (500 MG)</v>
      </c>
      <c r="D1116" s="31">
        <v>30</v>
      </c>
      <c r="E1116" s="29" t="s">
        <v>401</v>
      </c>
      <c r="F1116" s="29" t="str">
        <f>LOOKUP(A1116,'QALS - Inspection Lot Record'!A:A,'QALS - Inspection Lot Record'!G:G)</f>
        <v>GC197258</v>
      </c>
      <c r="G1116" s="59">
        <f ca="1">LOOKUP(A1116,'QALS - Inspection Lot Record'!A:A,'QALS - Inspection Lot Record'!E:E)</f>
        <v>45939</v>
      </c>
      <c r="H1116" s="34" t="str">
        <f t="shared" si="90"/>
        <v>A</v>
      </c>
      <c r="I1116" s="29" t="str">
        <f t="shared" si="86"/>
        <v>GC197258</v>
      </c>
      <c r="J1116" s="59">
        <f t="shared" ca="1" si="87"/>
        <v>45939</v>
      </c>
      <c r="K1116" s="30">
        <f ca="1">LOOKUP(A1116,'QALS - Inspection Lot Record'!A:A,'QALS - Inspection Lot Record'!I:I)</f>
        <v>5.3530092592592594E-2</v>
      </c>
      <c r="L1116" s="59">
        <f t="shared" ca="1" si="88"/>
        <v>45939</v>
      </c>
      <c r="M1116" s="30">
        <f t="shared" ca="1" si="89"/>
        <v>8.0532407407407414E-2</v>
      </c>
      <c r="N1116" s="11" t="s">
        <v>402</v>
      </c>
      <c r="O1116" s="31"/>
      <c r="P1116" s="29"/>
      <c r="Q1116" s="29"/>
    </row>
    <row r="1117" spans="1:17" x14ac:dyDescent="0.35">
      <c r="A1117" s="26">
        <v>40000002640</v>
      </c>
      <c r="B1117" s="31">
        <v>1</v>
      </c>
      <c r="C1117" s="29" t="str">
        <f>LOOKUP(A1117,'QALS - Inspection Lot Record'!$A$2:$A$361,'QALS - Inspection Lot Record'!$O$2:$O$361)</f>
        <v>Metformin Tablets (500 MG)</v>
      </c>
      <c r="D1117" s="31">
        <v>40</v>
      </c>
      <c r="E1117" s="29" t="s">
        <v>403</v>
      </c>
      <c r="F1117" s="29" t="str">
        <f>LOOKUP(A1117,'QALS - Inspection Lot Record'!A:A,'QALS - Inspection Lot Record'!G:G)</f>
        <v>GC197258</v>
      </c>
      <c r="G1117" s="59">
        <f ca="1">LOOKUP(A1117,'QALS - Inspection Lot Record'!A:A,'QALS - Inspection Lot Record'!E:E)</f>
        <v>45939</v>
      </c>
      <c r="H1117" s="34" t="str">
        <f t="shared" si="90"/>
        <v>A</v>
      </c>
      <c r="I1117" s="29" t="str">
        <f t="shared" si="86"/>
        <v>GC197258</v>
      </c>
      <c r="J1117" s="59">
        <f t="shared" ca="1" si="87"/>
        <v>45939</v>
      </c>
      <c r="K1117" s="30">
        <f ca="1">LOOKUP(A1117,'QALS - Inspection Lot Record'!A:A,'QALS - Inspection Lot Record'!I:I)</f>
        <v>5.3530092592592594E-2</v>
      </c>
      <c r="L1117" s="59">
        <f t="shared" ca="1" si="88"/>
        <v>45939</v>
      </c>
      <c r="M1117" s="30">
        <f t="shared" ca="1" si="89"/>
        <v>7.9768518518518516E-2</v>
      </c>
      <c r="N1117" s="31"/>
      <c r="O1117" s="31">
        <v>0</v>
      </c>
      <c r="P1117" s="29">
        <v>0</v>
      </c>
      <c r="Q1117" s="29">
        <v>2</v>
      </c>
    </row>
    <row r="1118" spans="1:17" x14ac:dyDescent="0.35">
      <c r="A1118" s="26">
        <v>40000002640</v>
      </c>
      <c r="B1118" s="31">
        <v>1</v>
      </c>
      <c r="C1118" s="29" t="str">
        <f>LOOKUP(A1118,'QALS - Inspection Lot Record'!$A$2:$A$361,'QALS - Inspection Lot Record'!$O$2:$O$361)</f>
        <v>Metformin Tablets (500 MG)</v>
      </c>
      <c r="D1118" s="31">
        <v>50</v>
      </c>
      <c r="E1118" s="29" t="s">
        <v>404</v>
      </c>
      <c r="F1118" s="29" t="str">
        <f>LOOKUP(A1118,'QALS - Inspection Lot Record'!A:A,'QALS - Inspection Lot Record'!G:G)</f>
        <v>GC197258</v>
      </c>
      <c r="G1118" s="59">
        <f ca="1">LOOKUP(A1118,'QALS - Inspection Lot Record'!A:A,'QALS - Inspection Lot Record'!E:E)</f>
        <v>45939</v>
      </c>
      <c r="H1118" s="34" t="str">
        <f t="shared" si="90"/>
        <v>A</v>
      </c>
      <c r="I1118" s="29" t="str">
        <f t="shared" si="86"/>
        <v>GC197258</v>
      </c>
      <c r="J1118" s="59">
        <f t="shared" ca="1" si="87"/>
        <v>45939</v>
      </c>
      <c r="K1118" s="30">
        <f ca="1">LOOKUP(A1118,'QALS - Inspection Lot Record'!A:A,'QALS - Inspection Lot Record'!I:I)</f>
        <v>5.3530092592592594E-2</v>
      </c>
      <c r="L1118" s="59">
        <f t="shared" ca="1" si="88"/>
        <v>45939</v>
      </c>
      <c r="M1118" s="30">
        <f t="shared" ca="1" si="89"/>
        <v>7.1643518518518523E-2</v>
      </c>
      <c r="N1118" s="31"/>
      <c r="O1118" s="31">
        <v>50</v>
      </c>
      <c r="P1118" s="29">
        <v>40</v>
      </c>
      <c r="Q1118" s="29">
        <v>60</v>
      </c>
    </row>
    <row r="1119" spans="1:17" x14ac:dyDescent="0.35">
      <c r="A1119" s="26">
        <v>40000002640</v>
      </c>
      <c r="B1119" s="31">
        <v>1</v>
      </c>
      <c r="C1119" s="29" t="str">
        <f>LOOKUP(A1119,'QALS - Inspection Lot Record'!$A$2:$A$361,'QALS - Inspection Lot Record'!$O$2:$O$361)</f>
        <v>Metformin Tablets (500 MG)</v>
      </c>
      <c r="D1119" s="31">
        <v>60</v>
      </c>
      <c r="E1119" s="29" t="s">
        <v>405</v>
      </c>
      <c r="F1119" s="29" t="str">
        <f>LOOKUP(A1119,'QALS - Inspection Lot Record'!A:A,'QALS - Inspection Lot Record'!G:G)</f>
        <v>GC197258</v>
      </c>
      <c r="G1119" s="59">
        <f ca="1">LOOKUP(A1119,'QALS - Inspection Lot Record'!A:A,'QALS - Inspection Lot Record'!E:E)</f>
        <v>45939</v>
      </c>
      <c r="H1119" s="34" t="str">
        <f t="shared" si="90"/>
        <v>A</v>
      </c>
      <c r="I1119" s="29" t="str">
        <f t="shared" si="86"/>
        <v>GC197258</v>
      </c>
      <c r="J1119" s="59">
        <f t="shared" ca="1" si="87"/>
        <v>45939</v>
      </c>
      <c r="K1119" s="30">
        <f ca="1">LOOKUP(A1119,'QALS - Inspection Lot Record'!A:A,'QALS - Inspection Lot Record'!I:I)</f>
        <v>5.3530092592592594E-2</v>
      </c>
      <c r="L1119" s="59">
        <f t="shared" ca="1" si="88"/>
        <v>45939</v>
      </c>
      <c r="M1119" s="30">
        <f t="shared" ca="1" si="89"/>
        <v>7.768518518518519E-2</v>
      </c>
      <c r="N1119" s="31"/>
      <c r="O1119" s="31">
        <v>77.5</v>
      </c>
      <c r="P1119" s="29">
        <v>70</v>
      </c>
      <c r="Q1119" s="29">
        <v>85</v>
      </c>
    </row>
    <row r="1120" spans="1:17" x14ac:dyDescent="0.35">
      <c r="A1120" s="26">
        <v>40000002640</v>
      </c>
      <c r="B1120" s="31">
        <v>1</v>
      </c>
      <c r="C1120" s="29" t="str">
        <f>LOOKUP(A1120,'QALS - Inspection Lot Record'!$A$2:$A$361,'QALS - Inspection Lot Record'!$O$2:$O$361)</f>
        <v>Metformin Tablets (500 MG)</v>
      </c>
      <c r="D1120" s="31">
        <v>70</v>
      </c>
      <c r="E1120" s="29" t="s">
        <v>406</v>
      </c>
      <c r="F1120" s="29" t="str">
        <f>LOOKUP(A1120,'QALS - Inspection Lot Record'!A:A,'QALS - Inspection Lot Record'!G:G)</f>
        <v>GC197258</v>
      </c>
      <c r="G1120" s="59">
        <f ca="1">LOOKUP(A1120,'QALS - Inspection Lot Record'!A:A,'QALS - Inspection Lot Record'!E:E)</f>
        <v>45939</v>
      </c>
      <c r="H1120" s="34" t="str">
        <f t="shared" si="90"/>
        <v>A</v>
      </c>
      <c r="I1120" s="29" t="str">
        <f t="shared" si="86"/>
        <v>GC197258</v>
      </c>
      <c r="J1120" s="59">
        <f t="shared" ca="1" si="87"/>
        <v>45939</v>
      </c>
      <c r="K1120" s="30">
        <f ca="1">LOOKUP(A1120,'QALS - Inspection Lot Record'!A:A,'QALS - Inspection Lot Record'!I:I)</f>
        <v>5.3530092592592594E-2</v>
      </c>
      <c r="L1120" s="59">
        <f t="shared" ca="1" si="88"/>
        <v>45939</v>
      </c>
      <c r="M1120" s="30">
        <f t="shared" ca="1" si="89"/>
        <v>7.8391203703703699E-2</v>
      </c>
      <c r="N1120" s="31"/>
      <c r="O1120" s="31">
        <v>85</v>
      </c>
      <c r="P1120" s="29">
        <v>80</v>
      </c>
      <c r="Q1120" s="29">
        <v>90</v>
      </c>
    </row>
    <row r="1121" spans="1:17" x14ac:dyDescent="0.35">
      <c r="A1121" s="26">
        <v>40000002640</v>
      </c>
      <c r="B1121" s="31">
        <v>1</v>
      </c>
      <c r="C1121" s="29" t="str">
        <f>LOOKUP(A1121,'QALS - Inspection Lot Record'!$A$2:$A$361,'QALS - Inspection Lot Record'!$O$2:$O$361)</f>
        <v>Metformin Tablets (500 MG)</v>
      </c>
      <c r="D1121" s="31">
        <v>80</v>
      </c>
      <c r="E1121" s="29" t="s">
        <v>407</v>
      </c>
      <c r="F1121" s="29" t="str">
        <f>LOOKUP(A1121,'QALS - Inspection Lot Record'!A:A,'QALS - Inspection Lot Record'!G:G)</f>
        <v>GC197258</v>
      </c>
      <c r="G1121" s="59">
        <f ca="1">LOOKUP(A1121,'QALS - Inspection Lot Record'!A:A,'QALS - Inspection Lot Record'!E:E)</f>
        <v>45939</v>
      </c>
      <c r="H1121" s="34" t="str">
        <f t="shared" si="90"/>
        <v>A</v>
      </c>
      <c r="I1121" s="29" t="str">
        <f t="shared" si="86"/>
        <v>GC197258</v>
      </c>
      <c r="J1121" s="59">
        <f t="shared" ca="1" si="87"/>
        <v>45939</v>
      </c>
      <c r="K1121" s="30">
        <f ca="1">LOOKUP(A1121,'QALS - Inspection Lot Record'!A:A,'QALS - Inspection Lot Record'!I:I)</f>
        <v>5.3530092592592594E-2</v>
      </c>
      <c r="L1121" s="59">
        <f t="shared" ca="1" si="88"/>
        <v>45939</v>
      </c>
      <c r="M1121" s="30">
        <f t="shared" ca="1" si="89"/>
        <v>8.7083333333333332E-2</v>
      </c>
      <c r="N1121" s="31"/>
      <c r="O1121" s="31">
        <v>25.5</v>
      </c>
      <c r="P1121" s="29">
        <v>23</v>
      </c>
      <c r="Q1121" s="29">
        <v>28</v>
      </c>
    </row>
    <row r="1122" spans="1:17" x14ac:dyDescent="0.35">
      <c r="A1122" s="26">
        <v>40000002641</v>
      </c>
      <c r="B1122" s="27">
        <v>1</v>
      </c>
      <c r="C1122" s="29" t="str">
        <f>LOOKUP(A1122,'QALS - Inspection Lot Record'!$A$2:$A$361,'QALS - Inspection Lot Record'!$O$2:$O$361)</f>
        <v>Metformin Tablets (200 MG)</v>
      </c>
      <c r="D1122" s="27">
        <v>10</v>
      </c>
      <c r="E1122" s="26" t="s">
        <v>399</v>
      </c>
      <c r="F1122" s="29" t="str">
        <f>LOOKUP(A1122,'QALS - Inspection Lot Record'!A:A,'QALS - Inspection Lot Record'!G:G)</f>
        <v>AB406550</v>
      </c>
      <c r="G1122" s="59">
        <f ca="1">LOOKUP(A1122,'QALS - Inspection Lot Record'!A:A,'QALS - Inspection Lot Record'!E:E)</f>
        <v>45940</v>
      </c>
      <c r="H1122" s="34" t="str">
        <f t="shared" si="90"/>
        <v>A</v>
      </c>
      <c r="I1122" s="29" t="str">
        <f t="shared" si="86"/>
        <v>AB406550</v>
      </c>
      <c r="J1122" s="59">
        <f t="shared" ca="1" si="87"/>
        <v>45940</v>
      </c>
      <c r="K1122" s="30">
        <f ca="1">LOOKUP(A1122,'QALS - Inspection Lot Record'!A:A,'QALS - Inspection Lot Record'!I:I)</f>
        <v>0.66524305555555552</v>
      </c>
      <c r="L1122" s="59">
        <f t="shared" ca="1" si="88"/>
        <v>45940</v>
      </c>
      <c r="M1122" s="30">
        <f t="shared" ca="1" si="89"/>
        <v>0.69584490740740734</v>
      </c>
      <c r="N1122" s="31"/>
      <c r="O1122" s="31">
        <v>99</v>
      </c>
      <c r="P1122" s="29">
        <v>95</v>
      </c>
      <c r="Q1122" s="29">
        <v>103</v>
      </c>
    </row>
    <row r="1123" spans="1:17" x14ac:dyDescent="0.35">
      <c r="A1123" s="26">
        <v>40000002641</v>
      </c>
      <c r="B1123" s="27">
        <v>1</v>
      </c>
      <c r="C1123" s="29" t="str">
        <f>LOOKUP(A1123,'QALS - Inspection Lot Record'!$A$2:$A$361,'QALS - Inspection Lot Record'!$O$2:$O$361)</f>
        <v>Metformin Tablets (200 MG)</v>
      </c>
      <c r="D1123" s="31">
        <v>20</v>
      </c>
      <c r="E1123" s="29" t="s">
        <v>400</v>
      </c>
      <c r="F1123" s="29" t="str">
        <f>LOOKUP(A1123,'QALS - Inspection Lot Record'!A:A,'QALS - Inspection Lot Record'!G:G)</f>
        <v>AB406550</v>
      </c>
      <c r="G1123" s="59">
        <f ca="1">LOOKUP(A1123,'QALS - Inspection Lot Record'!A:A,'QALS - Inspection Lot Record'!E:E)</f>
        <v>45940</v>
      </c>
      <c r="H1123" s="34" t="str">
        <f t="shared" si="90"/>
        <v>A</v>
      </c>
      <c r="I1123" s="29" t="str">
        <f t="shared" si="86"/>
        <v>AB406550</v>
      </c>
      <c r="J1123" s="59">
        <f t="shared" ca="1" si="87"/>
        <v>45940</v>
      </c>
      <c r="K1123" s="30">
        <f ca="1">LOOKUP(A1123,'QALS - Inspection Lot Record'!A:A,'QALS - Inspection Lot Record'!I:I)</f>
        <v>0.66524305555555552</v>
      </c>
      <c r="L1123" s="59">
        <f t="shared" ca="1" si="88"/>
        <v>45940</v>
      </c>
      <c r="M1123" s="30">
        <f t="shared" ca="1" si="89"/>
        <v>0.68310185185185179</v>
      </c>
      <c r="N1123" s="31"/>
      <c r="O1123" s="31">
        <v>7.8</v>
      </c>
      <c r="P1123" s="29">
        <v>6</v>
      </c>
      <c r="Q1123" s="29">
        <v>9.5</v>
      </c>
    </row>
    <row r="1124" spans="1:17" x14ac:dyDescent="0.35">
      <c r="A1124" s="26">
        <v>40000002641</v>
      </c>
      <c r="B1124" s="31">
        <v>1</v>
      </c>
      <c r="C1124" s="29" t="str">
        <f>LOOKUP(A1124,'QALS - Inspection Lot Record'!$A$2:$A$361,'QALS - Inspection Lot Record'!$O$2:$O$361)</f>
        <v>Metformin Tablets (200 MG)</v>
      </c>
      <c r="D1124" s="31">
        <v>30</v>
      </c>
      <c r="E1124" s="29" t="s">
        <v>401</v>
      </c>
      <c r="F1124" s="29" t="str">
        <f>LOOKUP(A1124,'QALS - Inspection Lot Record'!A:A,'QALS - Inspection Lot Record'!G:G)</f>
        <v>AB406550</v>
      </c>
      <c r="G1124" s="59">
        <f ca="1">LOOKUP(A1124,'QALS - Inspection Lot Record'!A:A,'QALS - Inspection Lot Record'!E:E)</f>
        <v>45940</v>
      </c>
      <c r="H1124" s="34" t="str">
        <f t="shared" si="90"/>
        <v>A</v>
      </c>
      <c r="I1124" s="29" t="str">
        <f t="shared" si="86"/>
        <v>AB406550</v>
      </c>
      <c r="J1124" s="59">
        <f t="shared" ca="1" si="87"/>
        <v>45940</v>
      </c>
      <c r="K1124" s="30">
        <f ca="1">LOOKUP(A1124,'QALS - Inspection Lot Record'!A:A,'QALS - Inspection Lot Record'!I:I)</f>
        <v>0.66524305555555552</v>
      </c>
      <c r="L1124" s="59">
        <f t="shared" ca="1" si="88"/>
        <v>45940</v>
      </c>
      <c r="M1124" s="30">
        <f t="shared" ca="1" si="89"/>
        <v>0.69862268518518511</v>
      </c>
      <c r="N1124" s="11" t="s">
        <v>402</v>
      </c>
      <c r="O1124" s="31"/>
      <c r="P1124" s="29"/>
      <c r="Q1124" s="29"/>
    </row>
    <row r="1125" spans="1:17" x14ac:dyDescent="0.35">
      <c r="A1125" s="26">
        <v>40000002641</v>
      </c>
      <c r="B1125" s="31">
        <v>1</v>
      </c>
      <c r="C1125" s="29" t="str">
        <f>LOOKUP(A1125,'QALS - Inspection Lot Record'!$A$2:$A$361,'QALS - Inspection Lot Record'!$O$2:$O$361)</f>
        <v>Metformin Tablets (200 MG)</v>
      </c>
      <c r="D1125" s="31">
        <v>40</v>
      </c>
      <c r="E1125" s="29" t="s">
        <v>403</v>
      </c>
      <c r="F1125" s="29" t="str">
        <f>LOOKUP(A1125,'QALS - Inspection Lot Record'!A:A,'QALS - Inspection Lot Record'!G:G)</f>
        <v>AB406550</v>
      </c>
      <c r="G1125" s="59">
        <f ca="1">LOOKUP(A1125,'QALS - Inspection Lot Record'!A:A,'QALS - Inspection Lot Record'!E:E)</f>
        <v>45940</v>
      </c>
      <c r="H1125" s="34" t="str">
        <f t="shared" si="90"/>
        <v>R</v>
      </c>
      <c r="I1125" s="29" t="str">
        <f t="shared" si="86"/>
        <v>AB406550</v>
      </c>
      <c r="J1125" s="59">
        <f t="shared" ca="1" si="87"/>
        <v>45940</v>
      </c>
      <c r="K1125" s="30">
        <f ca="1">LOOKUP(A1125,'QALS - Inspection Lot Record'!A:A,'QALS - Inspection Lot Record'!I:I)</f>
        <v>0.66524305555555552</v>
      </c>
      <c r="L1125" s="59">
        <f t="shared" ca="1" si="88"/>
        <v>45940</v>
      </c>
      <c r="M1125" s="30">
        <f t="shared" ca="1" si="89"/>
        <v>0.69276620370370368</v>
      </c>
      <c r="N1125" s="31"/>
      <c r="O1125" s="31">
        <v>2.1</v>
      </c>
      <c r="P1125" s="29">
        <v>0</v>
      </c>
      <c r="Q1125" s="29">
        <v>2</v>
      </c>
    </row>
    <row r="1126" spans="1:17" x14ac:dyDescent="0.35">
      <c r="A1126" s="26">
        <v>40000002641</v>
      </c>
      <c r="B1126" s="31">
        <v>1</v>
      </c>
      <c r="C1126" s="29" t="str">
        <f>LOOKUP(A1126,'QALS - Inspection Lot Record'!$A$2:$A$361,'QALS - Inspection Lot Record'!$O$2:$O$361)</f>
        <v>Metformin Tablets (200 MG)</v>
      </c>
      <c r="D1126" s="31">
        <v>50</v>
      </c>
      <c r="E1126" s="29" t="s">
        <v>404</v>
      </c>
      <c r="F1126" s="29" t="str">
        <f>LOOKUP(A1126,'QALS - Inspection Lot Record'!A:A,'QALS - Inspection Lot Record'!G:G)</f>
        <v>AB406550</v>
      </c>
      <c r="G1126" s="59">
        <f ca="1">LOOKUP(A1126,'QALS - Inspection Lot Record'!A:A,'QALS - Inspection Lot Record'!E:E)</f>
        <v>45940</v>
      </c>
      <c r="H1126" s="34" t="str">
        <f t="shared" si="90"/>
        <v>A</v>
      </c>
      <c r="I1126" s="29" t="str">
        <f t="shared" si="86"/>
        <v>AB406550</v>
      </c>
      <c r="J1126" s="59">
        <f t="shared" ca="1" si="87"/>
        <v>45940</v>
      </c>
      <c r="K1126" s="30">
        <f ca="1">LOOKUP(A1126,'QALS - Inspection Lot Record'!A:A,'QALS - Inspection Lot Record'!I:I)</f>
        <v>0.66524305555555552</v>
      </c>
      <c r="L1126" s="59">
        <f t="shared" ca="1" si="88"/>
        <v>45940</v>
      </c>
      <c r="M1126" s="30">
        <f t="shared" ca="1" si="89"/>
        <v>0.6837037037037037</v>
      </c>
      <c r="N1126" s="31"/>
      <c r="O1126" s="31">
        <v>41.4</v>
      </c>
      <c r="P1126" s="29">
        <v>40</v>
      </c>
      <c r="Q1126" s="29">
        <v>60</v>
      </c>
    </row>
    <row r="1127" spans="1:17" x14ac:dyDescent="0.35">
      <c r="A1127" s="26">
        <v>40000002641</v>
      </c>
      <c r="B1127" s="31">
        <v>1</v>
      </c>
      <c r="C1127" s="29" t="str">
        <f>LOOKUP(A1127,'QALS - Inspection Lot Record'!$A$2:$A$361,'QALS - Inspection Lot Record'!$O$2:$O$361)</f>
        <v>Metformin Tablets (200 MG)</v>
      </c>
      <c r="D1127" s="31">
        <v>60</v>
      </c>
      <c r="E1127" s="29" t="s">
        <v>405</v>
      </c>
      <c r="F1127" s="29" t="str">
        <f>LOOKUP(A1127,'QALS - Inspection Lot Record'!A:A,'QALS - Inspection Lot Record'!G:G)</f>
        <v>AB406550</v>
      </c>
      <c r="G1127" s="59">
        <f ca="1">LOOKUP(A1127,'QALS - Inspection Lot Record'!A:A,'QALS - Inspection Lot Record'!E:E)</f>
        <v>45940</v>
      </c>
      <c r="H1127" s="34" t="str">
        <f t="shared" si="90"/>
        <v>A</v>
      </c>
      <c r="I1127" s="29" t="str">
        <f t="shared" si="86"/>
        <v>AB406550</v>
      </c>
      <c r="J1127" s="59">
        <f t="shared" ca="1" si="87"/>
        <v>45940</v>
      </c>
      <c r="K1127" s="30">
        <f ca="1">LOOKUP(A1127,'QALS - Inspection Lot Record'!A:A,'QALS - Inspection Lot Record'!I:I)</f>
        <v>0.66524305555555552</v>
      </c>
      <c r="L1127" s="59">
        <f t="shared" ca="1" si="88"/>
        <v>45940</v>
      </c>
      <c r="M1127" s="30">
        <f t="shared" ca="1" si="89"/>
        <v>0.68668981481481473</v>
      </c>
      <c r="N1127" s="31"/>
      <c r="O1127" s="31">
        <v>71.099999999999994</v>
      </c>
      <c r="P1127" s="29">
        <v>70</v>
      </c>
      <c r="Q1127" s="29">
        <v>85</v>
      </c>
    </row>
    <row r="1128" spans="1:17" x14ac:dyDescent="0.35">
      <c r="A1128" s="26">
        <v>40000002641</v>
      </c>
      <c r="B1128" s="31">
        <v>1</v>
      </c>
      <c r="C1128" s="29" t="str">
        <f>LOOKUP(A1128,'QALS - Inspection Lot Record'!$A$2:$A$361,'QALS - Inspection Lot Record'!$O$2:$O$361)</f>
        <v>Metformin Tablets (200 MG)</v>
      </c>
      <c r="D1128" s="31">
        <v>70</v>
      </c>
      <c r="E1128" s="29" t="s">
        <v>406</v>
      </c>
      <c r="F1128" s="29" t="str">
        <f>LOOKUP(A1128,'QALS - Inspection Lot Record'!A:A,'QALS - Inspection Lot Record'!G:G)</f>
        <v>AB406550</v>
      </c>
      <c r="G1128" s="59">
        <f ca="1">LOOKUP(A1128,'QALS - Inspection Lot Record'!A:A,'QALS - Inspection Lot Record'!E:E)</f>
        <v>45940</v>
      </c>
      <c r="H1128" s="34" t="str">
        <f t="shared" si="90"/>
        <v>A</v>
      </c>
      <c r="I1128" s="29" t="str">
        <f t="shared" si="86"/>
        <v>AB406550</v>
      </c>
      <c r="J1128" s="59">
        <f t="shared" ca="1" si="87"/>
        <v>45940</v>
      </c>
      <c r="K1128" s="30">
        <f ca="1">LOOKUP(A1128,'QALS - Inspection Lot Record'!A:A,'QALS - Inspection Lot Record'!I:I)</f>
        <v>0.66524305555555552</v>
      </c>
      <c r="L1128" s="59">
        <f t="shared" ca="1" si="88"/>
        <v>45940</v>
      </c>
      <c r="M1128" s="30">
        <f t="shared" ca="1" si="89"/>
        <v>0.68436342592592592</v>
      </c>
      <c r="N1128" s="31"/>
      <c r="O1128" s="31">
        <v>81.900000000000006</v>
      </c>
      <c r="P1128" s="29">
        <v>80</v>
      </c>
      <c r="Q1128" s="29">
        <v>90</v>
      </c>
    </row>
    <row r="1129" spans="1:17" x14ac:dyDescent="0.35">
      <c r="A1129" s="26">
        <v>40000002641</v>
      </c>
      <c r="B1129" s="31">
        <v>1</v>
      </c>
      <c r="C1129" s="29" t="str">
        <f>LOOKUP(A1129,'QALS - Inspection Lot Record'!$A$2:$A$361,'QALS - Inspection Lot Record'!$O$2:$O$361)</f>
        <v>Metformin Tablets (200 MG)</v>
      </c>
      <c r="D1129" s="31">
        <v>80</v>
      </c>
      <c r="E1129" s="29" t="s">
        <v>407</v>
      </c>
      <c r="F1129" s="29" t="str">
        <f>LOOKUP(A1129,'QALS - Inspection Lot Record'!A:A,'QALS - Inspection Lot Record'!G:G)</f>
        <v>AB406550</v>
      </c>
      <c r="G1129" s="59">
        <f ca="1">LOOKUP(A1129,'QALS - Inspection Lot Record'!A:A,'QALS - Inspection Lot Record'!E:E)</f>
        <v>45940</v>
      </c>
      <c r="H1129" s="34" t="str">
        <f t="shared" si="90"/>
        <v>A</v>
      </c>
      <c r="I1129" s="29" t="str">
        <f t="shared" si="86"/>
        <v>AB406550</v>
      </c>
      <c r="J1129" s="59">
        <f t="shared" ca="1" si="87"/>
        <v>45940</v>
      </c>
      <c r="K1129" s="30">
        <f ca="1">LOOKUP(A1129,'QALS - Inspection Lot Record'!A:A,'QALS - Inspection Lot Record'!I:I)</f>
        <v>0.66524305555555552</v>
      </c>
      <c r="L1129" s="59">
        <f t="shared" ca="1" si="88"/>
        <v>45940</v>
      </c>
      <c r="M1129" s="30">
        <f t="shared" ca="1" si="89"/>
        <v>0.70008101851851845</v>
      </c>
      <c r="N1129" s="31"/>
      <c r="O1129" s="31">
        <v>25.5</v>
      </c>
      <c r="P1129" s="29">
        <v>23</v>
      </c>
      <c r="Q1129" s="29">
        <v>28</v>
      </c>
    </row>
    <row r="1130" spans="1:17" x14ac:dyDescent="0.35">
      <c r="A1130" s="26">
        <v>40000002642</v>
      </c>
      <c r="B1130" s="27">
        <v>1</v>
      </c>
      <c r="C1130" s="29" t="str">
        <f>LOOKUP(A1130,'QALS - Inspection Lot Record'!$A$2:$A$361,'QALS - Inspection Lot Record'!$O$2:$O$361)</f>
        <v>Metformin Tablets (100 MG)</v>
      </c>
      <c r="D1130" s="27">
        <v>10</v>
      </c>
      <c r="E1130" s="26" t="s">
        <v>399</v>
      </c>
      <c r="F1130" s="29" t="str">
        <f>LOOKUP(A1130,'QALS - Inspection Lot Record'!A:A,'QALS - Inspection Lot Record'!G:G)</f>
        <v>YA284176</v>
      </c>
      <c r="G1130" s="59">
        <f ca="1">LOOKUP(A1130,'QALS - Inspection Lot Record'!A:A,'QALS - Inspection Lot Record'!E:E)</f>
        <v>45940</v>
      </c>
      <c r="H1130" s="34" t="str">
        <f t="shared" si="90"/>
        <v>A</v>
      </c>
      <c r="I1130" s="29" t="str">
        <f t="shared" si="86"/>
        <v>YA284176</v>
      </c>
      <c r="J1130" s="59">
        <f t="shared" ca="1" si="87"/>
        <v>45940</v>
      </c>
      <c r="K1130" s="30">
        <f ca="1">LOOKUP(A1130,'QALS - Inspection Lot Record'!A:A,'QALS - Inspection Lot Record'!I:I)</f>
        <v>0.43525462962962963</v>
      </c>
      <c r="L1130" s="59">
        <f t="shared" ca="1" si="88"/>
        <v>45940</v>
      </c>
      <c r="M1130" s="30">
        <f t="shared" ca="1" si="89"/>
        <v>0.45946759259259262</v>
      </c>
      <c r="N1130" s="31"/>
      <c r="O1130" s="31">
        <v>98.5</v>
      </c>
      <c r="P1130" s="29">
        <v>95</v>
      </c>
      <c r="Q1130" s="29">
        <v>102</v>
      </c>
    </row>
    <row r="1131" spans="1:17" x14ac:dyDescent="0.35">
      <c r="A1131" s="26">
        <v>40000002642</v>
      </c>
      <c r="B1131" s="27">
        <v>1</v>
      </c>
      <c r="C1131" s="29" t="str">
        <f>LOOKUP(A1131,'QALS - Inspection Lot Record'!$A$2:$A$361,'QALS - Inspection Lot Record'!$O$2:$O$361)</f>
        <v>Metformin Tablets (100 MG)</v>
      </c>
      <c r="D1131" s="31">
        <v>20</v>
      </c>
      <c r="E1131" s="29" t="s">
        <v>400</v>
      </c>
      <c r="F1131" s="29" t="str">
        <f>LOOKUP(A1131,'QALS - Inspection Lot Record'!A:A,'QALS - Inspection Lot Record'!G:G)</f>
        <v>YA284176</v>
      </c>
      <c r="G1131" s="59">
        <f ca="1">LOOKUP(A1131,'QALS - Inspection Lot Record'!A:A,'QALS - Inspection Lot Record'!E:E)</f>
        <v>45940</v>
      </c>
      <c r="H1131" s="34" t="str">
        <f t="shared" si="90"/>
        <v>A</v>
      </c>
      <c r="I1131" s="29" t="str">
        <f t="shared" si="86"/>
        <v>YA284176</v>
      </c>
      <c r="J1131" s="59">
        <f t="shared" ca="1" si="87"/>
        <v>45940</v>
      </c>
      <c r="K1131" s="30">
        <f ca="1">LOOKUP(A1131,'QALS - Inspection Lot Record'!A:A,'QALS - Inspection Lot Record'!I:I)</f>
        <v>0.43525462962962963</v>
      </c>
      <c r="L1131" s="59">
        <f t="shared" ca="1" si="88"/>
        <v>45940</v>
      </c>
      <c r="M1131" s="30">
        <f t="shared" ca="1" si="89"/>
        <v>0.46347222222222223</v>
      </c>
      <c r="N1131" s="31"/>
      <c r="O1131" s="31">
        <v>7.3</v>
      </c>
      <c r="P1131" s="29">
        <v>3.5</v>
      </c>
      <c r="Q1131" s="29">
        <v>11</v>
      </c>
    </row>
    <row r="1132" spans="1:17" x14ac:dyDescent="0.35">
      <c r="A1132" s="26">
        <v>40000002642</v>
      </c>
      <c r="B1132" s="31">
        <v>1</v>
      </c>
      <c r="C1132" s="29" t="str">
        <f>LOOKUP(A1132,'QALS - Inspection Lot Record'!$A$2:$A$361,'QALS - Inspection Lot Record'!$O$2:$O$361)</f>
        <v>Metformin Tablets (100 MG)</v>
      </c>
      <c r="D1132" s="31">
        <v>30</v>
      </c>
      <c r="E1132" s="29" t="s">
        <v>401</v>
      </c>
      <c r="F1132" s="29" t="str">
        <f>LOOKUP(A1132,'QALS - Inspection Lot Record'!A:A,'QALS - Inspection Lot Record'!G:G)</f>
        <v>YA284176</v>
      </c>
      <c r="G1132" s="59">
        <f ca="1">LOOKUP(A1132,'QALS - Inspection Lot Record'!A:A,'QALS - Inspection Lot Record'!E:E)</f>
        <v>45940</v>
      </c>
      <c r="H1132" s="34" t="str">
        <f t="shared" si="90"/>
        <v>A</v>
      </c>
      <c r="I1132" s="29" t="str">
        <f t="shared" si="86"/>
        <v>YA284176</v>
      </c>
      <c r="J1132" s="59">
        <f t="shared" ca="1" si="87"/>
        <v>45940</v>
      </c>
      <c r="K1132" s="30">
        <f ca="1">LOOKUP(A1132,'QALS - Inspection Lot Record'!A:A,'QALS - Inspection Lot Record'!I:I)</f>
        <v>0.43525462962962963</v>
      </c>
      <c r="L1132" s="59">
        <f t="shared" ca="1" si="88"/>
        <v>45940</v>
      </c>
      <c r="M1132" s="30">
        <f t="shared" ca="1" si="89"/>
        <v>0.4609375</v>
      </c>
      <c r="N1132" s="11" t="s">
        <v>402</v>
      </c>
      <c r="O1132" s="31"/>
      <c r="P1132" s="29"/>
      <c r="Q1132" s="29"/>
    </row>
    <row r="1133" spans="1:17" x14ac:dyDescent="0.35">
      <c r="A1133" s="26">
        <v>40000002642</v>
      </c>
      <c r="B1133" s="31">
        <v>1</v>
      </c>
      <c r="C1133" s="29" t="str">
        <f>LOOKUP(A1133,'QALS - Inspection Lot Record'!$A$2:$A$361,'QALS - Inspection Lot Record'!$O$2:$O$361)</f>
        <v>Metformin Tablets (100 MG)</v>
      </c>
      <c r="D1133" s="31">
        <v>40</v>
      </c>
      <c r="E1133" s="29" t="s">
        <v>403</v>
      </c>
      <c r="F1133" s="29" t="str">
        <f>LOOKUP(A1133,'QALS - Inspection Lot Record'!A:A,'QALS - Inspection Lot Record'!G:G)</f>
        <v>YA284176</v>
      </c>
      <c r="G1133" s="59">
        <f ca="1">LOOKUP(A1133,'QALS - Inspection Lot Record'!A:A,'QALS - Inspection Lot Record'!E:E)</f>
        <v>45940</v>
      </c>
      <c r="H1133" s="34" t="str">
        <f t="shared" si="90"/>
        <v>A</v>
      </c>
      <c r="I1133" s="29" t="str">
        <f t="shared" si="86"/>
        <v>YA284176</v>
      </c>
      <c r="J1133" s="59">
        <f t="shared" ca="1" si="87"/>
        <v>45940</v>
      </c>
      <c r="K1133" s="30">
        <f ca="1">LOOKUP(A1133,'QALS - Inspection Lot Record'!A:A,'QALS - Inspection Lot Record'!I:I)</f>
        <v>0.43525462962962963</v>
      </c>
      <c r="L1133" s="59">
        <f t="shared" ca="1" si="88"/>
        <v>45940</v>
      </c>
      <c r="M1133" s="30">
        <f t="shared" ca="1" si="89"/>
        <v>0.47017361111111111</v>
      </c>
      <c r="N1133" s="31"/>
      <c r="O1133" s="31">
        <v>0.5</v>
      </c>
      <c r="P1133" s="29">
        <v>0</v>
      </c>
      <c r="Q1133" s="29">
        <v>1</v>
      </c>
    </row>
    <row r="1134" spans="1:17" x14ac:dyDescent="0.35">
      <c r="A1134" s="26">
        <v>40000002642</v>
      </c>
      <c r="B1134" s="31">
        <v>1</v>
      </c>
      <c r="C1134" s="29" t="str">
        <f>LOOKUP(A1134,'QALS - Inspection Lot Record'!$A$2:$A$361,'QALS - Inspection Lot Record'!$O$2:$O$361)</f>
        <v>Metformin Tablets (100 MG)</v>
      </c>
      <c r="D1134" s="31">
        <v>50</v>
      </c>
      <c r="E1134" s="29" t="s">
        <v>404</v>
      </c>
      <c r="F1134" s="29" t="str">
        <f>LOOKUP(A1134,'QALS - Inspection Lot Record'!A:A,'QALS - Inspection Lot Record'!G:G)</f>
        <v>YA284176</v>
      </c>
      <c r="G1134" s="59">
        <f ca="1">LOOKUP(A1134,'QALS - Inspection Lot Record'!A:A,'QALS - Inspection Lot Record'!E:E)</f>
        <v>45940</v>
      </c>
      <c r="H1134" s="34" t="str">
        <f t="shared" si="90"/>
        <v>A</v>
      </c>
      <c r="I1134" s="29" t="str">
        <f t="shared" si="86"/>
        <v>YA284176</v>
      </c>
      <c r="J1134" s="59">
        <f t="shared" ca="1" si="87"/>
        <v>45940</v>
      </c>
      <c r="K1134" s="30">
        <f ca="1">LOOKUP(A1134,'QALS - Inspection Lot Record'!A:A,'QALS - Inspection Lot Record'!I:I)</f>
        <v>0.43525462962962963</v>
      </c>
      <c r="L1134" s="59">
        <f t="shared" ca="1" si="88"/>
        <v>45940</v>
      </c>
      <c r="M1134" s="30">
        <f t="shared" ca="1" si="89"/>
        <v>0.45449074074074075</v>
      </c>
      <c r="N1134" s="31"/>
      <c r="O1134" s="31">
        <v>41.6</v>
      </c>
      <c r="P1134" s="29">
        <v>40</v>
      </c>
      <c r="Q1134" s="29">
        <v>60</v>
      </c>
    </row>
    <row r="1135" spans="1:17" x14ac:dyDescent="0.35">
      <c r="A1135" s="26">
        <v>40000002642</v>
      </c>
      <c r="B1135" s="31">
        <v>1</v>
      </c>
      <c r="C1135" s="29" t="str">
        <f>LOOKUP(A1135,'QALS - Inspection Lot Record'!$A$2:$A$361,'QALS - Inspection Lot Record'!$O$2:$O$361)</f>
        <v>Metformin Tablets (100 MG)</v>
      </c>
      <c r="D1135" s="31">
        <v>60</v>
      </c>
      <c r="E1135" s="29" t="s">
        <v>405</v>
      </c>
      <c r="F1135" s="29" t="str">
        <f>LOOKUP(A1135,'QALS - Inspection Lot Record'!A:A,'QALS - Inspection Lot Record'!G:G)</f>
        <v>YA284176</v>
      </c>
      <c r="G1135" s="59">
        <f ca="1">LOOKUP(A1135,'QALS - Inspection Lot Record'!A:A,'QALS - Inspection Lot Record'!E:E)</f>
        <v>45940</v>
      </c>
      <c r="H1135" s="34" t="str">
        <f t="shared" si="90"/>
        <v>A</v>
      </c>
      <c r="I1135" s="29" t="str">
        <f t="shared" si="86"/>
        <v>YA284176</v>
      </c>
      <c r="J1135" s="59">
        <f t="shared" ca="1" si="87"/>
        <v>45940</v>
      </c>
      <c r="K1135" s="30">
        <f ca="1">LOOKUP(A1135,'QALS - Inspection Lot Record'!A:A,'QALS - Inspection Lot Record'!I:I)</f>
        <v>0.43525462962962963</v>
      </c>
      <c r="L1135" s="59">
        <f t="shared" ca="1" si="88"/>
        <v>45940</v>
      </c>
      <c r="M1135" s="30">
        <f t="shared" ca="1" si="89"/>
        <v>0.46368055555555554</v>
      </c>
      <c r="N1135" s="31"/>
      <c r="O1135" s="31">
        <v>71.7</v>
      </c>
      <c r="P1135" s="29">
        <v>70</v>
      </c>
      <c r="Q1135" s="29">
        <v>85</v>
      </c>
    </row>
    <row r="1136" spans="1:17" x14ac:dyDescent="0.35">
      <c r="A1136" s="26">
        <v>40000002642</v>
      </c>
      <c r="B1136" s="31">
        <v>1</v>
      </c>
      <c r="C1136" s="29" t="str">
        <f>LOOKUP(A1136,'QALS - Inspection Lot Record'!$A$2:$A$361,'QALS - Inspection Lot Record'!$O$2:$O$361)</f>
        <v>Metformin Tablets (100 MG)</v>
      </c>
      <c r="D1136" s="31">
        <v>70</v>
      </c>
      <c r="E1136" s="29" t="s">
        <v>406</v>
      </c>
      <c r="F1136" s="29" t="str">
        <f>LOOKUP(A1136,'QALS - Inspection Lot Record'!A:A,'QALS - Inspection Lot Record'!G:G)</f>
        <v>YA284176</v>
      </c>
      <c r="G1136" s="59">
        <f ca="1">LOOKUP(A1136,'QALS - Inspection Lot Record'!A:A,'QALS - Inspection Lot Record'!E:E)</f>
        <v>45940</v>
      </c>
      <c r="H1136" s="34" t="str">
        <f t="shared" si="90"/>
        <v>A</v>
      </c>
      <c r="I1136" s="29" t="str">
        <f t="shared" si="86"/>
        <v>YA284176</v>
      </c>
      <c r="J1136" s="59">
        <f t="shared" ca="1" si="87"/>
        <v>45940</v>
      </c>
      <c r="K1136" s="30">
        <f ca="1">LOOKUP(A1136,'QALS - Inspection Lot Record'!A:A,'QALS - Inspection Lot Record'!I:I)</f>
        <v>0.43525462962962963</v>
      </c>
      <c r="L1136" s="59">
        <f t="shared" ca="1" si="88"/>
        <v>45940</v>
      </c>
      <c r="M1136" s="30">
        <f t="shared" ca="1" si="89"/>
        <v>0.46924768518518517</v>
      </c>
      <c r="N1136" s="31"/>
      <c r="O1136" s="31">
        <v>81.3</v>
      </c>
      <c r="P1136" s="29">
        <v>80</v>
      </c>
      <c r="Q1136" s="29">
        <v>90</v>
      </c>
    </row>
    <row r="1137" spans="1:17" x14ac:dyDescent="0.35">
      <c r="A1137" s="26">
        <v>40000002642</v>
      </c>
      <c r="B1137" s="31">
        <v>1</v>
      </c>
      <c r="C1137" s="29" t="str">
        <f>LOOKUP(A1137,'QALS - Inspection Lot Record'!$A$2:$A$361,'QALS - Inspection Lot Record'!$O$2:$O$361)</f>
        <v>Metformin Tablets (100 MG)</v>
      </c>
      <c r="D1137" s="31">
        <v>80</v>
      </c>
      <c r="E1137" s="29" t="s">
        <v>407</v>
      </c>
      <c r="F1137" s="29" t="str">
        <f>LOOKUP(A1137,'QALS - Inspection Lot Record'!A:A,'QALS - Inspection Lot Record'!G:G)</f>
        <v>YA284176</v>
      </c>
      <c r="G1137" s="59">
        <f ca="1">LOOKUP(A1137,'QALS - Inspection Lot Record'!A:A,'QALS - Inspection Lot Record'!E:E)</f>
        <v>45940</v>
      </c>
      <c r="H1137" s="34" t="str">
        <f t="shared" si="90"/>
        <v>A</v>
      </c>
      <c r="I1137" s="29" t="str">
        <f t="shared" si="86"/>
        <v>YA284176</v>
      </c>
      <c r="J1137" s="59">
        <f t="shared" ca="1" si="87"/>
        <v>45940</v>
      </c>
      <c r="K1137" s="30">
        <f ca="1">LOOKUP(A1137,'QALS - Inspection Lot Record'!A:A,'QALS - Inspection Lot Record'!I:I)</f>
        <v>0.43525462962962963</v>
      </c>
      <c r="L1137" s="59">
        <f t="shared" ca="1" si="88"/>
        <v>45940</v>
      </c>
      <c r="M1137" s="30">
        <f t="shared" ca="1" si="89"/>
        <v>0.46856481481481482</v>
      </c>
      <c r="N1137" s="31"/>
      <c r="O1137" s="31">
        <v>24</v>
      </c>
      <c r="P1137" s="29">
        <v>23</v>
      </c>
      <c r="Q1137" s="29">
        <v>25</v>
      </c>
    </row>
    <row r="1138" spans="1:17" x14ac:dyDescent="0.35">
      <c r="A1138" s="26">
        <v>40000002643</v>
      </c>
      <c r="B1138" s="27">
        <v>1</v>
      </c>
      <c r="C1138" s="29" t="str">
        <f>LOOKUP(A1138,'QALS - Inspection Lot Record'!$A$2:$A$361,'QALS - Inspection Lot Record'!$O$2:$O$361)</f>
        <v>Metformin Tablets (500 MG)</v>
      </c>
      <c r="D1138" s="27">
        <v>10</v>
      </c>
      <c r="E1138" s="26" t="s">
        <v>399</v>
      </c>
      <c r="F1138" s="29" t="str">
        <f>LOOKUP(A1138,'QALS - Inspection Lot Record'!A:A,'QALS - Inspection Lot Record'!G:G)</f>
        <v>TP397880</v>
      </c>
      <c r="G1138" s="59">
        <f ca="1">LOOKUP(A1138,'QALS - Inspection Lot Record'!A:A,'QALS - Inspection Lot Record'!E:E)</f>
        <v>45941</v>
      </c>
      <c r="H1138" s="34" t="str">
        <f t="shared" si="90"/>
        <v>A</v>
      </c>
      <c r="I1138" s="29" t="str">
        <f t="shared" si="86"/>
        <v>TP397880</v>
      </c>
      <c r="J1138" s="59">
        <f t="shared" ca="1" si="87"/>
        <v>45941</v>
      </c>
      <c r="K1138" s="30">
        <f ca="1">LOOKUP(A1138,'QALS - Inspection Lot Record'!A:A,'QALS - Inspection Lot Record'!I:I)</f>
        <v>0.80561342592592589</v>
      </c>
      <c r="L1138" s="59">
        <f t="shared" ca="1" si="88"/>
        <v>45941</v>
      </c>
      <c r="M1138" s="30">
        <f t="shared" ca="1" si="89"/>
        <v>0.8319791666666666</v>
      </c>
      <c r="N1138" s="31"/>
      <c r="O1138" s="31">
        <v>100</v>
      </c>
      <c r="P1138" s="29">
        <v>95</v>
      </c>
      <c r="Q1138" s="29">
        <v>105</v>
      </c>
    </row>
    <row r="1139" spans="1:17" x14ac:dyDescent="0.35">
      <c r="A1139" s="26">
        <v>40000002643</v>
      </c>
      <c r="B1139" s="27">
        <v>1</v>
      </c>
      <c r="C1139" s="29" t="str">
        <f>LOOKUP(A1139,'QALS - Inspection Lot Record'!$A$2:$A$361,'QALS - Inspection Lot Record'!$O$2:$O$361)</f>
        <v>Metformin Tablets (500 MG)</v>
      </c>
      <c r="D1139" s="31">
        <v>20</v>
      </c>
      <c r="E1139" s="29" t="s">
        <v>400</v>
      </c>
      <c r="F1139" s="29" t="str">
        <f>LOOKUP(A1139,'QALS - Inspection Lot Record'!A:A,'QALS - Inspection Lot Record'!G:G)</f>
        <v>TP397880</v>
      </c>
      <c r="G1139" s="59">
        <f ca="1">LOOKUP(A1139,'QALS - Inspection Lot Record'!A:A,'QALS - Inspection Lot Record'!E:E)</f>
        <v>45941</v>
      </c>
      <c r="H1139" s="34" t="str">
        <f t="shared" si="90"/>
        <v>R</v>
      </c>
      <c r="I1139" s="29" t="str">
        <f t="shared" si="86"/>
        <v>TP397880</v>
      </c>
      <c r="J1139" s="59">
        <f t="shared" ca="1" si="87"/>
        <v>45941</v>
      </c>
      <c r="K1139" s="30">
        <f ca="1">LOOKUP(A1139,'QALS - Inspection Lot Record'!A:A,'QALS - Inspection Lot Record'!I:I)</f>
        <v>0.80561342592592589</v>
      </c>
      <c r="L1139" s="59">
        <f t="shared" ca="1" si="88"/>
        <v>45941</v>
      </c>
      <c r="M1139" s="30">
        <f t="shared" ca="1" si="89"/>
        <v>0.82964120370370364</v>
      </c>
      <c r="N1139" s="31"/>
      <c r="O1139" s="31">
        <v>1.8</v>
      </c>
      <c r="P1139" s="29">
        <v>3.5</v>
      </c>
      <c r="Q1139" s="29">
        <v>11</v>
      </c>
    </row>
    <row r="1140" spans="1:17" x14ac:dyDescent="0.35">
      <c r="A1140" s="26">
        <v>40000002643</v>
      </c>
      <c r="B1140" s="31">
        <v>1</v>
      </c>
      <c r="C1140" s="29" t="str">
        <f>LOOKUP(A1140,'QALS - Inspection Lot Record'!$A$2:$A$361,'QALS - Inspection Lot Record'!$O$2:$O$361)</f>
        <v>Metformin Tablets (500 MG)</v>
      </c>
      <c r="D1140" s="31">
        <v>30</v>
      </c>
      <c r="E1140" s="29" t="s">
        <v>401</v>
      </c>
      <c r="F1140" s="29" t="str">
        <f>LOOKUP(A1140,'QALS - Inspection Lot Record'!A:A,'QALS - Inspection Lot Record'!G:G)</f>
        <v>TP397880</v>
      </c>
      <c r="G1140" s="59">
        <f ca="1">LOOKUP(A1140,'QALS - Inspection Lot Record'!A:A,'QALS - Inspection Lot Record'!E:E)</f>
        <v>45941</v>
      </c>
      <c r="H1140" s="34" t="str">
        <f t="shared" si="90"/>
        <v>A</v>
      </c>
      <c r="I1140" s="29" t="str">
        <f t="shared" si="86"/>
        <v>TP397880</v>
      </c>
      <c r="J1140" s="59">
        <f t="shared" ca="1" si="87"/>
        <v>45941</v>
      </c>
      <c r="K1140" s="30">
        <f ca="1">LOOKUP(A1140,'QALS - Inspection Lot Record'!A:A,'QALS - Inspection Lot Record'!I:I)</f>
        <v>0.80561342592592589</v>
      </c>
      <c r="L1140" s="59">
        <f t="shared" ca="1" si="88"/>
        <v>45941</v>
      </c>
      <c r="M1140" s="30">
        <f t="shared" ca="1" si="89"/>
        <v>0.82428240740740732</v>
      </c>
      <c r="N1140" s="11" t="s">
        <v>402</v>
      </c>
      <c r="O1140" s="31"/>
      <c r="P1140" s="29"/>
      <c r="Q1140" s="29"/>
    </row>
    <row r="1141" spans="1:17" x14ac:dyDescent="0.35">
      <c r="A1141" s="26">
        <v>40000002643</v>
      </c>
      <c r="B1141" s="31">
        <v>1</v>
      </c>
      <c r="C1141" s="29" t="str">
        <f>LOOKUP(A1141,'QALS - Inspection Lot Record'!$A$2:$A$361,'QALS - Inspection Lot Record'!$O$2:$O$361)</f>
        <v>Metformin Tablets (500 MG)</v>
      </c>
      <c r="D1141" s="31">
        <v>40</v>
      </c>
      <c r="E1141" s="29" t="s">
        <v>403</v>
      </c>
      <c r="F1141" s="29" t="str">
        <f>LOOKUP(A1141,'QALS - Inspection Lot Record'!A:A,'QALS - Inspection Lot Record'!G:G)</f>
        <v>TP397880</v>
      </c>
      <c r="G1141" s="59">
        <f ca="1">LOOKUP(A1141,'QALS - Inspection Lot Record'!A:A,'QALS - Inspection Lot Record'!E:E)</f>
        <v>45941</v>
      </c>
      <c r="H1141" s="34" t="str">
        <f t="shared" si="90"/>
        <v>A</v>
      </c>
      <c r="I1141" s="29" t="str">
        <f t="shared" si="86"/>
        <v>TP397880</v>
      </c>
      <c r="J1141" s="59">
        <f t="shared" ca="1" si="87"/>
        <v>45941</v>
      </c>
      <c r="K1141" s="30">
        <f ca="1">LOOKUP(A1141,'QALS - Inspection Lot Record'!A:A,'QALS - Inspection Lot Record'!I:I)</f>
        <v>0.80561342592592589</v>
      </c>
      <c r="L1141" s="59">
        <f t="shared" ca="1" si="88"/>
        <v>45941</v>
      </c>
      <c r="M1141" s="30">
        <f t="shared" ca="1" si="89"/>
        <v>0.8330439814814814</v>
      </c>
      <c r="N1141" s="31"/>
      <c r="O1141" s="31">
        <v>0</v>
      </c>
      <c r="P1141" s="29">
        <v>0</v>
      </c>
      <c r="Q1141" s="29">
        <v>2</v>
      </c>
    </row>
    <row r="1142" spans="1:17" x14ac:dyDescent="0.35">
      <c r="A1142" s="26">
        <v>40000002643</v>
      </c>
      <c r="B1142" s="31">
        <v>1</v>
      </c>
      <c r="C1142" s="29" t="str">
        <f>LOOKUP(A1142,'QALS - Inspection Lot Record'!$A$2:$A$361,'QALS - Inspection Lot Record'!$O$2:$O$361)</f>
        <v>Metformin Tablets (500 MG)</v>
      </c>
      <c r="D1142" s="31">
        <v>50</v>
      </c>
      <c r="E1142" s="29" t="s">
        <v>404</v>
      </c>
      <c r="F1142" s="29" t="str">
        <f>LOOKUP(A1142,'QALS - Inspection Lot Record'!A:A,'QALS - Inspection Lot Record'!G:G)</f>
        <v>TP397880</v>
      </c>
      <c r="G1142" s="59">
        <f ca="1">LOOKUP(A1142,'QALS - Inspection Lot Record'!A:A,'QALS - Inspection Lot Record'!E:E)</f>
        <v>45941</v>
      </c>
      <c r="H1142" s="34" t="str">
        <f t="shared" si="90"/>
        <v>A</v>
      </c>
      <c r="I1142" s="29" t="str">
        <f t="shared" si="86"/>
        <v>TP397880</v>
      </c>
      <c r="J1142" s="59">
        <f t="shared" ca="1" si="87"/>
        <v>45941</v>
      </c>
      <c r="K1142" s="30">
        <f ca="1">LOOKUP(A1142,'QALS - Inspection Lot Record'!A:A,'QALS - Inspection Lot Record'!I:I)</f>
        <v>0.80561342592592589</v>
      </c>
      <c r="L1142" s="59">
        <f t="shared" ca="1" si="88"/>
        <v>45941</v>
      </c>
      <c r="M1142" s="30">
        <f t="shared" ca="1" si="89"/>
        <v>0.8389699074074074</v>
      </c>
      <c r="N1142" s="31"/>
      <c r="O1142" s="31">
        <v>50</v>
      </c>
      <c r="P1142" s="29">
        <v>40</v>
      </c>
      <c r="Q1142" s="29">
        <v>60</v>
      </c>
    </row>
    <row r="1143" spans="1:17" x14ac:dyDescent="0.35">
      <c r="A1143" s="26">
        <v>40000002643</v>
      </c>
      <c r="B1143" s="31">
        <v>1</v>
      </c>
      <c r="C1143" s="29" t="str">
        <f>LOOKUP(A1143,'QALS - Inspection Lot Record'!$A$2:$A$361,'QALS - Inspection Lot Record'!$O$2:$O$361)</f>
        <v>Metformin Tablets (500 MG)</v>
      </c>
      <c r="D1143" s="31">
        <v>60</v>
      </c>
      <c r="E1143" s="29" t="s">
        <v>405</v>
      </c>
      <c r="F1143" s="29" t="str">
        <f>LOOKUP(A1143,'QALS - Inspection Lot Record'!A:A,'QALS - Inspection Lot Record'!G:G)</f>
        <v>TP397880</v>
      </c>
      <c r="G1143" s="59">
        <f ca="1">LOOKUP(A1143,'QALS - Inspection Lot Record'!A:A,'QALS - Inspection Lot Record'!E:E)</f>
        <v>45941</v>
      </c>
      <c r="H1143" s="34" t="str">
        <f t="shared" si="90"/>
        <v>A</v>
      </c>
      <c r="I1143" s="29" t="str">
        <f t="shared" si="86"/>
        <v>TP397880</v>
      </c>
      <c r="J1143" s="59">
        <f t="shared" ca="1" si="87"/>
        <v>45941</v>
      </c>
      <c r="K1143" s="30">
        <f ca="1">LOOKUP(A1143,'QALS - Inspection Lot Record'!A:A,'QALS - Inspection Lot Record'!I:I)</f>
        <v>0.80561342592592589</v>
      </c>
      <c r="L1143" s="59">
        <f t="shared" ca="1" si="88"/>
        <v>45941</v>
      </c>
      <c r="M1143" s="30">
        <f t="shared" ca="1" si="89"/>
        <v>0.82988425925925924</v>
      </c>
      <c r="N1143" s="31"/>
      <c r="O1143" s="31">
        <v>77.5</v>
      </c>
      <c r="P1143" s="29">
        <v>70</v>
      </c>
      <c r="Q1143" s="29">
        <v>85</v>
      </c>
    </row>
    <row r="1144" spans="1:17" x14ac:dyDescent="0.35">
      <c r="A1144" s="26">
        <v>40000002643</v>
      </c>
      <c r="B1144" s="31">
        <v>1</v>
      </c>
      <c r="C1144" s="29" t="str">
        <f>LOOKUP(A1144,'QALS - Inspection Lot Record'!$A$2:$A$361,'QALS - Inspection Lot Record'!$O$2:$O$361)</f>
        <v>Metformin Tablets (500 MG)</v>
      </c>
      <c r="D1144" s="31">
        <v>70</v>
      </c>
      <c r="E1144" s="29" t="s">
        <v>406</v>
      </c>
      <c r="F1144" s="29" t="str">
        <f>LOOKUP(A1144,'QALS - Inspection Lot Record'!A:A,'QALS - Inspection Lot Record'!G:G)</f>
        <v>TP397880</v>
      </c>
      <c r="G1144" s="59">
        <f ca="1">LOOKUP(A1144,'QALS - Inspection Lot Record'!A:A,'QALS - Inspection Lot Record'!E:E)</f>
        <v>45941</v>
      </c>
      <c r="H1144" s="34" t="str">
        <f t="shared" si="90"/>
        <v>A</v>
      </c>
      <c r="I1144" s="29" t="str">
        <f t="shared" si="86"/>
        <v>TP397880</v>
      </c>
      <c r="J1144" s="59">
        <f t="shared" ca="1" si="87"/>
        <v>45941</v>
      </c>
      <c r="K1144" s="30">
        <f ca="1">LOOKUP(A1144,'QALS - Inspection Lot Record'!A:A,'QALS - Inspection Lot Record'!I:I)</f>
        <v>0.80561342592592589</v>
      </c>
      <c r="L1144" s="59">
        <f t="shared" ca="1" si="88"/>
        <v>45941</v>
      </c>
      <c r="M1144" s="30">
        <f t="shared" ca="1" si="89"/>
        <v>0.82340277777777771</v>
      </c>
      <c r="N1144" s="31"/>
      <c r="O1144" s="31">
        <v>85</v>
      </c>
      <c r="P1144" s="29">
        <v>80</v>
      </c>
      <c r="Q1144" s="29">
        <v>90</v>
      </c>
    </row>
    <row r="1145" spans="1:17" x14ac:dyDescent="0.35">
      <c r="A1145" s="26">
        <v>40000002643</v>
      </c>
      <c r="B1145" s="31">
        <v>1</v>
      </c>
      <c r="C1145" s="29" t="str">
        <f>LOOKUP(A1145,'QALS - Inspection Lot Record'!$A$2:$A$361,'QALS - Inspection Lot Record'!$O$2:$O$361)</f>
        <v>Metformin Tablets (500 MG)</v>
      </c>
      <c r="D1145" s="31">
        <v>80</v>
      </c>
      <c r="E1145" s="29" t="s">
        <v>407</v>
      </c>
      <c r="F1145" s="29" t="str">
        <f>LOOKUP(A1145,'QALS - Inspection Lot Record'!A:A,'QALS - Inspection Lot Record'!G:G)</f>
        <v>TP397880</v>
      </c>
      <c r="G1145" s="59">
        <f ca="1">LOOKUP(A1145,'QALS - Inspection Lot Record'!A:A,'QALS - Inspection Lot Record'!E:E)</f>
        <v>45941</v>
      </c>
      <c r="H1145" s="34" t="str">
        <f t="shared" si="90"/>
        <v>A</v>
      </c>
      <c r="I1145" s="29" t="str">
        <f t="shared" si="86"/>
        <v>TP397880</v>
      </c>
      <c r="J1145" s="59">
        <f t="shared" ca="1" si="87"/>
        <v>45941</v>
      </c>
      <c r="K1145" s="30">
        <f ca="1">LOOKUP(A1145,'QALS - Inspection Lot Record'!A:A,'QALS - Inspection Lot Record'!I:I)</f>
        <v>0.80561342592592589</v>
      </c>
      <c r="L1145" s="59">
        <f t="shared" ca="1" si="88"/>
        <v>45941</v>
      </c>
      <c r="M1145" s="30">
        <f t="shared" ca="1" si="89"/>
        <v>0.83307870370370363</v>
      </c>
      <c r="N1145" s="31"/>
      <c r="O1145" s="31">
        <v>25.5</v>
      </c>
      <c r="P1145" s="29">
        <v>23</v>
      </c>
      <c r="Q1145" s="29">
        <v>28</v>
      </c>
    </row>
    <row r="1146" spans="1:17" x14ac:dyDescent="0.35">
      <c r="A1146" s="26">
        <v>40000002644</v>
      </c>
      <c r="B1146" s="27">
        <v>1</v>
      </c>
      <c r="C1146" s="29" t="str">
        <f>LOOKUP(A1146,'QALS - Inspection Lot Record'!$A$2:$A$361,'QALS - Inspection Lot Record'!$O$2:$O$361)</f>
        <v>Metformin Tablets (100 MG)</v>
      </c>
      <c r="D1146" s="27">
        <v>10</v>
      </c>
      <c r="E1146" s="26" t="s">
        <v>399</v>
      </c>
      <c r="F1146" s="29" t="str">
        <f>LOOKUP(A1146,'QALS - Inspection Lot Record'!A:A,'QALS - Inspection Lot Record'!G:G)</f>
        <v>YA284176</v>
      </c>
      <c r="G1146" s="59">
        <f ca="1">LOOKUP(A1146,'QALS - Inspection Lot Record'!A:A,'QALS - Inspection Lot Record'!E:E)</f>
        <v>45941</v>
      </c>
      <c r="H1146" s="34" t="str">
        <f t="shared" si="90"/>
        <v>A</v>
      </c>
      <c r="I1146" s="29" t="str">
        <f t="shared" si="86"/>
        <v>YA284176</v>
      </c>
      <c r="J1146" s="59">
        <f t="shared" ca="1" si="87"/>
        <v>45941</v>
      </c>
      <c r="K1146" s="30">
        <f ca="1">LOOKUP(A1146,'QALS - Inspection Lot Record'!A:A,'QALS - Inspection Lot Record'!I:I)</f>
        <v>3.0752314814814816E-2</v>
      </c>
      <c r="L1146" s="59">
        <f t="shared" ca="1" si="88"/>
        <v>45941</v>
      </c>
      <c r="M1146" s="30">
        <f t="shared" ca="1" si="89"/>
        <v>5.3530092592592594E-2</v>
      </c>
      <c r="N1146" s="31"/>
      <c r="O1146" s="31">
        <v>98.5</v>
      </c>
      <c r="P1146" s="29">
        <v>95</v>
      </c>
      <c r="Q1146" s="29">
        <v>102</v>
      </c>
    </row>
    <row r="1147" spans="1:17" x14ac:dyDescent="0.35">
      <c r="A1147" s="26">
        <v>40000002644</v>
      </c>
      <c r="B1147" s="27">
        <v>1</v>
      </c>
      <c r="C1147" s="29" t="str">
        <f>LOOKUP(A1147,'QALS - Inspection Lot Record'!$A$2:$A$361,'QALS - Inspection Lot Record'!$O$2:$O$361)</f>
        <v>Metformin Tablets (100 MG)</v>
      </c>
      <c r="D1147" s="31">
        <v>20</v>
      </c>
      <c r="E1147" s="29" t="s">
        <v>400</v>
      </c>
      <c r="F1147" s="29" t="str">
        <f>LOOKUP(A1147,'QALS - Inspection Lot Record'!A:A,'QALS - Inspection Lot Record'!G:G)</f>
        <v>YA284176</v>
      </c>
      <c r="G1147" s="59">
        <f ca="1">LOOKUP(A1147,'QALS - Inspection Lot Record'!A:A,'QALS - Inspection Lot Record'!E:E)</f>
        <v>45941</v>
      </c>
      <c r="H1147" s="34" t="str">
        <f t="shared" si="90"/>
        <v>A</v>
      </c>
      <c r="I1147" s="29" t="str">
        <f t="shared" si="86"/>
        <v>YA284176</v>
      </c>
      <c r="J1147" s="59">
        <f t="shared" ca="1" si="87"/>
        <v>45941</v>
      </c>
      <c r="K1147" s="30">
        <f ca="1">LOOKUP(A1147,'QALS - Inspection Lot Record'!A:A,'QALS - Inspection Lot Record'!I:I)</f>
        <v>3.0752314814814816E-2</v>
      </c>
      <c r="L1147" s="59">
        <f t="shared" ca="1" si="88"/>
        <v>45941</v>
      </c>
      <c r="M1147" s="30">
        <f t="shared" ca="1" si="89"/>
        <v>5.1597222222222225E-2</v>
      </c>
      <c r="N1147" s="31"/>
      <c r="O1147" s="31">
        <v>7.25</v>
      </c>
      <c r="P1147" s="29">
        <v>3.5</v>
      </c>
      <c r="Q1147" s="29">
        <v>11</v>
      </c>
    </row>
    <row r="1148" spans="1:17" x14ac:dyDescent="0.35">
      <c r="A1148" s="26">
        <v>40000002644</v>
      </c>
      <c r="B1148" s="31">
        <v>1</v>
      </c>
      <c r="C1148" s="29" t="str">
        <f>LOOKUP(A1148,'QALS - Inspection Lot Record'!$A$2:$A$361,'QALS - Inspection Lot Record'!$O$2:$O$361)</f>
        <v>Metformin Tablets (100 MG)</v>
      </c>
      <c r="D1148" s="31">
        <v>30</v>
      </c>
      <c r="E1148" s="29" t="s">
        <v>401</v>
      </c>
      <c r="F1148" s="29" t="str">
        <f>LOOKUP(A1148,'QALS - Inspection Lot Record'!A:A,'QALS - Inspection Lot Record'!G:G)</f>
        <v>YA284176</v>
      </c>
      <c r="G1148" s="59">
        <f ca="1">LOOKUP(A1148,'QALS - Inspection Lot Record'!A:A,'QALS - Inspection Lot Record'!E:E)</f>
        <v>45941</v>
      </c>
      <c r="H1148" s="34" t="str">
        <f t="shared" si="90"/>
        <v>A</v>
      </c>
      <c r="I1148" s="29" t="str">
        <f t="shared" si="86"/>
        <v>YA284176</v>
      </c>
      <c r="J1148" s="59">
        <f t="shared" ca="1" si="87"/>
        <v>45941</v>
      </c>
      <c r="K1148" s="30">
        <f ca="1">LOOKUP(A1148,'QALS - Inspection Lot Record'!A:A,'QALS - Inspection Lot Record'!I:I)</f>
        <v>3.0752314814814816E-2</v>
      </c>
      <c r="L1148" s="59">
        <f t="shared" ca="1" si="88"/>
        <v>45941</v>
      </c>
      <c r="M1148" s="30">
        <f t="shared" ca="1" si="89"/>
        <v>4.8310185185185185E-2</v>
      </c>
      <c r="N1148" s="11" t="s">
        <v>402</v>
      </c>
      <c r="O1148" s="31"/>
      <c r="P1148" s="29"/>
      <c r="Q1148" s="29"/>
    </row>
    <row r="1149" spans="1:17" x14ac:dyDescent="0.35">
      <c r="A1149" s="26">
        <v>40000002644</v>
      </c>
      <c r="B1149" s="31">
        <v>1</v>
      </c>
      <c r="C1149" s="29" t="str">
        <f>LOOKUP(A1149,'QALS - Inspection Lot Record'!$A$2:$A$361,'QALS - Inspection Lot Record'!$O$2:$O$361)</f>
        <v>Metformin Tablets (100 MG)</v>
      </c>
      <c r="D1149" s="31">
        <v>40</v>
      </c>
      <c r="E1149" s="29" t="s">
        <v>403</v>
      </c>
      <c r="F1149" s="29" t="str">
        <f>LOOKUP(A1149,'QALS - Inspection Lot Record'!A:A,'QALS - Inspection Lot Record'!G:G)</f>
        <v>YA284176</v>
      </c>
      <c r="G1149" s="59">
        <f ca="1">LOOKUP(A1149,'QALS - Inspection Lot Record'!A:A,'QALS - Inspection Lot Record'!E:E)</f>
        <v>45941</v>
      </c>
      <c r="H1149" s="34" t="str">
        <f t="shared" si="90"/>
        <v>A</v>
      </c>
      <c r="I1149" s="29" t="str">
        <f t="shared" si="86"/>
        <v>YA284176</v>
      </c>
      <c r="J1149" s="59">
        <f t="shared" ca="1" si="87"/>
        <v>45941</v>
      </c>
      <c r="K1149" s="30">
        <f ca="1">LOOKUP(A1149,'QALS - Inspection Lot Record'!A:A,'QALS - Inspection Lot Record'!I:I)</f>
        <v>3.0752314814814816E-2</v>
      </c>
      <c r="L1149" s="59">
        <f t="shared" ca="1" si="88"/>
        <v>45941</v>
      </c>
      <c r="M1149" s="30">
        <f t="shared" ca="1" si="89"/>
        <v>6.1643518518518514E-2</v>
      </c>
      <c r="N1149" s="31"/>
      <c r="O1149" s="31">
        <v>0</v>
      </c>
      <c r="P1149" s="29">
        <v>0</v>
      </c>
      <c r="Q1149" s="29">
        <v>1</v>
      </c>
    </row>
    <row r="1150" spans="1:17" x14ac:dyDescent="0.35">
      <c r="A1150" s="26">
        <v>40000002644</v>
      </c>
      <c r="B1150" s="31">
        <v>1</v>
      </c>
      <c r="C1150" s="29" t="str">
        <f>LOOKUP(A1150,'QALS - Inspection Lot Record'!$A$2:$A$361,'QALS - Inspection Lot Record'!$O$2:$O$361)</f>
        <v>Metformin Tablets (100 MG)</v>
      </c>
      <c r="D1150" s="31">
        <v>50</v>
      </c>
      <c r="E1150" s="29" t="s">
        <v>404</v>
      </c>
      <c r="F1150" s="29" t="str">
        <f>LOOKUP(A1150,'QALS - Inspection Lot Record'!A:A,'QALS - Inspection Lot Record'!G:G)</f>
        <v>YA284176</v>
      </c>
      <c r="G1150" s="59">
        <f ca="1">LOOKUP(A1150,'QALS - Inspection Lot Record'!A:A,'QALS - Inspection Lot Record'!E:E)</f>
        <v>45941</v>
      </c>
      <c r="H1150" s="34" t="str">
        <f t="shared" si="90"/>
        <v>A</v>
      </c>
      <c r="I1150" s="29" t="str">
        <f t="shared" si="86"/>
        <v>YA284176</v>
      </c>
      <c r="J1150" s="59">
        <f t="shared" ca="1" si="87"/>
        <v>45941</v>
      </c>
      <c r="K1150" s="30">
        <f ca="1">LOOKUP(A1150,'QALS - Inspection Lot Record'!A:A,'QALS - Inspection Lot Record'!I:I)</f>
        <v>3.0752314814814816E-2</v>
      </c>
      <c r="L1150" s="59">
        <f t="shared" ca="1" si="88"/>
        <v>45941</v>
      </c>
      <c r="M1150" s="30">
        <f t="shared" ca="1" si="89"/>
        <v>4.8275462962962964E-2</v>
      </c>
      <c r="N1150" s="31"/>
      <c r="O1150" s="31">
        <v>50</v>
      </c>
      <c r="P1150" s="29">
        <v>40</v>
      </c>
      <c r="Q1150" s="29">
        <v>60</v>
      </c>
    </row>
    <row r="1151" spans="1:17" x14ac:dyDescent="0.35">
      <c r="A1151" s="26">
        <v>40000002644</v>
      </c>
      <c r="B1151" s="31">
        <v>1</v>
      </c>
      <c r="C1151" s="29" t="str">
        <f>LOOKUP(A1151,'QALS - Inspection Lot Record'!$A$2:$A$361,'QALS - Inspection Lot Record'!$O$2:$O$361)</f>
        <v>Metformin Tablets (100 MG)</v>
      </c>
      <c r="D1151" s="31">
        <v>60</v>
      </c>
      <c r="E1151" s="29" t="s">
        <v>405</v>
      </c>
      <c r="F1151" s="29" t="str">
        <f>LOOKUP(A1151,'QALS - Inspection Lot Record'!A:A,'QALS - Inspection Lot Record'!G:G)</f>
        <v>YA284176</v>
      </c>
      <c r="G1151" s="59">
        <f ca="1">LOOKUP(A1151,'QALS - Inspection Lot Record'!A:A,'QALS - Inspection Lot Record'!E:E)</f>
        <v>45941</v>
      </c>
      <c r="H1151" s="34" t="str">
        <f t="shared" si="90"/>
        <v>A</v>
      </c>
      <c r="I1151" s="29" t="str">
        <f t="shared" si="86"/>
        <v>YA284176</v>
      </c>
      <c r="J1151" s="59">
        <f t="shared" ca="1" si="87"/>
        <v>45941</v>
      </c>
      <c r="K1151" s="30">
        <f ca="1">LOOKUP(A1151,'QALS - Inspection Lot Record'!A:A,'QALS - Inspection Lot Record'!I:I)</f>
        <v>3.0752314814814816E-2</v>
      </c>
      <c r="L1151" s="59">
        <f t="shared" ca="1" si="88"/>
        <v>45941</v>
      </c>
      <c r="M1151" s="30">
        <f t="shared" ca="1" si="89"/>
        <v>5.9988425925925931E-2</v>
      </c>
      <c r="N1151" s="31"/>
      <c r="O1151" s="31">
        <v>77.5</v>
      </c>
      <c r="P1151" s="29">
        <v>70</v>
      </c>
      <c r="Q1151" s="29">
        <v>85</v>
      </c>
    </row>
    <row r="1152" spans="1:17" x14ac:dyDescent="0.35">
      <c r="A1152" s="26">
        <v>40000002644</v>
      </c>
      <c r="B1152" s="31">
        <v>1</v>
      </c>
      <c r="C1152" s="29" t="str">
        <f>LOOKUP(A1152,'QALS - Inspection Lot Record'!$A$2:$A$361,'QALS - Inspection Lot Record'!$O$2:$O$361)</f>
        <v>Metformin Tablets (100 MG)</v>
      </c>
      <c r="D1152" s="31">
        <v>70</v>
      </c>
      <c r="E1152" s="29" t="s">
        <v>406</v>
      </c>
      <c r="F1152" s="29" t="str">
        <f>LOOKUP(A1152,'QALS - Inspection Lot Record'!A:A,'QALS - Inspection Lot Record'!G:G)</f>
        <v>YA284176</v>
      </c>
      <c r="G1152" s="59">
        <f ca="1">LOOKUP(A1152,'QALS - Inspection Lot Record'!A:A,'QALS - Inspection Lot Record'!E:E)</f>
        <v>45941</v>
      </c>
      <c r="H1152" s="34" t="str">
        <f t="shared" si="90"/>
        <v>A</v>
      </c>
      <c r="I1152" s="29" t="str">
        <f t="shared" si="86"/>
        <v>YA284176</v>
      </c>
      <c r="J1152" s="59">
        <f t="shared" ca="1" si="87"/>
        <v>45941</v>
      </c>
      <c r="K1152" s="30">
        <f ca="1">LOOKUP(A1152,'QALS - Inspection Lot Record'!A:A,'QALS - Inspection Lot Record'!I:I)</f>
        <v>3.0752314814814816E-2</v>
      </c>
      <c r="L1152" s="59">
        <f t="shared" ca="1" si="88"/>
        <v>45941</v>
      </c>
      <c r="M1152" s="30">
        <f t="shared" ca="1" si="89"/>
        <v>4.8113425925925928E-2</v>
      </c>
      <c r="N1152" s="31"/>
      <c r="O1152" s="31">
        <v>85</v>
      </c>
      <c r="P1152" s="29">
        <v>80</v>
      </c>
      <c r="Q1152" s="29">
        <v>90</v>
      </c>
    </row>
    <row r="1153" spans="1:17" x14ac:dyDescent="0.35">
      <c r="A1153" s="26">
        <v>40000002644</v>
      </c>
      <c r="B1153" s="31">
        <v>1</v>
      </c>
      <c r="C1153" s="29" t="str">
        <f>LOOKUP(A1153,'QALS - Inspection Lot Record'!$A$2:$A$361,'QALS - Inspection Lot Record'!$O$2:$O$361)</f>
        <v>Metformin Tablets (100 MG)</v>
      </c>
      <c r="D1153" s="31">
        <v>80</v>
      </c>
      <c r="E1153" s="29" t="s">
        <v>407</v>
      </c>
      <c r="F1153" s="29" t="str">
        <f>LOOKUP(A1153,'QALS - Inspection Lot Record'!A:A,'QALS - Inspection Lot Record'!G:G)</f>
        <v>YA284176</v>
      </c>
      <c r="G1153" s="59">
        <f ca="1">LOOKUP(A1153,'QALS - Inspection Lot Record'!A:A,'QALS - Inspection Lot Record'!E:E)</f>
        <v>45941</v>
      </c>
      <c r="H1153" s="34" t="str">
        <f t="shared" si="90"/>
        <v>A</v>
      </c>
      <c r="I1153" s="29" t="str">
        <f t="shared" si="86"/>
        <v>YA284176</v>
      </c>
      <c r="J1153" s="59">
        <f t="shared" ca="1" si="87"/>
        <v>45941</v>
      </c>
      <c r="K1153" s="30">
        <f ca="1">LOOKUP(A1153,'QALS - Inspection Lot Record'!A:A,'QALS - Inspection Lot Record'!I:I)</f>
        <v>3.0752314814814816E-2</v>
      </c>
      <c r="L1153" s="59">
        <f t="shared" ca="1" si="88"/>
        <v>45941</v>
      </c>
      <c r="M1153" s="30">
        <f t="shared" ca="1" si="89"/>
        <v>5.8773148148148144E-2</v>
      </c>
      <c r="N1153" s="31"/>
      <c r="O1153" s="31">
        <v>24</v>
      </c>
      <c r="P1153" s="29">
        <v>23</v>
      </c>
      <c r="Q1153" s="29">
        <v>25</v>
      </c>
    </row>
    <row r="1154" spans="1:17" x14ac:dyDescent="0.35">
      <c r="A1154" s="26">
        <v>40000002645</v>
      </c>
      <c r="B1154" s="27">
        <v>1</v>
      </c>
      <c r="C1154" s="29" t="str">
        <f>LOOKUP(A1154,'QALS - Inspection Lot Record'!$A$2:$A$361,'QALS - Inspection Lot Record'!$O$2:$O$361)</f>
        <v>Aspirin Tablets (500 MG)</v>
      </c>
      <c r="D1154" s="27">
        <v>10</v>
      </c>
      <c r="E1154" s="26" t="s">
        <v>399</v>
      </c>
      <c r="F1154" s="29" t="str">
        <f>LOOKUP(A1154,'QALS - Inspection Lot Record'!A:A,'QALS - Inspection Lot Record'!G:G)</f>
        <v>AB406550</v>
      </c>
      <c r="G1154" s="59">
        <f ca="1">LOOKUP(A1154,'QALS - Inspection Lot Record'!A:A,'QALS - Inspection Lot Record'!E:E)</f>
        <v>45942</v>
      </c>
      <c r="H1154" s="34" t="str">
        <f t="shared" si="90"/>
        <v>A</v>
      </c>
      <c r="I1154" s="29" t="str">
        <f t="shared" ref="I1154:I1217" si="91">F1154</f>
        <v>AB406550</v>
      </c>
      <c r="J1154" s="59">
        <f t="shared" ref="J1154:J1217" ca="1" si="92">G1154</f>
        <v>45942</v>
      </c>
      <c r="K1154" s="30">
        <f ca="1">LOOKUP(A1154,'QALS - Inspection Lot Record'!A:A,'QALS - Inspection Lot Record'!I:I)</f>
        <v>0.63020833333333337</v>
      </c>
      <c r="L1154" s="59">
        <f t="shared" ref="L1154:L1217" ca="1" si="93">G1154</f>
        <v>45942</v>
      </c>
      <c r="M1154" s="30">
        <f t="shared" ref="M1154:M1217" ca="1" si="94">K1154+TIME(0,RANDBETWEEN(25,50),RANDBETWEEN(0,59))</f>
        <v>0.65865740740740741</v>
      </c>
      <c r="N1154" s="31"/>
      <c r="O1154" s="31">
        <v>100</v>
      </c>
      <c r="P1154" s="29">
        <v>95</v>
      </c>
      <c r="Q1154" s="29">
        <v>105</v>
      </c>
    </row>
    <row r="1155" spans="1:17" x14ac:dyDescent="0.35">
      <c r="A1155" s="26">
        <v>40000002645</v>
      </c>
      <c r="B1155" s="27">
        <v>1</v>
      </c>
      <c r="C1155" s="29" t="str">
        <f>LOOKUP(A1155,'QALS - Inspection Lot Record'!$A$2:$A$361,'QALS - Inspection Lot Record'!$O$2:$O$361)</f>
        <v>Aspirin Tablets (500 MG)</v>
      </c>
      <c r="D1155" s="31">
        <v>20</v>
      </c>
      <c r="E1155" s="29" t="s">
        <v>400</v>
      </c>
      <c r="F1155" s="29" t="str">
        <f>LOOKUP(A1155,'QALS - Inspection Lot Record'!A:A,'QALS - Inspection Lot Record'!G:G)</f>
        <v>AB406550</v>
      </c>
      <c r="G1155" s="59">
        <f ca="1">LOOKUP(A1155,'QALS - Inspection Lot Record'!A:A,'QALS - Inspection Lot Record'!E:E)</f>
        <v>45942</v>
      </c>
      <c r="H1155" s="34" t="str">
        <f t="shared" si="90"/>
        <v>A</v>
      </c>
      <c r="I1155" s="29" t="str">
        <f t="shared" si="91"/>
        <v>AB406550</v>
      </c>
      <c r="J1155" s="59">
        <f t="shared" ca="1" si="92"/>
        <v>45942</v>
      </c>
      <c r="K1155" s="30">
        <f ca="1">LOOKUP(A1155,'QALS - Inspection Lot Record'!A:A,'QALS - Inspection Lot Record'!I:I)</f>
        <v>0.63020833333333337</v>
      </c>
      <c r="L1155" s="59">
        <f t="shared" ca="1" si="93"/>
        <v>45942</v>
      </c>
      <c r="M1155" s="30">
        <f t="shared" ca="1" si="94"/>
        <v>0.65668981481481481</v>
      </c>
      <c r="N1155" s="31"/>
      <c r="O1155" s="31">
        <v>7.3</v>
      </c>
      <c r="P1155" s="29">
        <v>3.5</v>
      </c>
      <c r="Q1155" s="29">
        <v>11</v>
      </c>
    </row>
    <row r="1156" spans="1:17" x14ac:dyDescent="0.35">
      <c r="A1156" s="26">
        <v>40000002645</v>
      </c>
      <c r="B1156" s="31">
        <v>1</v>
      </c>
      <c r="C1156" s="29" t="str">
        <f>LOOKUP(A1156,'QALS - Inspection Lot Record'!$A$2:$A$361,'QALS - Inspection Lot Record'!$O$2:$O$361)</f>
        <v>Aspirin Tablets (500 MG)</v>
      </c>
      <c r="D1156" s="31">
        <v>30</v>
      </c>
      <c r="E1156" s="29" t="s">
        <v>401</v>
      </c>
      <c r="F1156" s="29" t="str">
        <f>LOOKUP(A1156,'QALS - Inspection Lot Record'!A:A,'QALS - Inspection Lot Record'!G:G)</f>
        <v>AB406550</v>
      </c>
      <c r="G1156" s="59">
        <f ca="1">LOOKUP(A1156,'QALS - Inspection Lot Record'!A:A,'QALS - Inspection Lot Record'!E:E)</f>
        <v>45942</v>
      </c>
      <c r="H1156" s="34" t="str">
        <f t="shared" si="90"/>
        <v>A</v>
      </c>
      <c r="I1156" s="29" t="str">
        <f t="shared" si="91"/>
        <v>AB406550</v>
      </c>
      <c r="J1156" s="59">
        <f t="shared" ca="1" si="92"/>
        <v>45942</v>
      </c>
      <c r="K1156" s="30">
        <f ca="1">LOOKUP(A1156,'QALS - Inspection Lot Record'!A:A,'QALS - Inspection Lot Record'!I:I)</f>
        <v>0.63020833333333337</v>
      </c>
      <c r="L1156" s="59">
        <f t="shared" ca="1" si="93"/>
        <v>45942</v>
      </c>
      <c r="M1156" s="30">
        <f t="shared" ca="1" si="94"/>
        <v>0.65318287037037037</v>
      </c>
      <c r="N1156" s="11" t="s">
        <v>402</v>
      </c>
      <c r="O1156" s="31"/>
      <c r="P1156" s="29"/>
      <c r="Q1156" s="29"/>
    </row>
    <row r="1157" spans="1:17" x14ac:dyDescent="0.35">
      <c r="A1157" s="26">
        <v>40000002645</v>
      </c>
      <c r="B1157" s="31">
        <v>1</v>
      </c>
      <c r="C1157" s="29" t="str">
        <f>LOOKUP(A1157,'QALS - Inspection Lot Record'!$A$2:$A$361,'QALS - Inspection Lot Record'!$O$2:$O$361)</f>
        <v>Aspirin Tablets (500 MG)</v>
      </c>
      <c r="D1157" s="31">
        <v>40</v>
      </c>
      <c r="E1157" s="29" t="s">
        <v>403</v>
      </c>
      <c r="F1157" s="29" t="str">
        <f>LOOKUP(A1157,'QALS - Inspection Lot Record'!A:A,'QALS - Inspection Lot Record'!G:G)</f>
        <v>AB406550</v>
      </c>
      <c r="G1157" s="59">
        <f ca="1">LOOKUP(A1157,'QALS - Inspection Lot Record'!A:A,'QALS - Inspection Lot Record'!E:E)</f>
        <v>45942</v>
      </c>
      <c r="H1157" s="34" t="str">
        <f t="shared" si="90"/>
        <v>A</v>
      </c>
      <c r="I1157" s="29" t="str">
        <f t="shared" si="91"/>
        <v>AB406550</v>
      </c>
      <c r="J1157" s="59">
        <f t="shared" ca="1" si="92"/>
        <v>45942</v>
      </c>
      <c r="K1157" s="30">
        <f ca="1">LOOKUP(A1157,'QALS - Inspection Lot Record'!A:A,'QALS - Inspection Lot Record'!I:I)</f>
        <v>0.63020833333333337</v>
      </c>
      <c r="L1157" s="59">
        <f t="shared" ca="1" si="93"/>
        <v>45942</v>
      </c>
      <c r="M1157" s="30">
        <f t="shared" ca="1" si="94"/>
        <v>0.65361111111111114</v>
      </c>
      <c r="N1157" s="31"/>
      <c r="O1157" s="31">
        <v>1.8</v>
      </c>
      <c r="P1157" s="29">
        <v>0</v>
      </c>
      <c r="Q1157" s="29">
        <v>2.5</v>
      </c>
    </row>
    <row r="1158" spans="1:17" x14ac:dyDescent="0.35">
      <c r="A1158" s="26">
        <v>40000002645</v>
      </c>
      <c r="B1158" s="31">
        <v>1</v>
      </c>
      <c r="C1158" s="29" t="str">
        <f>LOOKUP(A1158,'QALS - Inspection Lot Record'!$A$2:$A$361,'QALS - Inspection Lot Record'!$O$2:$O$361)</f>
        <v>Aspirin Tablets (500 MG)</v>
      </c>
      <c r="D1158" s="31">
        <v>50</v>
      </c>
      <c r="E1158" s="29" t="s">
        <v>404</v>
      </c>
      <c r="F1158" s="29" t="str">
        <f>LOOKUP(A1158,'QALS - Inspection Lot Record'!A:A,'QALS - Inspection Lot Record'!G:G)</f>
        <v>AB406550</v>
      </c>
      <c r="G1158" s="59">
        <f ca="1">LOOKUP(A1158,'QALS - Inspection Lot Record'!A:A,'QALS - Inspection Lot Record'!E:E)</f>
        <v>45942</v>
      </c>
      <c r="H1158" s="34" t="str">
        <f t="shared" si="90"/>
        <v>A</v>
      </c>
      <c r="I1158" s="29" t="str">
        <f t="shared" si="91"/>
        <v>AB406550</v>
      </c>
      <c r="J1158" s="59">
        <f t="shared" ca="1" si="92"/>
        <v>45942</v>
      </c>
      <c r="K1158" s="30">
        <f ca="1">LOOKUP(A1158,'QALS - Inspection Lot Record'!A:A,'QALS - Inspection Lot Record'!I:I)</f>
        <v>0.63020833333333337</v>
      </c>
      <c r="L1158" s="59">
        <f t="shared" ca="1" si="93"/>
        <v>45942</v>
      </c>
      <c r="M1158" s="30">
        <f t="shared" ca="1" si="94"/>
        <v>0.6552662037037037</v>
      </c>
      <c r="N1158" s="31"/>
      <c r="O1158" s="31">
        <v>41.5</v>
      </c>
      <c r="P1158" s="29">
        <v>40</v>
      </c>
      <c r="Q1158" s="29">
        <v>60</v>
      </c>
    </row>
    <row r="1159" spans="1:17" x14ac:dyDescent="0.35">
      <c r="A1159" s="26">
        <v>40000002645</v>
      </c>
      <c r="B1159" s="31">
        <v>1</v>
      </c>
      <c r="C1159" s="29" t="str">
        <f>LOOKUP(A1159,'QALS - Inspection Lot Record'!$A$2:$A$361,'QALS - Inspection Lot Record'!$O$2:$O$361)</f>
        <v>Aspirin Tablets (500 MG)</v>
      </c>
      <c r="D1159" s="31">
        <v>60</v>
      </c>
      <c r="E1159" s="29" t="s">
        <v>405</v>
      </c>
      <c r="F1159" s="29" t="str">
        <f>LOOKUP(A1159,'QALS - Inspection Lot Record'!A:A,'QALS - Inspection Lot Record'!G:G)</f>
        <v>AB406550</v>
      </c>
      <c r="G1159" s="59">
        <f ca="1">LOOKUP(A1159,'QALS - Inspection Lot Record'!A:A,'QALS - Inspection Lot Record'!E:E)</f>
        <v>45942</v>
      </c>
      <c r="H1159" s="34" t="str">
        <f t="shared" si="90"/>
        <v>A</v>
      </c>
      <c r="I1159" s="29" t="str">
        <f t="shared" si="91"/>
        <v>AB406550</v>
      </c>
      <c r="J1159" s="59">
        <f t="shared" ca="1" si="92"/>
        <v>45942</v>
      </c>
      <c r="K1159" s="30">
        <f ca="1">LOOKUP(A1159,'QALS - Inspection Lot Record'!A:A,'QALS - Inspection Lot Record'!I:I)</f>
        <v>0.63020833333333337</v>
      </c>
      <c r="L1159" s="59">
        <f t="shared" ca="1" si="93"/>
        <v>45942</v>
      </c>
      <c r="M1159" s="30">
        <f t="shared" ca="1" si="94"/>
        <v>0.65796296296296297</v>
      </c>
      <c r="N1159" s="31"/>
      <c r="O1159" s="31">
        <v>71.2</v>
      </c>
      <c r="P1159" s="29">
        <v>70</v>
      </c>
      <c r="Q1159" s="29">
        <v>85</v>
      </c>
    </row>
    <row r="1160" spans="1:17" x14ac:dyDescent="0.35">
      <c r="A1160" s="26">
        <v>40000002645</v>
      </c>
      <c r="B1160" s="31">
        <v>1</v>
      </c>
      <c r="C1160" s="29" t="str">
        <f>LOOKUP(A1160,'QALS - Inspection Lot Record'!$A$2:$A$361,'QALS - Inspection Lot Record'!$O$2:$O$361)</f>
        <v>Aspirin Tablets (500 MG)</v>
      </c>
      <c r="D1160" s="31">
        <v>70</v>
      </c>
      <c r="E1160" s="29" t="s">
        <v>406</v>
      </c>
      <c r="F1160" s="29" t="str">
        <f>LOOKUP(A1160,'QALS - Inspection Lot Record'!A:A,'QALS - Inspection Lot Record'!G:G)</f>
        <v>AB406550</v>
      </c>
      <c r="G1160" s="59">
        <f ca="1">LOOKUP(A1160,'QALS - Inspection Lot Record'!A:A,'QALS - Inspection Lot Record'!E:E)</f>
        <v>45942</v>
      </c>
      <c r="H1160" s="34" t="str">
        <f t="shared" si="90"/>
        <v>A</v>
      </c>
      <c r="I1160" s="29" t="str">
        <f t="shared" si="91"/>
        <v>AB406550</v>
      </c>
      <c r="J1160" s="59">
        <f t="shared" ca="1" si="92"/>
        <v>45942</v>
      </c>
      <c r="K1160" s="30">
        <f ca="1">LOOKUP(A1160,'QALS - Inspection Lot Record'!A:A,'QALS - Inspection Lot Record'!I:I)</f>
        <v>0.63020833333333337</v>
      </c>
      <c r="L1160" s="59">
        <f t="shared" ca="1" si="93"/>
        <v>45942</v>
      </c>
      <c r="M1160" s="30">
        <f t="shared" ca="1" si="94"/>
        <v>0.65591435185185187</v>
      </c>
      <c r="N1160" s="31"/>
      <c r="O1160" s="31">
        <v>81.3</v>
      </c>
      <c r="P1160" s="29">
        <v>80</v>
      </c>
      <c r="Q1160" s="29">
        <v>90</v>
      </c>
    </row>
    <row r="1161" spans="1:17" x14ac:dyDescent="0.35">
      <c r="A1161" s="26">
        <v>40000002645</v>
      </c>
      <c r="B1161" s="31">
        <v>1</v>
      </c>
      <c r="C1161" s="29" t="str">
        <f>LOOKUP(A1161,'QALS - Inspection Lot Record'!$A$2:$A$361,'QALS - Inspection Lot Record'!$O$2:$O$361)</f>
        <v>Aspirin Tablets (500 MG)</v>
      </c>
      <c r="D1161" s="31">
        <v>80</v>
      </c>
      <c r="E1161" s="29" t="s">
        <v>407</v>
      </c>
      <c r="F1161" s="29" t="str">
        <f>LOOKUP(A1161,'QALS - Inspection Lot Record'!A:A,'QALS - Inspection Lot Record'!G:G)</f>
        <v>AB406550</v>
      </c>
      <c r="G1161" s="59">
        <f ca="1">LOOKUP(A1161,'QALS - Inspection Lot Record'!A:A,'QALS - Inspection Lot Record'!E:E)</f>
        <v>45942</v>
      </c>
      <c r="H1161" s="34" t="str">
        <f t="shared" si="90"/>
        <v>A</v>
      </c>
      <c r="I1161" s="29" t="str">
        <f t="shared" si="91"/>
        <v>AB406550</v>
      </c>
      <c r="J1161" s="59">
        <f t="shared" ca="1" si="92"/>
        <v>45942</v>
      </c>
      <c r="K1161" s="30">
        <f ca="1">LOOKUP(A1161,'QALS - Inspection Lot Record'!A:A,'QALS - Inspection Lot Record'!I:I)</f>
        <v>0.63020833333333337</v>
      </c>
      <c r="L1161" s="59">
        <f t="shared" ca="1" si="93"/>
        <v>45942</v>
      </c>
      <c r="M1161" s="30">
        <f t="shared" ca="1" si="94"/>
        <v>0.65635416666666668</v>
      </c>
      <c r="N1161" s="31"/>
      <c r="O1161" s="31">
        <v>25.5</v>
      </c>
      <c r="P1161" s="29">
        <v>23</v>
      </c>
      <c r="Q1161" s="29">
        <v>28</v>
      </c>
    </row>
    <row r="1162" spans="1:17" x14ac:dyDescent="0.35">
      <c r="A1162" s="26">
        <v>40000002646</v>
      </c>
      <c r="B1162" s="27">
        <v>1</v>
      </c>
      <c r="C1162" s="29" t="str">
        <f>LOOKUP(A1162,'QALS - Inspection Lot Record'!$A$2:$A$361,'QALS - Inspection Lot Record'!$O$2:$O$361)</f>
        <v>Metformin Tablets (200 MG)</v>
      </c>
      <c r="D1162" s="27">
        <v>10</v>
      </c>
      <c r="E1162" s="26" t="s">
        <v>399</v>
      </c>
      <c r="F1162" s="29" t="str">
        <f>LOOKUP(A1162,'QALS - Inspection Lot Record'!A:A,'QALS - Inspection Lot Record'!G:G)</f>
        <v>GC197258</v>
      </c>
      <c r="G1162" s="59">
        <f ca="1">LOOKUP(A1162,'QALS - Inspection Lot Record'!A:A,'QALS - Inspection Lot Record'!E:E)</f>
        <v>45942</v>
      </c>
      <c r="H1162" s="34" t="str">
        <f t="shared" ref="H1162:H1225" si="95">IF(AND(P1162&lt;=O1162,O1162&lt;=Q1162),"A","R")</f>
        <v>A</v>
      </c>
      <c r="I1162" s="29" t="str">
        <f t="shared" si="91"/>
        <v>GC197258</v>
      </c>
      <c r="J1162" s="59">
        <f t="shared" ca="1" si="92"/>
        <v>45942</v>
      </c>
      <c r="K1162" s="30">
        <f ca="1">LOOKUP(A1162,'QALS - Inspection Lot Record'!A:A,'QALS - Inspection Lot Record'!I:I)</f>
        <v>0.41030092592592593</v>
      </c>
      <c r="L1162" s="59">
        <f t="shared" ca="1" si="93"/>
        <v>45942</v>
      </c>
      <c r="M1162" s="30">
        <f t="shared" ca="1" si="94"/>
        <v>0.43657407407407406</v>
      </c>
      <c r="N1162" s="31"/>
      <c r="O1162" s="31">
        <v>99</v>
      </c>
      <c r="P1162" s="29">
        <v>95</v>
      </c>
      <c r="Q1162" s="29">
        <v>103</v>
      </c>
    </row>
    <row r="1163" spans="1:17" x14ac:dyDescent="0.35">
      <c r="A1163" s="26">
        <v>40000002646</v>
      </c>
      <c r="B1163" s="27">
        <v>1</v>
      </c>
      <c r="C1163" s="29" t="str">
        <f>LOOKUP(A1163,'QALS - Inspection Lot Record'!$A$2:$A$361,'QALS - Inspection Lot Record'!$O$2:$O$361)</f>
        <v>Metformin Tablets (200 MG)</v>
      </c>
      <c r="D1163" s="31">
        <v>20</v>
      </c>
      <c r="E1163" s="29" t="s">
        <v>400</v>
      </c>
      <c r="F1163" s="29" t="str">
        <f>LOOKUP(A1163,'QALS - Inspection Lot Record'!A:A,'QALS - Inspection Lot Record'!G:G)</f>
        <v>GC197258</v>
      </c>
      <c r="G1163" s="59">
        <f ca="1">LOOKUP(A1163,'QALS - Inspection Lot Record'!A:A,'QALS - Inspection Lot Record'!E:E)</f>
        <v>45942</v>
      </c>
      <c r="H1163" s="34" t="str">
        <f t="shared" si="95"/>
        <v>A</v>
      </c>
      <c r="I1163" s="29" t="str">
        <f t="shared" si="91"/>
        <v>GC197258</v>
      </c>
      <c r="J1163" s="59">
        <f t="shared" ca="1" si="92"/>
        <v>45942</v>
      </c>
      <c r="K1163" s="30">
        <f ca="1">LOOKUP(A1163,'QALS - Inspection Lot Record'!A:A,'QALS - Inspection Lot Record'!I:I)</f>
        <v>0.41030092592592593</v>
      </c>
      <c r="L1163" s="59">
        <f t="shared" ca="1" si="93"/>
        <v>45942</v>
      </c>
      <c r="M1163" s="30">
        <f t="shared" ca="1" si="94"/>
        <v>0.4410648148148148</v>
      </c>
      <c r="N1163" s="31"/>
      <c r="O1163" s="31">
        <v>7.8</v>
      </c>
      <c r="P1163" s="29">
        <v>6</v>
      </c>
      <c r="Q1163" s="29">
        <v>9.5</v>
      </c>
    </row>
    <row r="1164" spans="1:17" x14ac:dyDescent="0.35">
      <c r="A1164" s="26">
        <v>40000002646</v>
      </c>
      <c r="B1164" s="31">
        <v>1</v>
      </c>
      <c r="C1164" s="29" t="str">
        <f>LOOKUP(A1164,'QALS - Inspection Lot Record'!$A$2:$A$361,'QALS - Inspection Lot Record'!$O$2:$O$361)</f>
        <v>Metformin Tablets (200 MG)</v>
      </c>
      <c r="D1164" s="31">
        <v>30</v>
      </c>
      <c r="E1164" s="29" t="s">
        <v>401</v>
      </c>
      <c r="F1164" s="29" t="str">
        <f>LOOKUP(A1164,'QALS - Inspection Lot Record'!A:A,'QALS - Inspection Lot Record'!G:G)</f>
        <v>GC197258</v>
      </c>
      <c r="G1164" s="59">
        <f ca="1">LOOKUP(A1164,'QALS - Inspection Lot Record'!A:A,'QALS - Inspection Lot Record'!E:E)</f>
        <v>45942</v>
      </c>
      <c r="H1164" s="34" t="str">
        <f t="shared" si="95"/>
        <v>A</v>
      </c>
      <c r="I1164" s="29" t="str">
        <f t="shared" si="91"/>
        <v>GC197258</v>
      </c>
      <c r="J1164" s="59">
        <f t="shared" ca="1" si="92"/>
        <v>45942</v>
      </c>
      <c r="K1164" s="30">
        <f ca="1">LOOKUP(A1164,'QALS - Inspection Lot Record'!A:A,'QALS - Inspection Lot Record'!I:I)</f>
        <v>0.41030092592592593</v>
      </c>
      <c r="L1164" s="59">
        <f t="shared" ca="1" si="93"/>
        <v>45942</v>
      </c>
      <c r="M1164" s="30">
        <f t="shared" ca="1" si="94"/>
        <v>0.4450810185185185</v>
      </c>
      <c r="N1164" s="11" t="s">
        <v>402</v>
      </c>
      <c r="O1164" s="31"/>
      <c r="P1164" s="29"/>
      <c r="Q1164" s="29"/>
    </row>
    <row r="1165" spans="1:17" x14ac:dyDescent="0.35">
      <c r="A1165" s="26">
        <v>40000002646</v>
      </c>
      <c r="B1165" s="31">
        <v>1</v>
      </c>
      <c r="C1165" s="29" t="str">
        <f>LOOKUP(A1165,'QALS - Inspection Lot Record'!$A$2:$A$361,'QALS - Inspection Lot Record'!$O$2:$O$361)</f>
        <v>Metformin Tablets (200 MG)</v>
      </c>
      <c r="D1165" s="31">
        <v>40</v>
      </c>
      <c r="E1165" s="29" t="s">
        <v>403</v>
      </c>
      <c r="F1165" s="29" t="str">
        <f>LOOKUP(A1165,'QALS - Inspection Lot Record'!A:A,'QALS - Inspection Lot Record'!G:G)</f>
        <v>GC197258</v>
      </c>
      <c r="G1165" s="59">
        <f ca="1">LOOKUP(A1165,'QALS - Inspection Lot Record'!A:A,'QALS - Inspection Lot Record'!E:E)</f>
        <v>45942</v>
      </c>
      <c r="H1165" s="34" t="str">
        <f t="shared" si="95"/>
        <v>A</v>
      </c>
      <c r="I1165" s="29" t="str">
        <f t="shared" si="91"/>
        <v>GC197258</v>
      </c>
      <c r="J1165" s="59">
        <f t="shared" ca="1" si="92"/>
        <v>45942</v>
      </c>
      <c r="K1165" s="30">
        <f ca="1">LOOKUP(A1165,'QALS - Inspection Lot Record'!A:A,'QALS - Inspection Lot Record'!I:I)</f>
        <v>0.41030092592592593</v>
      </c>
      <c r="L1165" s="59">
        <f t="shared" ca="1" si="93"/>
        <v>45942</v>
      </c>
      <c r="M1165" s="30">
        <f t="shared" ca="1" si="94"/>
        <v>0.44307870370370372</v>
      </c>
      <c r="N1165" s="31"/>
      <c r="O1165" s="31">
        <v>1.6</v>
      </c>
      <c r="P1165" s="29">
        <v>0</v>
      </c>
      <c r="Q1165" s="29">
        <v>2</v>
      </c>
    </row>
    <row r="1166" spans="1:17" x14ac:dyDescent="0.35">
      <c r="A1166" s="26">
        <v>40000002646</v>
      </c>
      <c r="B1166" s="31">
        <v>1</v>
      </c>
      <c r="C1166" s="29" t="str">
        <f>LOOKUP(A1166,'QALS - Inspection Lot Record'!$A$2:$A$361,'QALS - Inspection Lot Record'!$O$2:$O$361)</f>
        <v>Metformin Tablets (200 MG)</v>
      </c>
      <c r="D1166" s="31">
        <v>50</v>
      </c>
      <c r="E1166" s="29" t="s">
        <v>404</v>
      </c>
      <c r="F1166" s="29" t="str">
        <f>LOOKUP(A1166,'QALS - Inspection Lot Record'!A:A,'QALS - Inspection Lot Record'!G:G)</f>
        <v>GC197258</v>
      </c>
      <c r="G1166" s="59">
        <f ca="1">LOOKUP(A1166,'QALS - Inspection Lot Record'!A:A,'QALS - Inspection Lot Record'!E:E)</f>
        <v>45942</v>
      </c>
      <c r="H1166" s="34" t="str">
        <f t="shared" si="95"/>
        <v>A</v>
      </c>
      <c r="I1166" s="29" t="str">
        <f t="shared" si="91"/>
        <v>GC197258</v>
      </c>
      <c r="J1166" s="59">
        <f t="shared" ca="1" si="92"/>
        <v>45942</v>
      </c>
      <c r="K1166" s="30">
        <f ca="1">LOOKUP(A1166,'QALS - Inspection Lot Record'!A:A,'QALS - Inspection Lot Record'!I:I)</f>
        <v>0.41030092592592593</v>
      </c>
      <c r="L1166" s="59">
        <f t="shared" ca="1" si="93"/>
        <v>45942</v>
      </c>
      <c r="M1166" s="30">
        <f t="shared" ca="1" si="94"/>
        <v>0.43309027777777775</v>
      </c>
      <c r="N1166" s="31"/>
      <c r="O1166" s="31">
        <v>41.5</v>
      </c>
      <c r="P1166" s="29">
        <v>40</v>
      </c>
      <c r="Q1166" s="29">
        <v>60</v>
      </c>
    </row>
    <row r="1167" spans="1:17" x14ac:dyDescent="0.35">
      <c r="A1167" s="26">
        <v>40000002646</v>
      </c>
      <c r="B1167" s="31">
        <v>1</v>
      </c>
      <c r="C1167" s="29" t="str">
        <f>LOOKUP(A1167,'QALS - Inspection Lot Record'!$A$2:$A$361,'QALS - Inspection Lot Record'!$O$2:$O$361)</f>
        <v>Metformin Tablets (200 MG)</v>
      </c>
      <c r="D1167" s="31">
        <v>60</v>
      </c>
      <c r="E1167" s="29" t="s">
        <v>405</v>
      </c>
      <c r="F1167" s="29" t="str">
        <f>LOOKUP(A1167,'QALS - Inspection Lot Record'!A:A,'QALS - Inspection Lot Record'!G:G)</f>
        <v>GC197258</v>
      </c>
      <c r="G1167" s="59">
        <f ca="1">LOOKUP(A1167,'QALS - Inspection Lot Record'!A:A,'QALS - Inspection Lot Record'!E:E)</f>
        <v>45942</v>
      </c>
      <c r="H1167" s="34" t="str">
        <f t="shared" si="95"/>
        <v>A</v>
      </c>
      <c r="I1167" s="29" t="str">
        <f t="shared" si="91"/>
        <v>GC197258</v>
      </c>
      <c r="J1167" s="59">
        <f t="shared" ca="1" si="92"/>
        <v>45942</v>
      </c>
      <c r="K1167" s="30">
        <f ca="1">LOOKUP(A1167,'QALS - Inspection Lot Record'!A:A,'QALS - Inspection Lot Record'!I:I)</f>
        <v>0.41030092592592593</v>
      </c>
      <c r="L1167" s="59">
        <f t="shared" ca="1" si="93"/>
        <v>45942</v>
      </c>
      <c r="M1167" s="30">
        <f t="shared" ca="1" si="94"/>
        <v>0.44226851851851851</v>
      </c>
      <c r="N1167" s="31"/>
      <c r="O1167" s="31">
        <v>71.8</v>
      </c>
      <c r="P1167" s="29">
        <v>70</v>
      </c>
      <c r="Q1167" s="29">
        <v>85</v>
      </c>
    </row>
    <row r="1168" spans="1:17" x14ac:dyDescent="0.35">
      <c r="A1168" s="26">
        <v>40000002646</v>
      </c>
      <c r="B1168" s="31">
        <v>1</v>
      </c>
      <c r="C1168" s="29" t="str">
        <f>LOOKUP(A1168,'QALS - Inspection Lot Record'!$A$2:$A$361,'QALS - Inspection Lot Record'!$O$2:$O$361)</f>
        <v>Metformin Tablets (200 MG)</v>
      </c>
      <c r="D1168" s="31">
        <v>70</v>
      </c>
      <c r="E1168" s="29" t="s">
        <v>406</v>
      </c>
      <c r="F1168" s="29" t="str">
        <f>LOOKUP(A1168,'QALS - Inspection Lot Record'!A:A,'QALS - Inspection Lot Record'!G:G)</f>
        <v>GC197258</v>
      </c>
      <c r="G1168" s="59">
        <f ca="1">LOOKUP(A1168,'QALS - Inspection Lot Record'!A:A,'QALS - Inspection Lot Record'!E:E)</f>
        <v>45942</v>
      </c>
      <c r="H1168" s="34" t="str">
        <f t="shared" si="95"/>
        <v>A</v>
      </c>
      <c r="I1168" s="29" t="str">
        <f t="shared" si="91"/>
        <v>GC197258</v>
      </c>
      <c r="J1168" s="59">
        <f t="shared" ca="1" si="92"/>
        <v>45942</v>
      </c>
      <c r="K1168" s="30">
        <f ca="1">LOOKUP(A1168,'QALS - Inspection Lot Record'!A:A,'QALS - Inspection Lot Record'!I:I)</f>
        <v>0.41030092592592593</v>
      </c>
      <c r="L1168" s="59">
        <f t="shared" ca="1" si="93"/>
        <v>45942</v>
      </c>
      <c r="M1168" s="30">
        <f t="shared" ca="1" si="94"/>
        <v>0.43179398148148151</v>
      </c>
      <c r="N1168" s="31"/>
      <c r="O1168" s="31">
        <v>81.5</v>
      </c>
      <c r="P1168" s="29">
        <v>80</v>
      </c>
      <c r="Q1168" s="29">
        <v>90</v>
      </c>
    </row>
    <row r="1169" spans="1:17" x14ac:dyDescent="0.35">
      <c r="A1169" s="26">
        <v>40000002646</v>
      </c>
      <c r="B1169" s="31">
        <v>1</v>
      </c>
      <c r="C1169" s="29" t="str">
        <f>LOOKUP(A1169,'QALS - Inspection Lot Record'!$A$2:$A$361,'QALS - Inspection Lot Record'!$O$2:$O$361)</f>
        <v>Metformin Tablets (200 MG)</v>
      </c>
      <c r="D1169" s="31">
        <v>80</v>
      </c>
      <c r="E1169" s="29" t="s">
        <v>407</v>
      </c>
      <c r="F1169" s="29" t="str">
        <f>LOOKUP(A1169,'QALS - Inspection Lot Record'!A:A,'QALS - Inspection Lot Record'!G:G)</f>
        <v>GC197258</v>
      </c>
      <c r="G1169" s="59">
        <f ca="1">LOOKUP(A1169,'QALS - Inspection Lot Record'!A:A,'QALS - Inspection Lot Record'!E:E)</f>
        <v>45942</v>
      </c>
      <c r="H1169" s="34" t="str">
        <f t="shared" si="95"/>
        <v>A</v>
      </c>
      <c r="I1169" s="29" t="str">
        <f t="shared" si="91"/>
        <v>GC197258</v>
      </c>
      <c r="J1169" s="59">
        <f t="shared" ca="1" si="92"/>
        <v>45942</v>
      </c>
      <c r="K1169" s="30">
        <f ca="1">LOOKUP(A1169,'QALS - Inspection Lot Record'!A:A,'QALS - Inspection Lot Record'!I:I)</f>
        <v>0.41030092592592593</v>
      </c>
      <c r="L1169" s="59">
        <f t="shared" ca="1" si="93"/>
        <v>45942</v>
      </c>
      <c r="M1169" s="30">
        <f t="shared" ca="1" si="94"/>
        <v>0.44289351851851855</v>
      </c>
      <c r="N1169" s="31"/>
      <c r="O1169" s="31">
        <v>25.5</v>
      </c>
      <c r="P1169" s="29">
        <v>23</v>
      </c>
      <c r="Q1169" s="29">
        <v>28</v>
      </c>
    </row>
    <row r="1170" spans="1:17" x14ac:dyDescent="0.35">
      <c r="A1170" s="26">
        <v>40000002647</v>
      </c>
      <c r="B1170" s="27">
        <v>1</v>
      </c>
      <c r="C1170" s="29" t="str">
        <f>LOOKUP(A1170,'QALS - Inspection Lot Record'!$A$2:$A$361,'QALS - Inspection Lot Record'!$O$2:$O$361)</f>
        <v>Aspirin Tablets (500 MG)</v>
      </c>
      <c r="D1170" s="27">
        <v>10</v>
      </c>
      <c r="E1170" s="26" t="s">
        <v>399</v>
      </c>
      <c r="F1170" s="29" t="str">
        <f>LOOKUP(A1170,'QALS - Inspection Lot Record'!A:A,'QALS - Inspection Lot Record'!G:G)</f>
        <v>TP397880</v>
      </c>
      <c r="G1170" s="59">
        <f ca="1">LOOKUP(A1170,'QALS - Inspection Lot Record'!A:A,'QALS - Inspection Lot Record'!E:E)</f>
        <v>45943</v>
      </c>
      <c r="H1170" s="34" t="str">
        <f t="shared" si="95"/>
        <v>R</v>
      </c>
      <c r="I1170" s="29" t="str">
        <f t="shared" si="91"/>
        <v>TP397880</v>
      </c>
      <c r="J1170" s="59">
        <f t="shared" ca="1" si="92"/>
        <v>45943</v>
      </c>
      <c r="K1170" s="30">
        <f ca="1">LOOKUP(A1170,'QALS - Inspection Lot Record'!A:A,'QALS - Inspection Lot Record'!I:I)</f>
        <v>0.74167824074074074</v>
      </c>
      <c r="L1170" s="59">
        <f t="shared" ca="1" si="93"/>
        <v>45943</v>
      </c>
      <c r="M1170" s="30">
        <f t="shared" ca="1" si="94"/>
        <v>0.77121527777777776</v>
      </c>
      <c r="N1170" s="31"/>
      <c r="O1170" s="31">
        <v>93.9</v>
      </c>
      <c r="P1170" s="29">
        <v>95</v>
      </c>
      <c r="Q1170" s="29">
        <v>105</v>
      </c>
    </row>
    <row r="1171" spans="1:17" x14ac:dyDescent="0.35">
      <c r="A1171" s="26">
        <v>40000002647</v>
      </c>
      <c r="B1171" s="27">
        <v>1</v>
      </c>
      <c r="C1171" s="29" t="str">
        <f>LOOKUP(A1171,'QALS - Inspection Lot Record'!$A$2:$A$361,'QALS - Inspection Lot Record'!$O$2:$O$361)</f>
        <v>Aspirin Tablets (500 MG)</v>
      </c>
      <c r="D1171" s="31">
        <v>20</v>
      </c>
      <c r="E1171" s="29" t="s">
        <v>400</v>
      </c>
      <c r="F1171" s="29" t="str">
        <f>LOOKUP(A1171,'QALS - Inspection Lot Record'!A:A,'QALS - Inspection Lot Record'!G:G)</f>
        <v>TP397880</v>
      </c>
      <c r="G1171" s="59">
        <f ca="1">LOOKUP(A1171,'QALS - Inspection Lot Record'!A:A,'QALS - Inspection Lot Record'!E:E)</f>
        <v>45943</v>
      </c>
      <c r="H1171" s="34" t="str">
        <f t="shared" si="95"/>
        <v>R</v>
      </c>
      <c r="I1171" s="29" t="str">
        <f t="shared" si="91"/>
        <v>TP397880</v>
      </c>
      <c r="J1171" s="59">
        <f t="shared" ca="1" si="92"/>
        <v>45943</v>
      </c>
      <c r="K1171" s="30">
        <f ca="1">LOOKUP(A1171,'QALS - Inspection Lot Record'!A:A,'QALS - Inspection Lot Record'!I:I)</f>
        <v>0.74167824074074074</v>
      </c>
      <c r="L1171" s="59">
        <f t="shared" ca="1" si="93"/>
        <v>45943</v>
      </c>
      <c r="M1171" s="30">
        <f t="shared" ca="1" si="94"/>
        <v>0.77396990740740745</v>
      </c>
      <c r="N1171" s="31"/>
      <c r="O1171" s="31">
        <v>2.4</v>
      </c>
      <c r="P1171" s="29">
        <v>3.5</v>
      </c>
      <c r="Q1171" s="29">
        <v>11</v>
      </c>
    </row>
    <row r="1172" spans="1:17" x14ac:dyDescent="0.35">
      <c r="A1172" s="26">
        <v>40000002647</v>
      </c>
      <c r="B1172" s="31">
        <v>1</v>
      </c>
      <c r="C1172" s="29" t="str">
        <f>LOOKUP(A1172,'QALS - Inspection Lot Record'!$A$2:$A$361,'QALS - Inspection Lot Record'!$O$2:$O$361)</f>
        <v>Aspirin Tablets (500 MG)</v>
      </c>
      <c r="D1172" s="31">
        <v>30</v>
      </c>
      <c r="E1172" s="29" t="s">
        <v>401</v>
      </c>
      <c r="F1172" s="29" t="str">
        <f>LOOKUP(A1172,'QALS - Inspection Lot Record'!A:A,'QALS - Inspection Lot Record'!G:G)</f>
        <v>TP397880</v>
      </c>
      <c r="G1172" s="59">
        <f ca="1">LOOKUP(A1172,'QALS - Inspection Lot Record'!A:A,'QALS - Inspection Lot Record'!E:E)</f>
        <v>45943</v>
      </c>
      <c r="H1172" s="34" t="str">
        <f t="shared" si="95"/>
        <v>A</v>
      </c>
      <c r="I1172" s="29" t="str">
        <f t="shared" si="91"/>
        <v>TP397880</v>
      </c>
      <c r="J1172" s="59">
        <f t="shared" ca="1" si="92"/>
        <v>45943</v>
      </c>
      <c r="K1172" s="30">
        <f ca="1">LOOKUP(A1172,'QALS - Inspection Lot Record'!A:A,'QALS - Inspection Lot Record'!I:I)</f>
        <v>0.74167824074074074</v>
      </c>
      <c r="L1172" s="59">
        <f t="shared" ca="1" si="93"/>
        <v>45943</v>
      </c>
      <c r="M1172" s="30">
        <f t="shared" ca="1" si="94"/>
        <v>0.77596064814814814</v>
      </c>
      <c r="N1172" s="11" t="s">
        <v>402</v>
      </c>
      <c r="O1172" s="31"/>
      <c r="P1172" s="29"/>
      <c r="Q1172" s="29"/>
    </row>
    <row r="1173" spans="1:17" x14ac:dyDescent="0.35">
      <c r="A1173" s="26">
        <v>40000002647</v>
      </c>
      <c r="B1173" s="31">
        <v>1</v>
      </c>
      <c r="C1173" s="29" t="str">
        <f>LOOKUP(A1173,'QALS - Inspection Lot Record'!$A$2:$A$361,'QALS - Inspection Lot Record'!$O$2:$O$361)</f>
        <v>Aspirin Tablets (500 MG)</v>
      </c>
      <c r="D1173" s="31">
        <v>40</v>
      </c>
      <c r="E1173" s="29" t="s">
        <v>403</v>
      </c>
      <c r="F1173" s="29" t="str">
        <f>LOOKUP(A1173,'QALS - Inspection Lot Record'!A:A,'QALS - Inspection Lot Record'!G:G)</f>
        <v>TP397880</v>
      </c>
      <c r="G1173" s="59">
        <f ca="1">LOOKUP(A1173,'QALS - Inspection Lot Record'!A:A,'QALS - Inspection Lot Record'!E:E)</f>
        <v>45943</v>
      </c>
      <c r="H1173" s="34" t="str">
        <f t="shared" si="95"/>
        <v>A</v>
      </c>
      <c r="I1173" s="29" t="str">
        <f t="shared" si="91"/>
        <v>TP397880</v>
      </c>
      <c r="J1173" s="59">
        <f t="shared" ca="1" si="92"/>
        <v>45943</v>
      </c>
      <c r="K1173" s="30">
        <f ca="1">LOOKUP(A1173,'QALS - Inspection Lot Record'!A:A,'QALS - Inspection Lot Record'!I:I)</f>
        <v>0.74167824074074074</v>
      </c>
      <c r="L1173" s="59">
        <f t="shared" ca="1" si="93"/>
        <v>45943</v>
      </c>
      <c r="M1173" s="30">
        <f t="shared" ca="1" si="94"/>
        <v>0.76208333333333333</v>
      </c>
      <c r="N1173" s="31"/>
      <c r="O1173" s="31">
        <v>0</v>
      </c>
      <c r="P1173" s="29">
        <v>0</v>
      </c>
      <c r="Q1173" s="29">
        <v>2.5</v>
      </c>
    </row>
    <row r="1174" spans="1:17" x14ac:dyDescent="0.35">
      <c r="A1174" s="26">
        <v>40000002647</v>
      </c>
      <c r="B1174" s="31">
        <v>1</v>
      </c>
      <c r="C1174" s="29" t="str">
        <f>LOOKUP(A1174,'QALS - Inspection Lot Record'!$A$2:$A$361,'QALS - Inspection Lot Record'!$O$2:$O$361)</f>
        <v>Aspirin Tablets (500 MG)</v>
      </c>
      <c r="D1174" s="31">
        <v>50</v>
      </c>
      <c r="E1174" s="29" t="s">
        <v>404</v>
      </c>
      <c r="F1174" s="29" t="str">
        <f>LOOKUP(A1174,'QALS - Inspection Lot Record'!A:A,'QALS - Inspection Lot Record'!G:G)</f>
        <v>TP397880</v>
      </c>
      <c r="G1174" s="59">
        <f ca="1">LOOKUP(A1174,'QALS - Inspection Lot Record'!A:A,'QALS - Inspection Lot Record'!E:E)</f>
        <v>45943</v>
      </c>
      <c r="H1174" s="34" t="str">
        <f t="shared" si="95"/>
        <v>A</v>
      </c>
      <c r="I1174" s="29" t="str">
        <f t="shared" si="91"/>
        <v>TP397880</v>
      </c>
      <c r="J1174" s="59">
        <f t="shared" ca="1" si="92"/>
        <v>45943</v>
      </c>
      <c r="K1174" s="30">
        <f ca="1">LOOKUP(A1174,'QALS - Inspection Lot Record'!A:A,'QALS - Inspection Lot Record'!I:I)</f>
        <v>0.74167824074074074</v>
      </c>
      <c r="L1174" s="59">
        <f t="shared" ca="1" si="93"/>
        <v>45943</v>
      </c>
      <c r="M1174" s="30">
        <f t="shared" ca="1" si="94"/>
        <v>0.77447916666666661</v>
      </c>
      <c r="N1174" s="31"/>
      <c r="O1174" s="31">
        <v>50</v>
      </c>
      <c r="P1174" s="29">
        <v>40</v>
      </c>
      <c r="Q1174" s="29">
        <v>60</v>
      </c>
    </row>
    <row r="1175" spans="1:17" x14ac:dyDescent="0.35">
      <c r="A1175" s="26">
        <v>40000002647</v>
      </c>
      <c r="B1175" s="31">
        <v>1</v>
      </c>
      <c r="C1175" s="29" t="str">
        <f>LOOKUP(A1175,'QALS - Inspection Lot Record'!$A$2:$A$361,'QALS - Inspection Lot Record'!$O$2:$O$361)</f>
        <v>Aspirin Tablets (500 MG)</v>
      </c>
      <c r="D1175" s="31">
        <v>60</v>
      </c>
      <c r="E1175" s="29" t="s">
        <v>405</v>
      </c>
      <c r="F1175" s="29" t="str">
        <f>LOOKUP(A1175,'QALS - Inspection Lot Record'!A:A,'QALS - Inspection Lot Record'!G:G)</f>
        <v>TP397880</v>
      </c>
      <c r="G1175" s="59">
        <f ca="1">LOOKUP(A1175,'QALS - Inspection Lot Record'!A:A,'QALS - Inspection Lot Record'!E:E)</f>
        <v>45943</v>
      </c>
      <c r="H1175" s="34" t="str">
        <f t="shared" si="95"/>
        <v>A</v>
      </c>
      <c r="I1175" s="29" t="str">
        <f t="shared" si="91"/>
        <v>TP397880</v>
      </c>
      <c r="J1175" s="59">
        <f t="shared" ca="1" si="92"/>
        <v>45943</v>
      </c>
      <c r="K1175" s="30">
        <f ca="1">LOOKUP(A1175,'QALS - Inspection Lot Record'!A:A,'QALS - Inspection Lot Record'!I:I)</f>
        <v>0.74167824074074074</v>
      </c>
      <c r="L1175" s="59">
        <f t="shared" ca="1" si="93"/>
        <v>45943</v>
      </c>
      <c r="M1175" s="30">
        <f t="shared" ca="1" si="94"/>
        <v>0.75932870370370364</v>
      </c>
      <c r="N1175" s="31"/>
      <c r="O1175" s="31">
        <v>77.5</v>
      </c>
      <c r="P1175" s="29">
        <v>70</v>
      </c>
      <c r="Q1175" s="29">
        <v>85</v>
      </c>
    </row>
    <row r="1176" spans="1:17" x14ac:dyDescent="0.35">
      <c r="A1176" s="26">
        <v>40000002647</v>
      </c>
      <c r="B1176" s="31">
        <v>1</v>
      </c>
      <c r="C1176" s="29" t="str">
        <f>LOOKUP(A1176,'QALS - Inspection Lot Record'!$A$2:$A$361,'QALS - Inspection Lot Record'!$O$2:$O$361)</f>
        <v>Aspirin Tablets (500 MG)</v>
      </c>
      <c r="D1176" s="31">
        <v>70</v>
      </c>
      <c r="E1176" s="29" t="s">
        <v>406</v>
      </c>
      <c r="F1176" s="29" t="str">
        <f>LOOKUP(A1176,'QALS - Inspection Lot Record'!A:A,'QALS - Inspection Lot Record'!G:G)</f>
        <v>TP397880</v>
      </c>
      <c r="G1176" s="59">
        <f ca="1">LOOKUP(A1176,'QALS - Inspection Lot Record'!A:A,'QALS - Inspection Lot Record'!E:E)</f>
        <v>45943</v>
      </c>
      <c r="H1176" s="34" t="str">
        <f t="shared" si="95"/>
        <v>A</v>
      </c>
      <c r="I1176" s="29" t="str">
        <f t="shared" si="91"/>
        <v>TP397880</v>
      </c>
      <c r="J1176" s="59">
        <f t="shared" ca="1" si="92"/>
        <v>45943</v>
      </c>
      <c r="K1176" s="30">
        <f ca="1">LOOKUP(A1176,'QALS - Inspection Lot Record'!A:A,'QALS - Inspection Lot Record'!I:I)</f>
        <v>0.74167824074074074</v>
      </c>
      <c r="L1176" s="59">
        <f t="shared" ca="1" si="93"/>
        <v>45943</v>
      </c>
      <c r="M1176" s="30">
        <f t="shared" ca="1" si="94"/>
        <v>0.77097222222222217</v>
      </c>
      <c r="N1176" s="31"/>
      <c r="O1176" s="31">
        <v>85</v>
      </c>
      <c r="P1176" s="29">
        <v>80</v>
      </c>
      <c r="Q1176" s="29">
        <v>90</v>
      </c>
    </row>
    <row r="1177" spans="1:17" x14ac:dyDescent="0.35">
      <c r="A1177" s="26">
        <v>40000002647</v>
      </c>
      <c r="B1177" s="31">
        <v>1</v>
      </c>
      <c r="C1177" s="29" t="str">
        <f>LOOKUP(A1177,'QALS - Inspection Lot Record'!$A$2:$A$361,'QALS - Inspection Lot Record'!$O$2:$O$361)</f>
        <v>Aspirin Tablets (500 MG)</v>
      </c>
      <c r="D1177" s="31">
        <v>80</v>
      </c>
      <c r="E1177" s="29" t="s">
        <v>407</v>
      </c>
      <c r="F1177" s="29" t="str">
        <f>LOOKUP(A1177,'QALS - Inspection Lot Record'!A:A,'QALS - Inspection Lot Record'!G:G)</f>
        <v>TP397880</v>
      </c>
      <c r="G1177" s="59">
        <f ca="1">LOOKUP(A1177,'QALS - Inspection Lot Record'!A:A,'QALS - Inspection Lot Record'!E:E)</f>
        <v>45943</v>
      </c>
      <c r="H1177" s="34" t="str">
        <f t="shared" si="95"/>
        <v>A</v>
      </c>
      <c r="I1177" s="29" t="str">
        <f t="shared" si="91"/>
        <v>TP397880</v>
      </c>
      <c r="J1177" s="59">
        <f t="shared" ca="1" si="92"/>
        <v>45943</v>
      </c>
      <c r="K1177" s="30">
        <f ca="1">LOOKUP(A1177,'QALS - Inspection Lot Record'!A:A,'QALS - Inspection Lot Record'!I:I)</f>
        <v>0.74167824074074074</v>
      </c>
      <c r="L1177" s="59">
        <f t="shared" ca="1" si="93"/>
        <v>45943</v>
      </c>
      <c r="M1177" s="30">
        <f t="shared" ca="1" si="94"/>
        <v>0.76765046296296291</v>
      </c>
      <c r="N1177" s="31"/>
      <c r="O1177" s="31">
        <v>25.5</v>
      </c>
      <c r="P1177" s="29">
        <v>23</v>
      </c>
      <c r="Q1177" s="29">
        <v>28</v>
      </c>
    </row>
    <row r="1178" spans="1:17" x14ac:dyDescent="0.35">
      <c r="A1178" s="26">
        <v>40000002648</v>
      </c>
      <c r="B1178" s="27">
        <v>1</v>
      </c>
      <c r="C1178" s="29" t="str">
        <f>LOOKUP(A1178,'QALS - Inspection Lot Record'!$A$2:$A$361,'QALS - Inspection Lot Record'!$O$2:$O$361)</f>
        <v>Metformin Tablets (200 MG)</v>
      </c>
      <c r="D1178" s="27">
        <v>10</v>
      </c>
      <c r="E1178" s="26" t="s">
        <v>399</v>
      </c>
      <c r="F1178" s="29" t="str">
        <f>LOOKUP(A1178,'QALS - Inspection Lot Record'!A:A,'QALS - Inspection Lot Record'!G:G)</f>
        <v>YA284176</v>
      </c>
      <c r="G1178" s="59">
        <f ca="1">LOOKUP(A1178,'QALS - Inspection Lot Record'!A:A,'QALS - Inspection Lot Record'!E:E)</f>
        <v>45943</v>
      </c>
      <c r="H1178" s="34" t="str">
        <f t="shared" si="95"/>
        <v>A</v>
      </c>
      <c r="I1178" s="29" t="str">
        <f t="shared" si="91"/>
        <v>YA284176</v>
      </c>
      <c r="J1178" s="59">
        <f t="shared" ca="1" si="92"/>
        <v>45943</v>
      </c>
      <c r="K1178" s="30">
        <f ca="1">LOOKUP(A1178,'QALS - Inspection Lot Record'!A:A,'QALS - Inspection Lot Record'!I:I)</f>
        <v>0.29216435185185186</v>
      </c>
      <c r="L1178" s="59">
        <f t="shared" ca="1" si="93"/>
        <v>45943</v>
      </c>
      <c r="M1178" s="30">
        <f t="shared" ca="1" si="94"/>
        <v>0.31878472222222221</v>
      </c>
      <c r="N1178" s="31"/>
      <c r="O1178" s="31">
        <v>99</v>
      </c>
      <c r="P1178" s="29">
        <v>95</v>
      </c>
      <c r="Q1178" s="29">
        <v>103</v>
      </c>
    </row>
    <row r="1179" spans="1:17" x14ac:dyDescent="0.35">
      <c r="A1179" s="26">
        <v>40000002648</v>
      </c>
      <c r="B1179" s="27">
        <v>1</v>
      </c>
      <c r="C1179" s="29" t="str">
        <f>LOOKUP(A1179,'QALS - Inspection Lot Record'!$A$2:$A$361,'QALS - Inspection Lot Record'!$O$2:$O$361)</f>
        <v>Metformin Tablets (200 MG)</v>
      </c>
      <c r="D1179" s="31">
        <v>20</v>
      </c>
      <c r="E1179" s="29" t="s">
        <v>400</v>
      </c>
      <c r="F1179" s="29" t="str">
        <f>LOOKUP(A1179,'QALS - Inspection Lot Record'!A:A,'QALS - Inspection Lot Record'!G:G)</f>
        <v>YA284176</v>
      </c>
      <c r="G1179" s="59">
        <f ca="1">LOOKUP(A1179,'QALS - Inspection Lot Record'!A:A,'QALS - Inspection Lot Record'!E:E)</f>
        <v>45943</v>
      </c>
      <c r="H1179" s="34" t="str">
        <f t="shared" si="95"/>
        <v>A</v>
      </c>
      <c r="I1179" s="29" t="str">
        <f t="shared" si="91"/>
        <v>YA284176</v>
      </c>
      <c r="J1179" s="59">
        <f t="shared" ca="1" si="92"/>
        <v>45943</v>
      </c>
      <c r="K1179" s="30">
        <f ca="1">LOOKUP(A1179,'QALS - Inspection Lot Record'!A:A,'QALS - Inspection Lot Record'!I:I)</f>
        <v>0.29216435185185186</v>
      </c>
      <c r="L1179" s="59">
        <f t="shared" ca="1" si="93"/>
        <v>45943</v>
      </c>
      <c r="M1179" s="30">
        <f t="shared" ca="1" si="94"/>
        <v>0.31935185185185183</v>
      </c>
      <c r="N1179" s="31"/>
      <c r="O1179" s="31">
        <v>7.75</v>
      </c>
      <c r="P1179" s="29">
        <v>6</v>
      </c>
      <c r="Q1179" s="29">
        <v>9.5</v>
      </c>
    </row>
    <row r="1180" spans="1:17" x14ac:dyDescent="0.35">
      <c r="A1180" s="26">
        <v>40000002648</v>
      </c>
      <c r="B1180" s="31">
        <v>1</v>
      </c>
      <c r="C1180" s="29" t="str">
        <f>LOOKUP(A1180,'QALS - Inspection Lot Record'!$A$2:$A$361,'QALS - Inspection Lot Record'!$O$2:$O$361)</f>
        <v>Metformin Tablets (200 MG)</v>
      </c>
      <c r="D1180" s="31">
        <v>30</v>
      </c>
      <c r="E1180" s="29" t="s">
        <v>401</v>
      </c>
      <c r="F1180" s="29" t="str">
        <f>LOOKUP(A1180,'QALS - Inspection Lot Record'!A:A,'QALS - Inspection Lot Record'!G:G)</f>
        <v>YA284176</v>
      </c>
      <c r="G1180" s="59">
        <f ca="1">LOOKUP(A1180,'QALS - Inspection Lot Record'!A:A,'QALS - Inspection Lot Record'!E:E)</f>
        <v>45943</v>
      </c>
      <c r="H1180" s="34" t="str">
        <f t="shared" si="95"/>
        <v>A</v>
      </c>
      <c r="I1180" s="29" t="str">
        <f t="shared" si="91"/>
        <v>YA284176</v>
      </c>
      <c r="J1180" s="59">
        <f t="shared" ca="1" si="92"/>
        <v>45943</v>
      </c>
      <c r="K1180" s="30">
        <f ca="1">LOOKUP(A1180,'QALS - Inspection Lot Record'!A:A,'QALS - Inspection Lot Record'!I:I)</f>
        <v>0.29216435185185186</v>
      </c>
      <c r="L1180" s="59">
        <f t="shared" ca="1" si="93"/>
        <v>45943</v>
      </c>
      <c r="M1180" s="30">
        <f t="shared" ca="1" si="94"/>
        <v>0.3132638888888889</v>
      </c>
      <c r="N1180" s="11" t="s">
        <v>402</v>
      </c>
      <c r="O1180" s="31"/>
      <c r="P1180" s="29"/>
      <c r="Q1180" s="29"/>
    </row>
    <row r="1181" spans="1:17" x14ac:dyDescent="0.35">
      <c r="A1181" s="26">
        <v>40000002648</v>
      </c>
      <c r="B1181" s="31">
        <v>1</v>
      </c>
      <c r="C1181" s="29" t="str">
        <f>LOOKUP(A1181,'QALS - Inspection Lot Record'!$A$2:$A$361,'QALS - Inspection Lot Record'!$O$2:$O$361)</f>
        <v>Metformin Tablets (200 MG)</v>
      </c>
      <c r="D1181" s="31">
        <v>40</v>
      </c>
      <c r="E1181" s="29" t="s">
        <v>403</v>
      </c>
      <c r="F1181" s="29" t="str">
        <f>LOOKUP(A1181,'QALS - Inspection Lot Record'!A:A,'QALS - Inspection Lot Record'!G:G)</f>
        <v>YA284176</v>
      </c>
      <c r="G1181" s="59">
        <f ca="1">LOOKUP(A1181,'QALS - Inspection Lot Record'!A:A,'QALS - Inspection Lot Record'!E:E)</f>
        <v>45943</v>
      </c>
      <c r="H1181" s="34" t="str">
        <f t="shared" si="95"/>
        <v>A</v>
      </c>
      <c r="I1181" s="29" t="str">
        <f t="shared" si="91"/>
        <v>YA284176</v>
      </c>
      <c r="J1181" s="59">
        <f t="shared" ca="1" si="92"/>
        <v>45943</v>
      </c>
      <c r="K1181" s="30">
        <f ca="1">LOOKUP(A1181,'QALS - Inspection Lot Record'!A:A,'QALS - Inspection Lot Record'!I:I)</f>
        <v>0.29216435185185186</v>
      </c>
      <c r="L1181" s="59">
        <f t="shared" ca="1" si="93"/>
        <v>45943</v>
      </c>
      <c r="M1181" s="30">
        <f t="shared" ca="1" si="94"/>
        <v>0.31913194444444443</v>
      </c>
      <c r="N1181" s="31"/>
      <c r="O1181" s="31">
        <v>0</v>
      </c>
      <c r="P1181" s="29">
        <v>0</v>
      </c>
      <c r="Q1181" s="29">
        <v>2</v>
      </c>
    </row>
    <row r="1182" spans="1:17" x14ac:dyDescent="0.35">
      <c r="A1182" s="26">
        <v>40000002648</v>
      </c>
      <c r="B1182" s="31">
        <v>1</v>
      </c>
      <c r="C1182" s="29" t="str">
        <f>LOOKUP(A1182,'QALS - Inspection Lot Record'!$A$2:$A$361,'QALS - Inspection Lot Record'!$O$2:$O$361)</f>
        <v>Metformin Tablets (200 MG)</v>
      </c>
      <c r="D1182" s="31">
        <v>50</v>
      </c>
      <c r="E1182" s="29" t="s">
        <v>404</v>
      </c>
      <c r="F1182" s="29" t="str">
        <f>LOOKUP(A1182,'QALS - Inspection Lot Record'!A:A,'QALS - Inspection Lot Record'!G:G)</f>
        <v>YA284176</v>
      </c>
      <c r="G1182" s="59">
        <f ca="1">LOOKUP(A1182,'QALS - Inspection Lot Record'!A:A,'QALS - Inspection Lot Record'!E:E)</f>
        <v>45943</v>
      </c>
      <c r="H1182" s="34" t="str">
        <f t="shared" si="95"/>
        <v>A</v>
      </c>
      <c r="I1182" s="29" t="str">
        <f t="shared" si="91"/>
        <v>YA284176</v>
      </c>
      <c r="J1182" s="59">
        <f t="shared" ca="1" si="92"/>
        <v>45943</v>
      </c>
      <c r="K1182" s="30">
        <f ca="1">LOOKUP(A1182,'QALS - Inspection Lot Record'!A:A,'QALS - Inspection Lot Record'!I:I)</f>
        <v>0.29216435185185186</v>
      </c>
      <c r="L1182" s="59">
        <f t="shared" ca="1" si="93"/>
        <v>45943</v>
      </c>
      <c r="M1182" s="30">
        <f t="shared" ca="1" si="94"/>
        <v>0.31921296296296298</v>
      </c>
      <c r="N1182" s="31"/>
      <c r="O1182" s="31">
        <v>50</v>
      </c>
      <c r="P1182" s="29">
        <v>40</v>
      </c>
      <c r="Q1182" s="29">
        <v>60</v>
      </c>
    </row>
    <row r="1183" spans="1:17" x14ac:dyDescent="0.35">
      <c r="A1183" s="26">
        <v>40000002648</v>
      </c>
      <c r="B1183" s="31">
        <v>1</v>
      </c>
      <c r="C1183" s="29" t="str">
        <f>LOOKUP(A1183,'QALS - Inspection Lot Record'!$A$2:$A$361,'QALS - Inspection Lot Record'!$O$2:$O$361)</f>
        <v>Metformin Tablets (200 MG)</v>
      </c>
      <c r="D1183" s="31">
        <v>60</v>
      </c>
      <c r="E1183" s="29" t="s">
        <v>405</v>
      </c>
      <c r="F1183" s="29" t="str">
        <f>LOOKUP(A1183,'QALS - Inspection Lot Record'!A:A,'QALS - Inspection Lot Record'!G:G)</f>
        <v>YA284176</v>
      </c>
      <c r="G1183" s="59">
        <f ca="1">LOOKUP(A1183,'QALS - Inspection Lot Record'!A:A,'QALS - Inspection Lot Record'!E:E)</f>
        <v>45943</v>
      </c>
      <c r="H1183" s="34" t="str">
        <f t="shared" si="95"/>
        <v>R</v>
      </c>
      <c r="I1183" s="29" t="str">
        <f t="shared" si="91"/>
        <v>YA284176</v>
      </c>
      <c r="J1183" s="59">
        <f t="shared" ca="1" si="92"/>
        <v>45943</v>
      </c>
      <c r="K1183" s="30">
        <f ca="1">LOOKUP(A1183,'QALS - Inspection Lot Record'!A:A,'QALS - Inspection Lot Record'!I:I)</f>
        <v>0.29216435185185186</v>
      </c>
      <c r="L1183" s="59">
        <f t="shared" ca="1" si="93"/>
        <v>45943</v>
      </c>
      <c r="M1183" s="30">
        <f t="shared" ca="1" si="94"/>
        <v>0.31178240740740742</v>
      </c>
      <c r="N1183" s="31"/>
      <c r="O1183" s="31">
        <v>68.2</v>
      </c>
      <c r="P1183" s="29">
        <v>70</v>
      </c>
      <c r="Q1183" s="29">
        <v>85</v>
      </c>
    </row>
    <row r="1184" spans="1:17" x14ac:dyDescent="0.35">
      <c r="A1184" s="26">
        <v>40000002648</v>
      </c>
      <c r="B1184" s="31">
        <v>1</v>
      </c>
      <c r="C1184" s="29" t="str">
        <f>LOOKUP(A1184,'QALS - Inspection Lot Record'!$A$2:$A$361,'QALS - Inspection Lot Record'!$O$2:$O$361)</f>
        <v>Metformin Tablets (200 MG)</v>
      </c>
      <c r="D1184" s="31">
        <v>70</v>
      </c>
      <c r="E1184" s="29" t="s">
        <v>406</v>
      </c>
      <c r="F1184" s="29" t="str">
        <f>LOOKUP(A1184,'QALS - Inspection Lot Record'!A:A,'QALS - Inspection Lot Record'!G:G)</f>
        <v>YA284176</v>
      </c>
      <c r="G1184" s="59">
        <f ca="1">LOOKUP(A1184,'QALS - Inspection Lot Record'!A:A,'QALS - Inspection Lot Record'!E:E)</f>
        <v>45943</v>
      </c>
      <c r="H1184" s="34" t="str">
        <f t="shared" si="95"/>
        <v>A</v>
      </c>
      <c r="I1184" s="29" t="str">
        <f t="shared" si="91"/>
        <v>YA284176</v>
      </c>
      <c r="J1184" s="59">
        <f t="shared" ca="1" si="92"/>
        <v>45943</v>
      </c>
      <c r="K1184" s="30">
        <f ca="1">LOOKUP(A1184,'QALS - Inspection Lot Record'!A:A,'QALS - Inspection Lot Record'!I:I)</f>
        <v>0.29216435185185186</v>
      </c>
      <c r="L1184" s="59">
        <f t="shared" ca="1" si="93"/>
        <v>45943</v>
      </c>
      <c r="M1184" s="30">
        <f t="shared" ca="1" si="94"/>
        <v>0.31952546296296297</v>
      </c>
      <c r="N1184" s="31"/>
      <c r="O1184" s="31">
        <v>85</v>
      </c>
      <c r="P1184" s="29">
        <v>80</v>
      </c>
      <c r="Q1184" s="29">
        <v>90</v>
      </c>
    </row>
    <row r="1185" spans="1:17" x14ac:dyDescent="0.35">
      <c r="A1185" s="26">
        <v>40000002648</v>
      </c>
      <c r="B1185" s="31">
        <v>1</v>
      </c>
      <c r="C1185" s="29" t="str">
        <f>LOOKUP(A1185,'QALS - Inspection Lot Record'!$A$2:$A$361,'QALS - Inspection Lot Record'!$O$2:$O$361)</f>
        <v>Metformin Tablets (200 MG)</v>
      </c>
      <c r="D1185" s="31">
        <v>80</v>
      </c>
      <c r="E1185" s="29" t="s">
        <v>407</v>
      </c>
      <c r="F1185" s="29" t="str">
        <f>LOOKUP(A1185,'QALS - Inspection Lot Record'!A:A,'QALS - Inspection Lot Record'!G:G)</f>
        <v>YA284176</v>
      </c>
      <c r="G1185" s="59">
        <f ca="1">LOOKUP(A1185,'QALS - Inspection Lot Record'!A:A,'QALS - Inspection Lot Record'!E:E)</f>
        <v>45943</v>
      </c>
      <c r="H1185" s="34" t="str">
        <f t="shared" si="95"/>
        <v>A</v>
      </c>
      <c r="I1185" s="29" t="str">
        <f t="shared" si="91"/>
        <v>YA284176</v>
      </c>
      <c r="J1185" s="59">
        <f t="shared" ca="1" si="92"/>
        <v>45943</v>
      </c>
      <c r="K1185" s="30">
        <f ca="1">LOOKUP(A1185,'QALS - Inspection Lot Record'!A:A,'QALS - Inspection Lot Record'!I:I)</f>
        <v>0.29216435185185186</v>
      </c>
      <c r="L1185" s="59">
        <f t="shared" ca="1" si="93"/>
        <v>45943</v>
      </c>
      <c r="M1185" s="30">
        <f t="shared" ca="1" si="94"/>
        <v>0.32291666666666669</v>
      </c>
      <c r="N1185" s="31"/>
      <c r="O1185" s="31">
        <v>25.5</v>
      </c>
      <c r="P1185" s="29">
        <v>23</v>
      </c>
      <c r="Q1185" s="29">
        <v>28</v>
      </c>
    </row>
    <row r="1186" spans="1:17" x14ac:dyDescent="0.35">
      <c r="A1186" s="26">
        <v>40000002649</v>
      </c>
      <c r="B1186" s="27">
        <v>1</v>
      </c>
      <c r="C1186" s="29" t="str">
        <f>LOOKUP(A1186,'QALS - Inspection Lot Record'!$A$2:$A$361,'QALS - Inspection Lot Record'!$O$2:$O$361)</f>
        <v>Metformin Tablets (100 MG)</v>
      </c>
      <c r="D1186" s="27">
        <v>10</v>
      </c>
      <c r="E1186" s="26" t="s">
        <v>399</v>
      </c>
      <c r="F1186" s="29" t="str">
        <f>LOOKUP(A1186,'QALS - Inspection Lot Record'!A:A,'QALS - Inspection Lot Record'!G:G)</f>
        <v>AB406550</v>
      </c>
      <c r="G1186" s="59">
        <f ca="1">LOOKUP(A1186,'QALS - Inspection Lot Record'!A:A,'QALS - Inspection Lot Record'!E:E)</f>
        <v>45944</v>
      </c>
      <c r="H1186" s="34" t="str">
        <f t="shared" si="95"/>
        <v>A</v>
      </c>
      <c r="I1186" s="29" t="str">
        <f t="shared" si="91"/>
        <v>AB406550</v>
      </c>
      <c r="J1186" s="59">
        <f t="shared" ca="1" si="92"/>
        <v>45944</v>
      </c>
      <c r="K1186" s="30">
        <f ca="1">LOOKUP(A1186,'QALS - Inspection Lot Record'!A:A,'QALS - Inspection Lot Record'!I:I)</f>
        <v>0.78611111111111109</v>
      </c>
      <c r="L1186" s="59">
        <f t="shared" ca="1" si="93"/>
        <v>45944</v>
      </c>
      <c r="M1186" s="30">
        <f t="shared" ca="1" si="94"/>
        <v>0.80390046296296291</v>
      </c>
      <c r="N1186" s="31"/>
      <c r="O1186" s="31">
        <v>98.5</v>
      </c>
      <c r="P1186" s="29">
        <v>95</v>
      </c>
      <c r="Q1186" s="29">
        <v>102</v>
      </c>
    </row>
    <row r="1187" spans="1:17" x14ac:dyDescent="0.35">
      <c r="A1187" s="26">
        <v>40000002649</v>
      </c>
      <c r="B1187" s="27">
        <v>1</v>
      </c>
      <c r="C1187" s="29" t="str">
        <f>LOOKUP(A1187,'QALS - Inspection Lot Record'!$A$2:$A$361,'QALS - Inspection Lot Record'!$O$2:$O$361)</f>
        <v>Metformin Tablets (100 MG)</v>
      </c>
      <c r="D1187" s="31">
        <v>20</v>
      </c>
      <c r="E1187" s="29" t="s">
        <v>400</v>
      </c>
      <c r="F1187" s="29" t="str">
        <f>LOOKUP(A1187,'QALS - Inspection Lot Record'!A:A,'QALS - Inspection Lot Record'!G:G)</f>
        <v>AB406550</v>
      </c>
      <c r="G1187" s="59">
        <f ca="1">LOOKUP(A1187,'QALS - Inspection Lot Record'!A:A,'QALS - Inspection Lot Record'!E:E)</f>
        <v>45944</v>
      </c>
      <c r="H1187" s="34" t="str">
        <f t="shared" si="95"/>
        <v>A</v>
      </c>
      <c r="I1187" s="29" t="str">
        <f t="shared" si="91"/>
        <v>AB406550</v>
      </c>
      <c r="J1187" s="59">
        <f t="shared" ca="1" si="92"/>
        <v>45944</v>
      </c>
      <c r="K1187" s="30">
        <f ca="1">LOOKUP(A1187,'QALS - Inspection Lot Record'!A:A,'QALS - Inspection Lot Record'!I:I)</f>
        <v>0.78611111111111109</v>
      </c>
      <c r="L1187" s="59">
        <f t="shared" ca="1" si="93"/>
        <v>45944</v>
      </c>
      <c r="M1187" s="30">
        <f t="shared" ca="1" si="94"/>
        <v>0.82103009259259263</v>
      </c>
      <c r="N1187" s="31"/>
      <c r="O1187" s="31">
        <v>7.25</v>
      </c>
      <c r="P1187" s="29">
        <v>3.5</v>
      </c>
      <c r="Q1187" s="29">
        <v>11</v>
      </c>
    </row>
    <row r="1188" spans="1:17" x14ac:dyDescent="0.35">
      <c r="A1188" s="26">
        <v>40000002649</v>
      </c>
      <c r="B1188" s="31">
        <v>1</v>
      </c>
      <c r="C1188" s="29" t="str">
        <f>LOOKUP(A1188,'QALS - Inspection Lot Record'!$A$2:$A$361,'QALS - Inspection Lot Record'!$O$2:$O$361)</f>
        <v>Metformin Tablets (100 MG)</v>
      </c>
      <c r="D1188" s="31">
        <v>30</v>
      </c>
      <c r="E1188" s="29" t="s">
        <v>401</v>
      </c>
      <c r="F1188" s="29" t="str">
        <f>LOOKUP(A1188,'QALS - Inspection Lot Record'!A:A,'QALS - Inspection Lot Record'!G:G)</f>
        <v>AB406550</v>
      </c>
      <c r="G1188" s="59">
        <f ca="1">LOOKUP(A1188,'QALS - Inspection Lot Record'!A:A,'QALS - Inspection Lot Record'!E:E)</f>
        <v>45944</v>
      </c>
      <c r="H1188" s="34" t="str">
        <f t="shared" si="95"/>
        <v>A</v>
      </c>
      <c r="I1188" s="29" t="str">
        <f t="shared" si="91"/>
        <v>AB406550</v>
      </c>
      <c r="J1188" s="59">
        <f t="shared" ca="1" si="92"/>
        <v>45944</v>
      </c>
      <c r="K1188" s="30">
        <f ca="1">LOOKUP(A1188,'QALS - Inspection Lot Record'!A:A,'QALS - Inspection Lot Record'!I:I)</f>
        <v>0.78611111111111109</v>
      </c>
      <c r="L1188" s="59">
        <f t="shared" ca="1" si="93"/>
        <v>45944</v>
      </c>
      <c r="M1188" s="30">
        <f t="shared" ca="1" si="94"/>
        <v>0.81238425925925928</v>
      </c>
      <c r="N1188" s="11" t="s">
        <v>402</v>
      </c>
      <c r="O1188" s="31"/>
      <c r="P1188" s="29"/>
      <c r="Q1188" s="29"/>
    </row>
    <row r="1189" spans="1:17" x14ac:dyDescent="0.35">
      <c r="A1189" s="26">
        <v>40000002649</v>
      </c>
      <c r="B1189" s="31">
        <v>1</v>
      </c>
      <c r="C1189" s="29" t="str">
        <f>LOOKUP(A1189,'QALS - Inspection Lot Record'!$A$2:$A$361,'QALS - Inspection Lot Record'!$O$2:$O$361)</f>
        <v>Metformin Tablets (100 MG)</v>
      </c>
      <c r="D1189" s="31">
        <v>40</v>
      </c>
      <c r="E1189" s="29" t="s">
        <v>403</v>
      </c>
      <c r="F1189" s="29" t="str">
        <f>LOOKUP(A1189,'QALS - Inspection Lot Record'!A:A,'QALS - Inspection Lot Record'!G:G)</f>
        <v>AB406550</v>
      </c>
      <c r="G1189" s="59">
        <f ca="1">LOOKUP(A1189,'QALS - Inspection Lot Record'!A:A,'QALS - Inspection Lot Record'!E:E)</f>
        <v>45944</v>
      </c>
      <c r="H1189" s="34" t="str">
        <f t="shared" si="95"/>
        <v>A</v>
      </c>
      <c r="I1189" s="29" t="str">
        <f t="shared" si="91"/>
        <v>AB406550</v>
      </c>
      <c r="J1189" s="59">
        <f t="shared" ca="1" si="92"/>
        <v>45944</v>
      </c>
      <c r="K1189" s="30">
        <f ca="1">LOOKUP(A1189,'QALS - Inspection Lot Record'!A:A,'QALS - Inspection Lot Record'!I:I)</f>
        <v>0.78611111111111109</v>
      </c>
      <c r="L1189" s="59">
        <f t="shared" ca="1" si="93"/>
        <v>45944</v>
      </c>
      <c r="M1189" s="30">
        <f t="shared" ca="1" si="94"/>
        <v>0.80466435185185181</v>
      </c>
      <c r="N1189" s="31"/>
      <c r="O1189" s="31">
        <v>0</v>
      </c>
      <c r="P1189" s="29">
        <v>0</v>
      </c>
      <c r="Q1189" s="29">
        <v>1</v>
      </c>
    </row>
    <row r="1190" spans="1:17" x14ac:dyDescent="0.35">
      <c r="A1190" s="26">
        <v>40000002649</v>
      </c>
      <c r="B1190" s="31">
        <v>1</v>
      </c>
      <c r="C1190" s="29" t="str">
        <f>LOOKUP(A1190,'QALS - Inspection Lot Record'!$A$2:$A$361,'QALS - Inspection Lot Record'!$O$2:$O$361)</f>
        <v>Metformin Tablets (100 MG)</v>
      </c>
      <c r="D1190" s="31">
        <v>50</v>
      </c>
      <c r="E1190" s="29" t="s">
        <v>404</v>
      </c>
      <c r="F1190" s="29" t="str">
        <f>LOOKUP(A1190,'QALS - Inspection Lot Record'!A:A,'QALS - Inspection Lot Record'!G:G)</f>
        <v>AB406550</v>
      </c>
      <c r="G1190" s="59">
        <f ca="1">LOOKUP(A1190,'QALS - Inspection Lot Record'!A:A,'QALS - Inspection Lot Record'!E:E)</f>
        <v>45944</v>
      </c>
      <c r="H1190" s="34" t="str">
        <f t="shared" si="95"/>
        <v>A</v>
      </c>
      <c r="I1190" s="29" t="str">
        <f t="shared" si="91"/>
        <v>AB406550</v>
      </c>
      <c r="J1190" s="59">
        <f t="shared" ca="1" si="92"/>
        <v>45944</v>
      </c>
      <c r="K1190" s="30">
        <f ca="1">LOOKUP(A1190,'QALS - Inspection Lot Record'!A:A,'QALS - Inspection Lot Record'!I:I)</f>
        <v>0.78611111111111109</v>
      </c>
      <c r="L1190" s="59">
        <f t="shared" ca="1" si="93"/>
        <v>45944</v>
      </c>
      <c r="M1190" s="30">
        <f t="shared" ca="1" si="94"/>
        <v>0.80819444444444444</v>
      </c>
      <c r="N1190" s="31"/>
      <c r="O1190" s="31">
        <v>50</v>
      </c>
      <c r="P1190" s="29">
        <v>40</v>
      </c>
      <c r="Q1190" s="29">
        <v>60</v>
      </c>
    </row>
    <row r="1191" spans="1:17" x14ac:dyDescent="0.35">
      <c r="A1191" s="26">
        <v>40000002649</v>
      </c>
      <c r="B1191" s="31">
        <v>1</v>
      </c>
      <c r="C1191" s="29" t="str">
        <f>LOOKUP(A1191,'QALS - Inspection Lot Record'!$A$2:$A$361,'QALS - Inspection Lot Record'!$O$2:$O$361)</f>
        <v>Metformin Tablets (100 MG)</v>
      </c>
      <c r="D1191" s="31">
        <v>60</v>
      </c>
      <c r="E1191" s="29" t="s">
        <v>405</v>
      </c>
      <c r="F1191" s="29" t="str">
        <f>LOOKUP(A1191,'QALS - Inspection Lot Record'!A:A,'QALS - Inspection Lot Record'!G:G)</f>
        <v>AB406550</v>
      </c>
      <c r="G1191" s="59">
        <f ca="1">LOOKUP(A1191,'QALS - Inspection Lot Record'!A:A,'QALS - Inspection Lot Record'!E:E)</f>
        <v>45944</v>
      </c>
      <c r="H1191" s="34" t="str">
        <f t="shared" si="95"/>
        <v>A</v>
      </c>
      <c r="I1191" s="29" t="str">
        <f t="shared" si="91"/>
        <v>AB406550</v>
      </c>
      <c r="J1191" s="59">
        <f t="shared" ca="1" si="92"/>
        <v>45944</v>
      </c>
      <c r="K1191" s="30">
        <f ca="1">LOOKUP(A1191,'QALS - Inspection Lot Record'!A:A,'QALS - Inspection Lot Record'!I:I)</f>
        <v>0.78611111111111109</v>
      </c>
      <c r="L1191" s="59">
        <f t="shared" ca="1" si="93"/>
        <v>45944</v>
      </c>
      <c r="M1191" s="30">
        <f t="shared" ca="1" si="94"/>
        <v>0.80927083333333327</v>
      </c>
      <c r="N1191" s="31"/>
      <c r="O1191" s="31">
        <v>77.5</v>
      </c>
      <c r="P1191" s="29">
        <v>70</v>
      </c>
      <c r="Q1191" s="29">
        <v>85</v>
      </c>
    </row>
    <row r="1192" spans="1:17" x14ac:dyDescent="0.35">
      <c r="A1192" s="26">
        <v>40000002649</v>
      </c>
      <c r="B1192" s="31">
        <v>1</v>
      </c>
      <c r="C1192" s="29" t="str">
        <f>LOOKUP(A1192,'QALS - Inspection Lot Record'!$A$2:$A$361,'QALS - Inspection Lot Record'!$O$2:$O$361)</f>
        <v>Metformin Tablets (100 MG)</v>
      </c>
      <c r="D1192" s="31">
        <v>70</v>
      </c>
      <c r="E1192" s="29" t="s">
        <v>406</v>
      </c>
      <c r="F1192" s="29" t="str">
        <f>LOOKUP(A1192,'QALS - Inspection Lot Record'!A:A,'QALS - Inspection Lot Record'!G:G)</f>
        <v>AB406550</v>
      </c>
      <c r="G1192" s="59">
        <f ca="1">LOOKUP(A1192,'QALS - Inspection Lot Record'!A:A,'QALS - Inspection Lot Record'!E:E)</f>
        <v>45944</v>
      </c>
      <c r="H1192" s="34" t="str">
        <f t="shared" si="95"/>
        <v>A</v>
      </c>
      <c r="I1192" s="29" t="str">
        <f t="shared" si="91"/>
        <v>AB406550</v>
      </c>
      <c r="J1192" s="59">
        <f t="shared" ca="1" si="92"/>
        <v>45944</v>
      </c>
      <c r="K1192" s="30">
        <f ca="1">LOOKUP(A1192,'QALS - Inspection Lot Record'!A:A,'QALS - Inspection Lot Record'!I:I)</f>
        <v>0.78611111111111109</v>
      </c>
      <c r="L1192" s="59">
        <f t="shared" ca="1" si="93"/>
        <v>45944</v>
      </c>
      <c r="M1192" s="30">
        <f t="shared" ca="1" si="94"/>
        <v>0.82100694444444444</v>
      </c>
      <c r="N1192" s="31"/>
      <c r="O1192" s="31">
        <v>85</v>
      </c>
      <c r="P1192" s="29">
        <v>80</v>
      </c>
      <c r="Q1192" s="29">
        <v>90</v>
      </c>
    </row>
    <row r="1193" spans="1:17" x14ac:dyDescent="0.35">
      <c r="A1193" s="26">
        <v>40000002649</v>
      </c>
      <c r="B1193" s="31">
        <v>1</v>
      </c>
      <c r="C1193" s="29" t="str">
        <f>LOOKUP(A1193,'QALS - Inspection Lot Record'!$A$2:$A$361,'QALS - Inspection Lot Record'!$O$2:$O$361)</f>
        <v>Metformin Tablets (100 MG)</v>
      </c>
      <c r="D1193" s="31">
        <v>80</v>
      </c>
      <c r="E1193" s="29" t="s">
        <v>407</v>
      </c>
      <c r="F1193" s="29" t="str">
        <f>LOOKUP(A1193,'QALS - Inspection Lot Record'!A:A,'QALS - Inspection Lot Record'!G:G)</f>
        <v>AB406550</v>
      </c>
      <c r="G1193" s="59">
        <f ca="1">LOOKUP(A1193,'QALS - Inspection Lot Record'!A:A,'QALS - Inspection Lot Record'!E:E)</f>
        <v>45944</v>
      </c>
      <c r="H1193" s="34" t="str">
        <f t="shared" si="95"/>
        <v>A</v>
      </c>
      <c r="I1193" s="29" t="str">
        <f t="shared" si="91"/>
        <v>AB406550</v>
      </c>
      <c r="J1193" s="59">
        <f t="shared" ca="1" si="92"/>
        <v>45944</v>
      </c>
      <c r="K1193" s="30">
        <f ca="1">LOOKUP(A1193,'QALS - Inspection Lot Record'!A:A,'QALS - Inspection Lot Record'!I:I)</f>
        <v>0.78611111111111109</v>
      </c>
      <c r="L1193" s="59">
        <f t="shared" ca="1" si="93"/>
        <v>45944</v>
      </c>
      <c r="M1193" s="30">
        <f t="shared" ca="1" si="94"/>
        <v>0.80841435185185184</v>
      </c>
      <c r="N1193" s="31"/>
      <c r="O1193" s="31">
        <v>24</v>
      </c>
      <c r="P1193" s="29">
        <v>23</v>
      </c>
      <c r="Q1193" s="29">
        <v>25</v>
      </c>
    </row>
    <row r="1194" spans="1:17" x14ac:dyDescent="0.35">
      <c r="A1194" s="26">
        <v>40000002650</v>
      </c>
      <c r="B1194" s="27">
        <v>1</v>
      </c>
      <c r="C1194" s="29" t="str">
        <f>LOOKUP(A1194,'QALS - Inspection Lot Record'!$A$2:$A$361,'QALS - Inspection Lot Record'!$O$2:$O$361)</f>
        <v>Ibuprofen Tablets (100 MG)</v>
      </c>
      <c r="D1194" s="27">
        <v>10</v>
      </c>
      <c r="E1194" s="26" t="s">
        <v>399</v>
      </c>
      <c r="F1194" s="29" t="str">
        <f>LOOKUP(A1194,'QALS - Inspection Lot Record'!A:A,'QALS - Inspection Lot Record'!G:G)</f>
        <v>GC197258</v>
      </c>
      <c r="G1194" s="59">
        <f ca="1">LOOKUP(A1194,'QALS - Inspection Lot Record'!A:A,'QALS - Inspection Lot Record'!E:E)</f>
        <v>45944</v>
      </c>
      <c r="H1194" s="34" t="str">
        <f t="shared" si="95"/>
        <v>A</v>
      </c>
      <c r="I1194" s="29" t="str">
        <f t="shared" si="91"/>
        <v>GC197258</v>
      </c>
      <c r="J1194" s="59">
        <f t="shared" ca="1" si="92"/>
        <v>45944</v>
      </c>
      <c r="K1194" s="30">
        <f ca="1">LOOKUP(A1194,'QALS - Inspection Lot Record'!A:A,'QALS - Inspection Lot Record'!I:I)</f>
        <v>0.41405092592592591</v>
      </c>
      <c r="L1194" s="59">
        <f t="shared" ca="1" si="93"/>
        <v>45944</v>
      </c>
      <c r="M1194" s="30">
        <f t="shared" ca="1" si="94"/>
        <v>0.43394675925925924</v>
      </c>
      <c r="N1194" s="31"/>
      <c r="O1194" s="31">
        <v>98.5</v>
      </c>
      <c r="P1194" s="29">
        <v>95</v>
      </c>
      <c r="Q1194" s="29">
        <v>102</v>
      </c>
    </row>
    <row r="1195" spans="1:17" x14ac:dyDescent="0.35">
      <c r="A1195" s="26">
        <v>40000002650</v>
      </c>
      <c r="B1195" s="27">
        <v>1</v>
      </c>
      <c r="C1195" s="29" t="str">
        <f>LOOKUP(A1195,'QALS - Inspection Lot Record'!$A$2:$A$361,'QALS - Inspection Lot Record'!$O$2:$O$361)</f>
        <v>Ibuprofen Tablets (100 MG)</v>
      </c>
      <c r="D1195" s="31">
        <v>20</v>
      </c>
      <c r="E1195" s="29" t="s">
        <v>400</v>
      </c>
      <c r="F1195" s="29" t="str">
        <f>LOOKUP(A1195,'QALS - Inspection Lot Record'!A:A,'QALS - Inspection Lot Record'!G:G)</f>
        <v>GC197258</v>
      </c>
      <c r="G1195" s="59">
        <f ca="1">LOOKUP(A1195,'QALS - Inspection Lot Record'!A:A,'QALS - Inspection Lot Record'!E:E)</f>
        <v>45944</v>
      </c>
      <c r="H1195" s="34" t="str">
        <f t="shared" si="95"/>
        <v>A</v>
      </c>
      <c r="I1195" s="29" t="str">
        <f t="shared" si="91"/>
        <v>GC197258</v>
      </c>
      <c r="J1195" s="59">
        <f t="shared" ca="1" si="92"/>
        <v>45944</v>
      </c>
      <c r="K1195" s="30">
        <f ca="1">LOOKUP(A1195,'QALS - Inspection Lot Record'!A:A,'QALS - Inspection Lot Record'!I:I)</f>
        <v>0.41405092592592591</v>
      </c>
      <c r="L1195" s="59">
        <f t="shared" ca="1" si="93"/>
        <v>45944</v>
      </c>
      <c r="M1195" s="30">
        <f t="shared" ca="1" si="94"/>
        <v>0.43700231481481477</v>
      </c>
      <c r="N1195" s="31"/>
      <c r="O1195" s="31">
        <v>7.25</v>
      </c>
      <c r="P1195" s="29">
        <v>3.5</v>
      </c>
      <c r="Q1195" s="29">
        <v>11</v>
      </c>
    </row>
    <row r="1196" spans="1:17" x14ac:dyDescent="0.35">
      <c r="A1196" s="26">
        <v>40000002650</v>
      </c>
      <c r="B1196" s="31">
        <v>1</v>
      </c>
      <c r="C1196" s="29" t="str">
        <f>LOOKUP(A1196,'QALS - Inspection Lot Record'!$A$2:$A$361,'QALS - Inspection Lot Record'!$O$2:$O$361)</f>
        <v>Ibuprofen Tablets (100 MG)</v>
      </c>
      <c r="D1196" s="31">
        <v>30</v>
      </c>
      <c r="E1196" s="29" t="s">
        <v>401</v>
      </c>
      <c r="F1196" s="29" t="str">
        <f>LOOKUP(A1196,'QALS - Inspection Lot Record'!A:A,'QALS - Inspection Lot Record'!G:G)</f>
        <v>GC197258</v>
      </c>
      <c r="G1196" s="59">
        <f ca="1">LOOKUP(A1196,'QALS - Inspection Lot Record'!A:A,'QALS - Inspection Lot Record'!E:E)</f>
        <v>45944</v>
      </c>
      <c r="H1196" s="34" t="str">
        <f t="shared" si="95"/>
        <v>A</v>
      </c>
      <c r="I1196" s="29" t="str">
        <f t="shared" si="91"/>
        <v>GC197258</v>
      </c>
      <c r="J1196" s="59">
        <f t="shared" ca="1" si="92"/>
        <v>45944</v>
      </c>
      <c r="K1196" s="30">
        <f ca="1">LOOKUP(A1196,'QALS - Inspection Lot Record'!A:A,'QALS - Inspection Lot Record'!I:I)</f>
        <v>0.41405092592592591</v>
      </c>
      <c r="L1196" s="59">
        <f t="shared" ca="1" si="93"/>
        <v>45944</v>
      </c>
      <c r="M1196" s="30">
        <f t="shared" ca="1" si="94"/>
        <v>0.44819444444444445</v>
      </c>
      <c r="N1196" s="11" t="s">
        <v>402</v>
      </c>
      <c r="O1196" s="31"/>
      <c r="P1196" s="29"/>
      <c r="Q1196" s="29"/>
    </row>
    <row r="1197" spans="1:17" x14ac:dyDescent="0.35">
      <c r="A1197" s="26">
        <v>40000002650</v>
      </c>
      <c r="B1197" s="31">
        <v>1</v>
      </c>
      <c r="C1197" s="29" t="str">
        <f>LOOKUP(A1197,'QALS - Inspection Lot Record'!$A$2:$A$361,'QALS - Inspection Lot Record'!$O$2:$O$361)</f>
        <v>Ibuprofen Tablets (100 MG)</v>
      </c>
      <c r="D1197" s="31">
        <v>40</v>
      </c>
      <c r="E1197" s="29" t="s">
        <v>403</v>
      </c>
      <c r="F1197" s="29" t="str">
        <f>LOOKUP(A1197,'QALS - Inspection Lot Record'!A:A,'QALS - Inspection Lot Record'!G:G)</f>
        <v>GC197258</v>
      </c>
      <c r="G1197" s="59">
        <f ca="1">LOOKUP(A1197,'QALS - Inspection Lot Record'!A:A,'QALS - Inspection Lot Record'!E:E)</f>
        <v>45944</v>
      </c>
      <c r="H1197" s="34" t="str">
        <f t="shared" si="95"/>
        <v>A</v>
      </c>
      <c r="I1197" s="29" t="str">
        <f t="shared" si="91"/>
        <v>GC197258</v>
      </c>
      <c r="J1197" s="59">
        <f t="shared" ca="1" si="92"/>
        <v>45944</v>
      </c>
      <c r="K1197" s="30">
        <f ca="1">LOOKUP(A1197,'QALS - Inspection Lot Record'!A:A,'QALS - Inspection Lot Record'!I:I)</f>
        <v>0.41405092592592591</v>
      </c>
      <c r="L1197" s="59">
        <f t="shared" ca="1" si="93"/>
        <v>45944</v>
      </c>
      <c r="M1197" s="30">
        <f t="shared" ca="1" si="94"/>
        <v>0.44187499999999996</v>
      </c>
      <c r="N1197" s="31"/>
      <c r="O1197" s="31">
        <v>0</v>
      </c>
      <c r="P1197" s="29">
        <v>0</v>
      </c>
      <c r="Q1197" s="29">
        <v>1</v>
      </c>
    </row>
    <row r="1198" spans="1:17" x14ac:dyDescent="0.35">
      <c r="A1198" s="26">
        <v>40000002650</v>
      </c>
      <c r="B1198" s="31">
        <v>1</v>
      </c>
      <c r="C1198" s="29" t="str">
        <f>LOOKUP(A1198,'QALS - Inspection Lot Record'!$A$2:$A$361,'QALS - Inspection Lot Record'!$O$2:$O$361)</f>
        <v>Ibuprofen Tablets (100 MG)</v>
      </c>
      <c r="D1198" s="31">
        <v>50</v>
      </c>
      <c r="E1198" s="29" t="s">
        <v>404</v>
      </c>
      <c r="F1198" s="29" t="str">
        <f>LOOKUP(A1198,'QALS - Inspection Lot Record'!A:A,'QALS - Inspection Lot Record'!G:G)</f>
        <v>GC197258</v>
      </c>
      <c r="G1198" s="59">
        <f ca="1">LOOKUP(A1198,'QALS - Inspection Lot Record'!A:A,'QALS - Inspection Lot Record'!E:E)</f>
        <v>45944</v>
      </c>
      <c r="H1198" s="34" t="str">
        <f t="shared" si="95"/>
        <v>A</v>
      </c>
      <c r="I1198" s="29" t="str">
        <f t="shared" si="91"/>
        <v>GC197258</v>
      </c>
      <c r="J1198" s="59">
        <f t="shared" ca="1" si="92"/>
        <v>45944</v>
      </c>
      <c r="K1198" s="30">
        <f ca="1">LOOKUP(A1198,'QALS - Inspection Lot Record'!A:A,'QALS - Inspection Lot Record'!I:I)</f>
        <v>0.41405092592592591</v>
      </c>
      <c r="L1198" s="59">
        <f t="shared" ca="1" si="93"/>
        <v>45944</v>
      </c>
      <c r="M1198" s="30">
        <f t="shared" ca="1" si="94"/>
        <v>0.44814814814814813</v>
      </c>
      <c r="N1198" s="31"/>
      <c r="O1198" s="31">
        <v>50</v>
      </c>
      <c r="P1198" s="29">
        <v>40</v>
      </c>
      <c r="Q1198" s="29">
        <v>60</v>
      </c>
    </row>
    <row r="1199" spans="1:17" x14ac:dyDescent="0.35">
      <c r="A1199" s="26">
        <v>40000002650</v>
      </c>
      <c r="B1199" s="31">
        <v>1</v>
      </c>
      <c r="C1199" s="29" t="str">
        <f>LOOKUP(A1199,'QALS - Inspection Lot Record'!$A$2:$A$361,'QALS - Inspection Lot Record'!$O$2:$O$361)</f>
        <v>Ibuprofen Tablets (100 MG)</v>
      </c>
      <c r="D1199" s="31">
        <v>60</v>
      </c>
      <c r="E1199" s="29" t="s">
        <v>405</v>
      </c>
      <c r="F1199" s="29" t="str">
        <f>LOOKUP(A1199,'QALS - Inspection Lot Record'!A:A,'QALS - Inspection Lot Record'!G:G)</f>
        <v>GC197258</v>
      </c>
      <c r="G1199" s="59">
        <f ca="1">LOOKUP(A1199,'QALS - Inspection Lot Record'!A:A,'QALS - Inspection Lot Record'!E:E)</f>
        <v>45944</v>
      </c>
      <c r="H1199" s="34" t="str">
        <f t="shared" si="95"/>
        <v>A</v>
      </c>
      <c r="I1199" s="29" t="str">
        <f t="shared" si="91"/>
        <v>GC197258</v>
      </c>
      <c r="J1199" s="59">
        <f t="shared" ca="1" si="92"/>
        <v>45944</v>
      </c>
      <c r="K1199" s="30">
        <f ca="1">LOOKUP(A1199,'QALS - Inspection Lot Record'!A:A,'QALS - Inspection Lot Record'!I:I)</f>
        <v>0.41405092592592591</v>
      </c>
      <c r="L1199" s="59">
        <f t="shared" ca="1" si="93"/>
        <v>45944</v>
      </c>
      <c r="M1199" s="30">
        <f t="shared" ca="1" si="94"/>
        <v>0.44927083333333329</v>
      </c>
      <c r="N1199" s="31"/>
      <c r="O1199" s="31">
        <v>77.5</v>
      </c>
      <c r="P1199" s="29">
        <v>70</v>
      </c>
      <c r="Q1199" s="29">
        <v>85</v>
      </c>
    </row>
    <row r="1200" spans="1:17" x14ac:dyDescent="0.35">
      <c r="A1200" s="26">
        <v>40000002650</v>
      </c>
      <c r="B1200" s="31">
        <v>1</v>
      </c>
      <c r="C1200" s="29" t="str">
        <f>LOOKUP(A1200,'QALS - Inspection Lot Record'!$A$2:$A$361,'QALS - Inspection Lot Record'!$O$2:$O$361)</f>
        <v>Ibuprofen Tablets (100 MG)</v>
      </c>
      <c r="D1200" s="31">
        <v>70</v>
      </c>
      <c r="E1200" s="29" t="s">
        <v>406</v>
      </c>
      <c r="F1200" s="29" t="str">
        <f>LOOKUP(A1200,'QALS - Inspection Lot Record'!A:A,'QALS - Inspection Lot Record'!G:G)</f>
        <v>GC197258</v>
      </c>
      <c r="G1200" s="59">
        <f ca="1">LOOKUP(A1200,'QALS - Inspection Lot Record'!A:A,'QALS - Inspection Lot Record'!E:E)</f>
        <v>45944</v>
      </c>
      <c r="H1200" s="34" t="str">
        <f t="shared" si="95"/>
        <v>A</v>
      </c>
      <c r="I1200" s="29" t="str">
        <f t="shared" si="91"/>
        <v>GC197258</v>
      </c>
      <c r="J1200" s="59">
        <f t="shared" ca="1" si="92"/>
        <v>45944</v>
      </c>
      <c r="K1200" s="30">
        <f ca="1">LOOKUP(A1200,'QALS - Inspection Lot Record'!A:A,'QALS - Inspection Lot Record'!I:I)</f>
        <v>0.41405092592592591</v>
      </c>
      <c r="L1200" s="59">
        <f t="shared" ca="1" si="93"/>
        <v>45944</v>
      </c>
      <c r="M1200" s="30">
        <f t="shared" ca="1" si="94"/>
        <v>0.44828703703703704</v>
      </c>
      <c r="N1200" s="31"/>
      <c r="O1200" s="31">
        <v>85</v>
      </c>
      <c r="P1200" s="29">
        <v>80</v>
      </c>
      <c r="Q1200" s="29">
        <v>90</v>
      </c>
    </row>
    <row r="1201" spans="1:17" x14ac:dyDescent="0.35">
      <c r="A1201" s="26">
        <v>40000002650</v>
      </c>
      <c r="B1201" s="31">
        <v>1</v>
      </c>
      <c r="C1201" s="29" t="str">
        <f>LOOKUP(A1201,'QALS - Inspection Lot Record'!$A$2:$A$361,'QALS - Inspection Lot Record'!$O$2:$O$361)</f>
        <v>Ibuprofen Tablets (100 MG)</v>
      </c>
      <c r="D1201" s="31">
        <v>80</v>
      </c>
      <c r="E1201" s="29" t="s">
        <v>407</v>
      </c>
      <c r="F1201" s="29" t="str">
        <f>LOOKUP(A1201,'QALS - Inspection Lot Record'!A:A,'QALS - Inspection Lot Record'!G:G)</f>
        <v>GC197258</v>
      </c>
      <c r="G1201" s="59">
        <f ca="1">LOOKUP(A1201,'QALS - Inspection Lot Record'!A:A,'QALS - Inspection Lot Record'!E:E)</f>
        <v>45944</v>
      </c>
      <c r="H1201" s="34" t="str">
        <f t="shared" si="95"/>
        <v>A</v>
      </c>
      <c r="I1201" s="29" t="str">
        <f t="shared" si="91"/>
        <v>GC197258</v>
      </c>
      <c r="J1201" s="59">
        <f t="shared" ca="1" si="92"/>
        <v>45944</v>
      </c>
      <c r="K1201" s="30">
        <f ca="1">LOOKUP(A1201,'QALS - Inspection Lot Record'!A:A,'QALS - Inspection Lot Record'!I:I)</f>
        <v>0.41405092592592591</v>
      </c>
      <c r="L1201" s="59">
        <f t="shared" ca="1" si="93"/>
        <v>45944</v>
      </c>
      <c r="M1201" s="30">
        <f t="shared" ca="1" si="94"/>
        <v>0.43862268518518516</v>
      </c>
      <c r="N1201" s="31"/>
      <c r="O1201" s="31">
        <v>24</v>
      </c>
      <c r="P1201" s="29">
        <v>23</v>
      </c>
      <c r="Q1201" s="29">
        <v>25</v>
      </c>
    </row>
    <row r="1202" spans="1:17" x14ac:dyDescent="0.35">
      <c r="A1202" s="26">
        <v>40000002651</v>
      </c>
      <c r="B1202" s="27">
        <v>1</v>
      </c>
      <c r="C1202" s="29" t="str">
        <f>LOOKUP(A1202,'QALS - Inspection Lot Record'!$A$2:$A$361,'QALS - Inspection Lot Record'!$O$2:$O$361)</f>
        <v>Metformin Tablets (200 MG)</v>
      </c>
      <c r="D1202" s="27">
        <v>10</v>
      </c>
      <c r="E1202" s="26" t="s">
        <v>399</v>
      </c>
      <c r="F1202" s="29" t="str">
        <f>LOOKUP(A1202,'QALS - Inspection Lot Record'!A:A,'QALS - Inspection Lot Record'!G:G)</f>
        <v>ZK384180</v>
      </c>
      <c r="G1202" s="59">
        <f ca="1">LOOKUP(A1202,'QALS - Inspection Lot Record'!A:A,'QALS - Inspection Lot Record'!E:E)</f>
        <v>45945</v>
      </c>
      <c r="H1202" s="34" t="str">
        <f t="shared" si="95"/>
        <v>A</v>
      </c>
      <c r="I1202" s="29" t="str">
        <f t="shared" si="91"/>
        <v>ZK384180</v>
      </c>
      <c r="J1202" s="59">
        <f t="shared" ca="1" si="92"/>
        <v>45945</v>
      </c>
      <c r="K1202" s="30">
        <f ca="1">LOOKUP(A1202,'QALS - Inspection Lot Record'!A:A,'QALS - Inspection Lot Record'!I:I)</f>
        <v>0.84038194444444447</v>
      </c>
      <c r="L1202" s="59">
        <f t="shared" ca="1" si="93"/>
        <v>45945</v>
      </c>
      <c r="M1202" s="30">
        <f t="shared" ca="1" si="94"/>
        <v>0.86319444444444449</v>
      </c>
      <c r="N1202" s="31"/>
      <c r="O1202" s="31">
        <v>99</v>
      </c>
      <c r="P1202" s="29">
        <v>95</v>
      </c>
      <c r="Q1202" s="29">
        <v>103</v>
      </c>
    </row>
    <row r="1203" spans="1:17" x14ac:dyDescent="0.35">
      <c r="A1203" s="26">
        <v>40000002651</v>
      </c>
      <c r="B1203" s="27">
        <v>1</v>
      </c>
      <c r="C1203" s="29" t="str">
        <f>LOOKUP(A1203,'QALS - Inspection Lot Record'!$A$2:$A$361,'QALS - Inspection Lot Record'!$O$2:$O$361)</f>
        <v>Metformin Tablets (200 MG)</v>
      </c>
      <c r="D1203" s="31">
        <v>20</v>
      </c>
      <c r="E1203" s="29" t="s">
        <v>400</v>
      </c>
      <c r="F1203" s="29" t="str">
        <f>LOOKUP(A1203,'QALS - Inspection Lot Record'!A:A,'QALS - Inspection Lot Record'!G:G)</f>
        <v>ZK384180</v>
      </c>
      <c r="G1203" s="59">
        <f ca="1">LOOKUP(A1203,'QALS - Inspection Lot Record'!A:A,'QALS - Inspection Lot Record'!E:E)</f>
        <v>45945</v>
      </c>
      <c r="H1203" s="34" t="str">
        <f t="shared" si="95"/>
        <v>A</v>
      </c>
      <c r="I1203" s="29" t="str">
        <f t="shared" si="91"/>
        <v>ZK384180</v>
      </c>
      <c r="J1203" s="59">
        <f t="shared" ca="1" si="92"/>
        <v>45945</v>
      </c>
      <c r="K1203" s="30">
        <f ca="1">LOOKUP(A1203,'QALS - Inspection Lot Record'!A:A,'QALS - Inspection Lot Record'!I:I)</f>
        <v>0.84038194444444447</v>
      </c>
      <c r="L1203" s="59">
        <f t="shared" ca="1" si="93"/>
        <v>45945</v>
      </c>
      <c r="M1203" s="30">
        <f t="shared" ca="1" si="94"/>
        <v>0.86107638888888893</v>
      </c>
      <c r="N1203" s="31"/>
      <c r="O1203" s="31">
        <v>7.75</v>
      </c>
      <c r="P1203" s="29">
        <v>6</v>
      </c>
      <c r="Q1203" s="29">
        <v>9.5</v>
      </c>
    </row>
    <row r="1204" spans="1:17" x14ac:dyDescent="0.35">
      <c r="A1204" s="26">
        <v>40000002651</v>
      </c>
      <c r="B1204" s="31">
        <v>1</v>
      </c>
      <c r="C1204" s="29" t="str">
        <f>LOOKUP(A1204,'QALS - Inspection Lot Record'!$A$2:$A$361,'QALS - Inspection Lot Record'!$O$2:$O$361)</f>
        <v>Metformin Tablets (200 MG)</v>
      </c>
      <c r="D1204" s="31">
        <v>30</v>
      </c>
      <c r="E1204" s="29" t="s">
        <v>401</v>
      </c>
      <c r="F1204" s="29" t="str">
        <f>LOOKUP(A1204,'QALS - Inspection Lot Record'!A:A,'QALS - Inspection Lot Record'!G:G)</f>
        <v>ZK384180</v>
      </c>
      <c r="G1204" s="59">
        <f ca="1">LOOKUP(A1204,'QALS - Inspection Lot Record'!A:A,'QALS - Inspection Lot Record'!E:E)</f>
        <v>45945</v>
      </c>
      <c r="H1204" s="34" t="str">
        <f t="shared" si="95"/>
        <v>A</v>
      </c>
      <c r="I1204" s="29" t="str">
        <f t="shared" si="91"/>
        <v>ZK384180</v>
      </c>
      <c r="J1204" s="59">
        <f t="shared" ca="1" si="92"/>
        <v>45945</v>
      </c>
      <c r="K1204" s="30">
        <f ca="1">LOOKUP(A1204,'QALS - Inspection Lot Record'!A:A,'QALS - Inspection Lot Record'!I:I)</f>
        <v>0.84038194444444447</v>
      </c>
      <c r="L1204" s="59">
        <f t="shared" ca="1" si="93"/>
        <v>45945</v>
      </c>
      <c r="M1204" s="30">
        <f t="shared" ca="1" si="94"/>
        <v>0.87054398148148149</v>
      </c>
      <c r="N1204" s="11" t="s">
        <v>402</v>
      </c>
      <c r="O1204" s="31"/>
      <c r="P1204" s="29"/>
      <c r="Q1204" s="29"/>
    </row>
    <row r="1205" spans="1:17" x14ac:dyDescent="0.35">
      <c r="A1205" s="26">
        <v>40000002651</v>
      </c>
      <c r="B1205" s="31">
        <v>1</v>
      </c>
      <c r="C1205" s="29" t="str">
        <f>LOOKUP(A1205,'QALS - Inspection Lot Record'!$A$2:$A$361,'QALS - Inspection Lot Record'!$O$2:$O$361)</f>
        <v>Metformin Tablets (200 MG)</v>
      </c>
      <c r="D1205" s="31">
        <v>40</v>
      </c>
      <c r="E1205" s="29" t="s">
        <v>403</v>
      </c>
      <c r="F1205" s="29" t="str">
        <f>LOOKUP(A1205,'QALS - Inspection Lot Record'!A:A,'QALS - Inspection Lot Record'!G:G)</f>
        <v>ZK384180</v>
      </c>
      <c r="G1205" s="59">
        <f ca="1">LOOKUP(A1205,'QALS - Inspection Lot Record'!A:A,'QALS - Inspection Lot Record'!E:E)</f>
        <v>45945</v>
      </c>
      <c r="H1205" s="34" t="str">
        <f t="shared" si="95"/>
        <v>A</v>
      </c>
      <c r="I1205" s="29" t="str">
        <f t="shared" si="91"/>
        <v>ZK384180</v>
      </c>
      <c r="J1205" s="59">
        <f t="shared" ca="1" si="92"/>
        <v>45945</v>
      </c>
      <c r="K1205" s="30">
        <f ca="1">LOOKUP(A1205,'QALS - Inspection Lot Record'!A:A,'QALS - Inspection Lot Record'!I:I)</f>
        <v>0.84038194444444447</v>
      </c>
      <c r="L1205" s="59">
        <f t="shared" ca="1" si="93"/>
        <v>45945</v>
      </c>
      <c r="M1205" s="30">
        <f t="shared" ca="1" si="94"/>
        <v>0.85946759259259264</v>
      </c>
      <c r="N1205" s="31"/>
      <c r="O1205" s="31">
        <v>0</v>
      </c>
      <c r="P1205" s="29">
        <v>0</v>
      </c>
      <c r="Q1205" s="29">
        <v>2</v>
      </c>
    </row>
    <row r="1206" spans="1:17" x14ac:dyDescent="0.35">
      <c r="A1206" s="26">
        <v>40000002651</v>
      </c>
      <c r="B1206" s="31">
        <v>1</v>
      </c>
      <c r="C1206" s="29" t="str">
        <f>LOOKUP(A1206,'QALS - Inspection Lot Record'!$A$2:$A$361,'QALS - Inspection Lot Record'!$O$2:$O$361)</f>
        <v>Metformin Tablets (200 MG)</v>
      </c>
      <c r="D1206" s="31">
        <v>50</v>
      </c>
      <c r="E1206" s="29" t="s">
        <v>404</v>
      </c>
      <c r="F1206" s="29" t="str">
        <f>LOOKUP(A1206,'QALS - Inspection Lot Record'!A:A,'QALS - Inspection Lot Record'!G:G)</f>
        <v>ZK384180</v>
      </c>
      <c r="G1206" s="59">
        <f ca="1">LOOKUP(A1206,'QALS - Inspection Lot Record'!A:A,'QALS - Inspection Lot Record'!E:E)</f>
        <v>45945</v>
      </c>
      <c r="H1206" s="34" t="str">
        <f t="shared" si="95"/>
        <v>A</v>
      </c>
      <c r="I1206" s="29" t="str">
        <f t="shared" si="91"/>
        <v>ZK384180</v>
      </c>
      <c r="J1206" s="59">
        <f t="shared" ca="1" si="92"/>
        <v>45945</v>
      </c>
      <c r="K1206" s="30">
        <f ca="1">LOOKUP(A1206,'QALS - Inspection Lot Record'!A:A,'QALS - Inspection Lot Record'!I:I)</f>
        <v>0.84038194444444447</v>
      </c>
      <c r="L1206" s="59">
        <f t="shared" ca="1" si="93"/>
        <v>45945</v>
      </c>
      <c r="M1206" s="30">
        <f t="shared" ca="1" si="94"/>
        <v>0.87519675925925933</v>
      </c>
      <c r="N1206" s="31"/>
      <c r="O1206" s="31">
        <v>50</v>
      </c>
      <c r="P1206" s="29">
        <v>40</v>
      </c>
      <c r="Q1206" s="29">
        <v>60</v>
      </c>
    </row>
    <row r="1207" spans="1:17" x14ac:dyDescent="0.35">
      <c r="A1207" s="26">
        <v>40000002651</v>
      </c>
      <c r="B1207" s="31">
        <v>1</v>
      </c>
      <c r="C1207" s="29" t="str">
        <f>LOOKUP(A1207,'QALS - Inspection Lot Record'!$A$2:$A$361,'QALS - Inspection Lot Record'!$O$2:$O$361)</f>
        <v>Metformin Tablets (200 MG)</v>
      </c>
      <c r="D1207" s="31">
        <v>60</v>
      </c>
      <c r="E1207" s="29" t="s">
        <v>405</v>
      </c>
      <c r="F1207" s="29" t="str">
        <f>LOOKUP(A1207,'QALS - Inspection Lot Record'!A:A,'QALS - Inspection Lot Record'!G:G)</f>
        <v>ZK384180</v>
      </c>
      <c r="G1207" s="59">
        <f ca="1">LOOKUP(A1207,'QALS - Inspection Lot Record'!A:A,'QALS - Inspection Lot Record'!E:E)</f>
        <v>45945</v>
      </c>
      <c r="H1207" s="34" t="str">
        <f t="shared" si="95"/>
        <v>A</v>
      </c>
      <c r="I1207" s="29" t="str">
        <f t="shared" si="91"/>
        <v>ZK384180</v>
      </c>
      <c r="J1207" s="59">
        <f t="shared" ca="1" si="92"/>
        <v>45945</v>
      </c>
      <c r="K1207" s="30">
        <f ca="1">LOOKUP(A1207,'QALS - Inspection Lot Record'!A:A,'QALS - Inspection Lot Record'!I:I)</f>
        <v>0.84038194444444447</v>
      </c>
      <c r="L1207" s="59">
        <f t="shared" ca="1" si="93"/>
        <v>45945</v>
      </c>
      <c r="M1207" s="30">
        <f t="shared" ca="1" si="94"/>
        <v>0.87077546296296304</v>
      </c>
      <c r="N1207" s="31"/>
      <c r="O1207" s="31">
        <v>77.5</v>
      </c>
      <c r="P1207" s="29">
        <v>70</v>
      </c>
      <c r="Q1207" s="29">
        <v>85</v>
      </c>
    </row>
    <row r="1208" spans="1:17" x14ac:dyDescent="0.35">
      <c r="A1208" s="26">
        <v>40000002651</v>
      </c>
      <c r="B1208" s="31">
        <v>1</v>
      </c>
      <c r="C1208" s="29" t="str">
        <f>LOOKUP(A1208,'QALS - Inspection Lot Record'!$A$2:$A$361,'QALS - Inspection Lot Record'!$O$2:$O$361)</f>
        <v>Metformin Tablets (200 MG)</v>
      </c>
      <c r="D1208" s="31">
        <v>70</v>
      </c>
      <c r="E1208" s="29" t="s">
        <v>406</v>
      </c>
      <c r="F1208" s="29" t="str">
        <f>LOOKUP(A1208,'QALS - Inspection Lot Record'!A:A,'QALS - Inspection Lot Record'!G:G)</f>
        <v>ZK384180</v>
      </c>
      <c r="G1208" s="59">
        <f ca="1">LOOKUP(A1208,'QALS - Inspection Lot Record'!A:A,'QALS - Inspection Lot Record'!E:E)</f>
        <v>45945</v>
      </c>
      <c r="H1208" s="34" t="str">
        <f t="shared" si="95"/>
        <v>A</v>
      </c>
      <c r="I1208" s="29" t="str">
        <f t="shared" si="91"/>
        <v>ZK384180</v>
      </c>
      <c r="J1208" s="59">
        <f t="shared" ca="1" si="92"/>
        <v>45945</v>
      </c>
      <c r="K1208" s="30">
        <f ca="1">LOOKUP(A1208,'QALS - Inspection Lot Record'!A:A,'QALS - Inspection Lot Record'!I:I)</f>
        <v>0.84038194444444447</v>
      </c>
      <c r="L1208" s="59">
        <f t="shared" ca="1" si="93"/>
        <v>45945</v>
      </c>
      <c r="M1208" s="30">
        <f t="shared" ca="1" si="94"/>
        <v>0.86252314814814812</v>
      </c>
      <c r="N1208" s="31"/>
      <c r="O1208" s="31">
        <v>85</v>
      </c>
      <c r="P1208" s="29">
        <v>80</v>
      </c>
      <c r="Q1208" s="29">
        <v>90</v>
      </c>
    </row>
    <row r="1209" spans="1:17" x14ac:dyDescent="0.35">
      <c r="A1209" s="26">
        <v>40000002651</v>
      </c>
      <c r="B1209" s="31">
        <v>1</v>
      </c>
      <c r="C1209" s="29" t="str">
        <f>LOOKUP(A1209,'QALS - Inspection Lot Record'!$A$2:$A$361,'QALS - Inspection Lot Record'!$O$2:$O$361)</f>
        <v>Metformin Tablets (200 MG)</v>
      </c>
      <c r="D1209" s="31">
        <v>80</v>
      </c>
      <c r="E1209" s="29" t="s">
        <v>407</v>
      </c>
      <c r="F1209" s="29" t="str">
        <f>LOOKUP(A1209,'QALS - Inspection Lot Record'!A:A,'QALS - Inspection Lot Record'!G:G)</f>
        <v>ZK384180</v>
      </c>
      <c r="G1209" s="59">
        <f ca="1">LOOKUP(A1209,'QALS - Inspection Lot Record'!A:A,'QALS - Inspection Lot Record'!E:E)</f>
        <v>45945</v>
      </c>
      <c r="H1209" s="34" t="str">
        <f t="shared" si="95"/>
        <v>A</v>
      </c>
      <c r="I1209" s="29" t="str">
        <f t="shared" si="91"/>
        <v>ZK384180</v>
      </c>
      <c r="J1209" s="59">
        <f t="shared" ca="1" si="92"/>
        <v>45945</v>
      </c>
      <c r="K1209" s="30">
        <f ca="1">LOOKUP(A1209,'QALS - Inspection Lot Record'!A:A,'QALS - Inspection Lot Record'!I:I)</f>
        <v>0.84038194444444447</v>
      </c>
      <c r="L1209" s="59">
        <f t="shared" ca="1" si="93"/>
        <v>45945</v>
      </c>
      <c r="M1209" s="30">
        <f t="shared" ca="1" si="94"/>
        <v>0.86260416666666673</v>
      </c>
      <c r="N1209" s="31"/>
      <c r="O1209" s="31">
        <v>25.5</v>
      </c>
      <c r="P1209" s="29">
        <v>23</v>
      </c>
      <c r="Q1209" s="29">
        <v>28</v>
      </c>
    </row>
    <row r="1210" spans="1:17" x14ac:dyDescent="0.35">
      <c r="A1210" s="26">
        <v>40000002652</v>
      </c>
      <c r="B1210" s="27">
        <v>1</v>
      </c>
      <c r="C1210" s="29" t="str">
        <f>LOOKUP(A1210,'QALS - Inspection Lot Record'!$A$2:$A$361,'QALS - Inspection Lot Record'!$O$2:$O$361)</f>
        <v>Metformin Tablets (100 MG)</v>
      </c>
      <c r="D1210" s="27">
        <v>10</v>
      </c>
      <c r="E1210" s="26" t="s">
        <v>399</v>
      </c>
      <c r="F1210" s="29" t="str">
        <f>LOOKUP(A1210,'QALS - Inspection Lot Record'!A:A,'QALS - Inspection Lot Record'!G:G)</f>
        <v>TG509538</v>
      </c>
      <c r="G1210" s="59">
        <f ca="1">LOOKUP(A1210,'QALS - Inspection Lot Record'!A:A,'QALS - Inspection Lot Record'!E:E)</f>
        <v>45945</v>
      </c>
      <c r="H1210" s="34" t="str">
        <f t="shared" si="95"/>
        <v>A</v>
      </c>
      <c r="I1210" s="29" t="str">
        <f t="shared" si="91"/>
        <v>TG509538</v>
      </c>
      <c r="J1210" s="59">
        <f t="shared" ca="1" si="92"/>
        <v>45945</v>
      </c>
      <c r="K1210" s="30">
        <f ca="1">LOOKUP(A1210,'QALS - Inspection Lot Record'!A:A,'QALS - Inspection Lot Record'!I:I)</f>
        <v>0.39371527777777776</v>
      </c>
      <c r="L1210" s="59">
        <f t="shared" ca="1" si="93"/>
        <v>45945</v>
      </c>
      <c r="M1210" s="30">
        <f t="shared" ca="1" si="94"/>
        <v>0.42880787037037038</v>
      </c>
      <c r="N1210" s="31"/>
      <c r="O1210" s="31">
        <v>98.5</v>
      </c>
      <c r="P1210" s="29">
        <v>95</v>
      </c>
      <c r="Q1210" s="29">
        <v>102</v>
      </c>
    </row>
    <row r="1211" spans="1:17" x14ac:dyDescent="0.35">
      <c r="A1211" s="26">
        <v>40000002652</v>
      </c>
      <c r="B1211" s="27">
        <v>1</v>
      </c>
      <c r="C1211" s="29" t="str">
        <f>LOOKUP(A1211,'QALS - Inspection Lot Record'!$A$2:$A$361,'QALS - Inspection Lot Record'!$O$2:$O$361)</f>
        <v>Metformin Tablets (100 MG)</v>
      </c>
      <c r="D1211" s="31">
        <v>20</v>
      </c>
      <c r="E1211" s="29" t="s">
        <v>400</v>
      </c>
      <c r="F1211" s="29" t="str">
        <f>LOOKUP(A1211,'QALS - Inspection Lot Record'!A:A,'QALS - Inspection Lot Record'!G:G)</f>
        <v>TG509538</v>
      </c>
      <c r="G1211" s="59">
        <f ca="1">LOOKUP(A1211,'QALS - Inspection Lot Record'!A:A,'QALS - Inspection Lot Record'!E:E)</f>
        <v>45945</v>
      </c>
      <c r="H1211" s="34" t="str">
        <f t="shared" si="95"/>
        <v>A</v>
      </c>
      <c r="I1211" s="29" t="str">
        <f t="shared" si="91"/>
        <v>TG509538</v>
      </c>
      <c r="J1211" s="59">
        <f t="shared" ca="1" si="92"/>
        <v>45945</v>
      </c>
      <c r="K1211" s="30">
        <f ca="1">LOOKUP(A1211,'QALS - Inspection Lot Record'!A:A,'QALS - Inspection Lot Record'!I:I)</f>
        <v>0.39371527777777776</v>
      </c>
      <c r="L1211" s="59">
        <f t="shared" ca="1" si="93"/>
        <v>45945</v>
      </c>
      <c r="M1211" s="30">
        <f t="shared" ca="1" si="94"/>
        <v>0.42118055555555556</v>
      </c>
      <c r="N1211" s="31"/>
      <c r="O1211" s="31">
        <v>7.25</v>
      </c>
      <c r="P1211" s="29">
        <v>3.5</v>
      </c>
      <c r="Q1211" s="29">
        <v>11</v>
      </c>
    </row>
    <row r="1212" spans="1:17" x14ac:dyDescent="0.35">
      <c r="A1212" s="26">
        <v>40000002652</v>
      </c>
      <c r="B1212" s="31">
        <v>1</v>
      </c>
      <c r="C1212" s="29" t="str">
        <f>LOOKUP(A1212,'QALS - Inspection Lot Record'!$A$2:$A$361,'QALS - Inspection Lot Record'!$O$2:$O$361)</f>
        <v>Metformin Tablets (100 MG)</v>
      </c>
      <c r="D1212" s="31">
        <v>30</v>
      </c>
      <c r="E1212" s="29" t="s">
        <v>401</v>
      </c>
      <c r="F1212" s="29" t="str">
        <f>LOOKUP(A1212,'QALS - Inspection Lot Record'!A:A,'QALS - Inspection Lot Record'!G:G)</f>
        <v>TG509538</v>
      </c>
      <c r="G1212" s="59">
        <f ca="1">LOOKUP(A1212,'QALS - Inspection Lot Record'!A:A,'QALS - Inspection Lot Record'!E:E)</f>
        <v>45945</v>
      </c>
      <c r="H1212" s="34" t="str">
        <f t="shared" si="95"/>
        <v>A</v>
      </c>
      <c r="I1212" s="29" t="str">
        <f t="shared" si="91"/>
        <v>TG509538</v>
      </c>
      <c r="J1212" s="59">
        <f t="shared" ca="1" si="92"/>
        <v>45945</v>
      </c>
      <c r="K1212" s="30">
        <f ca="1">LOOKUP(A1212,'QALS - Inspection Lot Record'!A:A,'QALS - Inspection Lot Record'!I:I)</f>
        <v>0.39371527777777776</v>
      </c>
      <c r="L1212" s="59">
        <f t="shared" ca="1" si="93"/>
        <v>45945</v>
      </c>
      <c r="M1212" s="30">
        <f t="shared" ca="1" si="94"/>
        <v>0.41380787037037037</v>
      </c>
      <c r="N1212" s="11" t="s">
        <v>402</v>
      </c>
      <c r="O1212" s="31"/>
      <c r="P1212" s="29"/>
      <c r="Q1212" s="29"/>
    </row>
    <row r="1213" spans="1:17" x14ac:dyDescent="0.35">
      <c r="A1213" s="26">
        <v>40000002652</v>
      </c>
      <c r="B1213" s="31">
        <v>1</v>
      </c>
      <c r="C1213" s="29" t="str">
        <f>LOOKUP(A1213,'QALS - Inspection Lot Record'!$A$2:$A$361,'QALS - Inspection Lot Record'!$O$2:$O$361)</f>
        <v>Metformin Tablets (100 MG)</v>
      </c>
      <c r="D1213" s="31">
        <v>40</v>
      </c>
      <c r="E1213" s="29" t="s">
        <v>403</v>
      </c>
      <c r="F1213" s="29" t="str">
        <f>LOOKUP(A1213,'QALS - Inspection Lot Record'!A:A,'QALS - Inspection Lot Record'!G:G)</f>
        <v>TG509538</v>
      </c>
      <c r="G1213" s="59">
        <f ca="1">LOOKUP(A1213,'QALS - Inspection Lot Record'!A:A,'QALS - Inspection Lot Record'!E:E)</f>
        <v>45945</v>
      </c>
      <c r="H1213" s="34" t="str">
        <f t="shared" si="95"/>
        <v>A</v>
      </c>
      <c r="I1213" s="29" t="str">
        <f t="shared" si="91"/>
        <v>TG509538</v>
      </c>
      <c r="J1213" s="59">
        <f t="shared" ca="1" si="92"/>
        <v>45945</v>
      </c>
      <c r="K1213" s="30">
        <f ca="1">LOOKUP(A1213,'QALS - Inspection Lot Record'!A:A,'QALS - Inspection Lot Record'!I:I)</f>
        <v>0.39371527777777776</v>
      </c>
      <c r="L1213" s="59">
        <f t="shared" ca="1" si="93"/>
        <v>45945</v>
      </c>
      <c r="M1213" s="30">
        <f t="shared" ca="1" si="94"/>
        <v>0.4271759259259259</v>
      </c>
      <c r="N1213" s="31"/>
      <c r="O1213" s="31">
        <v>0</v>
      </c>
      <c r="P1213" s="29">
        <v>0</v>
      </c>
      <c r="Q1213" s="29">
        <v>1</v>
      </c>
    </row>
    <row r="1214" spans="1:17" x14ac:dyDescent="0.35">
      <c r="A1214" s="26">
        <v>40000002652</v>
      </c>
      <c r="B1214" s="31">
        <v>1</v>
      </c>
      <c r="C1214" s="29" t="str">
        <f>LOOKUP(A1214,'QALS - Inspection Lot Record'!$A$2:$A$361,'QALS - Inspection Lot Record'!$O$2:$O$361)</f>
        <v>Metformin Tablets (100 MG)</v>
      </c>
      <c r="D1214" s="31">
        <v>50</v>
      </c>
      <c r="E1214" s="29" t="s">
        <v>404</v>
      </c>
      <c r="F1214" s="29" t="str">
        <f>LOOKUP(A1214,'QALS - Inspection Lot Record'!A:A,'QALS - Inspection Lot Record'!G:G)</f>
        <v>TG509538</v>
      </c>
      <c r="G1214" s="59">
        <f ca="1">LOOKUP(A1214,'QALS - Inspection Lot Record'!A:A,'QALS - Inspection Lot Record'!E:E)</f>
        <v>45945</v>
      </c>
      <c r="H1214" s="34" t="str">
        <f t="shared" si="95"/>
        <v>A</v>
      </c>
      <c r="I1214" s="29" t="str">
        <f t="shared" si="91"/>
        <v>TG509538</v>
      </c>
      <c r="J1214" s="59">
        <f t="shared" ca="1" si="92"/>
        <v>45945</v>
      </c>
      <c r="K1214" s="30">
        <f ca="1">LOOKUP(A1214,'QALS - Inspection Lot Record'!A:A,'QALS - Inspection Lot Record'!I:I)</f>
        <v>0.39371527777777776</v>
      </c>
      <c r="L1214" s="59">
        <f t="shared" ca="1" si="93"/>
        <v>45945</v>
      </c>
      <c r="M1214" s="30">
        <f t="shared" ca="1" si="94"/>
        <v>0.41317129629629629</v>
      </c>
      <c r="N1214" s="31"/>
      <c r="O1214" s="31">
        <v>50</v>
      </c>
      <c r="P1214" s="29">
        <v>40</v>
      </c>
      <c r="Q1214" s="29">
        <v>60</v>
      </c>
    </row>
    <row r="1215" spans="1:17" x14ac:dyDescent="0.35">
      <c r="A1215" s="26">
        <v>40000002652</v>
      </c>
      <c r="B1215" s="31">
        <v>1</v>
      </c>
      <c r="C1215" s="29" t="str">
        <f>LOOKUP(A1215,'QALS - Inspection Lot Record'!$A$2:$A$361,'QALS - Inspection Lot Record'!$O$2:$O$361)</f>
        <v>Metformin Tablets (100 MG)</v>
      </c>
      <c r="D1215" s="31">
        <v>60</v>
      </c>
      <c r="E1215" s="29" t="s">
        <v>405</v>
      </c>
      <c r="F1215" s="29" t="str">
        <f>LOOKUP(A1215,'QALS - Inspection Lot Record'!A:A,'QALS - Inspection Lot Record'!G:G)</f>
        <v>TG509538</v>
      </c>
      <c r="G1215" s="59">
        <f ca="1">LOOKUP(A1215,'QALS - Inspection Lot Record'!A:A,'QALS - Inspection Lot Record'!E:E)</f>
        <v>45945</v>
      </c>
      <c r="H1215" s="34" t="str">
        <f t="shared" si="95"/>
        <v>A</v>
      </c>
      <c r="I1215" s="29" t="str">
        <f t="shared" si="91"/>
        <v>TG509538</v>
      </c>
      <c r="J1215" s="59">
        <f t="shared" ca="1" si="92"/>
        <v>45945</v>
      </c>
      <c r="K1215" s="30">
        <f ca="1">LOOKUP(A1215,'QALS - Inspection Lot Record'!A:A,'QALS - Inspection Lot Record'!I:I)</f>
        <v>0.39371527777777776</v>
      </c>
      <c r="L1215" s="59">
        <f t="shared" ca="1" si="93"/>
        <v>45945</v>
      </c>
      <c r="M1215" s="30">
        <f t="shared" ca="1" si="94"/>
        <v>0.41615740740740736</v>
      </c>
      <c r="N1215" s="31"/>
      <c r="O1215" s="31">
        <v>77.5</v>
      </c>
      <c r="P1215" s="29">
        <v>70</v>
      </c>
      <c r="Q1215" s="29">
        <v>85</v>
      </c>
    </row>
    <row r="1216" spans="1:17" x14ac:dyDescent="0.35">
      <c r="A1216" s="26">
        <v>40000002652</v>
      </c>
      <c r="B1216" s="31">
        <v>1</v>
      </c>
      <c r="C1216" s="29" t="str">
        <f>LOOKUP(A1216,'QALS - Inspection Lot Record'!$A$2:$A$361,'QALS - Inspection Lot Record'!$O$2:$O$361)</f>
        <v>Metformin Tablets (100 MG)</v>
      </c>
      <c r="D1216" s="31">
        <v>70</v>
      </c>
      <c r="E1216" s="29" t="s">
        <v>406</v>
      </c>
      <c r="F1216" s="29" t="str">
        <f>LOOKUP(A1216,'QALS - Inspection Lot Record'!A:A,'QALS - Inspection Lot Record'!G:G)</f>
        <v>TG509538</v>
      </c>
      <c r="G1216" s="59">
        <f ca="1">LOOKUP(A1216,'QALS - Inspection Lot Record'!A:A,'QALS - Inspection Lot Record'!E:E)</f>
        <v>45945</v>
      </c>
      <c r="H1216" s="34" t="str">
        <f t="shared" si="95"/>
        <v>A</v>
      </c>
      <c r="I1216" s="29" t="str">
        <f t="shared" si="91"/>
        <v>TG509538</v>
      </c>
      <c r="J1216" s="59">
        <f t="shared" ca="1" si="92"/>
        <v>45945</v>
      </c>
      <c r="K1216" s="30">
        <f ca="1">LOOKUP(A1216,'QALS - Inspection Lot Record'!A:A,'QALS - Inspection Lot Record'!I:I)</f>
        <v>0.39371527777777776</v>
      </c>
      <c r="L1216" s="59">
        <f t="shared" ca="1" si="93"/>
        <v>45945</v>
      </c>
      <c r="M1216" s="30">
        <f t="shared" ca="1" si="94"/>
        <v>0.41834490740740737</v>
      </c>
      <c r="N1216" s="31"/>
      <c r="O1216" s="31">
        <v>85</v>
      </c>
      <c r="P1216" s="29">
        <v>80</v>
      </c>
      <c r="Q1216" s="29">
        <v>90</v>
      </c>
    </row>
    <row r="1217" spans="1:17" x14ac:dyDescent="0.35">
      <c r="A1217" s="26">
        <v>40000002652</v>
      </c>
      <c r="B1217" s="31">
        <v>1</v>
      </c>
      <c r="C1217" s="29" t="str">
        <f>LOOKUP(A1217,'QALS - Inspection Lot Record'!$A$2:$A$361,'QALS - Inspection Lot Record'!$O$2:$O$361)</f>
        <v>Metformin Tablets (100 MG)</v>
      </c>
      <c r="D1217" s="31">
        <v>80</v>
      </c>
      <c r="E1217" s="29" t="s">
        <v>407</v>
      </c>
      <c r="F1217" s="29" t="str">
        <f>LOOKUP(A1217,'QALS - Inspection Lot Record'!A:A,'QALS - Inspection Lot Record'!G:G)</f>
        <v>TG509538</v>
      </c>
      <c r="G1217" s="59">
        <f ca="1">LOOKUP(A1217,'QALS - Inspection Lot Record'!A:A,'QALS - Inspection Lot Record'!E:E)</f>
        <v>45945</v>
      </c>
      <c r="H1217" s="34" t="str">
        <f t="shared" si="95"/>
        <v>A</v>
      </c>
      <c r="I1217" s="29" t="str">
        <f t="shared" si="91"/>
        <v>TG509538</v>
      </c>
      <c r="J1217" s="59">
        <f t="shared" ca="1" si="92"/>
        <v>45945</v>
      </c>
      <c r="K1217" s="30">
        <f ca="1">LOOKUP(A1217,'QALS - Inspection Lot Record'!A:A,'QALS - Inspection Lot Record'!I:I)</f>
        <v>0.39371527777777776</v>
      </c>
      <c r="L1217" s="59">
        <f t="shared" ca="1" si="93"/>
        <v>45945</v>
      </c>
      <c r="M1217" s="30">
        <f t="shared" ca="1" si="94"/>
        <v>0.42645833333333333</v>
      </c>
      <c r="N1217" s="31"/>
      <c r="O1217" s="31">
        <v>24</v>
      </c>
      <c r="P1217" s="29">
        <v>23</v>
      </c>
      <c r="Q1217" s="29">
        <v>25</v>
      </c>
    </row>
    <row r="1218" spans="1:17" x14ac:dyDescent="0.35">
      <c r="A1218" s="26">
        <v>40000002653</v>
      </c>
      <c r="B1218" s="27">
        <v>1</v>
      </c>
      <c r="C1218" s="29" t="str">
        <f>LOOKUP(A1218,'QALS - Inspection Lot Record'!$A$2:$A$361,'QALS - Inspection Lot Record'!$O$2:$O$361)</f>
        <v>Ibuprofen Tablets (100 MG)</v>
      </c>
      <c r="D1218" s="27">
        <v>10</v>
      </c>
      <c r="E1218" s="26" t="s">
        <v>399</v>
      </c>
      <c r="F1218" s="29" t="str">
        <f>LOOKUP(A1218,'QALS - Inspection Lot Record'!A:A,'QALS - Inspection Lot Record'!G:G)</f>
        <v>ZK384180</v>
      </c>
      <c r="G1218" s="59">
        <f ca="1">LOOKUP(A1218,'QALS - Inspection Lot Record'!A:A,'QALS - Inspection Lot Record'!E:E)</f>
        <v>45946</v>
      </c>
      <c r="H1218" s="34" t="str">
        <f t="shared" si="95"/>
        <v>A</v>
      </c>
      <c r="I1218" s="29" t="str">
        <f t="shared" ref="I1218:I1281" si="96">F1218</f>
        <v>ZK384180</v>
      </c>
      <c r="J1218" s="59">
        <f t="shared" ref="J1218:J1281" ca="1" si="97">G1218</f>
        <v>45946</v>
      </c>
      <c r="K1218" s="30">
        <f ca="1">LOOKUP(A1218,'QALS - Inspection Lot Record'!A:A,'QALS - Inspection Lot Record'!I:I)</f>
        <v>0.90681712962962968</v>
      </c>
      <c r="L1218" s="59">
        <f t="shared" ref="L1218:L1281" ca="1" si="98">G1218</f>
        <v>45946</v>
      </c>
      <c r="M1218" s="30">
        <f t="shared" ref="M1218:M1281" ca="1" si="99">K1218+TIME(0,RANDBETWEEN(25,50),RANDBETWEEN(0,59))</f>
        <v>0.92622685185185194</v>
      </c>
      <c r="N1218" s="31"/>
      <c r="O1218" s="31">
        <v>98.5</v>
      </c>
      <c r="P1218" s="29">
        <v>95</v>
      </c>
      <c r="Q1218" s="29">
        <v>102</v>
      </c>
    </row>
    <row r="1219" spans="1:17" x14ac:dyDescent="0.35">
      <c r="A1219" s="26">
        <v>40000002653</v>
      </c>
      <c r="B1219" s="27">
        <v>1</v>
      </c>
      <c r="C1219" s="29" t="str">
        <f>LOOKUP(A1219,'QALS - Inspection Lot Record'!$A$2:$A$361,'QALS - Inspection Lot Record'!$O$2:$O$361)</f>
        <v>Ibuprofen Tablets (100 MG)</v>
      </c>
      <c r="D1219" s="31">
        <v>20</v>
      </c>
      <c r="E1219" s="29" t="s">
        <v>400</v>
      </c>
      <c r="F1219" s="29" t="str">
        <f>LOOKUP(A1219,'QALS - Inspection Lot Record'!A:A,'QALS - Inspection Lot Record'!G:G)</f>
        <v>ZK384180</v>
      </c>
      <c r="G1219" s="59">
        <f ca="1">LOOKUP(A1219,'QALS - Inspection Lot Record'!A:A,'QALS - Inspection Lot Record'!E:E)</f>
        <v>45946</v>
      </c>
      <c r="H1219" s="34" t="str">
        <f t="shared" si="95"/>
        <v>A</v>
      </c>
      <c r="I1219" s="29" t="str">
        <f t="shared" si="96"/>
        <v>ZK384180</v>
      </c>
      <c r="J1219" s="59">
        <f t="shared" ca="1" si="97"/>
        <v>45946</v>
      </c>
      <c r="K1219" s="30">
        <f ca="1">LOOKUP(A1219,'QALS - Inspection Lot Record'!A:A,'QALS - Inspection Lot Record'!I:I)</f>
        <v>0.90681712962962968</v>
      </c>
      <c r="L1219" s="59">
        <f t="shared" ca="1" si="98"/>
        <v>45946</v>
      </c>
      <c r="M1219" s="30">
        <f t="shared" ca="1" si="99"/>
        <v>0.94142361111111117</v>
      </c>
      <c r="N1219" s="31"/>
      <c r="O1219" s="31">
        <v>7.25</v>
      </c>
      <c r="P1219" s="29">
        <v>3.5</v>
      </c>
      <c r="Q1219" s="29">
        <v>11</v>
      </c>
    </row>
    <row r="1220" spans="1:17" x14ac:dyDescent="0.35">
      <c r="A1220" s="26">
        <v>40000002653</v>
      </c>
      <c r="B1220" s="31">
        <v>1</v>
      </c>
      <c r="C1220" s="29" t="str">
        <f>LOOKUP(A1220,'QALS - Inspection Lot Record'!$A$2:$A$361,'QALS - Inspection Lot Record'!$O$2:$O$361)</f>
        <v>Ibuprofen Tablets (100 MG)</v>
      </c>
      <c r="D1220" s="31">
        <v>30</v>
      </c>
      <c r="E1220" s="29" t="s">
        <v>401</v>
      </c>
      <c r="F1220" s="29" t="str">
        <f>LOOKUP(A1220,'QALS - Inspection Lot Record'!A:A,'QALS - Inspection Lot Record'!G:G)</f>
        <v>ZK384180</v>
      </c>
      <c r="G1220" s="59">
        <f ca="1">LOOKUP(A1220,'QALS - Inspection Lot Record'!A:A,'QALS - Inspection Lot Record'!E:E)</f>
        <v>45946</v>
      </c>
      <c r="H1220" s="34" t="str">
        <f t="shared" si="95"/>
        <v>A</v>
      </c>
      <c r="I1220" s="29" t="str">
        <f t="shared" si="96"/>
        <v>ZK384180</v>
      </c>
      <c r="J1220" s="59">
        <f t="shared" ca="1" si="97"/>
        <v>45946</v>
      </c>
      <c r="K1220" s="30">
        <f ca="1">LOOKUP(A1220,'QALS - Inspection Lot Record'!A:A,'QALS - Inspection Lot Record'!I:I)</f>
        <v>0.90681712962962968</v>
      </c>
      <c r="L1220" s="59">
        <f t="shared" ca="1" si="98"/>
        <v>45946</v>
      </c>
      <c r="M1220" s="30">
        <f t="shared" ca="1" si="99"/>
        <v>0.92751157407407414</v>
      </c>
      <c r="N1220" s="11" t="s">
        <v>402</v>
      </c>
      <c r="O1220" s="31"/>
      <c r="P1220" s="29"/>
      <c r="Q1220" s="29"/>
    </row>
    <row r="1221" spans="1:17" x14ac:dyDescent="0.35">
      <c r="A1221" s="26">
        <v>40000002653</v>
      </c>
      <c r="B1221" s="31">
        <v>1</v>
      </c>
      <c r="C1221" s="29" t="str">
        <f>LOOKUP(A1221,'QALS - Inspection Lot Record'!$A$2:$A$361,'QALS - Inspection Lot Record'!$O$2:$O$361)</f>
        <v>Ibuprofen Tablets (100 MG)</v>
      </c>
      <c r="D1221" s="31">
        <v>40</v>
      </c>
      <c r="E1221" s="29" t="s">
        <v>403</v>
      </c>
      <c r="F1221" s="29" t="str">
        <f>LOOKUP(A1221,'QALS - Inspection Lot Record'!A:A,'QALS - Inspection Lot Record'!G:G)</f>
        <v>ZK384180</v>
      </c>
      <c r="G1221" s="59">
        <f ca="1">LOOKUP(A1221,'QALS - Inspection Lot Record'!A:A,'QALS - Inspection Lot Record'!E:E)</f>
        <v>45946</v>
      </c>
      <c r="H1221" s="34" t="str">
        <f t="shared" si="95"/>
        <v>A</v>
      </c>
      <c r="I1221" s="29" t="str">
        <f t="shared" si="96"/>
        <v>ZK384180</v>
      </c>
      <c r="J1221" s="59">
        <f t="shared" ca="1" si="97"/>
        <v>45946</v>
      </c>
      <c r="K1221" s="30">
        <f ca="1">LOOKUP(A1221,'QALS - Inspection Lot Record'!A:A,'QALS - Inspection Lot Record'!I:I)</f>
        <v>0.90681712962962968</v>
      </c>
      <c r="L1221" s="59">
        <f t="shared" ca="1" si="98"/>
        <v>45946</v>
      </c>
      <c r="M1221" s="30">
        <f t="shared" ca="1" si="99"/>
        <v>0.93856481481481491</v>
      </c>
      <c r="N1221" s="31"/>
      <c r="O1221" s="31">
        <v>0</v>
      </c>
      <c r="P1221" s="29">
        <v>0</v>
      </c>
      <c r="Q1221" s="29">
        <v>1</v>
      </c>
    </row>
    <row r="1222" spans="1:17" x14ac:dyDescent="0.35">
      <c r="A1222" s="26">
        <v>40000002653</v>
      </c>
      <c r="B1222" s="31">
        <v>1</v>
      </c>
      <c r="C1222" s="29" t="str">
        <f>LOOKUP(A1222,'QALS - Inspection Lot Record'!$A$2:$A$361,'QALS - Inspection Lot Record'!$O$2:$O$361)</f>
        <v>Ibuprofen Tablets (100 MG)</v>
      </c>
      <c r="D1222" s="31">
        <v>50</v>
      </c>
      <c r="E1222" s="29" t="s">
        <v>404</v>
      </c>
      <c r="F1222" s="29" t="str">
        <f>LOOKUP(A1222,'QALS - Inspection Lot Record'!A:A,'QALS - Inspection Lot Record'!G:G)</f>
        <v>ZK384180</v>
      </c>
      <c r="G1222" s="59">
        <f ca="1">LOOKUP(A1222,'QALS - Inspection Lot Record'!A:A,'QALS - Inspection Lot Record'!E:E)</f>
        <v>45946</v>
      </c>
      <c r="H1222" s="34" t="str">
        <f t="shared" si="95"/>
        <v>A</v>
      </c>
      <c r="I1222" s="29" t="str">
        <f t="shared" si="96"/>
        <v>ZK384180</v>
      </c>
      <c r="J1222" s="59">
        <f t="shared" ca="1" si="97"/>
        <v>45946</v>
      </c>
      <c r="K1222" s="30">
        <f ca="1">LOOKUP(A1222,'QALS - Inspection Lot Record'!A:A,'QALS - Inspection Lot Record'!I:I)</f>
        <v>0.90681712962962968</v>
      </c>
      <c r="L1222" s="59">
        <f t="shared" ca="1" si="98"/>
        <v>45946</v>
      </c>
      <c r="M1222" s="30">
        <f t="shared" ca="1" si="99"/>
        <v>0.94152777777777785</v>
      </c>
      <c r="N1222" s="31"/>
      <c r="O1222" s="31">
        <v>50</v>
      </c>
      <c r="P1222" s="29">
        <v>40</v>
      </c>
      <c r="Q1222" s="29">
        <v>60</v>
      </c>
    </row>
    <row r="1223" spans="1:17" x14ac:dyDescent="0.35">
      <c r="A1223" s="26">
        <v>40000002653</v>
      </c>
      <c r="B1223" s="31">
        <v>1</v>
      </c>
      <c r="C1223" s="29" t="str">
        <f>LOOKUP(A1223,'QALS - Inspection Lot Record'!$A$2:$A$361,'QALS - Inspection Lot Record'!$O$2:$O$361)</f>
        <v>Ibuprofen Tablets (100 MG)</v>
      </c>
      <c r="D1223" s="31">
        <v>60</v>
      </c>
      <c r="E1223" s="29" t="s">
        <v>405</v>
      </c>
      <c r="F1223" s="29" t="str">
        <f>LOOKUP(A1223,'QALS - Inspection Lot Record'!A:A,'QALS - Inspection Lot Record'!G:G)</f>
        <v>ZK384180</v>
      </c>
      <c r="G1223" s="59">
        <f ca="1">LOOKUP(A1223,'QALS - Inspection Lot Record'!A:A,'QALS - Inspection Lot Record'!E:E)</f>
        <v>45946</v>
      </c>
      <c r="H1223" s="34" t="str">
        <f t="shared" si="95"/>
        <v>A</v>
      </c>
      <c r="I1223" s="29" t="str">
        <f t="shared" si="96"/>
        <v>ZK384180</v>
      </c>
      <c r="J1223" s="59">
        <f t="shared" ca="1" si="97"/>
        <v>45946</v>
      </c>
      <c r="K1223" s="30">
        <f ca="1">LOOKUP(A1223,'QALS - Inspection Lot Record'!A:A,'QALS - Inspection Lot Record'!I:I)</f>
        <v>0.90681712962962968</v>
      </c>
      <c r="L1223" s="59">
        <f t="shared" ca="1" si="98"/>
        <v>45946</v>
      </c>
      <c r="M1223" s="30">
        <f t="shared" ca="1" si="99"/>
        <v>0.93631944444444448</v>
      </c>
      <c r="N1223" s="31"/>
      <c r="O1223" s="31">
        <v>77.5</v>
      </c>
      <c r="P1223" s="29">
        <v>70</v>
      </c>
      <c r="Q1223" s="29">
        <v>85</v>
      </c>
    </row>
    <row r="1224" spans="1:17" x14ac:dyDescent="0.35">
      <c r="A1224" s="26">
        <v>40000002653</v>
      </c>
      <c r="B1224" s="31">
        <v>1</v>
      </c>
      <c r="C1224" s="29" t="str">
        <f>LOOKUP(A1224,'QALS - Inspection Lot Record'!$A$2:$A$361,'QALS - Inspection Lot Record'!$O$2:$O$361)</f>
        <v>Ibuprofen Tablets (100 MG)</v>
      </c>
      <c r="D1224" s="31">
        <v>70</v>
      </c>
      <c r="E1224" s="29" t="s">
        <v>406</v>
      </c>
      <c r="F1224" s="29" t="str">
        <f>LOOKUP(A1224,'QALS - Inspection Lot Record'!A:A,'QALS - Inspection Lot Record'!G:G)</f>
        <v>ZK384180</v>
      </c>
      <c r="G1224" s="59">
        <f ca="1">LOOKUP(A1224,'QALS - Inspection Lot Record'!A:A,'QALS - Inspection Lot Record'!E:E)</f>
        <v>45946</v>
      </c>
      <c r="H1224" s="34" t="str">
        <f t="shared" si="95"/>
        <v>A</v>
      </c>
      <c r="I1224" s="29" t="str">
        <f t="shared" si="96"/>
        <v>ZK384180</v>
      </c>
      <c r="J1224" s="59">
        <f t="shared" ca="1" si="97"/>
        <v>45946</v>
      </c>
      <c r="K1224" s="30">
        <f ca="1">LOOKUP(A1224,'QALS - Inspection Lot Record'!A:A,'QALS - Inspection Lot Record'!I:I)</f>
        <v>0.90681712962962968</v>
      </c>
      <c r="L1224" s="59">
        <f t="shared" ca="1" si="98"/>
        <v>45946</v>
      </c>
      <c r="M1224" s="30">
        <f t="shared" ca="1" si="99"/>
        <v>0.92644675925925934</v>
      </c>
      <c r="N1224" s="31"/>
      <c r="O1224" s="31">
        <v>85</v>
      </c>
      <c r="P1224" s="29">
        <v>80</v>
      </c>
      <c r="Q1224" s="29">
        <v>90</v>
      </c>
    </row>
    <row r="1225" spans="1:17" x14ac:dyDescent="0.35">
      <c r="A1225" s="26">
        <v>40000002653</v>
      </c>
      <c r="B1225" s="31">
        <v>1</v>
      </c>
      <c r="C1225" s="29" t="str">
        <f>LOOKUP(A1225,'QALS - Inspection Lot Record'!$A$2:$A$361,'QALS - Inspection Lot Record'!$O$2:$O$361)</f>
        <v>Ibuprofen Tablets (100 MG)</v>
      </c>
      <c r="D1225" s="31">
        <v>80</v>
      </c>
      <c r="E1225" s="29" t="s">
        <v>407</v>
      </c>
      <c r="F1225" s="29" t="str">
        <f>LOOKUP(A1225,'QALS - Inspection Lot Record'!A:A,'QALS - Inspection Lot Record'!G:G)</f>
        <v>ZK384180</v>
      </c>
      <c r="G1225" s="59">
        <f ca="1">LOOKUP(A1225,'QALS - Inspection Lot Record'!A:A,'QALS - Inspection Lot Record'!E:E)</f>
        <v>45946</v>
      </c>
      <c r="H1225" s="34" t="str">
        <f t="shared" si="95"/>
        <v>A</v>
      </c>
      <c r="I1225" s="29" t="str">
        <f t="shared" si="96"/>
        <v>ZK384180</v>
      </c>
      <c r="J1225" s="59">
        <f t="shared" ca="1" si="97"/>
        <v>45946</v>
      </c>
      <c r="K1225" s="30">
        <f ca="1">LOOKUP(A1225,'QALS - Inspection Lot Record'!A:A,'QALS - Inspection Lot Record'!I:I)</f>
        <v>0.90681712962962968</v>
      </c>
      <c r="L1225" s="59">
        <f t="shared" ca="1" si="98"/>
        <v>45946</v>
      </c>
      <c r="M1225" s="30">
        <f t="shared" ca="1" si="99"/>
        <v>0.93929398148148158</v>
      </c>
      <c r="N1225" s="31"/>
      <c r="O1225" s="31">
        <v>24</v>
      </c>
      <c r="P1225" s="29">
        <v>23</v>
      </c>
      <c r="Q1225" s="29">
        <v>25</v>
      </c>
    </row>
    <row r="1226" spans="1:17" x14ac:dyDescent="0.35">
      <c r="A1226" s="26">
        <v>40000002654</v>
      </c>
      <c r="B1226" s="27">
        <v>1</v>
      </c>
      <c r="C1226" s="29" t="str">
        <f>LOOKUP(A1226,'QALS - Inspection Lot Record'!$A$2:$A$361,'QALS - Inspection Lot Record'!$O$2:$O$361)</f>
        <v>Metformin Tablets (100 MG)</v>
      </c>
      <c r="D1226" s="27">
        <v>10</v>
      </c>
      <c r="E1226" s="26" t="s">
        <v>399</v>
      </c>
      <c r="F1226" s="29" t="str">
        <f>LOOKUP(A1226,'QALS - Inspection Lot Record'!A:A,'QALS - Inspection Lot Record'!G:G)</f>
        <v>TG509538</v>
      </c>
      <c r="G1226" s="59">
        <f ca="1">LOOKUP(A1226,'QALS - Inspection Lot Record'!A:A,'QALS - Inspection Lot Record'!E:E)</f>
        <v>45946</v>
      </c>
      <c r="H1226" s="34" t="str">
        <f t="shared" ref="H1226:H1289" si="100">IF(AND(P1226&lt;=O1226,O1226&lt;=Q1226),"A","R")</f>
        <v>A</v>
      </c>
      <c r="I1226" s="29" t="str">
        <f t="shared" si="96"/>
        <v>TG509538</v>
      </c>
      <c r="J1226" s="59">
        <f t="shared" ca="1" si="97"/>
        <v>45946</v>
      </c>
      <c r="K1226" s="30">
        <f ca="1">LOOKUP(A1226,'QALS - Inspection Lot Record'!A:A,'QALS - Inspection Lot Record'!I:I)</f>
        <v>0.22020833333333334</v>
      </c>
      <c r="L1226" s="59">
        <f t="shared" ca="1" si="98"/>
        <v>45946</v>
      </c>
      <c r="M1226" s="30">
        <f t="shared" ca="1" si="99"/>
        <v>0.24534722222222222</v>
      </c>
      <c r="N1226" s="31"/>
      <c r="O1226" s="31">
        <v>98.5</v>
      </c>
      <c r="P1226" s="29">
        <v>95</v>
      </c>
      <c r="Q1226" s="29">
        <v>102</v>
      </c>
    </row>
    <row r="1227" spans="1:17" x14ac:dyDescent="0.35">
      <c r="A1227" s="26">
        <v>40000002654</v>
      </c>
      <c r="B1227" s="27">
        <v>1</v>
      </c>
      <c r="C1227" s="29" t="str">
        <f>LOOKUP(A1227,'QALS - Inspection Lot Record'!$A$2:$A$361,'QALS - Inspection Lot Record'!$O$2:$O$361)</f>
        <v>Metformin Tablets (100 MG)</v>
      </c>
      <c r="D1227" s="31">
        <v>20</v>
      </c>
      <c r="E1227" s="29" t="s">
        <v>400</v>
      </c>
      <c r="F1227" s="29" t="str">
        <f>LOOKUP(A1227,'QALS - Inspection Lot Record'!A:A,'QALS - Inspection Lot Record'!G:G)</f>
        <v>TG509538</v>
      </c>
      <c r="G1227" s="59">
        <f ca="1">LOOKUP(A1227,'QALS - Inspection Lot Record'!A:A,'QALS - Inspection Lot Record'!E:E)</f>
        <v>45946</v>
      </c>
      <c r="H1227" s="34" t="str">
        <f t="shared" si="100"/>
        <v>A</v>
      </c>
      <c r="I1227" s="29" t="str">
        <f t="shared" si="96"/>
        <v>TG509538</v>
      </c>
      <c r="J1227" s="59">
        <f t="shared" ca="1" si="97"/>
        <v>45946</v>
      </c>
      <c r="K1227" s="30">
        <f ca="1">LOOKUP(A1227,'QALS - Inspection Lot Record'!A:A,'QALS - Inspection Lot Record'!I:I)</f>
        <v>0.22020833333333334</v>
      </c>
      <c r="L1227" s="59">
        <f t="shared" ca="1" si="98"/>
        <v>45946</v>
      </c>
      <c r="M1227" s="30">
        <f t="shared" ca="1" si="99"/>
        <v>0.25328703703703703</v>
      </c>
      <c r="N1227" s="31"/>
      <c r="O1227" s="31">
        <v>7.25</v>
      </c>
      <c r="P1227" s="29">
        <v>3.5</v>
      </c>
      <c r="Q1227" s="29">
        <v>11</v>
      </c>
    </row>
    <row r="1228" spans="1:17" x14ac:dyDescent="0.35">
      <c r="A1228" s="26">
        <v>40000002654</v>
      </c>
      <c r="B1228" s="31">
        <v>1</v>
      </c>
      <c r="C1228" s="29" t="str">
        <f>LOOKUP(A1228,'QALS - Inspection Lot Record'!$A$2:$A$361,'QALS - Inspection Lot Record'!$O$2:$O$361)</f>
        <v>Metformin Tablets (100 MG)</v>
      </c>
      <c r="D1228" s="31">
        <v>30</v>
      </c>
      <c r="E1228" s="29" t="s">
        <v>401</v>
      </c>
      <c r="F1228" s="29" t="str">
        <f>LOOKUP(A1228,'QALS - Inspection Lot Record'!A:A,'QALS - Inspection Lot Record'!G:G)</f>
        <v>TG509538</v>
      </c>
      <c r="G1228" s="59">
        <f ca="1">LOOKUP(A1228,'QALS - Inspection Lot Record'!A:A,'QALS - Inspection Lot Record'!E:E)</f>
        <v>45946</v>
      </c>
      <c r="H1228" s="34" t="str">
        <f t="shared" si="100"/>
        <v>A</v>
      </c>
      <c r="I1228" s="29" t="str">
        <f t="shared" si="96"/>
        <v>TG509538</v>
      </c>
      <c r="J1228" s="59">
        <f t="shared" ca="1" si="97"/>
        <v>45946</v>
      </c>
      <c r="K1228" s="30">
        <f ca="1">LOOKUP(A1228,'QALS - Inspection Lot Record'!A:A,'QALS - Inspection Lot Record'!I:I)</f>
        <v>0.22020833333333334</v>
      </c>
      <c r="L1228" s="59">
        <f t="shared" ca="1" si="98"/>
        <v>45946</v>
      </c>
      <c r="M1228" s="30">
        <f t="shared" ca="1" si="99"/>
        <v>0.23901620370370372</v>
      </c>
      <c r="N1228" s="11" t="s">
        <v>402</v>
      </c>
      <c r="O1228" s="31"/>
      <c r="P1228" s="29"/>
      <c r="Q1228" s="29"/>
    </row>
    <row r="1229" spans="1:17" x14ac:dyDescent="0.35">
      <c r="A1229" s="26">
        <v>40000002654</v>
      </c>
      <c r="B1229" s="31">
        <v>1</v>
      </c>
      <c r="C1229" s="29" t="str">
        <f>LOOKUP(A1229,'QALS - Inspection Lot Record'!$A$2:$A$361,'QALS - Inspection Lot Record'!$O$2:$O$361)</f>
        <v>Metformin Tablets (100 MG)</v>
      </c>
      <c r="D1229" s="31">
        <v>40</v>
      </c>
      <c r="E1229" s="29" t="s">
        <v>403</v>
      </c>
      <c r="F1229" s="29" t="str">
        <f>LOOKUP(A1229,'QALS - Inspection Lot Record'!A:A,'QALS - Inspection Lot Record'!G:G)</f>
        <v>TG509538</v>
      </c>
      <c r="G1229" s="59">
        <f ca="1">LOOKUP(A1229,'QALS - Inspection Lot Record'!A:A,'QALS - Inspection Lot Record'!E:E)</f>
        <v>45946</v>
      </c>
      <c r="H1229" s="34" t="str">
        <f t="shared" si="100"/>
        <v>A</v>
      </c>
      <c r="I1229" s="29" t="str">
        <f t="shared" si="96"/>
        <v>TG509538</v>
      </c>
      <c r="J1229" s="59">
        <f t="shared" ca="1" si="97"/>
        <v>45946</v>
      </c>
      <c r="K1229" s="30">
        <f ca="1">LOOKUP(A1229,'QALS - Inspection Lot Record'!A:A,'QALS - Inspection Lot Record'!I:I)</f>
        <v>0.22020833333333334</v>
      </c>
      <c r="L1229" s="59">
        <f t="shared" ca="1" si="98"/>
        <v>45946</v>
      </c>
      <c r="M1229" s="30">
        <f t="shared" ca="1" si="99"/>
        <v>0.24351851851851852</v>
      </c>
      <c r="N1229" s="31"/>
      <c r="O1229" s="31">
        <v>0</v>
      </c>
      <c r="P1229" s="29">
        <v>0</v>
      </c>
      <c r="Q1229" s="29">
        <v>1</v>
      </c>
    </row>
    <row r="1230" spans="1:17" x14ac:dyDescent="0.35">
      <c r="A1230" s="26">
        <v>40000002654</v>
      </c>
      <c r="B1230" s="31">
        <v>1</v>
      </c>
      <c r="C1230" s="29" t="str">
        <f>LOOKUP(A1230,'QALS - Inspection Lot Record'!$A$2:$A$361,'QALS - Inspection Lot Record'!$O$2:$O$361)</f>
        <v>Metformin Tablets (100 MG)</v>
      </c>
      <c r="D1230" s="31">
        <v>50</v>
      </c>
      <c r="E1230" s="29" t="s">
        <v>404</v>
      </c>
      <c r="F1230" s="29" t="str">
        <f>LOOKUP(A1230,'QALS - Inspection Lot Record'!A:A,'QALS - Inspection Lot Record'!G:G)</f>
        <v>TG509538</v>
      </c>
      <c r="G1230" s="59">
        <f ca="1">LOOKUP(A1230,'QALS - Inspection Lot Record'!A:A,'QALS - Inspection Lot Record'!E:E)</f>
        <v>45946</v>
      </c>
      <c r="H1230" s="34" t="str">
        <f t="shared" si="100"/>
        <v>A</v>
      </c>
      <c r="I1230" s="29" t="str">
        <f t="shared" si="96"/>
        <v>TG509538</v>
      </c>
      <c r="J1230" s="59">
        <f t="shared" ca="1" si="97"/>
        <v>45946</v>
      </c>
      <c r="K1230" s="30">
        <f ca="1">LOOKUP(A1230,'QALS - Inspection Lot Record'!A:A,'QALS - Inspection Lot Record'!I:I)</f>
        <v>0.22020833333333334</v>
      </c>
      <c r="L1230" s="59">
        <f t="shared" ca="1" si="98"/>
        <v>45946</v>
      </c>
      <c r="M1230" s="30">
        <f t="shared" ca="1" si="99"/>
        <v>0.2543287037037037</v>
      </c>
      <c r="N1230" s="31"/>
      <c r="O1230" s="31">
        <v>50</v>
      </c>
      <c r="P1230" s="29">
        <v>40</v>
      </c>
      <c r="Q1230" s="29">
        <v>60</v>
      </c>
    </row>
    <row r="1231" spans="1:17" x14ac:dyDescent="0.35">
      <c r="A1231" s="26">
        <v>40000002654</v>
      </c>
      <c r="B1231" s="31">
        <v>1</v>
      </c>
      <c r="C1231" s="29" t="str">
        <f>LOOKUP(A1231,'QALS - Inspection Lot Record'!$A$2:$A$361,'QALS - Inspection Lot Record'!$O$2:$O$361)</f>
        <v>Metformin Tablets (100 MG)</v>
      </c>
      <c r="D1231" s="31">
        <v>60</v>
      </c>
      <c r="E1231" s="29" t="s">
        <v>405</v>
      </c>
      <c r="F1231" s="29" t="str">
        <f>LOOKUP(A1231,'QALS - Inspection Lot Record'!A:A,'QALS - Inspection Lot Record'!G:G)</f>
        <v>TG509538</v>
      </c>
      <c r="G1231" s="59">
        <f ca="1">LOOKUP(A1231,'QALS - Inspection Lot Record'!A:A,'QALS - Inspection Lot Record'!E:E)</f>
        <v>45946</v>
      </c>
      <c r="H1231" s="34" t="str">
        <f t="shared" si="100"/>
        <v>A</v>
      </c>
      <c r="I1231" s="29" t="str">
        <f t="shared" si="96"/>
        <v>TG509538</v>
      </c>
      <c r="J1231" s="59">
        <f t="shared" ca="1" si="97"/>
        <v>45946</v>
      </c>
      <c r="K1231" s="30">
        <f ca="1">LOOKUP(A1231,'QALS - Inspection Lot Record'!A:A,'QALS - Inspection Lot Record'!I:I)</f>
        <v>0.22020833333333334</v>
      </c>
      <c r="L1231" s="59">
        <f t="shared" ca="1" si="98"/>
        <v>45946</v>
      </c>
      <c r="M1231" s="30">
        <f t="shared" ca="1" si="99"/>
        <v>0.24975694444444446</v>
      </c>
      <c r="N1231" s="31"/>
      <c r="O1231" s="31">
        <v>77.5</v>
      </c>
      <c r="P1231" s="29">
        <v>70</v>
      </c>
      <c r="Q1231" s="29">
        <v>85</v>
      </c>
    </row>
    <row r="1232" spans="1:17" x14ac:dyDescent="0.35">
      <c r="A1232" s="26">
        <v>40000002654</v>
      </c>
      <c r="B1232" s="31">
        <v>1</v>
      </c>
      <c r="C1232" s="29" t="str">
        <f>LOOKUP(A1232,'QALS - Inspection Lot Record'!$A$2:$A$361,'QALS - Inspection Lot Record'!$O$2:$O$361)</f>
        <v>Metformin Tablets (100 MG)</v>
      </c>
      <c r="D1232" s="31">
        <v>70</v>
      </c>
      <c r="E1232" s="29" t="s">
        <v>406</v>
      </c>
      <c r="F1232" s="29" t="str">
        <f>LOOKUP(A1232,'QALS - Inspection Lot Record'!A:A,'QALS - Inspection Lot Record'!G:G)</f>
        <v>TG509538</v>
      </c>
      <c r="G1232" s="59">
        <f ca="1">LOOKUP(A1232,'QALS - Inspection Lot Record'!A:A,'QALS - Inspection Lot Record'!E:E)</f>
        <v>45946</v>
      </c>
      <c r="H1232" s="34" t="str">
        <f t="shared" si="100"/>
        <v>A</v>
      </c>
      <c r="I1232" s="29" t="str">
        <f t="shared" si="96"/>
        <v>TG509538</v>
      </c>
      <c r="J1232" s="59">
        <f t="shared" ca="1" si="97"/>
        <v>45946</v>
      </c>
      <c r="K1232" s="30">
        <f ca="1">LOOKUP(A1232,'QALS - Inspection Lot Record'!A:A,'QALS - Inspection Lot Record'!I:I)</f>
        <v>0.22020833333333334</v>
      </c>
      <c r="L1232" s="59">
        <f t="shared" ca="1" si="98"/>
        <v>45946</v>
      </c>
      <c r="M1232" s="30">
        <f t="shared" ca="1" si="99"/>
        <v>0.24915509259259261</v>
      </c>
      <c r="N1232" s="31"/>
      <c r="O1232" s="31">
        <v>85</v>
      </c>
      <c r="P1232" s="29">
        <v>80</v>
      </c>
      <c r="Q1232" s="29">
        <v>90</v>
      </c>
    </row>
    <row r="1233" spans="1:17" x14ac:dyDescent="0.35">
      <c r="A1233" s="26">
        <v>40000002654</v>
      </c>
      <c r="B1233" s="31">
        <v>1</v>
      </c>
      <c r="C1233" s="29" t="str">
        <f>LOOKUP(A1233,'QALS - Inspection Lot Record'!$A$2:$A$361,'QALS - Inspection Lot Record'!$O$2:$O$361)</f>
        <v>Metformin Tablets (100 MG)</v>
      </c>
      <c r="D1233" s="31">
        <v>80</v>
      </c>
      <c r="E1233" s="29" t="s">
        <v>407</v>
      </c>
      <c r="F1233" s="29" t="str">
        <f>LOOKUP(A1233,'QALS - Inspection Lot Record'!A:A,'QALS - Inspection Lot Record'!G:G)</f>
        <v>TG509538</v>
      </c>
      <c r="G1233" s="59">
        <f ca="1">LOOKUP(A1233,'QALS - Inspection Lot Record'!A:A,'QALS - Inspection Lot Record'!E:E)</f>
        <v>45946</v>
      </c>
      <c r="H1233" s="34" t="str">
        <f t="shared" si="100"/>
        <v>A</v>
      </c>
      <c r="I1233" s="29" t="str">
        <f t="shared" si="96"/>
        <v>TG509538</v>
      </c>
      <c r="J1233" s="59">
        <f t="shared" ca="1" si="97"/>
        <v>45946</v>
      </c>
      <c r="K1233" s="30">
        <f ca="1">LOOKUP(A1233,'QALS - Inspection Lot Record'!A:A,'QALS - Inspection Lot Record'!I:I)</f>
        <v>0.22020833333333334</v>
      </c>
      <c r="L1233" s="59">
        <f t="shared" ca="1" si="98"/>
        <v>45946</v>
      </c>
      <c r="M1233" s="30">
        <f t="shared" ca="1" si="99"/>
        <v>0.24861111111111112</v>
      </c>
      <c r="N1233" s="31"/>
      <c r="O1233" s="31">
        <v>24</v>
      </c>
      <c r="P1233" s="29">
        <v>23</v>
      </c>
      <c r="Q1233" s="29">
        <v>25</v>
      </c>
    </row>
    <row r="1234" spans="1:17" x14ac:dyDescent="0.35">
      <c r="A1234" s="26">
        <v>40000002655</v>
      </c>
      <c r="B1234" s="27">
        <v>1</v>
      </c>
      <c r="C1234" s="29" t="str">
        <f>LOOKUP(A1234,'QALS - Inspection Lot Record'!$A$2:$A$361,'QALS - Inspection Lot Record'!$O$2:$O$361)</f>
        <v>Metformin Tablets (100 MG)</v>
      </c>
      <c r="D1234" s="27">
        <v>10</v>
      </c>
      <c r="E1234" s="26" t="s">
        <v>399</v>
      </c>
      <c r="F1234" s="29" t="str">
        <f>LOOKUP(A1234,'QALS - Inspection Lot Record'!A:A,'QALS - Inspection Lot Record'!G:G)</f>
        <v>AB406550</v>
      </c>
      <c r="G1234" s="59">
        <f ca="1">LOOKUP(A1234,'QALS - Inspection Lot Record'!A:A,'QALS - Inspection Lot Record'!E:E)</f>
        <v>45947</v>
      </c>
      <c r="H1234" s="34" t="str">
        <f t="shared" si="100"/>
        <v>A</v>
      </c>
      <c r="I1234" s="29" t="str">
        <f t="shared" si="96"/>
        <v>AB406550</v>
      </c>
      <c r="J1234" s="59">
        <f t="shared" ca="1" si="97"/>
        <v>45947</v>
      </c>
      <c r="K1234" s="30">
        <f ca="1">LOOKUP(A1234,'QALS - Inspection Lot Record'!A:A,'QALS - Inspection Lot Record'!I:I)</f>
        <v>0.63635416666666667</v>
      </c>
      <c r="L1234" s="59">
        <f t="shared" ca="1" si="98"/>
        <v>45947</v>
      </c>
      <c r="M1234" s="30">
        <f t="shared" ca="1" si="99"/>
        <v>0.67101851851851846</v>
      </c>
      <c r="N1234" s="31"/>
      <c r="O1234" s="31">
        <v>98.5</v>
      </c>
      <c r="P1234" s="29">
        <v>95</v>
      </c>
      <c r="Q1234" s="29">
        <v>102</v>
      </c>
    </row>
    <row r="1235" spans="1:17" x14ac:dyDescent="0.35">
      <c r="A1235" s="26">
        <v>40000002655</v>
      </c>
      <c r="B1235" s="27">
        <v>1</v>
      </c>
      <c r="C1235" s="29" t="str">
        <f>LOOKUP(A1235,'QALS - Inspection Lot Record'!$A$2:$A$361,'QALS - Inspection Lot Record'!$O$2:$O$361)</f>
        <v>Metformin Tablets (100 MG)</v>
      </c>
      <c r="D1235" s="31">
        <v>20</v>
      </c>
      <c r="E1235" s="29" t="s">
        <v>400</v>
      </c>
      <c r="F1235" s="29" t="str">
        <f>LOOKUP(A1235,'QALS - Inspection Lot Record'!A:A,'QALS - Inspection Lot Record'!G:G)</f>
        <v>AB406550</v>
      </c>
      <c r="G1235" s="59">
        <f ca="1">LOOKUP(A1235,'QALS - Inspection Lot Record'!A:A,'QALS - Inspection Lot Record'!E:E)</f>
        <v>45947</v>
      </c>
      <c r="H1235" s="34" t="str">
        <f t="shared" si="100"/>
        <v>A</v>
      </c>
      <c r="I1235" s="29" t="str">
        <f t="shared" si="96"/>
        <v>AB406550</v>
      </c>
      <c r="J1235" s="59">
        <f t="shared" ca="1" si="97"/>
        <v>45947</v>
      </c>
      <c r="K1235" s="30">
        <f ca="1">LOOKUP(A1235,'QALS - Inspection Lot Record'!A:A,'QALS - Inspection Lot Record'!I:I)</f>
        <v>0.63635416666666667</v>
      </c>
      <c r="L1235" s="59">
        <f t="shared" ca="1" si="98"/>
        <v>45947</v>
      </c>
      <c r="M1235" s="30">
        <f t="shared" ca="1" si="99"/>
        <v>0.66962962962962957</v>
      </c>
      <c r="N1235" s="31"/>
      <c r="O1235" s="31">
        <v>7.3</v>
      </c>
      <c r="P1235" s="29">
        <v>3.5</v>
      </c>
      <c r="Q1235" s="29">
        <v>11</v>
      </c>
    </row>
    <row r="1236" spans="1:17" x14ac:dyDescent="0.35">
      <c r="A1236" s="26">
        <v>40000002655</v>
      </c>
      <c r="B1236" s="31">
        <v>1</v>
      </c>
      <c r="C1236" s="29" t="str">
        <f>LOOKUP(A1236,'QALS - Inspection Lot Record'!$A$2:$A$361,'QALS - Inspection Lot Record'!$O$2:$O$361)</f>
        <v>Metformin Tablets (100 MG)</v>
      </c>
      <c r="D1236" s="31">
        <v>30</v>
      </c>
      <c r="E1236" s="29" t="s">
        <v>401</v>
      </c>
      <c r="F1236" s="29" t="str">
        <f>LOOKUP(A1236,'QALS - Inspection Lot Record'!A:A,'QALS - Inspection Lot Record'!G:G)</f>
        <v>AB406550</v>
      </c>
      <c r="G1236" s="59">
        <f ca="1">LOOKUP(A1236,'QALS - Inspection Lot Record'!A:A,'QALS - Inspection Lot Record'!E:E)</f>
        <v>45947</v>
      </c>
      <c r="H1236" s="34" t="str">
        <f t="shared" si="100"/>
        <v>A</v>
      </c>
      <c r="I1236" s="29" t="str">
        <f t="shared" si="96"/>
        <v>AB406550</v>
      </c>
      <c r="J1236" s="59">
        <f t="shared" ca="1" si="97"/>
        <v>45947</v>
      </c>
      <c r="K1236" s="30">
        <f ca="1">LOOKUP(A1236,'QALS - Inspection Lot Record'!A:A,'QALS - Inspection Lot Record'!I:I)</f>
        <v>0.63635416666666667</v>
      </c>
      <c r="L1236" s="59">
        <f t="shared" ca="1" si="98"/>
        <v>45947</v>
      </c>
      <c r="M1236" s="30">
        <f t="shared" ca="1" si="99"/>
        <v>0.66862268518518519</v>
      </c>
      <c r="N1236" s="11" t="s">
        <v>402</v>
      </c>
      <c r="O1236" s="31"/>
      <c r="P1236" s="29"/>
      <c r="Q1236" s="29"/>
    </row>
    <row r="1237" spans="1:17" x14ac:dyDescent="0.35">
      <c r="A1237" s="26">
        <v>40000002655</v>
      </c>
      <c r="B1237" s="31">
        <v>1</v>
      </c>
      <c r="C1237" s="29" t="str">
        <f>LOOKUP(A1237,'QALS - Inspection Lot Record'!$A$2:$A$361,'QALS - Inspection Lot Record'!$O$2:$O$361)</f>
        <v>Metformin Tablets (100 MG)</v>
      </c>
      <c r="D1237" s="31">
        <v>40</v>
      </c>
      <c r="E1237" s="29" t="s">
        <v>403</v>
      </c>
      <c r="F1237" s="29" t="str">
        <f>LOOKUP(A1237,'QALS - Inspection Lot Record'!A:A,'QALS - Inspection Lot Record'!G:G)</f>
        <v>AB406550</v>
      </c>
      <c r="G1237" s="59">
        <f ca="1">LOOKUP(A1237,'QALS - Inspection Lot Record'!A:A,'QALS - Inspection Lot Record'!E:E)</f>
        <v>45947</v>
      </c>
      <c r="H1237" s="34" t="str">
        <f t="shared" si="100"/>
        <v>A</v>
      </c>
      <c r="I1237" s="29" t="str">
        <f t="shared" si="96"/>
        <v>AB406550</v>
      </c>
      <c r="J1237" s="59">
        <f t="shared" ca="1" si="97"/>
        <v>45947</v>
      </c>
      <c r="K1237" s="30">
        <f ca="1">LOOKUP(A1237,'QALS - Inspection Lot Record'!A:A,'QALS - Inspection Lot Record'!I:I)</f>
        <v>0.63635416666666667</v>
      </c>
      <c r="L1237" s="59">
        <f t="shared" ca="1" si="98"/>
        <v>45947</v>
      </c>
      <c r="M1237" s="30">
        <f t="shared" ca="1" si="99"/>
        <v>0.6666319444444444</v>
      </c>
      <c r="N1237" s="31"/>
      <c r="O1237" s="31">
        <v>0</v>
      </c>
      <c r="P1237" s="29">
        <v>0</v>
      </c>
      <c r="Q1237" s="29">
        <v>1</v>
      </c>
    </row>
    <row r="1238" spans="1:17" x14ac:dyDescent="0.35">
      <c r="A1238" s="26">
        <v>40000002655</v>
      </c>
      <c r="B1238" s="31">
        <v>1</v>
      </c>
      <c r="C1238" s="29" t="str">
        <f>LOOKUP(A1238,'QALS - Inspection Lot Record'!$A$2:$A$361,'QALS - Inspection Lot Record'!$O$2:$O$361)</f>
        <v>Metformin Tablets (100 MG)</v>
      </c>
      <c r="D1238" s="31">
        <v>50</v>
      </c>
      <c r="E1238" s="29" t="s">
        <v>404</v>
      </c>
      <c r="F1238" s="29" t="str">
        <f>LOOKUP(A1238,'QALS - Inspection Lot Record'!A:A,'QALS - Inspection Lot Record'!G:G)</f>
        <v>AB406550</v>
      </c>
      <c r="G1238" s="59">
        <f ca="1">LOOKUP(A1238,'QALS - Inspection Lot Record'!A:A,'QALS - Inspection Lot Record'!E:E)</f>
        <v>45947</v>
      </c>
      <c r="H1238" s="34" t="str">
        <f t="shared" si="100"/>
        <v>A</v>
      </c>
      <c r="I1238" s="29" t="str">
        <f t="shared" si="96"/>
        <v>AB406550</v>
      </c>
      <c r="J1238" s="59">
        <f t="shared" ca="1" si="97"/>
        <v>45947</v>
      </c>
      <c r="K1238" s="30">
        <f ca="1">LOOKUP(A1238,'QALS - Inspection Lot Record'!A:A,'QALS - Inspection Lot Record'!I:I)</f>
        <v>0.63635416666666667</v>
      </c>
      <c r="L1238" s="59">
        <f t="shared" ca="1" si="98"/>
        <v>45947</v>
      </c>
      <c r="M1238" s="30">
        <f t="shared" ca="1" si="99"/>
        <v>0.65652777777777782</v>
      </c>
      <c r="N1238" s="31"/>
      <c r="O1238" s="31">
        <v>50</v>
      </c>
      <c r="P1238" s="29">
        <v>40</v>
      </c>
      <c r="Q1238" s="29">
        <v>60</v>
      </c>
    </row>
    <row r="1239" spans="1:17" x14ac:dyDescent="0.35">
      <c r="A1239" s="26">
        <v>40000002655</v>
      </c>
      <c r="B1239" s="31">
        <v>1</v>
      </c>
      <c r="C1239" s="29" t="str">
        <f>LOOKUP(A1239,'QALS - Inspection Lot Record'!$A$2:$A$361,'QALS - Inspection Lot Record'!$O$2:$O$361)</f>
        <v>Metformin Tablets (100 MG)</v>
      </c>
      <c r="D1239" s="31">
        <v>60</v>
      </c>
      <c r="E1239" s="29" t="s">
        <v>405</v>
      </c>
      <c r="F1239" s="29" t="str">
        <f>LOOKUP(A1239,'QALS - Inspection Lot Record'!A:A,'QALS - Inspection Lot Record'!G:G)</f>
        <v>AB406550</v>
      </c>
      <c r="G1239" s="59">
        <f ca="1">LOOKUP(A1239,'QALS - Inspection Lot Record'!A:A,'QALS - Inspection Lot Record'!E:E)</f>
        <v>45947</v>
      </c>
      <c r="H1239" s="34" t="str">
        <f t="shared" si="100"/>
        <v>A</v>
      </c>
      <c r="I1239" s="29" t="str">
        <f t="shared" si="96"/>
        <v>AB406550</v>
      </c>
      <c r="J1239" s="59">
        <f t="shared" ca="1" si="97"/>
        <v>45947</v>
      </c>
      <c r="K1239" s="30">
        <f ca="1">LOOKUP(A1239,'QALS - Inspection Lot Record'!A:A,'QALS - Inspection Lot Record'!I:I)</f>
        <v>0.63635416666666667</v>
      </c>
      <c r="L1239" s="59">
        <f t="shared" ca="1" si="98"/>
        <v>45947</v>
      </c>
      <c r="M1239" s="30">
        <f t="shared" ca="1" si="99"/>
        <v>0.67163194444444441</v>
      </c>
      <c r="N1239" s="31"/>
      <c r="O1239" s="31">
        <v>77.5</v>
      </c>
      <c r="P1239" s="29">
        <v>70</v>
      </c>
      <c r="Q1239" s="29">
        <v>85</v>
      </c>
    </row>
    <row r="1240" spans="1:17" x14ac:dyDescent="0.35">
      <c r="A1240" s="26">
        <v>40000002655</v>
      </c>
      <c r="B1240" s="31">
        <v>1</v>
      </c>
      <c r="C1240" s="29" t="str">
        <f>LOOKUP(A1240,'QALS - Inspection Lot Record'!$A$2:$A$361,'QALS - Inspection Lot Record'!$O$2:$O$361)</f>
        <v>Metformin Tablets (100 MG)</v>
      </c>
      <c r="D1240" s="31">
        <v>70</v>
      </c>
      <c r="E1240" s="29" t="s">
        <v>406</v>
      </c>
      <c r="F1240" s="29" t="str">
        <f>LOOKUP(A1240,'QALS - Inspection Lot Record'!A:A,'QALS - Inspection Lot Record'!G:G)</f>
        <v>AB406550</v>
      </c>
      <c r="G1240" s="59">
        <f ca="1">LOOKUP(A1240,'QALS - Inspection Lot Record'!A:A,'QALS - Inspection Lot Record'!E:E)</f>
        <v>45947</v>
      </c>
      <c r="H1240" s="34" t="str">
        <f t="shared" si="100"/>
        <v>A</v>
      </c>
      <c r="I1240" s="29" t="str">
        <f t="shared" si="96"/>
        <v>AB406550</v>
      </c>
      <c r="J1240" s="59">
        <f t="shared" ca="1" si="97"/>
        <v>45947</v>
      </c>
      <c r="K1240" s="30">
        <f ca="1">LOOKUP(A1240,'QALS - Inspection Lot Record'!A:A,'QALS - Inspection Lot Record'!I:I)</f>
        <v>0.63635416666666667</v>
      </c>
      <c r="L1240" s="59">
        <f t="shared" ca="1" si="98"/>
        <v>45947</v>
      </c>
      <c r="M1240" s="30">
        <f t="shared" ca="1" si="99"/>
        <v>0.66737268518518522</v>
      </c>
      <c r="N1240" s="31"/>
      <c r="O1240" s="31">
        <v>81.8</v>
      </c>
      <c r="P1240" s="29">
        <v>80</v>
      </c>
      <c r="Q1240" s="29">
        <v>90</v>
      </c>
    </row>
    <row r="1241" spans="1:17" x14ac:dyDescent="0.35">
      <c r="A1241" s="26">
        <v>40000002655</v>
      </c>
      <c r="B1241" s="31">
        <v>1</v>
      </c>
      <c r="C1241" s="29" t="str">
        <f>LOOKUP(A1241,'QALS - Inspection Lot Record'!$A$2:$A$361,'QALS - Inspection Lot Record'!$O$2:$O$361)</f>
        <v>Metformin Tablets (100 MG)</v>
      </c>
      <c r="D1241" s="31">
        <v>80</v>
      </c>
      <c r="E1241" s="29" t="s">
        <v>407</v>
      </c>
      <c r="F1241" s="29" t="str">
        <f>LOOKUP(A1241,'QALS - Inspection Lot Record'!A:A,'QALS - Inspection Lot Record'!G:G)</f>
        <v>AB406550</v>
      </c>
      <c r="G1241" s="59">
        <f ca="1">LOOKUP(A1241,'QALS - Inspection Lot Record'!A:A,'QALS - Inspection Lot Record'!E:E)</f>
        <v>45947</v>
      </c>
      <c r="H1241" s="34" t="str">
        <f t="shared" si="100"/>
        <v>A</v>
      </c>
      <c r="I1241" s="29" t="str">
        <f t="shared" si="96"/>
        <v>AB406550</v>
      </c>
      <c r="J1241" s="59">
        <f t="shared" ca="1" si="97"/>
        <v>45947</v>
      </c>
      <c r="K1241" s="30">
        <f ca="1">LOOKUP(A1241,'QALS - Inspection Lot Record'!A:A,'QALS - Inspection Lot Record'!I:I)</f>
        <v>0.63635416666666667</v>
      </c>
      <c r="L1241" s="59">
        <f t="shared" ca="1" si="98"/>
        <v>45947</v>
      </c>
      <c r="M1241" s="30">
        <f t="shared" ca="1" si="99"/>
        <v>0.66115740740740736</v>
      </c>
      <c r="N1241" s="31"/>
      <c r="O1241" s="31">
        <v>24</v>
      </c>
      <c r="P1241" s="29">
        <v>23</v>
      </c>
      <c r="Q1241" s="29">
        <v>25</v>
      </c>
    </row>
    <row r="1242" spans="1:17" x14ac:dyDescent="0.35">
      <c r="A1242" s="26">
        <v>40000002656</v>
      </c>
      <c r="B1242" s="27">
        <v>1</v>
      </c>
      <c r="C1242" s="29" t="str">
        <f>LOOKUP(A1242,'QALS - Inspection Lot Record'!$A$2:$A$361,'QALS - Inspection Lot Record'!$O$2:$O$361)</f>
        <v>Ibuprofen Tablets (100 MG)</v>
      </c>
      <c r="D1242" s="27">
        <v>10</v>
      </c>
      <c r="E1242" s="26" t="s">
        <v>399</v>
      </c>
      <c r="F1242" s="29" t="str">
        <f>LOOKUP(A1242,'QALS - Inspection Lot Record'!A:A,'QALS - Inspection Lot Record'!G:G)</f>
        <v>YA284176</v>
      </c>
      <c r="G1242" s="59">
        <f ca="1">LOOKUP(A1242,'QALS - Inspection Lot Record'!A:A,'QALS - Inspection Lot Record'!E:E)</f>
        <v>45947</v>
      </c>
      <c r="H1242" s="34" t="str">
        <f t="shared" si="100"/>
        <v>A</v>
      </c>
      <c r="I1242" s="29" t="str">
        <f t="shared" si="96"/>
        <v>YA284176</v>
      </c>
      <c r="J1242" s="59">
        <f t="shared" ca="1" si="97"/>
        <v>45947</v>
      </c>
      <c r="K1242" s="30">
        <f ca="1">LOOKUP(A1242,'QALS - Inspection Lot Record'!A:A,'QALS - Inspection Lot Record'!I:I)</f>
        <v>4.2199074074074076E-2</v>
      </c>
      <c r="L1242" s="59">
        <f t="shared" ca="1" si="98"/>
        <v>45947</v>
      </c>
      <c r="M1242" s="30">
        <f t="shared" ca="1" si="99"/>
        <v>7.7418981481481491E-2</v>
      </c>
      <c r="N1242" s="31"/>
      <c r="O1242" s="31">
        <v>98.5</v>
      </c>
      <c r="P1242" s="29">
        <v>95</v>
      </c>
      <c r="Q1242" s="29">
        <v>102</v>
      </c>
    </row>
    <row r="1243" spans="1:17" x14ac:dyDescent="0.35">
      <c r="A1243" s="26">
        <v>40000002656</v>
      </c>
      <c r="B1243" s="27">
        <v>1</v>
      </c>
      <c r="C1243" s="29" t="str">
        <f>LOOKUP(A1243,'QALS - Inspection Lot Record'!$A$2:$A$361,'QALS - Inspection Lot Record'!$O$2:$O$361)</f>
        <v>Ibuprofen Tablets (100 MG)</v>
      </c>
      <c r="D1243" s="31">
        <v>20</v>
      </c>
      <c r="E1243" s="29" t="s">
        <v>400</v>
      </c>
      <c r="F1243" s="29" t="str">
        <f>LOOKUP(A1243,'QALS - Inspection Lot Record'!A:A,'QALS - Inspection Lot Record'!G:G)</f>
        <v>YA284176</v>
      </c>
      <c r="G1243" s="59">
        <f ca="1">LOOKUP(A1243,'QALS - Inspection Lot Record'!A:A,'QALS - Inspection Lot Record'!E:E)</f>
        <v>45947</v>
      </c>
      <c r="H1243" s="34" t="str">
        <f t="shared" si="100"/>
        <v>A</v>
      </c>
      <c r="I1243" s="29" t="str">
        <f t="shared" si="96"/>
        <v>YA284176</v>
      </c>
      <c r="J1243" s="59">
        <f t="shared" ca="1" si="97"/>
        <v>45947</v>
      </c>
      <c r="K1243" s="30">
        <f ca="1">LOOKUP(A1243,'QALS - Inspection Lot Record'!A:A,'QALS - Inspection Lot Record'!I:I)</f>
        <v>4.2199074074074076E-2</v>
      </c>
      <c r="L1243" s="59">
        <f t="shared" ca="1" si="98"/>
        <v>45947</v>
      </c>
      <c r="M1243" s="30">
        <f t="shared" ca="1" si="99"/>
        <v>6.5844907407407408E-2</v>
      </c>
      <c r="N1243" s="31"/>
      <c r="O1243" s="31">
        <v>7.25</v>
      </c>
      <c r="P1243" s="29">
        <v>3.5</v>
      </c>
      <c r="Q1243" s="29">
        <v>11</v>
      </c>
    </row>
    <row r="1244" spans="1:17" x14ac:dyDescent="0.35">
      <c r="A1244" s="26">
        <v>40000002656</v>
      </c>
      <c r="B1244" s="31">
        <v>1</v>
      </c>
      <c r="C1244" s="29" t="str">
        <f>LOOKUP(A1244,'QALS - Inspection Lot Record'!$A$2:$A$361,'QALS - Inspection Lot Record'!$O$2:$O$361)</f>
        <v>Ibuprofen Tablets (100 MG)</v>
      </c>
      <c r="D1244" s="31">
        <v>30</v>
      </c>
      <c r="E1244" s="29" t="s">
        <v>401</v>
      </c>
      <c r="F1244" s="29" t="str">
        <f>LOOKUP(A1244,'QALS - Inspection Lot Record'!A:A,'QALS - Inspection Lot Record'!G:G)</f>
        <v>YA284176</v>
      </c>
      <c r="G1244" s="59">
        <f ca="1">LOOKUP(A1244,'QALS - Inspection Lot Record'!A:A,'QALS - Inspection Lot Record'!E:E)</f>
        <v>45947</v>
      </c>
      <c r="H1244" s="34" t="str">
        <f t="shared" si="100"/>
        <v>A</v>
      </c>
      <c r="I1244" s="29" t="str">
        <f t="shared" si="96"/>
        <v>YA284176</v>
      </c>
      <c r="J1244" s="59">
        <f t="shared" ca="1" si="97"/>
        <v>45947</v>
      </c>
      <c r="K1244" s="30">
        <f ca="1">LOOKUP(A1244,'QALS - Inspection Lot Record'!A:A,'QALS - Inspection Lot Record'!I:I)</f>
        <v>4.2199074074074076E-2</v>
      </c>
      <c r="L1244" s="59">
        <f t="shared" ca="1" si="98"/>
        <v>45947</v>
      </c>
      <c r="M1244" s="30">
        <f t="shared" ca="1" si="99"/>
        <v>6.6458333333333341E-2</v>
      </c>
      <c r="N1244" s="11" t="s">
        <v>402</v>
      </c>
      <c r="O1244" s="31"/>
      <c r="P1244" s="29"/>
      <c r="Q1244" s="29"/>
    </row>
    <row r="1245" spans="1:17" x14ac:dyDescent="0.35">
      <c r="A1245" s="26">
        <v>40000002656</v>
      </c>
      <c r="B1245" s="31">
        <v>1</v>
      </c>
      <c r="C1245" s="29" t="str">
        <f>LOOKUP(A1245,'QALS - Inspection Lot Record'!$A$2:$A$361,'QALS - Inspection Lot Record'!$O$2:$O$361)</f>
        <v>Ibuprofen Tablets (100 MG)</v>
      </c>
      <c r="D1245" s="31">
        <v>40</v>
      </c>
      <c r="E1245" s="29" t="s">
        <v>403</v>
      </c>
      <c r="F1245" s="29" t="str">
        <f>LOOKUP(A1245,'QALS - Inspection Lot Record'!A:A,'QALS - Inspection Lot Record'!G:G)</f>
        <v>YA284176</v>
      </c>
      <c r="G1245" s="59">
        <f ca="1">LOOKUP(A1245,'QALS - Inspection Lot Record'!A:A,'QALS - Inspection Lot Record'!E:E)</f>
        <v>45947</v>
      </c>
      <c r="H1245" s="34" t="str">
        <f t="shared" si="100"/>
        <v>A</v>
      </c>
      <c r="I1245" s="29" t="str">
        <f t="shared" si="96"/>
        <v>YA284176</v>
      </c>
      <c r="J1245" s="59">
        <f t="shared" ca="1" si="97"/>
        <v>45947</v>
      </c>
      <c r="K1245" s="30">
        <f ca="1">LOOKUP(A1245,'QALS - Inspection Lot Record'!A:A,'QALS - Inspection Lot Record'!I:I)</f>
        <v>4.2199074074074076E-2</v>
      </c>
      <c r="L1245" s="59">
        <f t="shared" ca="1" si="98"/>
        <v>45947</v>
      </c>
      <c r="M1245" s="30">
        <f t="shared" ca="1" si="99"/>
        <v>6.8900462962962969E-2</v>
      </c>
      <c r="N1245" s="31"/>
      <c r="O1245" s="31">
        <v>0</v>
      </c>
      <c r="P1245" s="29">
        <v>0</v>
      </c>
      <c r="Q1245" s="29">
        <v>1</v>
      </c>
    </row>
    <row r="1246" spans="1:17" x14ac:dyDescent="0.35">
      <c r="A1246" s="26">
        <v>40000002656</v>
      </c>
      <c r="B1246" s="31">
        <v>1</v>
      </c>
      <c r="C1246" s="29" t="str">
        <f>LOOKUP(A1246,'QALS - Inspection Lot Record'!$A$2:$A$361,'QALS - Inspection Lot Record'!$O$2:$O$361)</f>
        <v>Ibuprofen Tablets (100 MG)</v>
      </c>
      <c r="D1246" s="31">
        <v>50</v>
      </c>
      <c r="E1246" s="29" t="s">
        <v>404</v>
      </c>
      <c r="F1246" s="29" t="str">
        <f>LOOKUP(A1246,'QALS - Inspection Lot Record'!A:A,'QALS - Inspection Lot Record'!G:G)</f>
        <v>YA284176</v>
      </c>
      <c r="G1246" s="59">
        <f ca="1">LOOKUP(A1246,'QALS - Inspection Lot Record'!A:A,'QALS - Inspection Lot Record'!E:E)</f>
        <v>45947</v>
      </c>
      <c r="H1246" s="34" t="str">
        <f t="shared" si="100"/>
        <v>A</v>
      </c>
      <c r="I1246" s="29" t="str">
        <f t="shared" si="96"/>
        <v>YA284176</v>
      </c>
      <c r="J1246" s="59">
        <f t="shared" ca="1" si="97"/>
        <v>45947</v>
      </c>
      <c r="K1246" s="30">
        <f ca="1">LOOKUP(A1246,'QALS - Inspection Lot Record'!A:A,'QALS - Inspection Lot Record'!I:I)</f>
        <v>4.2199074074074076E-2</v>
      </c>
      <c r="L1246" s="59">
        <f t="shared" ca="1" si="98"/>
        <v>45947</v>
      </c>
      <c r="M1246" s="30">
        <f t="shared" ca="1" si="99"/>
        <v>6.9259259259259257E-2</v>
      </c>
      <c r="N1246" s="31"/>
      <c r="O1246" s="31">
        <v>50</v>
      </c>
      <c r="P1246" s="29">
        <v>40</v>
      </c>
      <c r="Q1246" s="29">
        <v>60</v>
      </c>
    </row>
    <row r="1247" spans="1:17" x14ac:dyDescent="0.35">
      <c r="A1247" s="26">
        <v>40000002656</v>
      </c>
      <c r="B1247" s="31">
        <v>1</v>
      </c>
      <c r="C1247" s="29" t="str">
        <f>LOOKUP(A1247,'QALS - Inspection Lot Record'!$A$2:$A$361,'QALS - Inspection Lot Record'!$O$2:$O$361)</f>
        <v>Ibuprofen Tablets (100 MG)</v>
      </c>
      <c r="D1247" s="31">
        <v>60</v>
      </c>
      <c r="E1247" s="29" t="s">
        <v>405</v>
      </c>
      <c r="F1247" s="29" t="str">
        <f>LOOKUP(A1247,'QALS - Inspection Lot Record'!A:A,'QALS - Inspection Lot Record'!G:G)</f>
        <v>YA284176</v>
      </c>
      <c r="G1247" s="59">
        <f ca="1">LOOKUP(A1247,'QALS - Inspection Lot Record'!A:A,'QALS - Inspection Lot Record'!E:E)</f>
        <v>45947</v>
      </c>
      <c r="H1247" s="34" t="str">
        <f t="shared" si="100"/>
        <v>A</v>
      </c>
      <c r="I1247" s="29" t="str">
        <f t="shared" si="96"/>
        <v>YA284176</v>
      </c>
      <c r="J1247" s="59">
        <f t="shared" ca="1" si="97"/>
        <v>45947</v>
      </c>
      <c r="K1247" s="30">
        <f ca="1">LOOKUP(A1247,'QALS - Inspection Lot Record'!A:A,'QALS - Inspection Lot Record'!I:I)</f>
        <v>4.2199074074074076E-2</v>
      </c>
      <c r="L1247" s="59">
        <f t="shared" ca="1" si="98"/>
        <v>45947</v>
      </c>
      <c r="M1247" s="30">
        <f t="shared" ca="1" si="99"/>
        <v>6.8599537037037042E-2</v>
      </c>
      <c r="N1247" s="31"/>
      <c r="O1247" s="31">
        <v>77.5</v>
      </c>
      <c r="P1247" s="29">
        <v>70</v>
      </c>
      <c r="Q1247" s="29">
        <v>85</v>
      </c>
    </row>
    <row r="1248" spans="1:17" x14ac:dyDescent="0.35">
      <c r="A1248" s="26">
        <v>40000002656</v>
      </c>
      <c r="B1248" s="31">
        <v>1</v>
      </c>
      <c r="C1248" s="29" t="str">
        <f>LOOKUP(A1248,'QALS - Inspection Lot Record'!$A$2:$A$361,'QALS - Inspection Lot Record'!$O$2:$O$361)</f>
        <v>Ibuprofen Tablets (100 MG)</v>
      </c>
      <c r="D1248" s="31">
        <v>70</v>
      </c>
      <c r="E1248" s="29" t="s">
        <v>406</v>
      </c>
      <c r="F1248" s="29" t="str">
        <f>LOOKUP(A1248,'QALS - Inspection Lot Record'!A:A,'QALS - Inspection Lot Record'!G:G)</f>
        <v>YA284176</v>
      </c>
      <c r="G1248" s="59">
        <f ca="1">LOOKUP(A1248,'QALS - Inspection Lot Record'!A:A,'QALS - Inspection Lot Record'!E:E)</f>
        <v>45947</v>
      </c>
      <c r="H1248" s="34" t="str">
        <f t="shared" si="100"/>
        <v>A</v>
      </c>
      <c r="I1248" s="29" t="str">
        <f t="shared" si="96"/>
        <v>YA284176</v>
      </c>
      <c r="J1248" s="59">
        <f t="shared" ca="1" si="97"/>
        <v>45947</v>
      </c>
      <c r="K1248" s="30">
        <f ca="1">LOOKUP(A1248,'QALS - Inspection Lot Record'!A:A,'QALS - Inspection Lot Record'!I:I)</f>
        <v>4.2199074074074076E-2</v>
      </c>
      <c r="L1248" s="59">
        <f t="shared" ca="1" si="98"/>
        <v>45947</v>
      </c>
      <c r="M1248" s="30">
        <f t="shared" ca="1" si="99"/>
        <v>6.6087962962962959E-2</v>
      </c>
      <c r="N1248" s="31"/>
      <c r="O1248" s="31">
        <v>85</v>
      </c>
      <c r="P1248" s="29">
        <v>80</v>
      </c>
      <c r="Q1248" s="29">
        <v>90</v>
      </c>
    </row>
    <row r="1249" spans="1:17" x14ac:dyDescent="0.35">
      <c r="A1249" s="26">
        <v>40000002656</v>
      </c>
      <c r="B1249" s="31">
        <v>1</v>
      </c>
      <c r="C1249" s="29" t="str">
        <f>LOOKUP(A1249,'QALS - Inspection Lot Record'!$A$2:$A$361,'QALS - Inspection Lot Record'!$O$2:$O$361)</f>
        <v>Ibuprofen Tablets (100 MG)</v>
      </c>
      <c r="D1249" s="31">
        <v>80</v>
      </c>
      <c r="E1249" s="29" t="s">
        <v>407</v>
      </c>
      <c r="F1249" s="29" t="str">
        <f>LOOKUP(A1249,'QALS - Inspection Lot Record'!A:A,'QALS - Inspection Lot Record'!G:G)</f>
        <v>YA284176</v>
      </c>
      <c r="G1249" s="59">
        <f ca="1">LOOKUP(A1249,'QALS - Inspection Lot Record'!A:A,'QALS - Inspection Lot Record'!E:E)</f>
        <v>45947</v>
      </c>
      <c r="H1249" s="34" t="str">
        <f t="shared" si="100"/>
        <v>A</v>
      </c>
      <c r="I1249" s="29" t="str">
        <f t="shared" si="96"/>
        <v>YA284176</v>
      </c>
      <c r="J1249" s="59">
        <f t="shared" ca="1" si="97"/>
        <v>45947</v>
      </c>
      <c r="K1249" s="30">
        <f ca="1">LOOKUP(A1249,'QALS - Inspection Lot Record'!A:A,'QALS - Inspection Lot Record'!I:I)</f>
        <v>4.2199074074074076E-2</v>
      </c>
      <c r="L1249" s="59">
        <f t="shared" ca="1" si="98"/>
        <v>45947</v>
      </c>
      <c r="M1249" s="30">
        <f t="shared" ca="1" si="99"/>
        <v>7.2233796296296296E-2</v>
      </c>
      <c r="N1249" s="31"/>
      <c r="O1249" s="31">
        <v>24</v>
      </c>
      <c r="P1249" s="29">
        <v>23</v>
      </c>
      <c r="Q1249" s="29">
        <v>25</v>
      </c>
    </row>
    <row r="1250" spans="1:17" x14ac:dyDescent="0.35">
      <c r="A1250" s="26">
        <v>40000002657</v>
      </c>
      <c r="B1250" s="27">
        <v>1</v>
      </c>
      <c r="C1250" s="29" t="str">
        <f>LOOKUP(A1250,'QALS - Inspection Lot Record'!$A$2:$A$361,'QALS - Inspection Lot Record'!$O$2:$O$361)</f>
        <v>Metformin Tablets (500 MG)</v>
      </c>
      <c r="D1250" s="27">
        <v>10</v>
      </c>
      <c r="E1250" s="26" t="s">
        <v>399</v>
      </c>
      <c r="F1250" s="29" t="str">
        <f>LOOKUP(A1250,'QALS - Inspection Lot Record'!A:A,'QALS - Inspection Lot Record'!G:G)</f>
        <v>TP397880</v>
      </c>
      <c r="G1250" s="59">
        <f ca="1">LOOKUP(A1250,'QALS - Inspection Lot Record'!A:A,'QALS - Inspection Lot Record'!E:E)</f>
        <v>45948</v>
      </c>
      <c r="H1250" s="34" t="str">
        <f t="shared" si="100"/>
        <v>A</v>
      </c>
      <c r="I1250" s="29" t="str">
        <f t="shared" si="96"/>
        <v>TP397880</v>
      </c>
      <c r="J1250" s="59">
        <f t="shared" ca="1" si="97"/>
        <v>45948</v>
      </c>
      <c r="K1250" s="30">
        <f ca="1">LOOKUP(A1250,'QALS - Inspection Lot Record'!A:A,'QALS - Inspection Lot Record'!I:I)</f>
        <v>0.95668981481481485</v>
      </c>
      <c r="L1250" s="59">
        <f t="shared" ca="1" si="98"/>
        <v>45948</v>
      </c>
      <c r="M1250" s="30">
        <f t="shared" ca="1" si="99"/>
        <v>0.99099537037037044</v>
      </c>
      <c r="N1250" s="31"/>
      <c r="O1250" s="31">
        <v>100</v>
      </c>
      <c r="P1250" s="29">
        <v>95</v>
      </c>
      <c r="Q1250" s="29">
        <v>105</v>
      </c>
    </row>
    <row r="1251" spans="1:17" x14ac:dyDescent="0.35">
      <c r="A1251" s="26">
        <v>40000002657</v>
      </c>
      <c r="B1251" s="27">
        <v>1</v>
      </c>
      <c r="C1251" s="29" t="str">
        <f>LOOKUP(A1251,'QALS - Inspection Lot Record'!$A$2:$A$361,'QALS - Inspection Lot Record'!$O$2:$O$361)</f>
        <v>Metformin Tablets (500 MG)</v>
      </c>
      <c r="D1251" s="31">
        <v>20</v>
      </c>
      <c r="E1251" s="29" t="s">
        <v>400</v>
      </c>
      <c r="F1251" s="29" t="str">
        <f>LOOKUP(A1251,'QALS - Inspection Lot Record'!A:A,'QALS - Inspection Lot Record'!G:G)</f>
        <v>TP397880</v>
      </c>
      <c r="G1251" s="59">
        <f ca="1">LOOKUP(A1251,'QALS - Inspection Lot Record'!A:A,'QALS - Inspection Lot Record'!E:E)</f>
        <v>45948</v>
      </c>
      <c r="H1251" s="34" t="str">
        <f t="shared" si="100"/>
        <v>R</v>
      </c>
      <c r="I1251" s="29" t="str">
        <f t="shared" si="96"/>
        <v>TP397880</v>
      </c>
      <c r="J1251" s="59">
        <f t="shared" ca="1" si="97"/>
        <v>45948</v>
      </c>
      <c r="K1251" s="30">
        <f ca="1">LOOKUP(A1251,'QALS - Inspection Lot Record'!A:A,'QALS - Inspection Lot Record'!I:I)</f>
        <v>0.95668981481481485</v>
      </c>
      <c r="L1251" s="59">
        <f t="shared" ca="1" si="98"/>
        <v>45948</v>
      </c>
      <c r="M1251" s="30">
        <f t="shared" ca="1" si="99"/>
        <v>0.97712962962962968</v>
      </c>
      <c r="N1251" s="31"/>
      <c r="O1251" s="31">
        <v>2.2000000000000002</v>
      </c>
      <c r="P1251" s="29">
        <v>3.5</v>
      </c>
      <c r="Q1251" s="29">
        <v>11</v>
      </c>
    </row>
    <row r="1252" spans="1:17" x14ac:dyDescent="0.35">
      <c r="A1252" s="26">
        <v>40000002657</v>
      </c>
      <c r="B1252" s="31">
        <v>1</v>
      </c>
      <c r="C1252" s="29" t="str">
        <f>LOOKUP(A1252,'QALS - Inspection Lot Record'!$A$2:$A$361,'QALS - Inspection Lot Record'!$O$2:$O$361)</f>
        <v>Metformin Tablets (500 MG)</v>
      </c>
      <c r="D1252" s="31">
        <v>30</v>
      </c>
      <c r="E1252" s="29" t="s">
        <v>401</v>
      </c>
      <c r="F1252" s="29" t="str">
        <f>LOOKUP(A1252,'QALS - Inspection Lot Record'!A:A,'QALS - Inspection Lot Record'!G:G)</f>
        <v>TP397880</v>
      </c>
      <c r="G1252" s="59">
        <f ca="1">LOOKUP(A1252,'QALS - Inspection Lot Record'!A:A,'QALS - Inspection Lot Record'!E:E)</f>
        <v>45948</v>
      </c>
      <c r="H1252" s="34" t="str">
        <f t="shared" si="100"/>
        <v>A</v>
      </c>
      <c r="I1252" s="29" t="str">
        <f t="shared" si="96"/>
        <v>TP397880</v>
      </c>
      <c r="J1252" s="59">
        <f t="shared" ca="1" si="97"/>
        <v>45948</v>
      </c>
      <c r="K1252" s="30">
        <f ca="1">LOOKUP(A1252,'QALS - Inspection Lot Record'!A:A,'QALS - Inspection Lot Record'!I:I)</f>
        <v>0.95668981481481485</v>
      </c>
      <c r="L1252" s="59">
        <f t="shared" ca="1" si="98"/>
        <v>45948</v>
      </c>
      <c r="M1252" s="30">
        <f t="shared" ca="1" si="99"/>
        <v>0.98186342592592601</v>
      </c>
      <c r="N1252" s="11" t="s">
        <v>402</v>
      </c>
      <c r="O1252" s="31"/>
      <c r="P1252" s="29"/>
      <c r="Q1252" s="29"/>
    </row>
    <row r="1253" spans="1:17" x14ac:dyDescent="0.35">
      <c r="A1253" s="26">
        <v>40000002657</v>
      </c>
      <c r="B1253" s="31">
        <v>1</v>
      </c>
      <c r="C1253" s="29" t="str">
        <f>LOOKUP(A1253,'QALS - Inspection Lot Record'!$A$2:$A$361,'QALS - Inspection Lot Record'!$O$2:$O$361)</f>
        <v>Metformin Tablets (500 MG)</v>
      </c>
      <c r="D1253" s="31">
        <v>40</v>
      </c>
      <c r="E1253" s="29" t="s">
        <v>403</v>
      </c>
      <c r="F1253" s="29" t="str">
        <f>LOOKUP(A1253,'QALS - Inspection Lot Record'!A:A,'QALS - Inspection Lot Record'!G:G)</f>
        <v>TP397880</v>
      </c>
      <c r="G1253" s="59">
        <f ca="1">LOOKUP(A1253,'QALS - Inspection Lot Record'!A:A,'QALS - Inspection Lot Record'!E:E)</f>
        <v>45948</v>
      </c>
      <c r="H1253" s="34" t="str">
        <f t="shared" si="100"/>
        <v>A</v>
      </c>
      <c r="I1253" s="29" t="str">
        <f t="shared" si="96"/>
        <v>TP397880</v>
      </c>
      <c r="J1253" s="59">
        <f t="shared" ca="1" si="97"/>
        <v>45948</v>
      </c>
      <c r="K1253" s="30">
        <f ca="1">LOOKUP(A1253,'QALS - Inspection Lot Record'!A:A,'QALS - Inspection Lot Record'!I:I)</f>
        <v>0.95668981481481485</v>
      </c>
      <c r="L1253" s="59">
        <f t="shared" ca="1" si="98"/>
        <v>45948</v>
      </c>
      <c r="M1253" s="30">
        <f t="shared" ca="1" si="99"/>
        <v>0.98994212962962969</v>
      </c>
      <c r="N1253" s="31"/>
      <c r="O1253" s="31">
        <v>1.6</v>
      </c>
      <c r="P1253" s="29">
        <v>0</v>
      </c>
      <c r="Q1253" s="29">
        <v>2</v>
      </c>
    </row>
    <row r="1254" spans="1:17" x14ac:dyDescent="0.35">
      <c r="A1254" s="26">
        <v>40000002657</v>
      </c>
      <c r="B1254" s="31">
        <v>1</v>
      </c>
      <c r="C1254" s="29" t="str">
        <f>LOOKUP(A1254,'QALS - Inspection Lot Record'!$A$2:$A$361,'QALS - Inspection Lot Record'!$O$2:$O$361)</f>
        <v>Metformin Tablets (500 MG)</v>
      </c>
      <c r="D1254" s="31">
        <v>50</v>
      </c>
      <c r="E1254" s="29" t="s">
        <v>404</v>
      </c>
      <c r="F1254" s="29" t="str">
        <f>LOOKUP(A1254,'QALS - Inspection Lot Record'!A:A,'QALS - Inspection Lot Record'!G:G)</f>
        <v>TP397880</v>
      </c>
      <c r="G1254" s="59">
        <f ca="1">LOOKUP(A1254,'QALS - Inspection Lot Record'!A:A,'QALS - Inspection Lot Record'!E:E)</f>
        <v>45948</v>
      </c>
      <c r="H1254" s="34" t="str">
        <f t="shared" si="100"/>
        <v>A</v>
      </c>
      <c r="I1254" s="29" t="str">
        <f t="shared" si="96"/>
        <v>TP397880</v>
      </c>
      <c r="J1254" s="59">
        <f t="shared" ca="1" si="97"/>
        <v>45948</v>
      </c>
      <c r="K1254" s="30">
        <f ca="1">LOOKUP(A1254,'QALS - Inspection Lot Record'!A:A,'QALS - Inspection Lot Record'!I:I)</f>
        <v>0.95668981481481485</v>
      </c>
      <c r="L1254" s="59">
        <f t="shared" ca="1" si="98"/>
        <v>45948</v>
      </c>
      <c r="M1254" s="30">
        <f t="shared" ca="1" si="99"/>
        <v>0.9833101851851852</v>
      </c>
      <c r="N1254" s="31"/>
      <c r="O1254" s="31">
        <v>43</v>
      </c>
      <c r="P1254" s="29">
        <v>40</v>
      </c>
      <c r="Q1254" s="29">
        <v>60</v>
      </c>
    </row>
    <row r="1255" spans="1:17" x14ac:dyDescent="0.35">
      <c r="A1255" s="26">
        <v>40000002657</v>
      </c>
      <c r="B1255" s="31">
        <v>1</v>
      </c>
      <c r="C1255" s="29" t="str">
        <f>LOOKUP(A1255,'QALS - Inspection Lot Record'!$A$2:$A$361,'QALS - Inspection Lot Record'!$O$2:$O$361)</f>
        <v>Metformin Tablets (500 MG)</v>
      </c>
      <c r="D1255" s="31">
        <v>60</v>
      </c>
      <c r="E1255" s="29" t="s">
        <v>405</v>
      </c>
      <c r="F1255" s="29" t="str">
        <f>LOOKUP(A1255,'QALS - Inspection Lot Record'!A:A,'QALS - Inspection Lot Record'!G:G)</f>
        <v>TP397880</v>
      </c>
      <c r="G1255" s="59">
        <f ca="1">LOOKUP(A1255,'QALS - Inspection Lot Record'!A:A,'QALS - Inspection Lot Record'!E:E)</f>
        <v>45948</v>
      </c>
      <c r="H1255" s="34" t="str">
        <f t="shared" si="100"/>
        <v>R</v>
      </c>
      <c r="I1255" s="29" t="str">
        <f t="shared" si="96"/>
        <v>TP397880</v>
      </c>
      <c r="J1255" s="59">
        <f t="shared" ca="1" si="97"/>
        <v>45948</v>
      </c>
      <c r="K1255" s="30">
        <f ca="1">LOOKUP(A1255,'QALS - Inspection Lot Record'!A:A,'QALS - Inspection Lot Record'!I:I)</f>
        <v>0.95668981481481485</v>
      </c>
      <c r="L1255" s="59">
        <f t="shared" ca="1" si="98"/>
        <v>45948</v>
      </c>
      <c r="M1255" s="30">
        <f t="shared" ca="1" si="99"/>
        <v>0.9759606481481482</v>
      </c>
      <c r="N1255" s="31"/>
      <c r="O1255" s="31">
        <v>68.099999999999994</v>
      </c>
      <c r="P1255" s="29">
        <v>70</v>
      </c>
      <c r="Q1255" s="29">
        <v>85</v>
      </c>
    </row>
    <row r="1256" spans="1:17" x14ac:dyDescent="0.35">
      <c r="A1256" s="26">
        <v>40000002657</v>
      </c>
      <c r="B1256" s="31">
        <v>1</v>
      </c>
      <c r="C1256" s="29" t="str">
        <f>LOOKUP(A1256,'QALS - Inspection Lot Record'!$A$2:$A$361,'QALS - Inspection Lot Record'!$O$2:$O$361)</f>
        <v>Metformin Tablets (500 MG)</v>
      </c>
      <c r="D1256" s="31">
        <v>70</v>
      </c>
      <c r="E1256" s="29" t="s">
        <v>406</v>
      </c>
      <c r="F1256" s="29" t="str">
        <f>LOOKUP(A1256,'QALS - Inspection Lot Record'!A:A,'QALS - Inspection Lot Record'!G:G)</f>
        <v>TP397880</v>
      </c>
      <c r="G1256" s="59">
        <f ca="1">LOOKUP(A1256,'QALS - Inspection Lot Record'!A:A,'QALS - Inspection Lot Record'!E:E)</f>
        <v>45948</v>
      </c>
      <c r="H1256" s="34" t="str">
        <f t="shared" si="100"/>
        <v>R</v>
      </c>
      <c r="I1256" s="29" t="str">
        <f t="shared" si="96"/>
        <v>TP397880</v>
      </c>
      <c r="J1256" s="59">
        <f t="shared" ca="1" si="97"/>
        <v>45948</v>
      </c>
      <c r="K1256" s="30">
        <f ca="1">LOOKUP(A1256,'QALS - Inspection Lot Record'!A:A,'QALS - Inspection Lot Record'!I:I)</f>
        <v>0.95668981481481485</v>
      </c>
      <c r="L1256" s="59">
        <f t="shared" ca="1" si="98"/>
        <v>45948</v>
      </c>
      <c r="M1256" s="30">
        <f t="shared" ca="1" si="99"/>
        <v>0.98569444444444443</v>
      </c>
      <c r="N1256" s="31"/>
      <c r="O1256" s="31">
        <v>78.8</v>
      </c>
      <c r="P1256" s="29">
        <v>80</v>
      </c>
      <c r="Q1256" s="29">
        <v>90</v>
      </c>
    </row>
    <row r="1257" spans="1:17" x14ac:dyDescent="0.35">
      <c r="A1257" s="26">
        <v>40000002657</v>
      </c>
      <c r="B1257" s="31">
        <v>1</v>
      </c>
      <c r="C1257" s="29" t="str">
        <f>LOOKUP(A1257,'QALS - Inspection Lot Record'!$A$2:$A$361,'QALS - Inspection Lot Record'!$O$2:$O$361)</f>
        <v>Metformin Tablets (500 MG)</v>
      </c>
      <c r="D1257" s="31">
        <v>80</v>
      </c>
      <c r="E1257" s="29" t="s">
        <v>407</v>
      </c>
      <c r="F1257" s="29" t="str">
        <f>LOOKUP(A1257,'QALS - Inspection Lot Record'!A:A,'QALS - Inspection Lot Record'!G:G)</f>
        <v>TP397880</v>
      </c>
      <c r="G1257" s="59">
        <f ca="1">LOOKUP(A1257,'QALS - Inspection Lot Record'!A:A,'QALS - Inspection Lot Record'!E:E)</f>
        <v>45948</v>
      </c>
      <c r="H1257" s="34" t="str">
        <f t="shared" si="100"/>
        <v>A</v>
      </c>
      <c r="I1257" s="29" t="str">
        <f t="shared" si="96"/>
        <v>TP397880</v>
      </c>
      <c r="J1257" s="59">
        <f t="shared" ca="1" si="97"/>
        <v>45948</v>
      </c>
      <c r="K1257" s="30">
        <f ca="1">LOOKUP(A1257,'QALS - Inspection Lot Record'!A:A,'QALS - Inspection Lot Record'!I:I)</f>
        <v>0.95668981481481485</v>
      </c>
      <c r="L1257" s="59">
        <f t="shared" ca="1" si="98"/>
        <v>45948</v>
      </c>
      <c r="M1257" s="30">
        <f t="shared" ca="1" si="99"/>
        <v>0.98788194444444444</v>
      </c>
      <c r="N1257" s="31"/>
      <c r="O1257" s="31">
        <v>24.2</v>
      </c>
      <c r="P1257" s="29">
        <v>23</v>
      </c>
      <c r="Q1257" s="29">
        <v>28</v>
      </c>
    </row>
    <row r="1258" spans="1:17" x14ac:dyDescent="0.35">
      <c r="A1258" s="26">
        <v>40000002658</v>
      </c>
      <c r="B1258" s="27">
        <v>1</v>
      </c>
      <c r="C1258" s="29" t="str">
        <f>LOOKUP(A1258,'QALS - Inspection Lot Record'!$A$2:$A$361,'QALS - Inspection Lot Record'!$O$2:$O$361)</f>
        <v>Ibuprofen Tablets (100 MG)</v>
      </c>
      <c r="D1258" s="27">
        <v>10</v>
      </c>
      <c r="E1258" s="26" t="s">
        <v>399</v>
      </c>
      <c r="F1258" s="29" t="str">
        <f>LOOKUP(A1258,'QALS - Inspection Lot Record'!A:A,'QALS - Inspection Lot Record'!G:G)</f>
        <v>GC197258</v>
      </c>
      <c r="G1258" s="59">
        <f ca="1">LOOKUP(A1258,'QALS - Inspection Lot Record'!A:A,'QALS - Inspection Lot Record'!E:E)</f>
        <v>45948</v>
      </c>
      <c r="H1258" s="34" t="str">
        <f t="shared" si="100"/>
        <v>A</v>
      </c>
      <c r="I1258" s="29" t="str">
        <f t="shared" si="96"/>
        <v>GC197258</v>
      </c>
      <c r="J1258" s="59">
        <f t="shared" ca="1" si="97"/>
        <v>45948</v>
      </c>
      <c r="K1258" s="30">
        <f ca="1">LOOKUP(A1258,'QALS - Inspection Lot Record'!A:A,'QALS - Inspection Lot Record'!I:I)</f>
        <v>0.38696759259259261</v>
      </c>
      <c r="L1258" s="59">
        <f t="shared" ca="1" si="98"/>
        <v>45948</v>
      </c>
      <c r="M1258" s="30">
        <f t="shared" ca="1" si="99"/>
        <v>0.41859953703703706</v>
      </c>
      <c r="N1258" s="31"/>
      <c r="O1258" s="31">
        <v>98.5</v>
      </c>
      <c r="P1258" s="29">
        <v>95</v>
      </c>
      <c r="Q1258" s="29">
        <v>102</v>
      </c>
    </row>
    <row r="1259" spans="1:17" x14ac:dyDescent="0.35">
      <c r="A1259" s="26">
        <v>40000002658</v>
      </c>
      <c r="B1259" s="27">
        <v>1</v>
      </c>
      <c r="C1259" s="29" t="str">
        <f>LOOKUP(A1259,'QALS - Inspection Lot Record'!$A$2:$A$361,'QALS - Inspection Lot Record'!$O$2:$O$361)</f>
        <v>Ibuprofen Tablets (100 MG)</v>
      </c>
      <c r="D1259" s="31">
        <v>20</v>
      </c>
      <c r="E1259" s="29" t="s">
        <v>400</v>
      </c>
      <c r="F1259" s="29" t="str">
        <f>LOOKUP(A1259,'QALS - Inspection Lot Record'!A:A,'QALS - Inspection Lot Record'!G:G)</f>
        <v>GC197258</v>
      </c>
      <c r="G1259" s="59">
        <f ca="1">LOOKUP(A1259,'QALS - Inspection Lot Record'!A:A,'QALS - Inspection Lot Record'!E:E)</f>
        <v>45948</v>
      </c>
      <c r="H1259" s="34" t="str">
        <f t="shared" si="100"/>
        <v>R</v>
      </c>
      <c r="I1259" s="29" t="str">
        <f t="shared" si="96"/>
        <v>GC197258</v>
      </c>
      <c r="J1259" s="59">
        <f t="shared" ca="1" si="97"/>
        <v>45948</v>
      </c>
      <c r="K1259" s="30">
        <f ca="1">LOOKUP(A1259,'QALS - Inspection Lot Record'!A:A,'QALS - Inspection Lot Record'!I:I)</f>
        <v>0.38696759259259261</v>
      </c>
      <c r="L1259" s="59">
        <f t="shared" ca="1" si="98"/>
        <v>45948</v>
      </c>
      <c r="M1259" s="30">
        <f t="shared" ca="1" si="99"/>
        <v>0.41629629629629633</v>
      </c>
      <c r="N1259" s="31"/>
      <c r="O1259" s="31">
        <v>2.2000000000000002</v>
      </c>
      <c r="P1259" s="29">
        <v>3.5</v>
      </c>
      <c r="Q1259" s="29">
        <v>11</v>
      </c>
    </row>
    <row r="1260" spans="1:17" x14ac:dyDescent="0.35">
      <c r="A1260" s="26">
        <v>40000002658</v>
      </c>
      <c r="B1260" s="31">
        <v>1</v>
      </c>
      <c r="C1260" s="29" t="str">
        <f>LOOKUP(A1260,'QALS - Inspection Lot Record'!$A$2:$A$361,'QALS - Inspection Lot Record'!$O$2:$O$361)</f>
        <v>Ibuprofen Tablets (100 MG)</v>
      </c>
      <c r="D1260" s="31">
        <v>30</v>
      </c>
      <c r="E1260" s="29" t="s">
        <v>401</v>
      </c>
      <c r="F1260" s="29" t="str">
        <f>LOOKUP(A1260,'QALS - Inspection Lot Record'!A:A,'QALS - Inspection Lot Record'!G:G)</f>
        <v>GC197258</v>
      </c>
      <c r="G1260" s="59">
        <f ca="1">LOOKUP(A1260,'QALS - Inspection Lot Record'!A:A,'QALS - Inspection Lot Record'!E:E)</f>
        <v>45948</v>
      </c>
      <c r="H1260" s="34" t="str">
        <f t="shared" si="100"/>
        <v>A</v>
      </c>
      <c r="I1260" s="29" t="str">
        <f t="shared" si="96"/>
        <v>GC197258</v>
      </c>
      <c r="J1260" s="59">
        <f t="shared" ca="1" si="97"/>
        <v>45948</v>
      </c>
      <c r="K1260" s="30">
        <f ca="1">LOOKUP(A1260,'QALS - Inspection Lot Record'!A:A,'QALS - Inspection Lot Record'!I:I)</f>
        <v>0.38696759259259261</v>
      </c>
      <c r="L1260" s="59">
        <f t="shared" ca="1" si="98"/>
        <v>45948</v>
      </c>
      <c r="M1260" s="30">
        <f t="shared" ca="1" si="99"/>
        <v>0.41361111111111115</v>
      </c>
      <c r="N1260" s="11" t="s">
        <v>402</v>
      </c>
      <c r="O1260" s="31"/>
      <c r="P1260" s="29"/>
      <c r="Q1260" s="29"/>
    </row>
    <row r="1261" spans="1:17" x14ac:dyDescent="0.35">
      <c r="A1261" s="26">
        <v>40000002658</v>
      </c>
      <c r="B1261" s="31">
        <v>1</v>
      </c>
      <c r="C1261" s="29" t="str">
        <f>LOOKUP(A1261,'QALS - Inspection Lot Record'!$A$2:$A$361,'QALS - Inspection Lot Record'!$O$2:$O$361)</f>
        <v>Ibuprofen Tablets (100 MG)</v>
      </c>
      <c r="D1261" s="31">
        <v>40</v>
      </c>
      <c r="E1261" s="29" t="s">
        <v>403</v>
      </c>
      <c r="F1261" s="29" t="str">
        <f>LOOKUP(A1261,'QALS - Inspection Lot Record'!A:A,'QALS - Inspection Lot Record'!G:G)</f>
        <v>GC197258</v>
      </c>
      <c r="G1261" s="59">
        <f ca="1">LOOKUP(A1261,'QALS - Inspection Lot Record'!A:A,'QALS - Inspection Lot Record'!E:E)</f>
        <v>45948</v>
      </c>
      <c r="H1261" s="34" t="str">
        <f t="shared" si="100"/>
        <v>A</v>
      </c>
      <c r="I1261" s="29" t="str">
        <f t="shared" si="96"/>
        <v>GC197258</v>
      </c>
      <c r="J1261" s="59">
        <f t="shared" ca="1" si="97"/>
        <v>45948</v>
      </c>
      <c r="K1261" s="30">
        <f ca="1">LOOKUP(A1261,'QALS - Inspection Lot Record'!A:A,'QALS - Inspection Lot Record'!I:I)</f>
        <v>0.38696759259259261</v>
      </c>
      <c r="L1261" s="59">
        <f t="shared" ca="1" si="98"/>
        <v>45948</v>
      </c>
      <c r="M1261" s="30">
        <f t="shared" ca="1" si="99"/>
        <v>0.41756944444444444</v>
      </c>
      <c r="N1261" s="31"/>
      <c r="O1261" s="31">
        <v>0.5</v>
      </c>
      <c r="P1261" s="29">
        <v>0</v>
      </c>
      <c r="Q1261" s="29">
        <v>1</v>
      </c>
    </row>
    <row r="1262" spans="1:17" x14ac:dyDescent="0.35">
      <c r="A1262" s="26">
        <v>40000002658</v>
      </c>
      <c r="B1262" s="31">
        <v>1</v>
      </c>
      <c r="C1262" s="29" t="str">
        <f>LOOKUP(A1262,'QALS - Inspection Lot Record'!$A$2:$A$361,'QALS - Inspection Lot Record'!$O$2:$O$361)</f>
        <v>Ibuprofen Tablets (100 MG)</v>
      </c>
      <c r="D1262" s="31">
        <v>50</v>
      </c>
      <c r="E1262" s="29" t="s">
        <v>404</v>
      </c>
      <c r="F1262" s="29" t="str">
        <f>LOOKUP(A1262,'QALS - Inspection Lot Record'!A:A,'QALS - Inspection Lot Record'!G:G)</f>
        <v>GC197258</v>
      </c>
      <c r="G1262" s="59">
        <f ca="1">LOOKUP(A1262,'QALS - Inspection Lot Record'!A:A,'QALS - Inspection Lot Record'!E:E)</f>
        <v>45948</v>
      </c>
      <c r="H1262" s="34" t="str">
        <f t="shared" si="100"/>
        <v>R</v>
      </c>
      <c r="I1262" s="29" t="str">
        <f t="shared" si="96"/>
        <v>GC197258</v>
      </c>
      <c r="J1262" s="59">
        <f t="shared" ca="1" si="97"/>
        <v>45948</v>
      </c>
      <c r="K1262" s="30">
        <f ca="1">LOOKUP(A1262,'QALS - Inspection Lot Record'!A:A,'QALS - Inspection Lot Record'!I:I)</f>
        <v>0.38696759259259261</v>
      </c>
      <c r="L1262" s="59">
        <f t="shared" ca="1" si="98"/>
        <v>45948</v>
      </c>
      <c r="M1262" s="30">
        <f t="shared" ca="1" si="99"/>
        <v>0.41741898148148149</v>
      </c>
      <c r="N1262" s="31"/>
      <c r="O1262" s="31">
        <v>38</v>
      </c>
      <c r="P1262" s="29">
        <v>40</v>
      </c>
      <c r="Q1262" s="29">
        <v>60</v>
      </c>
    </row>
    <row r="1263" spans="1:17" x14ac:dyDescent="0.35">
      <c r="A1263" s="26">
        <v>40000002658</v>
      </c>
      <c r="B1263" s="31">
        <v>1</v>
      </c>
      <c r="C1263" s="29" t="str">
        <f>LOOKUP(A1263,'QALS - Inspection Lot Record'!$A$2:$A$361,'QALS - Inspection Lot Record'!$O$2:$O$361)</f>
        <v>Ibuprofen Tablets (100 MG)</v>
      </c>
      <c r="D1263" s="31">
        <v>60</v>
      </c>
      <c r="E1263" s="29" t="s">
        <v>405</v>
      </c>
      <c r="F1263" s="29" t="str">
        <f>LOOKUP(A1263,'QALS - Inspection Lot Record'!A:A,'QALS - Inspection Lot Record'!G:G)</f>
        <v>GC197258</v>
      </c>
      <c r="G1263" s="59">
        <f ca="1">LOOKUP(A1263,'QALS - Inspection Lot Record'!A:A,'QALS - Inspection Lot Record'!E:E)</f>
        <v>45948</v>
      </c>
      <c r="H1263" s="34" t="str">
        <f t="shared" si="100"/>
        <v>R</v>
      </c>
      <c r="I1263" s="29" t="str">
        <f t="shared" si="96"/>
        <v>GC197258</v>
      </c>
      <c r="J1263" s="59">
        <f t="shared" ca="1" si="97"/>
        <v>45948</v>
      </c>
      <c r="K1263" s="30">
        <f ca="1">LOOKUP(A1263,'QALS - Inspection Lot Record'!A:A,'QALS - Inspection Lot Record'!I:I)</f>
        <v>0.38696759259259261</v>
      </c>
      <c r="L1263" s="59">
        <f t="shared" ca="1" si="98"/>
        <v>45948</v>
      </c>
      <c r="M1263" s="30">
        <f t="shared" ca="1" si="99"/>
        <v>0.40607638888888892</v>
      </c>
      <c r="N1263" s="31"/>
      <c r="O1263" s="31">
        <v>68.900000000000006</v>
      </c>
      <c r="P1263" s="29">
        <v>70</v>
      </c>
      <c r="Q1263" s="29">
        <v>85</v>
      </c>
    </row>
    <row r="1264" spans="1:17" x14ac:dyDescent="0.35">
      <c r="A1264" s="26">
        <v>40000002658</v>
      </c>
      <c r="B1264" s="31">
        <v>1</v>
      </c>
      <c r="C1264" s="29" t="str">
        <f>LOOKUP(A1264,'QALS - Inspection Lot Record'!$A$2:$A$361,'QALS - Inspection Lot Record'!$O$2:$O$361)</f>
        <v>Ibuprofen Tablets (100 MG)</v>
      </c>
      <c r="D1264" s="31">
        <v>70</v>
      </c>
      <c r="E1264" s="29" t="s">
        <v>406</v>
      </c>
      <c r="F1264" s="29" t="str">
        <f>LOOKUP(A1264,'QALS - Inspection Lot Record'!A:A,'QALS - Inspection Lot Record'!G:G)</f>
        <v>GC197258</v>
      </c>
      <c r="G1264" s="59">
        <f ca="1">LOOKUP(A1264,'QALS - Inspection Lot Record'!A:A,'QALS - Inspection Lot Record'!E:E)</f>
        <v>45948</v>
      </c>
      <c r="H1264" s="34" t="str">
        <f t="shared" si="100"/>
        <v>R</v>
      </c>
      <c r="I1264" s="29" t="str">
        <f t="shared" si="96"/>
        <v>GC197258</v>
      </c>
      <c r="J1264" s="59">
        <f t="shared" ca="1" si="97"/>
        <v>45948</v>
      </c>
      <c r="K1264" s="30">
        <f ca="1">LOOKUP(A1264,'QALS - Inspection Lot Record'!A:A,'QALS - Inspection Lot Record'!I:I)</f>
        <v>0.38696759259259261</v>
      </c>
      <c r="L1264" s="59">
        <f t="shared" ca="1" si="98"/>
        <v>45948</v>
      </c>
      <c r="M1264" s="30">
        <f t="shared" ca="1" si="99"/>
        <v>0.4178587962962963</v>
      </c>
      <c r="N1264" s="31"/>
      <c r="O1264" s="31">
        <v>78.599999999999994</v>
      </c>
      <c r="P1264" s="29">
        <v>80</v>
      </c>
      <c r="Q1264" s="29">
        <v>90</v>
      </c>
    </row>
    <row r="1265" spans="1:17" x14ac:dyDescent="0.35">
      <c r="A1265" s="26">
        <v>40000002658</v>
      </c>
      <c r="B1265" s="31">
        <v>1</v>
      </c>
      <c r="C1265" s="29" t="str">
        <f>LOOKUP(A1265,'QALS - Inspection Lot Record'!$A$2:$A$361,'QALS - Inspection Lot Record'!$O$2:$O$361)</f>
        <v>Ibuprofen Tablets (100 MG)</v>
      </c>
      <c r="D1265" s="31">
        <v>80</v>
      </c>
      <c r="E1265" s="29" t="s">
        <v>407</v>
      </c>
      <c r="F1265" s="29" t="str">
        <f>LOOKUP(A1265,'QALS - Inspection Lot Record'!A:A,'QALS - Inspection Lot Record'!G:G)</f>
        <v>GC197258</v>
      </c>
      <c r="G1265" s="59">
        <f ca="1">LOOKUP(A1265,'QALS - Inspection Lot Record'!A:A,'QALS - Inspection Lot Record'!E:E)</f>
        <v>45948</v>
      </c>
      <c r="H1265" s="34" t="str">
        <f t="shared" si="100"/>
        <v>A</v>
      </c>
      <c r="I1265" s="29" t="str">
        <f t="shared" si="96"/>
        <v>GC197258</v>
      </c>
      <c r="J1265" s="59">
        <f t="shared" ca="1" si="97"/>
        <v>45948</v>
      </c>
      <c r="K1265" s="30">
        <f ca="1">LOOKUP(A1265,'QALS - Inspection Lot Record'!A:A,'QALS - Inspection Lot Record'!I:I)</f>
        <v>0.38696759259259261</v>
      </c>
      <c r="L1265" s="59">
        <f t="shared" ca="1" si="98"/>
        <v>45948</v>
      </c>
      <c r="M1265" s="30">
        <f t="shared" ca="1" si="99"/>
        <v>0.41712962962962963</v>
      </c>
      <c r="N1265" s="31"/>
      <c r="O1265" s="31">
        <v>24</v>
      </c>
      <c r="P1265" s="29">
        <v>23</v>
      </c>
      <c r="Q1265" s="29">
        <v>25</v>
      </c>
    </row>
    <row r="1266" spans="1:17" x14ac:dyDescent="0.35">
      <c r="A1266" s="26">
        <v>40000002659</v>
      </c>
      <c r="B1266" s="27">
        <v>1</v>
      </c>
      <c r="C1266" s="29" t="str">
        <f>LOOKUP(A1266,'QALS - Inspection Lot Record'!$A$2:$A$361,'QALS - Inspection Lot Record'!$O$2:$O$361)</f>
        <v>Metformin Tablets (100 MG)</v>
      </c>
      <c r="D1266" s="27">
        <v>10</v>
      </c>
      <c r="E1266" s="26" t="s">
        <v>399</v>
      </c>
      <c r="F1266" s="29" t="str">
        <f>LOOKUP(A1266,'QALS - Inspection Lot Record'!A:A,'QALS - Inspection Lot Record'!G:G)</f>
        <v>TP397880</v>
      </c>
      <c r="G1266" s="59">
        <f ca="1">LOOKUP(A1266,'QALS - Inspection Lot Record'!A:A,'QALS - Inspection Lot Record'!E:E)</f>
        <v>45949</v>
      </c>
      <c r="H1266" s="34" t="str">
        <f t="shared" si="100"/>
        <v>A</v>
      </c>
      <c r="I1266" s="29" t="str">
        <f t="shared" si="96"/>
        <v>TP397880</v>
      </c>
      <c r="J1266" s="59">
        <f t="shared" ca="1" si="97"/>
        <v>45949</v>
      </c>
      <c r="K1266" s="30">
        <f ca="1">LOOKUP(A1266,'QALS - Inspection Lot Record'!A:A,'QALS - Inspection Lot Record'!I:I)</f>
        <v>0.68314814814814817</v>
      </c>
      <c r="L1266" s="59">
        <f t="shared" ca="1" si="98"/>
        <v>45949</v>
      </c>
      <c r="M1266" s="30">
        <f t="shared" ca="1" si="99"/>
        <v>0.71042824074074074</v>
      </c>
      <c r="N1266" s="31"/>
      <c r="O1266" s="31">
        <v>98.5</v>
      </c>
      <c r="P1266" s="29">
        <v>95</v>
      </c>
      <c r="Q1266" s="29">
        <v>102</v>
      </c>
    </row>
    <row r="1267" spans="1:17" x14ac:dyDescent="0.35">
      <c r="A1267" s="26">
        <v>40000002659</v>
      </c>
      <c r="B1267" s="27">
        <v>1</v>
      </c>
      <c r="C1267" s="29" t="str">
        <f>LOOKUP(A1267,'QALS - Inspection Lot Record'!$A$2:$A$361,'QALS - Inspection Lot Record'!$O$2:$O$361)</f>
        <v>Metformin Tablets (100 MG)</v>
      </c>
      <c r="D1267" s="31">
        <v>20</v>
      </c>
      <c r="E1267" s="29" t="s">
        <v>400</v>
      </c>
      <c r="F1267" s="29" t="str">
        <f>LOOKUP(A1267,'QALS - Inspection Lot Record'!A:A,'QALS - Inspection Lot Record'!G:G)</f>
        <v>TP397880</v>
      </c>
      <c r="G1267" s="59">
        <f ca="1">LOOKUP(A1267,'QALS - Inspection Lot Record'!A:A,'QALS - Inspection Lot Record'!E:E)</f>
        <v>45949</v>
      </c>
      <c r="H1267" s="34" t="str">
        <f t="shared" si="100"/>
        <v>A</v>
      </c>
      <c r="I1267" s="29" t="str">
        <f t="shared" si="96"/>
        <v>TP397880</v>
      </c>
      <c r="J1267" s="59">
        <f t="shared" ca="1" si="97"/>
        <v>45949</v>
      </c>
      <c r="K1267" s="30">
        <f ca="1">LOOKUP(A1267,'QALS - Inspection Lot Record'!A:A,'QALS - Inspection Lot Record'!I:I)</f>
        <v>0.68314814814814817</v>
      </c>
      <c r="L1267" s="59">
        <f t="shared" ca="1" si="98"/>
        <v>45949</v>
      </c>
      <c r="M1267" s="30">
        <f t="shared" ca="1" si="99"/>
        <v>0.70630787037037035</v>
      </c>
      <c r="N1267" s="31"/>
      <c r="O1267" s="31">
        <v>7.25</v>
      </c>
      <c r="P1267" s="29">
        <v>3.5</v>
      </c>
      <c r="Q1267" s="29">
        <v>11</v>
      </c>
    </row>
    <row r="1268" spans="1:17" x14ac:dyDescent="0.35">
      <c r="A1268" s="26">
        <v>40000002659</v>
      </c>
      <c r="B1268" s="31">
        <v>1</v>
      </c>
      <c r="C1268" s="29" t="str">
        <f>LOOKUP(A1268,'QALS - Inspection Lot Record'!$A$2:$A$361,'QALS - Inspection Lot Record'!$O$2:$O$361)</f>
        <v>Metformin Tablets (100 MG)</v>
      </c>
      <c r="D1268" s="31">
        <v>30</v>
      </c>
      <c r="E1268" s="29" t="s">
        <v>401</v>
      </c>
      <c r="F1268" s="29" t="str">
        <f>LOOKUP(A1268,'QALS - Inspection Lot Record'!A:A,'QALS - Inspection Lot Record'!G:G)</f>
        <v>TP397880</v>
      </c>
      <c r="G1268" s="59">
        <f ca="1">LOOKUP(A1268,'QALS - Inspection Lot Record'!A:A,'QALS - Inspection Lot Record'!E:E)</f>
        <v>45949</v>
      </c>
      <c r="H1268" s="34" t="str">
        <f t="shared" si="100"/>
        <v>A</v>
      </c>
      <c r="I1268" s="29" t="str">
        <f t="shared" si="96"/>
        <v>TP397880</v>
      </c>
      <c r="J1268" s="59">
        <f t="shared" ca="1" si="97"/>
        <v>45949</v>
      </c>
      <c r="K1268" s="30">
        <f ca="1">LOOKUP(A1268,'QALS - Inspection Lot Record'!A:A,'QALS - Inspection Lot Record'!I:I)</f>
        <v>0.68314814814814817</v>
      </c>
      <c r="L1268" s="59">
        <f t="shared" ca="1" si="98"/>
        <v>45949</v>
      </c>
      <c r="M1268" s="30">
        <f t="shared" ca="1" si="99"/>
        <v>0.70234953703703706</v>
      </c>
      <c r="N1268" s="11" t="s">
        <v>402</v>
      </c>
      <c r="O1268" s="31"/>
      <c r="P1268" s="29"/>
      <c r="Q1268" s="29"/>
    </row>
    <row r="1269" spans="1:17" x14ac:dyDescent="0.35">
      <c r="A1269" s="26">
        <v>40000002659</v>
      </c>
      <c r="B1269" s="31">
        <v>1</v>
      </c>
      <c r="C1269" s="29" t="str">
        <f>LOOKUP(A1269,'QALS - Inspection Lot Record'!$A$2:$A$361,'QALS - Inspection Lot Record'!$O$2:$O$361)</f>
        <v>Metformin Tablets (100 MG)</v>
      </c>
      <c r="D1269" s="31">
        <v>40</v>
      </c>
      <c r="E1269" s="29" t="s">
        <v>403</v>
      </c>
      <c r="F1269" s="29" t="str">
        <f>LOOKUP(A1269,'QALS - Inspection Lot Record'!A:A,'QALS - Inspection Lot Record'!G:G)</f>
        <v>TP397880</v>
      </c>
      <c r="G1269" s="59">
        <f ca="1">LOOKUP(A1269,'QALS - Inspection Lot Record'!A:A,'QALS - Inspection Lot Record'!E:E)</f>
        <v>45949</v>
      </c>
      <c r="H1269" s="34" t="str">
        <f t="shared" si="100"/>
        <v>A</v>
      </c>
      <c r="I1269" s="29" t="str">
        <f t="shared" si="96"/>
        <v>TP397880</v>
      </c>
      <c r="J1269" s="59">
        <f t="shared" ca="1" si="97"/>
        <v>45949</v>
      </c>
      <c r="K1269" s="30">
        <f ca="1">LOOKUP(A1269,'QALS - Inspection Lot Record'!A:A,'QALS - Inspection Lot Record'!I:I)</f>
        <v>0.68314814814814817</v>
      </c>
      <c r="L1269" s="59">
        <f t="shared" ca="1" si="98"/>
        <v>45949</v>
      </c>
      <c r="M1269" s="30">
        <f t="shared" ca="1" si="99"/>
        <v>0.70922453703703703</v>
      </c>
      <c r="N1269" s="31"/>
      <c r="O1269" s="31">
        <v>0</v>
      </c>
      <c r="P1269" s="29">
        <v>0</v>
      </c>
      <c r="Q1269" s="29">
        <v>1</v>
      </c>
    </row>
    <row r="1270" spans="1:17" x14ac:dyDescent="0.35">
      <c r="A1270" s="26">
        <v>40000002659</v>
      </c>
      <c r="B1270" s="31">
        <v>1</v>
      </c>
      <c r="C1270" s="29" t="str">
        <f>LOOKUP(A1270,'QALS - Inspection Lot Record'!$A$2:$A$361,'QALS - Inspection Lot Record'!$O$2:$O$361)</f>
        <v>Metformin Tablets (100 MG)</v>
      </c>
      <c r="D1270" s="31">
        <v>50</v>
      </c>
      <c r="E1270" s="29" t="s">
        <v>404</v>
      </c>
      <c r="F1270" s="29" t="str">
        <f>LOOKUP(A1270,'QALS - Inspection Lot Record'!A:A,'QALS - Inspection Lot Record'!G:G)</f>
        <v>TP397880</v>
      </c>
      <c r="G1270" s="59">
        <f ca="1">LOOKUP(A1270,'QALS - Inspection Lot Record'!A:A,'QALS - Inspection Lot Record'!E:E)</f>
        <v>45949</v>
      </c>
      <c r="H1270" s="34" t="str">
        <f t="shared" si="100"/>
        <v>A</v>
      </c>
      <c r="I1270" s="29" t="str">
        <f t="shared" si="96"/>
        <v>TP397880</v>
      </c>
      <c r="J1270" s="59">
        <f t="shared" ca="1" si="97"/>
        <v>45949</v>
      </c>
      <c r="K1270" s="30">
        <f ca="1">LOOKUP(A1270,'QALS - Inspection Lot Record'!A:A,'QALS - Inspection Lot Record'!I:I)</f>
        <v>0.68314814814814817</v>
      </c>
      <c r="L1270" s="59">
        <f t="shared" ca="1" si="98"/>
        <v>45949</v>
      </c>
      <c r="M1270" s="30">
        <f t="shared" ca="1" si="99"/>
        <v>0.70259259259259266</v>
      </c>
      <c r="N1270" s="31"/>
      <c r="O1270" s="31">
        <v>41.2</v>
      </c>
      <c r="P1270" s="29">
        <v>40</v>
      </c>
      <c r="Q1270" s="29">
        <v>60</v>
      </c>
    </row>
    <row r="1271" spans="1:17" x14ac:dyDescent="0.35">
      <c r="A1271" s="26">
        <v>40000002659</v>
      </c>
      <c r="B1271" s="31">
        <v>1</v>
      </c>
      <c r="C1271" s="29" t="str">
        <f>LOOKUP(A1271,'QALS - Inspection Lot Record'!$A$2:$A$361,'QALS - Inspection Lot Record'!$O$2:$O$361)</f>
        <v>Metformin Tablets (100 MG)</v>
      </c>
      <c r="D1271" s="31">
        <v>60</v>
      </c>
      <c r="E1271" s="29" t="s">
        <v>405</v>
      </c>
      <c r="F1271" s="29" t="str">
        <f>LOOKUP(A1271,'QALS - Inspection Lot Record'!A:A,'QALS - Inspection Lot Record'!G:G)</f>
        <v>TP397880</v>
      </c>
      <c r="G1271" s="59">
        <f ca="1">LOOKUP(A1271,'QALS - Inspection Lot Record'!A:A,'QALS - Inspection Lot Record'!E:E)</f>
        <v>45949</v>
      </c>
      <c r="H1271" s="34" t="str">
        <f t="shared" si="100"/>
        <v>A</v>
      </c>
      <c r="I1271" s="29" t="str">
        <f t="shared" si="96"/>
        <v>TP397880</v>
      </c>
      <c r="J1271" s="59">
        <f t="shared" ca="1" si="97"/>
        <v>45949</v>
      </c>
      <c r="K1271" s="30">
        <f ca="1">LOOKUP(A1271,'QALS - Inspection Lot Record'!A:A,'QALS - Inspection Lot Record'!I:I)</f>
        <v>0.68314814814814817</v>
      </c>
      <c r="L1271" s="59">
        <f t="shared" ca="1" si="98"/>
        <v>45949</v>
      </c>
      <c r="M1271" s="30">
        <f t="shared" ca="1" si="99"/>
        <v>0.70674768518518516</v>
      </c>
      <c r="N1271" s="31"/>
      <c r="O1271" s="31">
        <v>71</v>
      </c>
      <c r="P1271" s="29">
        <v>70</v>
      </c>
      <c r="Q1271" s="29">
        <v>85</v>
      </c>
    </row>
    <row r="1272" spans="1:17" x14ac:dyDescent="0.35">
      <c r="A1272" s="26">
        <v>40000002659</v>
      </c>
      <c r="B1272" s="31">
        <v>1</v>
      </c>
      <c r="C1272" s="29" t="str">
        <f>LOOKUP(A1272,'QALS - Inspection Lot Record'!$A$2:$A$361,'QALS - Inspection Lot Record'!$O$2:$O$361)</f>
        <v>Metformin Tablets (100 MG)</v>
      </c>
      <c r="D1272" s="31">
        <v>70</v>
      </c>
      <c r="E1272" s="29" t="s">
        <v>406</v>
      </c>
      <c r="F1272" s="29" t="str">
        <f>LOOKUP(A1272,'QALS - Inspection Lot Record'!A:A,'QALS - Inspection Lot Record'!G:G)</f>
        <v>TP397880</v>
      </c>
      <c r="G1272" s="59">
        <f ca="1">LOOKUP(A1272,'QALS - Inspection Lot Record'!A:A,'QALS - Inspection Lot Record'!E:E)</f>
        <v>45949</v>
      </c>
      <c r="H1272" s="34" t="str">
        <f t="shared" si="100"/>
        <v>A</v>
      </c>
      <c r="I1272" s="29" t="str">
        <f t="shared" si="96"/>
        <v>TP397880</v>
      </c>
      <c r="J1272" s="59">
        <f t="shared" ca="1" si="97"/>
        <v>45949</v>
      </c>
      <c r="K1272" s="30">
        <f ca="1">LOOKUP(A1272,'QALS - Inspection Lot Record'!A:A,'QALS - Inspection Lot Record'!I:I)</f>
        <v>0.68314814814814817</v>
      </c>
      <c r="L1272" s="59">
        <f t="shared" ca="1" si="98"/>
        <v>45949</v>
      </c>
      <c r="M1272" s="30">
        <f t="shared" ca="1" si="99"/>
        <v>0.71672453703703709</v>
      </c>
      <c r="N1272" s="31"/>
      <c r="O1272" s="31">
        <v>85</v>
      </c>
      <c r="P1272" s="29">
        <v>80</v>
      </c>
      <c r="Q1272" s="29">
        <v>90</v>
      </c>
    </row>
    <row r="1273" spans="1:17" x14ac:dyDescent="0.35">
      <c r="A1273" s="26">
        <v>40000002659</v>
      </c>
      <c r="B1273" s="31">
        <v>1</v>
      </c>
      <c r="C1273" s="29" t="str">
        <f>LOOKUP(A1273,'QALS - Inspection Lot Record'!$A$2:$A$361,'QALS - Inspection Lot Record'!$O$2:$O$361)</f>
        <v>Metformin Tablets (100 MG)</v>
      </c>
      <c r="D1273" s="31">
        <v>80</v>
      </c>
      <c r="E1273" s="29" t="s">
        <v>407</v>
      </c>
      <c r="F1273" s="29" t="str">
        <f>LOOKUP(A1273,'QALS - Inspection Lot Record'!A:A,'QALS - Inspection Lot Record'!G:G)</f>
        <v>TP397880</v>
      </c>
      <c r="G1273" s="59">
        <f ca="1">LOOKUP(A1273,'QALS - Inspection Lot Record'!A:A,'QALS - Inspection Lot Record'!E:E)</f>
        <v>45949</v>
      </c>
      <c r="H1273" s="34" t="str">
        <f t="shared" si="100"/>
        <v>A</v>
      </c>
      <c r="I1273" s="29" t="str">
        <f t="shared" si="96"/>
        <v>TP397880</v>
      </c>
      <c r="J1273" s="59">
        <f t="shared" ca="1" si="97"/>
        <v>45949</v>
      </c>
      <c r="K1273" s="30">
        <f ca="1">LOOKUP(A1273,'QALS - Inspection Lot Record'!A:A,'QALS - Inspection Lot Record'!I:I)</f>
        <v>0.68314814814814817</v>
      </c>
      <c r="L1273" s="59">
        <f t="shared" ca="1" si="98"/>
        <v>45949</v>
      </c>
      <c r="M1273" s="30">
        <f t="shared" ca="1" si="99"/>
        <v>0.71291666666666664</v>
      </c>
      <c r="N1273" s="31"/>
      <c r="O1273" s="31">
        <v>24</v>
      </c>
      <c r="P1273" s="29">
        <v>23</v>
      </c>
      <c r="Q1273" s="29">
        <v>25</v>
      </c>
    </row>
    <row r="1274" spans="1:17" x14ac:dyDescent="0.35">
      <c r="A1274" s="26">
        <v>40000002660</v>
      </c>
      <c r="B1274" s="27">
        <v>1</v>
      </c>
      <c r="C1274" s="29" t="str">
        <f>LOOKUP(A1274,'QALS - Inspection Lot Record'!$A$2:$A$361,'QALS - Inspection Lot Record'!$O$2:$O$361)</f>
        <v>Aspirin Tablets (500 MG)</v>
      </c>
      <c r="D1274" s="27">
        <v>10</v>
      </c>
      <c r="E1274" s="26" t="s">
        <v>399</v>
      </c>
      <c r="F1274" s="29" t="str">
        <f>LOOKUP(A1274,'QALS - Inspection Lot Record'!A:A,'QALS - Inspection Lot Record'!G:G)</f>
        <v>GC197258</v>
      </c>
      <c r="G1274" s="59">
        <f ca="1">LOOKUP(A1274,'QALS - Inspection Lot Record'!A:A,'QALS - Inspection Lot Record'!E:E)</f>
        <v>45949</v>
      </c>
      <c r="H1274" s="34" t="str">
        <f t="shared" si="100"/>
        <v>A</v>
      </c>
      <c r="I1274" s="29" t="str">
        <f t="shared" si="96"/>
        <v>GC197258</v>
      </c>
      <c r="J1274" s="59">
        <f t="shared" ca="1" si="97"/>
        <v>45949</v>
      </c>
      <c r="K1274" s="30">
        <f ca="1">LOOKUP(A1274,'QALS - Inspection Lot Record'!A:A,'QALS - Inspection Lot Record'!I:I)</f>
        <v>0.37261574074074072</v>
      </c>
      <c r="L1274" s="59">
        <f t="shared" ca="1" si="98"/>
        <v>45949</v>
      </c>
      <c r="M1274" s="30">
        <f t="shared" ca="1" si="99"/>
        <v>0.40271990740740737</v>
      </c>
      <c r="N1274" s="31"/>
      <c r="O1274" s="31">
        <v>100</v>
      </c>
      <c r="P1274" s="29">
        <v>95</v>
      </c>
      <c r="Q1274" s="29">
        <v>105</v>
      </c>
    </row>
    <row r="1275" spans="1:17" x14ac:dyDescent="0.35">
      <c r="A1275" s="26">
        <v>40000002660</v>
      </c>
      <c r="B1275" s="27">
        <v>1</v>
      </c>
      <c r="C1275" s="29" t="str">
        <f>LOOKUP(A1275,'QALS - Inspection Lot Record'!$A$2:$A$361,'QALS - Inspection Lot Record'!$O$2:$O$361)</f>
        <v>Aspirin Tablets (500 MG)</v>
      </c>
      <c r="D1275" s="31">
        <v>20</v>
      </c>
      <c r="E1275" s="29" t="s">
        <v>400</v>
      </c>
      <c r="F1275" s="29" t="str">
        <f>LOOKUP(A1275,'QALS - Inspection Lot Record'!A:A,'QALS - Inspection Lot Record'!G:G)</f>
        <v>GC197258</v>
      </c>
      <c r="G1275" s="59">
        <f ca="1">LOOKUP(A1275,'QALS - Inspection Lot Record'!A:A,'QALS - Inspection Lot Record'!E:E)</f>
        <v>45949</v>
      </c>
      <c r="H1275" s="34" t="str">
        <f t="shared" si="100"/>
        <v>A</v>
      </c>
      <c r="I1275" s="29" t="str">
        <f t="shared" si="96"/>
        <v>GC197258</v>
      </c>
      <c r="J1275" s="59">
        <f t="shared" ca="1" si="97"/>
        <v>45949</v>
      </c>
      <c r="K1275" s="30">
        <f ca="1">LOOKUP(A1275,'QALS - Inspection Lot Record'!A:A,'QALS - Inspection Lot Record'!I:I)</f>
        <v>0.37261574074074072</v>
      </c>
      <c r="L1275" s="59">
        <f t="shared" ca="1" si="98"/>
        <v>45949</v>
      </c>
      <c r="M1275" s="30">
        <f t="shared" ca="1" si="99"/>
        <v>0.39424768518518516</v>
      </c>
      <c r="N1275" s="31"/>
      <c r="O1275" s="31">
        <v>7.25</v>
      </c>
      <c r="P1275" s="29">
        <v>3.5</v>
      </c>
      <c r="Q1275" s="29">
        <v>11</v>
      </c>
    </row>
    <row r="1276" spans="1:17" x14ac:dyDescent="0.35">
      <c r="A1276" s="26">
        <v>40000002660</v>
      </c>
      <c r="B1276" s="31">
        <v>1</v>
      </c>
      <c r="C1276" s="29" t="str">
        <f>LOOKUP(A1276,'QALS - Inspection Lot Record'!$A$2:$A$361,'QALS - Inspection Lot Record'!$O$2:$O$361)</f>
        <v>Aspirin Tablets (500 MG)</v>
      </c>
      <c r="D1276" s="31">
        <v>30</v>
      </c>
      <c r="E1276" s="29" t="s">
        <v>401</v>
      </c>
      <c r="F1276" s="29" t="str">
        <f>LOOKUP(A1276,'QALS - Inspection Lot Record'!A:A,'QALS - Inspection Lot Record'!G:G)</f>
        <v>GC197258</v>
      </c>
      <c r="G1276" s="59">
        <f ca="1">LOOKUP(A1276,'QALS - Inspection Lot Record'!A:A,'QALS - Inspection Lot Record'!E:E)</f>
        <v>45949</v>
      </c>
      <c r="H1276" s="34" t="str">
        <f t="shared" si="100"/>
        <v>A</v>
      </c>
      <c r="I1276" s="29" t="str">
        <f t="shared" si="96"/>
        <v>GC197258</v>
      </c>
      <c r="J1276" s="59">
        <f t="shared" ca="1" si="97"/>
        <v>45949</v>
      </c>
      <c r="K1276" s="30">
        <f ca="1">LOOKUP(A1276,'QALS - Inspection Lot Record'!A:A,'QALS - Inspection Lot Record'!I:I)</f>
        <v>0.37261574074074072</v>
      </c>
      <c r="L1276" s="59">
        <f t="shared" ca="1" si="98"/>
        <v>45949</v>
      </c>
      <c r="M1276" s="30">
        <f t="shared" ca="1" si="99"/>
        <v>0.40748842592592593</v>
      </c>
      <c r="N1276" s="11" t="s">
        <v>402</v>
      </c>
      <c r="O1276" s="31"/>
      <c r="P1276" s="29"/>
      <c r="Q1276" s="29"/>
    </row>
    <row r="1277" spans="1:17" x14ac:dyDescent="0.35">
      <c r="A1277" s="26">
        <v>40000002660</v>
      </c>
      <c r="B1277" s="31">
        <v>1</v>
      </c>
      <c r="C1277" s="29" t="str">
        <f>LOOKUP(A1277,'QALS - Inspection Lot Record'!$A$2:$A$361,'QALS - Inspection Lot Record'!$O$2:$O$361)</f>
        <v>Aspirin Tablets (500 MG)</v>
      </c>
      <c r="D1277" s="31">
        <v>40</v>
      </c>
      <c r="E1277" s="29" t="s">
        <v>403</v>
      </c>
      <c r="F1277" s="29" t="str">
        <f>LOOKUP(A1277,'QALS - Inspection Lot Record'!A:A,'QALS - Inspection Lot Record'!G:G)</f>
        <v>GC197258</v>
      </c>
      <c r="G1277" s="59">
        <f ca="1">LOOKUP(A1277,'QALS - Inspection Lot Record'!A:A,'QALS - Inspection Lot Record'!E:E)</f>
        <v>45949</v>
      </c>
      <c r="H1277" s="34" t="str">
        <f t="shared" si="100"/>
        <v>A</v>
      </c>
      <c r="I1277" s="29" t="str">
        <f t="shared" si="96"/>
        <v>GC197258</v>
      </c>
      <c r="J1277" s="59">
        <f t="shared" ca="1" si="97"/>
        <v>45949</v>
      </c>
      <c r="K1277" s="30">
        <f ca="1">LOOKUP(A1277,'QALS - Inspection Lot Record'!A:A,'QALS - Inspection Lot Record'!I:I)</f>
        <v>0.37261574074074072</v>
      </c>
      <c r="L1277" s="59">
        <f t="shared" ca="1" si="98"/>
        <v>45949</v>
      </c>
      <c r="M1277" s="30">
        <f t="shared" ca="1" si="99"/>
        <v>0.40203703703703703</v>
      </c>
      <c r="N1277" s="31"/>
      <c r="O1277" s="31">
        <v>0</v>
      </c>
      <c r="P1277" s="29">
        <v>0</v>
      </c>
      <c r="Q1277" s="29">
        <v>2.5</v>
      </c>
    </row>
    <row r="1278" spans="1:17" x14ac:dyDescent="0.35">
      <c r="A1278" s="26">
        <v>40000002660</v>
      </c>
      <c r="B1278" s="31">
        <v>1</v>
      </c>
      <c r="C1278" s="29" t="str">
        <f>LOOKUP(A1278,'QALS - Inspection Lot Record'!$A$2:$A$361,'QALS - Inspection Lot Record'!$O$2:$O$361)</f>
        <v>Aspirin Tablets (500 MG)</v>
      </c>
      <c r="D1278" s="31">
        <v>50</v>
      </c>
      <c r="E1278" s="29" t="s">
        <v>404</v>
      </c>
      <c r="F1278" s="29" t="str">
        <f>LOOKUP(A1278,'QALS - Inspection Lot Record'!A:A,'QALS - Inspection Lot Record'!G:G)</f>
        <v>GC197258</v>
      </c>
      <c r="G1278" s="59">
        <f ca="1">LOOKUP(A1278,'QALS - Inspection Lot Record'!A:A,'QALS - Inspection Lot Record'!E:E)</f>
        <v>45949</v>
      </c>
      <c r="H1278" s="34" t="str">
        <f t="shared" si="100"/>
        <v>A</v>
      </c>
      <c r="I1278" s="29" t="str">
        <f t="shared" si="96"/>
        <v>GC197258</v>
      </c>
      <c r="J1278" s="59">
        <f t="shared" ca="1" si="97"/>
        <v>45949</v>
      </c>
      <c r="K1278" s="30">
        <f ca="1">LOOKUP(A1278,'QALS - Inspection Lot Record'!A:A,'QALS - Inspection Lot Record'!I:I)</f>
        <v>0.37261574074074072</v>
      </c>
      <c r="L1278" s="59">
        <f t="shared" ca="1" si="98"/>
        <v>45949</v>
      </c>
      <c r="M1278" s="30">
        <f t="shared" ca="1" si="99"/>
        <v>0.39849537037037036</v>
      </c>
      <c r="N1278" s="31"/>
      <c r="O1278" s="31">
        <v>50</v>
      </c>
      <c r="P1278" s="29">
        <v>40</v>
      </c>
      <c r="Q1278" s="29">
        <v>60</v>
      </c>
    </row>
    <row r="1279" spans="1:17" x14ac:dyDescent="0.35">
      <c r="A1279" s="26">
        <v>40000002660</v>
      </c>
      <c r="B1279" s="31">
        <v>1</v>
      </c>
      <c r="C1279" s="29" t="str">
        <f>LOOKUP(A1279,'QALS - Inspection Lot Record'!$A$2:$A$361,'QALS - Inspection Lot Record'!$O$2:$O$361)</f>
        <v>Aspirin Tablets (500 MG)</v>
      </c>
      <c r="D1279" s="31">
        <v>60</v>
      </c>
      <c r="E1279" s="29" t="s">
        <v>405</v>
      </c>
      <c r="F1279" s="29" t="str">
        <f>LOOKUP(A1279,'QALS - Inspection Lot Record'!A:A,'QALS - Inspection Lot Record'!G:G)</f>
        <v>GC197258</v>
      </c>
      <c r="G1279" s="59">
        <f ca="1">LOOKUP(A1279,'QALS - Inspection Lot Record'!A:A,'QALS - Inspection Lot Record'!E:E)</f>
        <v>45949</v>
      </c>
      <c r="H1279" s="34" t="str">
        <f t="shared" si="100"/>
        <v>A</v>
      </c>
      <c r="I1279" s="29" t="str">
        <f t="shared" si="96"/>
        <v>GC197258</v>
      </c>
      <c r="J1279" s="59">
        <f t="shared" ca="1" si="97"/>
        <v>45949</v>
      </c>
      <c r="K1279" s="30">
        <f ca="1">LOOKUP(A1279,'QALS - Inspection Lot Record'!A:A,'QALS - Inspection Lot Record'!I:I)</f>
        <v>0.37261574074074072</v>
      </c>
      <c r="L1279" s="59">
        <f t="shared" ca="1" si="98"/>
        <v>45949</v>
      </c>
      <c r="M1279" s="30">
        <f t="shared" ca="1" si="99"/>
        <v>0.40136574074074072</v>
      </c>
      <c r="N1279" s="31"/>
      <c r="O1279" s="31">
        <v>77.5</v>
      </c>
      <c r="P1279" s="29">
        <v>70</v>
      </c>
      <c r="Q1279" s="29">
        <v>85</v>
      </c>
    </row>
    <row r="1280" spans="1:17" x14ac:dyDescent="0.35">
      <c r="A1280" s="26">
        <v>40000002660</v>
      </c>
      <c r="B1280" s="31">
        <v>1</v>
      </c>
      <c r="C1280" s="29" t="str">
        <f>LOOKUP(A1280,'QALS - Inspection Lot Record'!$A$2:$A$361,'QALS - Inspection Lot Record'!$O$2:$O$361)</f>
        <v>Aspirin Tablets (500 MG)</v>
      </c>
      <c r="D1280" s="31">
        <v>70</v>
      </c>
      <c r="E1280" s="29" t="s">
        <v>406</v>
      </c>
      <c r="F1280" s="29" t="str">
        <f>LOOKUP(A1280,'QALS - Inspection Lot Record'!A:A,'QALS - Inspection Lot Record'!G:G)</f>
        <v>GC197258</v>
      </c>
      <c r="G1280" s="59">
        <f ca="1">LOOKUP(A1280,'QALS - Inspection Lot Record'!A:A,'QALS - Inspection Lot Record'!E:E)</f>
        <v>45949</v>
      </c>
      <c r="H1280" s="34" t="str">
        <f t="shared" si="100"/>
        <v>A</v>
      </c>
      <c r="I1280" s="29" t="str">
        <f t="shared" si="96"/>
        <v>GC197258</v>
      </c>
      <c r="J1280" s="59">
        <f t="shared" ca="1" si="97"/>
        <v>45949</v>
      </c>
      <c r="K1280" s="30">
        <f ca="1">LOOKUP(A1280,'QALS - Inspection Lot Record'!A:A,'QALS - Inspection Lot Record'!I:I)</f>
        <v>0.37261574074074072</v>
      </c>
      <c r="L1280" s="59">
        <f t="shared" ca="1" si="98"/>
        <v>45949</v>
      </c>
      <c r="M1280" s="30">
        <f t="shared" ca="1" si="99"/>
        <v>0.39149305555555552</v>
      </c>
      <c r="N1280" s="31"/>
      <c r="O1280" s="31">
        <v>85</v>
      </c>
      <c r="P1280" s="29">
        <v>80</v>
      </c>
      <c r="Q1280" s="29">
        <v>90</v>
      </c>
    </row>
    <row r="1281" spans="1:17" x14ac:dyDescent="0.35">
      <c r="A1281" s="26">
        <v>40000002660</v>
      </c>
      <c r="B1281" s="31">
        <v>1</v>
      </c>
      <c r="C1281" s="29" t="str">
        <f>LOOKUP(A1281,'QALS - Inspection Lot Record'!$A$2:$A$361,'QALS - Inspection Lot Record'!$O$2:$O$361)</f>
        <v>Aspirin Tablets (500 MG)</v>
      </c>
      <c r="D1281" s="31">
        <v>80</v>
      </c>
      <c r="E1281" s="29" t="s">
        <v>407</v>
      </c>
      <c r="F1281" s="29" t="str">
        <f>LOOKUP(A1281,'QALS - Inspection Lot Record'!A:A,'QALS - Inspection Lot Record'!G:G)</f>
        <v>GC197258</v>
      </c>
      <c r="G1281" s="59">
        <f ca="1">LOOKUP(A1281,'QALS - Inspection Lot Record'!A:A,'QALS - Inspection Lot Record'!E:E)</f>
        <v>45949</v>
      </c>
      <c r="H1281" s="34" t="str">
        <f t="shared" si="100"/>
        <v>A</v>
      </c>
      <c r="I1281" s="29" t="str">
        <f t="shared" si="96"/>
        <v>GC197258</v>
      </c>
      <c r="J1281" s="59">
        <f t="shared" ca="1" si="97"/>
        <v>45949</v>
      </c>
      <c r="K1281" s="30">
        <f ca="1">LOOKUP(A1281,'QALS - Inspection Lot Record'!A:A,'QALS - Inspection Lot Record'!I:I)</f>
        <v>0.37261574074074072</v>
      </c>
      <c r="L1281" s="59">
        <f t="shared" ca="1" si="98"/>
        <v>45949</v>
      </c>
      <c r="M1281" s="30">
        <f t="shared" ca="1" si="99"/>
        <v>0.40650462962962963</v>
      </c>
      <c r="N1281" s="31"/>
      <c r="O1281" s="31">
        <v>25.5</v>
      </c>
      <c r="P1281" s="29">
        <v>23</v>
      </c>
      <c r="Q1281" s="29">
        <v>28</v>
      </c>
    </row>
    <row r="1282" spans="1:17" x14ac:dyDescent="0.35">
      <c r="A1282" s="26">
        <v>40000002661</v>
      </c>
      <c r="B1282" s="27">
        <v>1</v>
      </c>
      <c r="C1282" s="29" t="str">
        <f>LOOKUP(A1282,'QALS - Inspection Lot Record'!$A$2:$A$361,'QALS - Inspection Lot Record'!$O$2:$O$361)</f>
        <v>Metformin Tablets (500 MG)</v>
      </c>
      <c r="D1282" s="27">
        <v>10</v>
      </c>
      <c r="E1282" s="26" t="s">
        <v>399</v>
      </c>
      <c r="F1282" s="29" t="str">
        <f>LOOKUP(A1282,'QALS - Inspection Lot Record'!A:A,'QALS - Inspection Lot Record'!G:G)</f>
        <v>AB406550</v>
      </c>
      <c r="G1282" s="59">
        <f ca="1">LOOKUP(A1282,'QALS - Inspection Lot Record'!A:A,'QALS - Inspection Lot Record'!E:E)</f>
        <v>45950</v>
      </c>
      <c r="H1282" s="34" t="str">
        <f t="shared" si="100"/>
        <v>A</v>
      </c>
      <c r="I1282" s="29" t="str">
        <f t="shared" ref="I1282:I1345" si="101">F1282</f>
        <v>AB406550</v>
      </c>
      <c r="J1282" s="59">
        <f t="shared" ref="J1282:J1345" ca="1" si="102">G1282</f>
        <v>45950</v>
      </c>
      <c r="K1282" s="30">
        <f ca="1">LOOKUP(A1282,'QALS - Inspection Lot Record'!A:A,'QALS - Inspection Lot Record'!I:I)</f>
        <v>0.82546296296296295</v>
      </c>
      <c r="L1282" s="59">
        <f t="shared" ref="L1282:L1345" ca="1" si="103">G1282</f>
        <v>45950</v>
      </c>
      <c r="M1282" s="30">
        <f t="shared" ref="M1282:M1345" ca="1" si="104">K1282+TIME(0,RANDBETWEEN(25,50),RANDBETWEEN(0,59))</f>
        <v>0.8552777777777778</v>
      </c>
      <c r="N1282" s="31"/>
      <c r="O1282" s="31">
        <v>100</v>
      </c>
      <c r="P1282" s="29">
        <v>95</v>
      </c>
      <c r="Q1282" s="29">
        <v>105</v>
      </c>
    </row>
    <row r="1283" spans="1:17" x14ac:dyDescent="0.35">
      <c r="A1283" s="26">
        <v>40000002661</v>
      </c>
      <c r="B1283" s="27">
        <v>1</v>
      </c>
      <c r="C1283" s="29" t="str">
        <f>LOOKUP(A1283,'QALS - Inspection Lot Record'!$A$2:$A$361,'QALS - Inspection Lot Record'!$O$2:$O$361)</f>
        <v>Metformin Tablets (500 MG)</v>
      </c>
      <c r="D1283" s="31">
        <v>20</v>
      </c>
      <c r="E1283" s="29" t="s">
        <v>400</v>
      </c>
      <c r="F1283" s="29" t="str">
        <f>LOOKUP(A1283,'QALS - Inspection Lot Record'!A:A,'QALS - Inspection Lot Record'!G:G)</f>
        <v>AB406550</v>
      </c>
      <c r="G1283" s="59">
        <f ca="1">LOOKUP(A1283,'QALS - Inspection Lot Record'!A:A,'QALS - Inspection Lot Record'!E:E)</f>
        <v>45950</v>
      </c>
      <c r="H1283" s="34" t="str">
        <f t="shared" si="100"/>
        <v>R</v>
      </c>
      <c r="I1283" s="29" t="str">
        <f t="shared" si="101"/>
        <v>AB406550</v>
      </c>
      <c r="J1283" s="59">
        <f t="shared" ca="1" si="102"/>
        <v>45950</v>
      </c>
      <c r="K1283" s="30">
        <f ca="1">LOOKUP(A1283,'QALS - Inspection Lot Record'!A:A,'QALS - Inspection Lot Record'!I:I)</f>
        <v>0.82546296296296295</v>
      </c>
      <c r="L1283" s="59">
        <f t="shared" ca="1" si="103"/>
        <v>45950</v>
      </c>
      <c r="M1283" s="30">
        <f t="shared" ca="1" si="104"/>
        <v>0.84769675925925925</v>
      </c>
      <c r="N1283" s="31"/>
      <c r="O1283" s="31">
        <v>1.5</v>
      </c>
      <c r="P1283" s="29">
        <v>3.5</v>
      </c>
      <c r="Q1283" s="29">
        <v>11</v>
      </c>
    </row>
    <row r="1284" spans="1:17" x14ac:dyDescent="0.35">
      <c r="A1284" s="26">
        <v>40000002661</v>
      </c>
      <c r="B1284" s="31">
        <v>1</v>
      </c>
      <c r="C1284" s="29" t="str">
        <f>LOOKUP(A1284,'QALS - Inspection Lot Record'!$A$2:$A$361,'QALS - Inspection Lot Record'!$O$2:$O$361)</f>
        <v>Metformin Tablets (500 MG)</v>
      </c>
      <c r="D1284" s="31">
        <v>30</v>
      </c>
      <c r="E1284" s="29" t="s">
        <v>401</v>
      </c>
      <c r="F1284" s="29" t="str">
        <f>LOOKUP(A1284,'QALS - Inspection Lot Record'!A:A,'QALS - Inspection Lot Record'!G:G)</f>
        <v>AB406550</v>
      </c>
      <c r="G1284" s="59">
        <f ca="1">LOOKUP(A1284,'QALS - Inspection Lot Record'!A:A,'QALS - Inspection Lot Record'!E:E)</f>
        <v>45950</v>
      </c>
      <c r="H1284" s="34" t="str">
        <f t="shared" si="100"/>
        <v>A</v>
      </c>
      <c r="I1284" s="29" t="str">
        <f t="shared" si="101"/>
        <v>AB406550</v>
      </c>
      <c r="J1284" s="59">
        <f t="shared" ca="1" si="102"/>
        <v>45950</v>
      </c>
      <c r="K1284" s="30">
        <f ca="1">LOOKUP(A1284,'QALS - Inspection Lot Record'!A:A,'QALS - Inspection Lot Record'!I:I)</f>
        <v>0.82546296296296295</v>
      </c>
      <c r="L1284" s="59">
        <f t="shared" ca="1" si="103"/>
        <v>45950</v>
      </c>
      <c r="M1284" s="30">
        <f t="shared" ca="1" si="104"/>
        <v>0.84870370370370374</v>
      </c>
      <c r="N1284" s="11" t="s">
        <v>402</v>
      </c>
      <c r="O1284" s="31"/>
      <c r="P1284" s="29"/>
      <c r="Q1284" s="29"/>
    </row>
    <row r="1285" spans="1:17" x14ac:dyDescent="0.35">
      <c r="A1285" s="26">
        <v>40000002661</v>
      </c>
      <c r="B1285" s="31">
        <v>1</v>
      </c>
      <c r="C1285" s="29" t="str">
        <f>LOOKUP(A1285,'QALS - Inspection Lot Record'!$A$2:$A$361,'QALS - Inspection Lot Record'!$O$2:$O$361)</f>
        <v>Metformin Tablets (500 MG)</v>
      </c>
      <c r="D1285" s="31">
        <v>40</v>
      </c>
      <c r="E1285" s="29" t="s">
        <v>403</v>
      </c>
      <c r="F1285" s="29" t="str">
        <f>LOOKUP(A1285,'QALS - Inspection Lot Record'!A:A,'QALS - Inspection Lot Record'!G:G)</f>
        <v>AB406550</v>
      </c>
      <c r="G1285" s="59">
        <f ca="1">LOOKUP(A1285,'QALS - Inspection Lot Record'!A:A,'QALS - Inspection Lot Record'!E:E)</f>
        <v>45950</v>
      </c>
      <c r="H1285" s="34" t="str">
        <f t="shared" si="100"/>
        <v>A</v>
      </c>
      <c r="I1285" s="29" t="str">
        <f t="shared" si="101"/>
        <v>AB406550</v>
      </c>
      <c r="J1285" s="59">
        <f t="shared" ca="1" si="102"/>
        <v>45950</v>
      </c>
      <c r="K1285" s="30">
        <f ca="1">LOOKUP(A1285,'QALS - Inspection Lot Record'!A:A,'QALS - Inspection Lot Record'!I:I)</f>
        <v>0.82546296296296295</v>
      </c>
      <c r="L1285" s="59">
        <f t="shared" ca="1" si="103"/>
        <v>45950</v>
      </c>
      <c r="M1285" s="30">
        <f t="shared" ca="1" si="104"/>
        <v>0.85307870370370364</v>
      </c>
      <c r="N1285" s="31"/>
      <c r="O1285" s="31">
        <v>1.6</v>
      </c>
      <c r="P1285" s="29">
        <v>0</v>
      </c>
      <c r="Q1285" s="29">
        <v>2</v>
      </c>
    </row>
    <row r="1286" spans="1:17" x14ac:dyDescent="0.35">
      <c r="A1286" s="26">
        <v>40000002661</v>
      </c>
      <c r="B1286" s="31">
        <v>1</v>
      </c>
      <c r="C1286" s="29" t="str">
        <f>LOOKUP(A1286,'QALS - Inspection Lot Record'!$A$2:$A$361,'QALS - Inspection Lot Record'!$O$2:$O$361)</f>
        <v>Metformin Tablets (500 MG)</v>
      </c>
      <c r="D1286" s="31">
        <v>50</v>
      </c>
      <c r="E1286" s="29" t="s">
        <v>404</v>
      </c>
      <c r="F1286" s="29" t="str">
        <f>LOOKUP(A1286,'QALS - Inspection Lot Record'!A:A,'QALS - Inspection Lot Record'!G:G)</f>
        <v>AB406550</v>
      </c>
      <c r="G1286" s="59">
        <f ca="1">LOOKUP(A1286,'QALS - Inspection Lot Record'!A:A,'QALS - Inspection Lot Record'!E:E)</f>
        <v>45950</v>
      </c>
      <c r="H1286" s="34" t="str">
        <f t="shared" si="100"/>
        <v>A</v>
      </c>
      <c r="I1286" s="29" t="str">
        <f t="shared" si="101"/>
        <v>AB406550</v>
      </c>
      <c r="J1286" s="59">
        <f t="shared" ca="1" si="102"/>
        <v>45950</v>
      </c>
      <c r="K1286" s="30">
        <f ca="1">LOOKUP(A1286,'QALS - Inspection Lot Record'!A:A,'QALS - Inspection Lot Record'!I:I)</f>
        <v>0.82546296296296295</v>
      </c>
      <c r="L1286" s="59">
        <f t="shared" ca="1" si="103"/>
        <v>45950</v>
      </c>
      <c r="M1286" s="30">
        <f t="shared" ca="1" si="104"/>
        <v>0.84994212962962967</v>
      </c>
      <c r="N1286" s="31"/>
      <c r="O1286" s="31">
        <v>45.3</v>
      </c>
      <c r="P1286" s="29">
        <v>40</v>
      </c>
      <c r="Q1286" s="29">
        <v>60</v>
      </c>
    </row>
    <row r="1287" spans="1:17" x14ac:dyDescent="0.35">
      <c r="A1287" s="26">
        <v>40000002661</v>
      </c>
      <c r="B1287" s="31">
        <v>1</v>
      </c>
      <c r="C1287" s="29" t="str">
        <f>LOOKUP(A1287,'QALS - Inspection Lot Record'!$A$2:$A$361,'QALS - Inspection Lot Record'!$O$2:$O$361)</f>
        <v>Metformin Tablets (500 MG)</v>
      </c>
      <c r="D1287" s="31">
        <v>60</v>
      </c>
      <c r="E1287" s="29" t="s">
        <v>405</v>
      </c>
      <c r="F1287" s="29" t="str">
        <f>LOOKUP(A1287,'QALS - Inspection Lot Record'!A:A,'QALS - Inspection Lot Record'!G:G)</f>
        <v>AB406550</v>
      </c>
      <c r="G1287" s="59">
        <f ca="1">LOOKUP(A1287,'QALS - Inspection Lot Record'!A:A,'QALS - Inspection Lot Record'!E:E)</f>
        <v>45950</v>
      </c>
      <c r="H1287" s="34" t="str">
        <f t="shared" si="100"/>
        <v>R</v>
      </c>
      <c r="I1287" s="29" t="str">
        <f t="shared" si="101"/>
        <v>AB406550</v>
      </c>
      <c r="J1287" s="59">
        <f t="shared" ca="1" si="102"/>
        <v>45950</v>
      </c>
      <c r="K1287" s="30">
        <f ca="1">LOOKUP(A1287,'QALS - Inspection Lot Record'!A:A,'QALS - Inspection Lot Record'!I:I)</f>
        <v>0.82546296296296295</v>
      </c>
      <c r="L1287" s="59">
        <f t="shared" ca="1" si="103"/>
        <v>45950</v>
      </c>
      <c r="M1287" s="30">
        <f t="shared" ca="1" si="104"/>
        <v>0.8514004629629629</v>
      </c>
      <c r="N1287" s="31"/>
      <c r="O1287" s="31">
        <v>68.3</v>
      </c>
      <c r="P1287" s="29">
        <v>70</v>
      </c>
      <c r="Q1287" s="29">
        <v>85</v>
      </c>
    </row>
    <row r="1288" spans="1:17" x14ac:dyDescent="0.35">
      <c r="A1288" s="26">
        <v>40000002661</v>
      </c>
      <c r="B1288" s="31">
        <v>1</v>
      </c>
      <c r="C1288" s="29" t="str">
        <f>LOOKUP(A1288,'QALS - Inspection Lot Record'!$A$2:$A$361,'QALS - Inspection Lot Record'!$O$2:$O$361)</f>
        <v>Metformin Tablets (500 MG)</v>
      </c>
      <c r="D1288" s="31">
        <v>70</v>
      </c>
      <c r="E1288" s="29" t="s">
        <v>406</v>
      </c>
      <c r="F1288" s="29" t="str">
        <f>LOOKUP(A1288,'QALS - Inspection Lot Record'!A:A,'QALS - Inspection Lot Record'!G:G)</f>
        <v>AB406550</v>
      </c>
      <c r="G1288" s="59">
        <f ca="1">LOOKUP(A1288,'QALS - Inspection Lot Record'!A:A,'QALS - Inspection Lot Record'!E:E)</f>
        <v>45950</v>
      </c>
      <c r="H1288" s="34" t="str">
        <f t="shared" si="100"/>
        <v>R</v>
      </c>
      <c r="I1288" s="29" t="str">
        <f t="shared" si="101"/>
        <v>AB406550</v>
      </c>
      <c r="J1288" s="59">
        <f t="shared" ca="1" si="102"/>
        <v>45950</v>
      </c>
      <c r="K1288" s="30">
        <f ca="1">LOOKUP(A1288,'QALS - Inspection Lot Record'!A:A,'QALS - Inspection Lot Record'!I:I)</f>
        <v>0.82546296296296295</v>
      </c>
      <c r="L1288" s="59">
        <f t="shared" ca="1" si="103"/>
        <v>45950</v>
      </c>
      <c r="M1288" s="30">
        <f t="shared" ca="1" si="104"/>
        <v>0.85471064814814812</v>
      </c>
      <c r="N1288" s="31"/>
      <c r="O1288" s="31">
        <v>78</v>
      </c>
      <c r="P1288" s="29">
        <v>80</v>
      </c>
      <c r="Q1288" s="29">
        <v>90</v>
      </c>
    </row>
    <row r="1289" spans="1:17" x14ac:dyDescent="0.35">
      <c r="A1289" s="26">
        <v>40000002661</v>
      </c>
      <c r="B1289" s="31">
        <v>1</v>
      </c>
      <c r="C1289" s="29" t="str">
        <f>LOOKUP(A1289,'QALS - Inspection Lot Record'!$A$2:$A$361,'QALS - Inspection Lot Record'!$O$2:$O$361)</f>
        <v>Metformin Tablets (500 MG)</v>
      </c>
      <c r="D1289" s="31">
        <v>80</v>
      </c>
      <c r="E1289" s="29" t="s">
        <v>407</v>
      </c>
      <c r="F1289" s="29" t="str">
        <f>LOOKUP(A1289,'QALS - Inspection Lot Record'!A:A,'QALS - Inspection Lot Record'!G:G)</f>
        <v>AB406550</v>
      </c>
      <c r="G1289" s="59">
        <f ca="1">LOOKUP(A1289,'QALS - Inspection Lot Record'!A:A,'QALS - Inspection Lot Record'!E:E)</f>
        <v>45950</v>
      </c>
      <c r="H1289" s="34" t="str">
        <f t="shared" si="100"/>
        <v>A</v>
      </c>
      <c r="I1289" s="29" t="str">
        <f t="shared" si="101"/>
        <v>AB406550</v>
      </c>
      <c r="J1289" s="59">
        <f t="shared" ca="1" si="102"/>
        <v>45950</v>
      </c>
      <c r="K1289" s="30">
        <f ca="1">LOOKUP(A1289,'QALS - Inspection Lot Record'!A:A,'QALS - Inspection Lot Record'!I:I)</f>
        <v>0.82546296296296295</v>
      </c>
      <c r="L1289" s="59">
        <f t="shared" ca="1" si="103"/>
        <v>45950</v>
      </c>
      <c r="M1289" s="30">
        <f t="shared" ca="1" si="104"/>
        <v>0.85009259259259262</v>
      </c>
      <c r="N1289" s="31"/>
      <c r="O1289" s="31">
        <v>24.5</v>
      </c>
      <c r="P1289" s="29">
        <v>23</v>
      </c>
      <c r="Q1289" s="29">
        <v>28</v>
      </c>
    </row>
    <row r="1290" spans="1:17" x14ac:dyDescent="0.35">
      <c r="A1290" s="26">
        <v>40000002662</v>
      </c>
      <c r="B1290" s="27">
        <v>1</v>
      </c>
      <c r="C1290" s="29" t="str">
        <f>LOOKUP(A1290,'QALS - Inspection Lot Record'!$A$2:$A$361,'QALS - Inspection Lot Record'!$O$2:$O$361)</f>
        <v>Metformin Tablets (100 MG)</v>
      </c>
      <c r="D1290" s="27">
        <v>10</v>
      </c>
      <c r="E1290" s="26" t="s">
        <v>399</v>
      </c>
      <c r="F1290" s="29" t="str">
        <f>LOOKUP(A1290,'QALS - Inspection Lot Record'!A:A,'QALS - Inspection Lot Record'!G:G)</f>
        <v>GC197258</v>
      </c>
      <c r="G1290" s="59">
        <f ca="1">LOOKUP(A1290,'QALS - Inspection Lot Record'!A:A,'QALS - Inspection Lot Record'!E:E)</f>
        <v>45950</v>
      </c>
      <c r="H1290" s="34" t="str">
        <f t="shared" ref="H1290:H1353" si="105">IF(AND(P1290&lt;=O1290,O1290&lt;=Q1290),"A","R")</f>
        <v>A</v>
      </c>
      <c r="I1290" s="29" t="str">
        <f t="shared" si="101"/>
        <v>GC197258</v>
      </c>
      <c r="J1290" s="59">
        <f t="shared" ca="1" si="102"/>
        <v>45950</v>
      </c>
      <c r="K1290" s="30">
        <f ca="1">LOOKUP(A1290,'QALS - Inspection Lot Record'!A:A,'QALS - Inspection Lot Record'!I:I)</f>
        <v>0.25920138888888888</v>
      </c>
      <c r="L1290" s="59">
        <f t="shared" ca="1" si="103"/>
        <v>45950</v>
      </c>
      <c r="M1290" s="30">
        <f t="shared" ca="1" si="104"/>
        <v>0.29101851851851851</v>
      </c>
      <c r="N1290" s="31"/>
      <c r="O1290" s="31">
        <v>98.5</v>
      </c>
      <c r="P1290" s="29">
        <v>95</v>
      </c>
      <c r="Q1290" s="29">
        <v>102</v>
      </c>
    </row>
    <row r="1291" spans="1:17" x14ac:dyDescent="0.35">
      <c r="A1291" s="26">
        <v>40000002662</v>
      </c>
      <c r="B1291" s="27">
        <v>1</v>
      </c>
      <c r="C1291" s="29" t="str">
        <f>LOOKUP(A1291,'QALS - Inspection Lot Record'!$A$2:$A$361,'QALS - Inspection Lot Record'!$O$2:$O$361)</f>
        <v>Metformin Tablets (100 MG)</v>
      </c>
      <c r="D1291" s="31">
        <v>20</v>
      </c>
      <c r="E1291" s="29" t="s">
        <v>400</v>
      </c>
      <c r="F1291" s="29" t="str">
        <f>LOOKUP(A1291,'QALS - Inspection Lot Record'!A:A,'QALS - Inspection Lot Record'!G:G)</f>
        <v>GC197258</v>
      </c>
      <c r="G1291" s="59">
        <f ca="1">LOOKUP(A1291,'QALS - Inspection Lot Record'!A:A,'QALS - Inspection Lot Record'!E:E)</f>
        <v>45950</v>
      </c>
      <c r="H1291" s="34" t="str">
        <f t="shared" si="105"/>
        <v>A</v>
      </c>
      <c r="I1291" s="29" t="str">
        <f t="shared" si="101"/>
        <v>GC197258</v>
      </c>
      <c r="J1291" s="59">
        <f t="shared" ca="1" si="102"/>
        <v>45950</v>
      </c>
      <c r="K1291" s="30">
        <f ca="1">LOOKUP(A1291,'QALS - Inspection Lot Record'!A:A,'QALS - Inspection Lot Record'!I:I)</f>
        <v>0.25920138888888888</v>
      </c>
      <c r="L1291" s="59">
        <f t="shared" ca="1" si="103"/>
        <v>45950</v>
      </c>
      <c r="M1291" s="30">
        <f t="shared" ca="1" si="104"/>
        <v>0.27754629629629629</v>
      </c>
      <c r="N1291" s="31"/>
      <c r="O1291" s="31">
        <v>7.25</v>
      </c>
      <c r="P1291" s="29">
        <v>3.5</v>
      </c>
      <c r="Q1291" s="29">
        <v>11</v>
      </c>
    </row>
    <row r="1292" spans="1:17" x14ac:dyDescent="0.35">
      <c r="A1292" s="26">
        <v>40000002662</v>
      </c>
      <c r="B1292" s="31">
        <v>1</v>
      </c>
      <c r="C1292" s="29" t="str">
        <f>LOOKUP(A1292,'QALS - Inspection Lot Record'!$A$2:$A$361,'QALS - Inspection Lot Record'!$O$2:$O$361)</f>
        <v>Metformin Tablets (100 MG)</v>
      </c>
      <c r="D1292" s="31">
        <v>30</v>
      </c>
      <c r="E1292" s="29" t="s">
        <v>401</v>
      </c>
      <c r="F1292" s="29" t="str">
        <f>LOOKUP(A1292,'QALS - Inspection Lot Record'!A:A,'QALS - Inspection Lot Record'!G:G)</f>
        <v>GC197258</v>
      </c>
      <c r="G1292" s="59">
        <f ca="1">LOOKUP(A1292,'QALS - Inspection Lot Record'!A:A,'QALS - Inspection Lot Record'!E:E)</f>
        <v>45950</v>
      </c>
      <c r="H1292" s="34" t="str">
        <f t="shared" si="105"/>
        <v>A</v>
      </c>
      <c r="I1292" s="29" t="str">
        <f t="shared" si="101"/>
        <v>GC197258</v>
      </c>
      <c r="J1292" s="59">
        <f t="shared" ca="1" si="102"/>
        <v>45950</v>
      </c>
      <c r="K1292" s="30">
        <f ca="1">LOOKUP(A1292,'QALS - Inspection Lot Record'!A:A,'QALS - Inspection Lot Record'!I:I)</f>
        <v>0.25920138888888888</v>
      </c>
      <c r="L1292" s="59">
        <f t="shared" ca="1" si="103"/>
        <v>45950</v>
      </c>
      <c r="M1292" s="30">
        <f t="shared" ca="1" si="104"/>
        <v>0.28535879629629629</v>
      </c>
      <c r="N1292" s="11" t="s">
        <v>402</v>
      </c>
      <c r="O1292" s="31"/>
      <c r="P1292" s="29"/>
      <c r="Q1292" s="29"/>
    </row>
    <row r="1293" spans="1:17" x14ac:dyDescent="0.35">
      <c r="A1293" s="26">
        <v>40000002662</v>
      </c>
      <c r="B1293" s="31">
        <v>1</v>
      </c>
      <c r="C1293" s="29" t="str">
        <f>LOOKUP(A1293,'QALS - Inspection Lot Record'!$A$2:$A$361,'QALS - Inspection Lot Record'!$O$2:$O$361)</f>
        <v>Metformin Tablets (100 MG)</v>
      </c>
      <c r="D1293" s="31">
        <v>40</v>
      </c>
      <c r="E1293" s="29" t="s">
        <v>403</v>
      </c>
      <c r="F1293" s="29" t="str">
        <f>LOOKUP(A1293,'QALS - Inspection Lot Record'!A:A,'QALS - Inspection Lot Record'!G:G)</f>
        <v>GC197258</v>
      </c>
      <c r="G1293" s="59">
        <f ca="1">LOOKUP(A1293,'QALS - Inspection Lot Record'!A:A,'QALS - Inspection Lot Record'!E:E)</f>
        <v>45950</v>
      </c>
      <c r="H1293" s="34" t="str">
        <f t="shared" si="105"/>
        <v>A</v>
      </c>
      <c r="I1293" s="29" t="str">
        <f t="shared" si="101"/>
        <v>GC197258</v>
      </c>
      <c r="J1293" s="59">
        <f t="shared" ca="1" si="102"/>
        <v>45950</v>
      </c>
      <c r="K1293" s="30">
        <f ca="1">LOOKUP(A1293,'QALS - Inspection Lot Record'!A:A,'QALS - Inspection Lot Record'!I:I)</f>
        <v>0.25920138888888888</v>
      </c>
      <c r="L1293" s="59">
        <f t="shared" ca="1" si="103"/>
        <v>45950</v>
      </c>
      <c r="M1293" s="30">
        <f t="shared" ca="1" si="104"/>
        <v>0.28476851851851853</v>
      </c>
      <c r="N1293" s="31"/>
      <c r="O1293" s="31">
        <v>0.5</v>
      </c>
      <c r="P1293" s="29">
        <v>0</v>
      </c>
      <c r="Q1293" s="29">
        <v>1</v>
      </c>
    </row>
    <row r="1294" spans="1:17" x14ac:dyDescent="0.35">
      <c r="A1294" s="26">
        <v>40000002662</v>
      </c>
      <c r="B1294" s="31">
        <v>1</v>
      </c>
      <c r="C1294" s="29" t="str">
        <f>LOOKUP(A1294,'QALS - Inspection Lot Record'!$A$2:$A$361,'QALS - Inspection Lot Record'!$O$2:$O$361)</f>
        <v>Metformin Tablets (100 MG)</v>
      </c>
      <c r="D1294" s="31">
        <v>50</v>
      </c>
      <c r="E1294" s="29" t="s">
        <v>404</v>
      </c>
      <c r="F1294" s="29" t="str">
        <f>LOOKUP(A1294,'QALS - Inspection Lot Record'!A:A,'QALS - Inspection Lot Record'!G:G)</f>
        <v>GC197258</v>
      </c>
      <c r="G1294" s="59">
        <f ca="1">LOOKUP(A1294,'QALS - Inspection Lot Record'!A:A,'QALS - Inspection Lot Record'!E:E)</f>
        <v>45950</v>
      </c>
      <c r="H1294" s="34" t="str">
        <f t="shared" si="105"/>
        <v>A</v>
      </c>
      <c r="I1294" s="29" t="str">
        <f t="shared" si="101"/>
        <v>GC197258</v>
      </c>
      <c r="J1294" s="59">
        <f t="shared" ca="1" si="102"/>
        <v>45950</v>
      </c>
      <c r="K1294" s="30">
        <f ca="1">LOOKUP(A1294,'QALS - Inspection Lot Record'!A:A,'QALS - Inspection Lot Record'!I:I)</f>
        <v>0.25920138888888888</v>
      </c>
      <c r="L1294" s="59">
        <f t="shared" ca="1" si="103"/>
        <v>45950</v>
      </c>
      <c r="M1294" s="30">
        <f t="shared" ca="1" si="104"/>
        <v>0.28568287037037038</v>
      </c>
      <c r="N1294" s="31"/>
      <c r="O1294" s="31">
        <v>43.2</v>
      </c>
      <c r="P1294" s="29">
        <v>40</v>
      </c>
      <c r="Q1294" s="29">
        <v>60</v>
      </c>
    </row>
    <row r="1295" spans="1:17" x14ac:dyDescent="0.35">
      <c r="A1295" s="26">
        <v>40000002662</v>
      </c>
      <c r="B1295" s="31">
        <v>1</v>
      </c>
      <c r="C1295" s="29" t="str">
        <f>LOOKUP(A1295,'QALS - Inspection Lot Record'!$A$2:$A$361,'QALS - Inspection Lot Record'!$O$2:$O$361)</f>
        <v>Metformin Tablets (100 MG)</v>
      </c>
      <c r="D1295" s="31">
        <v>60</v>
      </c>
      <c r="E1295" s="29" t="s">
        <v>405</v>
      </c>
      <c r="F1295" s="29" t="str">
        <f>LOOKUP(A1295,'QALS - Inspection Lot Record'!A:A,'QALS - Inspection Lot Record'!G:G)</f>
        <v>GC197258</v>
      </c>
      <c r="G1295" s="59">
        <f ca="1">LOOKUP(A1295,'QALS - Inspection Lot Record'!A:A,'QALS - Inspection Lot Record'!E:E)</f>
        <v>45950</v>
      </c>
      <c r="H1295" s="34" t="str">
        <f t="shared" si="105"/>
        <v>R</v>
      </c>
      <c r="I1295" s="29" t="str">
        <f t="shared" si="101"/>
        <v>GC197258</v>
      </c>
      <c r="J1295" s="59">
        <f t="shared" ca="1" si="102"/>
        <v>45950</v>
      </c>
      <c r="K1295" s="30">
        <f ca="1">LOOKUP(A1295,'QALS - Inspection Lot Record'!A:A,'QALS - Inspection Lot Record'!I:I)</f>
        <v>0.25920138888888888</v>
      </c>
      <c r="L1295" s="59">
        <f t="shared" ca="1" si="103"/>
        <v>45950</v>
      </c>
      <c r="M1295" s="30">
        <f t="shared" ca="1" si="104"/>
        <v>0.27667824074074071</v>
      </c>
      <c r="N1295" s="31"/>
      <c r="O1295" s="31">
        <v>69</v>
      </c>
      <c r="P1295" s="29">
        <v>70</v>
      </c>
      <c r="Q1295" s="29">
        <v>85</v>
      </c>
    </row>
    <row r="1296" spans="1:17" x14ac:dyDescent="0.35">
      <c r="A1296" s="26">
        <v>40000002662</v>
      </c>
      <c r="B1296" s="31">
        <v>1</v>
      </c>
      <c r="C1296" s="29" t="str">
        <f>LOOKUP(A1296,'QALS - Inspection Lot Record'!$A$2:$A$361,'QALS - Inspection Lot Record'!$O$2:$O$361)</f>
        <v>Metformin Tablets (100 MG)</v>
      </c>
      <c r="D1296" s="31">
        <v>70</v>
      </c>
      <c r="E1296" s="29" t="s">
        <v>406</v>
      </c>
      <c r="F1296" s="29" t="str">
        <f>LOOKUP(A1296,'QALS - Inspection Lot Record'!A:A,'QALS - Inspection Lot Record'!G:G)</f>
        <v>GC197258</v>
      </c>
      <c r="G1296" s="59">
        <f ca="1">LOOKUP(A1296,'QALS - Inspection Lot Record'!A:A,'QALS - Inspection Lot Record'!E:E)</f>
        <v>45950</v>
      </c>
      <c r="H1296" s="34" t="str">
        <f t="shared" si="105"/>
        <v>R</v>
      </c>
      <c r="I1296" s="29" t="str">
        <f t="shared" si="101"/>
        <v>GC197258</v>
      </c>
      <c r="J1296" s="59">
        <f t="shared" ca="1" si="102"/>
        <v>45950</v>
      </c>
      <c r="K1296" s="30">
        <f ca="1">LOOKUP(A1296,'QALS - Inspection Lot Record'!A:A,'QALS - Inspection Lot Record'!I:I)</f>
        <v>0.25920138888888888</v>
      </c>
      <c r="L1296" s="59">
        <f t="shared" ca="1" si="103"/>
        <v>45950</v>
      </c>
      <c r="M1296" s="30">
        <f t="shared" ca="1" si="104"/>
        <v>0.2823148148148148</v>
      </c>
      <c r="N1296" s="31"/>
      <c r="O1296" s="31">
        <v>78.2</v>
      </c>
      <c r="P1296" s="29">
        <v>80</v>
      </c>
      <c r="Q1296" s="29">
        <v>90</v>
      </c>
    </row>
    <row r="1297" spans="1:17" x14ac:dyDescent="0.35">
      <c r="A1297" s="26">
        <v>40000002662</v>
      </c>
      <c r="B1297" s="31">
        <v>1</v>
      </c>
      <c r="C1297" s="29" t="str">
        <f>LOOKUP(A1297,'QALS - Inspection Lot Record'!$A$2:$A$361,'QALS - Inspection Lot Record'!$O$2:$O$361)</f>
        <v>Metformin Tablets (100 MG)</v>
      </c>
      <c r="D1297" s="31">
        <v>80</v>
      </c>
      <c r="E1297" s="29" t="s">
        <v>407</v>
      </c>
      <c r="F1297" s="29" t="str">
        <f>LOOKUP(A1297,'QALS - Inspection Lot Record'!A:A,'QALS - Inspection Lot Record'!G:G)</f>
        <v>GC197258</v>
      </c>
      <c r="G1297" s="59">
        <f ca="1">LOOKUP(A1297,'QALS - Inspection Lot Record'!A:A,'QALS - Inspection Lot Record'!E:E)</f>
        <v>45950</v>
      </c>
      <c r="H1297" s="34" t="str">
        <f t="shared" si="105"/>
        <v>A</v>
      </c>
      <c r="I1297" s="29" t="str">
        <f t="shared" si="101"/>
        <v>GC197258</v>
      </c>
      <c r="J1297" s="59">
        <f t="shared" ca="1" si="102"/>
        <v>45950</v>
      </c>
      <c r="K1297" s="30">
        <f ca="1">LOOKUP(A1297,'QALS - Inspection Lot Record'!A:A,'QALS - Inspection Lot Record'!I:I)</f>
        <v>0.25920138888888888</v>
      </c>
      <c r="L1297" s="59">
        <f t="shared" ca="1" si="103"/>
        <v>45950</v>
      </c>
      <c r="M1297" s="30">
        <f t="shared" ca="1" si="104"/>
        <v>0.2785185185185185</v>
      </c>
      <c r="N1297" s="31"/>
      <c r="O1297" s="31">
        <v>24.3</v>
      </c>
      <c r="P1297" s="29">
        <v>23</v>
      </c>
      <c r="Q1297" s="29">
        <v>25</v>
      </c>
    </row>
    <row r="1298" spans="1:17" x14ac:dyDescent="0.35">
      <c r="A1298" s="26">
        <v>40000002663</v>
      </c>
      <c r="B1298" s="27">
        <v>1</v>
      </c>
      <c r="C1298" s="29" t="str">
        <f>LOOKUP(A1298,'QALS - Inspection Lot Record'!$A$2:$A$361,'QALS - Inspection Lot Record'!$O$2:$O$361)</f>
        <v>Aspirin Tablets (500 MG)</v>
      </c>
      <c r="D1298" s="27">
        <v>10</v>
      </c>
      <c r="E1298" s="26" t="s">
        <v>399</v>
      </c>
      <c r="F1298" s="29" t="str">
        <f>LOOKUP(A1298,'QALS - Inspection Lot Record'!A:A,'QALS - Inspection Lot Record'!G:G)</f>
        <v>TP397880</v>
      </c>
      <c r="G1298" s="59">
        <f ca="1">LOOKUP(A1298,'QALS - Inspection Lot Record'!A:A,'QALS - Inspection Lot Record'!E:E)</f>
        <v>45951</v>
      </c>
      <c r="H1298" s="34" t="str">
        <f t="shared" si="105"/>
        <v>A</v>
      </c>
      <c r="I1298" s="29" t="str">
        <f t="shared" si="101"/>
        <v>TP397880</v>
      </c>
      <c r="J1298" s="59">
        <f t="shared" ca="1" si="102"/>
        <v>45951</v>
      </c>
      <c r="K1298" s="30">
        <f ca="1">LOOKUP(A1298,'QALS - Inspection Lot Record'!A:A,'QALS - Inspection Lot Record'!I:I)</f>
        <v>0.95247685185185182</v>
      </c>
      <c r="L1298" s="59">
        <f t="shared" ca="1" si="103"/>
        <v>45951</v>
      </c>
      <c r="M1298" s="30">
        <f t="shared" ca="1" si="104"/>
        <v>0.97024305555555557</v>
      </c>
      <c r="N1298" s="31"/>
      <c r="O1298" s="31">
        <v>100</v>
      </c>
      <c r="P1298" s="29">
        <v>95</v>
      </c>
      <c r="Q1298" s="29">
        <v>105</v>
      </c>
    </row>
    <row r="1299" spans="1:17" x14ac:dyDescent="0.35">
      <c r="A1299" s="26">
        <v>40000002663</v>
      </c>
      <c r="B1299" s="27">
        <v>1</v>
      </c>
      <c r="C1299" s="29" t="str">
        <f>LOOKUP(A1299,'QALS - Inspection Lot Record'!$A$2:$A$361,'QALS - Inspection Lot Record'!$O$2:$O$361)</f>
        <v>Aspirin Tablets (500 MG)</v>
      </c>
      <c r="D1299" s="31">
        <v>20</v>
      </c>
      <c r="E1299" s="29" t="s">
        <v>400</v>
      </c>
      <c r="F1299" s="29" t="str">
        <f>LOOKUP(A1299,'QALS - Inspection Lot Record'!A:A,'QALS - Inspection Lot Record'!G:G)</f>
        <v>TP397880</v>
      </c>
      <c r="G1299" s="59">
        <f ca="1">LOOKUP(A1299,'QALS - Inspection Lot Record'!A:A,'QALS - Inspection Lot Record'!E:E)</f>
        <v>45951</v>
      </c>
      <c r="H1299" s="34" t="str">
        <f t="shared" si="105"/>
        <v>A</v>
      </c>
      <c r="I1299" s="29" t="str">
        <f t="shared" si="101"/>
        <v>TP397880</v>
      </c>
      <c r="J1299" s="59">
        <f t="shared" ca="1" si="102"/>
        <v>45951</v>
      </c>
      <c r="K1299" s="30">
        <f ca="1">LOOKUP(A1299,'QALS - Inspection Lot Record'!A:A,'QALS - Inspection Lot Record'!I:I)</f>
        <v>0.95247685185185182</v>
      </c>
      <c r="L1299" s="59">
        <f t="shared" ca="1" si="103"/>
        <v>45951</v>
      </c>
      <c r="M1299" s="30">
        <f t="shared" ca="1" si="104"/>
        <v>0.97887731481481477</v>
      </c>
      <c r="N1299" s="31"/>
      <c r="O1299" s="31">
        <v>7.25</v>
      </c>
      <c r="P1299" s="29">
        <v>3.5</v>
      </c>
      <c r="Q1299" s="29">
        <v>11</v>
      </c>
    </row>
    <row r="1300" spans="1:17" x14ac:dyDescent="0.35">
      <c r="A1300" s="26">
        <v>40000002663</v>
      </c>
      <c r="B1300" s="31">
        <v>1</v>
      </c>
      <c r="C1300" s="29" t="str">
        <f>LOOKUP(A1300,'QALS - Inspection Lot Record'!$A$2:$A$361,'QALS - Inspection Lot Record'!$O$2:$O$361)</f>
        <v>Aspirin Tablets (500 MG)</v>
      </c>
      <c r="D1300" s="31">
        <v>30</v>
      </c>
      <c r="E1300" s="29" t="s">
        <v>401</v>
      </c>
      <c r="F1300" s="29" t="str">
        <f>LOOKUP(A1300,'QALS - Inspection Lot Record'!A:A,'QALS - Inspection Lot Record'!G:G)</f>
        <v>TP397880</v>
      </c>
      <c r="G1300" s="59">
        <f ca="1">LOOKUP(A1300,'QALS - Inspection Lot Record'!A:A,'QALS - Inspection Lot Record'!E:E)</f>
        <v>45951</v>
      </c>
      <c r="H1300" s="34" t="str">
        <f t="shared" si="105"/>
        <v>A</v>
      </c>
      <c r="I1300" s="29" t="str">
        <f t="shared" si="101"/>
        <v>TP397880</v>
      </c>
      <c r="J1300" s="59">
        <f t="shared" ca="1" si="102"/>
        <v>45951</v>
      </c>
      <c r="K1300" s="30">
        <f ca="1">LOOKUP(A1300,'QALS - Inspection Lot Record'!A:A,'QALS - Inspection Lot Record'!I:I)</f>
        <v>0.95247685185185182</v>
      </c>
      <c r="L1300" s="59">
        <f t="shared" ca="1" si="103"/>
        <v>45951</v>
      </c>
      <c r="M1300" s="30">
        <f t="shared" ca="1" si="104"/>
        <v>0.97665509259259253</v>
      </c>
      <c r="N1300" s="11" t="s">
        <v>402</v>
      </c>
      <c r="O1300" s="31"/>
      <c r="P1300" s="29"/>
      <c r="Q1300" s="29"/>
    </row>
    <row r="1301" spans="1:17" x14ac:dyDescent="0.35">
      <c r="A1301" s="26">
        <v>40000002663</v>
      </c>
      <c r="B1301" s="31">
        <v>1</v>
      </c>
      <c r="C1301" s="29" t="str">
        <f>LOOKUP(A1301,'QALS - Inspection Lot Record'!$A$2:$A$361,'QALS - Inspection Lot Record'!$O$2:$O$361)</f>
        <v>Aspirin Tablets (500 MG)</v>
      </c>
      <c r="D1301" s="31">
        <v>40</v>
      </c>
      <c r="E1301" s="29" t="s">
        <v>403</v>
      </c>
      <c r="F1301" s="29" t="str">
        <f>LOOKUP(A1301,'QALS - Inspection Lot Record'!A:A,'QALS - Inspection Lot Record'!G:G)</f>
        <v>TP397880</v>
      </c>
      <c r="G1301" s="59">
        <f ca="1">LOOKUP(A1301,'QALS - Inspection Lot Record'!A:A,'QALS - Inspection Lot Record'!E:E)</f>
        <v>45951</v>
      </c>
      <c r="H1301" s="34" t="str">
        <f t="shared" si="105"/>
        <v>A</v>
      </c>
      <c r="I1301" s="29" t="str">
        <f t="shared" si="101"/>
        <v>TP397880</v>
      </c>
      <c r="J1301" s="59">
        <f t="shared" ca="1" si="102"/>
        <v>45951</v>
      </c>
      <c r="K1301" s="30">
        <f ca="1">LOOKUP(A1301,'QALS - Inspection Lot Record'!A:A,'QALS - Inspection Lot Record'!I:I)</f>
        <v>0.95247685185185182</v>
      </c>
      <c r="L1301" s="59">
        <f t="shared" ca="1" si="103"/>
        <v>45951</v>
      </c>
      <c r="M1301" s="30">
        <f t="shared" ca="1" si="104"/>
        <v>0.9783680555555555</v>
      </c>
      <c r="N1301" s="31"/>
      <c r="O1301" s="31">
        <v>0</v>
      </c>
      <c r="P1301" s="29">
        <v>0</v>
      </c>
      <c r="Q1301" s="29">
        <v>2.5</v>
      </c>
    </row>
    <row r="1302" spans="1:17" x14ac:dyDescent="0.35">
      <c r="A1302" s="26">
        <v>40000002663</v>
      </c>
      <c r="B1302" s="31">
        <v>1</v>
      </c>
      <c r="C1302" s="29" t="str">
        <f>LOOKUP(A1302,'QALS - Inspection Lot Record'!$A$2:$A$361,'QALS - Inspection Lot Record'!$O$2:$O$361)</f>
        <v>Aspirin Tablets (500 MG)</v>
      </c>
      <c r="D1302" s="31">
        <v>50</v>
      </c>
      <c r="E1302" s="29" t="s">
        <v>404</v>
      </c>
      <c r="F1302" s="29" t="str">
        <f>LOOKUP(A1302,'QALS - Inspection Lot Record'!A:A,'QALS - Inspection Lot Record'!G:G)</f>
        <v>TP397880</v>
      </c>
      <c r="G1302" s="59">
        <f ca="1">LOOKUP(A1302,'QALS - Inspection Lot Record'!A:A,'QALS - Inspection Lot Record'!E:E)</f>
        <v>45951</v>
      </c>
      <c r="H1302" s="34" t="str">
        <f t="shared" si="105"/>
        <v>A</v>
      </c>
      <c r="I1302" s="29" t="str">
        <f t="shared" si="101"/>
        <v>TP397880</v>
      </c>
      <c r="J1302" s="59">
        <f t="shared" ca="1" si="102"/>
        <v>45951</v>
      </c>
      <c r="K1302" s="30">
        <f ca="1">LOOKUP(A1302,'QALS - Inspection Lot Record'!A:A,'QALS - Inspection Lot Record'!I:I)</f>
        <v>0.95247685185185182</v>
      </c>
      <c r="L1302" s="59">
        <f t="shared" ca="1" si="103"/>
        <v>45951</v>
      </c>
      <c r="M1302" s="30">
        <f t="shared" ca="1" si="104"/>
        <v>0.97145833333333331</v>
      </c>
      <c r="N1302" s="31"/>
      <c r="O1302" s="31">
        <v>50</v>
      </c>
      <c r="P1302" s="29">
        <v>40</v>
      </c>
      <c r="Q1302" s="29">
        <v>60</v>
      </c>
    </row>
    <row r="1303" spans="1:17" x14ac:dyDescent="0.35">
      <c r="A1303" s="26">
        <v>40000002663</v>
      </c>
      <c r="B1303" s="31">
        <v>1</v>
      </c>
      <c r="C1303" s="29" t="str">
        <f>LOOKUP(A1303,'QALS - Inspection Lot Record'!$A$2:$A$361,'QALS - Inspection Lot Record'!$O$2:$O$361)</f>
        <v>Aspirin Tablets (500 MG)</v>
      </c>
      <c r="D1303" s="31">
        <v>60</v>
      </c>
      <c r="E1303" s="29" t="s">
        <v>405</v>
      </c>
      <c r="F1303" s="29" t="str">
        <f>LOOKUP(A1303,'QALS - Inspection Lot Record'!A:A,'QALS - Inspection Lot Record'!G:G)</f>
        <v>TP397880</v>
      </c>
      <c r="G1303" s="59">
        <f ca="1">LOOKUP(A1303,'QALS - Inspection Lot Record'!A:A,'QALS - Inspection Lot Record'!E:E)</f>
        <v>45951</v>
      </c>
      <c r="H1303" s="34" t="str">
        <f t="shared" si="105"/>
        <v>A</v>
      </c>
      <c r="I1303" s="29" t="str">
        <f t="shared" si="101"/>
        <v>TP397880</v>
      </c>
      <c r="J1303" s="59">
        <f t="shared" ca="1" si="102"/>
        <v>45951</v>
      </c>
      <c r="K1303" s="30">
        <f ca="1">LOOKUP(A1303,'QALS - Inspection Lot Record'!A:A,'QALS - Inspection Lot Record'!I:I)</f>
        <v>0.95247685185185182</v>
      </c>
      <c r="L1303" s="59">
        <f t="shared" ca="1" si="103"/>
        <v>45951</v>
      </c>
      <c r="M1303" s="30">
        <f t="shared" ca="1" si="104"/>
        <v>0.97104166666666669</v>
      </c>
      <c r="N1303" s="31"/>
      <c r="O1303" s="31">
        <v>77.5</v>
      </c>
      <c r="P1303" s="29">
        <v>70</v>
      </c>
      <c r="Q1303" s="29">
        <v>85</v>
      </c>
    </row>
    <row r="1304" spans="1:17" x14ac:dyDescent="0.35">
      <c r="A1304" s="26">
        <v>40000002663</v>
      </c>
      <c r="B1304" s="31">
        <v>1</v>
      </c>
      <c r="C1304" s="29" t="str">
        <f>LOOKUP(A1304,'QALS - Inspection Lot Record'!$A$2:$A$361,'QALS - Inspection Lot Record'!$O$2:$O$361)</f>
        <v>Aspirin Tablets (500 MG)</v>
      </c>
      <c r="D1304" s="31">
        <v>70</v>
      </c>
      <c r="E1304" s="29" t="s">
        <v>406</v>
      </c>
      <c r="F1304" s="29" t="str">
        <f>LOOKUP(A1304,'QALS - Inspection Lot Record'!A:A,'QALS - Inspection Lot Record'!G:G)</f>
        <v>TP397880</v>
      </c>
      <c r="G1304" s="59">
        <f ca="1">LOOKUP(A1304,'QALS - Inspection Lot Record'!A:A,'QALS - Inspection Lot Record'!E:E)</f>
        <v>45951</v>
      </c>
      <c r="H1304" s="34" t="str">
        <f t="shared" si="105"/>
        <v>A</v>
      </c>
      <c r="I1304" s="29" t="str">
        <f t="shared" si="101"/>
        <v>TP397880</v>
      </c>
      <c r="J1304" s="59">
        <f t="shared" ca="1" si="102"/>
        <v>45951</v>
      </c>
      <c r="K1304" s="30">
        <f ca="1">LOOKUP(A1304,'QALS - Inspection Lot Record'!A:A,'QALS - Inspection Lot Record'!I:I)</f>
        <v>0.95247685185185182</v>
      </c>
      <c r="L1304" s="59">
        <f t="shared" ca="1" si="103"/>
        <v>45951</v>
      </c>
      <c r="M1304" s="30">
        <f t="shared" ca="1" si="104"/>
        <v>0.97310185185185183</v>
      </c>
      <c r="N1304" s="31"/>
      <c r="O1304" s="31">
        <v>85</v>
      </c>
      <c r="P1304" s="29">
        <v>80</v>
      </c>
      <c r="Q1304" s="29">
        <v>90</v>
      </c>
    </row>
    <row r="1305" spans="1:17" x14ac:dyDescent="0.35">
      <c r="A1305" s="26">
        <v>40000002663</v>
      </c>
      <c r="B1305" s="31">
        <v>1</v>
      </c>
      <c r="C1305" s="29" t="str">
        <f>LOOKUP(A1305,'QALS - Inspection Lot Record'!$A$2:$A$361,'QALS - Inspection Lot Record'!$O$2:$O$361)</f>
        <v>Aspirin Tablets (500 MG)</v>
      </c>
      <c r="D1305" s="31">
        <v>80</v>
      </c>
      <c r="E1305" s="29" t="s">
        <v>407</v>
      </c>
      <c r="F1305" s="29" t="str">
        <f>LOOKUP(A1305,'QALS - Inspection Lot Record'!A:A,'QALS - Inspection Lot Record'!G:G)</f>
        <v>TP397880</v>
      </c>
      <c r="G1305" s="59">
        <f ca="1">LOOKUP(A1305,'QALS - Inspection Lot Record'!A:A,'QALS - Inspection Lot Record'!E:E)</f>
        <v>45951</v>
      </c>
      <c r="H1305" s="34" t="str">
        <f t="shared" si="105"/>
        <v>A</v>
      </c>
      <c r="I1305" s="29" t="str">
        <f t="shared" si="101"/>
        <v>TP397880</v>
      </c>
      <c r="J1305" s="59">
        <f t="shared" ca="1" si="102"/>
        <v>45951</v>
      </c>
      <c r="K1305" s="30">
        <f ca="1">LOOKUP(A1305,'QALS - Inspection Lot Record'!A:A,'QALS - Inspection Lot Record'!I:I)</f>
        <v>0.95247685185185182</v>
      </c>
      <c r="L1305" s="59">
        <f t="shared" ca="1" si="103"/>
        <v>45951</v>
      </c>
      <c r="M1305" s="30">
        <f t="shared" ca="1" si="104"/>
        <v>0.97241898148148143</v>
      </c>
      <c r="N1305" s="31"/>
      <c r="O1305" s="31">
        <v>25.5</v>
      </c>
      <c r="P1305" s="29">
        <v>23</v>
      </c>
      <c r="Q1305" s="29">
        <v>28</v>
      </c>
    </row>
    <row r="1306" spans="1:17" x14ac:dyDescent="0.35">
      <c r="A1306" s="26">
        <v>40000002664</v>
      </c>
      <c r="B1306" s="27">
        <v>1</v>
      </c>
      <c r="C1306" s="29" t="str">
        <f>LOOKUP(A1306,'QALS - Inspection Lot Record'!$A$2:$A$361,'QALS - Inspection Lot Record'!$O$2:$O$361)</f>
        <v>Metformin Tablets (500 MG)</v>
      </c>
      <c r="D1306" s="27">
        <v>10</v>
      </c>
      <c r="E1306" s="26" t="s">
        <v>399</v>
      </c>
      <c r="F1306" s="29" t="str">
        <f>LOOKUP(A1306,'QALS - Inspection Lot Record'!A:A,'QALS - Inspection Lot Record'!G:G)</f>
        <v>TG509538</v>
      </c>
      <c r="G1306" s="59">
        <f ca="1">LOOKUP(A1306,'QALS - Inspection Lot Record'!A:A,'QALS - Inspection Lot Record'!E:E)</f>
        <v>45951</v>
      </c>
      <c r="H1306" s="34" t="str">
        <f t="shared" si="105"/>
        <v>A</v>
      </c>
      <c r="I1306" s="29" t="str">
        <f t="shared" si="101"/>
        <v>TG509538</v>
      </c>
      <c r="J1306" s="59">
        <f t="shared" ca="1" si="102"/>
        <v>45951</v>
      </c>
      <c r="K1306" s="30">
        <f ca="1">LOOKUP(A1306,'QALS - Inspection Lot Record'!A:A,'QALS - Inspection Lot Record'!I:I)</f>
        <v>0.27777777777777779</v>
      </c>
      <c r="L1306" s="59">
        <f t="shared" ca="1" si="103"/>
        <v>45951</v>
      </c>
      <c r="M1306" s="30">
        <f t="shared" ca="1" si="104"/>
        <v>0.30805555555555558</v>
      </c>
      <c r="N1306" s="31"/>
      <c r="O1306" s="31">
        <v>100</v>
      </c>
      <c r="P1306" s="29">
        <v>95</v>
      </c>
      <c r="Q1306" s="29">
        <v>105</v>
      </c>
    </row>
    <row r="1307" spans="1:17" x14ac:dyDescent="0.35">
      <c r="A1307" s="26">
        <v>40000002664</v>
      </c>
      <c r="B1307" s="27">
        <v>1</v>
      </c>
      <c r="C1307" s="29" t="str">
        <f>LOOKUP(A1307,'QALS - Inspection Lot Record'!$A$2:$A$361,'QALS - Inspection Lot Record'!$O$2:$O$361)</f>
        <v>Metformin Tablets (500 MG)</v>
      </c>
      <c r="D1307" s="31">
        <v>20</v>
      </c>
      <c r="E1307" s="29" t="s">
        <v>400</v>
      </c>
      <c r="F1307" s="29" t="str">
        <f>LOOKUP(A1307,'QALS - Inspection Lot Record'!A:A,'QALS - Inspection Lot Record'!G:G)</f>
        <v>TG509538</v>
      </c>
      <c r="G1307" s="59">
        <f ca="1">LOOKUP(A1307,'QALS - Inspection Lot Record'!A:A,'QALS - Inspection Lot Record'!E:E)</f>
        <v>45951</v>
      </c>
      <c r="H1307" s="34" t="str">
        <f t="shared" si="105"/>
        <v>A</v>
      </c>
      <c r="I1307" s="29" t="str">
        <f t="shared" si="101"/>
        <v>TG509538</v>
      </c>
      <c r="J1307" s="59">
        <f t="shared" ca="1" si="102"/>
        <v>45951</v>
      </c>
      <c r="K1307" s="30">
        <f ca="1">LOOKUP(A1307,'QALS - Inspection Lot Record'!A:A,'QALS - Inspection Lot Record'!I:I)</f>
        <v>0.27777777777777779</v>
      </c>
      <c r="L1307" s="59">
        <f t="shared" ca="1" si="103"/>
        <v>45951</v>
      </c>
      <c r="M1307" s="30">
        <f t="shared" ca="1" si="104"/>
        <v>0.29829861111111111</v>
      </c>
      <c r="N1307" s="31"/>
      <c r="O1307" s="31">
        <v>7.3</v>
      </c>
      <c r="P1307" s="29">
        <v>3.5</v>
      </c>
      <c r="Q1307" s="29">
        <v>11</v>
      </c>
    </row>
    <row r="1308" spans="1:17" x14ac:dyDescent="0.35">
      <c r="A1308" s="26">
        <v>40000002664</v>
      </c>
      <c r="B1308" s="31">
        <v>1</v>
      </c>
      <c r="C1308" s="29" t="str">
        <f>LOOKUP(A1308,'QALS - Inspection Lot Record'!$A$2:$A$361,'QALS - Inspection Lot Record'!$O$2:$O$361)</f>
        <v>Metformin Tablets (500 MG)</v>
      </c>
      <c r="D1308" s="31">
        <v>30</v>
      </c>
      <c r="E1308" s="29" t="s">
        <v>401</v>
      </c>
      <c r="F1308" s="29" t="str">
        <f>LOOKUP(A1308,'QALS - Inspection Lot Record'!A:A,'QALS - Inspection Lot Record'!G:G)</f>
        <v>TG509538</v>
      </c>
      <c r="G1308" s="59">
        <f ca="1">LOOKUP(A1308,'QALS - Inspection Lot Record'!A:A,'QALS - Inspection Lot Record'!E:E)</f>
        <v>45951</v>
      </c>
      <c r="H1308" s="34" t="str">
        <f t="shared" si="105"/>
        <v>A</v>
      </c>
      <c r="I1308" s="29" t="str">
        <f t="shared" si="101"/>
        <v>TG509538</v>
      </c>
      <c r="J1308" s="59">
        <f t="shared" ca="1" si="102"/>
        <v>45951</v>
      </c>
      <c r="K1308" s="30">
        <f ca="1">LOOKUP(A1308,'QALS - Inspection Lot Record'!A:A,'QALS - Inspection Lot Record'!I:I)</f>
        <v>0.27777777777777779</v>
      </c>
      <c r="L1308" s="59">
        <f t="shared" ca="1" si="103"/>
        <v>45951</v>
      </c>
      <c r="M1308" s="30">
        <f t="shared" ca="1" si="104"/>
        <v>0.30343750000000003</v>
      </c>
      <c r="N1308" s="11" t="s">
        <v>402</v>
      </c>
      <c r="O1308" s="31"/>
      <c r="P1308" s="29"/>
      <c r="Q1308" s="29"/>
    </row>
    <row r="1309" spans="1:17" x14ac:dyDescent="0.35">
      <c r="A1309" s="26">
        <v>40000002664</v>
      </c>
      <c r="B1309" s="31">
        <v>1</v>
      </c>
      <c r="C1309" s="29" t="str">
        <f>LOOKUP(A1309,'QALS - Inspection Lot Record'!$A$2:$A$361,'QALS - Inspection Lot Record'!$O$2:$O$361)</f>
        <v>Metformin Tablets (500 MG)</v>
      </c>
      <c r="D1309" s="31">
        <v>40</v>
      </c>
      <c r="E1309" s="29" t="s">
        <v>403</v>
      </c>
      <c r="F1309" s="29" t="str">
        <f>LOOKUP(A1309,'QALS - Inspection Lot Record'!A:A,'QALS - Inspection Lot Record'!G:G)</f>
        <v>TG509538</v>
      </c>
      <c r="G1309" s="59">
        <f ca="1">LOOKUP(A1309,'QALS - Inspection Lot Record'!A:A,'QALS - Inspection Lot Record'!E:E)</f>
        <v>45951</v>
      </c>
      <c r="H1309" s="34" t="str">
        <f t="shared" si="105"/>
        <v>A</v>
      </c>
      <c r="I1309" s="29" t="str">
        <f t="shared" si="101"/>
        <v>TG509538</v>
      </c>
      <c r="J1309" s="59">
        <f t="shared" ca="1" si="102"/>
        <v>45951</v>
      </c>
      <c r="K1309" s="30">
        <f ca="1">LOOKUP(A1309,'QALS - Inspection Lot Record'!A:A,'QALS - Inspection Lot Record'!I:I)</f>
        <v>0.27777777777777779</v>
      </c>
      <c r="L1309" s="59">
        <f t="shared" ca="1" si="103"/>
        <v>45951</v>
      </c>
      <c r="M1309" s="30">
        <f t="shared" ca="1" si="104"/>
        <v>0.30062500000000003</v>
      </c>
      <c r="N1309" s="31"/>
      <c r="O1309" s="31">
        <v>1</v>
      </c>
      <c r="P1309" s="29">
        <v>0</v>
      </c>
      <c r="Q1309" s="29">
        <v>2</v>
      </c>
    </row>
    <row r="1310" spans="1:17" x14ac:dyDescent="0.35">
      <c r="A1310" s="26">
        <v>40000002664</v>
      </c>
      <c r="B1310" s="31">
        <v>1</v>
      </c>
      <c r="C1310" s="29" t="str">
        <f>LOOKUP(A1310,'QALS - Inspection Lot Record'!$A$2:$A$361,'QALS - Inspection Lot Record'!$O$2:$O$361)</f>
        <v>Metformin Tablets (500 MG)</v>
      </c>
      <c r="D1310" s="31">
        <v>50</v>
      </c>
      <c r="E1310" s="29" t="s">
        <v>404</v>
      </c>
      <c r="F1310" s="29" t="str">
        <f>LOOKUP(A1310,'QALS - Inspection Lot Record'!A:A,'QALS - Inspection Lot Record'!G:G)</f>
        <v>TG509538</v>
      </c>
      <c r="G1310" s="59">
        <f ca="1">LOOKUP(A1310,'QALS - Inspection Lot Record'!A:A,'QALS - Inspection Lot Record'!E:E)</f>
        <v>45951</v>
      </c>
      <c r="H1310" s="34" t="str">
        <f t="shared" si="105"/>
        <v>A</v>
      </c>
      <c r="I1310" s="29" t="str">
        <f t="shared" si="101"/>
        <v>TG509538</v>
      </c>
      <c r="J1310" s="59">
        <f t="shared" ca="1" si="102"/>
        <v>45951</v>
      </c>
      <c r="K1310" s="30">
        <f ca="1">LOOKUP(A1310,'QALS - Inspection Lot Record'!A:A,'QALS - Inspection Lot Record'!I:I)</f>
        <v>0.27777777777777779</v>
      </c>
      <c r="L1310" s="59">
        <f t="shared" ca="1" si="103"/>
        <v>45951</v>
      </c>
      <c r="M1310" s="30">
        <f t="shared" ca="1" si="104"/>
        <v>0.29870370370370369</v>
      </c>
      <c r="N1310" s="31"/>
      <c r="O1310" s="31">
        <v>50</v>
      </c>
      <c r="P1310" s="29">
        <v>40</v>
      </c>
      <c r="Q1310" s="29">
        <v>60</v>
      </c>
    </row>
    <row r="1311" spans="1:17" x14ac:dyDescent="0.35">
      <c r="A1311" s="26">
        <v>40000002664</v>
      </c>
      <c r="B1311" s="31">
        <v>1</v>
      </c>
      <c r="C1311" s="29" t="str">
        <f>LOOKUP(A1311,'QALS - Inspection Lot Record'!$A$2:$A$361,'QALS - Inspection Lot Record'!$O$2:$O$361)</f>
        <v>Metformin Tablets (500 MG)</v>
      </c>
      <c r="D1311" s="31">
        <v>60</v>
      </c>
      <c r="E1311" s="29" t="s">
        <v>405</v>
      </c>
      <c r="F1311" s="29" t="str">
        <f>LOOKUP(A1311,'QALS - Inspection Lot Record'!A:A,'QALS - Inspection Lot Record'!G:G)</f>
        <v>TG509538</v>
      </c>
      <c r="G1311" s="59">
        <f ca="1">LOOKUP(A1311,'QALS - Inspection Lot Record'!A:A,'QALS - Inspection Lot Record'!E:E)</f>
        <v>45951</v>
      </c>
      <c r="H1311" s="34" t="str">
        <f t="shared" si="105"/>
        <v>A</v>
      </c>
      <c r="I1311" s="29" t="str">
        <f t="shared" si="101"/>
        <v>TG509538</v>
      </c>
      <c r="J1311" s="59">
        <f t="shared" ca="1" si="102"/>
        <v>45951</v>
      </c>
      <c r="K1311" s="30">
        <f ca="1">LOOKUP(A1311,'QALS - Inspection Lot Record'!A:A,'QALS - Inspection Lot Record'!I:I)</f>
        <v>0.27777777777777779</v>
      </c>
      <c r="L1311" s="59">
        <f t="shared" ca="1" si="103"/>
        <v>45951</v>
      </c>
      <c r="M1311" s="30">
        <f t="shared" ca="1" si="104"/>
        <v>0.30694444444444446</v>
      </c>
      <c r="N1311" s="31"/>
      <c r="O1311" s="31">
        <v>77.5</v>
      </c>
      <c r="P1311" s="29">
        <v>70</v>
      </c>
      <c r="Q1311" s="29">
        <v>85</v>
      </c>
    </row>
    <row r="1312" spans="1:17" x14ac:dyDescent="0.35">
      <c r="A1312" s="26">
        <v>40000002664</v>
      </c>
      <c r="B1312" s="31">
        <v>1</v>
      </c>
      <c r="C1312" s="29" t="str">
        <f>LOOKUP(A1312,'QALS - Inspection Lot Record'!$A$2:$A$361,'QALS - Inspection Lot Record'!$O$2:$O$361)</f>
        <v>Metformin Tablets (500 MG)</v>
      </c>
      <c r="D1312" s="31">
        <v>70</v>
      </c>
      <c r="E1312" s="29" t="s">
        <v>406</v>
      </c>
      <c r="F1312" s="29" t="str">
        <f>LOOKUP(A1312,'QALS - Inspection Lot Record'!A:A,'QALS - Inspection Lot Record'!G:G)</f>
        <v>TG509538</v>
      </c>
      <c r="G1312" s="59">
        <f ca="1">LOOKUP(A1312,'QALS - Inspection Lot Record'!A:A,'QALS - Inspection Lot Record'!E:E)</f>
        <v>45951</v>
      </c>
      <c r="H1312" s="34" t="str">
        <f t="shared" si="105"/>
        <v>A</v>
      </c>
      <c r="I1312" s="29" t="str">
        <f t="shared" si="101"/>
        <v>TG509538</v>
      </c>
      <c r="J1312" s="59">
        <f t="shared" ca="1" si="102"/>
        <v>45951</v>
      </c>
      <c r="K1312" s="30">
        <f ca="1">LOOKUP(A1312,'QALS - Inspection Lot Record'!A:A,'QALS - Inspection Lot Record'!I:I)</f>
        <v>0.27777777777777779</v>
      </c>
      <c r="L1312" s="59">
        <f t="shared" ca="1" si="103"/>
        <v>45951</v>
      </c>
      <c r="M1312" s="30">
        <f t="shared" ca="1" si="104"/>
        <v>0.29525462962962962</v>
      </c>
      <c r="N1312" s="31"/>
      <c r="O1312" s="31">
        <v>81.3</v>
      </c>
      <c r="P1312" s="29">
        <v>80</v>
      </c>
      <c r="Q1312" s="29">
        <v>90</v>
      </c>
    </row>
    <row r="1313" spans="1:17" x14ac:dyDescent="0.35">
      <c r="A1313" s="26">
        <v>40000002664</v>
      </c>
      <c r="B1313" s="31">
        <v>1</v>
      </c>
      <c r="C1313" s="29" t="str">
        <f>LOOKUP(A1313,'QALS - Inspection Lot Record'!$A$2:$A$361,'QALS - Inspection Lot Record'!$O$2:$O$361)</f>
        <v>Metformin Tablets (500 MG)</v>
      </c>
      <c r="D1313" s="31">
        <v>80</v>
      </c>
      <c r="E1313" s="29" t="s">
        <v>407</v>
      </c>
      <c r="F1313" s="29" t="str">
        <f>LOOKUP(A1313,'QALS - Inspection Lot Record'!A:A,'QALS - Inspection Lot Record'!G:G)</f>
        <v>TG509538</v>
      </c>
      <c r="G1313" s="59">
        <f ca="1">LOOKUP(A1313,'QALS - Inspection Lot Record'!A:A,'QALS - Inspection Lot Record'!E:E)</f>
        <v>45951</v>
      </c>
      <c r="H1313" s="34" t="str">
        <f t="shared" si="105"/>
        <v>A</v>
      </c>
      <c r="I1313" s="29" t="str">
        <f t="shared" si="101"/>
        <v>TG509538</v>
      </c>
      <c r="J1313" s="59">
        <f t="shared" ca="1" si="102"/>
        <v>45951</v>
      </c>
      <c r="K1313" s="30">
        <f ca="1">LOOKUP(A1313,'QALS - Inspection Lot Record'!A:A,'QALS - Inspection Lot Record'!I:I)</f>
        <v>0.27777777777777779</v>
      </c>
      <c r="L1313" s="59">
        <f t="shared" ca="1" si="103"/>
        <v>45951</v>
      </c>
      <c r="M1313" s="30">
        <f t="shared" ca="1" si="104"/>
        <v>0.29940972222222223</v>
      </c>
      <c r="N1313" s="31"/>
      <c r="O1313" s="31">
        <v>25.5</v>
      </c>
      <c r="P1313" s="29">
        <v>23</v>
      </c>
      <c r="Q1313" s="29">
        <v>28</v>
      </c>
    </row>
    <row r="1314" spans="1:17" x14ac:dyDescent="0.35">
      <c r="A1314" s="26">
        <v>40000002665</v>
      </c>
      <c r="B1314" s="27">
        <v>1</v>
      </c>
      <c r="C1314" s="29" t="str">
        <f>LOOKUP(A1314,'QALS - Inspection Lot Record'!$A$2:$A$361,'QALS - Inspection Lot Record'!$O$2:$O$361)</f>
        <v>Ibuprofen Tablets (100 MG)</v>
      </c>
      <c r="D1314" s="27">
        <v>10</v>
      </c>
      <c r="E1314" s="26" t="s">
        <v>399</v>
      </c>
      <c r="F1314" s="29" t="str">
        <f>LOOKUP(A1314,'QALS - Inspection Lot Record'!A:A,'QALS - Inspection Lot Record'!G:G)</f>
        <v>AB406550</v>
      </c>
      <c r="G1314" s="59">
        <f ca="1">LOOKUP(A1314,'QALS - Inspection Lot Record'!A:A,'QALS - Inspection Lot Record'!E:E)</f>
        <v>45952</v>
      </c>
      <c r="H1314" s="34" t="str">
        <f t="shared" si="105"/>
        <v>A</v>
      </c>
      <c r="I1314" s="29" t="str">
        <f t="shared" si="101"/>
        <v>AB406550</v>
      </c>
      <c r="J1314" s="59">
        <f t="shared" ca="1" si="102"/>
        <v>45952</v>
      </c>
      <c r="K1314" s="30">
        <f ca="1">LOOKUP(A1314,'QALS - Inspection Lot Record'!A:A,'QALS - Inspection Lot Record'!I:I)</f>
        <v>0.6178703703703704</v>
      </c>
      <c r="L1314" s="59">
        <f t="shared" ca="1" si="103"/>
        <v>45952</v>
      </c>
      <c r="M1314" s="30">
        <f t="shared" ca="1" si="104"/>
        <v>0.63594907407407408</v>
      </c>
      <c r="N1314" s="31"/>
      <c r="O1314" s="31">
        <v>98.5</v>
      </c>
      <c r="P1314" s="29">
        <v>95</v>
      </c>
      <c r="Q1314" s="29">
        <v>102</v>
      </c>
    </row>
    <row r="1315" spans="1:17" x14ac:dyDescent="0.35">
      <c r="A1315" s="26">
        <v>40000002665</v>
      </c>
      <c r="B1315" s="27">
        <v>1</v>
      </c>
      <c r="C1315" s="29" t="str">
        <f>LOOKUP(A1315,'QALS - Inspection Lot Record'!$A$2:$A$361,'QALS - Inspection Lot Record'!$O$2:$O$361)</f>
        <v>Ibuprofen Tablets (100 MG)</v>
      </c>
      <c r="D1315" s="31">
        <v>20</v>
      </c>
      <c r="E1315" s="29" t="s">
        <v>400</v>
      </c>
      <c r="F1315" s="29" t="str">
        <f>LOOKUP(A1315,'QALS - Inspection Lot Record'!A:A,'QALS - Inspection Lot Record'!G:G)</f>
        <v>AB406550</v>
      </c>
      <c r="G1315" s="59">
        <f ca="1">LOOKUP(A1315,'QALS - Inspection Lot Record'!A:A,'QALS - Inspection Lot Record'!E:E)</f>
        <v>45952</v>
      </c>
      <c r="H1315" s="34" t="str">
        <f t="shared" si="105"/>
        <v>R</v>
      </c>
      <c r="I1315" s="29" t="str">
        <f t="shared" si="101"/>
        <v>AB406550</v>
      </c>
      <c r="J1315" s="59">
        <f t="shared" ca="1" si="102"/>
        <v>45952</v>
      </c>
      <c r="K1315" s="30">
        <f ca="1">LOOKUP(A1315,'QALS - Inspection Lot Record'!A:A,'QALS - Inspection Lot Record'!I:I)</f>
        <v>0.6178703703703704</v>
      </c>
      <c r="L1315" s="59">
        <f t="shared" ca="1" si="103"/>
        <v>45952</v>
      </c>
      <c r="M1315" s="30">
        <f t="shared" ca="1" si="104"/>
        <v>0.65119212962962969</v>
      </c>
      <c r="N1315" s="31"/>
      <c r="O1315" s="31">
        <v>2</v>
      </c>
      <c r="P1315" s="29">
        <v>3.5</v>
      </c>
      <c r="Q1315" s="29">
        <v>11</v>
      </c>
    </row>
    <row r="1316" spans="1:17" x14ac:dyDescent="0.35">
      <c r="A1316" s="26">
        <v>40000002665</v>
      </c>
      <c r="B1316" s="31">
        <v>1</v>
      </c>
      <c r="C1316" s="29" t="str">
        <f>LOOKUP(A1316,'QALS - Inspection Lot Record'!$A$2:$A$361,'QALS - Inspection Lot Record'!$O$2:$O$361)</f>
        <v>Ibuprofen Tablets (100 MG)</v>
      </c>
      <c r="D1316" s="31">
        <v>30</v>
      </c>
      <c r="E1316" s="29" t="s">
        <v>401</v>
      </c>
      <c r="F1316" s="29" t="str">
        <f>LOOKUP(A1316,'QALS - Inspection Lot Record'!A:A,'QALS - Inspection Lot Record'!G:G)</f>
        <v>AB406550</v>
      </c>
      <c r="G1316" s="59">
        <f ca="1">LOOKUP(A1316,'QALS - Inspection Lot Record'!A:A,'QALS - Inspection Lot Record'!E:E)</f>
        <v>45952</v>
      </c>
      <c r="H1316" s="34" t="str">
        <f t="shared" si="105"/>
        <v>A</v>
      </c>
      <c r="I1316" s="29" t="str">
        <f t="shared" si="101"/>
        <v>AB406550</v>
      </c>
      <c r="J1316" s="59">
        <f t="shared" ca="1" si="102"/>
        <v>45952</v>
      </c>
      <c r="K1316" s="30">
        <f ca="1">LOOKUP(A1316,'QALS - Inspection Lot Record'!A:A,'QALS - Inspection Lot Record'!I:I)</f>
        <v>0.6178703703703704</v>
      </c>
      <c r="L1316" s="59">
        <f t="shared" ca="1" si="103"/>
        <v>45952</v>
      </c>
      <c r="M1316" s="30">
        <f t="shared" ca="1" si="104"/>
        <v>0.64112268518518523</v>
      </c>
      <c r="N1316" s="11" t="s">
        <v>402</v>
      </c>
      <c r="O1316" s="31"/>
      <c r="P1316" s="29"/>
      <c r="Q1316" s="29"/>
    </row>
    <row r="1317" spans="1:17" x14ac:dyDescent="0.35">
      <c r="A1317" s="26">
        <v>40000002665</v>
      </c>
      <c r="B1317" s="31">
        <v>1</v>
      </c>
      <c r="C1317" s="29" t="str">
        <f>LOOKUP(A1317,'QALS - Inspection Lot Record'!$A$2:$A$361,'QALS - Inspection Lot Record'!$O$2:$O$361)</f>
        <v>Ibuprofen Tablets (100 MG)</v>
      </c>
      <c r="D1317" s="31">
        <v>40</v>
      </c>
      <c r="E1317" s="29" t="s">
        <v>403</v>
      </c>
      <c r="F1317" s="29" t="str">
        <f>LOOKUP(A1317,'QALS - Inspection Lot Record'!A:A,'QALS - Inspection Lot Record'!G:G)</f>
        <v>AB406550</v>
      </c>
      <c r="G1317" s="59">
        <f ca="1">LOOKUP(A1317,'QALS - Inspection Lot Record'!A:A,'QALS - Inspection Lot Record'!E:E)</f>
        <v>45952</v>
      </c>
      <c r="H1317" s="34" t="str">
        <f t="shared" si="105"/>
        <v>R</v>
      </c>
      <c r="I1317" s="29" t="str">
        <f t="shared" si="101"/>
        <v>AB406550</v>
      </c>
      <c r="J1317" s="59">
        <f t="shared" ca="1" si="102"/>
        <v>45952</v>
      </c>
      <c r="K1317" s="30">
        <f ca="1">LOOKUP(A1317,'QALS - Inspection Lot Record'!A:A,'QALS - Inspection Lot Record'!I:I)</f>
        <v>0.6178703703703704</v>
      </c>
      <c r="L1317" s="59">
        <f t="shared" ca="1" si="103"/>
        <v>45952</v>
      </c>
      <c r="M1317" s="30">
        <f t="shared" ca="1" si="104"/>
        <v>0.63854166666666667</v>
      </c>
      <c r="N1317" s="31"/>
      <c r="O1317" s="31">
        <v>1.6</v>
      </c>
      <c r="P1317" s="29">
        <v>0</v>
      </c>
      <c r="Q1317" s="29">
        <v>1</v>
      </c>
    </row>
    <row r="1318" spans="1:17" x14ac:dyDescent="0.35">
      <c r="A1318" s="26">
        <v>40000002665</v>
      </c>
      <c r="B1318" s="31">
        <v>1</v>
      </c>
      <c r="C1318" s="29" t="str">
        <f>LOOKUP(A1318,'QALS - Inspection Lot Record'!$A$2:$A$361,'QALS - Inspection Lot Record'!$O$2:$O$361)</f>
        <v>Ibuprofen Tablets (100 MG)</v>
      </c>
      <c r="D1318" s="31">
        <v>50</v>
      </c>
      <c r="E1318" s="29" t="s">
        <v>404</v>
      </c>
      <c r="F1318" s="29" t="str">
        <f>LOOKUP(A1318,'QALS - Inspection Lot Record'!A:A,'QALS - Inspection Lot Record'!G:G)</f>
        <v>AB406550</v>
      </c>
      <c r="G1318" s="59">
        <f ca="1">LOOKUP(A1318,'QALS - Inspection Lot Record'!A:A,'QALS - Inspection Lot Record'!E:E)</f>
        <v>45952</v>
      </c>
      <c r="H1318" s="34" t="str">
        <f t="shared" si="105"/>
        <v>A</v>
      </c>
      <c r="I1318" s="29" t="str">
        <f t="shared" si="101"/>
        <v>AB406550</v>
      </c>
      <c r="J1318" s="59">
        <f t="shared" ca="1" si="102"/>
        <v>45952</v>
      </c>
      <c r="K1318" s="30">
        <f ca="1">LOOKUP(A1318,'QALS - Inspection Lot Record'!A:A,'QALS - Inspection Lot Record'!I:I)</f>
        <v>0.6178703703703704</v>
      </c>
      <c r="L1318" s="59">
        <f t="shared" ca="1" si="103"/>
        <v>45952</v>
      </c>
      <c r="M1318" s="30">
        <f t="shared" ca="1" si="104"/>
        <v>0.64626157407407414</v>
      </c>
      <c r="N1318" s="31"/>
      <c r="O1318" s="31">
        <v>45.6</v>
      </c>
      <c r="P1318" s="29">
        <v>40</v>
      </c>
      <c r="Q1318" s="29">
        <v>60</v>
      </c>
    </row>
    <row r="1319" spans="1:17" x14ac:dyDescent="0.35">
      <c r="A1319" s="26">
        <v>40000002665</v>
      </c>
      <c r="B1319" s="31">
        <v>1</v>
      </c>
      <c r="C1319" s="29" t="str">
        <f>LOOKUP(A1319,'QALS - Inspection Lot Record'!$A$2:$A$361,'QALS - Inspection Lot Record'!$O$2:$O$361)</f>
        <v>Ibuprofen Tablets (100 MG)</v>
      </c>
      <c r="D1319" s="31">
        <v>60</v>
      </c>
      <c r="E1319" s="29" t="s">
        <v>405</v>
      </c>
      <c r="F1319" s="29" t="str">
        <f>LOOKUP(A1319,'QALS - Inspection Lot Record'!A:A,'QALS - Inspection Lot Record'!G:G)</f>
        <v>AB406550</v>
      </c>
      <c r="G1319" s="59">
        <f ca="1">LOOKUP(A1319,'QALS - Inspection Lot Record'!A:A,'QALS - Inspection Lot Record'!E:E)</f>
        <v>45952</v>
      </c>
      <c r="H1319" s="34" t="str">
        <f t="shared" si="105"/>
        <v>A</v>
      </c>
      <c r="I1319" s="29" t="str">
        <f t="shared" si="101"/>
        <v>AB406550</v>
      </c>
      <c r="J1319" s="59">
        <f t="shared" ca="1" si="102"/>
        <v>45952</v>
      </c>
      <c r="K1319" s="30">
        <f ca="1">LOOKUP(A1319,'QALS - Inspection Lot Record'!A:A,'QALS - Inspection Lot Record'!I:I)</f>
        <v>0.6178703703703704</v>
      </c>
      <c r="L1319" s="59">
        <f t="shared" ca="1" si="103"/>
        <v>45952</v>
      </c>
      <c r="M1319" s="30">
        <f t="shared" ca="1" si="104"/>
        <v>0.64530092592592592</v>
      </c>
      <c r="N1319" s="31"/>
      <c r="O1319" s="31">
        <v>77.400000000000006</v>
      </c>
      <c r="P1319" s="29">
        <v>70</v>
      </c>
      <c r="Q1319" s="29">
        <v>85</v>
      </c>
    </row>
    <row r="1320" spans="1:17" x14ac:dyDescent="0.35">
      <c r="A1320" s="26">
        <v>40000002665</v>
      </c>
      <c r="B1320" s="31">
        <v>1</v>
      </c>
      <c r="C1320" s="29" t="str">
        <f>LOOKUP(A1320,'QALS - Inspection Lot Record'!$A$2:$A$361,'QALS - Inspection Lot Record'!$O$2:$O$361)</f>
        <v>Ibuprofen Tablets (100 MG)</v>
      </c>
      <c r="D1320" s="31">
        <v>70</v>
      </c>
      <c r="E1320" s="29" t="s">
        <v>406</v>
      </c>
      <c r="F1320" s="29" t="str">
        <f>LOOKUP(A1320,'QALS - Inspection Lot Record'!A:A,'QALS - Inspection Lot Record'!G:G)</f>
        <v>AB406550</v>
      </c>
      <c r="G1320" s="59">
        <f ca="1">LOOKUP(A1320,'QALS - Inspection Lot Record'!A:A,'QALS - Inspection Lot Record'!E:E)</f>
        <v>45952</v>
      </c>
      <c r="H1320" s="34" t="str">
        <f t="shared" si="105"/>
        <v>R</v>
      </c>
      <c r="I1320" s="29" t="str">
        <f t="shared" si="101"/>
        <v>AB406550</v>
      </c>
      <c r="J1320" s="59">
        <f t="shared" ca="1" si="102"/>
        <v>45952</v>
      </c>
      <c r="K1320" s="30">
        <f ca="1">LOOKUP(A1320,'QALS - Inspection Lot Record'!A:A,'QALS - Inspection Lot Record'!I:I)</f>
        <v>0.6178703703703704</v>
      </c>
      <c r="L1320" s="59">
        <f t="shared" ca="1" si="103"/>
        <v>45952</v>
      </c>
      <c r="M1320" s="30">
        <f t="shared" ca="1" si="104"/>
        <v>0.63937500000000003</v>
      </c>
      <c r="N1320" s="31"/>
      <c r="O1320" s="31">
        <v>78.599999999999994</v>
      </c>
      <c r="P1320" s="29">
        <v>80</v>
      </c>
      <c r="Q1320" s="29">
        <v>90</v>
      </c>
    </row>
    <row r="1321" spans="1:17" x14ac:dyDescent="0.35">
      <c r="A1321" s="26">
        <v>40000002665</v>
      </c>
      <c r="B1321" s="31">
        <v>1</v>
      </c>
      <c r="C1321" s="29" t="str">
        <f>LOOKUP(A1321,'QALS - Inspection Lot Record'!$A$2:$A$361,'QALS - Inspection Lot Record'!$O$2:$O$361)</f>
        <v>Ibuprofen Tablets (100 MG)</v>
      </c>
      <c r="D1321" s="31">
        <v>80</v>
      </c>
      <c r="E1321" s="29" t="s">
        <v>407</v>
      </c>
      <c r="F1321" s="29" t="str">
        <f>LOOKUP(A1321,'QALS - Inspection Lot Record'!A:A,'QALS - Inspection Lot Record'!G:G)</f>
        <v>AB406550</v>
      </c>
      <c r="G1321" s="59">
        <f ca="1">LOOKUP(A1321,'QALS - Inspection Lot Record'!A:A,'QALS - Inspection Lot Record'!E:E)</f>
        <v>45952</v>
      </c>
      <c r="H1321" s="34" t="str">
        <f t="shared" si="105"/>
        <v>R</v>
      </c>
      <c r="I1321" s="29" t="str">
        <f t="shared" si="101"/>
        <v>AB406550</v>
      </c>
      <c r="J1321" s="59">
        <f t="shared" ca="1" si="102"/>
        <v>45952</v>
      </c>
      <c r="K1321" s="30">
        <f ca="1">LOOKUP(A1321,'QALS - Inspection Lot Record'!A:A,'QALS - Inspection Lot Record'!I:I)</f>
        <v>0.6178703703703704</v>
      </c>
      <c r="L1321" s="59">
        <f t="shared" ca="1" si="103"/>
        <v>45952</v>
      </c>
      <c r="M1321" s="30">
        <f t="shared" ca="1" si="104"/>
        <v>0.6436574074074074</v>
      </c>
      <c r="N1321" s="31"/>
      <c r="O1321" s="31">
        <v>21.5</v>
      </c>
      <c r="P1321" s="29">
        <v>23</v>
      </c>
      <c r="Q1321" s="29">
        <v>25</v>
      </c>
    </row>
    <row r="1322" spans="1:17" x14ac:dyDescent="0.35">
      <c r="A1322" s="26">
        <v>40000002666</v>
      </c>
      <c r="B1322" s="27">
        <v>1</v>
      </c>
      <c r="C1322" s="29" t="str">
        <f>LOOKUP(A1322,'QALS - Inspection Lot Record'!$A$2:$A$361,'QALS - Inspection Lot Record'!$O$2:$O$361)</f>
        <v>Metformin Tablets (500 MG)</v>
      </c>
      <c r="D1322" s="27">
        <v>10</v>
      </c>
      <c r="E1322" s="26" t="s">
        <v>399</v>
      </c>
      <c r="F1322" s="29" t="str">
        <f>LOOKUP(A1322,'QALS - Inspection Lot Record'!A:A,'QALS - Inspection Lot Record'!G:G)</f>
        <v>YA284176</v>
      </c>
      <c r="G1322" s="59">
        <f ca="1">LOOKUP(A1322,'QALS - Inspection Lot Record'!A:A,'QALS - Inspection Lot Record'!E:E)</f>
        <v>45952</v>
      </c>
      <c r="H1322" s="34" t="str">
        <f t="shared" si="105"/>
        <v>A</v>
      </c>
      <c r="I1322" s="29" t="str">
        <f t="shared" si="101"/>
        <v>YA284176</v>
      </c>
      <c r="J1322" s="59">
        <f t="shared" ca="1" si="102"/>
        <v>45952</v>
      </c>
      <c r="K1322" s="30">
        <f ca="1">LOOKUP(A1322,'QALS - Inspection Lot Record'!A:A,'QALS - Inspection Lot Record'!I:I)</f>
        <v>4.4571759259259262E-2</v>
      </c>
      <c r="L1322" s="59">
        <f t="shared" ca="1" si="103"/>
        <v>45952</v>
      </c>
      <c r="M1322" s="30">
        <f t="shared" ca="1" si="104"/>
        <v>7.0381944444444455E-2</v>
      </c>
      <c r="N1322" s="31"/>
      <c r="O1322" s="31">
        <v>100</v>
      </c>
      <c r="P1322" s="29">
        <v>95</v>
      </c>
      <c r="Q1322" s="29">
        <v>105</v>
      </c>
    </row>
    <row r="1323" spans="1:17" x14ac:dyDescent="0.35">
      <c r="A1323" s="26">
        <v>40000002666</v>
      </c>
      <c r="B1323" s="27">
        <v>1</v>
      </c>
      <c r="C1323" s="29" t="str">
        <f>LOOKUP(A1323,'QALS - Inspection Lot Record'!$A$2:$A$361,'QALS - Inspection Lot Record'!$O$2:$O$361)</f>
        <v>Metformin Tablets (500 MG)</v>
      </c>
      <c r="D1323" s="31">
        <v>20</v>
      </c>
      <c r="E1323" s="29" t="s">
        <v>400</v>
      </c>
      <c r="F1323" s="29" t="str">
        <f>LOOKUP(A1323,'QALS - Inspection Lot Record'!A:A,'QALS - Inspection Lot Record'!G:G)</f>
        <v>YA284176</v>
      </c>
      <c r="G1323" s="59">
        <f ca="1">LOOKUP(A1323,'QALS - Inspection Lot Record'!A:A,'QALS - Inspection Lot Record'!E:E)</f>
        <v>45952</v>
      </c>
      <c r="H1323" s="34" t="str">
        <f t="shared" si="105"/>
        <v>R</v>
      </c>
      <c r="I1323" s="29" t="str">
        <f t="shared" si="101"/>
        <v>YA284176</v>
      </c>
      <c r="J1323" s="59">
        <f t="shared" ca="1" si="102"/>
        <v>45952</v>
      </c>
      <c r="K1323" s="30">
        <f ca="1">LOOKUP(A1323,'QALS - Inspection Lot Record'!A:A,'QALS - Inspection Lot Record'!I:I)</f>
        <v>4.4571759259259262E-2</v>
      </c>
      <c r="L1323" s="59">
        <f t="shared" ca="1" si="103"/>
        <v>45952</v>
      </c>
      <c r="M1323" s="30">
        <f t="shared" ca="1" si="104"/>
        <v>7.0659722222222221E-2</v>
      </c>
      <c r="N1323" s="31"/>
      <c r="O1323" s="31">
        <v>2.2999999999999998</v>
      </c>
      <c r="P1323" s="29">
        <v>3.5</v>
      </c>
      <c r="Q1323" s="29">
        <v>11</v>
      </c>
    </row>
    <row r="1324" spans="1:17" x14ac:dyDescent="0.35">
      <c r="A1324" s="26">
        <v>40000002666</v>
      </c>
      <c r="B1324" s="31">
        <v>1</v>
      </c>
      <c r="C1324" s="29" t="str">
        <f>LOOKUP(A1324,'QALS - Inspection Lot Record'!$A$2:$A$361,'QALS - Inspection Lot Record'!$O$2:$O$361)</f>
        <v>Metformin Tablets (500 MG)</v>
      </c>
      <c r="D1324" s="31">
        <v>30</v>
      </c>
      <c r="E1324" s="29" t="s">
        <v>401</v>
      </c>
      <c r="F1324" s="29" t="str">
        <f>LOOKUP(A1324,'QALS - Inspection Lot Record'!A:A,'QALS - Inspection Lot Record'!G:G)</f>
        <v>YA284176</v>
      </c>
      <c r="G1324" s="59">
        <f ca="1">LOOKUP(A1324,'QALS - Inspection Lot Record'!A:A,'QALS - Inspection Lot Record'!E:E)</f>
        <v>45952</v>
      </c>
      <c r="H1324" s="34" t="str">
        <f t="shared" si="105"/>
        <v>A</v>
      </c>
      <c r="I1324" s="29" t="str">
        <f t="shared" si="101"/>
        <v>YA284176</v>
      </c>
      <c r="J1324" s="59">
        <f t="shared" ca="1" si="102"/>
        <v>45952</v>
      </c>
      <c r="K1324" s="30">
        <f ca="1">LOOKUP(A1324,'QALS - Inspection Lot Record'!A:A,'QALS - Inspection Lot Record'!I:I)</f>
        <v>4.4571759259259262E-2</v>
      </c>
      <c r="L1324" s="59">
        <f t="shared" ca="1" si="103"/>
        <v>45952</v>
      </c>
      <c r="M1324" s="30">
        <f t="shared" ca="1" si="104"/>
        <v>6.3425925925925927E-2</v>
      </c>
      <c r="N1324" s="11" t="s">
        <v>402</v>
      </c>
      <c r="O1324" s="31"/>
      <c r="P1324" s="29"/>
      <c r="Q1324" s="29"/>
    </row>
    <row r="1325" spans="1:17" x14ac:dyDescent="0.35">
      <c r="A1325" s="26">
        <v>40000002666</v>
      </c>
      <c r="B1325" s="31">
        <v>1</v>
      </c>
      <c r="C1325" s="29" t="str">
        <f>LOOKUP(A1325,'QALS - Inspection Lot Record'!$A$2:$A$361,'QALS - Inspection Lot Record'!$O$2:$O$361)</f>
        <v>Metformin Tablets (500 MG)</v>
      </c>
      <c r="D1325" s="31">
        <v>40</v>
      </c>
      <c r="E1325" s="29" t="s">
        <v>403</v>
      </c>
      <c r="F1325" s="29" t="str">
        <f>LOOKUP(A1325,'QALS - Inspection Lot Record'!A:A,'QALS - Inspection Lot Record'!G:G)</f>
        <v>YA284176</v>
      </c>
      <c r="G1325" s="59">
        <f ca="1">LOOKUP(A1325,'QALS - Inspection Lot Record'!A:A,'QALS - Inspection Lot Record'!E:E)</f>
        <v>45952</v>
      </c>
      <c r="H1325" s="34" t="str">
        <f t="shared" si="105"/>
        <v>A</v>
      </c>
      <c r="I1325" s="29" t="str">
        <f t="shared" si="101"/>
        <v>YA284176</v>
      </c>
      <c r="J1325" s="59">
        <f t="shared" ca="1" si="102"/>
        <v>45952</v>
      </c>
      <c r="K1325" s="30">
        <f ca="1">LOOKUP(A1325,'QALS - Inspection Lot Record'!A:A,'QALS - Inspection Lot Record'!I:I)</f>
        <v>4.4571759259259262E-2</v>
      </c>
      <c r="L1325" s="59">
        <f t="shared" ca="1" si="103"/>
        <v>45952</v>
      </c>
      <c r="M1325" s="30">
        <f t="shared" ca="1" si="104"/>
        <v>7.0717592592592596E-2</v>
      </c>
      <c r="N1325" s="31"/>
      <c r="O1325" s="31">
        <v>1.6</v>
      </c>
      <c r="P1325" s="29">
        <v>0</v>
      </c>
      <c r="Q1325" s="29">
        <v>2</v>
      </c>
    </row>
    <row r="1326" spans="1:17" x14ac:dyDescent="0.35">
      <c r="A1326" s="26">
        <v>40000002666</v>
      </c>
      <c r="B1326" s="31">
        <v>1</v>
      </c>
      <c r="C1326" s="29" t="str">
        <f>LOOKUP(A1326,'QALS - Inspection Lot Record'!$A$2:$A$361,'QALS - Inspection Lot Record'!$O$2:$O$361)</f>
        <v>Metformin Tablets (500 MG)</v>
      </c>
      <c r="D1326" s="31">
        <v>50</v>
      </c>
      <c r="E1326" s="29" t="s">
        <v>404</v>
      </c>
      <c r="F1326" s="29" t="str">
        <f>LOOKUP(A1326,'QALS - Inspection Lot Record'!A:A,'QALS - Inspection Lot Record'!G:G)</f>
        <v>YA284176</v>
      </c>
      <c r="G1326" s="59">
        <f ca="1">LOOKUP(A1326,'QALS - Inspection Lot Record'!A:A,'QALS - Inspection Lot Record'!E:E)</f>
        <v>45952</v>
      </c>
      <c r="H1326" s="34" t="str">
        <f t="shared" si="105"/>
        <v>A</v>
      </c>
      <c r="I1326" s="29" t="str">
        <f t="shared" si="101"/>
        <v>YA284176</v>
      </c>
      <c r="J1326" s="59">
        <f t="shared" ca="1" si="102"/>
        <v>45952</v>
      </c>
      <c r="K1326" s="30">
        <f ca="1">LOOKUP(A1326,'QALS - Inspection Lot Record'!A:A,'QALS - Inspection Lot Record'!I:I)</f>
        <v>4.4571759259259262E-2</v>
      </c>
      <c r="L1326" s="59">
        <f t="shared" ca="1" si="103"/>
        <v>45952</v>
      </c>
      <c r="M1326" s="30">
        <f t="shared" ca="1" si="104"/>
        <v>6.40162037037037E-2</v>
      </c>
      <c r="N1326" s="31"/>
      <c r="O1326" s="31">
        <v>42</v>
      </c>
      <c r="P1326" s="29">
        <v>40</v>
      </c>
      <c r="Q1326" s="29">
        <v>60</v>
      </c>
    </row>
    <row r="1327" spans="1:17" x14ac:dyDescent="0.35">
      <c r="A1327" s="26">
        <v>40000002666</v>
      </c>
      <c r="B1327" s="31">
        <v>1</v>
      </c>
      <c r="C1327" s="29" t="str">
        <f>LOOKUP(A1327,'QALS - Inspection Lot Record'!$A$2:$A$361,'QALS - Inspection Lot Record'!$O$2:$O$361)</f>
        <v>Metformin Tablets (500 MG)</v>
      </c>
      <c r="D1327" s="31">
        <v>60</v>
      </c>
      <c r="E1327" s="29" t="s">
        <v>405</v>
      </c>
      <c r="F1327" s="29" t="str">
        <f>LOOKUP(A1327,'QALS - Inspection Lot Record'!A:A,'QALS - Inspection Lot Record'!G:G)</f>
        <v>YA284176</v>
      </c>
      <c r="G1327" s="59">
        <f ca="1">LOOKUP(A1327,'QALS - Inspection Lot Record'!A:A,'QALS - Inspection Lot Record'!E:E)</f>
        <v>45952</v>
      </c>
      <c r="H1327" s="34" t="str">
        <f t="shared" si="105"/>
        <v>A</v>
      </c>
      <c r="I1327" s="29" t="str">
        <f t="shared" si="101"/>
        <v>YA284176</v>
      </c>
      <c r="J1327" s="59">
        <f t="shared" ca="1" si="102"/>
        <v>45952</v>
      </c>
      <c r="K1327" s="30">
        <f ca="1">LOOKUP(A1327,'QALS - Inspection Lot Record'!A:A,'QALS - Inspection Lot Record'!I:I)</f>
        <v>4.4571759259259262E-2</v>
      </c>
      <c r="L1327" s="59">
        <f t="shared" ca="1" si="103"/>
        <v>45952</v>
      </c>
      <c r="M1327" s="30">
        <f t="shared" ca="1" si="104"/>
        <v>6.4375000000000002E-2</v>
      </c>
      <c r="N1327" s="31"/>
      <c r="O1327" s="31">
        <v>74.3</v>
      </c>
      <c r="P1327" s="29">
        <v>70</v>
      </c>
      <c r="Q1327" s="29">
        <v>85</v>
      </c>
    </row>
    <row r="1328" spans="1:17" x14ac:dyDescent="0.35">
      <c r="A1328" s="26">
        <v>40000002666</v>
      </c>
      <c r="B1328" s="31">
        <v>1</v>
      </c>
      <c r="C1328" s="29" t="str">
        <f>LOOKUP(A1328,'QALS - Inspection Lot Record'!$A$2:$A$361,'QALS - Inspection Lot Record'!$O$2:$O$361)</f>
        <v>Metformin Tablets (500 MG)</v>
      </c>
      <c r="D1328" s="31">
        <v>70</v>
      </c>
      <c r="E1328" s="29" t="s">
        <v>406</v>
      </c>
      <c r="F1328" s="29" t="str">
        <f>LOOKUP(A1328,'QALS - Inspection Lot Record'!A:A,'QALS - Inspection Lot Record'!G:G)</f>
        <v>YA284176</v>
      </c>
      <c r="G1328" s="59">
        <f ca="1">LOOKUP(A1328,'QALS - Inspection Lot Record'!A:A,'QALS - Inspection Lot Record'!E:E)</f>
        <v>45952</v>
      </c>
      <c r="H1328" s="34" t="str">
        <f t="shared" si="105"/>
        <v>R</v>
      </c>
      <c r="I1328" s="29" t="str">
        <f t="shared" si="101"/>
        <v>YA284176</v>
      </c>
      <c r="J1328" s="59">
        <f t="shared" ca="1" si="102"/>
        <v>45952</v>
      </c>
      <c r="K1328" s="30">
        <f ca="1">LOOKUP(A1328,'QALS - Inspection Lot Record'!A:A,'QALS - Inspection Lot Record'!I:I)</f>
        <v>4.4571759259259262E-2</v>
      </c>
      <c r="L1328" s="59">
        <f t="shared" ca="1" si="103"/>
        <v>45952</v>
      </c>
      <c r="M1328" s="30">
        <f t="shared" ca="1" si="104"/>
        <v>7.1134259259259258E-2</v>
      </c>
      <c r="N1328" s="31"/>
      <c r="O1328" s="31">
        <v>78.099999999999994</v>
      </c>
      <c r="P1328" s="29">
        <v>80</v>
      </c>
      <c r="Q1328" s="29">
        <v>90</v>
      </c>
    </row>
    <row r="1329" spans="1:17" x14ac:dyDescent="0.35">
      <c r="A1329" s="26">
        <v>40000002666</v>
      </c>
      <c r="B1329" s="31">
        <v>1</v>
      </c>
      <c r="C1329" s="29" t="str">
        <f>LOOKUP(A1329,'QALS - Inspection Lot Record'!$A$2:$A$361,'QALS - Inspection Lot Record'!$O$2:$O$361)</f>
        <v>Metformin Tablets (500 MG)</v>
      </c>
      <c r="D1329" s="31">
        <v>80</v>
      </c>
      <c r="E1329" s="29" t="s">
        <v>407</v>
      </c>
      <c r="F1329" s="29" t="str">
        <f>LOOKUP(A1329,'QALS - Inspection Lot Record'!A:A,'QALS - Inspection Lot Record'!G:G)</f>
        <v>YA284176</v>
      </c>
      <c r="G1329" s="59">
        <f ca="1">LOOKUP(A1329,'QALS - Inspection Lot Record'!A:A,'QALS - Inspection Lot Record'!E:E)</f>
        <v>45952</v>
      </c>
      <c r="H1329" s="34" t="str">
        <f t="shared" si="105"/>
        <v>R</v>
      </c>
      <c r="I1329" s="29" t="str">
        <f t="shared" si="101"/>
        <v>YA284176</v>
      </c>
      <c r="J1329" s="59">
        <f t="shared" ca="1" si="102"/>
        <v>45952</v>
      </c>
      <c r="K1329" s="30">
        <f ca="1">LOOKUP(A1329,'QALS - Inspection Lot Record'!A:A,'QALS - Inspection Lot Record'!I:I)</f>
        <v>4.4571759259259262E-2</v>
      </c>
      <c r="L1329" s="59">
        <f t="shared" ca="1" si="103"/>
        <v>45952</v>
      </c>
      <c r="M1329" s="30">
        <f t="shared" ca="1" si="104"/>
        <v>6.4340277777777788E-2</v>
      </c>
      <c r="N1329" s="31"/>
      <c r="O1329" s="31">
        <v>21.7</v>
      </c>
      <c r="P1329" s="29">
        <v>23</v>
      </c>
      <c r="Q1329" s="29">
        <v>28</v>
      </c>
    </row>
    <row r="1330" spans="1:17" x14ac:dyDescent="0.35">
      <c r="A1330" s="26">
        <v>40000002667</v>
      </c>
      <c r="B1330" s="27">
        <v>1</v>
      </c>
      <c r="C1330" s="29" t="str">
        <f>LOOKUP(A1330,'QALS - Inspection Lot Record'!$A$2:$A$361,'QALS - Inspection Lot Record'!$O$2:$O$361)</f>
        <v>Aspirin Tablets (500 MG)</v>
      </c>
      <c r="D1330" s="27">
        <v>10</v>
      </c>
      <c r="E1330" s="26" t="s">
        <v>399</v>
      </c>
      <c r="F1330" s="29" t="str">
        <f>LOOKUP(A1330,'QALS - Inspection Lot Record'!A:A,'QALS - Inspection Lot Record'!G:G)</f>
        <v>ZK384180</v>
      </c>
      <c r="G1330" s="59">
        <f ca="1">LOOKUP(A1330,'QALS - Inspection Lot Record'!A:A,'QALS - Inspection Lot Record'!E:E)</f>
        <v>45953</v>
      </c>
      <c r="H1330" s="34" t="str">
        <f t="shared" si="105"/>
        <v>A</v>
      </c>
      <c r="I1330" s="29" t="str">
        <f t="shared" si="101"/>
        <v>ZK384180</v>
      </c>
      <c r="J1330" s="59">
        <f t="shared" ca="1" si="102"/>
        <v>45953</v>
      </c>
      <c r="K1330" s="30">
        <f ca="1">LOOKUP(A1330,'QALS - Inspection Lot Record'!A:A,'QALS - Inspection Lot Record'!I:I)</f>
        <v>0.57152777777777775</v>
      </c>
      <c r="L1330" s="59">
        <f t="shared" ca="1" si="103"/>
        <v>45953</v>
      </c>
      <c r="M1330" s="30">
        <f t="shared" ca="1" si="104"/>
        <v>0.59629629629629621</v>
      </c>
      <c r="N1330" s="31"/>
      <c r="O1330" s="31">
        <v>100</v>
      </c>
      <c r="P1330" s="29">
        <v>95</v>
      </c>
      <c r="Q1330" s="29">
        <v>105</v>
      </c>
    </row>
    <row r="1331" spans="1:17" x14ac:dyDescent="0.35">
      <c r="A1331" s="26">
        <v>40000002667</v>
      </c>
      <c r="B1331" s="27">
        <v>1</v>
      </c>
      <c r="C1331" s="29" t="str">
        <f>LOOKUP(A1331,'QALS - Inspection Lot Record'!$A$2:$A$361,'QALS - Inspection Lot Record'!$O$2:$O$361)</f>
        <v>Aspirin Tablets (500 MG)</v>
      </c>
      <c r="D1331" s="31">
        <v>20</v>
      </c>
      <c r="E1331" s="29" t="s">
        <v>400</v>
      </c>
      <c r="F1331" s="29" t="str">
        <f>LOOKUP(A1331,'QALS - Inspection Lot Record'!A:A,'QALS - Inspection Lot Record'!G:G)</f>
        <v>ZK384180</v>
      </c>
      <c r="G1331" s="59">
        <f ca="1">LOOKUP(A1331,'QALS - Inspection Lot Record'!A:A,'QALS - Inspection Lot Record'!E:E)</f>
        <v>45953</v>
      </c>
      <c r="H1331" s="34" t="str">
        <f t="shared" si="105"/>
        <v>A</v>
      </c>
      <c r="I1331" s="29" t="str">
        <f t="shared" si="101"/>
        <v>ZK384180</v>
      </c>
      <c r="J1331" s="59">
        <f t="shared" ca="1" si="102"/>
        <v>45953</v>
      </c>
      <c r="K1331" s="30">
        <f ca="1">LOOKUP(A1331,'QALS - Inspection Lot Record'!A:A,'QALS - Inspection Lot Record'!I:I)</f>
        <v>0.57152777777777775</v>
      </c>
      <c r="L1331" s="59">
        <f t="shared" ca="1" si="103"/>
        <v>45953</v>
      </c>
      <c r="M1331" s="30">
        <f t="shared" ca="1" si="104"/>
        <v>0.60085648148148141</v>
      </c>
      <c r="N1331" s="31"/>
      <c r="O1331" s="31">
        <v>7.25</v>
      </c>
      <c r="P1331" s="29">
        <v>3.5</v>
      </c>
      <c r="Q1331" s="29">
        <v>11</v>
      </c>
    </row>
    <row r="1332" spans="1:17" x14ac:dyDescent="0.35">
      <c r="A1332" s="26">
        <v>40000002667</v>
      </c>
      <c r="B1332" s="31">
        <v>1</v>
      </c>
      <c r="C1332" s="29" t="str">
        <f>LOOKUP(A1332,'QALS - Inspection Lot Record'!$A$2:$A$361,'QALS - Inspection Lot Record'!$O$2:$O$361)</f>
        <v>Aspirin Tablets (500 MG)</v>
      </c>
      <c r="D1332" s="31">
        <v>30</v>
      </c>
      <c r="E1332" s="29" t="s">
        <v>401</v>
      </c>
      <c r="F1332" s="29" t="str">
        <f>LOOKUP(A1332,'QALS - Inspection Lot Record'!A:A,'QALS - Inspection Lot Record'!G:G)</f>
        <v>ZK384180</v>
      </c>
      <c r="G1332" s="59">
        <f ca="1">LOOKUP(A1332,'QALS - Inspection Lot Record'!A:A,'QALS - Inspection Lot Record'!E:E)</f>
        <v>45953</v>
      </c>
      <c r="H1332" s="34" t="str">
        <f t="shared" si="105"/>
        <v>A</v>
      </c>
      <c r="I1332" s="29" t="str">
        <f t="shared" si="101"/>
        <v>ZK384180</v>
      </c>
      <c r="J1332" s="59">
        <f t="shared" ca="1" si="102"/>
        <v>45953</v>
      </c>
      <c r="K1332" s="30">
        <f ca="1">LOOKUP(A1332,'QALS - Inspection Lot Record'!A:A,'QALS - Inspection Lot Record'!I:I)</f>
        <v>0.57152777777777775</v>
      </c>
      <c r="L1332" s="59">
        <f t="shared" ca="1" si="103"/>
        <v>45953</v>
      </c>
      <c r="M1332" s="30">
        <f t="shared" ca="1" si="104"/>
        <v>0.58921296296296288</v>
      </c>
      <c r="N1332" s="11" t="s">
        <v>402</v>
      </c>
      <c r="O1332" s="31"/>
      <c r="P1332" s="29"/>
      <c r="Q1332" s="29"/>
    </row>
    <row r="1333" spans="1:17" x14ac:dyDescent="0.35">
      <c r="A1333" s="26">
        <v>40000002667</v>
      </c>
      <c r="B1333" s="31">
        <v>1</v>
      </c>
      <c r="C1333" s="29" t="str">
        <f>LOOKUP(A1333,'QALS - Inspection Lot Record'!$A$2:$A$361,'QALS - Inspection Lot Record'!$O$2:$O$361)</f>
        <v>Aspirin Tablets (500 MG)</v>
      </c>
      <c r="D1333" s="31">
        <v>40</v>
      </c>
      <c r="E1333" s="29" t="s">
        <v>403</v>
      </c>
      <c r="F1333" s="29" t="str">
        <f>LOOKUP(A1333,'QALS - Inspection Lot Record'!A:A,'QALS - Inspection Lot Record'!G:G)</f>
        <v>ZK384180</v>
      </c>
      <c r="G1333" s="59">
        <f ca="1">LOOKUP(A1333,'QALS - Inspection Lot Record'!A:A,'QALS - Inspection Lot Record'!E:E)</f>
        <v>45953</v>
      </c>
      <c r="H1333" s="34" t="str">
        <f t="shared" si="105"/>
        <v>A</v>
      </c>
      <c r="I1333" s="29" t="str">
        <f t="shared" si="101"/>
        <v>ZK384180</v>
      </c>
      <c r="J1333" s="59">
        <f t="shared" ca="1" si="102"/>
        <v>45953</v>
      </c>
      <c r="K1333" s="30">
        <f ca="1">LOOKUP(A1333,'QALS - Inspection Lot Record'!A:A,'QALS - Inspection Lot Record'!I:I)</f>
        <v>0.57152777777777775</v>
      </c>
      <c r="L1333" s="59">
        <f t="shared" ca="1" si="103"/>
        <v>45953</v>
      </c>
      <c r="M1333" s="30">
        <f t="shared" ca="1" si="104"/>
        <v>0.59415509259259258</v>
      </c>
      <c r="N1333" s="31"/>
      <c r="O1333" s="31">
        <v>0</v>
      </c>
      <c r="P1333" s="29">
        <v>0</v>
      </c>
      <c r="Q1333" s="29">
        <v>2.5</v>
      </c>
    </row>
    <row r="1334" spans="1:17" x14ac:dyDescent="0.35">
      <c r="A1334" s="26">
        <v>40000002667</v>
      </c>
      <c r="B1334" s="31">
        <v>1</v>
      </c>
      <c r="C1334" s="29" t="str">
        <f>LOOKUP(A1334,'QALS - Inspection Lot Record'!$A$2:$A$361,'QALS - Inspection Lot Record'!$O$2:$O$361)</f>
        <v>Aspirin Tablets (500 MG)</v>
      </c>
      <c r="D1334" s="31">
        <v>50</v>
      </c>
      <c r="E1334" s="29" t="s">
        <v>404</v>
      </c>
      <c r="F1334" s="29" t="str">
        <f>LOOKUP(A1334,'QALS - Inspection Lot Record'!A:A,'QALS - Inspection Lot Record'!G:G)</f>
        <v>ZK384180</v>
      </c>
      <c r="G1334" s="59">
        <f ca="1">LOOKUP(A1334,'QALS - Inspection Lot Record'!A:A,'QALS - Inspection Lot Record'!E:E)</f>
        <v>45953</v>
      </c>
      <c r="H1334" s="34" t="str">
        <f t="shared" si="105"/>
        <v>A</v>
      </c>
      <c r="I1334" s="29" t="str">
        <f t="shared" si="101"/>
        <v>ZK384180</v>
      </c>
      <c r="J1334" s="59">
        <f t="shared" ca="1" si="102"/>
        <v>45953</v>
      </c>
      <c r="K1334" s="30">
        <f ca="1">LOOKUP(A1334,'QALS - Inspection Lot Record'!A:A,'QALS - Inspection Lot Record'!I:I)</f>
        <v>0.57152777777777775</v>
      </c>
      <c r="L1334" s="59">
        <f t="shared" ca="1" si="103"/>
        <v>45953</v>
      </c>
      <c r="M1334" s="30">
        <f t="shared" ca="1" si="104"/>
        <v>0.59221064814814817</v>
      </c>
      <c r="N1334" s="31"/>
      <c r="O1334" s="31">
        <v>50</v>
      </c>
      <c r="P1334" s="29">
        <v>40</v>
      </c>
      <c r="Q1334" s="29">
        <v>60</v>
      </c>
    </row>
    <row r="1335" spans="1:17" x14ac:dyDescent="0.35">
      <c r="A1335" s="26">
        <v>40000002667</v>
      </c>
      <c r="B1335" s="31">
        <v>1</v>
      </c>
      <c r="C1335" s="29" t="str">
        <f>LOOKUP(A1335,'QALS - Inspection Lot Record'!$A$2:$A$361,'QALS - Inspection Lot Record'!$O$2:$O$361)</f>
        <v>Aspirin Tablets (500 MG)</v>
      </c>
      <c r="D1335" s="31">
        <v>60</v>
      </c>
      <c r="E1335" s="29" t="s">
        <v>405</v>
      </c>
      <c r="F1335" s="29" t="str">
        <f>LOOKUP(A1335,'QALS - Inspection Lot Record'!A:A,'QALS - Inspection Lot Record'!G:G)</f>
        <v>ZK384180</v>
      </c>
      <c r="G1335" s="59">
        <f ca="1">LOOKUP(A1335,'QALS - Inspection Lot Record'!A:A,'QALS - Inspection Lot Record'!E:E)</f>
        <v>45953</v>
      </c>
      <c r="H1335" s="34" t="str">
        <f t="shared" si="105"/>
        <v>A</v>
      </c>
      <c r="I1335" s="29" t="str">
        <f t="shared" si="101"/>
        <v>ZK384180</v>
      </c>
      <c r="J1335" s="59">
        <f t="shared" ca="1" si="102"/>
        <v>45953</v>
      </c>
      <c r="K1335" s="30">
        <f ca="1">LOOKUP(A1335,'QALS - Inspection Lot Record'!A:A,'QALS - Inspection Lot Record'!I:I)</f>
        <v>0.57152777777777775</v>
      </c>
      <c r="L1335" s="59">
        <f t="shared" ca="1" si="103"/>
        <v>45953</v>
      </c>
      <c r="M1335" s="30">
        <f t="shared" ca="1" si="104"/>
        <v>0.60100694444444436</v>
      </c>
      <c r="N1335" s="31"/>
      <c r="O1335" s="31">
        <v>71</v>
      </c>
      <c r="P1335" s="29">
        <v>70</v>
      </c>
      <c r="Q1335" s="29">
        <v>85</v>
      </c>
    </row>
    <row r="1336" spans="1:17" x14ac:dyDescent="0.35">
      <c r="A1336" s="26">
        <v>40000002667</v>
      </c>
      <c r="B1336" s="31">
        <v>1</v>
      </c>
      <c r="C1336" s="29" t="str">
        <f>LOOKUP(A1336,'QALS - Inspection Lot Record'!$A$2:$A$361,'QALS - Inspection Lot Record'!$O$2:$O$361)</f>
        <v>Aspirin Tablets (500 MG)</v>
      </c>
      <c r="D1336" s="31">
        <v>70</v>
      </c>
      <c r="E1336" s="29" t="s">
        <v>406</v>
      </c>
      <c r="F1336" s="29" t="str">
        <f>LOOKUP(A1336,'QALS - Inspection Lot Record'!A:A,'QALS - Inspection Lot Record'!G:G)</f>
        <v>ZK384180</v>
      </c>
      <c r="G1336" s="59">
        <f ca="1">LOOKUP(A1336,'QALS - Inspection Lot Record'!A:A,'QALS - Inspection Lot Record'!E:E)</f>
        <v>45953</v>
      </c>
      <c r="H1336" s="34" t="str">
        <f t="shared" si="105"/>
        <v>A</v>
      </c>
      <c r="I1336" s="29" t="str">
        <f t="shared" si="101"/>
        <v>ZK384180</v>
      </c>
      <c r="J1336" s="59">
        <f t="shared" ca="1" si="102"/>
        <v>45953</v>
      </c>
      <c r="K1336" s="30">
        <f ca="1">LOOKUP(A1336,'QALS - Inspection Lot Record'!A:A,'QALS - Inspection Lot Record'!I:I)</f>
        <v>0.57152777777777775</v>
      </c>
      <c r="L1336" s="59">
        <f t="shared" ca="1" si="103"/>
        <v>45953</v>
      </c>
      <c r="M1336" s="30">
        <f t="shared" ca="1" si="104"/>
        <v>0.59619212962962964</v>
      </c>
      <c r="N1336" s="31"/>
      <c r="O1336" s="31">
        <v>81.3</v>
      </c>
      <c r="P1336" s="29">
        <v>80</v>
      </c>
      <c r="Q1336" s="29">
        <v>90</v>
      </c>
    </row>
    <row r="1337" spans="1:17" x14ac:dyDescent="0.35">
      <c r="A1337" s="26">
        <v>40000002667</v>
      </c>
      <c r="B1337" s="31">
        <v>1</v>
      </c>
      <c r="C1337" s="29" t="str">
        <f>LOOKUP(A1337,'QALS - Inspection Lot Record'!$A$2:$A$361,'QALS - Inspection Lot Record'!$O$2:$O$361)</f>
        <v>Aspirin Tablets (500 MG)</v>
      </c>
      <c r="D1337" s="31">
        <v>80</v>
      </c>
      <c r="E1337" s="29" t="s">
        <v>407</v>
      </c>
      <c r="F1337" s="29" t="str">
        <f>LOOKUP(A1337,'QALS - Inspection Lot Record'!A:A,'QALS - Inspection Lot Record'!G:G)</f>
        <v>ZK384180</v>
      </c>
      <c r="G1337" s="59">
        <f ca="1">LOOKUP(A1337,'QALS - Inspection Lot Record'!A:A,'QALS - Inspection Lot Record'!E:E)</f>
        <v>45953</v>
      </c>
      <c r="H1337" s="34" t="str">
        <f t="shared" si="105"/>
        <v>A</v>
      </c>
      <c r="I1337" s="29" t="str">
        <f t="shared" si="101"/>
        <v>ZK384180</v>
      </c>
      <c r="J1337" s="59">
        <f t="shared" ca="1" si="102"/>
        <v>45953</v>
      </c>
      <c r="K1337" s="30">
        <f ca="1">LOOKUP(A1337,'QALS - Inspection Lot Record'!A:A,'QALS - Inspection Lot Record'!I:I)</f>
        <v>0.57152777777777775</v>
      </c>
      <c r="L1337" s="59">
        <f t="shared" ca="1" si="103"/>
        <v>45953</v>
      </c>
      <c r="M1337" s="30">
        <f t="shared" ca="1" si="104"/>
        <v>0.59510416666666666</v>
      </c>
      <c r="N1337" s="31"/>
      <c r="O1337" s="31">
        <v>25.5</v>
      </c>
      <c r="P1337" s="29">
        <v>23</v>
      </c>
      <c r="Q1337" s="29">
        <v>28</v>
      </c>
    </row>
    <row r="1338" spans="1:17" x14ac:dyDescent="0.35">
      <c r="A1338" s="26">
        <v>40000002668</v>
      </c>
      <c r="B1338" s="27">
        <v>1</v>
      </c>
      <c r="C1338" s="29" t="str">
        <f>LOOKUP(A1338,'QALS - Inspection Lot Record'!$A$2:$A$361,'QALS - Inspection Lot Record'!$O$2:$O$361)</f>
        <v>Ibuprofen Tablets (100 MG)</v>
      </c>
      <c r="D1338" s="27">
        <v>10</v>
      </c>
      <c r="E1338" s="26" t="s">
        <v>399</v>
      </c>
      <c r="F1338" s="29" t="str">
        <f>LOOKUP(A1338,'QALS - Inspection Lot Record'!A:A,'QALS - Inspection Lot Record'!G:G)</f>
        <v>TG509538</v>
      </c>
      <c r="G1338" s="59">
        <f ca="1">LOOKUP(A1338,'QALS - Inspection Lot Record'!A:A,'QALS - Inspection Lot Record'!E:E)</f>
        <v>45953</v>
      </c>
      <c r="H1338" s="34" t="str">
        <f t="shared" si="105"/>
        <v>A</v>
      </c>
      <c r="I1338" s="29" t="str">
        <f t="shared" si="101"/>
        <v>TG509538</v>
      </c>
      <c r="J1338" s="59">
        <f t="shared" ca="1" si="102"/>
        <v>45953</v>
      </c>
      <c r="K1338" s="30">
        <f ca="1">LOOKUP(A1338,'QALS - Inspection Lot Record'!A:A,'QALS - Inspection Lot Record'!I:I)</f>
        <v>0.14636574074074074</v>
      </c>
      <c r="L1338" s="59">
        <f t="shared" ca="1" si="103"/>
        <v>45953</v>
      </c>
      <c r="M1338" s="30">
        <f t="shared" ca="1" si="104"/>
        <v>0.17510416666666667</v>
      </c>
      <c r="N1338" s="31"/>
      <c r="O1338" s="31">
        <v>98.5</v>
      </c>
      <c r="P1338" s="29">
        <v>95</v>
      </c>
      <c r="Q1338" s="29">
        <v>102</v>
      </c>
    </row>
    <row r="1339" spans="1:17" x14ac:dyDescent="0.35">
      <c r="A1339" s="26">
        <v>40000002668</v>
      </c>
      <c r="B1339" s="27">
        <v>1</v>
      </c>
      <c r="C1339" s="29" t="str">
        <f>LOOKUP(A1339,'QALS - Inspection Lot Record'!$A$2:$A$361,'QALS - Inspection Lot Record'!$O$2:$O$361)</f>
        <v>Ibuprofen Tablets (100 MG)</v>
      </c>
      <c r="D1339" s="31">
        <v>20</v>
      </c>
      <c r="E1339" s="29" t="s">
        <v>400</v>
      </c>
      <c r="F1339" s="29" t="str">
        <f>LOOKUP(A1339,'QALS - Inspection Lot Record'!A:A,'QALS - Inspection Lot Record'!G:G)</f>
        <v>TG509538</v>
      </c>
      <c r="G1339" s="59">
        <f ca="1">LOOKUP(A1339,'QALS - Inspection Lot Record'!A:A,'QALS - Inspection Lot Record'!E:E)</f>
        <v>45953</v>
      </c>
      <c r="H1339" s="34" t="str">
        <f t="shared" si="105"/>
        <v>A</v>
      </c>
      <c r="I1339" s="29" t="str">
        <f t="shared" si="101"/>
        <v>TG509538</v>
      </c>
      <c r="J1339" s="59">
        <f t="shared" ca="1" si="102"/>
        <v>45953</v>
      </c>
      <c r="K1339" s="30">
        <f ca="1">LOOKUP(A1339,'QALS - Inspection Lot Record'!A:A,'QALS - Inspection Lot Record'!I:I)</f>
        <v>0.14636574074074074</v>
      </c>
      <c r="L1339" s="59">
        <f t="shared" ca="1" si="103"/>
        <v>45953</v>
      </c>
      <c r="M1339" s="30">
        <f t="shared" ca="1" si="104"/>
        <v>0.17984953703703704</v>
      </c>
      <c r="N1339" s="31"/>
      <c r="O1339" s="31">
        <v>7.3</v>
      </c>
      <c r="P1339" s="29">
        <v>3.5</v>
      </c>
      <c r="Q1339" s="29">
        <v>11</v>
      </c>
    </row>
    <row r="1340" spans="1:17" x14ac:dyDescent="0.35">
      <c r="A1340" s="26">
        <v>40000002668</v>
      </c>
      <c r="B1340" s="31">
        <v>1</v>
      </c>
      <c r="C1340" s="29" t="str">
        <f>LOOKUP(A1340,'QALS - Inspection Lot Record'!$A$2:$A$361,'QALS - Inspection Lot Record'!$O$2:$O$361)</f>
        <v>Ibuprofen Tablets (100 MG)</v>
      </c>
      <c r="D1340" s="31">
        <v>30</v>
      </c>
      <c r="E1340" s="29" t="s">
        <v>401</v>
      </c>
      <c r="F1340" s="29" t="str">
        <f>LOOKUP(A1340,'QALS - Inspection Lot Record'!A:A,'QALS - Inspection Lot Record'!G:G)</f>
        <v>TG509538</v>
      </c>
      <c r="G1340" s="59">
        <f ca="1">LOOKUP(A1340,'QALS - Inspection Lot Record'!A:A,'QALS - Inspection Lot Record'!E:E)</f>
        <v>45953</v>
      </c>
      <c r="H1340" s="34" t="str">
        <f t="shared" si="105"/>
        <v>A</v>
      </c>
      <c r="I1340" s="29" t="str">
        <f t="shared" si="101"/>
        <v>TG509538</v>
      </c>
      <c r="J1340" s="59">
        <f t="shared" ca="1" si="102"/>
        <v>45953</v>
      </c>
      <c r="K1340" s="30">
        <f ca="1">LOOKUP(A1340,'QALS - Inspection Lot Record'!A:A,'QALS - Inspection Lot Record'!I:I)</f>
        <v>0.14636574074074074</v>
      </c>
      <c r="L1340" s="59">
        <f t="shared" ca="1" si="103"/>
        <v>45953</v>
      </c>
      <c r="M1340" s="30">
        <f t="shared" ca="1" si="104"/>
        <v>0.17577546296296295</v>
      </c>
      <c r="N1340" s="11" t="s">
        <v>402</v>
      </c>
      <c r="O1340" s="31"/>
      <c r="P1340" s="29"/>
      <c r="Q1340" s="29"/>
    </row>
    <row r="1341" spans="1:17" x14ac:dyDescent="0.35">
      <c r="A1341" s="26">
        <v>40000002668</v>
      </c>
      <c r="B1341" s="31">
        <v>1</v>
      </c>
      <c r="C1341" s="29" t="str">
        <f>LOOKUP(A1341,'QALS - Inspection Lot Record'!$A$2:$A$361,'QALS - Inspection Lot Record'!$O$2:$O$361)</f>
        <v>Ibuprofen Tablets (100 MG)</v>
      </c>
      <c r="D1341" s="31">
        <v>40</v>
      </c>
      <c r="E1341" s="29" t="s">
        <v>403</v>
      </c>
      <c r="F1341" s="29" t="str">
        <f>LOOKUP(A1341,'QALS - Inspection Lot Record'!A:A,'QALS - Inspection Lot Record'!G:G)</f>
        <v>TG509538</v>
      </c>
      <c r="G1341" s="59">
        <f ca="1">LOOKUP(A1341,'QALS - Inspection Lot Record'!A:A,'QALS - Inspection Lot Record'!E:E)</f>
        <v>45953</v>
      </c>
      <c r="H1341" s="34" t="str">
        <f t="shared" si="105"/>
        <v>A</v>
      </c>
      <c r="I1341" s="29" t="str">
        <f t="shared" si="101"/>
        <v>TG509538</v>
      </c>
      <c r="J1341" s="59">
        <f t="shared" ca="1" si="102"/>
        <v>45953</v>
      </c>
      <c r="K1341" s="30">
        <f ca="1">LOOKUP(A1341,'QALS - Inspection Lot Record'!A:A,'QALS - Inspection Lot Record'!I:I)</f>
        <v>0.14636574074074074</v>
      </c>
      <c r="L1341" s="59">
        <f t="shared" ca="1" si="103"/>
        <v>45953</v>
      </c>
      <c r="M1341" s="30">
        <f t="shared" ca="1" si="104"/>
        <v>0.17476851851851852</v>
      </c>
      <c r="N1341" s="31"/>
      <c r="O1341" s="31">
        <v>0</v>
      </c>
      <c r="P1341" s="29">
        <v>0</v>
      </c>
      <c r="Q1341" s="29">
        <v>1</v>
      </c>
    </row>
    <row r="1342" spans="1:17" x14ac:dyDescent="0.35">
      <c r="A1342" s="26">
        <v>40000002668</v>
      </c>
      <c r="B1342" s="31">
        <v>1</v>
      </c>
      <c r="C1342" s="29" t="str">
        <f>LOOKUP(A1342,'QALS - Inspection Lot Record'!$A$2:$A$361,'QALS - Inspection Lot Record'!$O$2:$O$361)</f>
        <v>Ibuprofen Tablets (100 MG)</v>
      </c>
      <c r="D1342" s="31">
        <v>50</v>
      </c>
      <c r="E1342" s="29" t="s">
        <v>404</v>
      </c>
      <c r="F1342" s="29" t="str">
        <f>LOOKUP(A1342,'QALS - Inspection Lot Record'!A:A,'QALS - Inspection Lot Record'!G:G)</f>
        <v>TG509538</v>
      </c>
      <c r="G1342" s="59">
        <f ca="1">LOOKUP(A1342,'QALS - Inspection Lot Record'!A:A,'QALS - Inspection Lot Record'!E:E)</f>
        <v>45953</v>
      </c>
      <c r="H1342" s="34" t="str">
        <f t="shared" si="105"/>
        <v>A</v>
      </c>
      <c r="I1342" s="29" t="str">
        <f t="shared" si="101"/>
        <v>TG509538</v>
      </c>
      <c r="J1342" s="59">
        <f t="shared" ca="1" si="102"/>
        <v>45953</v>
      </c>
      <c r="K1342" s="30">
        <f ca="1">LOOKUP(A1342,'QALS - Inspection Lot Record'!A:A,'QALS - Inspection Lot Record'!I:I)</f>
        <v>0.14636574074074074</v>
      </c>
      <c r="L1342" s="59">
        <f t="shared" ca="1" si="103"/>
        <v>45953</v>
      </c>
      <c r="M1342" s="30">
        <f t="shared" ca="1" si="104"/>
        <v>0.17670138888888889</v>
      </c>
      <c r="N1342" s="31"/>
      <c r="O1342" s="31">
        <v>50</v>
      </c>
      <c r="P1342" s="29">
        <v>40</v>
      </c>
      <c r="Q1342" s="29">
        <v>60</v>
      </c>
    </row>
    <row r="1343" spans="1:17" x14ac:dyDescent="0.35">
      <c r="A1343" s="26">
        <v>40000002668</v>
      </c>
      <c r="B1343" s="31">
        <v>1</v>
      </c>
      <c r="C1343" s="29" t="str">
        <f>LOOKUP(A1343,'QALS - Inspection Lot Record'!$A$2:$A$361,'QALS - Inspection Lot Record'!$O$2:$O$361)</f>
        <v>Ibuprofen Tablets (100 MG)</v>
      </c>
      <c r="D1343" s="31">
        <v>60</v>
      </c>
      <c r="E1343" s="29" t="s">
        <v>405</v>
      </c>
      <c r="F1343" s="29" t="str">
        <f>LOOKUP(A1343,'QALS - Inspection Lot Record'!A:A,'QALS - Inspection Lot Record'!G:G)</f>
        <v>TG509538</v>
      </c>
      <c r="G1343" s="59">
        <f ca="1">LOOKUP(A1343,'QALS - Inspection Lot Record'!A:A,'QALS - Inspection Lot Record'!E:E)</f>
        <v>45953</v>
      </c>
      <c r="H1343" s="34" t="str">
        <f t="shared" si="105"/>
        <v>A</v>
      </c>
      <c r="I1343" s="29" t="str">
        <f t="shared" si="101"/>
        <v>TG509538</v>
      </c>
      <c r="J1343" s="59">
        <f t="shared" ca="1" si="102"/>
        <v>45953</v>
      </c>
      <c r="K1343" s="30">
        <f ca="1">LOOKUP(A1343,'QALS - Inspection Lot Record'!A:A,'QALS - Inspection Lot Record'!I:I)</f>
        <v>0.14636574074074074</v>
      </c>
      <c r="L1343" s="59">
        <f t="shared" ca="1" si="103"/>
        <v>45953</v>
      </c>
      <c r="M1343" s="30">
        <f t="shared" ca="1" si="104"/>
        <v>0.1738773148148148</v>
      </c>
      <c r="N1343" s="31"/>
      <c r="O1343" s="31">
        <v>72</v>
      </c>
      <c r="P1343" s="29">
        <v>70</v>
      </c>
      <c r="Q1343" s="29">
        <v>85</v>
      </c>
    </row>
    <row r="1344" spans="1:17" x14ac:dyDescent="0.35">
      <c r="A1344" s="26">
        <v>40000002668</v>
      </c>
      <c r="B1344" s="31">
        <v>1</v>
      </c>
      <c r="C1344" s="29" t="str">
        <f>LOOKUP(A1344,'QALS - Inspection Lot Record'!$A$2:$A$361,'QALS - Inspection Lot Record'!$O$2:$O$361)</f>
        <v>Ibuprofen Tablets (100 MG)</v>
      </c>
      <c r="D1344" s="31">
        <v>70</v>
      </c>
      <c r="E1344" s="29" t="s">
        <v>406</v>
      </c>
      <c r="F1344" s="29" t="str">
        <f>LOOKUP(A1344,'QALS - Inspection Lot Record'!A:A,'QALS - Inspection Lot Record'!G:G)</f>
        <v>TG509538</v>
      </c>
      <c r="G1344" s="59">
        <f ca="1">LOOKUP(A1344,'QALS - Inspection Lot Record'!A:A,'QALS - Inspection Lot Record'!E:E)</f>
        <v>45953</v>
      </c>
      <c r="H1344" s="34" t="str">
        <f t="shared" si="105"/>
        <v>A</v>
      </c>
      <c r="I1344" s="29" t="str">
        <f t="shared" si="101"/>
        <v>TG509538</v>
      </c>
      <c r="J1344" s="59">
        <f t="shared" ca="1" si="102"/>
        <v>45953</v>
      </c>
      <c r="K1344" s="30">
        <f ca="1">LOOKUP(A1344,'QALS - Inspection Lot Record'!A:A,'QALS - Inspection Lot Record'!I:I)</f>
        <v>0.14636574074074074</v>
      </c>
      <c r="L1344" s="59">
        <f t="shared" ca="1" si="103"/>
        <v>45953</v>
      </c>
      <c r="M1344" s="30">
        <f t="shared" ca="1" si="104"/>
        <v>0.17336805555555557</v>
      </c>
      <c r="N1344" s="31"/>
      <c r="O1344" s="31">
        <v>85</v>
      </c>
      <c r="P1344" s="29">
        <v>80</v>
      </c>
      <c r="Q1344" s="29">
        <v>90</v>
      </c>
    </row>
    <row r="1345" spans="1:17" x14ac:dyDescent="0.35">
      <c r="A1345" s="26">
        <v>40000002668</v>
      </c>
      <c r="B1345" s="31">
        <v>1</v>
      </c>
      <c r="C1345" s="29" t="str">
        <f>LOOKUP(A1345,'QALS - Inspection Lot Record'!$A$2:$A$361,'QALS - Inspection Lot Record'!$O$2:$O$361)</f>
        <v>Ibuprofen Tablets (100 MG)</v>
      </c>
      <c r="D1345" s="31">
        <v>80</v>
      </c>
      <c r="E1345" s="29" t="s">
        <v>407</v>
      </c>
      <c r="F1345" s="29" t="str">
        <f>LOOKUP(A1345,'QALS - Inspection Lot Record'!A:A,'QALS - Inspection Lot Record'!G:G)</f>
        <v>TG509538</v>
      </c>
      <c r="G1345" s="59">
        <f ca="1">LOOKUP(A1345,'QALS - Inspection Lot Record'!A:A,'QALS - Inspection Lot Record'!E:E)</f>
        <v>45953</v>
      </c>
      <c r="H1345" s="34" t="str">
        <f t="shared" si="105"/>
        <v>A</v>
      </c>
      <c r="I1345" s="29" t="str">
        <f t="shared" si="101"/>
        <v>TG509538</v>
      </c>
      <c r="J1345" s="59">
        <f t="shared" ca="1" si="102"/>
        <v>45953</v>
      </c>
      <c r="K1345" s="30">
        <f ca="1">LOOKUP(A1345,'QALS - Inspection Lot Record'!A:A,'QALS - Inspection Lot Record'!I:I)</f>
        <v>0.14636574074074074</v>
      </c>
      <c r="L1345" s="59">
        <f t="shared" ca="1" si="103"/>
        <v>45953</v>
      </c>
      <c r="M1345" s="30">
        <f t="shared" ca="1" si="104"/>
        <v>0.17950231481481482</v>
      </c>
      <c r="N1345" s="31"/>
      <c r="O1345" s="31">
        <v>24</v>
      </c>
      <c r="P1345" s="29">
        <v>23</v>
      </c>
      <c r="Q1345" s="29">
        <v>25</v>
      </c>
    </row>
    <row r="1346" spans="1:17" x14ac:dyDescent="0.35">
      <c r="A1346" s="26">
        <v>40000002669</v>
      </c>
      <c r="B1346" s="27">
        <v>1</v>
      </c>
      <c r="C1346" s="29" t="str">
        <f>LOOKUP(A1346,'QALS - Inspection Lot Record'!$A$2:$A$361,'QALS - Inspection Lot Record'!$O$2:$O$361)</f>
        <v>Aspirin Tablets (500 MG)</v>
      </c>
      <c r="D1346" s="27">
        <v>10</v>
      </c>
      <c r="E1346" s="26" t="s">
        <v>399</v>
      </c>
      <c r="F1346" s="29" t="str">
        <f>LOOKUP(A1346,'QALS - Inspection Lot Record'!A:A,'QALS - Inspection Lot Record'!G:G)</f>
        <v>ZK384180</v>
      </c>
      <c r="G1346" s="59">
        <f ca="1">LOOKUP(A1346,'QALS - Inspection Lot Record'!A:A,'QALS - Inspection Lot Record'!E:E)</f>
        <v>45954</v>
      </c>
      <c r="H1346" s="34" t="str">
        <f t="shared" si="105"/>
        <v>R</v>
      </c>
      <c r="I1346" s="29" t="str">
        <f t="shared" ref="I1346:I1409" si="106">F1346</f>
        <v>ZK384180</v>
      </c>
      <c r="J1346" s="59">
        <f t="shared" ref="J1346:J1409" ca="1" si="107">G1346</f>
        <v>45954</v>
      </c>
      <c r="K1346" s="30">
        <f ca="1">LOOKUP(A1346,'QALS - Inspection Lot Record'!A:A,'QALS - Inspection Lot Record'!I:I)</f>
        <v>0.70446759259259262</v>
      </c>
      <c r="L1346" s="59">
        <f t="shared" ref="L1346:L1409" ca="1" si="108">G1346</f>
        <v>45954</v>
      </c>
      <c r="M1346" s="30">
        <f t="shared" ref="M1346:M1409" ca="1" si="109">K1346+TIME(0,RANDBETWEEN(25,50),RANDBETWEEN(0,59))</f>
        <v>0.73527777777777781</v>
      </c>
      <c r="N1346" s="31"/>
      <c r="O1346" s="31">
        <v>93.1</v>
      </c>
      <c r="P1346" s="29">
        <v>95</v>
      </c>
      <c r="Q1346" s="29">
        <v>105</v>
      </c>
    </row>
    <row r="1347" spans="1:17" x14ac:dyDescent="0.35">
      <c r="A1347" s="26">
        <v>40000002669</v>
      </c>
      <c r="B1347" s="27">
        <v>1</v>
      </c>
      <c r="C1347" s="29" t="str">
        <f>LOOKUP(A1347,'QALS - Inspection Lot Record'!$A$2:$A$361,'QALS - Inspection Lot Record'!$O$2:$O$361)</f>
        <v>Aspirin Tablets (500 MG)</v>
      </c>
      <c r="D1347" s="31">
        <v>20</v>
      </c>
      <c r="E1347" s="29" t="s">
        <v>400</v>
      </c>
      <c r="F1347" s="29" t="str">
        <f>LOOKUP(A1347,'QALS - Inspection Lot Record'!A:A,'QALS - Inspection Lot Record'!G:G)</f>
        <v>ZK384180</v>
      </c>
      <c r="G1347" s="59">
        <f ca="1">LOOKUP(A1347,'QALS - Inspection Lot Record'!A:A,'QALS - Inspection Lot Record'!E:E)</f>
        <v>45954</v>
      </c>
      <c r="H1347" s="34" t="str">
        <f t="shared" si="105"/>
        <v>R</v>
      </c>
      <c r="I1347" s="29" t="str">
        <f t="shared" si="106"/>
        <v>ZK384180</v>
      </c>
      <c r="J1347" s="59">
        <f t="shared" ca="1" si="107"/>
        <v>45954</v>
      </c>
      <c r="K1347" s="30">
        <f ca="1">LOOKUP(A1347,'QALS - Inspection Lot Record'!A:A,'QALS - Inspection Lot Record'!I:I)</f>
        <v>0.70446759259259262</v>
      </c>
      <c r="L1347" s="59">
        <f t="shared" ca="1" si="108"/>
        <v>45954</v>
      </c>
      <c r="M1347" s="30">
        <f t="shared" ca="1" si="109"/>
        <v>0.73577546296296303</v>
      </c>
      <c r="N1347" s="31"/>
      <c r="O1347" s="31">
        <v>2.5</v>
      </c>
      <c r="P1347" s="29">
        <v>3.5</v>
      </c>
      <c r="Q1347" s="29">
        <v>11</v>
      </c>
    </row>
    <row r="1348" spans="1:17" x14ac:dyDescent="0.35">
      <c r="A1348" s="26">
        <v>40000002669</v>
      </c>
      <c r="B1348" s="31">
        <v>1</v>
      </c>
      <c r="C1348" s="29" t="str">
        <f>LOOKUP(A1348,'QALS - Inspection Lot Record'!$A$2:$A$361,'QALS - Inspection Lot Record'!$O$2:$O$361)</f>
        <v>Aspirin Tablets (500 MG)</v>
      </c>
      <c r="D1348" s="31">
        <v>30</v>
      </c>
      <c r="E1348" s="29" t="s">
        <v>401</v>
      </c>
      <c r="F1348" s="29" t="str">
        <f>LOOKUP(A1348,'QALS - Inspection Lot Record'!A:A,'QALS - Inspection Lot Record'!G:G)</f>
        <v>ZK384180</v>
      </c>
      <c r="G1348" s="59">
        <f ca="1">LOOKUP(A1348,'QALS - Inspection Lot Record'!A:A,'QALS - Inspection Lot Record'!E:E)</f>
        <v>45954</v>
      </c>
      <c r="H1348" s="34" t="str">
        <f t="shared" si="105"/>
        <v>A</v>
      </c>
      <c r="I1348" s="29" t="str">
        <f t="shared" si="106"/>
        <v>ZK384180</v>
      </c>
      <c r="J1348" s="59">
        <f t="shared" ca="1" si="107"/>
        <v>45954</v>
      </c>
      <c r="K1348" s="30">
        <f ca="1">LOOKUP(A1348,'QALS - Inspection Lot Record'!A:A,'QALS - Inspection Lot Record'!I:I)</f>
        <v>0.70446759259259262</v>
      </c>
      <c r="L1348" s="59">
        <f t="shared" ca="1" si="108"/>
        <v>45954</v>
      </c>
      <c r="M1348" s="30">
        <f t="shared" ca="1" si="109"/>
        <v>0.73745370370370378</v>
      </c>
      <c r="N1348" s="11" t="s">
        <v>402</v>
      </c>
      <c r="O1348" s="31"/>
      <c r="P1348" s="29"/>
      <c r="Q1348" s="29"/>
    </row>
    <row r="1349" spans="1:17" x14ac:dyDescent="0.35">
      <c r="A1349" s="26">
        <v>40000002669</v>
      </c>
      <c r="B1349" s="31">
        <v>1</v>
      </c>
      <c r="C1349" s="29" t="str">
        <f>LOOKUP(A1349,'QALS - Inspection Lot Record'!$A$2:$A$361,'QALS - Inspection Lot Record'!$O$2:$O$361)</f>
        <v>Aspirin Tablets (500 MG)</v>
      </c>
      <c r="D1349" s="31">
        <v>40</v>
      </c>
      <c r="E1349" s="29" t="s">
        <v>403</v>
      </c>
      <c r="F1349" s="29" t="str">
        <f>LOOKUP(A1349,'QALS - Inspection Lot Record'!A:A,'QALS - Inspection Lot Record'!G:G)</f>
        <v>ZK384180</v>
      </c>
      <c r="G1349" s="59">
        <f ca="1">LOOKUP(A1349,'QALS - Inspection Lot Record'!A:A,'QALS - Inspection Lot Record'!E:E)</f>
        <v>45954</v>
      </c>
      <c r="H1349" s="34" t="str">
        <f t="shared" si="105"/>
        <v>A</v>
      </c>
      <c r="I1349" s="29" t="str">
        <f t="shared" si="106"/>
        <v>ZK384180</v>
      </c>
      <c r="J1349" s="59">
        <f t="shared" ca="1" si="107"/>
        <v>45954</v>
      </c>
      <c r="K1349" s="30">
        <f ca="1">LOOKUP(A1349,'QALS - Inspection Lot Record'!A:A,'QALS - Inspection Lot Record'!I:I)</f>
        <v>0.70446759259259262</v>
      </c>
      <c r="L1349" s="59">
        <f t="shared" ca="1" si="108"/>
        <v>45954</v>
      </c>
      <c r="M1349" s="30">
        <f t="shared" ca="1" si="109"/>
        <v>0.72364583333333332</v>
      </c>
      <c r="N1349" s="31"/>
      <c r="O1349" s="31">
        <v>1.8</v>
      </c>
      <c r="P1349" s="29">
        <v>0</v>
      </c>
      <c r="Q1349" s="29">
        <v>2.5</v>
      </c>
    </row>
    <row r="1350" spans="1:17" x14ac:dyDescent="0.35">
      <c r="A1350" s="26">
        <v>40000002669</v>
      </c>
      <c r="B1350" s="31">
        <v>1</v>
      </c>
      <c r="C1350" s="29" t="str">
        <f>LOOKUP(A1350,'QALS - Inspection Lot Record'!$A$2:$A$361,'QALS - Inspection Lot Record'!$O$2:$O$361)</f>
        <v>Aspirin Tablets (500 MG)</v>
      </c>
      <c r="D1350" s="31">
        <v>50</v>
      </c>
      <c r="E1350" s="29" t="s">
        <v>404</v>
      </c>
      <c r="F1350" s="29" t="str">
        <f>LOOKUP(A1350,'QALS - Inspection Lot Record'!A:A,'QALS - Inspection Lot Record'!G:G)</f>
        <v>ZK384180</v>
      </c>
      <c r="G1350" s="59">
        <f ca="1">LOOKUP(A1350,'QALS - Inspection Lot Record'!A:A,'QALS - Inspection Lot Record'!E:E)</f>
        <v>45954</v>
      </c>
      <c r="H1350" s="34" t="str">
        <f t="shared" si="105"/>
        <v>A</v>
      </c>
      <c r="I1350" s="29" t="str">
        <f t="shared" si="106"/>
        <v>ZK384180</v>
      </c>
      <c r="J1350" s="59">
        <f t="shared" ca="1" si="107"/>
        <v>45954</v>
      </c>
      <c r="K1350" s="30">
        <f ca="1">LOOKUP(A1350,'QALS - Inspection Lot Record'!A:A,'QALS - Inspection Lot Record'!I:I)</f>
        <v>0.70446759259259262</v>
      </c>
      <c r="L1350" s="59">
        <f t="shared" ca="1" si="108"/>
        <v>45954</v>
      </c>
      <c r="M1350" s="30">
        <f t="shared" ca="1" si="109"/>
        <v>0.73120370370370369</v>
      </c>
      <c r="N1350" s="31"/>
      <c r="O1350" s="31">
        <v>42.8</v>
      </c>
      <c r="P1350" s="29">
        <v>40</v>
      </c>
      <c r="Q1350" s="29">
        <v>60</v>
      </c>
    </row>
    <row r="1351" spans="1:17" x14ac:dyDescent="0.35">
      <c r="A1351" s="26">
        <v>40000002669</v>
      </c>
      <c r="B1351" s="31">
        <v>1</v>
      </c>
      <c r="C1351" s="29" t="str">
        <f>LOOKUP(A1351,'QALS - Inspection Lot Record'!$A$2:$A$361,'QALS - Inspection Lot Record'!$O$2:$O$361)</f>
        <v>Aspirin Tablets (500 MG)</v>
      </c>
      <c r="D1351" s="31">
        <v>60</v>
      </c>
      <c r="E1351" s="29" t="s">
        <v>405</v>
      </c>
      <c r="F1351" s="29" t="str">
        <f>LOOKUP(A1351,'QALS - Inspection Lot Record'!A:A,'QALS - Inspection Lot Record'!G:G)</f>
        <v>ZK384180</v>
      </c>
      <c r="G1351" s="59">
        <f ca="1">LOOKUP(A1351,'QALS - Inspection Lot Record'!A:A,'QALS - Inspection Lot Record'!E:E)</f>
        <v>45954</v>
      </c>
      <c r="H1351" s="34" t="str">
        <f t="shared" si="105"/>
        <v>A</v>
      </c>
      <c r="I1351" s="29" t="str">
        <f t="shared" si="106"/>
        <v>ZK384180</v>
      </c>
      <c r="J1351" s="59">
        <f t="shared" ca="1" si="107"/>
        <v>45954</v>
      </c>
      <c r="K1351" s="30">
        <f ca="1">LOOKUP(A1351,'QALS - Inspection Lot Record'!A:A,'QALS - Inspection Lot Record'!I:I)</f>
        <v>0.70446759259259262</v>
      </c>
      <c r="L1351" s="59">
        <f t="shared" ca="1" si="108"/>
        <v>45954</v>
      </c>
      <c r="M1351" s="30">
        <f t="shared" ca="1" si="109"/>
        <v>0.73064814814814816</v>
      </c>
      <c r="N1351" s="31"/>
      <c r="O1351" s="31">
        <v>76.3</v>
      </c>
      <c r="P1351" s="29">
        <v>70</v>
      </c>
      <c r="Q1351" s="29">
        <v>85</v>
      </c>
    </row>
    <row r="1352" spans="1:17" x14ac:dyDescent="0.35">
      <c r="A1352" s="26">
        <v>40000002669</v>
      </c>
      <c r="B1352" s="31">
        <v>1</v>
      </c>
      <c r="C1352" s="29" t="str">
        <f>LOOKUP(A1352,'QALS - Inspection Lot Record'!$A$2:$A$361,'QALS - Inspection Lot Record'!$O$2:$O$361)</f>
        <v>Aspirin Tablets (500 MG)</v>
      </c>
      <c r="D1352" s="31">
        <v>70</v>
      </c>
      <c r="E1352" s="29" t="s">
        <v>406</v>
      </c>
      <c r="F1352" s="29" t="str">
        <f>LOOKUP(A1352,'QALS - Inspection Lot Record'!A:A,'QALS - Inspection Lot Record'!G:G)</f>
        <v>ZK384180</v>
      </c>
      <c r="G1352" s="59">
        <f ca="1">LOOKUP(A1352,'QALS - Inspection Lot Record'!A:A,'QALS - Inspection Lot Record'!E:E)</f>
        <v>45954</v>
      </c>
      <c r="H1352" s="34" t="str">
        <f t="shared" si="105"/>
        <v>R</v>
      </c>
      <c r="I1352" s="29" t="str">
        <f t="shared" si="106"/>
        <v>ZK384180</v>
      </c>
      <c r="J1352" s="59">
        <f t="shared" ca="1" si="107"/>
        <v>45954</v>
      </c>
      <c r="K1352" s="30">
        <f ca="1">LOOKUP(A1352,'QALS - Inspection Lot Record'!A:A,'QALS - Inspection Lot Record'!I:I)</f>
        <v>0.70446759259259262</v>
      </c>
      <c r="L1352" s="59">
        <f t="shared" ca="1" si="108"/>
        <v>45954</v>
      </c>
      <c r="M1352" s="30">
        <f t="shared" ca="1" si="109"/>
        <v>0.73861111111111111</v>
      </c>
      <c r="N1352" s="31"/>
      <c r="O1352" s="31">
        <v>78</v>
      </c>
      <c r="P1352" s="29">
        <v>80</v>
      </c>
      <c r="Q1352" s="29">
        <v>90</v>
      </c>
    </row>
    <row r="1353" spans="1:17" x14ac:dyDescent="0.35">
      <c r="A1353" s="26">
        <v>40000002669</v>
      </c>
      <c r="B1353" s="31">
        <v>1</v>
      </c>
      <c r="C1353" s="29" t="str">
        <f>LOOKUP(A1353,'QALS - Inspection Lot Record'!$A$2:$A$361,'QALS - Inspection Lot Record'!$O$2:$O$361)</f>
        <v>Aspirin Tablets (500 MG)</v>
      </c>
      <c r="D1353" s="31">
        <v>80</v>
      </c>
      <c r="E1353" s="29" t="s">
        <v>407</v>
      </c>
      <c r="F1353" s="29" t="str">
        <f>LOOKUP(A1353,'QALS - Inspection Lot Record'!A:A,'QALS - Inspection Lot Record'!G:G)</f>
        <v>ZK384180</v>
      </c>
      <c r="G1353" s="59">
        <f ca="1">LOOKUP(A1353,'QALS - Inspection Lot Record'!A:A,'QALS - Inspection Lot Record'!E:E)</f>
        <v>45954</v>
      </c>
      <c r="H1353" s="34" t="str">
        <f t="shared" si="105"/>
        <v>A</v>
      </c>
      <c r="I1353" s="29" t="str">
        <f t="shared" si="106"/>
        <v>ZK384180</v>
      </c>
      <c r="J1353" s="59">
        <f t="shared" ca="1" si="107"/>
        <v>45954</v>
      </c>
      <c r="K1353" s="30">
        <f ca="1">LOOKUP(A1353,'QALS - Inspection Lot Record'!A:A,'QALS - Inspection Lot Record'!I:I)</f>
        <v>0.70446759259259262</v>
      </c>
      <c r="L1353" s="59">
        <f t="shared" ca="1" si="108"/>
        <v>45954</v>
      </c>
      <c r="M1353" s="30">
        <f t="shared" ca="1" si="109"/>
        <v>0.72991898148148149</v>
      </c>
      <c r="N1353" s="31"/>
      <c r="O1353" s="31">
        <v>24.6</v>
      </c>
      <c r="P1353" s="29">
        <v>23</v>
      </c>
      <c r="Q1353" s="29">
        <v>28</v>
      </c>
    </row>
    <row r="1354" spans="1:17" x14ac:dyDescent="0.35">
      <c r="A1354" s="26">
        <v>40000002670</v>
      </c>
      <c r="B1354" s="27">
        <v>1</v>
      </c>
      <c r="C1354" s="29" t="str">
        <f>LOOKUP(A1354,'QALS - Inspection Lot Record'!$A$2:$A$361,'QALS - Inspection Lot Record'!$O$2:$O$361)</f>
        <v>Ibuprofen Tablets (100 MG)</v>
      </c>
      <c r="D1354" s="27">
        <v>10</v>
      </c>
      <c r="E1354" s="26" t="s">
        <v>399</v>
      </c>
      <c r="F1354" s="29" t="str">
        <f>LOOKUP(A1354,'QALS - Inspection Lot Record'!A:A,'QALS - Inspection Lot Record'!G:G)</f>
        <v>GC197258</v>
      </c>
      <c r="G1354" s="59">
        <f ca="1">LOOKUP(A1354,'QALS - Inspection Lot Record'!A:A,'QALS - Inspection Lot Record'!E:E)</f>
        <v>45954</v>
      </c>
      <c r="H1354" s="34" t="str">
        <f t="shared" ref="H1354:H1417" si="110">IF(AND(P1354&lt;=O1354,O1354&lt;=Q1354),"A","R")</f>
        <v>R</v>
      </c>
      <c r="I1354" s="29" t="str">
        <f t="shared" si="106"/>
        <v>GC197258</v>
      </c>
      <c r="J1354" s="59">
        <f t="shared" ca="1" si="107"/>
        <v>45954</v>
      </c>
      <c r="K1354" s="30">
        <f ca="1">LOOKUP(A1354,'QALS - Inspection Lot Record'!A:A,'QALS - Inspection Lot Record'!I:I)</f>
        <v>0.18612268518518518</v>
      </c>
      <c r="L1354" s="59">
        <f t="shared" ca="1" si="108"/>
        <v>45954</v>
      </c>
      <c r="M1354" s="30">
        <f t="shared" ca="1" si="109"/>
        <v>0.21937499999999999</v>
      </c>
      <c r="N1354" s="31"/>
      <c r="O1354" s="31">
        <v>93.4</v>
      </c>
      <c r="P1354" s="29">
        <v>95</v>
      </c>
      <c r="Q1354" s="29">
        <v>102</v>
      </c>
    </row>
    <row r="1355" spans="1:17" x14ac:dyDescent="0.35">
      <c r="A1355" s="26">
        <v>40000002670</v>
      </c>
      <c r="B1355" s="27">
        <v>1</v>
      </c>
      <c r="C1355" s="29" t="str">
        <f>LOOKUP(A1355,'QALS - Inspection Lot Record'!$A$2:$A$361,'QALS - Inspection Lot Record'!$O$2:$O$361)</f>
        <v>Ibuprofen Tablets (100 MG)</v>
      </c>
      <c r="D1355" s="31">
        <v>20</v>
      </c>
      <c r="E1355" s="29" t="s">
        <v>400</v>
      </c>
      <c r="F1355" s="29" t="str">
        <f>LOOKUP(A1355,'QALS - Inspection Lot Record'!A:A,'QALS - Inspection Lot Record'!G:G)</f>
        <v>GC197258</v>
      </c>
      <c r="G1355" s="59">
        <f ca="1">LOOKUP(A1355,'QALS - Inspection Lot Record'!A:A,'QALS - Inspection Lot Record'!E:E)</f>
        <v>45954</v>
      </c>
      <c r="H1355" s="34" t="str">
        <f t="shared" si="110"/>
        <v>R</v>
      </c>
      <c r="I1355" s="29" t="str">
        <f t="shared" si="106"/>
        <v>GC197258</v>
      </c>
      <c r="J1355" s="59">
        <f t="shared" ca="1" si="107"/>
        <v>45954</v>
      </c>
      <c r="K1355" s="30">
        <f ca="1">LOOKUP(A1355,'QALS - Inspection Lot Record'!A:A,'QALS - Inspection Lot Record'!I:I)</f>
        <v>0.18612268518518518</v>
      </c>
      <c r="L1355" s="59">
        <f t="shared" ca="1" si="108"/>
        <v>45954</v>
      </c>
      <c r="M1355" s="30">
        <f t="shared" ca="1" si="109"/>
        <v>0.21942129629629631</v>
      </c>
      <c r="N1355" s="31"/>
      <c r="O1355" s="31">
        <v>1.5</v>
      </c>
      <c r="P1355" s="29">
        <v>3.5</v>
      </c>
      <c r="Q1355" s="29">
        <v>11</v>
      </c>
    </row>
    <row r="1356" spans="1:17" x14ac:dyDescent="0.35">
      <c r="A1356" s="26">
        <v>40000002670</v>
      </c>
      <c r="B1356" s="31">
        <v>1</v>
      </c>
      <c r="C1356" s="29" t="str">
        <f>LOOKUP(A1356,'QALS - Inspection Lot Record'!$A$2:$A$361,'QALS - Inspection Lot Record'!$O$2:$O$361)</f>
        <v>Ibuprofen Tablets (100 MG)</v>
      </c>
      <c r="D1356" s="31">
        <v>30</v>
      </c>
      <c r="E1356" s="29" t="s">
        <v>401</v>
      </c>
      <c r="F1356" s="29" t="str">
        <f>LOOKUP(A1356,'QALS - Inspection Lot Record'!A:A,'QALS - Inspection Lot Record'!G:G)</f>
        <v>GC197258</v>
      </c>
      <c r="G1356" s="59">
        <f ca="1">LOOKUP(A1356,'QALS - Inspection Lot Record'!A:A,'QALS - Inspection Lot Record'!E:E)</f>
        <v>45954</v>
      </c>
      <c r="H1356" s="34" t="str">
        <f t="shared" si="110"/>
        <v>A</v>
      </c>
      <c r="I1356" s="29" t="str">
        <f t="shared" si="106"/>
        <v>GC197258</v>
      </c>
      <c r="J1356" s="59">
        <f t="shared" ca="1" si="107"/>
        <v>45954</v>
      </c>
      <c r="K1356" s="30">
        <f ca="1">LOOKUP(A1356,'QALS - Inspection Lot Record'!A:A,'QALS - Inspection Lot Record'!I:I)</f>
        <v>0.18612268518518518</v>
      </c>
      <c r="L1356" s="59">
        <f t="shared" ca="1" si="108"/>
        <v>45954</v>
      </c>
      <c r="M1356" s="30">
        <f t="shared" ca="1" si="109"/>
        <v>0.20598379629629629</v>
      </c>
      <c r="N1356" s="11" t="s">
        <v>402</v>
      </c>
      <c r="O1356" s="31"/>
      <c r="P1356" s="29"/>
      <c r="Q1356" s="29"/>
    </row>
    <row r="1357" spans="1:17" x14ac:dyDescent="0.35">
      <c r="A1357" s="26">
        <v>40000002670</v>
      </c>
      <c r="B1357" s="31">
        <v>1</v>
      </c>
      <c r="C1357" s="29" t="str">
        <f>LOOKUP(A1357,'QALS - Inspection Lot Record'!$A$2:$A$361,'QALS - Inspection Lot Record'!$O$2:$O$361)</f>
        <v>Ibuprofen Tablets (100 MG)</v>
      </c>
      <c r="D1357" s="31">
        <v>40</v>
      </c>
      <c r="E1357" s="29" t="s">
        <v>403</v>
      </c>
      <c r="F1357" s="29" t="str">
        <f>LOOKUP(A1357,'QALS - Inspection Lot Record'!A:A,'QALS - Inspection Lot Record'!G:G)</f>
        <v>GC197258</v>
      </c>
      <c r="G1357" s="59">
        <f ca="1">LOOKUP(A1357,'QALS - Inspection Lot Record'!A:A,'QALS - Inspection Lot Record'!E:E)</f>
        <v>45954</v>
      </c>
      <c r="H1357" s="34" t="str">
        <f t="shared" si="110"/>
        <v>A</v>
      </c>
      <c r="I1357" s="29" t="str">
        <f t="shared" si="106"/>
        <v>GC197258</v>
      </c>
      <c r="J1357" s="59">
        <f t="shared" ca="1" si="107"/>
        <v>45954</v>
      </c>
      <c r="K1357" s="30">
        <f ca="1">LOOKUP(A1357,'QALS - Inspection Lot Record'!A:A,'QALS - Inspection Lot Record'!I:I)</f>
        <v>0.18612268518518518</v>
      </c>
      <c r="L1357" s="59">
        <f t="shared" ca="1" si="108"/>
        <v>45954</v>
      </c>
      <c r="M1357" s="30">
        <f t="shared" ca="1" si="109"/>
        <v>0.21781249999999999</v>
      </c>
      <c r="N1357" s="31"/>
      <c r="O1357" s="31">
        <v>0.5</v>
      </c>
      <c r="P1357" s="29">
        <v>0</v>
      </c>
      <c r="Q1357" s="29">
        <v>1</v>
      </c>
    </row>
    <row r="1358" spans="1:17" x14ac:dyDescent="0.35">
      <c r="A1358" s="26">
        <v>40000002670</v>
      </c>
      <c r="B1358" s="31">
        <v>1</v>
      </c>
      <c r="C1358" s="29" t="str">
        <f>LOOKUP(A1358,'QALS - Inspection Lot Record'!$A$2:$A$361,'QALS - Inspection Lot Record'!$O$2:$O$361)</f>
        <v>Ibuprofen Tablets (100 MG)</v>
      </c>
      <c r="D1358" s="31">
        <v>50</v>
      </c>
      <c r="E1358" s="29" t="s">
        <v>404</v>
      </c>
      <c r="F1358" s="29" t="str">
        <f>LOOKUP(A1358,'QALS - Inspection Lot Record'!A:A,'QALS - Inspection Lot Record'!G:G)</f>
        <v>GC197258</v>
      </c>
      <c r="G1358" s="59">
        <f ca="1">LOOKUP(A1358,'QALS - Inspection Lot Record'!A:A,'QALS - Inspection Lot Record'!E:E)</f>
        <v>45954</v>
      </c>
      <c r="H1358" s="34" t="str">
        <f t="shared" si="110"/>
        <v>A</v>
      </c>
      <c r="I1358" s="29" t="str">
        <f t="shared" si="106"/>
        <v>GC197258</v>
      </c>
      <c r="J1358" s="59">
        <f t="shared" ca="1" si="107"/>
        <v>45954</v>
      </c>
      <c r="K1358" s="30">
        <f ca="1">LOOKUP(A1358,'QALS - Inspection Lot Record'!A:A,'QALS - Inspection Lot Record'!I:I)</f>
        <v>0.18612268518518518</v>
      </c>
      <c r="L1358" s="59">
        <f t="shared" ca="1" si="108"/>
        <v>45954</v>
      </c>
      <c r="M1358" s="30">
        <f t="shared" ca="1" si="109"/>
        <v>0.22104166666666666</v>
      </c>
      <c r="N1358" s="31"/>
      <c r="O1358" s="31">
        <v>46</v>
      </c>
      <c r="P1358" s="29">
        <v>40</v>
      </c>
      <c r="Q1358" s="29">
        <v>60</v>
      </c>
    </row>
    <row r="1359" spans="1:17" x14ac:dyDescent="0.35">
      <c r="A1359" s="26">
        <v>40000002670</v>
      </c>
      <c r="B1359" s="31">
        <v>1</v>
      </c>
      <c r="C1359" s="29" t="str">
        <f>LOOKUP(A1359,'QALS - Inspection Lot Record'!$A$2:$A$361,'QALS - Inspection Lot Record'!$O$2:$O$361)</f>
        <v>Ibuprofen Tablets (100 MG)</v>
      </c>
      <c r="D1359" s="31">
        <v>60</v>
      </c>
      <c r="E1359" s="29" t="s">
        <v>405</v>
      </c>
      <c r="F1359" s="29" t="str">
        <f>LOOKUP(A1359,'QALS - Inspection Lot Record'!A:A,'QALS - Inspection Lot Record'!G:G)</f>
        <v>GC197258</v>
      </c>
      <c r="G1359" s="59">
        <f ca="1">LOOKUP(A1359,'QALS - Inspection Lot Record'!A:A,'QALS - Inspection Lot Record'!E:E)</f>
        <v>45954</v>
      </c>
      <c r="H1359" s="34" t="str">
        <f t="shared" si="110"/>
        <v>A</v>
      </c>
      <c r="I1359" s="29" t="str">
        <f t="shared" si="106"/>
        <v>GC197258</v>
      </c>
      <c r="J1359" s="59">
        <f t="shared" ca="1" si="107"/>
        <v>45954</v>
      </c>
      <c r="K1359" s="30">
        <f ca="1">LOOKUP(A1359,'QALS - Inspection Lot Record'!A:A,'QALS - Inspection Lot Record'!I:I)</f>
        <v>0.18612268518518518</v>
      </c>
      <c r="L1359" s="59">
        <f t="shared" ca="1" si="108"/>
        <v>45954</v>
      </c>
      <c r="M1359" s="30">
        <f t="shared" ca="1" si="109"/>
        <v>0.21303240740740742</v>
      </c>
      <c r="N1359" s="31"/>
      <c r="O1359" s="31">
        <v>74.3</v>
      </c>
      <c r="P1359" s="29">
        <v>70</v>
      </c>
      <c r="Q1359" s="29">
        <v>85</v>
      </c>
    </row>
    <row r="1360" spans="1:17" x14ac:dyDescent="0.35">
      <c r="A1360" s="26">
        <v>40000002670</v>
      </c>
      <c r="B1360" s="31">
        <v>1</v>
      </c>
      <c r="C1360" s="29" t="str">
        <f>LOOKUP(A1360,'QALS - Inspection Lot Record'!$A$2:$A$361,'QALS - Inspection Lot Record'!$O$2:$O$361)</f>
        <v>Ibuprofen Tablets (100 MG)</v>
      </c>
      <c r="D1360" s="31">
        <v>70</v>
      </c>
      <c r="E1360" s="29" t="s">
        <v>406</v>
      </c>
      <c r="F1360" s="29" t="str">
        <f>LOOKUP(A1360,'QALS - Inspection Lot Record'!A:A,'QALS - Inspection Lot Record'!G:G)</f>
        <v>GC197258</v>
      </c>
      <c r="G1360" s="59">
        <f ca="1">LOOKUP(A1360,'QALS - Inspection Lot Record'!A:A,'QALS - Inspection Lot Record'!E:E)</f>
        <v>45954</v>
      </c>
      <c r="H1360" s="34" t="str">
        <f t="shared" si="110"/>
        <v>R</v>
      </c>
      <c r="I1360" s="29" t="str">
        <f t="shared" si="106"/>
        <v>GC197258</v>
      </c>
      <c r="J1360" s="59">
        <f t="shared" ca="1" si="107"/>
        <v>45954</v>
      </c>
      <c r="K1360" s="30">
        <f ca="1">LOOKUP(A1360,'QALS - Inspection Lot Record'!A:A,'QALS - Inspection Lot Record'!I:I)</f>
        <v>0.18612268518518518</v>
      </c>
      <c r="L1360" s="59">
        <f t="shared" ca="1" si="108"/>
        <v>45954</v>
      </c>
      <c r="M1360" s="30">
        <f t="shared" ca="1" si="109"/>
        <v>0.21903935185185186</v>
      </c>
      <c r="N1360" s="31"/>
      <c r="O1360" s="31">
        <v>78.400000000000006</v>
      </c>
      <c r="P1360" s="29">
        <v>80</v>
      </c>
      <c r="Q1360" s="29">
        <v>90</v>
      </c>
    </row>
    <row r="1361" spans="1:17" x14ac:dyDescent="0.35">
      <c r="A1361" s="26">
        <v>40000002670</v>
      </c>
      <c r="B1361" s="31">
        <v>1</v>
      </c>
      <c r="C1361" s="29" t="str">
        <f>LOOKUP(A1361,'QALS - Inspection Lot Record'!$A$2:$A$361,'QALS - Inspection Lot Record'!$O$2:$O$361)</f>
        <v>Ibuprofen Tablets (100 MG)</v>
      </c>
      <c r="D1361" s="31">
        <v>80</v>
      </c>
      <c r="E1361" s="29" t="s">
        <v>407</v>
      </c>
      <c r="F1361" s="29" t="str">
        <f>LOOKUP(A1361,'QALS - Inspection Lot Record'!A:A,'QALS - Inspection Lot Record'!G:G)</f>
        <v>GC197258</v>
      </c>
      <c r="G1361" s="59">
        <f ca="1">LOOKUP(A1361,'QALS - Inspection Lot Record'!A:A,'QALS - Inspection Lot Record'!E:E)</f>
        <v>45954</v>
      </c>
      <c r="H1361" s="34" t="str">
        <f t="shared" si="110"/>
        <v>R</v>
      </c>
      <c r="I1361" s="29" t="str">
        <f t="shared" si="106"/>
        <v>GC197258</v>
      </c>
      <c r="J1361" s="59">
        <f t="shared" ca="1" si="107"/>
        <v>45954</v>
      </c>
      <c r="K1361" s="30">
        <f ca="1">LOOKUP(A1361,'QALS - Inspection Lot Record'!A:A,'QALS - Inspection Lot Record'!I:I)</f>
        <v>0.18612268518518518</v>
      </c>
      <c r="L1361" s="59">
        <f t="shared" ca="1" si="108"/>
        <v>45954</v>
      </c>
      <c r="M1361" s="30">
        <f t="shared" ca="1" si="109"/>
        <v>0.20560185185185184</v>
      </c>
      <c r="N1361" s="31"/>
      <c r="O1361" s="31">
        <v>22</v>
      </c>
      <c r="P1361" s="29">
        <v>23</v>
      </c>
      <c r="Q1361" s="29">
        <v>25</v>
      </c>
    </row>
    <row r="1362" spans="1:17" x14ac:dyDescent="0.35">
      <c r="A1362" s="26">
        <v>40000002671</v>
      </c>
      <c r="B1362" s="27">
        <v>1</v>
      </c>
      <c r="C1362" s="29" t="str">
        <f>LOOKUP(A1362,'QALS - Inspection Lot Record'!$A$2:$A$361,'QALS - Inspection Lot Record'!$O$2:$O$361)</f>
        <v>Aspirin Tablets (500 MG)</v>
      </c>
      <c r="D1362" s="27">
        <v>10</v>
      </c>
      <c r="E1362" s="26" t="s">
        <v>399</v>
      </c>
      <c r="F1362" s="29" t="str">
        <f>LOOKUP(A1362,'QALS - Inspection Lot Record'!A:A,'QALS - Inspection Lot Record'!G:G)</f>
        <v>AB406550</v>
      </c>
      <c r="G1362" s="59">
        <f ca="1">LOOKUP(A1362,'QALS - Inspection Lot Record'!A:A,'QALS - Inspection Lot Record'!E:E)</f>
        <v>45955</v>
      </c>
      <c r="H1362" s="34" t="str">
        <f t="shared" si="110"/>
        <v>A</v>
      </c>
      <c r="I1362" s="29" t="str">
        <f t="shared" si="106"/>
        <v>AB406550</v>
      </c>
      <c r="J1362" s="59">
        <f t="shared" ca="1" si="107"/>
        <v>45955</v>
      </c>
      <c r="K1362" s="30">
        <f ca="1">LOOKUP(A1362,'QALS - Inspection Lot Record'!A:A,'QALS - Inspection Lot Record'!I:I)</f>
        <v>0.63521990740740741</v>
      </c>
      <c r="L1362" s="59">
        <f t="shared" ca="1" si="108"/>
        <v>45955</v>
      </c>
      <c r="M1362" s="30">
        <f t="shared" ca="1" si="109"/>
        <v>0.6582986111111111</v>
      </c>
      <c r="N1362" s="31"/>
      <c r="O1362" s="31">
        <v>100</v>
      </c>
      <c r="P1362" s="29">
        <v>95</v>
      </c>
      <c r="Q1362" s="29">
        <v>105</v>
      </c>
    </row>
    <row r="1363" spans="1:17" x14ac:dyDescent="0.35">
      <c r="A1363" s="26">
        <v>40000002671</v>
      </c>
      <c r="B1363" s="27">
        <v>1</v>
      </c>
      <c r="C1363" s="29" t="str">
        <f>LOOKUP(A1363,'QALS - Inspection Lot Record'!$A$2:$A$361,'QALS - Inspection Lot Record'!$O$2:$O$361)</f>
        <v>Aspirin Tablets (500 MG)</v>
      </c>
      <c r="D1363" s="31">
        <v>20</v>
      </c>
      <c r="E1363" s="29" t="s">
        <v>400</v>
      </c>
      <c r="F1363" s="29" t="str">
        <f>LOOKUP(A1363,'QALS - Inspection Lot Record'!A:A,'QALS - Inspection Lot Record'!G:G)</f>
        <v>AB406550</v>
      </c>
      <c r="G1363" s="59">
        <f ca="1">LOOKUP(A1363,'QALS - Inspection Lot Record'!A:A,'QALS - Inspection Lot Record'!E:E)</f>
        <v>45955</v>
      </c>
      <c r="H1363" s="34" t="str">
        <f t="shared" si="110"/>
        <v>A</v>
      </c>
      <c r="I1363" s="29" t="str">
        <f t="shared" si="106"/>
        <v>AB406550</v>
      </c>
      <c r="J1363" s="59">
        <f t="shared" ca="1" si="107"/>
        <v>45955</v>
      </c>
      <c r="K1363" s="30">
        <f ca="1">LOOKUP(A1363,'QALS - Inspection Lot Record'!A:A,'QALS - Inspection Lot Record'!I:I)</f>
        <v>0.63521990740740741</v>
      </c>
      <c r="L1363" s="59">
        <f t="shared" ca="1" si="108"/>
        <v>45955</v>
      </c>
      <c r="M1363" s="30">
        <f t="shared" ca="1" si="109"/>
        <v>0.669525462962963</v>
      </c>
      <c r="N1363" s="31"/>
      <c r="O1363" s="31">
        <v>7.25</v>
      </c>
      <c r="P1363" s="29">
        <v>3.5</v>
      </c>
      <c r="Q1363" s="29">
        <v>11</v>
      </c>
    </row>
    <row r="1364" spans="1:17" x14ac:dyDescent="0.35">
      <c r="A1364" s="26">
        <v>40000002671</v>
      </c>
      <c r="B1364" s="31">
        <v>1</v>
      </c>
      <c r="C1364" s="29" t="str">
        <f>LOOKUP(A1364,'QALS - Inspection Lot Record'!$A$2:$A$361,'QALS - Inspection Lot Record'!$O$2:$O$361)</f>
        <v>Aspirin Tablets (500 MG)</v>
      </c>
      <c r="D1364" s="31">
        <v>30</v>
      </c>
      <c r="E1364" s="29" t="s">
        <v>401</v>
      </c>
      <c r="F1364" s="29" t="str">
        <f>LOOKUP(A1364,'QALS - Inspection Lot Record'!A:A,'QALS - Inspection Lot Record'!G:G)</f>
        <v>AB406550</v>
      </c>
      <c r="G1364" s="59">
        <f ca="1">LOOKUP(A1364,'QALS - Inspection Lot Record'!A:A,'QALS - Inspection Lot Record'!E:E)</f>
        <v>45955</v>
      </c>
      <c r="H1364" s="34" t="str">
        <f t="shared" si="110"/>
        <v>A</v>
      </c>
      <c r="I1364" s="29" t="str">
        <f t="shared" si="106"/>
        <v>AB406550</v>
      </c>
      <c r="J1364" s="59">
        <f t="shared" ca="1" si="107"/>
        <v>45955</v>
      </c>
      <c r="K1364" s="30">
        <f ca="1">LOOKUP(A1364,'QALS - Inspection Lot Record'!A:A,'QALS - Inspection Lot Record'!I:I)</f>
        <v>0.63521990740740741</v>
      </c>
      <c r="L1364" s="59">
        <f t="shared" ca="1" si="108"/>
        <v>45955</v>
      </c>
      <c r="M1364" s="30">
        <f t="shared" ca="1" si="109"/>
        <v>0.66015046296296298</v>
      </c>
      <c r="N1364" s="11" t="s">
        <v>402</v>
      </c>
      <c r="O1364" s="31"/>
      <c r="P1364" s="29"/>
      <c r="Q1364" s="29"/>
    </row>
    <row r="1365" spans="1:17" x14ac:dyDescent="0.35">
      <c r="A1365" s="26">
        <v>40000002671</v>
      </c>
      <c r="B1365" s="31">
        <v>1</v>
      </c>
      <c r="C1365" s="29" t="str">
        <f>LOOKUP(A1365,'QALS - Inspection Lot Record'!$A$2:$A$361,'QALS - Inspection Lot Record'!$O$2:$O$361)</f>
        <v>Aspirin Tablets (500 MG)</v>
      </c>
      <c r="D1365" s="31">
        <v>40</v>
      </c>
      <c r="E1365" s="29" t="s">
        <v>403</v>
      </c>
      <c r="F1365" s="29" t="str">
        <f>LOOKUP(A1365,'QALS - Inspection Lot Record'!A:A,'QALS - Inspection Lot Record'!G:G)</f>
        <v>AB406550</v>
      </c>
      <c r="G1365" s="59">
        <f ca="1">LOOKUP(A1365,'QALS - Inspection Lot Record'!A:A,'QALS - Inspection Lot Record'!E:E)</f>
        <v>45955</v>
      </c>
      <c r="H1365" s="34" t="str">
        <f t="shared" si="110"/>
        <v>A</v>
      </c>
      <c r="I1365" s="29" t="str">
        <f t="shared" si="106"/>
        <v>AB406550</v>
      </c>
      <c r="J1365" s="59">
        <f t="shared" ca="1" si="107"/>
        <v>45955</v>
      </c>
      <c r="K1365" s="30">
        <f ca="1">LOOKUP(A1365,'QALS - Inspection Lot Record'!A:A,'QALS - Inspection Lot Record'!I:I)</f>
        <v>0.63521990740740741</v>
      </c>
      <c r="L1365" s="59">
        <f t="shared" ca="1" si="108"/>
        <v>45955</v>
      </c>
      <c r="M1365" s="30">
        <f t="shared" ca="1" si="109"/>
        <v>0.65847222222222224</v>
      </c>
      <c r="N1365" s="31"/>
      <c r="O1365" s="31">
        <v>0</v>
      </c>
      <c r="P1365" s="29">
        <v>0</v>
      </c>
      <c r="Q1365" s="29">
        <v>2.5</v>
      </c>
    </row>
    <row r="1366" spans="1:17" x14ac:dyDescent="0.35">
      <c r="A1366" s="26">
        <v>40000002671</v>
      </c>
      <c r="B1366" s="31">
        <v>1</v>
      </c>
      <c r="C1366" s="29" t="str">
        <f>LOOKUP(A1366,'QALS - Inspection Lot Record'!$A$2:$A$361,'QALS - Inspection Lot Record'!$O$2:$O$361)</f>
        <v>Aspirin Tablets (500 MG)</v>
      </c>
      <c r="D1366" s="31">
        <v>50</v>
      </c>
      <c r="E1366" s="29" t="s">
        <v>404</v>
      </c>
      <c r="F1366" s="29" t="str">
        <f>LOOKUP(A1366,'QALS - Inspection Lot Record'!A:A,'QALS - Inspection Lot Record'!G:G)</f>
        <v>AB406550</v>
      </c>
      <c r="G1366" s="59">
        <f ca="1">LOOKUP(A1366,'QALS - Inspection Lot Record'!A:A,'QALS - Inspection Lot Record'!E:E)</f>
        <v>45955</v>
      </c>
      <c r="H1366" s="34" t="str">
        <f t="shared" si="110"/>
        <v>A</v>
      </c>
      <c r="I1366" s="29" t="str">
        <f t="shared" si="106"/>
        <v>AB406550</v>
      </c>
      <c r="J1366" s="59">
        <f t="shared" ca="1" si="107"/>
        <v>45955</v>
      </c>
      <c r="K1366" s="30">
        <f ca="1">LOOKUP(A1366,'QALS - Inspection Lot Record'!A:A,'QALS - Inspection Lot Record'!I:I)</f>
        <v>0.63521990740740741</v>
      </c>
      <c r="L1366" s="59">
        <f t="shared" ca="1" si="108"/>
        <v>45955</v>
      </c>
      <c r="M1366" s="30">
        <f t="shared" ca="1" si="109"/>
        <v>0.65887731481481482</v>
      </c>
      <c r="N1366" s="31"/>
      <c r="O1366" s="31">
        <v>50</v>
      </c>
      <c r="P1366" s="29">
        <v>40</v>
      </c>
      <c r="Q1366" s="29">
        <v>60</v>
      </c>
    </row>
    <row r="1367" spans="1:17" x14ac:dyDescent="0.35">
      <c r="A1367" s="26">
        <v>40000002671</v>
      </c>
      <c r="B1367" s="31">
        <v>1</v>
      </c>
      <c r="C1367" s="29" t="str">
        <f>LOOKUP(A1367,'QALS - Inspection Lot Record'!$A$2:$A$361,'QALS - Inspection Lot Record'!$O$2:$O$361)</f>
        <v>Aspirin Tablets (500 MG)</v>
      </c>
      <c r="D1367" s="31">
        <v>60</v>
      </c>
      <c r="E1367" s="29" t="s">
        <v>405</v>
      </c>
      <c r="F1367" s="29" t="str">
        <f>LOOKUP(A1367,'QALS - Inspection Lot Record'!A:A,'QALS - Inspection Lot Record'!G:G)</f>
        <v>AB406550</v>
      </c>
      <c r="G1367" s="59">
        <f ca="1">LOOKUP(A1367,'QALS - Inspection Lot Record'!A:A,'QALS - Inspection Lot Record'!E:E)</f>
        <v>45955</v>
      </c>
      <c r="H1367" s="34" t="str">
        <f t="shared" si="110"/>
        <v>A</v>
      </c>
      <c r="I1367" s="29" t="str">
        <f t="shared" si="106"/>
        <v>AB406550</v>
      </c>
      <c r="J1367" s="59">
        <f t="shared" ca="1" si="107"/>
        <v>45955</v>
      </c>
      <c r="K1367" s="30">
        <f ca="1">LOOKUP(A1367,'QALS - Inspection Lot Record'!A:A,'QALS - Inspection Lot Record'!I:I)</f>
        <v>0.63521990740740741</v>
      </c>
      <c r="L1367" s="59">
        <f t="shared" ca="1" si="108"/>
        <v>45955</v>
      </c>
      <c r="M1367" s="30">
        <f t="shared" ca="1" si="109"/>
        <v>0.67049768518518515</v>
      </c>
      <c r="N1367" s="31"/>
      <c r="O1367" s="31">
        <v>77.5</v>
      </c>
      <c r="P1367" s="29">
        <v>70</v>
      </c>
      <c r="Q1367" s="29">
        <v>85</v>
      </c>
    </row>
    <row r="1368" spans="1:17" x14ac:dyDescent="0.35">
      <c r="A1368" s="26">
        <v>40000002671</v>
      </c>
      <c r="B1368" s="31">
        <v>1</v>
      </c>
      <c r="C1368" s="29" t="str">
        <f>LOOKUP(A1368,'QALS - Inspection Lot Record'!$A$2:$A$361,'QALS - Inspection Lot Record'!$O$2:$O$361)</f>
        <v>Aspirin Tablets (500 MG)</v>
      </c>
      <c r="D1368" s="31">
        <v>70</v>
      </c>
      <c r="E1368" s="29" t="s">
        <v>406</v>
      </c>
      <c r="F1368" s="29" t="str">
        <f>LOOKUP(A1368,'QALS - Inspection Lot Record'!A:A,'QALS - Inspection Lot Record'!G:G)</f>
        <v>AB406550</v>
      </c>
      <c r="G1368" s="59">
        <f ca="1">LOOKUP(A1368,'QALS - Inspection Lot Record'!A:A,'QALS - Inspection Lot Record'!E:E)</f>
        <v>45955</v>
      </c>
      <c r="H1368" s="34" t="str">
        <f t="shared" si="110"/>
        <v>A</v>
      </c>
      <c r="I1368" s="29" t="str">
        <f t="shared" si="106"/>
        <v>AB406550</v>
      </c>
      <c r="J1368" s="59">
        <f t="shared" ca="1" si="107"/>
        <v>45955</v>
      </c>
      <c r="K1368" s="30">
        <f ca="1">LOOKUP(A1368,'QALS - Inspection Lot Record'!A:A,'QALS - Inspection Lot Record'!I:I)</f>
        <v>0.63521990740740741</v>
      </c>
      <c r="L1368" s="59">
        <f t="shared" ca="1" si="108"/>
        <v>45955</v>
      </c>
      <c r="M1368" s="30">
        <f t="shared" ca="1" si="109"/>
        <v>0.65736111111111106</v>
      </c>
      <c r="N1368" s="31"/>
      <c r="O1368" s="31">
        <v>85</v>
      </c>
      <c r="P1368" s="29">
        <v>80</v>
      </c>
      <c r="Q1368" s="29">
        <v>90</v>
      </c>
    </row>
    <row r="1369" spans="1:17" x14ac:dyDescent="0.35">
      <c r="A1369" s="26">
        <v>40000002671</v>
      </c>
      <c r="B1369" s="31">
        <v>1</v>
      </c>
      <c r="C1369" s="29" t="str">
        <f>LOOKUP(A1369,'QALS - Inspection Lot Record'!$A$2:$A$361,'QALS - Inspection Lot Record'!$O$2:$O$361)</f>
        <v>Aspirin Tablets (500 MG)</v>
      </c>
      <c r="D1369" s="31">
        <v>80</v>
      </c>
      <c r="E1369" s="29" t="s">
        <v>407</v>
      </c>
      <c r="F1369" s="29" t="str">
        <f>LOOKUP(A1369,'QALS - Inspection Lot Record'!A:A,'QALS - Inspection Lot Record'!G:G)</f>
        <v>AB406550</v>
      </c>
      <c r="G1369" s="59">
        <f ca="1">LOOKUP(A1369,'QALS - Inspection Lot Record'!A:A,'QALS - Inspection Lot Record'!E:E)</f>
        <v>45955</v>
      </c>
      <c r="H1369" s="34" t="str">
        <f t="shared" si="110"/>
        <v>A</v>
      </c>
      <c r="I1369" s="29" t="str">
        <f t="shared" si="106"/>
        <v>AB406550</v>
      </c>
      <c r="J1369" s="59">
        <f t="shared" ca="1" si="107"/>
        <v>45955</v>
      </c>
      <c r="K1369" s="30">
        <f ca="1">LOOKUP(A1369,'QALS - Inspection Lot Record'!A:A,'QALS - Inspection Lot Record'!I:I)</f>
        <v>0.63521990740740741</v>
      </c>
      <c r="L1369" s="59">
        <f t="shared" ca="1" si="108"/>
        <v>45955</v>
      </c>
      <c r="M1369" s="30">
        <f t="shared" ca="1" si="109"/>
        <v>0.65824074074074079</v>
      </c>
      <c r="N1369" s="31"/>
      <c r="O1369" s="31">
        <v>25.5</v>
      </c>
      <c r="P1369" s="29">
        <v>23</v>
      </c>
      <c r="Q1369" s="29">
        <v>28</v>
      </c>
    </row>
    <row r="1370" spans="1:17" x14ac:dyDescent="0.35">
      <c r="A1370" s="26">
        <v>40000002672</v>
      </c>
      <c r="B1370" s="27">
        <v>1</v>
      </c>
      <c r="C1370" s="29" t="str">
        <f>LOOKUP(A1370,'QALS - Inspection Lot Record'!$A$2:$A$361,'QALS - Inspection Lot Record'!$O$2:$O$361)</f>
        <v>Aspirin Tablets (500 MG)</v>
      </c>
      <c r="D1370" s="27">
        <v>10</v>
      </c>
      <c r="E1370" s="26" t="s">
        <v>399</v>
      </c>
      <c r="F1370" s="29" t="str">
        <f>LOOKUP(A1370,'QALS - Inspection Lot Record'!A:A,'QALS - Inspection Lot Record'!G:G)</f>
        <v>YA284176</v>
      </c>
      <c r="G1370" s="59">
        <f ca="1">LOOKUP(A1370,'QALS - Inspection Lot Record'!A:A,'QALS - Inspection Lot Record'!E:E)</f>
        <v>45955</v>
      </c>
      <c r="H1370" s="34" t="str">
        <f t="shared" si="110"/>
        <v>A</v>
      </c>
      <c r="I1370" s="29" t="str">
        <f t="shared" si="106"/>
        <v>YA284176</v>
      </c>
      <c r="J1370" s="59">
        <f t="shared" ca="1" si="107"/>
        <v>45955</v>
      </c>
      <c r="K1370" s="30">
        <f ca="1">LOOKUP(A1370,'QALS - Inspection Lot Record'!A:A,'QALS - Inspection Lot Record'!I:I)</f>
        <v>0.33106481481481481</v>
      </c>
      <c r="L1370" s="59">
        <f t="shared" ca="1" si="108"/>
        <v>45955</v>
      </c>
      <c r="M1370" s="30">
        <f t="shared" ca="1" si="109"/>
        <v>0.36032407407407407</v>
      </c>
      <c r="N1370" s="31"/>
      <c r="O1370" s="31">
        <v>100</v>
      </c>
      <c r="P1370" s="29">
        <v>95</v>
      </c>
      <c r="Q1370" s="29">
        <v>105</v>
      </c>
    </row>
    <row r="1371" spans="1:17" x14ac:dyDescent="0.35">
      <c r="A1371" s="26">
        <v>40000002672</v>
      </c>
      <c r="B1371" s="27">
        <v>1</v>
      </c>
      <c r="C1371" s="29" t="str">
        <f>LOOKUP(A1371,'QALS - Inspection Lot Record'!$A$2:$A$361,'QALS - Inspection Lot Record'!$O$2:$O$361)</f>
        <v>Aspirin Tablets (500 MG)</v>
      </c>
      <c r="D1371" s="31">
        <v>20</v>
      </c>
      <c r="E1371" s="29" t="s">
        <v>400</v>
      </c>
      <c r="F1371" s="29" t="str">
        <f>LOOKUP(A1371,'QALS - Inspection Lot Record'!A:A,'QALS - Inspection Lot Record'!G:G)</f>
        <v>YA284176</v>
      </c>
      <c r="G1371" s="59">
        <f ca="1">LOOKUP(A1371,'QALS - Inspection Lot Record'!A:A,'QALS - Inspection Lot Record'!E:E)</f>
        <v>45955</v>
      </c>
      <c r="H1371" s="34" t="str">
        <f t="shared" si="110"/>
        <v>A</v>
      </c>
      <c r="I1371" s="29" t="str">
        <f t="shared" si="106"/>
        <v>YA284176</v>
      </c>
      <c r="J1371" s="59">
        <f t="shared" ca="1" si="107"/>
        <v>45955</v>
      </c>
      <c r="K1371" s="30">
        <f ca="1">LOOKUP(A1371,'QALS - Inspection Lot Record'!A:A,'QALS - Inspection Lot Record'!I:I)</f>
        <v>0.33106481481481481</v>
      </c>
      <c r="L1371" s="59">
        <f t="shared" ca="1" si="108"/>
        <v>45955</v>
      </c>
      <c r="M1371" s="30">
        <f t="shared" ca="1" si="109"/>
        <v>0.36494212962962963</v>
      </c>
      <c r="N1371" s="31"/>
      <c r="O1371" s="31">
        <v>7.3</v>
      </c>
      <c r="P1371" s="29">
        <v>3.5</v>
      </c>
      <c r="Q1371" s="29">
        <v>11</v>
      </c>
    </row>
    <row r="1372" spans="1:17" x14ac:dyDescent="0.35">
      <c r="A1372" s="26">
        <v>40000002672</v>
      </c>
      <c r="B1372" s="31">
        <v>1</v>
      </c>
      <c r="C1372" s="29" t="str">
        <f>LOOKUP(A1372,'QALS - Inspection Lot Record'!$A$2:$A$361,'QALS - Inspection Lot Record'!$O$2:$O$361)</f>
        <v>Aspirin Tablets (500 MG)</v>
      </c>
      <c r="D1372" s="31">
        <v>30</v>
      </c>
      <c r="E1372" s="29" t="s">
        <v>401</v>
      </c>
      <c r="F1372" s="29" t="str">
        <f>LOOKUP(A1372,'QALS - Inspection Lot Record'!A:A,'QALS - Inspection Lot Record'!G:G)</f>
        <v>YA284176</v>
      </c>
      <c r="G1372" s="59">
        <f ca="1">LOOKUP(A1372,'QALS - Inspection Lot Record'!A:A,'QALS - Inspection Lot Record'!E:E)</f>
        <v>45955</v>
      </c>
      <c r="H1372" s="34" t="str">
        <f t="shared" si="110"/>
        <v>A</v>
      </c>
      <c r="I1372" s="29" t="str">
        <f t="shared" si="106"/>
        <v>YA284176</v>
      </c>
      <c r="J1372" s="59">
        <f t="shared" ca="1" si="107"/>
        <v>45955</v>
      </c>
      <c r="K1372" s="30">
        <f ca="1">LOOKUP(A1372,'QALS - Inspection Lot Record'!A:A,'QALS - Inspection Lot Record'!I:I)</f>
        <v>0.33106481481481481</v>
      </c>
      <c r="L1372" s="59">
        <f t="shared" ca="1" si="108"/>
        <v>45955</v>
      </c>
      <c r="M1372" s="30">
        <f t="shared" ca="1" si="109"/>
        <v>0.35721064814814812</v>
      </c>
      <c r="N1372" s="11" t="s">
        <v>402</v>
      </c>
      <c r="O1372" s="31"/>
      <c r="P1372" s="29"/>
      <c r="Q1372" s="29"/>
    </row>
    <row r="1373" spans="1:17" x14ac:dyDescent="0.35">
      <c r="A1373" s="26">
        <v>40000002672</v>
      </c>
      <c r="B1373" s="31">
        <v>1</v>
      </c>
      <c r="C1373" s="29" t="str">
        <f>LOOKUP(A1373,'QALS - Inspection Lot Record'!$A$2:$A$361,'QALS - Inspection Lot Record'!$O$2:$O$361)</f>
        <v>Aspirin Tablets (500 MG)</v>
      </c>
      <c r="D1373" s="31">
        <v>40</v>
      </c>
      <c r="E1373" s="29" t="s">
        <v>403</v>
      </c>
      <c r="F1373" s="29" t="str">
        <f>LOOKUP(A1373,'QALS - Inspection Lot Record'!A:A,'QALS - Inspection Lot Record'!G:G)</f>
        <v>YA284176</v>
      </c>
      <c r="G1373" s="59">
        <f ca="1">LOOKUP(A1373,'QALS - Inspection Lot Record'!A:A,'QALS - Inspection Lot Record'!E:E)</f>
        <v>45955</v>
      </c>
      <c r="H1373" s="34" t="str">
        <f t="shared" si="110"/>
        <v>A</v>
      </c>
      <c r="I1373" s="29" t="str">
        <f t="shared" si="106"/>
        <v>YA284176</v>
      </c>
      <c r="J1373" s="59">
        <f t="shared" ca="1" si="107"/>
        <v>45955</v>
      </c>
      <c r="K1373" s="30">
        <f ca="1">LOOKUP(A1373,'QALS - Inspection Lot Record'!A:A,'QALS - Inspection Lot Record'!I:I)</f>
        <v>0.33106481481481481</v>
      </c>
      <c r="L1373" s="59">
        <f t="shared" ca="1" si="108"/>
        <v>45955</v>
      </c>
      <c r="M1373" s="30">
        <f t="shared" ca="1" si="109"/>
        <v>0.34922453703703704</v>
      </c>
      <c r="N1373" s="31"/>
      <c r="O1373" s="31">
        <v>0</v>
      </c>
      <c r="P1373" s="29">
        <v>0</v>
      </c>
      <c r="Q1373" s="29">
        <v>2.5</v>
      </c>
    </row>
    <row r="1374" spans="1:17" x14ac:dyDescent="0.35">
      <c r="A1374" s="26">
        <v>40000002672</v>
      </c>
      <c r="B1374" s="31">
        <v>1</v>
      </c>
      <c r="C1374" s="29" t="str">
        <f>LOOKUP(A1374,'QALS - Inspection Lot Record'!$A$2:$A$361,'QALS - Inspection Lot Record'!$O$2:$O$361)</f>
        <v>Aspirin Tablets (500 MG)</v>
      </c>
      <c r="D1374" s="31">
        <v>50</v>
      </c>
      <c r="E1374" s="29" t="s">
        <v>404</v>
      </c>
      <c r="F1374" s="29" t="str">
        <f>LOOKUP(A1374,'QALS - Inspection Lot Record'!A:A,'QALS - Inspection Lot Record'!G:G)</f>
        <v>YA284176</v>
      </c>
      <c r="G1374" s="59">
        <f ca="1">LOOKUP(A1374,'QALS - Inspection Lot Record'!A:A,'QALS - Inspection Lot Record'!E:E)</f>
        <v>45955</v>
      </c>
      <c r="H1374" s="34" t="str">
        <f t="shared" si="110"/>
        <v>A</v>
      </c>
      <c r="I1374" s="29" t="str">
        <f t="shared" si="106"/>
        <v>YA284176</v>
      </c>
      <c r="J1374" s="59">
        <f t="shared" ca="1" si="107"/>
        <v>45955</v>
      </c>
      <c r="K1374" s="30">
        <f ca="1">LOOKUP(A1374,'QALS - Inspection Lot Record'!A:A,'QALS - Inspection Lot Record'!I:I)</f>
        <v>0.33106481481481481</v>
      </c>
      <c r="L1374" s="59">
        <f t="shared" ca="1" si="108"/>
        <v>45955</v>
      </c>
      <c r="M1374" s="30">
        <f t="shared" ca="1" si="109"/>
        <v>0.3631597222222222</v>
      </c>
      <c r="N1374" s="31"/>
      <c r="O1374" s="31">
        <v>50</v>
      </c>
      <c r="P1374" s="29">
        <v>40</v>
      </c>
      <c r="Q1374" s="29">
        <v>60</v>
      </c>
    </row>
    <row r="1375" spans="1:17" x14ac:dyDescent="0.35">
      <c r="A1375" s="26">
        <v>40000002672</v>
      </c>
      <c r="B1375" s="31">
        <v>1</v>
      </c>
      <c r="C1375" s="29" t="str">
        <f>LOOKUP(A1375,'QALS - Inspection Lot Record'!$A$2:$A$361,'QALS - Inspection Lot Record'!$O$2:$O$361)</f>
        <v>Aspirin Tablets (500 MG)</v>
      </c>
      <c r="D1375" s="31">
        <v>60</v>
      </c>
      <c r="E1375" s="29" t="s">
        <v>405</v>
      </c>
      <c r="F1375" s="29" t="str">
        <f>LOOKUP(A1375,'QALS - Inspection Lot Record'!A:A,'QALS - Inspection Lot Record'!G:G)</f>
        <v>YA284176</v>
      </c>
      <c r="G1375" s="59">
        <f ca="1">LOOKUP(A1375,'QALS - Inspection Lot Record'!A:A,'QALS - Inspection Lot Record'!E:E)</f>
        <v>45955</v>
      </c>
      <c r="H1375" s="34" t="str">
        <f t="shared" si="110"/>
        <v>A</v>
      </c>
      <c r="I1375" s="29" t="str">
        <f t="shared" si="106"/>
        <v>YA284176</v>
      </c>
      <c r="J1375" s="59">
        <f t="shared" ca="1" si="107"/>
        <v>45955</v>
      </c>
      <c r="K1375" s="30">
        <f ca="1">LOOKUP(A1375,'QALS - Inspection Lot Record'!A:A,'QALS - Inspection Lot Record'!I:I)</f>
        <v>0.33106481481481481</v>
      </c>
      <c r="L1375" s="59">
        <f t="shared" ca="1" si="108"/>
        <v>45955</v>
      </c>
      <c r="M1375" s="30">
        <f t="shared" ca="1" si="109"/>
        <v>0.35400462962962964</v>
      </c>
      <c r="N1375" s="31"/>
      <c r="O1375" s="31">
        <v>77.5</v>
      </c>
      <c r="P1375" s="29">
        <v>70</v>
      </c>
      <c r="Q1375" s="29">
        <v>85</v>
      </c>
    </row>
    <row r="1376" spans="1:17" x14ac:dyDescent="0.35">
      <c r="A1376" s="26">
        <v>40000002672</v>
      </c>
      <c r="B1376" s="31">
        <v>1</v>
      </c>
      <c r="C1376" s="29" t="str">
        <f>LOOKUP(A1376,'QALS - Inspection Lot Record'!$A$2:$A$361,'QALS - Inspection Lot Record'!$O$2:$O$361)</f>
        <v>Aspirin Tablets (500 MG)</v>
      </c>
      <c r="D1376" s="31">
        <v>70</v>
      </c>
      <c r="E1376" s="29" t="s">
        <v>406</v>
      </c>
      <c r="F1376" s="29" t="str">
        <f>LOOKUP(A1376,'QALS - Inspection Lot Record'!A:A,'QALS - Inspection Lot Record'!G:G)</f>
        <v>YA284176</v>
      </c>
      <c r="G1376" s="59">
        <f ca="1">LOOKUP(A1376,'QALS - Inspection Lot Record'!A:A,'QALS - Inspection Lot Record'!E:E)</f>
        <v>45955</v>
      </c>
      <c r="H1376" s="34" t="str">
        <f t="shared" si="110"/>
        <v>A</v>
      </c>
      <c r="I1376" s="29" t="str">
        <f t="shared" si="106"/>
        <v>YA284176</v>
      </c>
      <c r="J1376" s="59">
        <f t="shared" ca="1" si="107"/>
        <v>45955</v>
      </c>
      <c r="K1376" s="30">
        <f ca="1">LOOKUP(A1376,'QALS - Inspection Lot Record'!A:A,'QALS - Inspection Lot Record'!I:I)</f>
        <v>0.33106481481481481</v>
      </c>
      <c r="L1376" s="59">
        <f t="shared" ca="1" si="108"/>
        <v>45955</v>
      </c>
      <c r="M1376" s="30">
        <f t="shared" ca="1" si="109"/>
        <v>0.35631944444444447</v>
      </c>
      <c r="N1376" s="31"/>
      <c r="O1376" s="31">
        <v>85</v>
      </c>
      <c r="P1376" s="29">
        <v>80</v>
      </c>
      <c r="Q1376" s="29">
        <v>90</v>
      </c>
    </row>
    <row r="1377" spans="1:17" x14ac:dyDescent="0.35">
      <c r="A1377" s="26">
        <v>40000002672</v>
      </c>
      <c r="B1377" s="31">
        <v>1</v>
      </c>
      <c r="C1377" s="29" t="str">
        <f>LOOKUP(A1377,'QALS - Inspection Lot Record'!$A$2:$A$361,'QALS - Inspection Lot Record'!$O$2:$O$361)</f>
        <v>Aspirin Tablets (500 MG)</v>
      </c>
      <c r="D1377" s="31">
        <v>80</v>
      </c>
      <c r="E1377" s="29" t="s">
        <v>407</v>
      </c>
      <c r="F1377" s="29" t="str">
        <f>LOOKUP(A1377,'QALS - Inspection Lot Record'!A:A,'QALS - Inspection Lot Record'!G:G)</f>
        <v>YA284176</v>
      </c>
      <c r="G1377" s="59">
        <f ca="1">LOOKUP(A1377,'QALS - Inspection Lot Record'!A:A,'QALS - Inspection Lot Record'!E:E)</f>
        <v>45955</v>
      </c>
      <c r="H1377" s="34" t="str">
        <f t="shared" si="110"/>
        <v>A</v>
      </c>
      <c r="I1377" s="29" t="str">
        <f t="shared" si="106"/>
        <v>YA284176</v>
      </c>
      <c r="J1377" s="59">
        <f t="shared" ca="1" si="107"/>
        <v>45955</v>
      </c>
      <c r="K1377" s="30">
        <f ca="1">LOOKUP(A1377,'QALS - Inspection Lot Record'!A:A,'QALS - Inspection Lot Record'!I:I)</f>
        <v>0.33106481481481481</v>
      </c>
      <c r="L1377" s="59">
        <f t="shared" ca="1" si="108"/>
        <v>45955</v>
      </c>
      <c r="M1377" s="30">
        <f t="shared" ca="1" si="109"/>
        <v>0.36141203703703706</v>
      </c>
      <c r="N1377" s="31"/>
      <c r="O1377" s="31">
        <v>25.5</v>
      </c>
      <c r="P1377" s="29">
        <v>23</v>
      </c>
      <c r="Q1377" s="29">
        <v>28</v>
      </c>
    </row>
    <row r="1378" spans="1:17" x14ac:dyDescent="0.35">
      <c r="A1378" s="26">
        <v>40000002673</v>
      </c>
      <c r="B1378" s="27">
        <v>1</v>
      </c>
      <c r="C1378" s="29" t="str">
        <f>LOOKUP(A1378,'QALS - Inspection Lot Record'!$A$2:$A$361,'QALS - Inspection Lot Record'!$O$2:$O$361)</f>
        <v>Aspirin Tablets (500 MG)</v>
      </c>
      <c r="D1378" s="27">
        <v>10</v>
      </c>
      <c r="E1378" s="26" t="s">
        <v>399</v>
      </c>
      <c r="F1378" s="29" t="str">
        <f>LOOKUP(A1378,'QALS - Inspection Lot Record'!A:A,'QALS - Inspection Lot Record'!G:G)</f>
        <v>ZK384180</v>
      </c>
      <c r="G1378" s="59">
        <f ca="1">LOOKUP(A1378,'QALS - Inspection Lot Record'!A:A,'QALS - Inspection Lot Record'!E:E)</f>
        <v>45956</v>
      </c>
      <c r="H1378" s="34" t="str">
        <f t="shared" si="110"/>
        <v>A</v>
      </c>
      <c r="I1378" s="29" t="str">
        <f t="shared" si="106"/>
        <v>ZK384180</v>
      </c>
      <c r="J1378" s="59">
        <f t="shared" ca="1" si="107"/>
        <v>45956</v>
      </c>
      <c r="K1378" s="30">
        <f ca="1">LOOKUP(A1378,'QALS - Inspection Lot Record'!A:A,'QALS - Inspection Lot Record'!I:I)</f>
        <v>0.55701388888888892</v>
      </c>
      <c r="L1378" s="59">
        <f t="shared" ca="1" si="108"/>
        <v>45956</v>
      </c>
      <c r="M1378" s="30">
        <f t="shared" ca="1" si="109"/>
        <v>0.57630787037037035</v>
      </c>
      <c r="N1378" s="31"/>
      <c r="O1378" s="31">
        <v>100</v>
      </c>
      <c r="P1378" s="29">
        <v>95</v>
      </c>
      <c r="Q1378" s="29">
        <v>105</v>
      </c>
    </row>
    <row r="1379" spans="1:17" x14ac:dyDescent="0.35">
      <c r="A1379" s="26">
        <v>40000002673</v>
      </c>
      <c r="B1379" s="27">
        <v>1</v>
      </c>
      <c r="C1379" s="29" t="str">
        <f>LOOKUP(A1379,'QALS - Inspection Lot Record'!$A$2:$A$361,'QALS - Inspection Lot Record'!$O$2:$O$361)</f>
        <v>Aspirin Tablets (500 MG)</v>
      </c>
      <c r="D1379" s="31">
        <v>20</v>
      </c>
      <c r="E1379" s="29" t="s">
        <v>400</v>
      </c>
      <c r="F1379" s="29" t="str">
        <f>LOOKUP(A1379,'QALS - Inspection Lot Record'!A:A,'QALS - Inspection Lot Record'!G:G)</f>
        <v>ZK384180</v>
      </c>
      <c r="G1379" s="59">
        <f ca="1">LOOKUP(A1379,'QALS - Inspection Lot Record'!A:A,'QALS - Inspection Lot Record'!E:E)</f>
        <v>45956</v>
      </c>
      <c r="H1379" s="34" t="str">
        <f t="shared" si="110"/>
        <v>R</v>
      </c>
      <c r="I1379" s="29" t="str">
        <f t="shared" si="106"/>
        <v>ZK384180</v>
      </c>
      <c r="J1379" s="59">
        <f t="shared" ca="1" si="107"/>
        <v>45956</v>
      </c>
      <c r="K1379" s="30">
        <f ca="1">LOOKUP(A1379,'QALS - Inspection Lot Record'!A:A,'QALS - Inspection Lot Record'!I:I)</f>
        <v>0.55701388888888892</v>
      </c>
      <c r="L1379" s="59">
        <f t="shared" ca="1" si="108"/>
        <v>45956</v>
      </c>
      <c r="M1379" s="30">
        <f t="shared" ca="1" si="109"/>
        <v>0.5815393518518519</v>
      </c>
      <c r="N1379" s="31"/>
      <c r="O1379" s="31">
        <v>2.1</v>
      </c>
      <c r="P1379" s="29">
        <v>3.5</v>
      </c>
      <c r="Q1379" s="29">
        <v>11</v>
      </c>
    </row>
    <row r="1380" spans="1:17" x14ac:dyDescent="0.35">
      <c r="A1380" s="26">
        <v>40000002673</v>
      </c>
      <c r="B1380" s="31">
        <v>1</v>
      </c>
      <c r="C1380" s="29" t="str">
        <f>LOOKUP(A1380,'QALS - Inspection Lot Record'!$A$2:$A$361,'QALS - Inspection Lot Record'!$O$2:$O$361)</f>
        <v>Aspirin Tablets (500 MG)</v>
      </c>
      <c r="D1380" s="31">
        <v>30</v>
      </c>
      <c r="E1380" s="29" t="s">
        <v>401</v>
      </c>
      <c r="F1380" s="29" t="str">
        <f>LOOKUP(A1380,'QALS - Inspection Lot Record'!A:A,'QALS - Inspection Lot Record'!G:G)</f>
        <v>ZK384180</v>
      </c>
      <c r="G1380" s="59">
        <f ca="1">LOOKUP(A1380,'QALS - Inspection Lot Record'!A:A,'QALS - Inspection Lot Record'!E:E)</f>
        <v>45956</v>
      </c>
      <c r="H1380" s="34" t="str">
        <f t="shared" si="110"/>
        <v>A</v>
      </c>
      <c r="I1380" s="29" t="str">
        <f t="shared" si="106"/>
        <v>ZK384180</v>
      </c>
      <c r="J1380" s="59">
        <f t="shared" ca="1" si="107"/>
        <v>45956</v>
      </c>
      <c r="K1380" s="30">
        <f ca="1">LOOKUP(A1380,'QALS - Inspection Lot Record'!A:A,'QALS - Inspection Lot Record'!I:I)</f>
        <v>0.55701388888888892</v>
      </c>
      <c r="L1380" s="59">
        <f t="shared" ca="1" si="108"/>
        <v>45956</v>
      </c>
      <c r="M1380" s="30">
        <f t="shared" ca="1" si="109"/>
        <v>0.57848379629629632</v>
      </c>
      <c r="N1380" s="11" t="s">
        <v>402</v>
      </c>
      <c r="O1380" s="31"/>
      <c r="P1380" s="29"/>
      <c r="Q1380" s="29"/>
    </row>
    <row r="1381" spans="1:17" x14ac:dyDescent="0.35">
      <c r="A1381" s="26">
        <v>40000002673</v>
      </c>
      <c r="B1381" s="31">
        <v>1</v>
      </c>
      <c r="C1381" s="29" t="str">
        <f>LOOKUP(A1381,'QALS - Inspection Lot Record'!$A$2:$A$361,'QALS - Inspection Lot Record'!$O$2:$O$361)</f>
        <v>Aspirin Tablets (500 MG)</v>
      </c>
      <c r="D1381" s="31">
        <v>40</v>
      </c>
      <c r="E1381" s="29" t="s">
        <v>403</v>
      </c>
      <c r="F1381" s="29" t="str">
        <f>LOOKUP(A1381,'QALS - Inspection Lot Record'!A:A,'QALS - Inspection Lot Record'!G:G)</f>
        <v>ZK384180</v>
      </c>
      <c r="G1381" s="59">
        <f ca="1">LOOKUP(A1381,'QALS - Inspection Lot Record'!A:A,'QALS - Inspection Lot Record'!E:E)</f>
        <v>45956</v>
      </c>
      <c r="H1381" s="34" t="str">
        <f t="shared" si="110"/>
        <v>A</v>
      </c>
      <c r="I1381" s="29" t="str">
        <f t="shared" si="106"/>
        <v>ZK384180</v>
      </c>
      <c r="J1381" s="59">
        <f t="shared" ca="1" si="107"/>
        <v>45956</v>
      </c>
      <c r="K1381" s="30">
        <f ca="1">LOOKUP(A1381,'QALS - Inspection Lot Record'!A:A,'QALS - Inspection Lot Record'!I:I)</f>
        <v>0.55701388888888892</v>
      </c>
      <c r="L1381" s="59">
        <f t="shared" ca="1" si="108"/>
        <v>45956</v>
      </c>
      <c r="M1381" s="30">
        <f t="shared" ca="1" si="109"/>
        <v>0.57552083333333337</v>
      </c>
      <c r="N1381" s="31"/>
      <c r="O1381" s="31">
        <v>1.8</v>
      </c>
      <c r="P1381" s="29">
        <v>0</v>
      </c>
      <c r="Q1381" s="29">
        <v>2.5</v>
      </c>
    </row>
    <row r="1382" spans="1:17" x14ac:dyDescent="0.35">
      <c r="A1382" s="26">
        <v>40000002673</v>
      </c>
      <c r="B1382" s="31">
        <v>1</v>
      </c>
      <c r="C1382" s="29" t="str">
        <f>LOOKUP(A1382,'QALS - Inspection Lot Record'!$A$2:$A$361,'QALS - Inspection Lot Record'!$O$2:$O$361)</f>
        <v>Aspirin Tablets (500 MG)</v>
      </c>
      <c r="D1382" s="31">
        <v>50</v>
      </c>
      <c r="E1382" s="29" t="s">
        <v>404</v>
      </c>
      <c r="F1382" s="29" t="str">
        <f>LOOKUP(A1382,'QALS - Inspection Lot Record'!A:A,'QALS - Inspection Lot Record'!G:G)</f>
        <v>ZK384180</v>
      </c>
      <c r="G1382" s="59">
        <f ca="1">LOOKUP(A1382,'QALS - Inspection Lot Record'!A:A,'QALS - Inspection Lot Record'!E:E)</f>
        <v>45956</v>
      </c>
      <c r="H1382" s="34" t="str">
        <f t="shared" si="110"/>
        <v>R</v>
      </c>
      <c r="I1382" s="29" t="str">
        <f t="shared" si="106"/>
        <v>ZK384180</v>
      </c>
      <c r="J1382" s="59">
        <f t="shared" ca="1" si="107"/>
        <v>45956</v>
      </c>
      <c r="K1382" s="30">
        <f ca="1">LOOKUP(A1382,'QALS - Inspection Lot Record'!A:A,'QALS - Inspection Lot Record'!I:I)</f>
        <v>0.55701388888888892</v>
      </c>
      <c r="L1382" s="59">
        <f t="shared" ca="1" si="108"/>
        <v>45956</v>
      </c>
      <c r="M1382" s="30">
        <f t="shared" ca="1" si="109"/>
        <v>0.5832870370370371</v>
      </c>
      <c r="N1382" s="31"/>
      <c r="O1382" s="31">
        <v>38.200000000000003</v>
      </c>
      <c r="P1382" s="29">
        <v>40</v>
      </c>
      <c r="Q1382" s="29">
        <v>60</v>
      </c>
    </row>
    <row r="1383" spans="1:17" x14ac:dyDescent="0.35">
      <c r="A1383" s="26">
        <v>40000002673</v>
      </c>
      <c r="B1383" s="31">
        <v>1</v>
      </c>
      <c r="C1383" s="29" t="str">
        <f>LOOKUP(A1383,'QALS - Inspection Lot Record'!$A$2:$A$361,'QALS - Inspection Lot Record'!$O$2:$O$361)</f>
        <v>Aspirin Tablets (500 MG)</v>
      </c>
      <c r="D1383" s="31">
        <v>60</v>
      </c>
      <c r="E1383" s="29" t="s">
        <v>405</v>
      </c>
      <c r="F1383" s="29" t="str">
        <f>LOOKUP(A1383,'QALS - Inspection Lot Record'!A:A,'QALS - Inspection Lot Record'!G:G)</f>
        <v>ZK384180</v>
      </c>
      <c r="G1383" s="59">
        <f ca="1">LOOKUP(A1383,'QALS - Inspection Lot Record'!A:A,'QALS - Inspection Lot Record'!E:E)</f>
        <v>45956</v>
      </c>
      <c r="H1383" s="34" t="str">
        <f t="shared" si="110"/>
        <v>A</v>
      </c>
      <c r="I1383" s="29" t="str">
        <f t="shared" si="106"/>
        <v>ZK384180</v>
      </c>
      <c r="J1383" s="59">
        <f t="shared" ca="1" si="107"/>
        <v>45956</v>
      </c>
      <c r="K1383" s="30">
        <f ca="1">LOOKUP(A1383,'QALS - Inspection Lot Record'!A:A,'QALS - Inspection Lot Record'!I:I)</f>
        <v>0.55701388888888892</v>
      </c>
      <c r="L1383" s="59">
        <f t="shared" ca="1" si="108"/>
        <v>45956</v>
      </c>
      <c r="M1383" s="30">
        <f t="shared" ca="1" si="109"/>
        <v>0.58578703703703705</v>
      </c>
      <c r="N1383" s="31"/>
      <c r="O1383" s="31">
        <v>73</v>
      </c>
      <c r="P1383" s="29">
        <v>70</v>
      </c>
      <c r="Q1383" s="29">
        <v>85</v>
      </c>
    </row>
    <row r="1384" spans="1:17" x14ac:dyDescent="0.35">
      <c r="A1384" s="26">
        <v>40000002673</v>
      </c>
      <c r="B1384" s="31">
        <v>1</v>
      </c>
      <c r="C1384" s="29" t="str">
        <f>LOOKUP(A1384,'QALS - Inspection Lot Record'!$A$2:$A$361,'QALS - Inspection Lot Record'!$O$2:$O$361)</f>
        <v>Aspirin Tablets (500 MG)</v>
      </c>
      <c r="D1384" s="31">
        <v>70</v>
      </c>
      <c r="E1384" s="29" t="s">
        <v>406</v>
      </c>
      <c r="F1384" s="29" t="str">
        <f>LOOKUP(A1384,'QALS - Inspection Lot Record'!A:A,'QALS - Inspection Lot Record'!G:G)</f>
        <v>ZK384180</v>
      </c>
      <c r="G1384" s="59">
        <f ca="1">LOOKUP(A1384,'QALS - Inspection Lot Record'!A:A,'QALS - Inspection Lot Record'!E:E)</f>
        <v>45956</v>
      </c>
      <c r="H1384" s="34" t="str">
        <f t="shared" si="110"/>
        <v>A</v>
      </c>
      <c r="I1384" s="29" t="str">
        <f t="shared" si="106"/>
        <v>ZK384180</v>
      </c>
      <c r="J1384" s="59">
        <f t="shared" ca="1" si="107"/>
        <v>45956</v>
      </c>
      <c r="K1384" s="30">
        <f ca="1">LOOKUP(A1384,'QALS - Inspection Lot Record'!A:A,'QALS - Inspection Lot Record'!I:I)</f>
        <v>0.55701388888888892</v>
      </c>
      <c r="L1384" s="59">
        <f t="shared" ca="1" si="108"/>
        <v>45956</v>
      </c>
      <c r="M1384" s="30">
        <f t="shared" ca="1" si="109"/>
        <v>0.59236111111111112</v>
      </c>
      <c r="N1384" s="31"/>
      <c r="O1384" s="31">
        <v>84</v>
      </c>
      <c r="P1384" s="29">
        <v>80</v>
      </c>
      <c r="Q1384" s="29">
        <v>90</v>
      </c>
    </row>
    <row r="1385" spans="1:17" x14ac:dyDescent="0.35">
      <c r="A1385" s="26">
        <v>40000002673</v>
      </c>
      <c r="B1385" s="31">
        <v>1</v>
      </c>
      <c r="C1385" s="29" t="str">
        <f>LOOKUP(A1385,'QALS - Inspection Lot Record'!$A$2:$A$361,'QALS - Inspection Lot Record'!$O$2:$O$361)</f>
        <v>Aspirin Tablets (500 MG)</v>
      </c>
      <c r="D1385" s="31">
        <v>80</v>
      </c>
      <c r="E1385" s="29" t="s">
        <v>407</v>
      </c>
      <c r="F1385" s="29" t="str">
        <f>LOOKUP(A1385,'QALS - Inspection Lot Record'!A:A,'QALS - Inspection Lot Record'!G:G)</f>
        <v>ZK384180</v>
      </c>
      <c r="G1385" s="59">
        <f ca="1">LOOKUP(A1385,'QALS - Inspection Lot Record'!A:A,'QALS - Inspection Lot Record'!E:E)</f>
        <v>45956</v>
      </c>
      <c r="H1385" s="34" t="str">
        <f t="shared" si="110"/>
        <v>A</v>
      </c>
      <c r="I1385" s="29" t="str">
        <f t="shared" si="106"/>
        <v>ZK384180</v>
      </c>
      <c r="J1385" s="59">
        <f t="shared" ca="1" si="107"/>
        <v>45956</v>
      </c>
      <c r="K1385" s="30">
        <f ca="1">LOOKUP(A1385,'QALS - Inspection Lot Record'!A:A,'QALS - Inspection Lot Record'!I:I)</f>
        <v>0.55701388888888892</v>
      </c>
      <c r="L1385" s="59">
        <f t="shared" ca="1" si="108"/>
        <v>45956</v>
      </c>
      <c r="M1385" s="30">
        <f t="shared" ca="1" si="109"/>
        <v>0.57445601851851857</v>
      </c>
      <c r="N1385" s="31"/>
      <c r="O1385" s="31">
        <v>25</v>
      </c>
      <c r="P1385" s="29">
        <v>23</v>
      </c>
      <c r="Q1385" s="29">
        <v>28</v>
      </c>
    </row>
    <row r="1386" spans="1:17" x14ac:dyDescent="0.35">
      <c r="A1386" s="26">
        <v>40000002674</v>
      </c>
      <c r="B1386" s="27">
        <v>1</v>
      </c>
      <c r="C1386" s="29" t="str">
        <f>LOOKUP(A1386,'QALS - Inspection Lot Record'!$A$2:$A$361,'QALS - Inspection Lot Record'!$O$2:$O$361)</f>
        <v>Metformin Tablets (500 MG)</v>
      </c>
      <c r="D1386" s="27">
        <v>10</v>
      </c>
      <c r="E1386" s="26" t="s">
        <v>399</v>
      </c>
      <c r="F1386" s="29" t="str">
        <f>LOOKUP(A1386,'QALS - Inspection Lot Record'!A:A,'QALS - Inspection Lot Record'!G:G)</f>
        <v>YA284176</v>
      </c>
      <c r="G1386" s="59">
        <f ca="1">LOOKUP(A1386,'QALS - Inspection Lot Record'!A:A,'QALS - Inspection Lot Record'!E:E)</f>
        <v>45956</v>
      </c>
      <c r="H1386" s="34" t="str">
        <f t="shared" si="110"/>
        <v>A</v>
      </c>
      <c r="I1386" s="29" t="str">
        <f t="shared" si="106"/>
        <v>YA284176</v>
      </c>
      <c r="J1386" s="59">
        <f t="shared" ca="1" si="107"/>
        <v>45956</v>
      </c>
      <c r="K1386" s="30">
        <f ca="1">LOOKUP(A1386,'QALS - Inspection Lot Record'!A:A,'QALS - Inspection Lot Record'!I:I)</f>
        <v>7.9976851851851858E-3</v>
      </c>
      <c r="L1386" s="59">
        <f t="shared" ca="1" si="108"/>
        <v>45956</v>
      </c>
      <c r="M1386" s="30">
        <f t="shared" ca="1" si="109"/>
        <v>2.613425925925926E-2</v>
      </c>
      <c r="N1386" s="31"/>
      <c r="O1386" s="31">
        <v>99.3</v>
      </c>
      <c r="P1386" s="29">
        <v>95</v>
      </c>
      <c r="Q1386" s="29">
        <v>105</v>
      </c>
    </row>
    <row r="1387" spans="1:17" x14ac:dyDescent="0.35">
      <c r="A1387" s="26">
        <v>40000002674</v>
      </c>
      <c r="B1387" s="27">
        <v>1</v>
      </c>
      <c r="C1387" s="29" t="str">
        <f>LOOKUP(A1387,'QALS - Inspection Lot Record'!$A$2:$A$361,'QALS - Inspection Lot Record'!$O$2:$O$361)</f>
        <v>Metformin Tablets (500 MG)</v>
      </c>
      <c r="D1387" s="31">
        <v>20</v>
      </c>
      <c r="E1387" s="29" t="s">
        <v>400</v>
      </c>
      <c r="F1387" s="29" t="str">
        <f>LOOKUP(A1387,'QALS - Inspection Lot Record'!A:A,'QALS - Inspection Lot Record'!G:G)</f>
        <v>YA284176</v>
      </c>
      <c r="G1387" s="59">
        <f ca="1">LOOKUP(A1387,'QALS - Inspection Lot Record'!A:A,'QALS - Inspection Lot Record'!E:E)</f>
        <v>45956</v>
      </c>
      <c r="H1387" s="34" t="str">
        <f t="shared" si="110"/>
        <v>A</v>
      </c>
      <c r="I1387" s="29" t="str">
        <f t="shared" si="106"/>
        <v>YA284176</v>
      </c>
      <c r="J1387" s="59">
        <f t="shared" ca="1" si="107"/>
        <v>45956</v>
      </c>
      <c r="K1387" s="30">
        <f ca="1">LOOKUP(A1387,'QALS - Inspection Lot Record'!A:A,'QALS - Inspection Lot Record'!I:I)</f>
        <v>7.9976851851851858E-3</v>
      </c>
      <c r="L1387" s="59">
        <f t="shared" ca="1" si="108"/>
        <v>45956</v>
      </c>
      <c r="M1387" s="30">
        <f t="shared" ca="1" si="109"/>
        <v>3.4016203703703701E-2</v>
      </c>
      <c r="N1387" s="31"/>
      <c r="O1387" s="31">
        <v>3.8</v>
      </c>
      <c r="P1387" s="29">
        <v>3.5</v>
      </c>
      <c r="Q1387" s="29">
        <v>11</v>
      </c>
    </row>
    <row r="1388" spans="1:17" x14ac:dyDescent="0.35">
      <c r="A1388" s="26">
        <v>40000002674</v>
      </c>
      <c r="B1388" s="31">
        <v>1</v>
      </c>
      <c r="C1388" s="29" t="str">
        <f>LOOKUP(A1388,'QALS - Inspection Lot Record'!$A$2:$A$361,'QALS - Inspection Lot Record'!$O$2:$O$361)</f>
        <v>Metformin Tablets (500 MG)</v>
      </c>
      <c r="D1388" s="31">
        <v>30</v>
      </c>
      <c r="E1388" s="29" t="s">
        <v>401</v>
      </c>
      <c r="F1388" s="29" t="str">
        <f>LOOKUP(A1388,'QALS - Inspection Lot Record'!A:A,'QALS - Inspection Lot Record'!G:G)</f>
        <v>YA284176</v>
      </c>
      <c r="G1388" s="59">
        <f ca="1">LOOKUP(A1388,'QALS - Inspection Lot Record'!A:A,'QALS - Inspection Lot Record'!E:E)</f>
        <v>45956</v>
      </c>
      <c r="H1388" s="34" t="str">
        <f t="shared" si="110"/>
        <v>A</v>
      </c>
      <c r="I1388" s="29" t="str">
        <f t="shared" si="106"/>
        <v>YA284176</v>
      </c>
      <c r="J1388" s="59">
        <f t="shared" ca="1" si="107"/>
        <v>45956</v>
      </c>
      <c r="K1388" s="30">
        <f ca="1">LOOKUP(A1388,'QALS - Inspection Lot Record'!A:A,'QALS - Inspection Lot Record'!I:I)</f>
        <v>7.9976851851851858E-3</v>
      </c>
      <c r="L1388" s="59">
        <f t="shared" ca="1" si="108"/>
        <v>45956</v>
      </c>
      <c r="M1388" s="30">
        <f t="shared" ca="1" si="109"/>
        <v>3.5636574074074077E-2</v>
      </c>
      <c r="N1388" s="11" t="s">
        <v>402</v>
      </c>
      <c r="O1388" s="31"/>
      <c r="P1388" s="29"/>
      <c r="Q1388" s="29"/>
    </row>
    <row r="1389" spans="1:17" x14ac:dyDescent="0.35">
      <c r="A1389" s="26">
        <v>40000002674</v>
      </c>
      <c r="B1389" s="31">
        <v>1</v>
      </c>
      <c r="C1389" s="29" t="str">
        <f>LOOKUP(A1389,'QALS - Inspection Lot Record'!$A$2:$A$361,'QALS - Inspection Lot Record'!$O$2:$O$361)</f>
        <v>Metformin Tablets (500 MG)</v>
      </c>
      <c r="D1389" s="31">
        <v>40</v>
      </c>
      <c r="E1389" s="29" t="s">
        <v>403</v>
      </c>
      <c r="F1389" s="29" t="str">
        <f>LOOKUP(A1389,'QALS - Inspection Lot Record'!A:A,'QALS - Inspection Lot Record'!G:G)</f>
        <v>YA284176</v>
      </c>
      <c r="G1389" s="59">
        <f ca="1">LOOKUP(A1389,'QALS - Inspection Lot Record'!A:A,'QALS - Inspection Lot Record'!E:E)</f>
        <v>45956</v>
      </c>
      <c r="H1389" s="34" t="str">
        <f t="shared" si="110"/>
        <v>R</v>
      </c>
      <c r="I1389" s="29" t="str">
        <f t="shared" si="106"/>
        <v>YA284176</v>
      </c>
      <c r="J1389" s="59">
        <f t="shared" ca="1" si="107"/>
        <v>45956</v>
      </c>
      <c r="K1389" s="30">
        <f ca="1">LOOKUP(A1389,'QALS - Inspection Lot Record'!A:A,'QALS - Inspection Lot Record'!I:I)</f>
        <v>7.9976851851851858E-3</v>
      </c>
      <c r="L1389" s="59">
        <f t="shared" ca="1" si="108"/>
        <v>45956</v>
      </c>
      <c r="M1389" s="30">
        <f t="shared" ca="1" si="109"/>
        <v>4.0462962962962964E-2</v>
      </c>
      <c r="N1389" s="31"/>
      <c r="O1389" s="31">
        <v>2.1</v>
      </c>
      <c r="P1389" s="29">
        <v>0</v>
      </c>
      <c r="Q1389" s="29">
        <v>2</v>
      </c>
    </row>
    <row r="1390" spans="1:17" x14ac:dyDescent="0.35">
      <c r="A1390" s="26">
        <v>40000002674</v>
      </c>
      <c r="B1390" s="31">
        <v>1</v>
      </c>
      <c r="C1390" s="29" t="str">
        <f>LOOKUP(A1390,'QALS - Inspection Lot Record'!$A$2:$A$361,'QALS - Inspection Lot Record'!$O$2:$O$361)</f>
        <v>Metformin Tablets (500 MG)</v>
      </c>
      <c r="D1390" s="31">
        <v>50</v>
      </c>
      <c r="E1390" s="29" t="s">
        <v>404</v>
      </c>
      <c r="F1390" s="29" t="str">
        <f>LOOKUP(A1390,'QALS - Inspection Lot Record'!A:A,'QALS - Inspection Lot Record'!G:G)</f>
        <v>YA284176</v>
      </c>
      <c r="G1390" s="59">
        <f ca="1">LOOKUP(A1390,'QALS - Inspection Lot Record'!A:A,'QALS - Inspection Lot Record'!E:E)</f>
        <v>45956</v>
      </c>
      <c r="H1390" s="34" t="str">
        <f t="shared" si="110"/>
        <v>R</v>
      </c>
      <c r="I1390" s="29" t="str">
        <f t="shared" si="106"/>
        <v>YA284176</v>
      </c>
      <c r="J1390" s="59">
        <f t="shared" ca="1" si="107"/>
        <v>45956</v>
      </c>
      <c r="K1390" s="30">
        <f ca="1">LOOKUP(A1390,'QALS - Inspection Lot Record'!A:A,'QALS - Inspection Lot Record'!I:I)</f>
        <v>7.9976851851851858E-3</v>
      </c>
      <c r="L1390" s="59">
        <f t="shared" ca="1" si="108"/>
        <v>45956</v>
      </c>
      <c r="M1390" s="30">
        <f t="shared" ca="1" si="109"/>
        <v>3.2569444444444443E-2</v>
      </c>
      <c r="N1390" s="31"/>
      <c r="O1390" s="31">
        <v>38.5</v>
      </c>
      <c r="P1390" s="29">
        <v>40</v>
      </c>
      <c r="Q1390" s="29">
        <v>60</v>
      </c>
    </row>
    <row r="1391" spans="1:17" x14ac:dyDescent="0.35">
      <c r="A1391" s="26">
        <v>40000002674</v>
      </c>
      <c r="B1391" s="31">
        <v>1</v>
      </c>
      <c r="C1391" s="29" t="str">
        <f>LOOKUP(A1391,'QALS - Inspection Lot Record'!$A$2:$A$361,'QALS - Inspection Lot Record'!$O$2:$O$361)</f>
        <v>Metformin Tablets (500 MG)</v>
      </c>
      <c r="D1391" s="31">
        <v>60</v>
      </c>
      <c r="E1391" s="29" t="s">
        <v>405</v>
      </c>
      <c r="F1391" s="29" t="str">
        <f>LOOKUP(A1391,'QALS - Inspection Lot Record'!A:A,'QALS - Inspection Lot Record'!G:G)</f>
        <v>YA284176</v>
      </c>
      <c r="G1391" s="59">
        <f ca="1">LOOKUP(A1391,'QALS - Inspection Lot Record'!A:A,'QALS - Inspection Lot Record'!E:E)</f>
        <v>45956</v>
      </c>
      <c r="H1391" s="34" t="str">
        <f t="shared" si="110"/>
        <v>A</v>
      </c>
      <c r="I1391" s="29" t="str">
        <f t="shared" si="106"/>
        <v>YA284176</v>
      </c>
      <c r="J1391" s="59">
        <f t="shared" ca="1" si="107"/>
        <v>45956</v>
      </c>
      <c r="K1391" s="30">
        <f ca="1">LOOKUP(A1391,'QALS - Inspection Lot Record'!A:A,'QALS - Inspection Lot Record'!I:I)</f>
        <v>7.9976851851851858E-3</v>
      </c>
      <c r="L1391" s="59">
        <f t="shared" ca="1" si="108"/>
        <v>45956</v>
      </c>
      <c r="M1391" s="30">
        <f t="shared" ca="1" si="109"/>
        <v>3.7499999999999999E-2</v>
      </c>
      <c r="N1391" s="31"/>
      <c r="O1391" s="31">
        <v>74</v>
      </c>
      <c r="P1391" s="29">
        <v>70</v>
      </c>
      <c r="Q1391" s="29">
        <v>85</v>
      </c>
    </row>
    <row r="1392" spans="1:17" x14ac:dyDescent="0.35">
      <c r="A1392" s="26">
        <v>40000002674</v>
      </c>
      <c r="B1392" s="31">
        <v>1</v>
      </c>
      <c r="C1392" s="29" t="str">
        <f>LOOKUP(A1392,'QALS - Inspection Lot Record'!$A$2:$A$361,'QALS - Inspection Lot Record'!$O$2:$O$361)</f>
        <v>Metformin Tablets (500 MG)</v>
      </c>
      <c r="D1392" s="31">
        <v>70</v>
      </c>
      <c r="E1392" s="29" t="s">
        <v>406</v>
      </c>
      <c r="F1392" s="29" t="str">
        <f>LOOKUP(A1392,'QALS - Inspection Lot Record'!A:A,'QALS - Inspection Lot Record'!G:G)</f>
        <v>YA284176</v>
      </c>
      <c r="G1392" s="59">
        <f ca="1">LOOKUP(A1392,'QALS - Inspection Lot Record'!A:A,'QALS - Inspection Lot Record'!E:E)</f>
        <v>45956</v>
      </c>
      <c r="H1392" s="34" t="str">
        <f t="shared" si="110"/>
        <v>R</v>
      </c>
      <c r="I1392" s="29" t="str">
        <f t="shared" si="106"/>
        <v>YA284176</v>
      </c>
      <c r="J1392" s="59">
        <f t="shared" ca="1" si="107"/>
        <v>45956</v>
      </c>
      <c r="K1392" s="30">
        <f ca="1">LOOKUP(A1392,'QALS - Inspection Lot Record'!A:A,'QALS - Inspection Lot Record'!I:I)</f>
        <v>7.9976851851851858E-3</v>
      </c>
      <c r="L1392" s="59">
        <f t="shared" ca="1" si="108"/>
        <v>45956</v>
      </c>
      <c r="M1392" s="30">
        <f t="shared" ca="1" si="109"/>
        <v>3.2928240740740744E-2</v>
      </c>
      <c r="N1392" s="31"/>
      <c r="O1392" s="31">
        <v>78.8</v>
      </c>
      <c r="P1392" s="29">
        <v>80</v>
      </c>
      <c r="Q1392" s="29">
        <v>90</v>
      </c>
    </row>
    <row r="1393" spans="1:17" x14ac:dyDescent="0.35">
      <c r="A1393" s="26">
        <v>40000002674</v>
      </c>
      <c r="B1393" s="31">
        <v>1</v>
      </c>
      <c r="C1393" s="29" t="str">
        <f>LOOKUP(A1393,'QALS - Inspection Lot Record'!$A$2:$A$361,'QALS - Inspection Lot Record'!$O$2:$O$361)</f>
        <v>Metformin Tablets (500 MG)</v>
      </c>
      <c r="D1393" s="31">
        <v>80</v>
      </c>
      <c r="E1393" s="29" t="s">
        <v>407</v>
      </c>
      <c r="F1393" s="29" t="str">
        <f>LOOKUP(A1393,'QALS - Inspection Lot Record'!A:A,'QALS - Inspection Lot Record'!G:G)</f>
        <v>YA284176</v>
      </c>
      <c r="G1393" s="59">
        <f ca="1">LOOKUP(A1393,'QALS - Inspection Lot Record'!A:A,'QALS - Inspection Lot Record'!E:E)</f>
        <v>45956</v>
      </c>
      <c r="H1393" s="34" t="str">
        <f t="shared" si="110"/>
        <v>R</v>
      </c>
      <c r="I1393" s="29" t="str">
        <f t="shared" si="106"/>
        <v>YA284176</v>
      </c>
      <c r="J1393" s="59">
        <f t="shared" ca="1" si="107"/>
        <v>45956</v>
      </c>
      <c r="K1393" s="30">
        <f ca="1">LOOKUP(A1393,'QALS - Inspection Lot Record'!A:A,'QALS - Inspection Lot Record'!I:I)</f>
        <v>7.9976851851851858E-3</v>
      </c>
      <c r="L1393" s="59">
        <f t="shared" ca="1" si="108"/>
        <v>45956</v>
      </c>
      <c r="M1393" s="30">
        <f t="shared" ca="1" si="109"/>
        <v>3.9722222222222221E-2</v>
      </c>
      <c r="N1393" s="31"/>
      <c r="O1393" s="31">
        <v>22</v>
      </c>
      <c r="P1393" s="29">
        <v>23</v>
      </c>
      <c r="Q1393" s="29">
        <v>28</v>
      </c>
    </row>
    <row r="1394" spans="1:17" x14ac:dyDescent="0.35">
      <c r="A1394" s="26">
        <v>40000002675</v>
      </c>
      <c r="B1394" s="27">
        <v>1</v>
      </c>
      <c r="C1394" s="29" t="str">
        <f>LOOKUP(A1394,'QALS - Inspection Lot Record'!$A$2:$A$361,'QALS - Inspection Lot Record'!$O$2:$O$361)</f>
        <v>Aspirin Tablets (500 MG)</v>
      </c>
      <c r="D1394" s="27">
        <v>10</v>
      </c>
      <c r="E1394" s="26" t="s">
        <v>399</v>
      </c>
      <c r="F1394" s="29" t="str">
        <f>LOOKUP(A1394,'QALS - Inspection Lot Record'!A:A,'QALS - Inspection Lot Record'!G:G)</f>
        <v>TP397880</v>
      </c>
      <c r="G1394" s="59">
        <f ca="1">LOOKUP(A1394,'QALS - Inspection Lot Record'!A:A,'QALS - Inspection Lot Record'!E:E)</f>
        <v>45957</v>
      </c>
      <c r="H1394" s="34" t="str">
        <f t="shared" si="110"/>
        <v>A</v>
      </c>
      <c r="I1394" s="29" t="str">
        <f t="shared" si="106"/>
        <v>TP397880</v>
      </c>
      <c r="J1394" s="59">
        <f t="shared" ca="1" si="107"/>
        <v>45957</v>
      </c>
      <c r="K1394" s="30">
        <f ca="1">LOOKUP(A1394,'QALS - Inspection Lot Record'!A:A,'QALS - Inspection Lot Record'!I:I)</f>
        <v>0.8297106481481481</v>
      </c>
      <c r="L1394" s="59">
        <f t="shared" ca="1" si="108"/>
        <v>45957</v>
      </c>
      <c r="M1394" s="30">
        <f t="shared" ca="1" si="109"/>
        <v>0.85310185185185183</v>
      </c>
      <c r="N1394" s="31"/>
      <c r="O1394" s="31">
        <v>100</v>
      </c>
      <c r="P1394" s="29">
        <v>95</v>
      </c>
      <c r="Q1394" s="29">
        <v>105</v>
      </c>
    </row>
    <row r="1395" spans="1:17" x14ac:dyDescent="0.35">
      <c r="A1395" s="26">
        <v>40000002675</v>
      </c>
      <c r="B1395" s="27">
        <v>1</v>
      </c>
      <c r="C1395" s="29" t="str">
        <f>LOOKUP(A1395,'QALS - Inspection Lot Record'!$A$2:$A$361,'QALS - Inspection Lot Record'!$O$2:$O$361)</f>
        <v>Aspirin Tablets (500 MG)</v>
      </c>
      <c r="D1395" s="31">
        <v>20</v>
      </c>
      <c r="E1395" s="29" t="s">
        <v>400</v>
      </c>
      <c r="F1395" s="29" t="str">
        <f>LOOKUP(A1395,'QALS - Inspection Lot Record'!A:A,'QALS - Inspection Lot Record'!G:G)</f>
        <v>TP397880</v>
      </c>
      <c r="G1395" s="59">
        <f ca="1">LOOKUP(A1395,'QALS - Inspection Lot Record'!A:A,'QALS - Inspection Lot Record'!E:E)</f>
        <v>45957</v>
      </c>
      <c r="H1395" s="34" t="str">
        <f t="shared" si="110"/>
        <v>A</v>
      </c>
      <c r="I1395" s="29" t="str">
        <f t="shared" si="106"/>
        <v>TP397880</v>
      </c>
      <c r="J1395" s="59">
        <f t="shared" ca="1" si="107"/>
        <v>45957</v>
      </c>
      <c r="K1395" s="30">
        <f ca="1">LOOKUP(A1395,'QALS - Inspection Lot Record'!A:A,'QALS - Inspection Lot Record'!I:I)</f>
        <v>0.8297106481481481</v>
      </c>
      <c r="L1395" s="59">
        <f t="shared" ca="1" si="108"/>
        <v>45957</v>
      </c>
      <c r="M1395" s="30">
        <f t="shared" ca="1" si="109"/>
        <v>0.85821759259259256</v>
      </c>
      <c r="N1395" s="31"/>
      <c r="O1395" s="31">
        <v>7.25</v>
      </c>
      <c r="P1395" s="29">
        <v>3.5</v>
      </c>
      <c r="Q1395" s="29">
        <v>11</v>
      </c>
    </row>
    <row r="1396" spans="1:17" x14ac:dyDescent="0.35">
      <c r="A1396" s="26">
        <v>40000002675</v>
      </c>
      <c r="B1396" s="31">
        <v>1</v>
      </c>
      <c r="C1396" s="29" t="str">
        <f>LOOKUP(A1396,'QALS - Inspection Lot Record'!$A$2:$A$361,'QALS - Inspection Lot Record'!$O$2:$O$361)</f>
        <v>Aspirin Tablets (500 MG)</v>
      </c>
      <c r="D1396" s="31">
        <v>30</v>
      </c>
      <c r="E1396" s="29" t="s">
        <v>401</v>
      </c>
      <c r="F1396" s="29" t="str">
        <f>LOOKUP(A1396,'QALS - Inspection Lot Record'!A:A,'QALS - Inspection Lot Record'!G:G)</f>
        <v>TP397880</v>
      </c>
      <c r="G1396" s="59">
        <f ca="1">LOOKUP(A1396,'QALS - Inspection Lot Record'!A:A,'QALS - Inspection Lot Record'!E:E)</f>
        <v>45957</v>
      </c>
      <c r="H1396" s="34" t="str">
        <f t="shared" si="110"/>
        <v>A</v>
      </c>
      <c r="I1396" s="29" t="str">
        <f t="shared" si="106"/>
        <v>TP397880</v>
      </c>
      <c r="J1396" s="59">
        <f t="shared" ca="1" si="107"/>
        <v>45957</v>
      </c>
      <c r="K1396" s="30">
        <f ca="1">LOOKUP(A1396,'QALS - Inspection Lot Record'!A:A,'QALS - Inspection Lot Record'!I:I)</f>
        <v>0.8297106481481481</v>
      </c>
      <c r="L1396" s="59">
        <f t="shared" ca="1" si="108"/>
        <v>45957</v>
      </c>
      <c r="M1396" s="30">
        <f t="shared" ca="1" si="109"/>
        <v>0.84842592592592592</v>
      </c>
      <c r="N1396" s="11" t="s">
        <v>402</v>
      </c>
      <c r="O1396" s="31"/>
      <c r="P1396" s="29"/>
      <c r="Q1396" s="29"/>
    </row>
    <row r="1397" spans="1:17" x14ac:dyDescent="0.35">
      <c r="A1397" s="26">
        <v>40000002675</v>
      </c>
      <c r="B1397" s="31">
        <v>1</v>
      </c>
      <c r="C1397" s="29" t="str">
        <f>LOOKUP(A1397,'QALS - Inspection Lot Record'!$A$2:$A$361,'QALS - Inspection Lot Record'!$O$2:$O$361)</f>
        <v>Aspirin Tablets (500 MG)</v>
      </c>
      <c r="D1397" s="31">
        <v>40</v>
      </c>
      <c r="E1397" s="29" t="s">
        <v>403</v>
      </c>
      <c r="F1397" s="29" t="str">
        <f>LOOKUP(A1397,'QALS - Inspection Lot Record'!A:A,'QALS - Inspection Lot Record'!G:G)</f>
        <v>TP397880</v>
      </c>
      <c r="G1397" s="59">
        <f ca="1">LOOKUP(A1397,'QALS - Inspection Lot Record'!A:A,'QALS - Inspection Lot Record'!E:E)</f>
        <v>45957</v>
      </c>
      <c r="H1397" s="34" t="str">
        <f t="shared" si="110"/>
        <v>A</v>
      </c>
      <c r="I1397" s="29" t="str">
        <f t="shared" si="106"/>
        <v>TP397880</v>
      </c>
      <c r="J1397" s="59">
        <f t="shared" ca="1" si="107"/>
        <v>45957</v>
      </c>
      <c r="K1397" s="30">
        <f ca="1">LOOKUP(A1397,'QALS - Inspection Lot Record'!A:A,'QALS - Inspection Lot Record'!I:I)</f>
        <v>0.8297106481481481</v>
      </c>
      <c r="L1397" s="59">
        <f t="shared" ca="1" si="108"/>
        <v>45957</v>
      </c>
      <c r="M1397" s="30">
        <f t="shared" ca="1" si="109"/>
        <v>0.86187499999999995</v>
      </c>
      <c r="N1397" s="31"/>
      <c r="O1397" s="31">
        <v>0</v>
      </c>
      <c r="P1397" s="29">
        <v>0</v>
      </c>
      <c r="Q1397" s="29">
        <v>2.5</v>
      </c>
    </row>
    <row r="1398" spans="1:17" x14ac:dyDescent="0.35">
      <c r="A1398" s="26">
        <v>40000002675</v>
      </c>
      <c r="B1398" s="31">
        <v>1</v>
      </c>
      <c r="C1398" s="29" t="str">
        <f>LOOKUP(A1398,'QALS - Inspection Lot Record'!$A$2:$A$361,'QALS - Inspection Lot Record'!$O$2:$O$361)</f>
        <v>Aspirin Tablets (500 MG)</v>
      </c>
      <c r="D1398" s="31">
        <v>50</v>
      </c>
      <c r="E1398" s="29" t="s">
        <v>404</v>
      </c>
      <c r="F1398" s="29" t="str">
        <f>LOOKUP(A1398,'QALS - Inspection Lot Record'!A:A,'QALS - Inspection Lot Record'!G:G)</f>
        <v>TP397880</v>
      </c>
      <c r="G1398" s="59">
        <f ca="1">LOOKUP(A1398,'QALS - Inspection Lot Record'!A:A,'QALS - Inspection Lot Record'!E:E)</f>
        <v>45957</v>
      </c>
      <c r="H1398" s="34" t="str">
        <f t="shared" si="110"/>
        <v>A</v>
      </c>
      <c r="I1398" s="29" t="str">
        <f t="shared" si="106"/>
        <v>TP397880</v>
      </c>
      <c r="J1398" s="59">
        <f t="shared" ca="1" si="107"/>
        <v>45957</v>
      </c>
      <c r="K1398" s="30">
        <f ca="1">LOOKUP(A1398,'QALS - Inspection Lot Record'!A:A,'QALS - Inspection Lot Record'!I:I)</f>
        <v>0.8297106481481481</v>
      </c>
      <c r="L1398" s="59">
        <f t="shared" ca="1" si="108"/>
        <v>45957</v>
      </c>
      <c r="M1398" s="30">
        <f t="shared" ca="1" si="109"/>
        <v>0.85396990740740741</v>
      </c>
      <c r="N1398" s="31"/>
      <c r="O1398" s="31">
        <v>41</v>
      </c>
      <c r="P1398" s="29">
        <v>40</v>
      </c>
      <c r="Q1398" s="29">
        <v>60</v>
      </c>
    </row>
    <row r="1399" spans="1:17" x14ac:dyDescent="0.35">
      <c r="A1399" s="26">
        <v>40000002675</v>
      </c>
      <c r="B1399" s="31">
        <v>1</v>
      </c>
      <c r="C1399" s="29" t="str">
        <f>LOOKUP(A1399,'QALS - Inspection Lot Record'!$A$2:$A$361,'QALS - Inspection Lot Record'!$O$2:$O$361)</f>
        <v>Aspirin Tablets (500 MG)</v>
      </c>
      <c r="D1399" s="31">
        <v>60</v>
      </c>
      <c r="E1399" s="29" t="s">
        <v>405</v>
      </c>
      <c r="F1399" s="29" t="str">
        <f>LOOKUP(A1399,'QALS - Inspection Lot Record'!A:A,'QALS - Inspection Lot Record'!G:G)</f>
        <v>TP397880</v>
      </c>
      <c r="G1399" s="59">
        <f ca="1">LOOKUP(A1399,'QALS - Inspection Lot Record'!A:A,'QALS - Inspection Lot Record'!E:E)</f>
        <v>45957</v>
      </c>
      <c r="H1399" s="34" t="str">
        <f t="shared" si="110"/>
        <v>A</v>
      </c>
      <c r="I1399" s="29" t="str">
        <f t="shared" si="106"/>
        <v>TP397880</v>
      </c>
      <c r="J1399" s="59">
        <f t="shared" ca="1" si="107"/>
        <v>45957</v>
      </c>
      <c r="K1399" s="30">
        <f ca="1">LOOKUP(A1399,'QALS - Inspection Lot Record'!A:A,'QALS - Inspection Lot Record'!I:I)</f>
        <v>0.8297106481481481</v>
      </c>
      <c r="L1399" s="59">
        <f t="shared" ca="1" si="108"/>
        <v>45957</v>
      </c>
      <c r="M1399" s="30">
        <f t="shared" ca="1" si="109"/>
        <v>0.86311342592592588</v>
      </c>
      <c r="N1399" s="31"/>
      <c r="O1399" s="31">
        <v>77.5</v>
      </c>
      <c r="P1399" s="29">
        <v>70</v>
      </c>
      <c r="Q1399" s="29">
        <v>85</v>
      </c>
    </row>
    <row r="1400" spans="1:17" x14ac:dyDescent="0.35">
      <c r="A1400" s="26">
        <v>40000002675</v>
      </c>
      <c r="B1400" s="31">
        <v>1</v>
      </c>
      <c r="C1400" s="29" t="str">
        <f>LOOKUP(A1400,'QALS - Inspection Lot Record'!$A$2:$A$361,'QALS - Inspection Lot Record'!$O$2:$O$361)</f>
        <v>Aspirin Tablets (500 MG)</v>
      </c>
      <c r="D1400" s="31">
        <v>70</v>
      </c>
      <c r="E1400" s="29" t="s">
        <v>406</v>
      </c>
      <c r="F1400" s="29" t="str">
        <f>LOOKUP(A1400,'QALS - Inspection Lot Record'!A:A,'QALS - Inspection Lot Record'!G:G)</f>
        <v>TP397880</v>
      </c>
      <c r="G1400" s="59">
        <f ca="1">LOOKUP(A1400,'QALS - Inspection Lot Record'!A:A,'QALS - Inspection Lot Record'!E:E)</f>
        <v>45957</v>
      </c>
      <c r="H1400" s="34" t="str">
        <f t="shared" si="110"/>
        <v>A</v>
      </c>
      <c r="I1400" s="29" t="str">
        <f t="shared" si="106"/>
        <v>TP397880</v>
      </c>
      <c r="J1400" s="59">
        <f t="shared" ca="1" si="107"/>
        <v>45957</v>
      </c>
      <c r="K1400" s="30">
        <f ca="1">LOOKUP(A1400,'QALS - Inspection Lot Record'!A:A,'QALS - Inspection Lot Record'!I:I)</f>
        <v>0.8297106481481481</v>
      </c>
      <c r="L1400" s="59">
        <f t="shared" ca="1" si="108"/>
        <v>45957</v>
      </c>
      <c r="M1400" s="30">
        <f t="shared" ca="1" si="109"/>
        <v>0.84731481481481474</v>
      </c>
      <c r="N1400" s="31"/>
      <c r="O1400" s="31">
        <v>85</v>
      </c>
      <c r="P1400" s="29">
        <v>80</v>
      </c>
      <c r="Q1400" s="29">
        <v>90</v>
      </c>
    </row>
    <row r="1401" spans="1:17" x14ac:dyDescent="0.35">
      <c r="A1401" s="26">
        <v>40000002675</v>
      </c>
      <c r="B1401" s="31">
        <v>1</v>
      </c>
      <c r="C1401" s="29" t="str">
        <f>LOOKUP(A1401,'QALS - Inspection Lot Record'!$A$2:$A$361,'QALS - Inspection Lot Record'!$O$2:$O$361)</f>
        <v>Aspirin Tablets (500 MG)</v>
      </c>
      <c r="D1401" s="31">
        <v>80</v>
      </c>
      <c r="E1401" s="29" t="s">
        <v>407</v>
      </c>
      <c r="F1401" s="29" t="str">
        <f>LOOKUP(A1401,'QALS - Inspection Lot Record'!A:A,'QALS - Inspection Lot Record'!G:G)</f>
        <v>TP397880</v>
      </c>
      <c r="G1401" s="59">
        <f ca="1">LOOKUP(A1401,'QALS - Inspection Lot Record'!A:A,'QALS - Inspection Lot Record'!E:E)</f>
        <v>45957</v>
      </c>
      <c r="H1401" s="34" t="str">
        <f t="shared" si="110"/>
        <v>A</v>
      </c>
      <c r="I1401" s="29" t="str">
        <f t="shared" si="106"/>
        <v>TP397880</v>
      </c>
      <c r="J1401" s="59">
        <f t="shared" ca="1" si="107"/>
        <v>45957</v>
      </c>
      <c r="K1401" s="30">
        <f ca="1">LOOKUP(A1401,'QALS - Inspection Lot Record'!A:A,'QALS - Inspection Lot Record'!I:I)</f>
        <v>0.8297106481481481</v>
      </c>
      <c r="L1401" s="59">
        <f t="shared" ca="1" si="108"/>
        <v>45957</v>
      </c>
      <c r="M1401" s="30">
        <f t="shared" ca="1" si="109"/>
        <v>0.84799768518518515</v>
      </c>
      <c r="N1401" s="31"/>
      <c r="O1401" s="31">
        <v>25.5</v>
      </c>
      <c r="P1401" s="29">
        <v>23</v>
      </c>
      <c r="Q1401" s="29">
        <v>28</v>
      </c>
    </row>
    <row r="1402" spans="1:17" x14ac:dyDescent="0.35">
      <c r="A1402" s="26">
        <v>40000002676</v>
      </c>
      <c r="B1402" s="27">
        <v>1</v>
      </c>
      <c r="C1402" s="29" t="str">
        <f>LOOKUP(A1402,'QALS - Inspection Lot Record'!$A$2:$A$361,'QALS - Inspection Lot Record'!$O$2:$O$361)</f>
        <v>Metformin Tablets (200 MG)</v>
      </c>
      <c r="D1402" s="27">
        <v>10</v>
      </c>
      <c r="E1402" s="26" t="s">
        <v>399</v>
      </c>
      <c r="F1402" s="29" t="str">
        <f>LOOKUP(A1402,'QALS - Inspection Lot Record'!A:A,'QALS - Inspection Lot Record'!G:G)</f>
        <v>TG509538</v>
      </c>
      <c r="G1402" s="59">
        <f ca="1">LOOKUP(A1402,'QALS - Inspection Lot Record'!A:A,'QALS - Inspection Lot Record'!E:E)</f>
        <v>45957</v>
      </c>
      <c r="H1402" s="34" t="str">
        <f t="shared" si="110"/>
        <v>A</v>
      </c>
      <c r="I1402" s="29" t="str">
        <f t="shared" si="106"/>
        <v>TG509538</v>
      </c>
      <c r="J1402" s="59">
        <f t="shared" ca="1" si="107"/>
        <v>45957</v>
      </c>
      <c r="K1402" s="30">
        <f ca="1">LOOKUP(A1402,'QALS - Inspection Lot Record'!A:A,'QALS - Inspection Lot Record'!I:I)</f>
        <v>3.0219907407407407E-2</v>
      </c>
      <c r="L1402" s="59">
        <f t="shared" ca="1" si="108"/>
        <v>45957</v>
      </c>
      <c r="M1402" s="30">
        <f t="shared" ca="1" si="109"/>
        <v>6.1458333333333337E-2</v>
      </c>
      <c r="N1402" s="31"/>
      <c r="O1402" s="31">
        <v>99</v>
      </c>
      <c r="P1402" s="29">
        <v>95</v>
      </c>
      <c r="Q1402" s="29">
        <v>103</v>
      </c>
    </row>
    <row r="1403" spans="1:17" x14ac:dyDescent="0.35">
      <c r="A1403" s="26">
        <v>40000002676</v>
      </c>
      <c r="B1403" s="27">
        <v>1</v>
      </c>
      <c r="C1403" s="29" t="str">
        <f>LOOKUP(A1403,'QALS - Inspection Lot Record'!$A$2:$A$361,'QALS - Inspection Lot Record'!$O$2:$O$361)</f>
        <v>Metformin Tablets (200 MG)</v>
      </c>
      <c r="D1403" s="31">
        <v>20</v>
      </c>
      <c r="E1403" s="29" t="s">
        <v>400</v>
      </c>
      <c r="F1403" s="29" t="str">
        <f>LOOKUP(A1403,'QALS - Inspection Lot Record'!A:A,'QALS - Inspection Lot Record'!G:G)</f>
        <v>TG509538</v>
      </c>
      <c r="G1403" s="59">
        <f ca="1">LOOKUP(A1403,'QALS - Inspection Lot Record'!A:A,'QALS - Inspection Lot Record'!E:E)</f>
        <v>45957</v>
      </c>
      <c r="H1403" s="34" t="str">
        <f t="shared" si="110"/>
        <v>A</v>
      </c>
      <c r="I1403" s="29" t="str">
        <f t="shared" si="106"/>
        <v>TG509538</v>
      </c>
      <c r="J1403" s="59">
        <f t="shared" ca="1" si="107"/>
        <v>45957</v>
      </c>
      <c r="K1403" s="30">
        <f ca="1">LOOKUP(A1403,'QALS - Inspection Lot Record'!A:A,'QALS - Inspection Lot Record'!I:I)</f>
        <v>3.0219907407407407E-2</v>
      </c>
      <c r="L1403" s="59">
        <f t="shared" ca="1" si="108"/>
        <v>45957</v>
      </c>
      <c r="M1403" s="30">
        <f t="shared" ca="1" si="109"/>
        <v>5.8692129629629629E-2</v>
      </c>
      <c r="N1403" s="31"/>
      <c r="O1403" s="31">
        <v>7.8</v>
      </c>
      <c r="P1403" s="29">
        <v>6</v>
      </c>
      <c r="Q1403" s="29">
        <v>9.5</v>
      </c>
    </row>
    <row r="1404" spans="1:17" x14ac:dyDescent="0.35">
      <c r="A1404" s="26">
        <v>40000002676</v>
      </c>
      <c r="B1404" s="31">
        <v>1</v>
      </c>
      <c r="C1404" s="29" t="str">
        <f>LOOKUP(A1404,'QALS - Inspection Lot Record'!$A$2:$A$361,'QALS - Inspection Lot Record'!$O$2:$O$361)</f>
        <v>Metformin Tablets (200 MG)</v>
      </c>
      <c r="D1404" s="31">
        <v>30</v>
      </c>
      <c r="E1404" s="29" t="s">
        <v>401</v>
      </c>
      <c r="F1404" s="29" t="str">
        <f>LOOKUP(A1404,'QALS - Inspection Lot Record'!A:A,'QALS - Inspection Lot Record'!G:G)</f>
        <v>TG509538</v>
      </c>
      <c r="G1404" s="59">
        <f ca="1">LOOKUP(A1404,'QALS - Inspection Lot Record'!A:A,'QALS - Inspection Lot Record'!E:E)</f>
        <v>45957</v>
      </c>
      <c r="H1404" s="34" t="str">
        <f t="shared" si="110"/>
        <v>A</v>
      </c>
      <c r="I1404" s="29" t="str">
        <f t="shared" si="106"/>
        <v>TG509538</v>
      </c>
      <c r="J1404" s="59">
        <f t="shared" ca="1" si="107"/>
        <v>45957</v>
      </c>
      <c r="K1404" s="30">
        <f ca="1">LOOKUP(A1404,'QALS - Inspection Lot Record'!A:A,'QALS - Inspection Lot Record'!I:I)</f>
        <v>3.0219907407407407E-2</v>
      </c>
      <c r="L1404" s="59">
        <f t="shared" ca="1" si="108"/>
        <v>45957</v>
      </c>
      <c r="M1404" s="30">
        <f t="shared" ca="1" si="109"/>
        <v>6.3206018518518522E-2</v>
      </c>
      <c r="N1404" s="11" t="s">
        <v>402</v>
      </c>
      <c r="O1404" s="31"/>
      <c r="P1404" s="29"/>
      <c r="Q1404" s="29"/>
    </row>
    <row r="1405" spans="1:17" x14ac:dyDescent="0.35">
      <c r="A1405" s="26">
        <v>40000002676</v>
      </c>
      <c r="B1405" s="31">
        <v>1</v>
      </c>
      <c r="C1405" s="29" t="str">
        <f>LOOKUP(A1405,'QALS - Inspection Lot Record'!$A$2:$A$361,'QALS - Inspection Lot Record'!$O$2:$O$361)</f>
        <v>Metformin Tablets (200 MG)</v>
      </c>
      <c r="D1405" s="31">
        <v>40</v>
      </c>
      <c r="E1405" s="29" t="s">
        <v>403</v>
      </c>
      <c r="F1405" s="29" t="str">
        <f>LOOKUP(A1405,'QALS - Inspection Lot Record'!A:A,'QALS - Inspection Lot Record'!G:G)</f>
        <v>TG509538</v>
      </c>
      <c r="G1405" s="59">
        <f ca="1">LOOKUP(A1405,'QALS - Inspection Lot Record'!A:A,'QALS - Inspection Lot Record'!E:E)</f>
        <v>45957</v>
      </c>
      <c r="H1405" s="34" t="str">
        <f t="shared" si="110"/>
        <v>A</v>
      </c>
      <c r="I1405" s="29" t="str">
        <f t="shared" si="106"/>
        <v>TG509538</v>
      </c>
      <c r="J1405" s="59">
        <f t="shared" ca="1" si="107"/>
        <v>45957</v>
      </c>
      <c r="K1405" s="30">
        <f ca="1">LOOKUP(A1405,'QALS - Inspection Lot Record'!A:A,'QALS - Inspection Lot Record'!I:I)</f>
        <v>3.0219907407407407E-2</v>
      </c>
      <c r="L1405" s="59">
        <f t="shared" ca="1" si="108"/>
        <v>45957</v>
      </c>
      <c r="M1405" s="30">
        <f t="shared" ca="1" si="109"/>
        <v>6.4155092592592597E-2</v>
      </c>
      <c r="N1405" s="31"/>
      <c r="O1405" s="31">
        <v>0</v>
      </c>
      <c r="P1405" s="29">
        <v>0</v>
      </c>
      <c r="Q1405" s="29">
        <v>2</v>
      </c>
    </row>
    <row r="1406" spans="1:17" x14ac:dyDescent="0.35">
      <c r="A1406" s="26">
        <v>40000002676</v>
      </c>
      <c r="B1406" s="31">
        <v>1</v>
      </c>
      <c r="C1406" s="29" t="str">
        <f>LOOKUP(A1406,'QALS - Inspection Lot Record'!$A$2:$A$361,'QALS - Inspection Lot Record'!$O$2:$O$361)</f>
        <v>Metformin Tablets (200 MG)</v>
      </c>
      <c r="D1406" s="31">
        <v>50</v>
      </c>
      <c r="E1406" s="29" t="s">
        <v>404</v>
      </c>
      <c r="F1406" s="29" t="str">
        <f>LOOKUP(A1406,'QALS - Inspection Lot Record'!A:A,'QALS - Inspection Lot Record'!G:G)</f>
        <v>TG509538</v>
      </c>
      <c r="G1406" s="59">
        <f ca="1">LOOKUP(A1406,'QALS - Inspection Lot Record'!A:A,'QALS - Inspection Lot Record'!E:E)</f>
        <v>45957</v>
      </c>
      <c r="H1406" s="34" t="str">
        <f t="shared" si="110"/>
        <v>A</v>
      </c>
      <c r="I1406" s="29" t="str">
        <f t="shared" si="106"/>
        <v>TG509538</v>
      </c>
      <c r="J1406" s="59">
        <f t="shared" ca="1" si="107"/>
        <v>45957</v>
      </c>
      <c r="K1406" s="30">
        <f ca="1">LOOKUP(A1406,'QALS - Inspection Lot Record'!A:A,'QALS - Inspection Lot Record'!I:I)</f>
        <v>3.0219907407407407E-2</v>
      </c>
      <c r="L1406" s="59">
        <f t="shared" ca="1" si="108"/>
        <v>45957</v>
      </c>
      <c r="M1406" s="30">
        <f t="shared" ca="1" si="109"/>
        <v>5.4131944444444441E-2</v>
      </c>
      <c r="N1406" s="31"/>
      <c r="O1406" s="31">
        <v>50</v>
      </c>
      <c r="P1406" s="29">
        <v>40</v>
      </c>
      <c r="Q1406" s="29">
        <v>60</v>
      </c>
    </row>
    <row r="1407" spans="1:17" x14ac:dyDescent="0.35">
      <c r="A1407" s="26">
        <v>40000002676</v>
      </c>
      <c r="B1407" s="31">
        <v>1</v>
      </c>
      <c r="C1407" s="29" t="str">
        <f>LOOKUP(A1407,'QALS - Inspection Lot Record'!$A$2:$A$361,'QALS - Inspection Lot Record'!$O$2:$O$361)</f>
        <v>Metformin Tablets (200 MG)</v>
      </c>
      <c r="D1407" s="31">
        <v>60</v>
      </c>
      <c r="E1407" s="29" t="s">
        <v>405</v>
      </c>
      <c r="F1407" s="29" t="str">
        <f>LOOKUP(A1407,'QALS - Inspection Lot Record'!A:A,'QALS - Inspection Lot Record'!G:G)</f>
        <v>TG509538</v>
      </c>
      <c r="G1407" s="59">
        <f ca="1">LOOKUP(A1407,'QALS - Inspection Lot Record'!A:A,'QALS - Inspection Lot Record'!E:E)</f>
        <v>45957</v>
      </c>
      <c r="H1407" s="34" t="str">
        <f t="shared" si="110"/>
        <v>A</v>
      </c>
      <c r="I1407" s="29" t="str">
        <f t="shared" si="106"/>
        <v>TG509538</v>
      </c>
      <c r="J1407" s="59">
        <f t="shared" ca="1" si="107"/>
        <v>45957</v>
      </c>
      <c r="K1407" s="30">
        <f ca="1">LOOKUP(A1407,'QALS - Inspection Lot Record'!A:A,'QALS - Inspection Lot Record'!I:I)</f>
        <v>3.0219907407407407E-2</v>
      </c>
      <c r="L1407" s="59">
        <f t="shared" ca="1" si="108"/>
        <v>45957</v>
      </c>
      <c r="M1407" s="30">
        <f t="shared" ca="1" si="109"/>
        <v>5.8032407407407408E-2</v>
      </c>
      <c r="N1407" s="31"/>
      <c r="O1407" s="31">
        <v>77.5</v>
      </c>
      <c r="P1407" s="29">
        <v>70</v>
      </c>
      <c r="Q1407" s="29">
        <v>85</v>
      </c>
    </row>
    <row r="1408" spans="1:17" x14ac:dyDescent="0.35">
      <c r="A1408" s="26">
        <v>40000002676</v>
      </c>
      <c r="B1408" s="31">
        <v>1</v>
      </c>
      <c r="C1408" s="29" t="str">
        <f>LOOKUP(A1408,'QALS - Inspection Lot Record'!$A$2:$A$361,'QALS - Inspection Lot Record'!$O$2:$O$361)</f>
        <v>Metformin Tablets (200 MG)</v>
      </c>
      <c r="D1408" s="31">
        <v>70</v>
      </c>
      <c r="E1408" s="29" t="s">
        <v>406</v>
      </c>
      <c r="F1408" s="29" t="str">
        <f>LOOKUP(A1408,'QALS - Inspection Lot Record'!A:A,'QALS - Inspection Lot Record'!G:G)</f>
        <v>TG509538</v>
      </c>
      <c r="G1408" s="59">
        <f ca="1">LOOKUP(A1408,'QALS - Inspection Lot Record'!A:A,'QALS - Inspection Lot Record'!E:E)</f>
        <v>45957</v>
      </c>
      <c r="H1408" s="34" t="str">
        <f t="shared" si="110"/>
        <v>A</v>
      </c>
      <c r="I1408" s="29" t="str">
        <f t="shared" si="106"/>
        <v>TG509538</v>
      </c>
      <c r="J1408" s="59">
        <f t="shared" ca="1" si="107"/>
        <v>45957</v>
      </c>
      <c r="K1408" s="30">
        <f ca="1">LOOKUP(A1408,'QALS - Inspection Lot Record'!A:A,'QALS - Inspection Lot Record'!I:I)</f>
        <v>3.0219907407407407E-2</v>
      </c>
      <c r="L1408" s="59">
        <f t="shared" ca="1" si="108"/>
        <v>45957</v>
      </c>
      <c r="M1408" s="30">
        <f t="shared" ca="1" si="109"/>
        <v>5.6944444444444443E-2</v>
      </c>
      <c r="N1408" s="31"/>
      <c r="O1408" s="31">
        <v>85</v>
      </c>
      <c r="P1408" s="29">
        <v>80</v>
      </c>
      <c r="Q1408" s="29">
        <v>90</v>
      </c>
    </row>
    <row r="1409" spans="1:17" x14ac:dyDescent="0.35">
      <c r="A1409" s="26">
        <v>40000002676</v>
      </c>
      <c r="B1409" s="31">
        <v>1</v>
      </c>
      <c r="C1409" s="29" t="str">
        <f>LOOKUP(A1409,'QALS - Inspection Lot Record'!$A$2:$A$361,'QALS - Inspection Lot Record'!$O$2:$O$361)</f>
        <v>Metformin Tablets (200 MG)</v>
      </c>
      <c r="D1409" s="31">
        <v>80</v>
      </c>
      <c r="E1409" s="29" t="s">
        <v>407</v>
      </c>
      <c r="F1409" s="29" t="str">
        <f>LOOKUP(A1409,'QALS - Inspection Lot Record'!A:A,'QALS - Inspection Lot Record'!G:G)</f>
        <v>TG509538</v>
      </c>
      <c r="G1409" s="59">
        <f ca="1">LOOKUP(A1409,'QALS - Inspection Lot Record'!A:A,'QALS - Inspection Lot Record'!E:E)</f>
        <v>45957</v>
      </c>
      <c r="H1409" s="34" t="str">
        <f t="shared" si="110"/>
        <v>A</v>
      </c>
      <c r="I1409" s="29" t="str">
        <f t="shared" si="106"/>
        <v>TG509538</v>
      </c>
      <c r="J1409" s="59">
        <f t="shared" ca="1" si="107"/>
        <v>45957</v>
      </c>
      <c r="K1409" s="30">
        <f ca="1">LOOKUP(A1409,'QALS - Inspection Lot Record'!A:A,'QALS - Inspection Lot Record'!I:I)</f>
        <v>3.0219907407407407E-2</v>
      </c>
      <c r="L1409" s="59">
        <f t="shared" ca="1" si="108"/>
        <v>45957</v>
      </c>
      <c r="M1409" s="30">
        <f t="shared" ca="1" si="109"/>
        <v>4.9363425925925922E-2</v>
      </c>
      <c r="N1409" s="31"/>
      <c r="O1409" s="31">
        <v>25.5</v>
      </c>
      <c r="P1409" s="29">
        <v>23</v>
      </c>
      <c r="Q1409" s="29">
        <v>28</v>
      </c>
    </row>
    <row r="1410" spans="1:17" x14ac:dyDescent="0.35">
      <c r="A1410" s="26">
        <v>40000002677</v>
      </c>
      <c r="B1410" s="27">
        <v>1</v>
      </c>
      <c r="C1410" s="29" t="str">
        <f>LOOKUP(A1410,'QALS - Inspection Lot Record'!$A$2:$A$361,'QALS - Inspection Lot Record'!$O$2:$O$361)</f>
        <v>Aspirin Tablets (500 MG)</v>
      </c>
      <c r="D1410" s="27">
        <v>10</v>
      </c>
      <c r="E1410" s="26" t="s">
        <v>399</v>
      </c>
      <c r="F1410" s="29" t="str">
        <f>LOOKUP(A1410,'QALS - Inspection Lot Record'!A:A,'QALS - Inspection Lot Record'!G:G)</f>
        <v>TP397880</v>
      </c>
      <c r="G1410" s="59">
        <f ca="1">LOOKUP(A1410,'QALS - Inspection Lot Record'!A:A,'QALS - Inspection Lot Record'!E:E)</f>
        <v>45958</v>
      </c>
      <c r="H1410" s="34" t="str">
        <f t="shared" si="110"/>
        <v>A</v>
      </c>
      <c r="I1410" s="29" t="str">
        <f t="shared" ref="I1410:I1473" si="111">F1410</f>
        <v>TP397880</v>
      </c>
      <c r="J1410" s="59">
        <f t="shared" ref="J1410:J1473" ca="1" si="112">G1410</f>
        <v>45958</v>
      </c>
      <c r="K1410" s="30">
        <f ca="1">LOOKUP(A1410,'QALS - Inspection Lot Record'!A:A,'QALS - Inspection Lot Record'!I:I)</f>
        <v>0.5027314814814815</v>
      </c>
      <c r="L1410" s="59">
        <f t="shared" ref="L1410:L1473" ca="1" si="113">G1410</f>
        <v>45958</v>
      </c>
      <c r="M1410" s="30">
        <f t="shared" ref="M1410:M1473" ca="1" si="114">K1410+TIME(0,RANDBETWEEN(25,50),RANDBETWEEN(0,59))</f>
        <v>0.52884259259259259</v>
      </c>
      <c r="N1410" s="31"/>
      <c r="O1410" s="31">
        <v>100</v>
      </c>
      <c r="P1410" s="29">
        <v>95</v>
      </c>
      <c r="Q1410" s="29">
        <v>105</v>
      </c>
    </row>
    <row r="1411" spans="1:17" x14ac:dyDescent="0.35">
      <c r="A1411" s="26">
        <v>40000002677</v>
      </c>
      <c r="B1411" s="27">
        <v>1</v>
      </c>
      <c r="C1411" s="29" t="str">
        <f>LOOKUP(A1411,'QALS - Inspection Lot Record'!$A$2:$A$361,'QALS - Inspection Lot Record'!$O$2:$O$361)</f>
        <v>Aspirin Tablets (500 MG)</v>
      </c>
      <c r="D1411" s="31">
        <v>20</v>
      </c>
      <c r="E1411" s="29" t="s">
        <v>400</v>
      </c>
      <c r="F1411" s="29" t="str">
        <f>LOOKUP(A1411,'QALS - Inspection Lot Record'!A:A,'QALS - Inspection Lot Record'!G:G)</f>
        <v>TP397880</v>
      </c>
      <c r="G1411" s="59">
        <f ca="1">LOOKUP(A1411,'QALS - Inspection Lot Record'!A:A,'QALS - Inspection Lot Record'!E:E)</f>
        <v>45958</v>
      </c>
      <c r="H1411" s="34" t="str">
        <f t="shared" si="110"/>
        <v>A</v>
      </c>
      <c r="I1411" s="29" t="str">
        <f t="shared" si="111"/>
        <v>TP397880</v>
      </c>
      <c r="J1411" s="59">
        <f t="shared" ca="1" si="112"/>
        <v>45958</v>
      </c>
      <c r="K1411" s="30">
        <f ca="1">LOOKUP(A1411,'QALS - Inspection Lot Record'!A:A,'QALS - Inspection Lot Record'!I:I)</f>
        <v>0.5027314814814815</v>
      </c>
      <c r="L1411" s="59">
        <f t="shared" ca="1" si="113"/>
        <v>45958</v>
      </c>
      <c r="M1411" s="30">
        <f t="shared" ca="1" si="114"/>
        <v>0.53513888888888894</v>
      </c>
      <c r="N1411" s="31"/>
      <c r="O1411" s="31">
        <v>7.25</v>
      </c>
      <c r="P1411" s="29">
        <v>3.5</v>
      </c>
      <c r="Q1411" s="29">
        <v>11</v>
      </c>
    </row>
    <row r="1412" spans="1:17" x14ac:dyDescent="0.35">
      <c r="A1412" s="26">
        <v>40000002677</v>
      </c>
      <c r="B1412" s="31">
        <v>1</v>
      </c>
      <c r="C1412" s="29" t="str">
        <f>LOOKUP(A1412,'QALS - Inspection Lot Record'!$A$2:$A$361,'QALS - Inspection Lot Record'!$O$2:$O$361)</f>
        <v>Aspirin Tablets (500 MG)</v>
      </c>
      <c r="D1412" s="31">
        <v>30</v>
      </c>
      <c r="E1412" s="29" t="s">
        <v>401</v>
      </c>
      <c r="F1412" s="29" t="str">
        <f>LOOKUP(A1412,'QALS - Inspection Lot Record'!A:A,'QALS - Inspection Lot Record'!G:G)</f>
        <v>TP397880</v>
      </c>
      <c r="G1412" s="59">
        <f ca="1">LOOKUP(A1412,'QALS - Inspection Lot Record'!A:A,'QALS - Inspection Lot Record'!E:E)</f>
        <v>45958</v>
      </c>
      <c r="H1412" s="34" t="str">
        <f t="shared" si="110"/>
        <v>A</v>
      </c>
      <c r="I1412" s="29" t="str">
        <f t="shared" si="111"/>
        <v>TP397880</v>
      </c>
      <c r="J1412" s="59">
        <f t="shared" ca="1" si="112"/>
        <v>45958</v>
      </c>
      <c r="K1412" s="30">
        <f ca="1">LOOKUP(A1412,'QALS - Inspection Lot Record'!A:A,'QALS - Inspection Lot Record'!I:I)</f>
        <v>0.5027314814814815</v>
      </c>
      <c r="L1412" s="59">
        <f t="shared" ca="1" si="113"/>
        <v>45958</v>
      </c>
      <c r="M1412" s="30">
        <f t="shared" ca="1" si="114"/>
        <v>0.52511574074074074</v>
      </c>
      <c r="N1412" s="11" t="s">
        <v>402</v>
      </c>
      <c r="O1412" s="31"/>
      <c r="P1412" s="29"/>
      <c r="Q1412" s="29"/>
    </row>
    <row r="1413" spans="1:17" x14ac:dyDescent="0.35">
      <c r="A1413" s="26">
        <v>40000002677</v>
      </c>
      <c r="B1413" s="31">
        <v>1</v>
      </c>
      <c r="C1413" s="29" t="str">
        <f>LOOKUP(A1413,'QALS - Inspection Lot Record'!$A$2:$A$361,'QALS - Inspection Lot Record'!$O$2:$O$361)</f>
        <v>Aspirin Tablets (500 MG)</v>
      </c>
      <c r="D1413" s="31">
        <v>40</v>
      </c>
      <c r="E1413" s="29" t="s">
        <v>403</v>
      </c>
      <c r="F1413" s="29" t="str">
        <f>LOOKUP(A1413,'QALS - Inspection Lot Record'!A:A,'QALS - Inspection Lot Record'!G:G)</f>
        <v>TP397880</v>
      </c>
      <c r="G1413" s="59">
        <f ca="1">LOOKUP(A1413,'QALS - Inspection Lot Record'!A:A,'QALS - Inspection Lot Record'!E:E)</f>
        <v>45958</v>
      </c>
      <c r="H1413" s="34" t="str">
        <f t="shared" si="110"/>
        <v>A</v>
      </c>
      <c r="I1413" s="29" t="str">
        <f t="shared" si="111"/>
        <v>TP397880</v>
      </c>
      <c r="J1413" s="59">
        <f t="shared" ca="1" si="112"/>
        <v>45958</v>
      </c>
      <c r="K1413" s="30">
        <f ca="1">LOOKUP(A1413,'QALS - Inspection Lot Record'!A:A,'QALS - Inspection Lot Record'!I:I)</f>
        <v>0.5027314814814815</v>
      </c>
      <c r="L1413" s="59">
        <f t="shared" ca="1" si="113"/>
        <v>45958</v>
      </c>
      <c r="M1413" s="30">
        <f t="shared" ca="1" si="114"/>
        <v>0.5241203703703704</v>
      </c>
      <c r="N1413" s="31"/>
      <c r="O1413" s="31">
        <v>1.8</v>
      </c>
      <c r="P1413" s="29">
        <v>0</v>
      </c>
      <c r="Q1413" s="29">
        <v>2.5</v>
      </c>
    </row>
    <row r="1414" spans="1:17" x14ac:dyDescent="0.35">
      <c r="A1414" s="26">
        <v>40000002677</v>
      </c>
      <c r="B1414" s="31">
        <v>1</v>
      </c>
      <c r="C1414" s="29" t="str">
        <f>LOOKUP(A1414,'QALS - Inspection Lot Record'!$A$2:$A$361,'QALS - Inspection Lot Record'!$O$2:$O$361)</f>
        <v>Aspirin Tablets (500 MG)</v>
      </c>
      <c r="D1414" s="31">
        <v>50</v>
      </c>
      <c r="E1414" s="29" t="s">
        <v>404</v>
      </c>
      <c r="F1414" s="29" t="str">
        <f>LOOKUP(A1414,'QALS - Inspection Lot Record'!A:A,'QALS - Inspection Lot Record'!G:G)</f>
        <v>TP397880</v>
      </c>
      <c r="G1414" s="59">
        <f ca="1">LOOKUP(A1414,'QALS - Inspection Lot Record'!A:A,'QALS - Inspection Lot Record'!E:E)</f>
        <v>45958</v>
      </c>
      <c r="H1414" s="34" t="str">
        <f t="shared" si="110"/>
        <v>A</v>
      </c>
      <c r="I1414" s="29" t="str">
        <f t="shared" si="111"/>
        <v>TP397880</v>
      </c>
      <c r="J1414" s="59">
        <f t="shared" ca="1" si="112"/>
        <v>45958</v>
      </c>
      <c r="K1414" s="30">
        <f ca="1">LOOKUP(A1414,'QALS - Inspection Lot Record'!A:A,'QALS - Inspection Lot Record'!I:I)</f>
        <v>0.5027314814814815</v>
      </c>
      <c r="L1414" s="59">
        <f t="shared" ca="1" si="113"/>
        <v>45958</v>
      </c>
      <c r="M1414" s="30">
        <f t="shared" ca="1" si="114"/>
        <v>0.52835648148148151</v>
      </c>
      <c r="N1414" s="31"/>
      <c r="O1414" s="31">
        <v>43</v>
      </c>
      <c r="P1414" s="29">
        <v>40</v>
      </c>
      <c r="Q1414" s="29">
        <v>60</v>
      </c>
    </row>
    <row r="1415" spans="1:17" x14ac:dyDescent="0.35">
      <c r="A1415" s="26">
        <v>40000002677</v>
      </c>
      <c r="B1415" s="31">
        <v>1</v>
      </c>
      <c r="C1415" s="29" t="str">
        <f>LOOKUP(A1415,'QALS - Inspection Lot Record'!$A$2:$A$361,'QALS - Inspection Lot Record'!$O$2:$O$361)</f>
        <v>Aspirin Tablets (500 MG)</v>
      </c>
      <c r="D1415" s="31">
        <v>60</v>
      </c>
      <c r="E1415" s="29" t="s">
        <v>405</v>
      </c>
      <c r="F1415" s="29" t="str">
        <f>LOOKUP(A1415,'QALS - Inspection Lot Record'!A:A,'QALS - Inspection Lot Record'!G:G)</f>
        <v>TP397880</v>
      </c>
      <c r="G1415" s="59">
        <f ca="1">LOOKUP(A1415,'QALS - Inspection Lot Record'!A:A,'QALS - Inspection Lot Record'!E:E)</f>
        <v>45958</v>
      </c>
      <c r="H1415" s="34" t="str">
        <f t="shared" si="110"/>
        <v>R</v>
      </c>
      <c r="I1415" s="29" t="str">
        <f t="shared" si="111"/>
        <v>TP397880</v>
      </c>
      <c r="J1415" s="59">
        <f t="shared" ca="1" si="112"/>
        <v>45958</v>
      </c>
      <c r="K1415" s="30">
        <f ca="1">LOOKUP(A1415,'QALS - Inspection Lot Record'!A:A,'QALS - Inspection Lot Record'!I:I)</f>
        <v>0.5027314814814815</v>
      </c>
      <c r="L1415" s="59">
        <f t="shared" ca="1" si="113"/>
        <v>45958</v>
      </c>
      <c r="M1415" s="30">
        <f t="shared" ca="1" si="114"/>
        <v>0.53607638888888887</v>
      </c>
      <c r="N1415" s="31"/>
      <c r="O1415" s="31">
        <v>68.8</v>
      </c>
      <c r="P1415" s="29">
        <v>70</v>
      </c>
      <c r="Q1415" s="29">
        <v>85</v>
      </c>
    </row>
    <row r="1416" spans="1:17" x14ac:dyDescent="0.35">
      <c r="A1416" s="26">
        <v>40000002677</v>
      </c>
      <c r="B1416" s="31">
        <v>1</v>
      </c>
      <c r="C1416" s="29" t="str">
        <f>LOOKUP(A1416,'QALS - Inspection Lot Record'!$A$2:$A$361,'QALS - Inspection Lot Record'!$O$2:$O$361)</f>
        <v>Aspirin Tablets (500 MG)</v>
      </c>
      <c r="D1416" s="31">
        <v>70</v>
      </c>
      <c r="E1416" s="29" t="s">
        <v>406</v>
      </c>
      <c r="F1416" s="29" t="str">
        <f>LOOKUP(A1416,'QALS - Inspection Lot Record'!A:A,'QALS - Inspection Lot Record'!G:G)</f>
        <v>TP397880</v>
      </c>
      <c r="G1416" s="59">
        <f ca="1">LOOKUP(A1416,'QALS - Inspection Lot Record'!A:A,'QALS - Inspection Lot Record'!E:E)</f>
        <v>45958</v>
      </c>
      <c r="H1416" s="34" t="str">
        <f t="shared" si="110"/>
        <v>A</v>
      </c>
      <c r="I1416" s="29" t="str">
        <f t="shared" si="111"/>
        <v>TP397880</v>
      </c>
      <c r="J1416" s="59">
        <f t="shared" ca="1" si="112"/>
        <v>45958</v>
      </c>
      <c r="K1416" s="30">
        <f ca="1">LOOKUP(A1416,'QALS - Inspection Lot Record'!A:A,'QALS - Inspection Lot Record'!I:I)</f>
        <v>0.5027314814814815</v>
      </c>
      <c r="L1416" s="59">
        <f t="shared" ca="1" si="113"/>
        <v>45958</v>
      </c>
      <c r="M1416" s="30">
        <f t="shared" ca="1" si="114"/>
        <v>0.52482638888888888</v>
      </c>
      <c r="N1416" s="31"/>
      <c r="O1416" s="31">
        <v>84.2</v>
      </c>
      <c r="P1416" s="29">
        <v>80</v>
      </c>
      <c r="Q1416" s="29">
        <v>90</v>
      </c>
    </row>
    <row r="1417" spans="1:17" x14ac:dyDescent="0.35">
      <c r="A1417" s="26">
        <v>40000002677</v>
      </c>
      <c r="B1417" s="31">
        <v>1</v>
      </c>
      <c r="C1417" s="29" t="str">
        <f>LOOKUP(A1417,'QALS - Inspection Lot Record'!$A$2:$A$361,'QALS - Inspection Lot Record'!$O$2:$O$361)</f>
        <v>Aspirin Tablets (500 MG)</v>
      </c>
      <c r="D1417" s="31">
        <v>80</v>
      </c>
      <c r="E1417" s="29" t="s">
        <v>407</v>
      </c>
      <c r="F1417" s="29" t="str">
        <f>LOOKUP(A1417,'QALS - Inspection Lot Record'!A:A,'QALS - Inspection Lot Record'!G:G)</f>
        <v>TP397880</v>
      </c>
      <c r="G1417" s="59">
        <f ca="1">LOOKUP(A1417,'QALS - Inspection Lot Record'!A:A,'QALS - Inspection Lot Record'!E:E)</f>
        <v>45958</v>
      </c>
      <c r="H1417" s="34" t="str">
        <f t="shared" si="110"/>
        <v>A</v>
      </c>
      <c r="I1417" s="29" t="str">
        <f t="shared" si="111"/>
        <v>TP397880</v>
      </c>
      <c r="J1417" s="59">
        <f t="shared" ca="1" si="112"/>
        <v>45958</v>
      </c>
      <c r="K1417" s="30">
        <f ca="1">LOOKUP(A1417,'QALS - Inspection Lot Record'!A:A,'QALS - Inspection Lot Record'!I:I)</f>
        <v>0.5027314814814815</v>
      </c>
      <c r="L1417" s="59">
        <f t="shared" ca="1" si="113"/>
        <v>45958</v>
      </c>
      <c r="M1417" s="30">
        <f t="shared" ca="1" si="114"/>
        <v>0.52061342592592597</v>
      </c>
      <c r="N1417" s="31"/>
      <c r="O1417" s="31">
        <v>24.3</v>
      </c>
      <c r="P1417" s="29">
        <v>23</v>
      </c>
      <c r="Q1417" s="29">
        <v>28</v>
      </c>
    </row>
    <row r="1418" spans="1:17" x14ac:dyDescent="0.35">
      <c r="A1418" s="26">
        <v>40000002678</v>
      </c>
      <c r="B1418" s="27">
        <v>1</v>
      </c>
      <c r="C1418" s="29" t="str">
        <f>LOOKUP(A1418,'QALS - Inspection Lot Record'!$A$2:$A$361,'QALS - Inspection Lot Record'!$O$2:$O$361)</f>
        <v>Ibuprofen Tablets (100 MG)</v>
      </c>
      <c r="D1418" s="27">
        <v>10</v>
      </c>
      <c r="E1418" s="26" t="s">
        <v>399</v>
      </c>
      <c r="F1418" s="29" t="str">
        <f>LOOKUP(A1418,'QALS - Inspection Lot Record'!A:A,'QALS - Inspection Lot Record'!G:G)</f>
        <v>TG509538</v>
      </c>
      <c r="G1418" s="59">
        <f ca="1">LOOKUP(A1418,'QALS - Inspection Lot Record'!A:A,'QALS - Inspection Lot Record'!E:E)</f>
        <v>45958</v>
      </c>
      <c r="H1418" s="34" t="str">
        <f t="shared" ref="H1418:H1481" si="115">IF(AND(P1418&lt;=O1418,O1418&lt;=Q1418),"A","R")</f>
        <v>R</v>
      </c>
      <c r="I1418" s="29" t="str">
        <f t="shared" si="111"/>
        <v>TG509538</v>
      </c>
      <c r="J1418" s="59">
        <f t="shared" ca="1" si="112"/>
        <v>45958</v>
      </c>
      <c r="K1418" s="30">
        <f ca="1">LOOKUP(A1418,'QALS - Inspection Lot Record'!A:A,'QALS - Inspection Lot Record'!I:I)</f>
        <v>0.3492939814814815</v>
      </c>
      <c r="L1418" s="59">
        <f t="shared" ca="1" si="113"/>
        <v>45958</v>
      </c>
      <c r="M1418" s="30">
        <f t="shared" ca="1" si="114"/>
        <v>0.37280092592592595</v>
      </c>
      <c r="N1418" s="31"/>
      <c r="O1418" s="31">
        <v>93</v>
      </c>
      <c r="P1418" s="29">
        <v>95</v>
      </c>
      <c r="Q1418" s="29">
        <v>102</v>
      </c>
    </row>
    <row r="1419" spans="1:17" x14ac:dyDescent="0.35">
      <c r="A1419" s="26">
        <v>40000002678</v>
      </c>
      <c r="B1419" s="27">
        <v>1</v>
      </c>
      <c r="C1419" s="29" t="str">
        <f>LOOKUP(A1419,'QALS - Inspection Lot Record'!$A$2:$A$361,'QALS - Inspection Lot Record'!$O$2:$O$361)</f>
        <v>Ibuprofen Tablets (100 MG)</v>
      </c>
      <c r="D1419" s="31">
        <v>20</v>
      </c>
      <c r="E1419" s="29" t="s">
        <v>400</v>
      </c>
      <c r="F1419" s="29" t="str">
        <f>LOOKUP(A1419,'QALS - Inspection Lot Record'!A:A,'QALS - Inspection Lot Record'!G:G)</f>
        <v>TG509538</v>
      </c>
      <c r="G1419" s="59">
        <f ca="1">LOOKUP(A1419,'QALS - Inspection Lot Record'!A:A,'QALS - Inspection Lot Record'!E:E)</f>
        <v>45958</v>
      </c>
      <c r="H1419" s="34" t="str">
        <f t="shared" si="115"/>
        <v>R</v>
      </c>
      <c r="I1419" s="29" t="str">
        <f t="shared" si="111"/>
        <v>TG509538</v>
      </c>
      <c r="J1419" s="59">
        <f t="shared" ca="1" si="112"/>
        <v>45958</v>
      </c>
      <c r="K1419" s="30">
        <f ca="1">LOOKUP(A1419,'QALS - Inspection Lot Record'!A:A,'QALS - Inspection Lot Record'!I:I)</f>
        <v>0.3492939814814815</v>
      </c>
      <c r="L1419" s="59">
        <f t="shared" ca="1" si="113"/>
        <v>45958</v>
      </c>
      <c r="M1419" s="30">
        <f t="shared" ca="1" si="114"/>
        <v>0.38315972222222222</v>
      </c>
      <c r="N1419" s="31"/>
      <c r="O1419" s="31">
        <v>1.7</v>
      </c>
      <c r="P1419" s="29">
        <v>3.5</v>
      </c>
      <c r="Q1419" s="29">
        <v>11</v>
      </c>
    </row>
    <row r="1420" spans="1:17" x14ac:dyDescent="0.35">
      <c r="A1420" s="26">
        <v>40000002678</v>
      </c>
      <c r="B1420" s="31">
        <v>1</v>
      </c>
      <c r="C1420" s="29" t="str">
        <f>LOOKUP(A1420,'QALS - Inspection Lot Record'!$A$2:$A$361,'QALS - Inspection Lot Record'!$O$2:$O$361)</f>
        <v>Ibuprofen Tablets (100 MG)</v>
      </c>
      <c r="D1420" s="31">
        <v>30</v>
      </c>
      <c r="E1420" s="29" t="s">
        <v>401</v>
      </c>
      <c r="F1420" s="29" t="str">
        <f>LOOKUP(A1420,'QALS - Inspection Lot Record'!A:A,'QALS - Inspection Lot Record'!G:G)</f>
        <v>TG509538</v>
      </c>
      <c r="G1420" s="59">
        <f ca="1">LOOKUP(A1420,'QALS - Inspection Lot Record'!A:A,'QALS - Inspection Lot Record'!E:E)</f>
        <v>45958</v>
      </c>
      <c r="H1420" s="34" t="str">
        <f t="shared" si="115"/>
        <v>A</v>
      </c>
      <c r="I1420" s="29" t="str">
        <f t="shared" si="111"/>
        <v>TG509538</v>
      </c>
      <c r="J1420" s="59">
        <f t="shared" ca="1" si="112"/>
        <v>45958</v>
      </c>
      <c r="K1420" s="30">
        <f ca="1">LOOKUP(A1420,'QALS - Inspection Lot Record'!A:A,'QALS - Inspection Lot Record'!I:I)</f>
        <v>0.3492939814814815</v>
      </c>
      <c r="L1420" s="59">
        <f t="shared" ca="1" si="113"/>
        <v>45958</v>
      </c>
      <c r="M1420" s="30">
        <f t="shared" ca="1" si="114"/>
        <v>0.36673611111111115</v>
      </c>
      <c r="N1420" s="11" t="s">
        <v>402</v>
      </c>
      <c r="O1420" s="31"/>
      <c r="P1420" s="29"/>
      <c r="Q1420" s="29"/>
    </row>
    <row r="1421" spans="1:17" x14ac:dyDescent="0.35">
      <c r="A1421" s="26">
        <v>40000002678</v>
      </c>
      <c r="B1421" s="31">
        <v>1</v>
      </c>
      <c r="C1421" s="29" t="str">
        <f>LOOKUP(A1421,'QALS - Inspection Lot Record'!$A$2:$A$361,'QALS - Inspection Lot Record'!$O$2:$O$361)</f>
        <v>Ibuprofen Tablets (100 MG)</v>
      </c>
      <c r="D1421" s="31">
        <v>40</v>
      </c>
      <c r="E1421" s="29" t="s">
        <v>403</v>
      </c>
      <c r="F1421" s="29" t="str">
        <f>LOOKUP(A1421,'QALS - Inspection Lot Record'!A:A,'QALS - Inspection Lot Record'!G:G)</f>
        <v>TG509538</v>
      </c>
      <c r="G1421" s="59">
        <f ca="1">LOOKUP(A1421,'QALS - Inspection Lot Record'!A:A,'QALS - Inspection Lot Record'!E:E)</f>
        <v>45958</v>
      </c>
      <c r="H1421" s="34" t="str">
        <f t="shared" si="115"/>
        <v>R</v>
      </c>
      <c r="I1421" s="29" t="str">
        <f t="shared" si="111"/>
        <v>TG509538</v>
      </c>
      <c r="J1421" s="59">
        <f t="shared" ca="1" si="112"/>
        <v>45958</v>
      </c>
      <c r="K1421" s="30">
        <f ca="1">LOOKUP(A1421,'QALS - Inspection Lot Record'!A:A,'QALS - Inspection Lot Record'!I:I)</f>
        <v>0.3492939814814815</v>
      </c>
      <c r="L1421" s="59">
        <f t="shared" ca="1" si="113"/>
        <v>45958</v>
      </c>
      <c r="M1421" s="30">
        <f t="shared" ca="1" si="114"/>
        <v>0.38035879629629632</v>
      </c>
      <c r="N1421" s="31"/>
      <c r="O1421" s="31">
        <v>1.2</v>
      </c>
      <c r="P1421" s="29">
        <v>0</v>
      </c>
      <c r="Q1421" s="29">
        <v>1</v>
      </c>
    </row>
    <row r="1422" spans="1:17" x14ac:dyDescent="0.35">
      <c r="A1422" s="26">
        <v>40000002678</v>
      </c>
      <c r="B1422" s="31">
        <v>1</v>
      </c>
      <c r="C1422" s="29" t="str">
        <f>LOOKUP(A1422,'QALS - Inspection Lot Record'!$A$2:$A$361,'QALS - Inspection Lot Record'!$O$2:$O$361)</f>
        <v>Ibuprofen Tablets (100 MG)</v>
      </c>
      <c r="D1422" s="31">
        <v>50</v>
      </c>
      <c r="E1422" s="29" t="s">
        <v>404</v>
      </c>
      <c r="F1422" s="29" t="str">
        <f>LOOKUP(A1422,'QALS - Inspection Lot Record'!A:A,'QALS - Inspection Lot Record'!G:G)</f>
        <v>TG509538</v>
      </c>
      <c r="G1422" s="59">
        <f ca="1">LOOKUP(A1422,'QALS - Inspection Lot Record'!A:A,'QALS - Inspection Lot Record'!E:E)</f>
        <v>45958</v>
      </c>
      <c r="H1422" s="34" t="str">
        <f t="shared" si="115"/>
        <v>A</v>
      </c>
      <c r="I1422" s="29" t="str">
        <f t="shared" si="111"/>
        <v>TG509538</v>
      </c>
      <c r="J1422" s="59">
        <f t="shared" ca="1" si="112"/>
        <v>45958</v>
      </c>
      <c r="K1422" s="30">
        <f ca="1">LOOKUP(A1422,'QALS - Inspection Lot Record'!A:A,'QALS - Inspection Lot Record'!I:I)</f>
        <v>0.3492939814814815</v>
      </c>
      <c r="L1422" s="59">
        <f t="shared" ca="1" si="113"/>
        <v>45958</v>
      </c>
      <c r="M1422" s="30">
        <f t="shared" ca="1" si="114"/>
        <v>0.38056712962962963</v>
      </c>
      <c r="N1422" s="31"/>
      <c r="O1422" s="31">
        <v>43</v>
      </c>
      <c r="P1422" s="29">
        <v>40</v>
      </c>
      <c r="Q1422" s="29">
        <v>60</v>
      </c>
    </row>
    <row r="1423" spans="1:17" x14ac:dyDescent="0.35">
      <c r="A1423" s="26">
        <v>40000002678</v>
      </c>
      <c r="B1423" s="31">
        <v>1</v>
      </c>
      <c r="C1423" s="29" t="str">
        <f>LOOKUP(A1423,'QALS - Inspection Lot Record'!$A$2:$A$361,'QALS - Inspection Lot Record'!$O$2:$O$361)</f>
        <v>Ibuprofen Tablets (100 MG)</v>
      </c>
      <c r="D1423" s="31">
        <v>60</v>
      </c>
      <c r="E1423" s="29" t="s">
        <v>405</v>
      </c>
      <c r="F1423" s="29" t="str">
        <f>LOOKUP(A1423,'QALS - Inspection Lot Record'!A:A,'QALS - Inspection Lot Record'!G:G)</f>
        <v>TG509538</v>
      </c>
      <c r="G1423" s="59">
        <f ca="1">LOOKUP(A1423,'QALS - Inspection Lot Record'!A:A,'QALS - Inspection Lot Record'!E:E)</f>
        <v>45958</v>
      </c>
      <c r="H1423" s="34" t="str">
        <f t="shared" si="115"/>
        <v>A</v>
      </c>
      <c r="I1423" s="29" t="str">
        <f t="shared" si="111"/>
        <v>TG509538</v>
      </c>
      <c r="J1423" s="59">
        <f t="shared" ca="1" si="112"/>
        <v>45958</v>
      </c>
      <c r="K1423" s="30">
        <f ca="1">LOOKUP(A1423,'QALS - Inspection Lot Record'!A:A,'QALS - Inspection Lot Record'!I:I)</f>
        <v>0.3492939814814815</v>
      </c>
      <c r="L1423" s="59">
        <f t="shared" ca="1" si="113"/>
        <v>45958</v>
      </c>
      <c r="M1423" s="30">
        <f t="shared" ca="1" si="114"/>
        <v>0.36760416666666668</v>
      </c>
      <c r="N1423" s="31"/>
      <c r="O1423" s="31">
        <v>72</v>
      </c>
      <c r="P1423" s="29">
        <v>70</v>
      </c>
      <c r="Q1423" s="29">
        <v>85</v>
      </c>
    </row>
    <row r="1424" spans="1:17" x14ac:dyDescent="0.35">
      <c r="A1424" s="26">
        <v>40000002678</v>
      </c>
      <c r="B1424" s="31">
        <v>1</v>
      </c>
      <c r="C1424" s="29" t="str">
        <f>LOOKUP(A1424,'QALS - Inspection Lot Record'!$A$2:$A$361,'QALS - Inspection Lot Record'!$O$2:$O$361)</f>
        <v>Ibuprofen Tablets (100 MG)</v>
      </c>
      <c r="D1424" s="31">
        <v>70</v>
      </c>
      <c r="E1424" s="29" t="s">
        <v>406</v>
      </c>
      <c r="F1424" s="29" t="str">
        <f>LOOKUP(A1424,'QALS - Inspection Lot Record'!A:A,'QALS - Inspection Lot Record'!G:G)</f>
        <v>TG509538</v>
      </c>
      <c r="G1424" s="59">
        <f ca="1">LOOKUP(A1424,'QALS - Inspection Lot Record'!A:A,'QALS - Inspection Lot Record'!E:E)</f>
        <v>45958</v>
      </c>
      <c r="H1424" s="34" t="str">
        <f t="shared" si="115"/>
        <v>R</v>
      </c>
      <c r="I1424" s="29" t="str">
        <f t="shared" si="111"/>
        <v>TG509538</v>
      </c>
      <c r="J1424" s="59">
        <f t="shared" ca="1" si="112"/>
        <v>45958</v>
      </c>
      <c r="K1424" s="30">
        <f ca="1">LOOKUP(A1424,'QALS - Inspection Lot Record'!A:A,'QALS - Inspection Lot Record'!I:I)</f>
        <v>0.3492939814814815</v>
      </c>
      <c r="L1424" s="59">
        <f t="shared" ca="1" si="113"/>
        <v>45958</v>
      </c>
      <c r="M1424" s="30">
        <f t="shared" ca="1" si="114"/>
        <v>0.38336805555555559</v>
      </c>
      <c r="N1424" s="31"/>
      <c r="O1424" s="31">
        <v>78.400000000000006</v>
      </c>
      <c r="P1424" s="29">
        <v>80</v>
      </c>
      <c r="Q1424" s="29">
        <v>90</v>
      </c>
    </row>
    <row r="1425" spans="1:17" x14ac:dyDescent="0.35">
      <c r="A1425" s="26">
        <v>40000002678</v>
      </c>
      <c r="B1425" s="31">
        <v>1</v>
      </c>
      <c r="C1425" s="29" t="str">
        <f>LOOKUP(A1425,'QALS - Inspection Lot Record'!$A$2:$A$361,'QALS - Inspection Lot Record'!$O$2:$O$361)</f>
        <v>Ibuprofen Tablets (100 MG)</v>
      </c>
      <c r="D1425" s="31">
        <v>80</v>
      </c>
      <c r="E1425" s="29" t="s">
        <v>407</v>
      </c>
      <c r="F1425" s="29" t="str">
        <f>LOOKUP(A1425,'QALS - Inspection Lot Record'!A:A,'QALS - Inspection Lot Record'!G:G)</f>
        <v>TG509538</v>
      </c>
      <c r="G1425" s="59">
        <f ca="1">LOOKUP(A1425,'QALS - Inspection Lot Record'!A:A,'QALS - Inspection Lot Record'!E:E)</f>
        <v>45958</v>
      </c>
      <c r="H1425" s="34" t="str">
        <f t="shared" si="115"/>
        <v>R</v>
      </c>
      <c r="I1425" s="29" t="str">
        <f t="shared" si="111"/>
        <v>TG509538</v>
      </c>
      <c r="J1425" s="59">
        <f t="shared" ca="1" si="112"/>
        <v>45958</v>
      </c>
      <c r="K1425" s="30">
        <f ca="1">LOOKUP(A1425,'QALS - Inspection Lot Record'!A:A,'QALS - Inspection Lot Record'!I:I)</f>
        <v>0.3492939814814815</v>
      </c>
      <c r="L1425" s="59">
        <f t="shared" ca="1" si="113"/>
        <v>45958</v>
      </c>
      <c r="M1425" s="30">
        <f t="shared" ca="1" si="114"/>
        <v>0.37182870370370374</v>
      </c>
      <c r="N1425" s="31"/>
      <c r="O1425" s="31">
        <v>21.1</v>
      </c>
      <c r="P1425" s="29">
        <v>23</v>
      </c>
      <c r="Q1425" s="29">
        <v>25</v>
      </c>
    </row>
    <row r="1426" spans="1:17" x14ac:dyDescent="0.35">
      <c r="A1426" s="26">
        <v>40000002679</v>
      </c>
      <c r="B1426" s="27">
        <v>1</v>
      </c>
      <c r="C1426" s="29" t="str">
        <f>LOOKUP(A1426,'QALS - Inspection Lot Record'!$A$2:$A$361,'QALS - Inspection Lot Record'!$O$2:$O$361)</f>
        <v>Ibuprofen Tablets (100 MG)</v>
      </c>
      <c r="D1426" s="27">
        <v>10</v>
      </c>
      <c r="E1426" s="26" t="s">
        <v>399</v>
      </c>
      <c r="F1426" s="29" t="str">
        <f>LOOKUP(A1426,'QALS - Inspection Lot Record'!A:A,'QALS - Inspection Lot Record'!G:G)</f>
        <v>AB406550</v>
      </c>
      <c r="G1426" s="59">
        <f ca="1">LOOKUP(A1426,'QALS - Inspection Lot Record'!A:A,'QALS - Inspection Lot Record'!E:E)</f>
        <v>45959</v>
      </c>
      <c r="H1426" s="34" t="str">
        <f t="shared" si="115"/>
        <v>A</v>
      </c>
      <c r="I1426" s="29" t="str">
        <f t="shared" si="111"/>
        <v>AB406550</v>
      </c>
      <c r="J1426" s="59">
        <f t="shared" ca="1" si="112"/>
        <v>45959</v>
      </c>
      <c r="K1426" s="30">
        <f ca="1">LOOKUP(A1426,'QALS - Inspection Lot Record'!A:A,'QALS - Inspection Lot Record'!I:I)</f>
        <v>0.87302083333333336</v>
      </c>
      <c r="L1426" s="59">
        <f t="shared" ca="1" si="113"/>
        <v>45959</v>
      </c>
      <c r="M1426" s="30">
        <f t="shared" ca="1" si="114"/>
        <v>0.89879629629629632</v>
      </c>
      <c r="N1426" s="31"/>
      <c r="O1426" s="31">
        <v>98.5</v>
      </c>
      <c r="P1426" s="29">
        <v>95</v>
      </c>
      <c r="Q1426" s="29">
        <v>102</v>
      </c>
    </row>
    <row r="1427" spans="1:17" x14ac:dyDescent="0.35">
      <c r="A1427" s="26">
        <v>40000002679</v>
      </c>
      <c r="B1427" s="27">
        <v>1</v>
      </c>
      <c r="C1427" s="29" t="str">
        <f>LOOKUP(A1427,'QALS - Inspection Lot Record'!$A$2:$A$361,'QALS - Inspection Lot Record'!$O$2:$O$361)</f>
        <v>Ibuprofen Tablets (100 MG)</v>
      </c>
      <c r="D1427" s="31">
        <v>20</v>
      </c>
      <c r="E1427" s="29" t="s">
        <v>400</v>
      </c>
      <c r="F1427" s="29" t="str">
        <f>LOOKUP(A1427,'QALS - Inspection Lot Record'!A:A,'QALS - Inspection Lot Record'!G:G)</f>
        <v>AB406550</v>
      </c>
      <c r="G1427" s="59">
        <f ca="1">LOOKUP(A1427,'QALS - Inspection Lot Record'!A:A,'QALS - Inspection Lot Record'!E:E)</f>
        <v>45959</v>
      </c>
      <c r="H1427" s="34" t="str">
        <f t="shared" si="115"/>
        <v>A</v>
      </c>
      <c r="I1427" s="29" t="str">
        <f t="shared" si="111"/>
        <v>AB406550</v>
      </c>
      <c r="J1427" s="59">
        <f t="shared" ca="1" si="112"/>
        <v>45959</v>
      </c>
      <c r="K1427" s="30">
        <f ca="1">LOOKUP(A1427,'QALS - Inspection Lot Record'!A:A,'QALS - Inspection Lot Record'!I:I)</f>
        <v>0.87302083333333336</v>
      </c>
      <c r="L1427" s="59">
        <f t="shared" ca="1" si="113"/>
        <v>45959</v>
      </c>
      <c r="M1427" s="30">
        <f t="shared" ca="1" si="114"/>
        <v>0.90666666666666673</v>
      </c>
      <c r="N1427" s="31"/>
      <c r="O1427" s="31">
        <v>7.25</v>
      </c>
      <c r="P1427" s="29">
        <v>3.5</v>
      </c>
      <c r="Q1427" s="29">
        <v>11</v>
      </c>
    </row>
    <row r="1428" spans="1:17" x14ac:dyDescent="0.35">
      <c r="A1428" s="26">
        <v>40000002679</v>
      </c>
      <c r="B1428" s="31">
        <v>1</v>
      </c>
      <c r="C1428" s="29" t="str">
        <f>LOOKUP(A1428,'QALS - Inspection Lot Record'!$A$2:$A$361,'QALS - Inspection Lot Record'!$O$2:$O$361)</f>
        <v>Ibuprofen Tablets (100 MG)</v>
      </c>
      <c r="D1428" s="31">
        <v>30</v>
      </c>
      <c r="E1428" s="29" t="s">
        <v>401</v>
      </c>
      <c r="F1428" s="29" t="str">
        <f>LOOKUP(A1428,'QALS - Inspection Lot Record'!A:A,'QALS - Inspection Lot Record'!G:G)</f>
        <v>AB406550</v>
      </c>
      <c r="G1428" s="59">
        <f ca="1">LOOKUP(A1428,'QALS - Inspection Lot Record'!A:A,'QALS - Inspection Lot Record'!E:E)</f>
        <v>45959</v>
      </c>
      <c r="H1428" s="34" t="str">
        <f t="shared" si="115"/>
        <v>A</v>
      </c>
      <c r="I1428" s="29" t="str">
        <f t="shared" si="111"/>
        <v>AB406550</v>
      </c>
      <c r="J1428" s="59">
        <f t="shared" ca="1" si="112"/>
        <v>45959</v>
      </c>
      <c r="K1428" s="30">
        <f ca="1">LOOKUP(A1428,'QALS - Inspection Lot Record'!A:A,'QALS - Inspection Lot Record'!I:I)</f>
        <v>0.87302083333333336</v>
      </c>
      <c r="L1428" s="59">
        <f t="shared" ca="1" si="113"/>
        <v>45959</v>
      </c>
      <c r="M1428" s="30">
        <f t="shared" ca="1" si="114"/>
        <v>0.90268518518518526</v>
      </c>
      <c r="N1428" s="11" t="s">
        <v>402</v>
      </c>
      <c r="O1428" s="31"/>
      <c r="P1428" s="29"/>
      <c r="Q1428" s="29"/>
    </row>
    <row r="1429" spans="1:17" x14ac:dyDescent="0.35">
      <c r="A1429" s="26">
        <v>40000002679</v>
      </c>
      <c r="B1429" s="31">
        <v>1</v>
      </c>
      <c r="C1429" s="29" t="str">
        <f>LOOKUP(A1429,'QALS - Inspection Lot Record'!$A$2:$A$361,'QALS - Inspection Lot Record'!$O$2:$O$361)</f>
        <v>Ibuprofen Tablets (100 MG)</v>
      </c>
      <c r="D1429" s="31">
        <v>40</v>
      </c>
      <c r="E1429" s="29" t="s">
        <v>403</v>
      </c>
      <c r="F1429" s="29" t="str">
        <f>LOOKUP(A1429,'QALS - Inspection Lot Record'!A:A,'QALS - Inspection Lot Record'!G:G)</f>
        <v>AB406550</v>
      </c>
      <c r="G1429" s="59">
        <f ca="1">LOOKUP(A1429,'QALS - Inspection Lot Record'!A:A,'QALS - Inspection Lot Record'!E:E)</f>
        <v>45959</v>
      </c>
      <c r="H1429" s="34" t="str">
        <f t="shared" si="115"/>
        <v>A</v>
      </c>
      <c r="I1429" s="29" t="str">
        <f t="shared" si="111"/>
        <v>AB406550</v>
      </c>
      <c r="J1429" s="59">
        <f t="shared" ca="1" si="112"/>
        <v>45959</v>
      </c>
      <c r="K1429" s="30">
        <f ca="1">LOOKUP(A1429,'QALS - Inspection Lot Record'!A:A,'QALS - Inspection Lot Record'!I:I)</f>
        <v>0.87302083333333336</v>
      </c>
      <c r="L1429" s="59">
        <f t="shared" ca="1" si="113"/>
        <v>45959</v>
      </c>
      <c r="M1429" s="30">
        <f t="shared" ca="1" si="114"/>
        <v>0.90776620370370376</v>
      </c>
      <c r="N1429" s="31"/>
      <c r="O1429" s="31">
        <v>0</v>
      </c>
      <c r="P1429" s="29">
        <v>0</v>
      </c>
      <c r="Q1429" s="29">
        <v>1</v>
      </c>
    </row>
    <row r="1430" spans="1:17" x14ac:dyDescent="0.35">
      <c r="A1430" s="26">
        <v>40000002679</v>
      </c>
      <c r="B1430" s="31">
        <v>1</v>
      </c>
      <c r="C1430" s="29" t="str">
        <f>LOOKUP(A1430,'QALS - Inspection Lot Record'!$A$2:$A$361,'QALS - Inspection Lot Record'!$O$2:$O$361)</f>
        <v>Ibuprofen Tablets (100 MG)</v>
      </c>
      <c r="D1430" s="31">
        <v>50</v>
      </c>
      <c r="E1430" s="29" t="s">
        <v>404</v>
      </c>
      <c r="F1430" s="29" t="str">
        <f>LOOKUP(A1430,'QALS - Inspection Lot Record'!A:A,'QALS - Inspection Lot Record'!G:G)</f>
        <v>AB406550</v>
      </c>
      <c r="G1430" s="59">
        <f ca="1">LOOKUP(A1430,'QALS - Inspection Lot Record'!A:A,'QALS - Inspection Lot Record'!E:E)</f>
        <v>45959</v>
      </c>
      <c r="H1430" s="34" t="str">
        <f t="shared" si="115"/>
        <v>A</v>
      </c>
      <c r="I1430" s="29" t="str">
        <f t="shared" si="111"/>
        <v>AB406550</v>
      </c>
      <c r="J1430" s="59">
        <f t="shared" ca="1" si="112"/>
        <v>45959</v>
      </c>
      <c r="K1430" s="30">
        <f ca="1">LOOKUP(A1430,'QALS - Inspection Lot Record'!A:A,'QALS - Inspection Lot Record'!I:I)</f>
        <v>0.87302083333333336</v>
      </c>
      <c r="L1430" s="59">
        <f t="shared" ca="1" si="113"/>
        <v>45959</v>
      </c>
      <c r="M1430" s="30">
        <f t="shared" ca="1" si="114"/>
        <v>0.89513888888888893</v>
      </c>
      <c r="N1430" s="31"/>
      <c r="O1430" s="31">
        <v>50</v>
      </c>
      <c r="P1430" s="29">
        <v>40</v>
      </c>
      <c r="Q1430" s="29">
        <v>60</v>
      </c>
    </row>
    <row r="1431" spans="1:17" x14ac:dyDescent="0.35">
      <c r="A1431" s="26">
        <v>40000002679</v>
      </c>
      <c r="B1431" s="31">
        <v>1</v>
      </c>
      <c r="C1431" s="29" t="str">
        <f>LOOKUP(A1431,'QALS - Inspection Lot Record'!$A$2:$A$361,'QALS - Inspection Lot Record'!$O$2:$O$361)</f>
        <v>Ibuprofen Tablets (100 MG)</v>
      </c>
      <c r="D1431" s="31">
        <v>60</v>
      </c>
      <c r="E1431" s="29" t="s">
        <v>405</v>
      </c>
      <c r="F1431" s="29" t="str">
        <f>LOOKUP(A1431,'QALS - Inspection Lot Record'!A:A,'QALS - Inspection Lot Record'!G:G)</f>
        <v>AB406550</v>
      </c>
      <c r="G1431" s="59">
        <f ca="1">LOOKUP(A1431,'QALS - Inspection Lot Record'!A:A,'QALS - Inspection Lot Record'!E:E)</f>
        <v>45959</v>
      </c>
      <c r="H1431" s="34" t="str">
        <f t="shared" si="115"/>
        <v>A</v>
      </c>
      <c r="I1431" s="29" t="str">
        <f t="shared" si="111"/>
        <v>AB406550</v>
      </c>
      <c r="J1431" s="59">
        <f t="shared" ca="1" si="112"/>
        <v>45959</v>
      </c>
      <c r="K1431" s="30">
        <f ca="1">LOOKUP(A1431,'QALS - Inspection Lot Record'!A:A,'QALS - Inspection Lot Record'!I:I)</f>
        <v>0.87302083333333336</v>
      </c>
      <c r="L1431" s="59">
        <f t="shared" ca="1" si="113"/>
        <v>45959</v>
      </c>
      <c r="M1431" s="30">
        <f t="shared" ca="1" si="114"/>
        <v>0.89069444444444446</v>
      </c>
      <c r="N1431" s="31"/>
      <c r="O1431" s="31">
        <v>77.5</v>
      </c>
      <c r="P1431" s="29">
        <v>70</v>
      </c>
      <c r="Q1431" s="29">
        <v>85</v>
      </c>
    </row>
    <row r="1432" spans="1:17" x14ac:dyDescent="0.35">
      <c r="A1432" s="26">
        <v>40000002679</v>
      </c>
      <c r="B1432" s="31">
        <v>1</v>
      </c>
      <c r="C1432" s="29" t="str">
        <f>LOOKUP(A1432,'QALS - Inspection Lot Record'!$A$2:$A$361,'QALS - Inspection Lot Record'!$O$2:$O$361)</f>
        <v>Ibuprofen Tablets (100 MG)</v>
      </c>
      <c r="D1432" s="31">
        <v>70</v>
      </c>
      <c r="E1432" s="29" t="s">
        <v>406</v>
      </c>
      <c r="F1432" s="29" t="str">
        <f>LOOKUP(A1432,'QALS - Inspection Lot Record'!A:A,'QALS - Inspection Lot Record'!G:G)</f>
        <v>AB406550</v>
      </c>
      <c r="G1432" s="59">
        <f ca="1">LOOKUP(A1432,'QALS - Inspection Lot Record'!A:A,'QALS - Inspection Lot Record'!E:E)</f>
        <v>45959</v>
      </c>
      <c r="H1432" s="34" t="str">
        <f t="shared" si="115"/>
        <v>A</v>
      </c>
      <c r="I1432" s="29" t="str">
        <f t="shared" si="111"/>
        <v>AB406550</v>
      </c>
      <c r="J1432" s="59">
        <f t="shared" ca="1" si="112"/>
        <v>45959</v>
      </c>
      <c r="K1432" s="30">
        <f ca="1">LOOKUP(A1432,'QALS - Inspection Lot Record'!A:A,'QALS - Inspection Lot Record'!I:I)</f>
        <v>0.87302083333333336</v>
      </c>
      <c r="L1432" s="59">
        <f t="shared" ca="1" si="113"/>
        <v>45959</v>
      </c>
      <c r="M1432" s="30">
        <f t="shared" ca="1" si="114"/>
        <v>0.89650462962962962</v>
      </c>
      <c r="N1432" s="31"/>
      <c r="O1432" s="31">
        <v>81.2</v>
      </c>
      <c r="P1432" s="29">
        <v>80</v>
      </c>
      <c r="Q1432" s="29">
        <v>90</v>
      </c>
    </row>
    <row r="1433" spans="1:17" x14ac:dyDescent="0.35">
      <c r="A1433" s="26">
        <v>40000002679</v>
      </c>
      <c r="B1433" s="31">
        <v>1</v>
      </c>
      <c r="C1433" s="29" t="str">
        <f>LOOKUP(A1433,'QALS - Inspection Lot Record'!$A$2:$A$361,'QALS - Inspection Lot Record'!$O$2:$O$361)</f>
        <v>Ibuprofen Tablets (100 MG)</v>
      </c>
      <c r="D1433" s="31">
        <v>80</v>
      </c>
      <c r="E1433" s="29" t="s">
        <v>407</v>
      </c>
      <c r="F1433" s="29" t="str">
        <f>LOOKUP(A1433,'QALS - Inspection Lot Record'!A:A,'QALS - Inspection Lot Record'!G:G)</f>
        <v>AB406550</v>
      </c>
      <c r="G1433" s="59">
        <f ca="1">LOOKUP(A1433,'QALS - Inspection Lot Record'!A:A,'QALS - Inspection Lot Record'!E:E)</f>
        <v>45959</v>
      </c>
      <c r="H1433" s="34" t="str">
        <f t="shared" si="115"/>
        <v>A</v>
      </c>
      <c r="I1433" s="29" t="str">
        <f t="shared" si="111"/>
        <v>AB406550</v>
      </c>
      <c r="J1433" s="59">
        <f t="shared" ca="1" si="112"/>
        <v>45959</v>
      </c>
      <c r="K1433" s="30">
        <f ca="1">LOOKUP(A1433,'QALS - Inspection Lot Record'!A:A,'QALS - Inspection Lot Record'!I:I)</f>
        <v>0.87302083333333336</v>
      </c>
      <c r="L1433" s="59">
        <f t="shared" ca="1" si="113"/>
        <v>45959</v>
      </c>
      <c r="M1433" s="30">
        <f t="shared" ca="1" si="114"/>
        <v>0.8925925925925926</v>
      </c>
      <c r="N1433" s="31"/>
      <c r="O1433" s="31">
        <v>24</v>
      </c>
      <c r="P1433" s="29">
        <v>23</v>
      </c>
      <c r="Q1433" s="29">
        <v>25</v>
      </c>
    </row>
    <row r="1434" spans="1:17" x14ac:dyDescent="0.35">
      <c r="A1434" s="26">
        <v>40000002680</v>
      </c>
      <c r="B1434" s="27">
        <v>1</v>
      </c>
      <c r="C1434" s="29" t="str">
        <f>LOOKUP(A1434,'QALS - Inspection Lot Record'!$A$2:$A$361,'QALS - Inspection Lot Record'!$O$2:$O$361)</f>
        <v>Metformin Tablets (100 MG)</v>
      </c>
      <c r="D1434" s="27">
        <v>10</v>
      </c>
      <c r="E1434" s="26" t="s">
        <v>399</v>
      </c>
      <c r="F1434" s="29" t="str">
        <f>LOOKUP(A1434,'QALS - Inspection Lot Record'!A:A,'QALS - Inspection Lot Record'!G:G)</f>
        <v>YA284176</v>
      </c>
      <c r="G1434" s="59">
        <f ca="1">LOOKUP(A1434,'QALS - Inspection Lot Record'!A:A,'QALS - Inspection Lot Record'!E:E)</f>
        <v>45959</v>
      </c>
      <c r="H1434" s="34" t="str">
        <f t="shared" si="115"/>
        <v>A</v>
      </c>
      <c r="I1434" s="29" t="str">
        <f t="shared" si="111"/>
        <v>YA284176</v>
      </c>
      <c r="J1434" s="59">
        <f t="shared" ca="1" si="112"/>
        <v>45959</v>
      </c>
      <c r="K1434" s="30">
        <f ca="1">LOOKUP(A1434,'QALS - Inspection Lot Record'!A:A,'QALS - Inspection Lot Record'!I:I)</f>
        <v>0.27114583333333331</v>
      </c>
      <c r="L1434" s="59">
        <f t="shared" ca="1" si="113"/>
        <v>45959</v>
      </c>
      <c r="M1434" s="30">
        <f t="shared" ca="1" si="114"/>
        <v>0.30315972222222221</v>
      </c>
      <c r="N1434" s="31"/>
      <c r="O1434" s="31">
        <v>98.5</v>
      </c>
      <c r="P1434" s="29">
        <v>95</v>
      </c>
      <c r="Q1434" s="29">
        <v>102</v>
      </c>
    </row>
    <row r="1435" spans="1:17" x14ac:dyDescent="0.35">
      <c r="A1435" s="26">
        <v>40000002680</v>
      </c>
      <c r="B1435" s="27">
        <v>1</v>
      </c>
      <c r="C1435" s="29" t="str">
        <f>LOOKUP(A1435,'QALS - Inspection Lot Record'!$A$2:$A$361,'QALS - Inspection Lot Record'!$O$2:$O$361)</f>
        <v>Metformin Tablets (100 MG)</v>
      </c>
      <c r="D1435" s="31">
        <v>20</v>
      </c>
      <c r="E1435" s="29" t="s">
        <v>400</v>
      </c>
      <c r="F1435" s="29" t="str">
        <f>LOOKUP(A1435,'QALS - Inspection Lot Record'!A:A,'QALS - Inspection Lot Record'!G:G)</f>
        <v>YA284176</v>
      </c>
      <c r="G1435" s="59">
        <f ca="1">LOOKUP(A1435,'QALS - Inspection Lot Record'!A:A,'QALS - Inspection Lot Record'!E:E)</f>
        <v>45959</v>
      </c>
      <c r="H1435" s="34" t="str">
        <f t="shared" si="115"/>
        <v>A</v>
      </c>
      <c r="I1435" s="29" t="str">
        <f t="shared" si="111"/>
        <v>YA284176</v>
      </c>
      <c r="J1435" s="59">
        <f t="shared" ca="1" si="112"/>
        <v>45959</v>
      </c>
      <c r="K1435" s="30">
        <f ca="1">LOOKUP(A1435,'QALS - Inspection Lot Record'!A:A,'QALS - Inspection Lot Record'!I:I)</f>
        <v>0.27114583333333331</v>
      </c>
      <c r="L1435" s="59">
        <f t="shared" ca="1" si="113"/>
        <v>45959</v>
      </c>
      <c r="M1435" s="30">
        <f t="shared" ca="1" si="114"/>
        <v>0.28979166666666667</v>
      </c>
      <c r="N1435" s="31"/>
      <c r="O1435" s="31">
        <v>7.25</v>
      </c>
      <c r="P1435" s="29">
        <v>3.5</v>
      </c>
      <c r="Q1435" s="29">
        <v>11</v>
      </c>
    </row>
    <row r="1436" spans="1:17" x14ac:dyDescent="0.35">
      <c r="A1436" s="26">
        <v>40000002680</v>
      </c>
      <c r="B1436" s="31">
        <v>1</v>
      </c>
      <c r="C1436" s="29" t="str">
        <f>LOOKUP(A1436,'QALS - Inspection Lot Record'!$A$2:$A$361,'QALS - Inspection Lot Record'!$O$2:$O$361)</f>
        <v>Metformin Tablets (100 MG)</v>
      </c>
      <c r="D1436" s="31">
        <v>30</v>
      </c>
      <c r="E1436" s="29" t="s">
        <v>401</v>
      </c>
      <c r="F1436" s="29" t="str">
        <f>LOOKUP(A1436,'QALS - Inspection Lot Record'!A:A,'QALS - Inspection Lot Record'!G:G)</f>
        <v>YA284176</v>
      </c>
      <c r="G1436" s="59">
        <f ca="1">LOOKUP(A1436,'QALS - Inspection Lot Record'!A:A,'QALS - Inspection Lot Record'!E:E)</f>
        <v>45959</v>
      </c>
      <c r="H1436" s="34" t="str">
        <f t="shared" si="115"/>
        <v>A</v>
      </c>
      <c r="I1436" s="29" t="str">
        <f t="shared" si="111"/>
        <v>YA284176</v>
      </c>
      <c r="J1436" s="59">
        <f t="shared" ca="1" si="112"/>
        <v>45959</v>
      </c>
      <c r="K1436" s="30">
        <f ca="1">LOOKUP(A1436,'QALS - Inspection Lot Record'!A:A,'QALS - Inspection Lot Record'!I:I)</f>
        <v>0.27114583333333331</v>
      </c>
      <c r="L1436" s="59">
        <f t="shared" ca="1" si="113"/>
        <v>45959</v>
      </c>
      <c r="M1436" s="30">
        <f t="shared" ca="1" si="114"/>
        <v>0.28943287037037035</v>
      </c>
      <c r="N1436" s="11" t="s">
        <v>402</v>
      </c>
      <c r="O1436" s="31"/>
      <c r="P1436" s="29"/>
      <c r="Q1436" s="29"/>
    </row>
    <row r="1437" spans="1:17" x14ac:dyDescent="0.35">
      <c r="A1437" s="26">
        <v>40000002680</v>
      </c>
      <c r="B1437" s="31">
        <v>1</v>
      </c>
      <c r="C1437" s="29" t="str">
        <f>LOOKUP(A1437,'QALS - Inspection Lot Record'!$A$2:$A$361,'QALS - Inspection Lot Record'!$O$2:$O$361)</f>
        <v>Metformin Tablets (100 MG)</v>
      </c>
      <c r="D1437" s="31">
        <v>40</v>
      </c>
      <c r="E1437" s="29" t="s">
        <v>403</v>
      </c>
      <c r="F1437" s="29" t="str">
        <f>LOOKUP(A1437,'QALS - Inspection Lot Record'!A:A,'QALS - Inspection Lot Record'!G:G)</f>
        <v>YA284176</v>
      </c>
      <c r="G1437" s="59">
        <f ca="1">LOOKUP(A1437,'QALS - Inspection Lot Record'!A:A,'QALS - Inspection Lot Record'!E:E)</f>
        <v>45959</v>
      </c>
      <c r="H1437" s="34" t="str">
        <f t="shared" si="115"/>
        <v>A</v>
      </c>
      <c r="I1437" s="29" t="str">
        <f t="shared" si="111"/>
        <v>YA284176</v>
      </c>
      <c r="J1437" s="59">
        <f t="shared" ca="1" si="112"/>
        <v>45959</v>
      </c>
      <c r="K1437" s="30">
        <f ca="1">LOOKUP(A1437,'QALS - Inspection Lot Record'!A:A,'QALS - Inspection Lot Record'!I:I)</f>
        <v>0.27114583333333331</v>
      </c>
      <c r="L1437" s="59">
        <f t="shared" ca="1" si="113"/>
        <v>45959</v>
      </c>
      <c r="M1437" s="30">
        <f t="shared" ca="1" si="114"/>
        <v>0.30560185185185185</v>
      </c>
      <c r="N1437" s="31"/>
      <c r="O1437" s="31">
        <v>0</v>
      </c>
      <c r="P1437" s="29">
        <v>0</v>
      </c>
      <c r="Q1437" s="29">
        <v>1</v>
      </c>
    </row>
    <row r="1438" spans="1:17" x14ac:dyDescent="0.35">
      <c r="A1438" s="26">
        <v>40000002680</v>
      </c>
      <c r="B1438" s="31">
        <v>1</v>
      </c>
      <c r="C1438" s="29" t="str">
        <f>LOOKUP(A1438,'QALS - Inspection Lot Record'!$A$2:$A$361,'QALS - Inspection Lot Record'!$O$2:$O$361)</f>
        <v>Metformin Tablets (100 MG)</v>
      </c>
      <c r="D1438" s="31">
        <v>50</v>
      </c>
      <c r="E1438" s="29" t="s">
        <v>404</v>
      </c>
      <c r="F1438" s="29" t="str">
        <f>LOOKUP(A1438,'QALS - Inspection Lot Record'!A:A,'QALS - Inspection Lot Record'!G:G)</f>
        <v>YA284176</v>
      </c>
      <c r="G1438" s="59">
        <f ca="1">LOOKUP(A1438,'QALS - Inspection Lot Record'!A:A,'QALS - Inspection Lot Record'!E:E)</f>
        <v>45959</v>
      </c>
      <c r="H1438" s="34" t="str">
        <f t="shared" si="115"/>
        <v>A</v>
      </c>
      <c r="I1438" s="29" t="str">
        <f t="shared" si="111"/>
        <v>YA284176</v>
      </c>
      <c r="J1438" s="59">
        <f t="shared" ca="1" si="112"/>
        <v>45959</v>
      </c>
      <c r="K1438" s="30">
        <f ca="1">LOOKUP(A1438,'QALS - Inspection Lot Record'!A:A,'QALS - Inspection Lot Record'!I:I)</f>
        <v>0.27114583333333331</v>
      </c>
      <c r="L1438" s="59">
        <f t="shared" ca="1" si="113"/>
        <v>45959</v>
      </c>
      <c r="M1438" s="30">
        <f t="shared" ca="1" si="114"/>
        <v>0.29420138888888886</v>
      </c>
      <c r="N1438" s="31"/>
      <c r="O1438" s="31">
        <v>50</v>
      </c>
      <c r="P1438" s="29">
        <v>40</v>
      </c>
      <c r="Q1438" s="29">
        <v>60</v>
      </c>
    </row>
    <row r="1439" spans="1:17" x14ac:dyDescent="0.35">
      <c r="A1439" s="26">
        <v>40000002680</v>
      </c>
      <c r="B1439" s="31">
        <v>1</v>
      </c>
      <c r="C1439" s="29" t="str">
        <f>LOOKUP(A1439,'QALS - Inspection Lot Record'!$A$2:$A$361,'QALS - Inspection Lot Record'!$O$2:$O$361)</f>
        <v>Metformin Tablets (100 MG)</v>
      </c>
      <c r="D1439" s="31">
        <v>60</v>
      </c>
      <c r="E1439" s="29" t="s">
        <v>405</v>
      </c>
      <c r="F1439" s="29" t="str">
        <f>LOOKUP(A1439,'QALS - Inspection Lot Record'!A:A,'QALS - Inspection Lot Record'!G:G)</f>
        <v>YA284176</v>
      </c>
      <c r="G1439" s="59">
        <f ca="1">LOOKUP(A1439,'QALS - Inspection Lot Record'!A:A,'QALS - Inspection Lot Record'!E:E)</f>
        <v>45959</v>
      </c>
      <c r="H1439" s="34" t="str">
        <f t="shared" si="115"/>
        <v>A</v>
      </c>
      <c r="I1439" s="29" t="str">
        <f t="shared" si="111"/>
        <v>YA284176</v>
      </c>
      <c r="J1439" s="59">
        <f t="shared" ca="1" si="112"/>
        <v>45959</v>
      </c>
      <c r="K1439" s="30">
        <f ca="1">LOOKUP(A1439,'QALS - Inspection Lot Record'!A:A,'QALS - Inspection Lot Record'!I:I)</f>
        <v>0.27114583333333331</v>
      </c>
      <c r="L1439" s="59">
        <f t="shared" ca="1" si="113"/>
        <v>45959</v>
      </c>
      <c r="M1439" s="30">
        <f t="shared" ca="1" si="114"/>
        <v>0.29214120370370367</v>
      </c>
      <c r="N1439" s="31"/>
      <c r="O1439" s="31">
        <v>77.5</v>
      </c>
      <c r="P1439" s="29">
        <v>70</v>
      </c>
      <c r="Q1439" s="29">
        <v>85</v>
      </c>
    </row>
    <row r="1440" spans="1:17" x14ac:dyDescent="0.35">
      <c r="A1440" s="26">
        <v>40000002680</v>
      </c>
      <c r="B1440" s="31">
        <v>1</v>
      </c>
      <c r="C1440" s="29" t="str">
        <f>LOOKUP(A1440,'QALS - Inspection Lot Record'!$A$2:$A$361,'QALS - Inspection Lot Record'!$O$2:$O$361)</f>
        <v>Metformin Tablets (100 MG)</v>
      </c>
      <c r="D1440" s="31">
        <v>70</v>
      </c>
      <c r="E1440" s="29" t="s">
        <v>406</v>
      </c>
      <c r="F1440" s="29" t="str">
        <f>LOOKUP(A1440,'QALS - Inspection Lot Record'!A:A,'QALS - Inspection Lot Record'!G:G)</f>
        <v>YA284176</v>
      </c>
      <c r="G1440" s="59">
        <f ca="1">LOOKUP(A1440,'QALS - Inspection Lot Record'!A:A,'QALS - Inspection Lot Record'!E:E)</f>
        <v>45959</v>
      </c>
      <c r="H1440" s="34" t="str">
        <f t="shared" si="115"/>
        <v>A</v>
      </c>
      <c r="I1440" s="29" t="str">
        <f t="shared" si="111"/>
        <v>YA284176</v>
      </c>
      <c r="J1440" s="59">
        <f t="shared" ca="1" si="112"/>
        <v>45959</v>
      </c>
      <c r="K1440" s="30">
        <f ca="1">LOOKUP(A1440,'QALS - Inspection Lot Record'!A:A,'QALS - Inspection Lot Record'!I:I)</f>
        <v>0.27114583333333331</v>
      </c>
      <c r="L1440" s="59">
        <f t="shared" ca="1" si="113"/>
        <v>45959</v>
      </c>
      <c r="M1440" s="30">
        <f t="shared" ca="1" si="114"/>
        <v>0.30449074074074073</v>
      </c>
      <c r="N1440" s="31"/>
      <c r="O1440" s="31">
        <v>81.2</v>
      </c>
      <c r="P1440" s="29">
        <v>80</v>
      </c>
      <c r="Q1440" s="29">
        <v>90</v>
      </c>
    </row>
    <row r="1441" spans="1:17" x14ac:dyDescent="0.35">
      <c r="A1441" s="26">
        <v>40000002680</v>
      </c>
      <c r="B1441" s="31">
        <v>1</v>
      </c>
      <c r="C1441" s="29" t="str">
        <f>LOOKUP(A1441,'QALS - Inspection Lot Record'!$A$2:$A$361,'QALS - Inspection Lot Record'!$O$2:$O$361)</f>
        <v>Metformin Tablets (100 MG)</v>
      </c>
      <c r="D1441" s="31">
        <v>80</v>
      </c>
      <c r="E1441" s="29" t="s">
        <v>407</v>
      </c>
      <c r="F1441" s="29" t="str">
        <f>LOOKUP(A1441,'QALS - Inspection Lot Record'!A:A,'QALS - Inspection Lot Record'!G:G)</f>
        <v>YA284176</v>
      </c>
      <c r="G1441" s="59">
        <f ca="1">LOOKUP(A1441,'QALS - Inspection Lot Record'!A:A,'QALS - Inspection Lot Record'!E:E)</f>
        <v>45959</v>
      </c>
      <c r="H1441" s="34" t="str">
        <f t="shared" si="115"/>
        <v>A</v>
      </c>
      <c r="I1441" s="29" t="str">
        <f t="shared" si="111"/>
        <v>YA284176</v>
      </c>
      <c r="J1441" s="59">
        <f t="shared" ca="1" si="112"/>
        <v>45959</v>
      </c>
      <c r="K1441" s="30">
        <f ca="1">LOOKUP(A1441,'QALS - Inspection Lot Record'!A:A,'QALS - Inspection Lot Record'!I:I)</f>
        <v>0.27114583333333331</v>
      </c>
      <c r="L1441" s="59">
        <f t="shared" ca="1" si="113"/>
        <v>45959</v>
      </c>
      <c r="M1441" s="30">
        <f t="shared" ca="1" si="114"/>
        <v>0.29789351851851847</v>
      </c>
      <c r="N1441" s="31"/>
      <c r="O1441" s="31">
        <v>24</v>
      </c>
      <c r="P1441" s="29">
        <v>23</v>
      </c>
      <c r="Q1441" s="29">
        <v>25</v>
      </c>
    </row>
    <row r="1442" spans="1:17" x14ac:dyDescent="0.35">
      <c r="A1442" s="26">
        <v>40000002681</v>
      </c>
      <c r="B1442" s="27">
        <v>1</v>
      </c>
      <c r="C1442" s="29" t="str">
        <f>LOOKUP(A1442,'QALS - Inspection Lot Record'!$A$2:$A$361,'QALS - Inspection Lot Record'!$O$2:$O$361)</f>
        <v>Aspirin Tablets (500 MG)</v>
      </c>
      <c r="D1442" s="27">
        <v>10</v>
      </c>
      <c r="E1442" s="26" t="s">
        <v>399</v>
      </c>
      <c r="F1442" s="29" t="str">
        <f>LOOKUP(A1442,'QALS - Inspection Lot Record'!A:A,'QALS - Inspection Lot Record'!G:G)</f>
        <v>AB406550</v>
      </c>
      <c r="G1442" s="59">
        <f ca="1">LOOKUP(A1442,'QALS - Inspection Lot Record'!A:A,'QALS - Inspection Lot Record'!E:E)</f>
        <v>45960</v>
      </c>
      <c r="H1442" s="34" t="str">
        <f t="shared" si="115"/>
        <v>R</v>
      </c>
      <c r="I1442" s="29" t="str">
        <f t="shared" si="111"/>
        <v>AB406550</v>
      </c>
      <c r="J1442" s="59">
        <f t="shared" ca="1" si="112"/>
        <v>45960</v>
      </c>
      <c r="K1442" s="30">
        <f ca="1">LOOKUP(A1442,'QALS - Inspection Lot Record'!A:A,'QALS - Inspection Lot Record'!I:I)</f>
        <v>0.52634259259259264</v>
      </c>
      <c r="L1442" s="59">
        <f t="shared" ca="1" si="113"/>
        <v>45960</v>
      </c>
      <c r="M1442" s="30">
        <f t="shared" ca="1" si="114"/>
        <v>0.54726851851851854</v>
      </c>
      <c r="N1442" s="31"/>
      <c r="O1442" s="31">
        <v>93.8</v>
      </c>
      <c r="P1442" s="29">
        <v>95</v>
      </c>
      <c r="Q1442" s="29">
        <v>105</v>
      </c>
    </row>
    <row r="1443" spans="1:17" x14ac:dyDescent="0.35">
      <c r="A1443" s="26">
        <v>40000002681</v>
      </c>
      <c r="B1443" s="27">
        <v>1</v>
      </c>
      <c r="C1443" s="29" t="str">
        <f>LOOKUP(A1443,'QALS - Inspection Lot Record'!$A$2:$A$361,'QALS - Inspection Lot Record'!$O$2:$O$361)</f>
        <v>Aspirin Tablets (500 MG)</v>
      </c>
      <c r="D1443" s="31">
        <v>20</v>
      </c>
      <c r="E1443" s="29" t="s">
        <v>400</v>
      </c>
      <c r="F1443" s="29" t="str">
        <f>LOOKUP(A1443,'QALS - Inspection Lot Record'!A:A,'QALS - Inspection Lot Record'!G:G)</f>
        <v>AB406550</v>
      </c>
      <c r="G1443" s="59">
        <f ca="1">LOOKUP(A1443,'QALS - Inspection Lot Record'!A:A,'QALS - Inspection Lot Record'!E:E)</f>
        <v>45960</v>
      </c>
      <c r="H1443" s="34" t="str">
        <f t="shared" si="115"/>
        <v>A</v>
      </c>
      <c r="I1443" s="29" t="str">
        <f t="shared" si="111"/>
        <v>AB406550</v>
      </c>
      <c r="J1443" s="59">
        <f t="shared" ca="1" si="112"/>
        <v>45960</v>
      </c>
      <c r="K1443" s="30">
        <f ca="1">LOOKUP(A1443,'QALS - Inspection Lot Record'!A:A,'QALS - Inspection Lot Record'!I:I)</f>
        <v>0.52634259259259264</v>
      </c>
      <c r="L1443" s="59">
        <f t="shared" ca="1" si="113"/>
        <v>45960</v>
      </c>
      <c r="M1443" s="30">
        <f t="shared" ca="1" si="114"/>
        <v>0.56056712962962973</v>
      </c>
      <c r="N1443" s="31"/>
      <c r="O1443" s="31">
        <v>7.25</v>
      </c>
      <c r="P1443" s="29">
        <v>3.5</v>
      </c>
      <c r="Q1443" s="29">
        <v>11</v>
      </c>
    </row>
    <row r="1444" spans="1:17" x14ac:dyDescent="0.35">
      <c r="A1444" s="26">
        <v>40000002681</v>
      </c>
      <c r="B1444" s="31">
        <v>1</v>
      </c>
      <c r="C1444" s="29" t="str">
        <f>LOOKUP(A1444,'QALS - Inspection Lot Record'!$A$2:$A$361,'QALS - Inspection Lot Record'!$O$2:$O$361)</f>
        <v>Aspirin Tablets (500 MG)</v>
      </c>
      <c r="D1444" s="31">
        <v>30</v>
      </c>
      <c r="E1444" s="29" t="s">
        <v>401</v>
      </c>
      <c r="F1444" s="29" t="str">
        <f>LOOKUP(A1444,'QALS - Inspection Lot Record'!A:A,'QALS - Inspection Lot Record'!G:G)</f>
        <v>AB406550</v>
      </c>
      <c r="G1444" s="59">
        <f ca="1">LOOKUP(A1444,'QALS - Inspection Lot Record'!A:A,'QALS - Inspection Lot Record'!E:E)</f>
        <v>45960</v>
      </c>
      <c r="H1444" s="34" t="str">
        <f t="shared" si="115"/>
        <v>A</v>
      </c>
      <c r="I1444" s="29" t="str">
        <f t="shared" si="111"/>
        <v>AB406550</v>
      </c>
      <c r="J1444" s="59">
        <f t="shared" ca="1" si="112"/>
        <v>45960</v>
      </c>
      <c r="K1444" s="30">
        <f ca="1">LOOKUP(A1444,'QALS - Inspection Lot Record'!A:A,'QALS - Inspection Lot Record'!I:I)</f>
        <v>0.52634259259259264</v>
      </c>
      <c r="L1444" s="59">
        <f t="shared" ca="1" si="113"/>
        <v>45960</v>
      </c>
      <c r="M1444" s="30">
        <f t="shared" ca="1" si="114"/>
        <v>0.55497685185185186</v>
      </c>
      <c r="N1444" s="11" t="s">
        <v>402</v>
      </c>
      <c r="O1444" s="31"/>
      <c r="P1444" s="29"/>
      <c r="Q1444" s="29"/>
    </row>
    <row r="1445" spans="1:17" x14ac:dyDescent="0.35">
      <c r="A1445" s="26">
        <v>40000002681</v>
      </c>
      <c r="B1445" s="31">
        <v>1</v>
      </c>
      <c r="C1445" s="29" t="str">
        <f>LOOKUP(A1445,'QALS - Inspection Lot Record'!$A$2:$A$361,'QALS - Inspection Lot Record'!$O$2:$O$361)</f>
        <v>Aspirin Tablets (500 MG)</v>
      </c>
      <c r="D1445" s="31">
        <v>40</v>
      </c>
      <c r="E1445" s="29" t="s">
        <v>403</v>
      </c>
      <c r="F1445" s="29" t="str">
        <f>LOOKUP(A1445,'QALS - Inspection Lot Record'!A:A,'QALS - Inspection Lot Record'!G:G)</f>
        <v>AB406550</v>
      </c>
      <c r="G1445" s="59">
        <f ca="1">LOOKUP(A1445,'QALS - Inspection Lot Record'!A:A,'QALS - Inspection Lot Record'!E:E)</f>
        <v>45960</v>
      </c>
      <c r="H1445" s="34" t="str">
        <f t="shared" si="115"/>
        <v>A</v>
      </c>
      <c r="I1445" s="29" t="str">
        <f t="shared" si="111"/>
        <v>AB406550</v>
      </c>
      <c r="J1445" s="59">
        <f t="shared" ca="1" si="112"/>
        <v>45960</v>
      </c>
      <c r="K1445" s="30">
        <f ca="1">LOOKUP(A1445,'QALS - Inspection Lot Record'!A:A,'QALS - Inspection Lot Record'!I:I)</f>
        <v>0.52634259259259264</v>
      </c>
      <c r="L1445" s="59">
        <f t="shared" ca="1" si="113"/>
        <v>45960</v>
      </c>
      <c r="M1445" s="30">
        <f t="shared" ca="1" si="114"/>
        <v>0.55604166666666677</v>
      </c>
      <c r="N1445" s="31"/>
      <c r="O1445" s="31">
        <v>0</v>
      </c>
      <c r="P1445" s="29">
        <v>0</v>
      </c>
      <c r="Q1445" s="29">
        <v>2.5</v>
      </c>
    </row>
    <row r="1446" spans="1:17" x14ac:dyDescent="0.35">
      <c r="A1446" s="26">
        <v>40000002681</v>
      </c>
      <c r="B1446" s="31">
        <v>1</v>
      </c>
      <c r="C1446" s="29" t="str">
        <f>LOOKUP(A1446,'QALS - Inspection Lot Record'!$A$2:$A$361,'QALS - Inspection Lot Record'!$O$2:$O$361)</f>
        <v>Aspirin Tablets (500 MG)</v>
      </c>
      <c r="D1446" s="31">
        <v>50</v>
      </c>
      <c r="E1446" s="29" t="s">
        <v>404</v>
      </c>
      <c r="F1446" s="29" t="str">
        <f>LOOKUP(A1446,'QALS - Inspection Lot Record'!A:A,'QALS - Inspection Lot Record'!G:G)</f>
        <v>AB406550</v>
      </c>
      <c r="G1446" s="59">
        <f ca="1">LOOKUP(A1446,'QALS - Inspection Lot Record'!A:A,'QALS - Inspection Lot Record'!E:E)</f>
        <v>45960</v>
      </c>
      <c r="H1446" s="34" t="str">
        <f t="shared" si="115"/>
        <v>A</v>
      </c>
      <c r="I1446" s="29" t="str">
        <f t="shared" si="111"/>
        <v>AB406550</v>
      </c>
      <c r="J1446" s="59">
        <f t="shared" ca="1" si="112"/>
        <v>45960</v>
      </c>
      <c r="K1446" s="30">
        <f ca="1">LOOKUP(A1446,'QALS - Inspection Lot Record'!A:A,'QALS - Inspection Lot Record'!I:I)</f>
        <v>0.52634259259259264</v>
      </c>
      <c r="L1446" s="59">
        <f t="shared" ca="1" si="113"/>
        <v>45960</v>
      </c>
      <c r="M1446" s="30">
        <f t="shared" ca="1" si="114"/>
        <v>0.55510416666666673</v>
      </c>
      <c r="N1446" s="31"/>
      <c r="O1446" s="31">
        <v>50</v>
      </c>
      <c r="P1446" s="29">
        <v>40</v>
      </c>
      <c r="Q1446" s="29">
        <v>60</v>
      </c>
    </row>
    <row r="1447" spans="1:17" x14ac:dyDescent="0.35">
      <c r="A1447" s="26">
        <v>40000002681</v>
      </c>
      <c r="B1447" s="31">
        <v>1</v>
      </c>
      <c r="C1447" s="29" t="str">
        <f>LOOKUP(A1447,'QALS - Inspection Lot Record'!$A$2:$A$361,'QALS - Inspection Lot Record'!$O$2:$O$361)</f>
        <v>Aspirin Tablets (500 MG)</v>
      </c>
      <c r="D1447" s="31">
        <v>60</v>
      </c>
      <c r="E1447" s="29" t="s">
        <v>405</v>
      </c>
      <c r="F1447" s="29" t="str">
        <f>LOOKUP(A1447,'QALS - Inspection Lot Record'!A:A,'QALS - Inspection Lot Record'!G:G)</f>
        <v>AB406550</v>
      </c>
      <c r="G1447" s="59">
        <f ca="1">LOOKUP(A1447,'QALS - Inspection Lot Record'!A:A,'QALS - Inspection Lot Record'!E:E)</f>
        <v>45960</v>
      </c>
      <c r="H1447" s="34" t="str">
        <f t="shared" si="115"/>
        <v>A</v>
      </c>
      <c r="I1447" s="29" t="str">
        <f t="shared" si="111"/>
        <v>AB406550</v>
      </c>
      <c r="J1447" s="59">
        <f t="shared" ca="1" si="112"/>
        <v>45960</v>
      </c>
      <c r="K1447" s="30">
        <f ca="1">LOOKUP(A1447,'QALS - Inspection Lot Record'!A:A,'QALS - Inspection Lot Record'!I:I)</f>
        <v>0.52634259259259264</v>
      </c>
      <c r="L1447" s="59">
        <f t="shared" ca="1" si="113"/>
        <v>45960</v>
      </c>
      <c r="M1447" s="30">
        <f t="shared" ca="1" si="114"/>
        <v>0.54993055555555559</v>
      </c>
      <c r="N1447" s="31"/>
      <c r="O1447" s="31">
        <v>77.5</v>
      </c>
      <c r="P1447" s="29">
        <v>70</v>
      </c>
      <c r="Q1447" s="29">
        <v>85</v>
      </c>
    </row>
    <row r="1448" spans="1:17" x14ac:dyDescent="0.35">
      <c r="A1448" s="26">
        <v>40000002681</v>
      </c>
      <c r="B1448" s="31">
        <v>1</v>
      </c>
      <c r="C1448" s="29" t="str">
        <f>LOOKUP(A1448,'QALS - Inspection Lot Record'!$A$2:$A$361,'QALS - Inspection Lot Record'!$O$2:$O$361)</f>
        <v>Aspirin Tablets (500 MG)</v>
      </c>
      <c r="D1448" s="31">
        <v>70</v>
      </c>
      <c r="E1448" s="29" t="s">
        <v>406</v>
      </c>
      <c r="F1448" s="29" t="str">
        <f>LOOKUP(A1448,'QALS - Inspection Lot Record'!A:A,'QALS - Inspection Lot Record'!G:G)</f>
        <v>AB406550</v>
      </c>
      <c r="G1448" s="59">
        <f ca="1">LOOKUP(A1448,'QALS - Inspection Lot Record'!A:A,'QALS - Inspection Lot Record'!E:E)</f>
        <v>45960</v>
      </c>
      <c r="H1448" s="34" t="str">
        <f t="shared" si="115"/>
        <v>A</v>
      </c>
      <c r="I1448" s="29" t="str">
        <f t="shared" si="111"/>
        <v>AB406550</v>
      </c>
      <c r="J1448" s="59">
        <f t="shared" ca="1" si="112"/>
        <v>45960</v>
      </c>
      <c r="K1448" s="30">
        <f ca="1">LOOKUP(A1448,'QALS - Inspection Lot Record'!A:A,'QALS - Inspection Lot Record'!I:I)</f>
        <v>0.52634259259259264</v>
      </c>
      <c r="L1448" s="59">
        <f t="shared" ca="1" si="113"/>
        <v>45960</v>
      </c>
      <c r="M1448" s="30">
        <f t="shared" ca="1" si="114"/>
        <v>0.5440625</v>
      </c>
      <c r="N1448" s="31"/>
      <c r="O1448" s="31">
        <v>85</v>
      </c>
      <c r="P1448" s="29">
        <v>80</v>
      </c>
      <c r="Q1448" s="29">
        <v>90</v>
      </c>
    </row>
    <row r="1449" spans="1:17" x14ac:dyDescent="0.35">
      <c r="A1449" s="26">
        <v>40000002681</v>
      </c>
      <c r="B1449" s="31">
        <v>1</v>
      </c>
      <c r="C1449" s="29" t="str">
        <f>LOOKUP(A1449,'QALS - Inspection Lot Record'!$A$2:$A$361,'QALS - Inspection Lot Record'!$O$2:$O$361)</f>
        <v>Aspirin Tablets (500 MG)</v>
      </c>
      <c r="D1449" s="31">
        <v>80</v>
      </c>
      <c r="E1449" s="29" t="s">
        <v>407</v>
      </c>
      <c r="F1449" s="29" t="str">
        <f>LOOKUP(A1449,'QALS - Inspection Lot Record'!A:A,'QALS - Inspection Lot Record'!G:G)</f>
        <v>AB406550</v>
      </c>
      <c r="G1449" s="59">
        <f ca="1">LOOKUP(A1449,'QALS - Inspection Lot Record'!A:A,'QALS - Inspection Lot Record'!E:E)</f>
        <v>45960</v>
      </c>
      <c r="H1449" s="34" t="str">
        <f t="shared" si="115"/>
        <v>A</v>
      </c>
      <c r="I1449" s="29" t="str">
        <f t="shared" si="111"/>
        <v>AB406550</v>
      </c>
      <c r="J1449" s="59">
        <f t="shared" ca="1" si="112"/>
        <v>45960</v>
      </c>
      <c r="K1449" s="30">
        <f ca="1">LOOKUP(A1449,'QALS - Inspection Lot Record'!A:A,'QALS - Inspection Lot Record'!I:I)</f>
        <v>0.52634259259259264</v>
      </c>
      <c r="L1449" s="59">
        <f t="shared" ca="1" si="113"/>
        <v>45960</v>
      </c>
      <c r="M1449" s="30">
        <f t="shared" ca="1" si="114"/>
        <v>0.55064814814814822</v>
      </c>
      <c r="N1449" s="31"/>
      <c r="O1449" s="31">
        <v>25.5</v>
      </c>
      <c r="P1449" s="29">
        <v>23</v>
      </c>
      <c r="Q1449" s="29">
        <v>28</v>
      </c>
    </row>
    <row r="1450" spans="1:17" x14ac:dyDescent="0.35">
      <c r="A1450" s="26">
        <v>40000002682</v>
      </c>
      <c r="B1450" s="27">
        <v>1</v>
      </c>
      <c r="C1450" s="29" t="str">
        <f>LOOKUP(A1450,'QALS - Inspection Lot Record'!$A$2:$A$361,'QALS - Inspection Lot Record'!$O$2:$O$361)</f>
        <v>Aspirin Tablets (500 MG)</v>
      </c>
      <c r="D1450" s="27">
        <v>10</v>
      </c>
      <c r="E1450" s="26" t="s">
        <v>399</v>
      </c>
      <c r="F1450" s="29" t="str">
        <f>LOOKUP(A1450,'QALS - Inspection Lot Record'!A:A,'QALS - Inspection Lot Record'!G:G)</f>
        <v>YA284176</v>
      </c>
      <c r="G1450" s="59">
        <f ca="1">LOOKUP(A1450,'QALS - Inspection Lot Record'!A:A,'QALS - Inspection Lot Record'!E:E)</f>
        <v>45960</v>
      </c>
      <c r="H1450" s="34" t="str">
        <f t="shared" si="115"/>
        <v>A</v>
      </c>
      <c r="I1450" s="29" t="str">
        <f t="shared" si="111"/>
        <v>YA284176</v>
      </c>
      <c r="J1450" s="59">
        <f t="shared" ca="1" si="112"/>
        <v>45960</v>
      </c>
      <c r="K1450" s="30">
        <f ca="1">LOOKUP(A1450,'QALS - Inspection Lot Record'!A:A,'QALS - Inspection Lot Record'!I:I)</f>
        <v>9.9155092592592586E-2</v>
      </c>
      <c r="L1450" s="59">
        <f t="shared" ca="1" si="113"/>
        <v>45960</v>
      </c>
      <c r="M1450" s="30">
        <f t="shared" ca="1" si="114"/>
        <v>0.12545138888888888</v>
      </c>
      <c r="N1450" s="31"/>
      <c r="O1450" s="31">
        <v>100</v>
      </c>
      <c r="P1450" s="29">
        <v>95</v>
      </c>
      <c r="Q1450" s="29">
        <v>105</v>
      </c>
    </row>
    <row r="1451" spans="1:17" x14ac:dyDescent="0.35">
      <c r="A1451" s="26">
        <v>40000002682</v>
      </c>
      <c r="B1451" s="27">
        <v>1</v>
      </c>
      <c r="C1451" s="29" t="str">
        <f>LOOKUP(A1451,'QALS - Inspection Lot Record'!$A$2:$A$361,'QALS - Inspection Lot Record'!$O$2:$O$361)</f>
        <v>Aspirin Tablets (500 MG)</v>
      </c>
      <c r="D1451" s="31">
        <v>20</v>
      </c>
      <c r="E1451" s="29" t="s">
        <v>400</v>
      </c>
      <c r="F1451" s="29" t="str">
        <f>LOOKUP(A1451,'QALS - Inspection Lot Record'!A:A,'QALS - Inspection Lot Record'!G:G)</f>
        <v>YA284176</v>
      </c>
      <c r="G1451" s="59">
        <f ca="1">LOOKUP(A1451,'QALS - Inspection Lot Record'!A:A,'QALS - Inspection Lot Record'!E:E)</f>
        <v>45960</v>
      </c>
      <c r="H1451" s="34" t="str">
        <f t="shared" si="115"/>
        <v>A</v>
      </c>
      <c r="I1451" s="29" t="str">
        <f t="shared" si="111"/>
        <v>YA284176</v>
      </c>
      <c r="J1451" s="59">
        <f t="shared" ca="1" si="112"/>
        <v>45960</v>
      </c>
      <c r="K1451" s="30">
        <f ca="1">LOOKUP(A1451,'QALS - Inspection Lot Record'!A:A,'QALS - Inspection Lot Record'!I:I)</f>
        <v>9.9155092592592586E-2</v>
      </c>
      <c r="L1451" s="59">
        <f t="shared" ca="1" si="113"/>
        <v>45960</v>
      </c>
      <c r="M1451" s="30">
        <f t="shared" ca="1" si="114"/>
        <v>0.1232523148148148</v>
      </c>
      <c r="N1451" s="31"/>
      <c r="O1451" s="31">
        <v>7.25</v>
      </c>
      <c r="P1451" s="29">
        <v>3.5</v>
      </c>
      <c r="Q1451" s="29">
        <v>11</v>
      </c>
    </row>
    <row r="1452" spans="1:17" x14ac:dyDescent="0.35">
      <c r="A1452" s="26">
        <v>40000002682</v>
      </c>
      <c r="B1452" s="31">
        <v>1</v>
      </c>
      <c r="C1452" s="29" t="str">
        <f>LOOKUP(A1452,'QALS - Inspection Lot Record'!$A$2:$A$361,'QALS - Inspection Lot Record'!$O$2:$O$361)</f>
        <v>Aspirin Tablets (500 MG)</v>
      </c>
      <c r="D1452" s="31">
        <v>30</v>
      </c>
      <c r="E1452" s="29" t="s">
        <v>401</v>
      </c>
      <c r="F1452" s="29" t="str">
        <f>LOOKUP(A1452,'QALS - Inspection Lot Record'!A:A,'QALS - Inspection Lot Record'!G:G)</f>
        <v>YA284176</v>
      </c>
      <c r="G1452" s="59">
        <f ca="1">LOOKUP(A1452,'QALS - Inspection Lot Record'!A:A,'QALS - Inspection Lot Record'!E:E)</f>
        <v>45960</v>
      </c>
      <c r="H1452" s="34" t="str">
        <f t="shared" si="115"/>
        <v>A</v>
      </c>
      <c r="I1452" s="29" t="str">
        <f t="shared" si="111"/>
        <v>YA284176</v>
      </c>
      <c r="J1452" s="59">
        <f t="shared" ca="1" si="112"/>
        <v>45960</v>
      </c>
      <c r="K1452" s="30">
        <f ca="1">LOOKUP(A1452,'QALS - Inspection Lot Record'!A:A,'QALS - Inspection Lot Record'!I:I)</f>
        <v>9.9155092592592586E-2</v>
      </c>
      <c r="L1452" s="59">
        <f t="shared" ca="1" si="113"/>
        <v>45960</v>
      </c>
      <c r="M1452" s="30">
        <f t="shared" ca="1" si="114"/>
        <v>0.12344907407407407</v>
      </c>
      <c r="N1452" s="11" t="s">
        <v>402</v>
      </c>
      <c r="O1452" s="31"/>
      <c r="P1452" s="29"/>
      <c r="Q1452" s="29"/>
    </row>
    <row r="1453" spans="1:17" x14ac:dyDescent="0.35">
      <c r="A1453" s="26">
        <v>40000002682</v>
      </c>
      <c r="B1453" s="31">
        <v>1</v>
      </c>
      <c r="C1453" s="29" t="str">
        <f>LOOKUP(A1453,'QALS - Inspection Lot Record'!$A$2:$A$361,'QALS - Inspection Lot Record'!$O$2:$O$361)</f>
        <v>Aspirin Tablets (500 MG)</v>
      </c>
      <c r="D1453" s="31">
        <v>40</v>
      </c>
      <c r="E1453" s="29" t="s">
        <v>403</v>
      </c>
      <c r="F1453" s="29" t="str">
        <f>LOOKUP(A1453,'QALS - Inspection Lot Record'!A:A,'QALS - Inspection Lot Record'!G:G)</f>
        <v>YA284176</v>
      </c>
      <c r="G1453" s="59">
        <f ca="1">LOOKUP(A1453,'QALS - Inspection Lot Record'!A:A,'QALS - Inspection Lot Record'!E:E)</f>
        <v>45960</v>
      </c>
      <c r="H1453" s="34" t="str">
        <f t="shared" si="115"/>
        <v>A</v>
      </c>
      <c r="I1453" s="29" t="str">
        <f t="shared" si="111"/>
        <v>YA284176</v>
      </c>
      <c r="J1453" s="59">
        <f t="shared" ca="1" si="112"/>
        <v>45960</v>
      </c>
      <c r="K1453" s="30">
        <f ca="1">LOOKUP(A1453,'QALS - Inspection Lot Record'!A:A,'QALS - Inspection Lot Record'!I:I)</f>
        <v>9.9155092592592586E-2</v>
      </c>
      <c r="L1453" s="59">
        <f t="shared" ca="1" si="113"/>
        <v>45960</v>
      </c>
      <c r="M1453" s="30">
        <f t="shared" ca="1" si="114"/>
        <v>0.12243055555555554</v>
      </c>
      <c r="N1453" s="31"/>
      <c r="O1453" s="31">
        <v>0</v>
      </c>
      <c r="P1453" s="29">
        <v>0</v>
      </c>
      <c r="Q1453" s="29">
        <v>2.5</v>
      </c>
    </row>
    <row r="1454" spans="1:17" x14ac:dyDescent="0.35">
      <c r="A1454" s="26">
        <v>40000002682</v>
      </c>
      <c r="B1454" s="31">
        <v>1</v>
      </c>
      <c r="C1454" s="29" t="str">
        <f>LOOKUP(A1454,'QALS - Inspection Lot Record'!$A$2:$A$361,'QALS - Inspection Lot Record'!$O$2:$O$361)</f>
        <v>Aspirin Tablets (500 MG)</v>
      </c>
      <c r="D1454" s="31">
        <v>50</v>
      </c>
      <c r="E1454" s="29" t="s">
        <v>404</v>
      </c>
      <c r="F1454" s="29" t="str">
        <f>LOOKUP(A1454,'QALS - Inspection Lot Record'!A:A,'QALS - Inspection Lot Record'!G:G)</f>
        <v>YA284176</v>
      </c>
      <c r="G1454" s="59">
        <f ca="1">LOOKUP(A1454,'QALS - Inspection Lot Record'!A:A,'QALS - Inspection Lot Record'!E:E)</f>
        <v>45960</v>
      </c>
      <c r="H1454" s="34" t="str">
        <f t="shared" si="115"/>
        <v>A</v>
      </c>
      <c r="I1454" s="29" t="str">
        <f t="shared" si="111"/>
        <v>YA284176</v>
      </c>
      <c r="J1454" s="59">
        <f t="shared" ca="1" si="112"/>
        <v>45960</v>
      </c>
      <c r="K1454" s="30">
        <f ca="1">LOOKUP(A1454,'QALS - Inspection Lot Record'!A:A,'QALS - Inspection Lot Record'!I:I)</f>
        <v>9.9155092592592586E-2</v>
      </c>
      <c r="L1454" s="59">
        <f t="shared" ca="1" si="113"/>
        <v>45960</v>
      </c>
      <c r="M1454" s="30">
        <f t="shared" ca="1" si="114"/>
        <v>0.13223379629629628</v>
      </c>
      <c r="N1454" s="31"/>
      <c r="O1454" s="31">
        <v>50</v>
      </c>
      <c r="P1454" s="29">
        <v>40</v>
      </c>
      <c r="Q1454" s="29">
        <v>60</v>
      </c>
    </row>
    <row r="1455" spans="1:17" x14ac:dyDescent="0.35">
      <c r="A1455" s="26">
        <v>40000002682</v>
      </c>
      <c r="B1455" s="31">
        <v>1</v>
      </c>
      <c r="C1455" s="29" t="str">
        <f>LOOKUP(A1455,'QALS - Inspection Lot Record'!$A$2:$A$361,'QALS - Inspection Lot Record'!$O$2:$O$361)</f>
        <v>Aspirin Tablets (500 MG)</v>
      </c>
      <c r="D1455" s="31">
        <v>60</v>
      </c>
      <c r="E1455" s="29" t="s">
        <v>405</v>
      </c>
      <c r="F1455" s="29" t="str">
        <f>LOOKUP(A1455,'QALS - Inspection Lot Record'!A:A,'QALS - Inspection Lot Record'!G:G)</f>
        <v>YA284176</v>
      </c>
      <c r="G1455" s="59">
        <f ca="1">LOOKUP(A1455,'QALS - Inspection Lot Record'!A:A,'QALS - Inspection Lot Record'!E:E)</f>
        <v>45960</v>
      </c>
      <c r="H1455" s="34" t="str">
        <f t="shared" si="115"/>
        <v>A</v>
      </c>
      <c r="I1455" s="29" t="str">
        <f t="shared" si="111"/>
        <v>YA284176</v>
      </c>
      <c r="J1455" s="59">
        <f t="shared" ca="1" si="112"/>
        <v>45960</v>
      </c>
      <c r="K1455" s="30">
        <f ca="1">LOOKUP(A1455,'QALS - Inspection Lot Record'!A:A,'QALS - Inspection Lot Record'!I:I)</f>
        <v>9.9155092592592586E-2</v>
      </c>
      <c r="L1455" s="59">
        <f t="shared" ca="1" si="113"/>
        <v>45960</v>
      </c>
      <c r="M1455" s="30">
        <f t="shared" ca="1" si="114"/>
        <v>0.11744212962962962</v>
      </c>
      <c r="N1455" s="31"/>
      <c r="O1455" s="31">
        <v>77.5</v>
      </c>
      <c r="P1455" s="29">
        <v>70</v>
      </c>
      <c r="Q1455" s="29">
        <v>85</v>
      </c>
    </row>
    <row r="1456" spans="1:17" x14ac:dyDescent="0.35">
      <c r="A1456" s="26">
        <v>40000002682</v>
      </c>
      <c r="B1456" s="31">
        <v>1</v>
      </c>
      <c r="C1456" s="29" t="str">
        <f>LOOKUP(A1456,'QALS - Inspection Lot Record'!$A$2:$A$361,'QALS - Inspection Lot Record'!$O$2:$O$361)</f>
        <v>Aspirin Tablets (500 MG)</v>
      </c>
      <c r="D1456" s="31">
        <v>70</v>
      </c>
      <c r="E1456" s="29" t="s">
        <v>406</v>
      </c>
      <c r="F1456" s="29" t="str">
        <f>LOOKUP(A1456,'QALS - Inspection Lot Record'!A:A,'QALS - Inspection Lot Record'!G:G)</f>
        <v>YA284176</v>
      </c>
      <c r="G1456" s="59">
        <f ca="1">LOOKUP(A1456,'QALS - Inspection Lot Record'!A:A,'QALS - Inspection Lot Record'!E:E)</f>
        <v>45960</v>
      </c>
      <c r="H1456" s="34" t="str">
        <f t="shared" si="115"/>
        <v>A</v>
      </c>
      <c r="I1456" s="29" t="str">
        <f t="shared" si="111"/>
        <v>YA284176</v>
      </c>
      <c r="J1456" s="59">
        <f t="shared" ca="1" si="112"/>
        <v>45960</v>
      </c>
      <c r="K1456" s="30">
        <f ca="1">LOOKUP(A1456,'QALS - Inspection Lot Record'!A:A,'QALS - Inspection Lot Record'!I:I)</f>
        <v>9.9155092592592586E-2</v>
      </c>
      <c r="L1456" s="59">
        <f t="shared" ca="1" si="113"/>
        <v>45960</v>
      </c>
      <c r="M1456" s="30">
        <f t="shared" ca="1" si="114"/>
        <v>0.1336111111111111</v>
      </c>
      <c r="N1456" s="31"/>
      <c r="O1456" s="31">
        <v>85</v>
      </c>
      <c r="P1456" s="29">
        <v>80</v>
      </c>
      <c r="Q1456" s="29">
        <v>90</v>
      </c>
    </row>
    <row r="1457" spans="1:17" x14ac:dyDescent="0.35">
      <c r="A1457" s="26">
        <v>40000002682</v>
      </c>
      <c r="B1457" s="31">
        <v>1</v>
      </c>
      <c r="C1457" s="29" t="str">
        <f>LOOKUP(A1457,'QALS - Inspection Lot Record'!$A$2:$A$361,'QALS - Inspection Lot Record'!$O$2:$O$361)</f>
        <v>Aspirin Tablets (500 MG)</v>
      </c>
      <c r="D1457" s="31">
        <v>80</v>
      </c>
      <c r="E1457" s="29" t="s">
        <v>407</v>
      </c>
      <c r="F1457" s="29" t="str">
        <f>LOOKUP(A1457,'QALS - Inspection Lot Record'!A:A,'QALS - Inspection Lot Record'!G:G)</f>
        <v>YA284176</v>
      </c>
      <c r="G1457" s="59">
        <f ca="1">LOOKUP(A1457,'QALS - Inspection Lot Record'!A:A,'QALS - Inspection Lot Record'!E:E)</f>
        <v>45960</v>
      </c>
      <c r="H1457" s="34" t="str">
        <f t="shared" si="115"/>
        <v>R</v>
      </c>
      <c r="I1457" s="29" t="str">
        <f t="shared" si="111"/>
        <v>YA284176</v>
      </c>
      <c r="J1457" s="59">
        <f t="shared" ca="1" si="112"/>
        <v>45960</v>
      </c>
      <c r="K1457" s="30">
        <f ca="1">LOOKUP(A1457,'QALS - Inspection Lot Record'!A:A,'QALS - Inspection Lot Record'!I:I)</f>
        <v>9.9155092592592586E-2</v>
      </c>
      <c r="L1457" s="59">
        <f t="shared" ca="1" si="113"/>
        <v>45960</v>
      </c>
      <c r="M1457" s="30">
        <f t="shared" ca="1" si="114"/>
        <v>0.13039351851851852</v>
      </c>
      <c r="N1457" s="31"/>
      <c r="O1457" s="31">
        <v>21.6</v>
      </c>
      <c r="P1457" s="29">
        <v>23</v>
      </c>
      <c r="Q1457" s="29">
        <v>28</v>
      </c>
    </row>
    <row r="1458" spans="1:17" x14ac:dyDescent="0.35">
      <c r="A1458" s="26">
        <v>40000002683</v>
      </c>
      <c r="B1458" s="27">
        <v>1</v>
      </c>
      <c r="C1458" s="29" t="str">
        <f>LOOKUP(A1458,'QALS - Inspection Lot Record'!$A$2:$A$361,'QALS - Inspection Lot Record'!$O$2:$O$361)</f>
        <v>Ibuprofen Tablets (100 MG)</v>
      </c>
      <c r="D1458" s="27">
        <v>10</v>
      </c>
      <c r="E1458" s="26" t="s">
        <v>399</v>
      </c>
      <c r="F1458" s="29" t="str">
        <f>LOOKUP(A1458,'QALS - Inspection Lot Record'!A:A,'QALS - Inspection Lot Record'!G:G)</f>
        <v>TP397880</v>
      </c>
      <c r="G1458" s="59">
        <f ca="1">LOOKUP(A1458,'QALS - Inspection Lot Record'!A:A,'QALS - Inspection Lot Record'!E:E)</f>
        <v>45961</v>
      </c>
      <c r="H1458" s="34" t="str">
        <f t="shared" si="115"/>
        <v>R</v>
      </c>
      <c r="I1458" s="29" t="str">
        <f t="shared" si="111"/>
        <v>TP397880</v>
      </c>
      <c r="J1458" s="59">
        <f t="shared" ca="1" si="112"/>
        <v>45961</v>
      </c>
      <c r="K1458" s="30">
        <f ca="1">LOOKUP(A1458,'QALS - Inspection Lot Record'!A:A,'QALS - Inspection Lot Record'!I:I)</f>
        <v>0.6136342592592593</v>
      </c>
      <c r="L1458" s="59">
        <f t="shared" ca="1" si="113"/>
        <v>45961</v>
      </c>
      <c r="M1458" s="30">
        <f t="shared" ca="1" si="114"/>
        <v>0.63401620370370371</v>
      </c>
      <c r="N1458" s="31"/>
      <c r="O1458" s="31">
        <v>93.5</v>
      </c>
      <c r="P1458" s="29">
        <v>95</v>
      </c>
      <c r="Q1458" s="29">
        <v>102</v>
      </c>
    </row>
    <row r="1459" spans="1:17" x14ac:dyDescent="0.35">
      <c r="A1459" s="26">
        <v>40000002683</v>
      </c>
      <c r="B1459" s="27">
        <v>1</v>
      </c>
      <c r="C1459" s="29" t="str">
        <f>LOOKUP(A1459,'QALS - Inspection Lot Record'!$A$2:$A$361,'QALS - Inspection Lot Record'!$O$2:$O$361)</f>
        <v>Ibuprofen Tablets (100 MG)</v>
      </c>
      <c r="D1459" s="31">
        <v>20</v>
      </c>
      <c r="E1459" s="29" t="s">
        <v>400</v>
      </c>
      <c r="F1459" s="29" t="str">
        <f>LOOKUP(A1459,'QALS - Inspection Lot Record'!A:A,'QALS - Inspection Lot Record'!G:G)</f>
        <v>TP397880</v>
      </c>
      <c r="G1459" s="59">
        <f ca="1">LOOKUP(A1459,'QALS - Inspection Lot Record'!A:A,'QALS - Inspection Lot Record'!E:E)</f>
        <v>45961</v>
      </c>
      <c r="H1459" s="34" t="str">
        <f t="shared" si="115"/>
        <v>A</v>
      </c>
      <c r="I1459" s="29" t="str">
        <f t="shared" si="111"/>
        <v>TP397880</v>
      </c>
      <c r="J1459" s="59">
        <f t="shared" ca="1" si="112"/>
        <v>45961</v>
      </c>
      <c r="K1459" s="30">
        <f ca="1">LOOKUP(A1459,'QALS - Inspection Lot Record'!A:A,'QALS - Inspection Lot Record'!I:I)</f>
        <v>0.6136342592592593</v>
      </c>
      <c r="L1459" s="59">
        <f t="shared" ca="1" si="113"/>
        <v>45961</v>
      </c>
      <c r="M1459" s="30">
        <f t="shared" ca="1" si="114"/>
        <v>0.63572916666666668</v>
      </c>
      <c r="N1459" s="31"/>
      <c r="O1459" s="31">
        <v>7.25</v>
      </c>
      <c r="P1459" s="29">
        <v>3.5</v>
      </c>
      <c r="Q1459" s="29">
        <v>11</v>
      </c>
    </row>
    <row r="1460" spans="1:17" x14ac:dyDescent="0.35">
      <c r="A1460" s="26">
        <v>40000002683</v>
      </c>
      <c r="B1460" s="31">
        <v>1</v>
      </c>
      <c r="C1460" s="29" t="str">
        <f>LOOKUP(A1460,'QALS - Inspection Lot Record'!$A$2:$A$361,'QALS - Inspection Lot Record'!$O$2:$O$361)</f>
        <v>Ibuprofen Tablets (100 MG)</v>
      </c>
      <c r="D1460" s="31">
        <v>30</v>
      </c>
      <c r="E1460" s="29" t="s">
        <v>401</v>
      </c>
      <c r="F1460" s="29" t="str">
        <f>LOOKUP(A1460,'QALS - Inspection Lot Record'!A:A,'QALS - Inspection Lot Record'!G:G)</f>
        <v>TP397880</v>
      </c>
      <c r="G1460" s="59">
        <f ca="1">LOOKUP(A1460,'QALS - Inspection Lot Record'!A:A,'QALS - Inspection Lot Record'!E:E)</f>
        <v>45961</v>
      </c>
      <c r="H1460" s="34" t="str">
        <f t="shared" si="115"/>
        <v>A</v>
      </c>
      <c r="I1460" s="29" t="str">
        <f t="shared" si="111"/>
        <v>TP397880</v>
      </c>
      <c r="J1460" s="59">
        <f t="shared" ca="1" si="112"/>
        <v>45961</v>
      </c>
      <c r="K1460" s="30">
        <f ca="1">LOOKUP(A1460,'QALS - Inspection Lot Record'!A:A,'QALS - Inspection Lot Record'!I:I)</f>
        <v>0.6136342592592593</v>
      </c>
      <c r="L1460" s="59">
        <f t="shared" ca="1" si="113"/>
        <v>45961</v>
      </c>
      <c r="M1460" s="30">
        <f t="shared" ca="1" si="114"/>
        <v>0.63935185185185184</v>
      </c>
      <c r="N1460" s="11" t="s">
        <v>402</v>
      </c>
      <c r="O1460" s="31"/>
      <c r="P1460" s="29"/>
      <c r="Q1460" s="29"/>
    </row>
    <row r="1461" spans="1:17" x14ac:dyDescent="0.35">
      <c r="A1461" s="26">
        <v>40000002683</v>
      </c>
      <c r="B1461" s="31">
        <v>1</v>
      </c>
      <c r="C1461" s="29" t="str">
        <f>LOOKUP(A1461,'QALS - Inspection Lot Record'!$A$2:$A$361,'QALS - Inspection Lot Record'!$O$2:$O$361)</f>
        <v>Ibuprofen Tablets (100 MG)</v>
      </c>
      <c r="D1461" s="31">
        <v>40</v>
      </c>
      <c r="E1461" s="29" t="s">
        <v>403</v>
      </c>
      <c r="F1461" s="29" t="str">
        <f>LOOKUP(A1461,'QALS - Inspection Lot Record'!A:A,'QALS - Inspection Lot Record'!G:G)</f>
        <v>TP397880</v>
      </c>
      <c r="G1461" s="59">
        <f ca="1">LOOKUP(A1461,'QALS - Inspection Lot Record'!A:A,'QALS - Inspection Lot Record'!E:E)</f>
        <v>45961</v>
      </c>
      <c r="H1461" s="34" t="str">
        <f t="shared" si="115"/>
        <v>A</v>
      </c>
      <c r="I1461" s="29" t="str">
        <f t="shared" si="111"/>
        <v>TP397880</v>
      </c>
      <c r="J1461" s="59">
        <f t="shared" ca="1" si="112"/>
        <v>45961</v>
      </c>
      <c r="K1461" s="30">
        <f ca="1">LOOKUP(A1461,'QALS - Inspection Lot Record'!A:A,'QALS - Inspection Lot Record'!I:I)</f>
        <v>0.6136342592592593</v>
      </c>
      <c r="L1461" s="59">
        <f t="shared" ca="1" si="113"/>
        <v>45961</v>
      </c>
      <c r="M1461" s="30">
        <f t="shared" ca="1" si="114"/>
        <v>0.6331944444444445</v>
      </c>
      <c r="N1461" s="31"/>
      <c r="O1461" s="31">
        <v>0.5</v>
      </c>
      <c r="P1461" s="29">
        <v>0</v>
      </c>
      <c r="Q1461" s="29">
        <v>1</v>
      </c>
    </row>
    <row r="1462" spans="1:17" x14ac:dyDescent="0.35">
      <c r="A1462" s="26">
        <v>40000002683</v>
      </c>
      <c r="B1462" s="31">
        <v>1</v>
      </c>
      <c r="C1462" s="29" t="str">
        <f>LOOKUP(A1462,'QALS - Inspection Lot Record'!$A$2:$A$361,'QALS - Inspection Lot Record'!$O$2:$O$361)</f>
        <v>Ibuprofen Tablets (100 MG)</v>
      </c>
      <c r="D1462" s="31">
        <v>50</v>
      </c>
      <c r="E1462" s="29" t="s">
        <v>404</v>
      </c>
      <c r="F1462" s="29" t="str">
        <f>LOOKUP(A1462,'QALS - Inspection Lot Record'!A:A,'QALS - Inspection Lot Record'!G:G)</f>
        <v>TP397880</v>
      </c>
      <c r="G1462" s="59">
        <f ca="1">LOOKUP(A1462,'QALS - Inspection Lot Record'!A:A,'QALS - Inspection Lot Record'!E:E)</f>
        <v>45961</v>
      </c>
      <c r="H1462" s="34" t="str">
        <f t="shared" si="115"/>
        <v>A</v>
      </c>
      <c r="I1462" s="29" t="str">
        <f t="shared" si="111"/>
        <v>TP397880</v>
      </c>
      <c r="J1462" s="59">
        <f t="shared" ca="1" si="112"/>
        <v>45961</v>
      </c>
      <c r="K1462" s="30">
        <f ca="1">LOOKUP(A1462,'QALS - Inspection Lot Record'!A:A,'QALS - Inspection Lot Record'!I:I)</f>
        <v>0.6136342592592593</v>
      </c>
      <c r="L1462" s="59">
        <f t="shared" ca="1" si="113"/>
        <v>45961</v>
      </c>
      <c r="M1462" s="30">
        <f t="shared" ca="1" si="114"/>
        <v>0.64122685185185191</v>
      </c>
      <c r="N1462" s="31"/>
      <c r="O1462" s="31">
        <v>50</v>
      </c>
      <c r="P1462" s="29">
        <v>40</v>
      </c>
      <c r="Q1462" s="29">
        <v>60</v>
      </c>
    </row>
    <row r="1463" spans="1:17" x14ac:dyDescent="0.35">
      <c r="A1463" s="26">
        <v>40000002683</v>
      </c>
      <c r="B1463" s="31">
        <v>1</v>
      </c>
      <c r="C1463" s="29" t="str">
        <f>LOOKUP(A1463,'QALS - Inspection Lot Record'!$A$2:$A$361,'QALS - Inspection Lot Record'!$O$2:$O$361)</f>
        <v>Ibuprofen Tablets (100 MG)</v>
      </c>
      <c r="D1463" s="31">
        <v>60</v>
      </c>
      <c r="E1463" s="29" t="s">
        <v>405</v>
      </c>
      <c r="F1463" s="29" t="str">
        <f>LOOKUP(A1463,'QALS - Inspection Lot Record'!A:A,'QALS - Inspection Lot Record'!G:G)</f>
        <v>TP397880</v>
      </c>
      <c r="G1463" s="59">
        <f ca="1">LOOKUP(A1463,'QALS - Inspection Lot Record'!A:A,'QALS - Inspection Lot Record'!E:E)</f>
        <v>45961</v>
      </c>
      <c r="H1463" s="34" t="str">
        <f t="shared" si="115"/>
        <v>R</v>
      </c>
      <c r="I1463" s="29" t="str">
        <f t="shared" si="111"/>
        <v>TP397880</v>
      </c>
      <c r="J1463" s="59">
        <f t="shared" ca="1" si="112"/>
        <v>45961</v>
      </c>
      <c r="K1463" s="30">
        <f ca="1">LOOKUP(A1463,'QALS - Inspection Lot Record'!A:A,'QALS - Inspection Lot Record'!I:I)</f>
        <v>0.6136342592592593</v>
      </c>
      <c r="L1463" s="59">
        <f t="shared" ca="1" si="113"/>
        <v>45961</v>
      </c>
      <c r="M1463" s="30">
        <f t="shared" ca="1" si="114"/>
        <v>0.64186342592592593</v>
      </c>
      <c r="N1463" s="31"/>
      <c r="O1463" s="31">
        <v>68.599999999999994</v>
      </c>
      <c r="P1463" s="29">
        <v>70</v>
      </c>
      <c r="Q1463" s="29">
        <v>85</v>
      </c>
    </row>
    <row r="1464" spans="1:17" x14ac:dyDescent="0.35">
      <c r="A1464" s="26">
        <v>40000002683</v>
      </c>
      <c r="B1464" s="31">
        <v>1</v>
      </c>
      <c r="C1464" s="29" t="str">
        <f>LOOKUP(A1464,'QALS - Inspection Lot Record'!$A$2:$A$361,'QALS - Inspection Lot Record'!$O$2:$O$361)</f>
        <v>Ibuprofen Tablets (100 MG)</v>
      </c>
      <c r="D1464" s="31">
        <v>70</v>
      </c>
      <c r="E1464" s="29" t="s">
        <v>406</v>
      </c>
      <c r="F1464" s="29" t="str">
        <f>LOOKUP(A1464,'QALS - Inspection Lot Record'!A:A,'QALS - Inspection Lot Record'!G:G)</f>
        <v>TP397880</v>
      </c>
      <c r="G1464" s="59">
        <f ca="1">LOOKUP(A1464,'QALS - Inspection Lot Record'!A:A,'QALS - Inspection Lot Record'!E:E)</f>
        <v>45961</v>
      </c>
      <c r="H1464" s="34" t="str">
        <f t="shared" si="115"/>
        <v>R</v>
      </c>
      <c r="I1464" s="29" t="str">
        <f t="shared" si="111"/>
        <v>TP397880</v>
      </c>
      <c r="J1464" s="59">
        <f t="shared" ca="1" si="112"/>
        <v>45961</v>
      </c>
      <c r="K1464" s="30">
        <f ca="1">LOOKUP(A1464,'QALS - Inspection Lot Record'!A:A,'QALS - Inspection Lot Record'!I:I)</f>
        <v>0.6136342592592593</v>
      </c>
      <c r="L1464" s="59">
        <f t="shared" ca="1" si="113"/>
        <v>45961</v>
      </c>
      <c r="M1464" s="30">
        <f t="shared" ca="1" si="114"/>
        <v>0.64263888888888898</v>
      </c>
      <c r="N1464" s="31"/>
      <c r="O1464" s="31">
        <v>78.400000000000006</v>
      </c>
      <c r="P1464" s="29">
        <v>80</v>
      </c>
      <c r="Q1464" s="29">
        <v>90</v>
      </c>
    </row>
    <row r="1465" spans="1:17" x14ac:dyDescent="0.35">
      <c r="A1465" s="26">
        <v>40000002683</v>
      </c>
      <c r="B1465" s="31">
        <v>1</v>
      </c>
      <c r="C1465" s="29" t="str">
        <f>LOOKUP(A1465,'QALS - Inspection Lot Record'!$A$2:$A$361,'QALS - Inspection Lot Record'!$O$2:$O$361)</f>
        <v>Ibuprofen Tablets (100 MG)</v>
      </c>
      <c r="D1465" s="31">
        <v>80</v>
      </c>
      <c r="E1465" s="29" t="s">
        <v>407</v>
      </c>
      <c r="F1465" s="29" t="str">
        <f>LOOKUP(A1465,'QALS - Inspection Lot Record'!A:A,'QALS - Inspection Lot Record'!G:G)</f>
        <v>TP397880</v>
      </c>
      <c r="G1465" s="59">
        <f ca="1">LOOKUP(A1465,'QALS - Inspection Lot Record'!A:A,'QALS - Inspection Lot Record'!E:E)</f>
        <v>45961</v>
      </c>
      <c r="H1465" s="34" t="str">
        <f t="shared" si="115"/>
        <v>A</v>
      </c>
      <c r="I1465" s="29" t="str">
        <f t="shared" si="111"/>
        <v>TP397880</v>
      </c>
      <c r="J1465" s="59">
        <f t="shared" ca="1" si="112"/>
        <v>45961</v>
      </c>
      <c r="K1465" s="30">
        <f ca="1">LOOKUP(A1465,'QALS - Inspection Lot Record'!A:A,'QALS - Inspection Lot Record'!I:I)</f>
        <v>0.6136342592592593</v>
      </c>
      <c r="L1465" s="59">
        <f t="shared" ca="1" si="113"/>
        <v>45961</v>
      </c>
      <c r="M1465" s="30">
        <f t="shared" ca="1" si="114"/>
        <v>0.63306712962962963</v>
      </c>
      <c r="N1465" s="31"/>
      <c r="O1465" s="31">
        <v>23.8</v>
      </c>
      <c r="P1465" s="29">
        <v>23</v>
      </c>
      <c r="Q1465" s="29">
        <v>25</v>
      </c>
    </row>
    <row r="1466" spans="1:17" x14ac:dyDescent="0.35">
      <c r="A1466" s="26">
        <v>40000002684</v>
      </c>
      <c r="B1466" s="27">
        <v>1</v>
      </c>
      <c r="C1466" s="29" t="str">
        <f>LOOKUP(A1466,'QALS - Inspection Lot Record'!$A$2:$A$361,'QALS - Inspection Lot Record'!$O$2:$O$361)</f>
        <v>Metformin Tablets (100 MG)</v>
      </c>
      <c r="D1466" s="27">
        <v>10</v>
      </c>
      <c r="E1466" s="26" t="s">
        <v>399</v>
      </c>
      <c r="F1466" s="29" t="str">
        <f>LOOKUP(A1466,'QALS - Inspection Lot Record'!A:A,'QALS - Inspection Lot Record'!G:G)</f>
        <v>GC197258</v>
      </c>
      <c r="G1466" s="59">
        <f ca="1">LOOKUP(A1466,'QALS - Inspection Lot Record'!A:A,'QALS - Inspection Lot Record'!E:E)</f>
        <v>45961</v>
      </c>
      <c r="H1466" s="34" t="str">
        <f t="shared" si="115"/>
        <v>R</v>
      </c>
      <c r="I1466" s="29" t="str">
        <f t="shared" si="111"/>
        <v>GC197258</v>
      </c>
      <c r="J1466" s="59">
        <f t="shared" ca="1" si="112"/>
        <v>45961</v>
      </c>
      <c r="K1466" s="30">
        <f ca="1">LOOKUP(A1466,'QALS - Inspection Lot Record'!A:A,'QALS - Inspection Lot Record'!I:I)</f>
        <v>0.18839120370370371</v>
      </c>
      <c r="L1466" s="59">
        <f t="shared" ca="1" si="113"/>
        <v>45961</v>
      </c>
      <c r="M1466" s="30">
        <f t="shared" ca="1" si="114"/>
        <v>0.21002314814814815</v>
      </c>
      <c r="N1466" s="31"/>
      <c r="O1466" s="31">
        <v>93.2</v>
      </c>
      <c r="P1466" s="29">
        <v>95</v>
      </c>
      <c r="Q1466" s="29">
        <v>102</v>
      </c>
    </row>
    <row r="1467" spans="1:17" x14ac:dyDescent="0.35">
      <c r="A1467" s="26">
        <v>40000002684</v>
      </c>
      <c r="B1467" s="27">
        <v>1</v>
      </c>
      <c r="C1467" s="29" t="str">
        <f>LOOKUP(A1467,'QALS - Inspection Lot Record'!$A$2:$A$361,'QALS - Inspection Lot Record'!$O$2:$O$361)</f>
        <v>Metformin Tablets (100 MG)</v>
      </c>
      <c r="D1467" s="31">
        <v>20</v>
      </c>
      <c r="E1467" s="29" t="s">
        <v>400</v>
      </c>
      <c r="F1467" s="29" t="str">
        <f>LOOKUP(A1467,'QALS - Inspection Lot Record'!A:A,'QALS - Inspection Lot Record'!G:G)</f>
        <v>GC197258</v>
      </c>
      <c r="G1467" s="59">
        <f ca="1">LOOKUP(A1467,'QALS - Inspection Lot Record'!A:A,'QALS - Inspection Lot Record'!E:E)</f>
        <v>45961</v>
      </c>
      <c r="H1467" s="34" t="str">
        <f t="shared" si="115"/>
        <v>A</v>
      </c>
      <c r="I1467" s="29" t="str">
        <f t="shared" si="111"/>
        <v>GC197258</v>
      </c>
      <c r="J1467" s="59">
        <f t="shared" ca="1" si="112"/>
        <v>45961</v>
      </c>
      <c r="K1467" s="30">
        <f ca="1">LOOKUP(A1467,'QALS - Inspection Lot Record'!A:A,'QALS - Inspection Lot Record'!I:I)</f>
        <v>0.18839120370370371</v>
      </c>
      <c r="L1467" s="59">
        <f t="shared" ca="1" si="113"/>
        <v>45961</v>
      </c>
      <c r="M1467" s="30">
        <f t="shared" ca="1" si="114"/>
        <v>0.20946759259259259</v>
      </c>
      <c r="N1467" s="31"/>
      <c r="O1467" s="31">
        <v>7.25</v>
      </c>
      <c r="P1467" s="29">
        <v>3.5</v>
      </c>
      <c r="Q1467" s="29">
        <v>11</v>
      </c>
    </row>
    <row r="1468" spans="1:17" x14ac:dyDescent="0.35">
      <c r="A1468" s="26">
        <v>40000002684</v>
      </c>
      <c r="B1468" s="31">
        <v>1</v>
      </c>
      <c r="C1468" s="29" t="str">
        <f>LOOKUP(A1468,'QALS - Inspection Lot Record'!$A$2:$A$361,'QALS - Inspection Lot Record'!$O$2:$O$361)</f>
        <v>Metformin Tablets (100 MG)</v>
      </c>
      <c r="D1468" s="31">
        <v>30</v>
      </c>
      <c r="E1468" s="29" t="s">
        <v>401</v>
      </c>
      <c r="F1468" s="29" t="str">
        <f>LOOKUP(A1468,'QALS - Inspection Lot Record'!A:A,'QALS - Inspection Lot Record'!G:G)</f>
        <v>GC197258</v>
      </c>
      <c r="G1468" s="59">
        <f ca="1">LOOKUP(A1468,'QALS - Inspection Lot Record'!A:A,'QALS - Inspection Lot Record'!E:E)</f>
        <v>45961</v>
      </c>
      <c r="H1468" s="34" t="str">
        <f t="shared" si="115"/>
        <v>A</v>
      </c>
      <c r="I1468" s="29" t="str">
        <f t="shared" si="111"/>
        <v>GC197258</v>
      </c>
      <c r="J1468" s="59">
        <f t="shared" ca="1" si="112"/>
        <v>45961</v>
      </c>
      <c r="K1468" s="30">
        <f ca="1">LOOKUP(A1468,'QALS - Inspection Lot Record'!A:A,'QALS - Inspection Lot Record'!I:I)</f>
        <v>0.18839120370370371</v>
      </c>
      <c r="L1468" s="59">
        <f t="shared" ca="1" si="113"/>
        <v>45961</v>
      </c>
      <c r="M1468" s="30">
        <f t="shared" ca="1" si="114"/>
        <v>0.21872685185185187</v>
      </c>
      <c r="N1468" s="11" t="s">
        <v>402</v>
      </c>
      <c r="O1468" s="31"/>
      <c r="P1468" s="29"/>
      <c r="Q1468" s="29"/>
    </row>
    <row r="1469" spans="1:17" x14ac:dyDescent="0.35">
      <c r="A1469" s="26">
        <v>40000002684</v>
      </c>
      <c r="B1469" s="31">
        <v>1</v>
      </c>
      <c r="C1469" s="29" t="str">
        <f>LOOKUP(A1469,'QALS - Inspection Lot Record'!$A$2:$A$361,'QALS - Inspection Lot Record'!$O$2:$O$361)</f>
        <v>Metformin Tablets (100 MG)</v>
      </c>
      <c r="D1469" s="31">
        <v>40</v>
      </c>
      <c r="E1469" s="29" t="s">
        <v>403</v>
      </c>
      <c r="F1469" s="29" t="str">
        <f>LOOKUP(A1469,'QALS - Inspection Lot Record'!A:A,'QALS - Inspection Lot Record'!G:G)</f>
        <v>GC197258</v>
      </c>
      <c r="G1469" s="59">
        <f ca="1">LOOKUP(A1469,'QALS - Inspection Lot Record'!A:A,'QALS - Inspection Lot Record'!E:E)</f>
        <v>45961</v>
      </c>
      <c r="H1469" s="34" t="str">
        <f t="shared" si="115"/>
        <v>A</v>
      </c>
      <c r="I1469" s="29" t="str">
        <f t="shared" si="111"/>
        <v>GC197258</v>
      </c>
      <c r="J1469" s="59">
        <f t="shared" ca="1" si="112"/>
        <v>45961</v>
      </c>
      <c r="K1469" s="30">
        <f ca="1">LOOKUP(A1469,'QALS - Inspection Lot Record'!A:A,'QALS - Inspection Lot Record'!I:I)</f>
        <v>0.18839120370370371</v>
      </c>
      <c r="L1469" s="59">
        <f t="shared" ca="1" si="113"/>
        <v>45961</v>
      </c>
      <c r="M1469" s="30">
        <f t="shared" ca="1" si="114"/>
        <v>0.21287037037037038</v>
      </c>
      <c r="N1469" s="31"/>
      <c r="O1469" s="31">
        <v>0.5</v>
      </c>
      <c r="P1469" s="29">
        <v>0</v>
      </c>
      <c r="Q1469" s="29">
        <v>1</v>
      </c>
    </row>
    <row r="1470" spans="1:17" x14ac:dyDescent="0.35">
      <c r="A1470" s="26">
        <v>40000002684</v>
      </c>
      <c r="B1470" s="31">
        <v>1</v>
      </c>
      <c r="C1470" s="29" t="str">
        <f>LOOKUP(A1470,'QALS - Inspection Lot Record'!$A$2:$A$361,'QALS - Inspection Lot Record'!$O$2:$O$361)</f>
        <v>Metformin Tablets (100 MG)</v>
      </c>
      <c r="D1470" s="31">
        <v>50</v>
      </c>
      <c r="E1470" s="29" t="s">
        <v>404</v>
      </c>
      <c r="F1470" s="29" t="str">
        <f>LOOKUP(A1470,'QALS - Inspection Lot Record'!A:A,'QALS - Inspection Lot Record'!G:G)</f>
        <v>GC197258</v>
      </c>
      <c r="G1470" s="59">
        <f ca="1">LOOKUP(A1470,'QALS - Inspection Lot Record'!A:A,'QALS - Inspection Lot Record'!E:E)</f>
        <v>45961</v>
      </c>
      <c r="H1470" s="34" t="str">
        <f t="shared" si="115"/>
        <v>R</v>
      </c>
      <c r="I1470" s="29" t="str">
        <f t="shared" si="111"/>
        <v>GC197258</v>
      </c>
      <c r="J1470" s="59">
        <f t="shared" ca="1" si="112"/>
        <v>45961</v>
      </c>
      <c r="K1470" s="30">
        <f ca="1">LOOKUP(A1470,'QALS - Inspection Lot Record'!A:A,'QALS - Inspection Lot Record'!I:I)</f>
        <v>0.18839120370370371</v>
      </c>
      <c r="L1470" s="59">
        <f t="shared" ca="1" si="113"/>
        <v>45961</v>
      </c>
      <c r="M1470" s="30">
        <f t="shared" ca="1" si="114"/>
        <v>0.21542824074074074</v>
      </c>
      <c r="N1470" s="31"/>
      <c r="O1470" s="31">
        <v>38.799999999999997</v>
      </c>
      <c r="P1470" s="29">
        <v>40</v>
      </c>
      <c r="Q1470" s="29">
        <v>60</v>
      </c>
    </row>
    <row r="1471" spans="1:17" x14ac:dyDescent="0.35">
      <c r="A1471" s="26">
        <v>40000002684</v>
      </c>
      <c r="B1471" s="31">
        <v>1</v>
      </c>
      <c r="C1471" s="29" t="str">
        <f>LOOKUP(A1471,'QALS - Inspection Lot Record'!$A$2:$A$361,'QALS - Inspection Lot Record'!$O$2:$O$361)</f>
        <v>Metformin Tablets (100 MG)</v>
      </c>
      <c r="D1471" s="31">
        <v>60</v>
      </c>
      <c r="E1471" s="29" t="s">
        <v>405</v>
      </c>
      <c r="F1471" s="29" t="str">
        <f>LOOKUP(A1471,'QALS - Inspection Lot Record'!A:A,'QALS - Inspection Lot Record'!G:G)</f>
        <v>GC197258</v>
      </c>
      <c r="G1471" s="59">
        <f ca="1">LOOKUP(A1471,'QALS - Inspection Lot Record'!A:A,'QALS - Inspection Lot Record'!E:E)</f>
        <v>45961</v>
      </c>
      <c r="H1471" s="34" t="str">
        <f t="shared" si="115"/>
        <v>R</v>
      </c>
      <c r="I1471" s="29" t="str">
        <f t="shared" si="111"/>
        <v>GC197258</v>
      </c>
      <c r="J1471" s="59">
        <f t="shared" ca="1" si="112"/>
        <v>45961</v>
      </c>
      <c r="K1471" s="30">
        <f ca="1">LOOKUP(A1471,'QALS - Inspection Lot Record'!A:A,'QALS - Inspection Lot Record'!I:I)</f>
        <v>0.18839120370370371</v>
      </c>
      <c r="L1471" s="59">
        <f t="shared" ca="1" si="113"/>
        <v>45961</v>
      </c>
      <c r="M1471" s="30">
        <f t="shared" ca="1" si="114"/>
        <v>0.22340277777777778</v>
      </c>
      <c r="N1471" s="31"/>
      <c r="O1471" s="31">
        <v>68</v>
      </c>
      <c r="P1471" s="29">
        <v>70</v>
      </c>
      <c r="Q1471" s="29">
        <v>85</v>
      </c>
    </row>
    <row r="1472" spans="1:17" x14ac:dyDescent="0.35">
      <c r="A1472" s="26">
        <v>40000002684</v>
      </c>
      <c r="B1472" s="31">
        <v>1</v>
      </c>
      <c r="C1472" s="29" t="str">
        <f>LOOKUP(A1472,'QALS - Inspection Lot Record'!$A$2:$A$361,'QALS - Inspection Lot Record'!$O$2:$O$361)</f>
        <v>Metformin Tablets (100 MG)</v>
      </c>
      <c r="D1472" s="31">
        <v>70</v>
      </c>
      <c r="E1472" s="29" t="s">
        <v>406</v>
      </c>
      <c r="F1472" s="29" t="str">
        <f>LOOKUP(A1472,'QALS - Inspection Lot Record'!A:A,'QALS - Inspection Lot Record'!G:G)</f>
        <v>GC197258</v>
      </c>
      <c r="G1472" s="59">
        <f ca="1">LOOKUP(A1472,'QALS - Inspection Lot Record'!A:A,'QALS - Inspection Lot Record'!E:E)</f>
        <v>45961</v>
      </c>
      <c r="H1472" s="34" t="str">
        <f t="shared" si="115"/>
        <v>R</v>
      </c>
      <c r="I1472" s="29" t="str">
        <f t="shared" si="111"/>
        <v>GC197258</v>
      </c>
      <c r="J1472" s="59">
        <f t="shared" ca="1" si="112"/>
        <v>45961</v>
      </c>
      <c r="K1472" s="30">
        <f ca="1">LOOKUP(A1472,'QALS - Inspection Lot Record'!A:A,'QALS - Inspection Lot Record'!I:I)</f>
        <v>0.18839120370370371</v>
      </c>
      <c r="L1472" s="59">
        <f t="shared" ca="1" si="113"/>
        <v>45961</v>
      </c>
      <c r="M1472" s="30">
        <f t="shared" ca="1" si="114"/>
        <v>0.20581018518518521</v>
      </c>
      <c r="N1472" s="31"/>
      <c r="O1472" s="31">
        <v>78.8</v>
      </c>
      <c r="P1472" s="29">
        <v>80</v>
      </c>
      <c r="Q1472" s="29">
        <v>90</v>
      </c>
    </row>
    <row r="1473" spans="1:17" x14ac:dyDescent="0.35">
      <c r="A1473" s="26">
        <v>40000002684</v>
      </c>
      <c r="B1473" s="31">
        <v>1</v>
      </c>
      <c r="C1473" s="29" t="str">
        <f>LOOKUP(A1473,'QALS - Inspection Lot Record'!$A$2:$A$361,'QALS - Inspection Lot Record'!$O$2:$O$361)</f>
        <v>Metformin Tablets (100 MG)</v>
      </c>
      <c r="D1473" s="31">
        <v>80</v>
      </c>
      <c r="E1473" s="29" t="s">
        <v>407</v>
      </c>
      <c r="F1473" s="29" t="str">
        <f>LOOKUP(A1473,'QALS - Inspection Lot Record'!A:A,'QALS - Inspection Lot Record'!G:G)</f>
        <v>GC197258</v>
      </c>
      <c r="G1473" s="59">
        <f ca="1">LOOKUP(A1473,'QALS - Inspection Lot Record'!A:A,'QALS - Inspection Lot Record'!E:E)</f>
        <v>45961</v>
      </c>
      <c r="H1473" s="34" t="str">
        <f t="shared" si="115"/>
        <v>A</v>
      </c>
      <c r="I1473" s="29" t="str">
        <f t="shared" si="111"/>
        <v>GC197258</v>
      </c>
      <c r="J1473" s="59">
        <f t="shared" ca="1" si="112"/>
        <v>45961</v>
      </c>
      <c r="K1473" s="30">
        <f ca="1">LOOKUP(A1473,'QALS - Inspection Lot Record'!A:A,'QALS - Inspection Lot Record'!I:I)</f>
        <v>0.18839120370370371</v>
      </c>
      <c r="L1473" s="59">
        <f t="shared" ca="1" si="113"/>
        <v>45961</v>
      </c>
      <c r="M1473" s="30">
        <f t="shared" ca="1" si="114"/>
        <v>0.21221064814814816</v>
      </c>
      <c r="N1473" s="31"/>
      <c r="O1473" s="31">
        <v>24</v>
      </c>
      <c r="P1473" s="29">
        <v>23</v>
      </c>
      <c r="Q1473" s="29">
        <v>25</v>
      </c>
    </row>
    <row r="1474" spans="1:17" x14ac:dyDescent="0.35">
      <c r="A1474" s="26">
        <v>40000002685</v>
      </c>
      <c r="B1474" s="27">
        <v>1</v>
      </c>
      <c r="C1474" s="29" t="str">
        <f>LOOKUP(A1474,'QALS - Inspection Lot Record'!$A$2:$A$361,'QALS - Inspection Lot Record'!$O$2:$O$361)</f>
        <v>Aspirin Tablets (500 MG)</v>
      </c>
      <c r="D1474" s="27">
        <v>10</v>
      </c>
      <c r="E1474" s="26" t="s">
        <v>399</v>
      </c>
      <c r="F1474" s="29" t="str">
        <f>LOOKUP(A1474,'QALS - Inspection Lot Record'!A:A,'QALS - Inspection Lot Record'!G:G)</f>
        <v>ZK384180</v>
      </c>
      <c r="G1474" s="59">
        <f ca="1">LOOKUP(A1474,'QALS - Inspection Lot Record'!A:A,'QALS - Inspection Lot Record'!E:E)</f>
        <v>45962</v>
      </c>
      <c r="H1474" s="34" t="str">
        <f t="shared" si="115"/>
        <v>A</v>
      </c>
      <c r="I1474" s="29" t="str">
        <f t="shared" ref="I1474:I1537" si="116">F1474</f>
        <v>ZK384180</v>
      </c>
      <c r="J1474" s="59">
        <f t="shared" ref="J1474:J1537" ca="1" si="117">G1474</f>
        <v>45962</v>
      </c>
      <c r="K1474" s="30">
        <f ca="1">LOOKUP(A1474,'QALS - Inspection Lot Record'!A:A,'QALS - Inspection Lot Record'!I:I)</f>
        <v>0.54193287037037041</v>
      </c>
      <c r="L1474" s="59">
        <f t="shared" ref="L1474:L1537" ca="1" si="118">G1474</f>
        <v>45962</v>
      </c>
      <c r="M1474" s="30">
        <f t="shared" ref="M1474:M1537" ca="1" si="119">K1474+TIME(0,RANDBETWEEN(25,50),RANDBETWEEN(0,59))</f>
        <v>0.56877314814814817</v>
      </c>
      <c r="N1474" s="31"/>
      <c r="O1474" s="31">
        <v>100</v>
      </c>
      <c r="P1474" s="29">
        <v>95</v>
      </c>
      <c r="Q1474" s="29">
        <v>105</v>
      </c>
    </row>
    <row r="1475" spans="1:17" x14ac:dyDescent="0.35">
      <c r="A1475" s="26">
        <v>40000002685</v>
      </c>
      <c r="B1475" s="27">
        <v>1</v>
      </c>
      <c r="C1475" s="29" t="str">
        <f>LOOKUP(A1475,'QALS - Inspection Lot Record'!$A$2:$A$361,'QALS - Inspection Lot Record'!$O$2:$O$361)</f>
        <v>Aspirin Tablets (500 MG)</v>
      </c>
      <c r="D1475" s="31">
        <v>20</v>
      </c>
      <c r="E1475" s="29" t="s">
        <v>400</v>
      </c>
      <c r="F1475" s="29" t="str">
        <f>LOOKUP(A1475,'QALS - Inspection Lot Record'!A:A,'QALS - Inspection Lot Record'!G:G)</f>
        <v>ZK384180</v>
      </c>
      <c r="G1475" s="59">
        <f ca="1">LOOKUP(A1475,'QALS - Inspection Lot Record'!A:A,'QALS - Inspection Lot Record'!E:E)</f>
        <v>45962</v>
      </c>
      <c r="H1475" s="34" t="str">
        <f t="shared" si="115"/>
        <v>A</v>
      </c>
      <c r="I1475" s="29" t="str">
        <f t="shared" si="116"/>
        <v>ZK384180</v>
      </c>
      <c r="J1475" s="59">
        <f t="shared" ca="1" si="117"/>
        <v>45962</v>
      </c>
      <c r="K1475" s="30">
        <f ca="1">LOOKUP(A1475,'QALS - Inspection Lot Record'!A:A,'QALS - Inspection Lot Record'!I:I)</f>
        <v>0.54193287037037041</v>
      </c>
      <c r="L1475" s="59">
        <f t="shared" ca="1" si="118"/>
        <v>45962</v>
      </c>
      <c r="M1475" s="30">
        <f t="shared" ca="1" si="119"/>
        <v>0.57246527777777778</v>
      </c>
      <c r="N1475" s="31"/>
      <c r="O1475" s="31">
        <v>7.25</v>
      </c>
      <c r="P1475" s="29">
        <v>3.5</v>
      </c>
      <c r="Q1475" s="29">
        <v>11</v>
      </c>
    </row>
    <row r="1476" spans="1:17" x14ac:dyDescent="0.35">
      <c r="A1476" s="26">
        <v>40000002685</v>
      </c>
      <c r="B1476" s="31">
        <v>1</v>
      </c>
      <c r="C1476" s="29" t="str">
        <f>LOOKUP(A1476,'QALS - Inspection Lot Record'!$A$2:$A$361,'QALS - Inspection Lot Record'!$O$2:$O$361)</f>
        <v>Aspirin Tablets (500 MG)</v>
      </c>
      <c r="D1476" s="31">
        <v>30</v>
      </c>
      <c r="E1476" s="29" t="s">
        <v>401</v>
      </c>
      <c r="F1476" s="29" t="str">
        <f>LOOKUP(A1476,'QALS - Inspection Lot Record'!A:A,'QALS - Inspection Lot Record'!G:G)</f>
        <v>ZK384180</v>
      </c>
      <c r="G1476" s="59">
        <f ca="1">LOOKUP(A1476,'QALS - Inspection Lot Record'!A:A,'QALS - Inspection Lot Record'!E:E)</f>
        <v>45962</v>
      </c>
      <c r="H1476" s="34" t="str">
        <f t="shared" si="115"/>
        <v>A</v>
      </c>
      <c r="I1476" s="29" t="str">
        <f t="shared" si="116"/>
        <v>ZK384180</v>
      </c>
      <c r="J1476" s="59">
        <f t="shared" ca="1" si="117"/>
        <v>45962</v>
      </c>
      <c r="K1476" s="30">
        <f ca="1">LOOKUP(A1476,'QALS - Inspection Lot Record'!A:A,'QALS - Inspection Lot Record'!I:I)</f>
        <v>0.54193287037037041</v>
      </c>
      <c r="L1476" s="59">
        <f t="shared" ca="1" si="118"/>
        <v>45962</v>
      </c>
      <c r="M1476" s="30">
        <f t="shared" ca="1" si="119"/>
        <v>0.56706018518518519</v>
      </c>
      <c r="N1476" s="11" t="s">
        <v>402</v>
      </c>
      <c r="O1476" s="31"/>
      <c r="P1476" s="29"/>
      <c r="Q1476" s="29"/>
    </row>
    <row r="1477" spans="1:17" x14ac:dyDescent="0.35">
      <c r="A1477" s="26">
        <v>40000002685</v>
      </c>
      <c r="B1477" s="31">
        <v>1</v>
      </c>
      <c r="C1477" s="29" t="str">
        <f>LOOKUP(A1477,'QALS - Inspection Lot Record'!$A$2:$A$361,'QALS - Inspection Lot Record'!$O$2:$O$361)</f>
        <v>Aspirin Tablets (500 MG)</v>
      </c>
      <c r="D1477" s="31">
        <v>40</v>
      </c>
      <c r="E1477" s="29" t="s">
        <v>403</v>
      </c>
      <c r="F1477" s="29" t="str">
        <f>LOOKUP(A1477,'QALS - Inspection Lot Record'!A:A,'QALS - Inspection Lot Record'!G:G)</f>
        <v>ZK384180</v>
      </c>
      <c r="G1477" s="59">
        <f ca="1">LOOKUP(A1477,'QALS - Inspection Lot Record'!A:A,'QALS - Inspection Lot Record'!E:E)</f>
        <v>45962</v>
      </c>
      <c r="H1477" s="34" t="str">
        <f t="shared" si="115"/>
        <v>A</v>
      </c>
      <c r="I1477" s="29" t="str">
        <f t="shared" si="116"/>
        <v>ZK384180</v>
      </c>
      <c r="J1477" s="59">
        <f t="shared" ca="1" si="117"/>
        <v>45962</v>
      </c>
      <c r="K1477" s="30">
        <f ca="1">LOOKUP(A1477,'QALS - Inspection Lot Record'!A:A,'QALS - Inspection Lot Record'!I:I)</f>
        <v>0.54193287037037041</v>
      </c>
      <c r="L1477" s="59">
        <f t="shared" ca="1" si="118"/>
        <v>45962</v>
      </c>
      <c r="M1477" s="30">
        <f t="shared" ca="1" si="119"/>
        <v>0.56515046296296301</v>
      </c>
      <c r="N1477" s="31"/>
      <c r="O1477" s="31">
        <v>0</v>
      </c>
      <c r="P1477" s="29">
        <v>0</v>
      </c>
      <c r="Q1477" s="29">
        <v>2.5</v>
      </c>
    </row>
    <row r="1478" spans="1:17" x14ac:dyDescent="0.35">
      <c r="A1478" s="26">
        <v>40000002685</v>
      </c>
      <c r="B1478" s="31">
        <v>1</v>
      </c>
      <c r="C1478" s="29" t="str">
        <f>LOOKUP(A1478,'QALS - Inspection Lot Record'!$A$2:$A$361,'QALS - Inspection Lot Record'!$O$2:$O$361)</f>
        <v>Aspirin Tablets (500 MG)</v>
      </c>
      <c r="D1478" s="31">
        <v>50</v>
      </c>
      <c r="E1478" s="29" t="s">
        <v>404</v>
      </c>
      <c r="F1478" s="29" t="str">
        <f>LOOKUP(A1478,'QALS - Inspection Lot Record'!A:A,'QALS - Inspection Lot Record'!G:G)</f>
        <v>ZK384180</v>
      </c>
      <c r="G1478" s="59">
        <f ca="1">LOOKUP(A1478,'QALS - Inspection Lot Record'!A:A,'QALS - Inspection Lot Record'!E:E)</f>
        <v>45962</v>
      </c>
      <c r="H1478" s="34" t="str">
        <f t="shared" si="115"/>
        <v>A</v>
      </c>
      <c r="I1478" s="29" t="str">
        <f t="shared" si="116"/>
        <v>ZK384180</v>
      </c>
      <c r="J1478" s="59">
        <f t="shared" ca="1" si="117"/>
        <v>45962</v>
      </c>
      <c r="K1478" s="30">
        <f ca="1">LOOKUP(A1478,'QALS - Inspection Lot Record'!A:A,'QALS - Inspection Lot Record'!I:I)</f>
        <v>0.54193287037037041</v>
      </c>
      <c r="L1478" s="59">
        <f t="shared" ca="1" si="118"/>
        <v>45962</v>
      </c>
      <c r="M1478" s="30">
        <f t="shared" ca="1" si="119"/>
        <v>0.57329861111111113</v>
      </c>
      <c r="N1478" s="31"/>
      <c r="O1478" s="31">
        <v>50</v>
      </c>
      <c r="P1478" s="29">
        <v>40</v>
      </c>
      <c r="Q1478" s="29">
        <v>60</v>
      </c>
    </row>
    <row r="1479" spans="1:17" x14ac:dyDescent="0.35">
      <c r="A1479" s="26">
        <v>40000002685</v>
      </c>
      <c r="B1479" s="31">
        <v>1</v>
      </c>
      <c r="C1479" s="29" t="str">
        <f>LOOKUP(A1479,'QALS - Inspection Lot Record'!$A$2:$A$361,'QALS - Inspection Lot Record'!$O$2:$O$361)</f>
        <v>Aspirin Tablets (500 MG)</v>
      </c>
      <c r="D1479" s="31">
        <v>60</v>
      </c>
      <c r="E1479" s="29" t="s">
        <v>405</v>
      </c>
      <c r="F1479" s="29" t="str">
        <f>LOOKUP(A1479,'QALS - Inspection Lot Record'!A:A,'QALS - Inspection Lot Record'!G:G)</f>
        <v>ZK384180</v>
      </c>
      <c r="G1479" s="59">
        <f ca="1">LOOKUP(A1479,'QALS - Inspection Lot Record'!A:A,'QALS - Inspection Lot Record'!E:E)</f>
        <v>45962</v>
      </c>
      <c r="H1479" s="34" t="str">
        <f t="shared" si="115"/>
        <v>R</v>
      </c>
      <c r="I1479" s="29" t="str">
        <f t="shared" si="116"/>
        <v>ZK384180</v>
      </c>
      <c r="J1479" s="59">
        <f t="shared" ca="1" si="117"/>
        <v>45962</v>
      </c>
      <c r="K1479" s="30">
        <f ca="1">LOOKUP(A1479,'QALS - Inspection Lot Record'!A:A,'QALS - Inspection Lot Record'!I:I)</f>
        <v>0.54193287037037041</v>
      </c>
      <c r="L1479" s="59">
        <f t="shared" ca="1" si="118"/>
        <v>45962</v>
      </c>
      <c r="M1479" s="30">
        <f t="shared" ca="1" si="119"/>
        <v>0.57646990740740744</v>
      </c>
      <c r="N1479" s="31"/>
      <c r="O1479" s="31">
        <v>68.099999999999994</v>
      </c>
      <c r="P1479" s="29">
        <v>70</v>
      </c>
      <c r="Q1479" s="29">
        <v>85</v>
      </c>
    </row>
    <row r="1480" spans="1:17" x14ac:dyDescent="0.35">
      <c r="A1480" s="26">
        <v>40000002685</v>
      </c>
      <c r="B1480" s="31">
        <v>1</v>
      </c>
      <c r="C1480" s="29" t="str">
        <f>LOOKUP(A1480,'QALS - Inspection Lot Record'!$A$2:$A$361,'QALS - Inspection Lot Record'!$O$2:$O$361)</f>
        <v>Aspirin Tablets (500 MG)</v>
      </c>
      <c r="D1480" s="31">
        <v>70</v>
      </c>
      <c r="E1480" s="29" t="s">
        <v>406</v>
      </c>
      <c r="F1480" s="29" t="str">
        <f>LOOKUP(A1480,'QALS - Inspection Lot Record'!A:A,'QALS - Inspection Lot Record'!G:G)</f>
        <v>ZK384180</v>
      </c>
      <c r="G1480" s="59">
        <f ca="1">LOOKUP(A1480,'QALS - Inspection Lot Record'!A:A,'QALS - Inspection Lot Record'!E:E)</f>
        <v>45962</v>
      </c>
      <c r="H1480" s="34" t="str">
        <f t="shared" si="115"/>
        <v>A</v>
      </c>
      <c r="I1480" s="29" t="str">
        <f t="shared" si="116"/>
        <v>ZK384180</v>
      </c>
      <c r="J1480" s="59">
        <f t="shared" ca="1" si="117"/>
        <v>45962</v>
      </c>
      <c r="K1480" s="30">
        <f ca="1">LOOKUP(A1480,'QALS - Inspection Lot Record'!A:A,'QALS - Inspection Lot Record'!I:I)</f>
        <v>0.54193287037037041</v>
      </c>
      <c r="L1480" s="59">
        <f t="shared" ca="1" si="118"/>
        <v>45962</v>
      </c>
      <c r="M1480" s="30">
        <f t="shared" ca="1" si="119"/>
        <v>0.57059027777777782</v>
      </c>
      <c r="N1480" s="31"/>
      <c r="O1480" s="31">
        <v>85</v>
      </c>
      <c r="P1480" s="29">
        <v>80</v>
      </c>
      <c r="Q1480" s="29">
        <v>90</v>
      </c>
    </row>
    <row r="1481" spans="1:17" x14ac:dyDescent="0.35">
      <c r="A1481" s="26">
        <v>40000002685</v>
      </c>
      <c r="B1481" s="31">
        <v>1</v>
      </c>
      <c r="C1481" s="29" t="str">
        <f>LOOKUP(A1481,'QALS - Inspection Lot Record'!$A$2:$A$361,'QALS - Inspection Lot Record'!$O$2:$O$361)</f>
        <v>Aspirin Tablets (500 MG)</v>
      </c>
      <c r="D1481" s="31">
        <v>80</v>
      </c>
      <c r="E1481" s="29" t="s">
        <v>407</v>
      </c>
      <c r="F1481" s="29" t="str">
        <f>LOOKUP(A1481,'QALS - Inspection Lot Record'!A:A,'QALS - Inspection Lot Record'!G:G)</f>
        <v>ZK384180</v>
      </c>
      <c r="G1481" s="59">
        <f ca="1">LOOKUP(A1481,'QALS - Inspection Lot Record'!A:A,'QALS - Inspection Lot Record'!E:E)</f>
        <v>45962</v>
      </c>
      <c r="H1481" s="34" t="str">
        <f t="shared" si="115"/>
        <v>A</v>
      </c>
      <c r="I1481" s="29" t="str">
        <f t="shared" si="116"/>
        <v>ZK384180</v>
      </c>
      <c r="J1481" s="59">
        <f t="shared" ca="1" si="117"/>
        <v>45962</v>
      </c>
      <c r="K1481" s="30">
        <f ca="1">LOOKUP(A1481,'QALS - Inspection Lot Record'!A:A,'QALS - Inspection Lot Record'!I:I)</f>
        <v>0.54193287037037041</v>
      </c>
      <c r="L1481" s="59">
        <f t="shared" ca="1" si="118"/>
        <v>45962</v>
      </c>
      <c r="M1481" s="30">
        <f t="shared" ca="1" si="119"/>
        <v>0.5598495370370371</v>
      </c>
      <c r="N1481" s="31"/>
      <c r="O1481" s="31">
        <v>25.5</v>
      </c>
      <c r="P1481" s="29">
        <v>23</v>
      </c>
      <c r="Q1481" s="29">
        <v>28</v>
      </c>
    </row>
    <row r="1482" spans="1:17" x14ac:dyDescent="0.35">
      <c r="A1482" s="26">
        <v>40000002686</v>
      </c>
      <c r="B1482" s="27">
        <v>1</v>
      </c>
      <c r="C1482" s="29" t="str">
        <f>LOOKUP(A1482,'QALS - Inspection Lot Record'!$A$2:$A$361,'QALS - Inspection Lot Record'!$O$2:$O$361)</f>
        <v>Ibuprofen Tablets (100 MG)</v>
      </c>
      <c r="D1482" s="27">
        <v>10</v>
      </c>
      <c r="E1482" s="26" t="s">
        <v>399</v>
      </c>
      <c r="F1482" s="29" t="str">
        <f>LOOKUP(A1482,'QALS - Inspection Lot Record'!A:A,'QALS - Inspection Lot Record'!G:G)</f>
        <v>GC197258</v>
      </c>
      <c r="G1482" s="59">
        <f ca="1">LOOKUP(A1482,'QALS - Inspection Lot Record'!A:A,'QALS - Inspection Lot Record'!E:E)</f>
        <v>45962</v>
      </c>
      <c r="H1482" s="34" t="str">
        <f t="shared" ref="H1482:H1545" si="120">IF(AND(P1482&lt;=O1482,O1482&lt;=Q1482),"A","R")</f>
        <v>A</v>
      </c>
      <c r="I1482" s="29" t="str">
        <f t="shared" si="116"/>
        <v>GC197258</v>
      </c>
      <c r="J1482" s="59">
        <f t="shared" ca="1" si="117"/>
        <v>45962</v>
      </c>
      <c r="K1482" s="30">
        <f ca="1">LOOKUP(A1482,'QALS - Inspection Lot Record'!A:A,'QALS - Inspection Lot Record'!I:I)</f>
        <v>0.23019675925925925</v>
      </c>
      <c r="L1482" s="59">
        <f t="shared" ca="1" si="118"/>
        <v>45962</v>
      </c>
      <c r="M1482" s="30">
        <f t="shared" ca="1" si="119"/>
        <v>0.25892361111111112</v>
      </c>
      <c r="N1482" s="31"/>
      <c r="O1482" s="31">
        <v>98.5</v>
      </c>
      <c r="P1482" s="29">
        <v>95</v>
      </c>
      <c r="Q1482" s="29">
        <v>102</v>
      </c>
    </row>
    <row r="1483" spans="1:17" x14ac:dyDescent="0.35">
      <c r="A1483" s="26">
        <v>40000002686</v>
      </c>
      <c r="B1483" s="27">
        <v>1</v>
      </c>
      <c r="C1483" s="29" t="str">
        <f>LOOKUP(A1483,'QALS - Inspection Lot Record'!$A$2:$A$361,'QALS - Inspection Lot Record'!$O$2:$O$361)</f>
        <v>Ibuprofen Tablets (100 MG)</v>
      </c>
      <c r="D1483" s="31">
        <v>20</v>
      </c>
      <c r="E1483" s="29" t="s">
        <v>400</v>
      </c>
      <c r="F1483" s="29" t="str">
        <f>LOOKUP(A1483,'QALS - Inspection Lot Record'!A:A,'QALS - Inspection Lot Record'!G:G)</f>
        <v>GC197258</v>
      </c>
      <c r="G1483" s="59">
        <f ca="1">LOOKUP(A1483,'QALS - Inspection Lot Record'!A:A,'QALS - Inspection Lot Record'!E:E)</f>
        <v>45962</v>
      </c>
      <c r="H1483" s="34" t="str">
        <f t="shared" si="120"/>
        <v>A</v>
      </c>
      <c r="I1483" s="29" t="str">
        <f t="shared" si="116"/>
        <v>GC197258</v>
      </c>
      <c r="J1483" s="59">
        <f t="shared" ca="1" si="117"/>
        <v>45962</v>
      </c>
      <c r="K1483" s="30">
        <f ca="1">LOOKUP(A1483,'QALS - Inspection Lot Record'!A:A,'QALS - Inspection Lot Record'!I:I)</f>
        <v>0.23019675925925925</v>
      </c>
      <c r="L1483" s="59">
        <f t="shared" ca="1" si="118"/>
        <v>45962</v>
      </c>
      <c r="M1483" s="30">
        <f t="shared" ca="1" si="119"/>
        <v>0.26554398148148151</v>
      </c>
      <c r="N1483" s="31"/>
      <c r="O1483" s="31">
        <v>7.25</v>
      </c>
      <c r="P1483" s="29">
        <v>3.5</v>
      </c>
      <c r="Q1483" s="29">
        <v>11</v>
      </c>
    </row>
    <row r="1484" spans="1:17" x14ac:dyDescent="0.35">
      <c r="A1484" s="26">
        <v>40000002686</v>
      </c>
      <c r="B1484" s="31">
        <v>1</v>
      </c>
      <c r="C1484" s="29" t="str">
        <f>LOOKUP(A1484,'QALS - Inspection Lot Record'!$A$2:$A$361,'QALS - Inspection Lot Record'!$O$2:$O$361)</f>
        <v>Ibuprofen Tablets (100 MG)</v>
      </c>
      <c r="D1484" s="31">
        <v>30</v>
      </c>
      <c r="E1484" s="29" t="s">
        <v>401</v>
      </c>
      <c r="F1484" s="29" t="str">
        <f>LOOKUP(A1484,'QALS - Inspection Lot Record'!A:A,'QALS - Inspection Lot Record'!G:G)</f>
        <v>GC197258</v>
      </c>
      <c r="G1484" s="59">
        <f ca="1">LOOKUP(A1484,'QALS - Inspection Lot Record'!A:A,'QALS - Inspection Lot Record'!E:E)</f>
        <v>45962</v>
      </c>
      <c r="H1484" s="34" t="str">
        <f t="shared" si="120"/>
        <v>A</v>
      </c>
      <c r="I1484" s="29" t="str">
        <f t="shared" si="116"/>
        <v>GC197258</v>
      </c>
      <c r="J1484" s="59">
        <f t="shared" ca="1" si="117"/>
        <v>45962</v>
      </c>
      <c r="K1484" s="30">
        <f ca="1">LOOKUP(A1484,'QALS - Inspection Lot Record'!A:A,'QALS - Inspection Lot Record'!I:I)</f>
        <v>0.23019675925925925</v>
      </c>
      <c r="L1484" s="59">
        <f t="shared" ca="1" si="118"/>
        <v>45962</v>
      </c>
      <c r="M1484" s="30">
        <f t="shared" ca="1" si="119"/>
        <v>0.25421296296296297</v>
      </c>
      <c r="N1484" s="11" t="s">
        <v>402</v>
      </c>
      <c r="O1484" s="31"/>
      <c r="P1484" s="29"/>
      <c r="Q1484" s="29"/>
    </row>
    <row r="1485" spans="1:17" x14ac:dyDescent="0.35">
      <c r="A1485" s="26">
        <v>40000002686</v>
      </c>
      <c r="B1485" s="31">
        <v>1</v>
      </c>
      <c r="C1485" s="29" t="str">
        <f>LOOKUP(A1485,'QALS - Inspection Lot Record'!$A$2:$A$361,'QALS - Inspection Lot Record'!$O$2:$O$361)</f>
        <v>Ibuprofen Tablets (100 MG)</v>
      </c>
      <c r="D1485" s="31">
        <v>40</v>
      </c>
      <c r="E1485" s="29" t="s">
        <v>403</v>
      </c>
      <c r="F1485" s="29" t="str">
        <f>LOOKUP(A1485,'QALS - Inspection Lot Record'!A:A,'QALS - Inspection Lot Record'!G:G)</f>
        <v>GC197258</v>
      </c>
      <c r="G1485" s="59">
        <f ca="1">LOOKUP(A1485,'QALS - Inspection Lot Record'!A:A,'QALS - Inspection Lot Record'!E:E)</f>
        <v>45962</v>
      </c>
      <c r="H1485" s="34" t="str">
        <f t="shared" si="120"/>
        <v>A</v>
      </c>
      <c r="I1485" s="29" t="str">
        <f t="shared" si="116"/>
        <v>GC197258</v>
      </c>
      <c r="J1485" s="59">
        <f t="shared" ca="1" si="117"/>
        <v>45962</v>
      </c>
      <c r="K1485" s="30">
        <f ca="1">LOOKUP(A1485,'QALS - Inspection Lot Record'!A:A,'QALS - Inspection Lot Record'!I:I)</f>
        <v>0.23019675925925925</v>
      </c>
      <c r="L1485" s="59">
        <f t="shared" ca="1" si="118"/>
        <v>45962</v>
      </c>
      <c r="M1485" s="30">
        <f t="shared" ca="1" si="119"/>
        <v>0.2562962962962963</v>
      </c>
      <c r="N1485" s="31"/>
      <c r="O1485" s="31">
        <v>0</v>
      </c>
      <c r="P1485" s="29">
        <v>0</v>
      </c>
      <c r="Q1485" s="29">
        <v>1</v>
      </c>
    </row>
    <row r="1486" spans="1:17" x14ac:dyDescent="0.35">
      <c r="A1486" s="26">
        <v>40000002686</v>
      </c>
      <c r="B1486" s="31">
        <v>1</v>
      </c>
      <c r="C1486" s="29" t="str">
        <f>LOOKUP(A1486,'QALS - Inspection Lot Record'!$A$2:$A$361,'QALS - Inspection Lot Record'!$O$2:$O$361)</f>
        <v>Ibuprofen Tablets (100 MG)</v>
      </c>
      <c r="D1486" s="31">
        <v>50</v>
      </c>
      <c r="E1486" s="29" t="s">
        <v>404</v>
      </c>
      <c r="F1486" s="29" t="str">
        <f>LOOKUP(A1486,'QALS - Inspection Lot Record'!A:A,'QALS - Inspection Lot Record'!G:G)</f>
        <v>GC197258</v>
      </c>
      <c r="G1486" s="59">
        <f ca="1">LOOKUP(A1486,'QALS - Inspection Lot Record'!A:A,'QALS - Inspection Lot Record'!E:E)</f>
        <v>45962</v>
      </c>
      <c r="H1486" s="34" t="str">
        <f t="shared" si="120"/>
        <v>A</v>
      </c>
      <c r="I1486" s="29" t="str">
        <f t="shared" si="116"/>
        <v>GC197258</v>
      </c>
      <c r="J1486" s="59">
        <f t="shared" ca="1" si="117"/>
        <v>45962</v>
      </c>
      <c r="K1486" s="30">
        <f ca="1">LOOKUP(A1486,'QALS - Inspection Lot Record'!A:A,'QALS - Inspection Lot Record'!I:I)</f>
        <v>0.23019675925925925</v>
      </c>
      <c r="L1486" s="59">
        <f t="shared" ca="1" si="118"/>
        <v>45962</v>
      </c>
      <c r="M1486" s="30">
        <f t="shared" ca="1" si="119"/>
        <v>0.2540277777777778</v>
      </c>
      <c r="N1486" s="31"/>
      <c r="O1486" s="31">
        <v>50</v>
      </c>
      <c r="P1486" s="29">
        <v>40</v>
      </c>
      <c r="Q1486" s="29">
        <v>60</v>
      </c>
    </row>
    <row r="1487" spans="1:17" x14ac:dyDescent="0.35">
      <c r="A1487" s="26">
        <v>40000002686</v>
      </c>
      <c r="B1487" s="31">
        <v>1</v>
      </c>
      <c r="C1487" s="29" t="str">
        <f>LOOKUP(A1487,'QALS - Inspection Lot Record'!$A$2:$A$361,'QALS - Inspection Lot Record'!$O$2:$O$361)</f>
        <v>Ibuprofen Tablets (100 MG)</v>
      </c>
      <c r="D1487" s="31">
        <v>60</v>
      </c>
      <c r="E1487" s="29" t="s">
        <v>405</v>
      </c>
      <c r="F1487" s="29" t="str">
        <f>LOOKUP(A1487,'QALS - Inspection Lot Record'!A:A,'QALS - Inspection Lot Record'!G:G)</f>
        <v>GC197258</v>
      </c>
      <c r="G1487" s="59">
        <f ca="1">LOOKUP(A1487,'QALS - Inspection Lot Record'!A:A,'QALS - Inspection Lot Record'!E:E)</f>
        <v>45962</v>
      </c>
      <c r="H1487" s="34" t="str">
        <f t="shared" si="120"/>
        <v>A</v>
      </c>
      <c r="I1487" s="29" t="str">
        <f t="shared" si="116"/>
        <v>GC197258</v>
      </c>
      <c r="J1487" s="59">
        <f t="shared" ca="1" si="117"/>
        <v>45962</v>
      </c>
      <c r="K1487" s="30">
        <f ca="1">LOOKUP(A1487,'QALS - Inspection Lot Record'!A:A,'QALS - Inspection Lot Record'!I:I)</f>
        <v>0.23019675925925925</v>
      </c>
      <c r="L1487" s="59">
        <f t="shared" ca="1" si="118"/>
        <v>45962</v>
      </c>
      <c r="M1487" s="30">
        <f t="shared" ca="1" si="119"/>
        <v>0.25741898148148146</v>
      </c>
      <c r="N1487" s="31"/>
      <c r="O1487" s="31">
        <v>77.5</v>
      </c>
      <c r="P1487" s="29">
        <v>70</v>
      </c>
      <c r="Q1487" s="29">
        <v>85</v>
      </c>
    </row>
    <row r="1488" spans="1:17" x14ac:dyDescent="0.35">
      <c r="A1488" s="26">
        <v>40000002686</v>
      </c>
      <c r="B1488" s="31">
        <v>1</v>
      </c>
      <c r="C1488" s="29" t="str">
        <f>LOOKUP(A1488,'QALS - Inspection Lot Record'!$A$2:$A$361,'QALS - Inspection Lot Record'!$O$2:$O$361)</f>
        <v>Ibuprofen Tablets (100 MG)</v>
      </c>
      <c r="D1488" s="31">
        <v>70</v>
      </c>
      <c r="E1488" s="29" t="s">
        <v>406</v>
      </c>
      <c r="F1488" s="29" t="str">
        <f>LOOKUP(A1488,'QALS - Inspection Lot Record'!A:A,'QALS - Inspection Lot Record'!G:G)</f>
        <v>GC197258</v>
      </c>
      <c r="G1488" s="59">
        <f ca="1">LOOKUP(A1488,'QALS - Inspection Lot Record'!A:A,'QALS - Inspection Lot Record'!E:E)</f>
        <v>45962</v>
      </c>
      <c r="H1488" s="34" t="str">
        <f t="shared" si="120"/>
        <v>A</v>
      </c>
      <c r="I1488" s="29" t="str">
        <f t="shared" si="116"/>
        <v>GC197258</v>
      </c>
      <c r="J1488" s="59">
        <f t="shared" ca="1" si="117"/>
        <v>45962</v>
      </c>
      <c r="K1488" s="30">
        <f ca="1">LOOKUP(A1488,'QALS - Inspection Lot Record'!A:A,'QALS - Inspection Lot Record'!I:I)</f>
        <v>0.23019675925925925</v>
      </c>
      <c r="L1488" s="59">
        <f t="shared" ca="1" si="118"/>
        <v>45962</v>
      </c>
      <c r="M1488" s="30">
        <f t="shared" ca="1" si="119"/>
        <v>0.25315972222222222</v>
      </c>
      <c r="N1488" s="31"/>
      <c r="O1488" s="31">
        <v>85</v>
      </c>
      <c r="P1488" s="29">
        <v>80</v>
      </c>
      <c r="Q1488" s="29">
        <v>90</v>
      </c>
    </row>
    <row r="1489" spans="1:17" x14ac:dyDescent="0.35">
      <c r="A1489" s="26">
        <v>40000002686</v>
      </c>
      <c r="B1489" s="31">
        <v>1</v>
      </c>
      <c r="C1489" s="29" t="str">
        <f>LOOKUP(A1489,'QALS - Inspection Lot Record'!$A$2:$A$361,'QALS - Inspection Lot Record'!$O$2:$O$361)</f>
        <v>Ibuprofen Tablets (100 MG)</v>
      </c>
      <c r="D1489" s="31">
        <v>80</v>
      </c>
      <c r="E1489" s="29" t="s">
        <v>407</v>
      </c>
      <c r="F1489" s="29" t="str">
        <f>LOOKUP(A1489,'QALS - Inspection Lot Record'!A:A,'QALS - Inspection Lot Record'!G:G)</f>
        <v>GC197258</v>
      </c>
      <c r="G1489" s="59">
        <f ca="1">LOOKUP(A1489,'QALS - Inspection Lot Record'!A:A,'QALS - Inspection Lot Record'!E:E)</f>
        <v>45962</v>
      </c>
      <c r="H1489" s="34" t="str">
        <f t="shared" si="120"/>
        <v>R</v>
      </c>
      <c r="I1489" s="29" t="str">
        <f t="shared" si="116"/>
        <v>GC197258</v>
      </c>
      <c r="J1489" s="59">
        <f t="shared" ca="1" si="117"/>
        <v>45962</v>
      </c>
      <c r="K1489" s="30">
        <f ca="1">LOOKUP(A1489,'QALS - Inspection Lot Record'!A:A,'QALS - Inspection Lot Record'!I:I)</f>
        <v>0.23019675925925925</v>
      </c>
      <c r="L1489" s="59">
        <f t="shared" ca="1" si="118"/>
        <v>45962</v>
      </c>
      <c r="M1489" s="30">
        <f t="shared" ca="1" si="119"/>
        <v>0.25645833333333334</v>
      </c>
      <c r="N1489" s="31"/>
      <c r="O1489" s="31">
        <v>21.8</v>
      </c>
      <c r="P1489" s="29">
        <v>23</v>
      </c>
      <c r="Q1489" s="29">
        <v>25</v>
      </c>
    </row>
    <row r="1490" spans="1:17" x14ac:dyDescent="0.35">
      <c r="A1490" s="26">
        <v>40000002687</v>
      </c>
      <c r="B1490" s="27">
        <v>1</v>
      </c>
      <c r="C1490" s="29" t="str">
        <f>LOOKUP(A1490,'QALS - Inspection Lot Record'!$A$2:$A$361,'QALS - Inspection Lot Record'!$O$2:$O$361)</f>
        <v>Aspirin Tablets (500 MG)</v>
      </c>
      <c r="D1490" s="27">
        <v>10</v>
      </c>
      <c r="E1490" s="26" t="s">
        <v>399</v>
      </c>
      <c r="F1490" s="29" t="str">
        <f>LOOKUP(A1490,'QALS - Inspection Lot Record'!A:A,'QALS - Inspection Lot Record'!G:G)</f>
        <v>AB406550</v>
      </c>
      <c r="G1490" s="59">
        <f ca="1">LOOKUP(A1490,'QALS - Inspection Lot Record'!A:A,'QALS - Inspection Lot Record'!E:E)</f>
        <v>45963</v>
      </c>
      <c r="H1490" s="34" t="str">
        <f t="shared" si="120"/>
        <v>R</v>
      </c>
      <c r="I1490" s="29" t="str">
        <f t="shared" si="116"/>
        <v>AB406550</v>
      </c>
      <c r="J1490" s="59">
        <f t="shared" ca="1" si="117"/>
        <v>45963</v>
      </c>
      <c r="K1490" s="30">
        <f ca="1">LOOKUP(A1490,'QALS - Inspection Lot Record'!A:A,'QALS - Inspection Lot Record'!I:I)</f>
        <v>0.71494212962962966</v>
      </c>
      <c r="L1490" s="59">
        <f t="shared" ca="1" si="118"/>
        <v>45963</v>
      </c>
      <c r="M1490" s="30">
        <f t="shared" ca="1" si="119"/>
        <v>0.73750000000000004</v>
      </c>
      <c r="N1490" s="31"/>
      <c r="O1490" s="31">
        <v>93.5</v>
      </c>
      <c r="P1490" s="29">
        <v>95</v>
      </c>
      <c r="Q1490" s="29">
        <v>105</v>
      </c>
    </row>
    <row r="1491" spans="1:17" x14ac:dyDescent="0.35">
      <c r="A1491" s="26">
        <v>40000002687</v>
      </c>
      <c r="B1491" s="27">
        <v>1</v>
      </c>
      <c r="C1491" s="29" t="str">
        <f>LOOKUP(A1491,'QALS - Inspection Lot Record'!$A$2:$A$361,'QALS - Inspection Lot Record'!$O$2:$O$361)</f>
        <v>Aspirin Tablets (500 MG)</v>
      </c>
      <c r="D1491" s="31">
        <v>20</v>
      </c>
      <c r="E1491" s="29" t="s">
        <v>400</v>
      </c>
      <c r="F1491" s="29" t="str">
        <f>LOOKUP(A1491,'QALS - Inspection Lot Record'!A:A,'QALS - Inspection Lot Record'!G:G)</f>
        <v>AB406550</v>
      </c>
      <c r="G1491" s="59">
        <f ca="1">LOOKUP(A1491,'QALS - Inspection Lot Record'!A:A,'QALS - Inspection Lot Record'!E:E)</f>
        <v>45963</v>
      </c>
      <c r="H1491" s="34" t="str">
        <f t="shared" si="120"/>
        <v>A</v>
      </c>
      <c r="I1491" s="29" t="str">
        <f t="shared" si="116"/>
        <v>AB406550</v>
      </c>
      <c r="J1491" s="59">
        <f t="shared" ca="1" si="117"/>
        <v>45963</v>
      </c>
      <c r="K1491" s="30">
        <f ca="1">LOOKUP(A1491,'QALS - Inspection Lot Record'!A:A,'QALS - Inspection Lot Record'!I:I)</f>
        <v>0.71494212962962966</v>
      </c>
      <c r="L1491" s="59">
        <f t="shared" ca="1" si="118"/>
        <v>45963</v>
      </c>
      <c r="M1491" s="30">
        <f t="shared" ca="1" si="119"/>
        <v>0.73841435185185189</v>
      </c>
      <c r="N1491" s="31"/>
      <c r="O1491" s="31">
        <v>3.9</v>
      </c>
      <c r="P1491" s="29">
        <v>3.5</v>
      </c>
      <c r="Q1491" s="29">
        <v>11</v>
      </c>
    </row>
    <row r="1492" spans="1:17" x14ac:dyDescent="0.35">
      <c r="A1492" s="26">
        <v>40000002687</v>
      </c>
      <c r="B1492" s="31">
        <v>1</v>
      </c>
      <c r="C1492" s="29" t="str">
        <f>LOOKUP(A1492,'QALS - Inspection Lot Record'!$A$2:$A$361,'QALS - Inspection Lot Record'!$O$2:$O$361)</f>
        <v>Aspirin Tablets (500 MG)</v>
      </c>
      <c r="D1492" s="31">
        <v>30</v>
      </c>
      <c r="E1492" s="29" t="s">
        <v>401</v>
      </c>
      <c r="F1492" s="29" t="str">
        <f>LOOKUP(A1492,'QALS - Inspection Lot Record'!A:A,'QALS - Inspection Lot Record'!G:G)</f>
        <v>AB406550</v>
      </c>
      <c r="G1492" s="59">
        <f ca="1">LOOKUP(A1492,'QALS - Inspection Lot Record'!A:A,'QALS - Inspection Lot Record'!E:E)</f>
        <v>45963</v>
      </c>
      <c r="H1492" s="34" t="str">
        <f t="shared" si="120"/>
        <v>A</v>
      </c>
      <c r="I1492" s="29" t="str">
        <f t="shared" si="116"/>
        <v>AB406550</v>
      </c>
      <c r="J1492" s="59">
        <f t="shared" ca="1" si="117"/>
        <v>45963</v>
      </c>
      <c r="K1492" s="30">
        <f ca="1">LOOKUP(A1492,'QALS - Inspection Lot Record'!A:A,'QALS - Inspection Lot Record'!I:I)</f>
        <v>0.71494212962962966</v>
      </c>
      <c r="L1492" s="59">
        <f t="shared" ca="1" si="118"/>
        <v>45963</v>
      </c>
      <c r="M1492" s="30">
        <f t="shared" ca="1" si="119"/>
        <v>0.73305555555555557</v>
      </c>
      <c r="N1492" s="11" t="s">
        <v>402</v>
      </c>
      <c r="O1492" s="31"/>
      <c r="P1492" s="29"/>
      <c r="Q1492" s="29"/>
    </row>
    <row r="1493" spans="1:17" x14ac:dyDescent="0.35">
      <c r="A1493" s="26">
        <v>40000002687</v>
      </c>
      <c r="B1493" s="31">
        <v>1</v>
      </c>
      <c r="C1493" s="29" t="str">
        <f>LOOKUP(A1493,'QALS - Inspection Lot Record'!$A$2:$A$361,'QALS - Inspection Lot Record'!$O$2:$O$361)</f>
        <v>Aspirin Tablets (500 MG)</v>
      </c>
      <c r="D1493" s="31">
        <v>40</v>
      </c>
      <c r="E1493" s="29" t="s">
        <v>403</v>
      </c>
      <c r="F1493" s="29" t="str">
        <f>LOOKUP(A1493,'QALS - Inspection Lot Record'!A:A,'QALS - Inspection Lot Record'!G:G)</f>
        <v>AB406550</v>
      </c>
      <c r="G1493" s="59">
        <f ca="1">LOOKUP(A1493,'QALS - Inspection Lot Record'!A:A,'QALS - Inspection Lot Record'!E:E)</f>
        <v>45963</v>
      </c>
      <c r="H1493" s="34" t="str">
        <f t="shared" si="120"/>
        <v>A</v>
      </c>
      <c r="I1493" s="29" t="str">
        <f t="shared" si="116"/>
        <v>AB406550</v>
      </c>
      <c r="J1493" s="59">
        <f t="shared" ca="1" si="117"/>
        <v>45963</v>
      </c>
      <c r="K1493" s="30">
        <f ca="1">LOOKUP(A1493,'QALS - Inspection Lot Record'!A:A,'QALS - Inspection Lot Record'!I:I)</f>
        <v>0.71494212962962966</v>
      </c>
      <c r="L1493" s="59">
        <f t="shared" ca="1" si="118"/>
        <v>45963</v>
      </c>
      <c r="M1493" s="30">
        <f t="shared" ca="1" si="119"/>
        <v>0.74321759259259268</v>
      </c>
      <c r="N1493" s="31"/>
      <c r="O1493" s="31">
        <v>1.8</v>
      </c>
      <c r="P1493" s="29">
        <v>0</v>
      </c>
      <c r="Q1493" s="29">
        <v>2.5</v>
      </c>
    </row>
    <row r="1494" spans="1:17" x14ac:dyDescent="0.35">
      <c r="A1494" s="26">
        <v>40000002687</v>
      </c>
      <c r="B1494" s="31">
        <v>1</v>
      </c>
      <c r="C1494" s="29" t="str">
        <f>LOOKUP(A1494,'QALS - Inspection Lot Record'!$A$2:$A$361,'QALS - Inspection Lot Record'!$O$2:$O$361)</f>
        <v>Aspirin Tablets (500 MG)</v>
      </c>
      <c r="D1494" s="31">
        <v>50</v>
      </c>
      <c r="E1494" s="29" t="s">
        <v>404</v>
      </c>
      <c r="F1494" s="29" t="str">
        <f>LOOKUP(A1494,'QALS - Inspection Lot Record'!A:A,'QALS - Inspection Lot Record'!G:G)</f>
        <v>AB406550</v>
      </c>
      <c r="G1494" s="59">
        <f ca="1">LOOKUP(A1494,'QALS - Inspection Lot Record'!A:A,'QALS - Inspection Lot Record'!E:E)</f>
        <v>45963</v>
      </c>
      <c r="H1494" s="34" t="str">
        <f t="shared" si="120"/>
        <v>A</v>
      </c>
      <c r="I1494" s="29" t="str">
        <f t="shared" si="116"/>
        <v>AB406550</v>
      </c>
      <c r="J1494" s="59">
        <f t="shared" ca="1" si="117"/>
        <v>45963</v>
      </c>
      <c r="K1494" s="30">
        <f ca="1">LOOKUP(A1494,'QALS - Inspection Lot Record'!A:A,'QALS - Inspection Lot Record'!I:I)</f>
        <v>0.71494212962962966</v>
      </c>
      <c r="L1494" s="59">
        <f t="shared" ca="1" si="118"/>
        <v>45963</v>
      </c>
      <c r="M1494" s="30">
        <f t="shared" ca="1" si="119"/>
        <v>0.7439351851851852</v>
      </c>
      <c r="N1494" s="31"/>
      <c r="O1494" s="31">
        <v>40.6</v>
      </c>
      <c r="P1494" s="29">
        <v>40</v>
      </c>
      <c r="Q1494" s="29">
        <v>60</v>
      </c>
    </row>
    <row r="1495" spans="1:17" x14ac:dyDescent="0.35">
      <c r="A1495" s="26">
        <v>40000002687</v>
      </c>
      <c r="B1495" s="31">
        <v>1</v>
      </c>
      <c r="C1495" s="29" t="str">
        <f>LOOKUP(A1495,'QALS - Inspection Lot Record'!$A$2:$A$361,'QALS - Inspection Lot Record'!$O$2:$O$361)</f>
        <v>Aspirin Tablets (500 MG)</v>
      </c>
      <c r="D1495" s="31">
        <v>60</v>
      </c>
      <c r="E1495" s="29" t="s">
        <v>405</v>
      </c>
      <c r="F1495" s="29" t="str">
        <f>LOOKUP(A1495,'QALS - Inspection Lot Record'!A:A,'QALS - Inspection Lot Record'!G:G)</f>
        <v>AB406550</v>
      </c>
      <c r="G1495" s="59">
        <f ca="1">LOOKUP(A1495,'QALS - Inspection Lot Record'!A:A,'QALS - Inspection Lot Record'!E:E)</f>
        <v>45963</v>
      </c>
      <c r="H1495" s="34" t="str">
        <f t="shared" si="120"/>
        <v>R</v>
      </c>
      <c r="I1495" s="29" t="str">
        <f t="shared" si="116"/>
        <v>AB406550</v>
      </c>
      <c r="J1495" s="59">
        <f t="shared" ca="1" si="117"/>
        <v>45963</v>
      </c>
      <c r="K1495" s="30">
        <f ca="1">LOOKUP(A1495,'QALS - Inspection Lot Record'!A:A,'QALS - Inspection Lot Record'!I:I)</f>
        <v>0.71494212962962966</v>
      </c>
      <c r="L1495" s="59">
        <f t="shared" ca="1" si="118"/>
        <v>45963</v>
      </c>
      <c r="M1495" s="30">
        <f t="shared" ca="1" si="119"/>
        <v>0.74037037037037046</v>
      </c>
      <c r="N1495" s="31"/>
      <c r="O1495" s="31">
        <v>68.599999999999994</v>
      </c>
      <c r="P1495" s="29">
        <v>70</v>
      </c>
      <c r="Q1495" s="29">
        <v>85</v>
      </c>
    </row>
    <row r="1496" spans="1:17" x14ac:dyDescent="0.35">
      <c r="A1496" s="26">
        <v>40000002687</v>
      </c>
      <c r="B1496" s="31">
        <v>1</v>
      </c>
      <c r="C1496" s="29" t="str">
        <f>LOOKUP(A1496,'QALS - Inspection Lot Record'!$A$2:$A$361,'QALS - Inspection Lot Record'!$O$2:$O$361)</f>
        <v>Aspirin Tablets (500 MG)</v>
      </c>
      <c r="D1496" s="31">
        <v>70</v>
      </c>
      <c r="E1496" s="29" t="s">
        <v>406</v>
      </c>
      <c r="F1496" s="29" t="str">
        <f>LOOKUP(A1496,'QALS - Inspection Lot Record'!A:A,'QALS - Inspection Lot Record'!G:G)</f>
        <v>AB406550</v>
      </c>
      <c r="G1496" s="59">
        <f ca="1">LOOKUP(A1496,'QALS - Inspection Lot Record'!A:A,'QALS - Inspection Lot Record'!E:E)</f>
        <v>45963</v>
      </c>
      <c r="H1496" s="34" t="str">
        <f t="shared" si="120"/>
        <v>R</v>
      </c>
      <c r="I1496" s="29" t="str">
        <f t="shared" si="116"/>
        <v>AB406550</v>
      </c>
      <c r="J1496" s="59">
        <f t="shared" ca="1" si="117"/>
        <v>45963</v>
      </c>
      <c r="K1496" s="30">
        <f ca="1">LOOKUP(A1496,'QALS - Inspection Lot Record'!A:A,'QALS - Inspection Lot Record'!I:I)</f>
        <v>0.71494212962962966</v>
      </c>
      <c r="L1496" s="59">
        <f t="shared" ca="1" si="118"/>
        <v>45963</v>
      </c>
      <c r="M1496" s="30">
        <f t="shared" ca="1" si="119"/>
        <v>0.73310185185185184</v>
      </c>
      <c r="N1496" s="31"/>
      <c r="O1496" s="31">
        <v>78.5</v>
      </c>
      <c r="P1496" s="29">
        <v>80</v>
      </c>
      <c r="Q1496" s="29">
        <v>90</v>
      </c>
    </row>
    <row r="1497" spans="1:17" x14ac:dyDescent="0.35">
      <c r="A1497" s="26">
        <v>40000002687</v>
      </c>
      <c r="B1497" s="31">
        <v>1</v>
      </c>
      <c r="C1497" s="29" t="str">
        <f>LOOKUP(A1497,'QALS - Inspection Lot Record'!$A$2:$A$361,'QALS - Inspection Lot Record'!$O$2:$O$361)</f>
        <v>Aspirin Tablets (500 MG)</v>
      </c>
      <c r="D1497" s="31">
        <v>80</v>
      </c>
      <c r="E1497" s="29" t="s">
        <v>407</v>
      </c>
      <c r="F1497" s="29" t="str">
        <f>LOOKUP(A1497,'QALS - Inspection Lot Record'!A:A,'QALS - Inspection Lot Record'!G:G)</f>
        <v>AB406550</v>
      </c>
      <c r="G1497" s="59">
        <f ca="1">LOOKUP(A1497,'QALS - Inspection Lot Record'!A:A,'QALS - Inspection Lot Record'!E:E)</f>
        <v>45963</v>
      </c>
      <c r="H1497" s="34" t="str">
        <f t="shared" si="120"/>
        <v>A</v>
      </c>
      <c r="I1497" s="29" t="str">
        <f t="shared" si="116"/>
        <v>AB406550</v>
      </c>
      <c r="J1497" s="59">
        <f t="shared" ca="1" si="117"/>
        <v>45963</v>
      </c>
      <c r="K1497" s="30">
        <f ca="1">LOOKUP(A1497,'QALS - Inspection Lot Record'!A:A,'QALS - Inspection Lot Record'!I:I)</f>
        <v>0.71494212962962966</v>
      </c>
      <c r="L1497" s="59">
        <f t="shared" ca="1" si="118"/>
        <v>45963</v>
      </c>
      <c r="M1497" s="30">
        <f t="shared" ca="1" si="119"/>
        <v>0.73622685185185188</v>
      </c>
      <c r="N1497" s="31"/>
      <c r="O1497" s="31">
        <v>24</v>
      </c>
      <c r="P1497" s="29">
        <v>23</v>
      </c>
      <c r="Q1497" s="29">
        <v>28</v>
      </c>
    </row>
    <row r="1498" spans="1:17" x14ac:dyDescent="0.35">
      <c r="A1498" s="26">
        <v>40000002688</v>
      </c>
      <c r="B1498" s="27">
        <v>1</v>
      </c>
      <c r="C1498" s="29" t="str">
        <f>LOOKUP(A1498,'QALS - Inspection Lot Record'!$A$2:$A$361,'QALS - Inspection Lot Record'!$O$2:$O$361)</f>
        <v>Aspirin Tablets (500 MG)</v>
      </c>
      <c r="D1498" s="27">
        <v>10</v>
      </c>
      <c r="E1498" s="26" t="s">
        <v>399</v>
      </c>
      <c r="F1498" s="29" t="str">
        <f>LOOKUP(A1498,'QALS - Inspection Lot Record'!A:A,'QALS - Inspection Lot Record'!G:G)</f>
        <v>TG509538</v>
      </c>
      <c r="G1498" s="59">
        <f ca="1">LOOKUP(A1498,'QALS - Inspection Lot Record'!A:A,'QALS - Inspection Lot Record'!E:E)</f>
        <v>45963</v>
      </c>
      <c r="H1498" s="34" t="str">
        <f t="shared" si="120"/>
        <v>R</v>
      </c>
      <c r="I1498" s="29" t="str">
        <f t="shared" si="116"/>
        <v>TG509538</v>
      </c>
      <c r="J1498" s="59">
        <f t="shared" ca="1" si="117"/>
        <v>45963</v>
      </c>
      <c r="K1498" s="30">
        <f ca="1">LOOKUP(A1498,'QALS - Inspection Lot Record'!A:A,'QALS - Inspection Lot Record'!I:I)</f>
        <v>0.19040509259259258</v>
      </c>
      <c r="L1498" s="59">
        <f t="shared" ca="1" si="118"/>
        <v>45963</v>
      </c>
      <c r="M1498" s="30">
        <f t="shared" ca="1" si="119"/>
        <v>0.21643518518518517</v>
      </c>
      <c r="N1498" s="31"/>
      <c r="O1498" s="31">
        <v>93.1</v>
      </c>
      <c r="P1498" s="29">
        <v>95</v>
      </c>
      <c r="Q1498" s="29">
        <v>105</v>
      </c>
    </row>
    <row r="1499" spans="1:17" x14ac:dyDescent="0.35">
      <c r="A1499" s="26">
        <v>40000002688</v>
      </c>
      <c r="B1499" s="27">
        <v>1</v>
      </c>
      <c r="C1499" s="29" t="str">
        <f>LOOKUP(A1499,'QALS - Inspection Lot Record'!$A$2:$A$361,'QALS - Inspection Lot Record'!$O$2:$O$361)</f>
        <v>Aspirin Tablets (500 MG)</v>
      </c>
      <c r="D1499" s="31">
        <v>20</v>
      </c>
      <c r="E1499" s="29" t="s">
        <v>400</v>
      </c>
      <c r="F1499" s="29" t="str">
        <f>LOOKUP(A1499,'QALS - Inspection Lot Record'!A:A,'QALS - Inspection Lot Record'!G:G)</f>
        <v>TG509538</v>
      </c>
      <c r="G1499" s="59">
        <f ca="1">LOOKUP(A1499,'QALS - Inspection Lot Record'!A:A,'QALS - Inspection Lot Record'!E:E)</f>
        <v>45963</v>
      </c>
      <c r="H1499" s="34" t="str">
        <f t="shared" si="120"/>
        <v>R</v>
      </c>
      <c r="I1499" s="29" t="str">
        <f t="shared" si="116"/>
        <v>TG509538</v>
      </c>
      <c r="J1499" s="59">
        <f t="shared" ca="1" si="117"/>
        <v>45963</v>
      </c>
      <c r="K1499" s="30">
        <f ca="1">LOOKUP(A1499,'QALS - Inspection Lot Record'!A:A,'QALS - Inspection Lot Record'!I:I)</f>
        <v>0.19040509259259258</v>
      </c>
      <c r="L1499" s="59">
        <f t="shared" ca="1" si="118"/>
        <v>45963</v>
      </c>
      <c r="M1499" s="30">
        <f t="shared" ca="1" si="119"/>
        <v>0.21625</v>
      </c>
      <c r="N1499" s="31"/>
      <c r="O1499" s="31">
        <v>1.6</v>
      </c>
      <c r="P1499" s="29">
        <v>3.5</v>
      </c>
      <c r="Q1499" s="29">
        <v>11</v>
      </c>
    </row>
    <row r="1500" spans="1:17" x14ac:dyDescent="0.35">
      <c r="A1500" s="26">
        <v>40000002688</v>
      </c>
      <c r="B1500" s="31">
        <v>1</v>
      </c>
      <c r="C1500" s="29" t="str">
        <f>LOOKUP(A1500,'QALS - Inspection Lot Record'!$A$2:$A$361,'QALS - Inspection Lot Record'!$O$2:$O$361)</f>
        <v>Aspirin Tablets (500 MG)</v>
      </c>
      <c r="D1500" s="31">
        <v>30</v>
      </c>
      <c r="E1500" s="29" t="s">
        <v>401</v>
      </c>
      <c r="F1500" s="29" t="str">
        <f>LOOKUP(A1500,'QALS - Inspection Lot Record'!A:A,'QALS - Inspection Lot Record'!G:G)</f>
        <v>TG509538</v>
      </c>
      <c r="G1500" s="59">
        <f ca="1">LOOKUP(A1500,'QALS - Inspection Lot Record'!A:A,'QALS - Inspection Lot Record'!E:E)</f>
        <v>45963</v>
      </c>
      <c r="H1500" s="34" t="str">
        <f t="shared" si="120"/>
        <v>A</v>
      </c>
      <c r="I1500" s="29" t="str">
        <f t="shared" si="116"/>
        <v>TG509538</v>
      </c>
      <c r="J1500" s="59">
        <f t="shared" ca="1" si="117"/>
        <v>45963</v>
      </c>
      <c r="K1500" s="30">
        <f ca="1">LOOKUP(A1500,'QALS - Inspection Lot Record'!A:A,'QALS - Inspection Lot Record'!I:I)</f>
        <v>0.19040509259259258</v>
      </c>
      <c r="L1500" s="59">
        <f t="shared" ca="1" si="118"/>
        <v>45963</v>
      </c>
      <c r="M1500" s="30">
        <f t="shared" ca="1" si="119"/>
        <v>0.21888888888888888</v>
      </c>
      <c r="N1500" s="11" t="s">
        <v>402</v>
      </c>
      <c r="O1500" s="31"/>
      <c r="P1500" s="29"/>
      <c r="Q1500" s="29"/>
    </row>
    <row r="1501" spans="1:17" x14ac:dyDescent="0.35">
      <c r="A1501" s="26">
        <v>40000002688</v>
      </c>
      <c r="B1501" s="31">
        <v>1</v>
      </c>
      <c r="C1501" s="29" t="str">
        <f>LOOKUP(A1501,'QALS - Inspection Lot Record'!$A$2:$A$361,'QALS - Inspection Lot Record'!$O$2:$O$361)</f>
        <v>Aspirin Tablets (500 MG)</v>
      </c>
      <c r="D1501" s="31">
        <v>40</v>
      </c>
      <c r="E1501" s="29" t="s">
        <v>403</v>
      </c>
      <c r="F1501" s="29" t="str">
        <f>LOOKUP(A1501,'QALS - Inspection Lot Record'!A:A,'QALS - Inspection Lot Record'!G:G)</f>
        <v>TG509538</v>
      </c>
      <c r="G1501" s="59">
        <f ca="1">LOOKUP(A1501,'QALS - Inspection Lot Record'!A:A,'QALS - Inspection Lot Record'!E:E)</f>
        <v>45963</v>
      </c>
      <c r="H1501" s="34" t="str">
        <f t="shared" si="120"/>
        <v>A</v>
      </c>
      <c r="I1501" s="29" t="str">
        <f t="shared" si="116"/>
        <v>TG509538</v>
      </c>
      <c r="J1501" s="59">
        <f t="shared" ca="1" si="117"/>
        <v>45963</v>
      </c>
      <c r="K1501" s="30">
        <f ca="1">LOOKUP(A1501,'QALS - Inspection Lot Record'!A:A,'QALS - Inspection Lot Record'!I:I)</f>
        <v>0.19040509259259258</v>
      </c>
      <c r="L1501" s="59">
        <f t="shared" ca="1" si="118"/>
        <v>45963</v>
      </c>
      <c r="M1501" s="30">
        <f t="shared" ca="1" si="119"/>
        <v>0.20847222222222223</v>
      </c>
      <c r="N1501" s="31"/>
      <c r="O1501" s="31">
        <v>1.8</v>
      </c>
      <c r="P1501" s="29">
        <v>0</v>
      </c>
      <c r="Q1501" s="29">
        <v>2.5</v>
      </c>
    </row>
    <row r="1502" spans="1:17" x14ac:dyDescent="0.35">
      <c r="A1502" s="26">
        <v>40000002688</v>
      </c>
      <c r="B1502" s="31">
        <v>1</v>
      </c>
      <c r="C1502" s="29" t="str">
        <f>LOOKUP(A1502,'QALS - Inspection Lot Record'!$A$2:$A$361,'QALS - Inspection Lot Record'!$O$2:$O$361)</f>
        <v>Aspirin Tablets (500 MG)</v>
      </c>
      <c r="D1502" s="31">
        <v>50</v>
      </c>
      <c r="E1502" s="29" t="s">
        <v>404</v>
      </c>
      <c r="F1502" s="29" t="str">
        <f>LOOKUP(A1502,'QALS - Inspection Lot Record'!A:A,'QALS - Inspection Lot Record'!G:G)</f>
        <v>TG509538</v>
      </c>
      <c r="G1502" s="59">
        <f ca="1">LOOKUP(A1502,'QALS - Inspection Lot Record'!A:A,'QALS - Inspection Lot Record'!E:E)</f>
        <v>45963</v>
      </c>
      <c r="H1502" s="34" t="str">
        <f t="shared" si="120"/>
        <v>A</v>
      </c>
      <c r="I1502" s="29" t="str">
        <f t="shared" si="116"/>
        <v>TG509538</v>
      </c>
      <c r="J1502" s="59">
        <f t="shared" ca="1" si="117"/>
        <v>45963</v>
      </c>
      <c r="K1502" s="30">
        <f ca="1">LOOKUP(A1502,'QALS - Inspection Lot Record'!A:A,'QALS - Inspection Lot Record'!I:I)</f>
        <v>0.19040509259259258</v>
      </c>
      <c r="L1502" s="59">
        <f t="shared" ca="1" si="118"/>
        <v>45963</v>
      </c>
      <c r="M1502" s="30">
        <f t="shared" ca="1" si="119"/>
        <v>0.20814814814814814</v>
      </c>
      <c r="N1502" s="31"/>
      <c r="O1502" s="31">
        <v>43</v>
      </c>
      <c r="P1502" s="29">
        <v>40</v>
      </c>
      <c r="Q1502" s="29">
        <v>60</v>
      </c>
    </row>
    <row r="1503" spans="1:17" x14ac:dyDescent="0.35">
      <c r="A1503" s="26">
        <v>40000002688</v>
      </c>
      <c r="B1503" s="31">
        <v>1</v>
      </c>
      <c r="C1503" s="29" t="str">
        <f>LOOKUP(A1503,'QALS - Inspection Lot Record'!$A$2:$A$361,'QALS - Inspection Lot Record'!$O$2:$O$361)</f>
        <v>Aspirin Tablets (500 MG)</v>
      </c>
      <c r="D1503" s="31">
        <v>60</v>
      </c>
      <c r="E1503" s="29" t="s">
        <v>405</v>
      </c>
      <c r="F1503" s="29" t="str">
        <f>LOOKUP(A1503,'QALS - Inspection Lot Record'!A:A,'QALS - Inspection Lot Record'!G:G)</f>
        <v>TG509538</v>
      </c>
      <c r="G1503" s="59">
        <f ca="1">LOOKUP(A1503,'QALS - Inspection Lot Record'!A:A,'QALS - Inspection Lot Record'!E:E)</f>
        <v>45963</v>
      </c>
      <c r="H1503" s="34" t="str">
        <f t="shared" si="120"/>
        <v>A</v>
      </c>
      <c r="I1503" s="29" t="str">
        <f t="shared" si="116"/>
        <v>TG509538</v>
      </c>
      <c r="J1503" s="59">
        <f t="shared" ca="1" si="117"/>
        <v>45963</v>
      </c>
      <c r="K1503" s="30">
        <f ca="1">LOOKUP(A1503,'QALS - Inspection Lot Record'!A:A,'QALS - Inspection Lot Record'!I:I)</f>
        <v>0.19040509259259258</v>
      </c>
      <c r="L1503" s="59">
        <f t="shared" ca="1" si="118"/>
        <v>45963</v>
      </c>
      <c r="M1503" s="30">
        <f t="shared" ca="1" si="119"/>
        <v>0.21765046296296295</v>
      </c>
      <c r="N1503" s="31"/>
      <c r="O1503" s="31">
        <v>73</v>
      </c>
      <c r="P1503" s="29">
        <v>70</v>
      </c>
      <c r="Q1503" s="29">
        <v>85</v>
      </c>
    </row>
    <row r="1504" spans="1:17" x14ac:dyDescent="0.35">
      <c r="A1504" s="26">
        <v>40000002688</v>
      </c>
      <c r="B1504" s="31">
        <v>1</v>
      </c>
      <c r="C1504" s="29" t="str">
        <f>LOOKUP(A1504,'QALS - Inspection Lot Record'!$A$2:$A$361,'QALS - Inspection Lot Record'!$O$2:$O$361)</f>
        <v>Aspirin Tablets (500 MG)</v>
      </c>
      <c r="D1504" s="31">
        <v>70</v>
      </c>
      <c r="E1504" s="29" t="s">
        <v>406</v>
      </c>
      <c r="F1504" s="29" t="str">
        <f>LOOKUP(A1504,'QALS - Inspection Lot Record'!A:A,'QALS - Inspection Lot Record'!G:G)</f>
        <v>TG509538</v>
      </c>
      <c r="G1504" s="59">
        <f ca="1">LOOKUP(A1504,'QALS - Inspection Lot Record'!A:A,'QALS - Inspection Lot Record'!E:E)</f>
        <v>45963</v>
      </c>
      <c r="H1504" s="34" t="str">
        <f t="shared" si="120"/>
        <v>R</v>
      </c>
      <c r="I1504" s="29" t="str">
        <f t="shared" si="116"/>
        <v>TG509538</v>
      </c>
      <c r="J1504" s="59">
        <f t="shared" ca="1" si="117"/>
        <v>45963</v>
      </c>
      <c r="K1504" s="30">
        <f ca="1">LOOKUP(A1504,'QALS - Inspection Lot Record'!A:A,'QALS - Inspection Lot Record'!I:I)</f>
        <v>0.19040509259259258</v>
      </c>
      <c r="L1504" s="59">
        <f t="shared" ca="1" si="118"/>
        <v>45963</v>
      </c>
      <c r="M1504" s="30">
        <f t="shared" ca="1" si="119"/>
        <v>0.21336805555555555</v>
      </c>
      <c r="N1504" s="31"/>
      <c r="O1504" s="31">
        <v>78.3</v>
      </c>
      <c r="P1504" s="29">
        <v>80</v>
      </c>
      <c r="Q1504" s="29">
        <v>90</v>
      </c>
    </row>
    <row r="1505" spans="1:17" x14ac:dyDescent="0.35">
      <c r="A1505" s="26">
        <v>40000002688</v>
      </c>
      <c r="B1505" s="31">
        <v>1</v>
      </c>
      <c r="C1505" s="29" t="str">
        <f>LOOKUP(A1505,'QALS - Inspection Lot Record'!$A$2:$A$361,'QALS - Inspection Lot Record'!$O$2:$O$361)</f>
        <v>Aspirin Tablets (500 MG)</v>
      </c>
      <c r="D1505" s="31">
        <v>80</v>
      </c>
      <c r="E1505" s="29" t="s">
        <v>407</v>
      </c>
      <c r="F1505" s="29" t="str">
        <f>LOOKUP(A1505,'QALS - Inspection Lot Record'!A:A,'QALS - Inspection Lot Record'!G:G)</f>
        <v>TG509538</v>
      </c>
      <c r="G1505" s="59">
        <f ca="1">LOOKUP(A1505,'QALS - Inspection Lot Record'!A:A,'QALS - Inspection Lot Record'!E:E)</f>
        <v>45963</v>
      </c>
      <c r="H1505" s="34" t="str">
        <f t="shared" si="120"/>
        <v>A</v>
      </c>
      <c r="I1505" s="29" t="str">
        <f t="shared" si="116"/>
        <v>TG509538</v>
      </c>
      <c r="J1505" s="59">
        <f t="shared" ca="1" si="117"/>
        <v>45963</v>
      </c>
      <c r="K1505" s="30">
        <f ca="1">LOOKUP(A1505,'QALS - Inspection Lot Record'!A:A,'QALS - Inspection Lot Record'!I:I)</f>
        <v>0.19040509259259258</v>
      </c>
      <c r="L1505" s="59">
        <f t="shared" ca="1" si="118"/>
        <v>45963</v>
      </c>
      <c r="M1505" s="30">
        <f t="shared" ca="1" si="119"/>
        <v>0.20864583333333334</v>
      </c>
      <c r="N1505" s="31"/>
      <c r="O1505" s="31">
        <v>24</v>
      </c>
      <c r="P1505" s="29">
        <v>23</v>
      </c>
      <c r="Q1505" s="29">
        <v>28</v>
      </c>
    </row>
    <row r="1506" spans="1:17" x14ac:dyDescent="0.35">
      <c r="A1506" s="26">
        <v>40000002689</v>
      </c>
      <c r="B1506" s="27">
        <v>1</v>
      </c>
      <c r="C1506" s="29" t="str">
        <f>LOOKUP(A1506,'QALS - Inspection Lot Record'!$A$2:$A$361,'QALS - Inspection Lot Record'!$O$2:$O$361)</f>
        <v>Aspirin Tablets (500 MG)</v>
      </c>
      <c r="D1506" s="27">
        <v>10</v>
      </c>
      <c r="E1506" s="26" t="s">
        <v>399</v>
      </c>
      <c r="F1506" s="29" t="str">
        <f>LOOKUP(A1506,'QALS - Inspection Lot Record'!A:A,'QALS - Inspection Lot Record'!G:G)</f>
        <v>AB406550</v>
      </c>
      <c r="G1506" s="59">
        <f ca="1">LOOKUP(A1506,'QALS - Inspection Lot Record'!A:A,'QALS - Inspection Lot Record'!E:E)</f>
        <v>45964</v>
      </c>
      <c r="H1506" s="34" t="str">
        <f t="shared" si="120"/>
        <v>R</v>
      </c>
      <c r="I1506" s="29" t="str">
        <f t="shared" si="116"/>
        <v>AB406550</v>
      </c>
      <c r="J1506" s="59">
        <f t="shared" ca="1" si="117"/>
        <v>45964</v>
      </c>
      <c r="K1506" s="30">
        <f ca="1">LOOKUP(A1506,'QALS - Inspection Lot Record'!A:A,'QALS - Inspection Lot Record'!I:I)</f>
        <v>0.93109953703703707</v>
      </c>
      <c r="L1506" s="59">
        <f t="shared" ca="1" si="118"/>
        <v>45964</v>
      </c>
      <c r="M1506" s="30">
        <f t="shared" ca="1" si="119"/>
        <v>0.95473379629629629</v>
      </c>
      <c r="N1506" s="31"/>
      <c r="O1506" s="31">
        <v>94</v>
      </c>
      <c r="P1506" s="29">
        <v>95</v>
      </c>
      <c r="Q1506" s="29">
        <v>105</v>
      </c>
    </row>
    <row r="1507" spans="1:17" x14ac:dyDescent="0.35">
      <c r="A1507" s="26">
        <v>40000002689</v>
      </c>
      <c r="B1507" s="27">
        <v>1</v>
      </c>
      <c r="C1507" s="29" t="str">
        <f>LOOKUP(A1507,'QALS - Inspection Lot Record'!$A$2:$A$361,'QALS - Inspection Lot Record'!$O$2:$O$361)</f>
        <v>Aspirin Tablets (500 MG)</v>
      </c>
      <c r="D1507" s="31">
        <v>20</v>
      </c>
      <c r="E1507" s="29" t="s">
        <v>400</v>
      </c>
      <c r="F1507" s="29" t="str">
        <f>LOOKUP(A1507,'QALS - Inspection Lot Record'!A:A,'QALS - Inspection Lot Record'!G:G)</f>
        <v>AB406550</v>
      </c>
      <c r="G1507" s="59">
        <f ca="1">LOOKUP(A1507,'QALS - Inspection Lot Record'!A:A,'QALS - Inspection Lot Record'!E:E)</f>
        <v>45964</v>
      </c>
      <c r="H1507" s="34" t="str">
        <f t="shared" si="120"/>
        <v>R</v>
      </c>
      <c r="I1507" s="29" t="str">
        <f t="shared" si="116"/>
        <v>AB406550</v>
      </c>
      <c r="J1507" s="59">
        <f t="shared" ca="1" si="117"/>
        <v>45964</v>
      </c>
      <c r="K1507" s="30">
        <f ca="1">LOOKUP(A1507,'QALS - Inspection Lot Record'!A:A,'QALS - Inspection Lot Record'!I:I)</f>
        <v>0.93109953703703707</v>
      </c>
      <c r="L1507" s="59">
        <f t="shared" ca="1" si="118"/>
        <v>45964</v>
      </c>
      <c r="M1507" s="30">
        <f t="shared" ca="1" si="119"/>
        <v>0.95747685185185194</v>
      </c>
      <c r="N1507" s="31"/>
      <c r="O1507" s="31">
        <v>1.5</v>
      </c>
      <c r="P1507" s="29">
        <v>3.5</v>
      </c>
      <c r="Q1507" s="29">
        <v>11</v>
      </c>
    </row>
    <row r="1508" spans="1:17" x14ac:dyDescent="0.35">
      <c r="A1508" s="26">
        <v>40000002689</v>
      </c>
      <c r="B1508" s="31">
        <v>1</v>
      </c>
      <c r="C1508" s="29" t="str">
        <f>LOOKUP(A1508,'QALS - Inspection Lot Record'!$A$2:$A$361,'QALS - Inspection Lot Record'!$O$2:$O$361)</f>
        <v>Aspirin Tablets (500 MG)</v>
      </c>
      <c r="D1508" s="31">
        <v>30</v>
      </c>
      <c r="E1508" s="29" t="s">
        <v>401</v>
      </c>
      <c r="F1508" s="29" t="str">
        <f>LOOKUP(A1508,'QALS - Inspection Lot Record'!A:A,'QALS - Inspection Lot Record'!G:G)</f>
        <v>AB406550</v>
      </c>
      <c r="G1508" s="59">
        <f ca="1">LOOKUP(A1508,'QALS - Inspection Lot Record'!A:A,'QALS - Inspection Lot Record'!E:E)</f>
        <v>45964</v>
      </c>
      <c r="H1508" s="34" t="str">
        <f t="shared" si="120"/>
        <v>A</v>
      </c>
      <c r="I1508" s="29" t="str">
        <f t="shared" si="116"/>
        <v>AB406550</v>
      </c>
      <c r="J1508" s="59">
        <f t="shared" ca="1" si="117"/>
        <v>45964</v>
      </c>
      <c r="K1508" s="30">
        <f ca="1">LOOKUP(A1508,'QALS - Inspection Lot Record'!A:A,'QALS - Inspection Lot Record'!I:I)</f>
        <v>0.93109953703703707</v>
      </c>
      <c r="L1508" s="59">
        <f t="shared" ca="1" si="118"/>
        <v>45964</v>
      </c>
      <c r="M1508" s="30">
        <f t="shared" ca="1" si="119"/>
        <v>0.95387731481481486</v>
      </c>
      <c r="N1508" s="11" t="s">
        <v>402</v>
      </c>
      <c r="O1508" s="31"/>
      <c r="P1508" s="29"/>
      <c r="Q1508" s="29"/>
    </row>
    <row r="1509" spans="1:17" x14ac:dyDescent="0.35">
      <c r="A1509" s="26">
        <v>40000002689</v>
      </c>
      <c r="B1509" s="31">
        <v>1</v>
      </c>
      <c r="C1509" s="29" t="str">
        <f>LOOKUP(A1509,'QALS - Inspection Lot Record'!$A$2:$A$361,'QALS - Inspection Lot Record'!$O$2:$O$361)</f>
        <v>Aspirin Tablets (500 MG)</v>
      </c>
      <c r="D1509" s="31">
        <v>40</v>
      </c>
      <c r="E1509" s="29" t="s">
        <v>403</v>
      </c>
      <c r="F1509" s="29" t="str">
        <f>LOOKUP(A1509,'QALS - Inspection Lot Record'!A:A,'QALS - Inspection Lot Record'!G:G)</f>
        <v>AB406550</v>
      </c>
      <c r="G1509" s="59">
        <f ca="1">LOOKUP(A1509,'QALS - Inspection Lot Record'!A:A,'QALS - Inspection Lot Record'!E:E)</f>
        <v>45964</v>
      </c>
      <c r="H1509" s="34" t="str">
        <f t="shared" si="120"/>
        <v>A</v>
      </c>
      <c r="I1509" s="29" t="str">
        <f t="shared" si="116"/>
        <v>AB406550</v>
      </c>
      <c r="J1509" s="59">
        <f t="shared" ca="1" si="117"/>
        <v>45964</v>
      </c>
      <c r="K1509" s="30">
        <f ca="1">LOOKUP(A1509,'QALS - Inspection Lot Record'!A:A,'QALS - Inspection Lot Record'!I:I)</f>
        <v>0.93109953703703707</v>
      </c>
      <c r="L1509" s="59">
        <f t="shared" ca="1" si="118"/>
        <v>45964</v>
      </c>
      <c r="M1509" s="30">
        <f t="shared" ca="1" si="119"/>
        <v>0.95122685185185185</v>
      </c>
      <c r="N1509" s="31"/>
      <c r="O1509" s="31">
        <v>0</v>
      </c>
      <c r="P1509" s="29">
        <v>0</v>
      </c>
      <c r="Q1509" s="29">
        <v>2.5</v>
      </c>
    </row>
    <row r="1510" spans="1:17" x14ac:dyDescent="0.35">
      <c r="A1510" s="26">
        <v>40000002689</v>
      </c>
      <c r="B1510" s="31">
        <v>1</v>
      </c>
      <c r="C1510" s="29" t="str">
        <f>LOOKUP(A1510,'QALS - Inspection Lot Record'!$A$2:$A$361,'QALS - Inspection Lot Record'!$O$2:$O$361)</f>
        <v>Aspirin Tablets (500 MG)</v>
      </c>
      <c r="D1510" s="31">
        <v>50</v>
      </c>
      <c r="E1510" s="29" t="s">
        <v>404</v>
      </c>
      <c r="F1510" s="29" t="str">
        <f>LOOKUP(A1510,'QALS - Inspection Lot Record'!A:A,'QALS - Inspection Lot Record'!G:G)</f>
        <v>AB406550</v>
      </c>
      <c r="G1510" s="59">
        <f ca="1">LOOKUP(A1510,'QALS - Inspection Lot Record'!A:A,'QALS - Inspection Lot Record'!E:E)</f>
        <v>45964</v>
      </c>
      <c r="H1510" s="34" t="str">
        <f t="shared" si="120"/>
        <v>R</v>
      </c>
      <c r="I1510" s="29" t="str">
        <f t="shared" si="116"/>
        <v>AB406550</v>
      </c>
      <c r="J1510" s="59">
        <f t="shared" ca="1" si="117"/>
        <v>45964</v>
      </c>
      <c r="K1510" s="30">
        <f ca="1">LOOKUP(A1510,'QALS - Inspection Lot Record'!A:A,'QALS - Inspection Lot Record'!I:I)</f>
        <v>0.93109953703703707</v>
      </c>
      <c r="L1510" s="59">
        <f t="shared" ca="1" si="118"/>
        <v>45964</v>
      </c>
      <c r="M1510" s="30">
        <f t="shared" ca="1" si="119"/>
        <v>0.95173611111111112</v>
      </c>
      <c r="N1510" s="31"/>
      <c r="O1510" s="31">
        <v>38.700000000000003</v>
      </c>
      <c r="P1510" s="29">
        <v>40</v>
      </c>
      <c r="Q1510" s="29">
        <v>60</v>
      </c>
    </row>
    <row r="1511" spans="1:17" x14ac:dyDescent="0.35">
      <c r="A1511" s="26">
        <v>40000002689</v>
      </c>
      <c r="B1511" s="31">
        <v>1</v>
      </c>
      <c r="C1511" s="29" t="str">
        <f>LOOKUP(A1511,'QALS - Inspection Lot Record'!$A$2:$A$361,'QALS - Inspection Lot Record'!$O$2:$O$361)</f>
        <v>Aspirin Tablets (500 MG)</v>
      </c>
      <c r="D1511" s="31">
        <v>60</v>
      </c>
      <c r="E1511" s="29" t="s">
        <v>405</v>
      </c>
      <c r="F1511" s="29" t="str">
        <f>LOOKUP(A1511,'QALS - Inspection Lot Record'!A:A,'QALS - Inspection Lot Record'!G:G)</f>
        <v>AB406550</v>
      </c>
      <c r="G1511" s="59">
        <f ca="1">LOOKUP(A1511,'QALS - Inspection Lot Record'!A:A,'QALS - Inspection Lot Record'!E:E)</f>
        <v>45964</v>
      </c>
      <c r="H1511" s="34" t="str">
        <f t="shared" si="120"/>
        <v>A</v>
      </c>
      <c r="I1511" s="29" t="str">
        <f t="shared" si="116"/>
        <v>AB406550</v>
      </c>
      <c r="J1511" s="59">
        <f t="shared" ca="1" si="117"/>
        <v>45964</v>
      </c>
      <c r="K1511" s="30">
        <f ca="1">LOOKUP(A1511,'QALS - Inspection Lot Record'!A:A,'QALS - Inspection Lot Record'!I:I)</f>
        <v>0.93109953703703707</v>
      </c>
      <c r="L1511" s="59">
        <f t="shared" ca="1" si="118"/>
        <v>45964</v>
      </c>
      <c r="M1511" s="30">
        <f t="shared" ca="1" si="119"/>
        <v>0.96136574074074077</v>
      </c>
      <c r="N1511" s="31"/>
      <c r="O1511" s="31">
        <v>77.5</v>
      </c>
      <c r="P1511" s="29">
        <v>70</v>
      </c>
      <c r="Q1511" s="29">
        <v>85</v>
      </c>
    </row>
    <row r="1512" spans="1:17" x14ac:dyDescent="0.35">
      <c r="A1512" s="26">
        <v>40000002689</v>
      </c>
      <c r="B1512" s="31">
        <v>1</v>
      </c>
      <c r="C1512" s="29" t="str">
        <f>LOOKUP(A1512,'QALS - Inspection Lot Record'!$A$2:$A$361,'QALS - Inspection Lot Record'!$O$2:$O$361)</f>
        <v>Aspirin Tablets (500 MG)</v>
      </c>
      <c r="D1512" s="31">
        <v>70</v>
      </c>
      <c r="E1512" s="29" t="s">
        <v>406</v>
      </c>
      <c r="F1512" s="29" t="str">
        <f>LOOKUP(A1512,'QALS - Inspection Lot Record'!A:A,'QALS - Inspection Lot Record'!G:G)</f>
        <v>AB406550</v>
      </c>
      <c r="G1512" s="59">
        <f ca="1">LOOKUP(A1512,'QALS - Inspection Lot Record'!A:A,'QALS - Inspection Lot Record'!E:E)</f>
        <v>45964</v>
      </c>
      <c r="H1512" s="34" t="str">
        <f t="shared" si="120"/>
        <v>R</v>
      </c>
      <c r="I1512" s="29" t="str">
        <f t="shared" si="116"/>
        <v>AB406550</v>
      </c>
      <c r="J1512" s="59">
        <f t="shared" ca="1" si="117"/>
        <v>45964</v>
      </c>
      <c r="K1512" s="30">
        <f ca="1">LOOKUP(A1512,'QALS - Inspection Lot Record'!A:A,'QALS - Inspection Lot Record'!I:I)</f>
        <v>0.93109953703703707</v>
      </c>
      <c r="L1512" s="59">
        <f t="shared" ca="1" si="118"/>
        <v>45964</v>
      </c>
      <c r="M1512" s="30">
        <f t="shared" ca="1" si="119"/>
        <v>0.96043981481481489</v>
      </c>
      <c r="N1512" s="31"/>
      <c r="O1512" s="31">
        <v>78.7</v>
      </c>
      <c r="P1512" s="29">
        <v>80</v>
      </c>
      <c r="Q1512" s="29">
        <v>90</v>
      </c>
    </row>
    <row r="1513" spans="1:17" x14ac:dyDescent="0.35">
      <c r="A1513" s="26">
        <v>40000002689</v>
      </c>
      <c r="B1513" s="31">
        <v>1</v>
      </c>
      <c r="C1513" s="29" t="str">
        <f>LOOKUP(A1513,'QALS - Inspection Lot Record'!$A$2:$A$361,'QALS - Inspection Lot Record'!$O$2:$O$361)</f>
        <v>Aspirin Tablets (500 MG)</v>
      </c>
      <c r="D1513" s="31">
        <v>80</v>
      </c>
      <c r="E1513" s="29" t="s">
        <v>407</v>
      </c>
      <c r="F1513" s="29" t="str">
        <f>LOOKUP(A1513,'QALS - Inspection Lot Record'!A:A,'QALS - Inspection Lot Record'!G:G)</f>
        <v>AB406550</v>
      </c>
      <c r="G1513" s="59">
        <f ca="1">LOOKUP(A1513,'QALS - Inspection Lot Record'!A:A,'QALS - Inspection Lot Record'!E:E)</f>
        <v>45964</v>
      </c>
      <c r="H1513" s="34" t="str">
        <f t="shared" si="120"/>
        <v>A</v>
      </c>
      <c r="I1513" s="29" t="str">
        <f t="shared" si="116"/>
        <v>AB406550</v>
      </c>
      <c r="J1513" s="59">
        <f t="shared" ca="1" si="117"/>
        <v>45964</v>
      </c>
      <c r="K1513" s="30">
        <f ca="1">LOOKUP(A1513,'QALS - Inspection Lot Record'!A:A,'QALS - Inspection Lot Record'!I:I)</f>
        <v>0.93109953703703707</v>
      </c>
      <c r="L1513" s="59">
        <f t="shared" ca="1" si="118"/>
        <v>45964</v>
      </c>
      <c r="M1513" s="30">
        <f t="shared" ca="1" si="119"/>
        <v>0.96001157407407411</v>
      </c>
      <c r="N1513" s="31"/>
      <c r="O1513" s="31">
        <v>25.5</v>
      </c>
      <c r="P1513" s="29">
        <v>23</v>
      </c>
      <c r="Q1513" s="29">
        <v>28</v>
      </c>
    </row>
    <row r="1514" spans="1:17" x14ac:dyDescent="0.35">
      <c r="A1514" s="26">
        <v>40000002690</v>
      </c>
      <c r="B1514" s="27">
        <v>1</v>
      </c>
      <c r="C1514" s="29" t="str">
        <f>LOOKUP(A1514,'QALS - Inspection Lot Record'!$A$2:$A$361,'QALS - Inspection Lot Record'!$O$2:$O$361)</f>
        <v>Metformin Tablets (100 MG)</v>
      </c>
      <c r="D1514" s="27">
        <v>10</v>
      </c>
      <c r="E1514" s="26" t="s">
        <v>399</v>
      </c>
      <c r="F1514" s="29" t="str">
        <f>LOOKUP(A1514,'QALS - Inspection Lot Record'!A:A,'QALS - Inspection Lot Record'!G:G)</f>
        <v>GC197258</v>
      </c>
      <c r="G1514" s="59">
        <f ca="1">LOOKUP(A1514,'QALS - Inspection Lot Record'!A:A,'QALS - Inspection Lot Record'!E:E)</f>
        <v>45964</v>
      </c>
      <c r="H1514" s="34" t="str">
        <f t="shared" si="120"/>
        <v>A</v>
      </c>
      <c r="I1514" s="29" t="str">
        <f t="shared" si="116"/>
        <v>GC197258</v>
      </c>
      <c r="J1514" s="59">
        <f t="shared" ca="1" si="117"/>
        <v>45964</v>
      </c>
      <c r="K1514" s="30">
        <f ca="1">LOOKUP(A1514,'QALS - Inspection Lot Record'!A:A,'QALS - Inspection Lot Record'!I:I)</f>
        <v>0.40586805555555555</v>
      </c>
      <c r="L1514" s="59">
        <f t="shared" ca="1" si="118"/>
        <v>45964</v>
      </c>
      <c r="M1514" s="30">
        <f t="shared" ca="1" si="119"/>
        <v>0.42571759259259256</v>
      </c>
      <c r="N1514" s="31"/>
      <c r="O1514" s="31">
        <v>98.5</v>
      </c>
      <c r="P1514" s="29">
        <v>95</v>
      </c>
      <c r="Q1514" s="29">
        <v>102</v>
      </c>
    </row>
    <row r="1515" spans="1:17" x14ac:dyDescent="0.35">
      <c r="A1515" s="26">
        <v>40000002690</v>
      </c>
      <c r="B1515" s="27">
        <v>1</v>
      </c>
      <c r="C1515" s="29" t="str">
        <f>LOOKUP(A1515,'QALS - Inspection Lot Record'!$A$2:$A$361,'QALS - Inspection Lot Record'!$O$2:$O$361)</f>
        <v>Metformin Tablets (100 MG)</v>
      </c>
      <c r="D1515" s="31">
        <v>20</v>
      </c>
      <c r="E1515" s="29" t="s">
        <v>400</v>
      </c>
      <c r="F1515" s="29" t="str">
        <f>LOOKUP(A1515,'QALS - Inspection Lot Record'!A:A,'QALS - Inspection Lot Record'!G:G)</f>
        <v>GC197258</v>
      </c>
      <c r="G1515" s="59">
        <f ca="1">LOOKUP(A1515,'QALS - Inspection Lot Record'!A:A,'QALS - Inspection Lot Record'!E:E)</f>
        <v>45964</v>
      </c>
      <c r="H1515" s="34" t="str">
        <f t="shared" si="120"/>
        <v>A</v>
      </c>
      <c r="I1515" s="29" t="str">
        <f t="shared" si="116"/>
        <v>GC197258</v>
      </c>
      <c r="J1515" s="59">
        <f t="shared" ca="1" si="117"/>
        <v>45964</v>
      </c>
      <c r="K1515" s="30">
        <f ca="1">LOOKUP(A1515,'QALS - Inspection Lot Record'!A:A,'QALS - Inspection Lot Record'!I:I)</f>
        <v>0.40586805555555555</v>
      </c>
      <c r="L1515" s="59">
        <f t="shared" ca="1" si="118"/>
        <v>45964</v>
      </c>
      <c r="M1515" s="30">
        <f t="shared" ca="1" si="119"/>
        <v>0.43166666666666664</v>
      </c>
      <c r="N1515" s="31"/>
      <c r="O1515" s="31">
        <v>7.25</v>
      </c>
      <c r="P1515" s="29">
        <v>3.5</v>
      </c>
      <c r="Q1515" s="29">
        <v>11</v>
      </c>
    </row>
    <row r="1516" spans="1:17" x14ac:dyDescent="0.35">
      <c r="A1516" s="26">
        <v>40000002690</v>
      </c>
      <c r="B1516" s="31">
        <v>1</v>
      </c>
      <c r="C1516" s="29" t="str">
        <f>LOOKUP(A1516,'QALS - Inspection Lot Record'!$A$2:$A$361,'QALS - Inspection Lot Record'!$O$2:$O$361)</f>
        <v>Metformin Tablets (100 MG)</v>
      </c>
      <c r="D1516" s="31">
        <v>30</v>
      </c>
      <c r="E1516" s="29" t="s">
        <v>401</v>
      </c>
      <c r="F1516" s="29" t="str">
        <f>LOOKUP(A1516,'QALS - Inspection Lot Record'!A:A,'QALS - Inspection Lot Record'!G:G)</f>
        <v>GC197258</v>
      </c>
      <c r="G1516" s="59">
        <f ca="1">LOOKUP(A1516,'QALS - Inspection Lot Record'!A:A,'QALS - Inspection Lot Record'!E:E)</f>
        <v>45964</v>
      </c>
      <c r="H1516" s="34" t="str">
        <f t="shared" si="120"/>
        <v>A</v>
      </c>
      <c r="I1516" s="29" t="str">
        <f t="shared" si="116"/>
        <v>GC197258</v>
      </c>
      <c r="J1516" s="59">
        <f t="shared" ca="1" si="117"/>
        <v>45964</v>
      </c>
      <c r="K1516" s="30">
        <f ca="1">LOOKUP(A1516,'QALS - Inspection Lot Record'!A:A,'QALS - Inspection Lot Record'!I:I)</f>
        <v>0.40586805555555555</v>
      </c>
      <c r="L1516" s="59">
        <f t="shared" ca="1" si="118"/>
        <v>45964</v>
      </c>
      <c r="M1516" s="30">
        <f t="shared" ca="1" si="119"/>
        <v>0.43503472222222223</v>
      </c>
      <c r="N1516" s="11" t="s">
        <v>402</v>
      </c>
      <c r="O1516" s="31"/>
      <c r="P1516" s="29"/>
      <c r="Q1516" s="29"/>
    </row>
    <row r="1517" spans="1:17" x14ac:dyDescent="0.35">
      <c r="A1517" s="26">
        <v>40000002690</v>
      </c>
      <c r="B1517" s="31">
        <v>1</v>
      </c>
      <c r="C1517" s="29" t="str">
        <f>LOOKUP(A1517,'QALS - Inspection Lot Record'!$A$2:$A$361,'QALS - Inspection Lot Record'!$O$2:$O$361)</f>
        <v>Metformin Tablets (100 MG)</v>
      </c>
      <c r="D1517" s="31">
        <v>40</v>
      </c>
      <c r="E1517" s="29" t="s">
        <v>403</v>
      </c>
      <c r="F1517" s="29" t="str">
        <f>LOOKUP(A1517,'QALS - Inspection Lot Record'!A:A,'QALS - Inspection Lot Record'!G:G)</f>
        <v>GC197258</v>
      </c>
      <c r="G1517" s="59">
        <f ca="1">LOOKUP(A1517,'QALS - Inspection Lot Record'!A:A,'QALS - Inspection Lot Record'!E:E)</f>
        <v>45964</v>
      </c>
      <c r="H1517" s="34" t="str">
        <f t="shared" si="120"/>
        <v>A</v>
      </c>
      <c r="I1517" s="29" t="str">
        <f t="shared" si="116"/>
        <v>GC197258</v>
      </c>
      <c r="J1517" s="59">
        <f t="shared" ca="1" si="117"/>
        <v>45964</v>
      </c>
      <c r="K1517" s="30">
        <f ca="1">LOOKUP(A1517,'QALS - Inspection Lot Record'!A:A,'QALS - Inspection Lot Record'!I:I)</f>
        <v>0.40586805555555555</v>
      </c>
      <c r="L1517" s="59">
        <f t="shared" ca="1" si="118"/>
        <v>45964</v>
      </c>
      <c r="M1517" s="30">
        <f t="shared" ca="1" si="119"/>
        <v>0.42635416666666665</v>
      </c>
      <c r="N1517" s="31"/>
      <c r="O1517" s="31">
        <v>0</v>
      </c>
      <c r="P1517" s="29">
        <v>0</v>
      </c>
      <c r="Q1517" s="29">
        <v>1</v>
      </c>
    </row>
    <row r="1518" spans="1:17" x14ac:dyDescent="0.35">
      <c r="A1518" s="26">
        <v>40000002690</v>
      </c>
      <c r="B1518" s="31">
        <v>1</v>
      </c>
      <c r="C1518" s="29" t="str">
        <f>LOOKUP(A1518,'QALS - Inspection Lot Record'!$A$2:$A$361,'QALS - Inspection Lot Record'!$O$2:$O$361)</f>
        <v>Metformin Tablets (100 MG)</v>
      </c>
      <c r="D1518" s="31">
        <v>50</v>
      </c>
      <c r="E1518" s="29" t="s">
        <v>404</v>
      </c>
      <c r="F1518" s="29" t="str">
        <f>LOOKUP(A1518,'QALS - Inspection Lot Record'!A:A,'QALS - Inspection Lot Record'!G:G)</f>
        <v>GC197258</v>
      </c>
      <c r="G1518" s="59">
        <f ca="1">LOOKUP(A1518,'QALS - Inspection Lot Record'!A:A,'QALS - Inspection Lot Record'!E:E)</f>
        <v>45964</v>
      </c>
      <c r="H1518" s="34" t="str">
        <f t="shared" si="120"/>
        <v>A</v>
      </c>
      <c r="I1518" s="29" t="str">
        <f t="shared" si="116"/>
        <v>GC197258</v>
      </c>
      <c r="J1518" s="59">
        <f t="shared" ca="1" si="117"/>
        <v>45964</v>
      </c>
      <c r="K1518" s="30">
        <f ca="1">LOOKUP(A1518,'QALS - Inspection Lot Record'!A:A,'QALS - Inspection Lot Record'!I:I)</f>
        <v>0.40586805555555555</v>
      </c>
      <c r="L1518" s="59">
        <f t="shared" ca="1" si="118"/>
        <v>45964</v>
      </c>
      <c r="M1518" s="30">
        <f t="shared" ca="1" si="119"/>
        <v>0.43149305555555556</v>
      </c>
      <c r="N1518" s="31"/>
      <c r="O1518" s="31">
        <v>50</v>
      </c>
      <c r="P1518" s="29">
        <v>40</v>
      </c>
      <c r="Q1518" s="29">
        <v>60</v>
      </c>
    </row>
    <row r="1519" spans="1:17" x14ac:dyDescent="0.35">
      <c r="A1519" s="26">
        <v>40000002690</v>
      </c>
      <c r="B1519" s="31">
        <v>1</v>
      </c>
      <c r="C1519" s="29" t="str">
        <f>LOOKUP(A1519,'QALS - Inspection Lot Record'!$A$2:$A$361,'QALS - Inspection Lot Record'!$O$2:$O$361)</f>
        <v>Metformin Tablets (100 MG)</v>
      </c>
      <c r="D1519" s="31">
        <v>60</v>
      </c>
      <c r="E1519" s="29" t="s">
        <v>405</v>
      </c>
      <c r="F1519" s="29" t="str">
        <f>LOOKUP(A1519,'QALS - Inspection Lot Record'!A:A,'QALS - Inspection Lot Record'!G:G)</f>
        <v>GC197258</v>
      </c>
      <c r="G1519" s="59">
        <f ca="1">LOOKUP(A1519,'QALS - Inspection Lot Record'!A:A,'QALS - Inspection Lot Record'!E:E)</f>
        <v>45964</v>
      </c>
      <c r="H1519" s="34" t="str">
        <f t="shared" si="120"/>
        <v>A</v>
      </c>
      <c r="I1519" s="29" t="str">
        <f t="shared" si="116"/>
        <v>GC197258</v>
      </c>
      <c r="J1519" s="59">
        <f t="shared" ca="1" si="117"/>
        <v>45964</v>
      </c>
      <c r="K1519" s="30">
        <f ca="1">LOOKUP(A1519,'QALS - Inspection Lot Record'!A:A,'QALS - Inspection Lot Record'!I:I)</f>
        <v>0.40586805555555555</v>
      </c>
      <c r="L1519" s="59">
        <f t="shared" ca="1" si="118"/>
        <v>45964</v>
      </c>
      <c r="M1519" s="30">
        <f t="shared" ca="1" si="119"/>
        <v>0.43047453703703703</v>
      </c>
      <c r="N1519" s="31"/>
      <c r="O1519" s="31">
        <v>77.5</v>
      </c>
      <c r="P1519" s="29">
        <v>70</v>
      </c>
      <c r="Q1519" s="29">
        <v>85</v>
      </c>
    </row>
    <row r="1520" spans="1:17" x14ac:dyDescent="0.35">
      <c r="A1520" s="26">
        <v>40000002690</v>
      </c>
      <c r="B1520" s="31">
        <v>1</v>
      </c>
      <c r="C1520" s="29" t="str">
        <f>LOOKUP(A1520,'QALS - Inspection Lot Record'!$A$2:$A$361,'QALS - Inspection Lot Record'!$O$2:$O$361)</f>
        <v>Metformin Tablets (100 MG)</v>
      </c>
      <c r="D1520" s="31">
        <v>70</v>
      </c>
      <c r="E1520" s="29" t="s">
        <v>406</v>
      </c>
      <c r="F1520" s="29" t="str">
        <f>LOOKUP(A1520,'QALS - Inspection Lot Record'!A:A,'QALS - Inspection Lot Record'!G:G)</f>
        <v>GC197258</v>
      </c>
      <c r="G1520" s="59">
        <f ca="1">LOOKUP(A1520,'QALS - Inspection Lot Record'!A:A,'QALS - Inspection Lot Record'!E:E)</f>
        <v>45964</v>
      </c>
      <c r="H1520" s="34" t="str">
        <f t="shared" si="120"/>
        <v>A</v>
      </c>
      <c r="I1520" s="29" t="str">
        <f t="shared" si="116"/>
        <v>GC197258</v>
      </c>
      <c r="J1520" s="59">
        <f t="shared" ca="1" si="117"/>
        <v>45964</v>
      </c>
      <c r="K1520" s="30">
        <f ca="1">LOOKUP(A1520,'QALS - Inspection Lot Record'!A:A,'QALS - Inspection Lot Record'!I:I)</f>
        <v>0.40586805555555555</v>
      </c>
      <c r="L1520" s="59">
        <f t="shared" ca="1" si="118"/>
        <v>45964</v>
      </c>
      <c r="M1520" s="30">
        <f t="shared" ca="1" si="119"/>
        <v>0.43785879629629632</v>
      </c>
      <c r="N1520" s="31"/>
      <c r="O1520" s="31">
        <v>85</v>
      </c>
      <c r="P1520" s="29">
        <v>80</v>
      </c>
      <c r="Q1520" s="29">
        <v>90</v>
      </c>
    </row>
    <row r="1521" spans="1:17" x14ac:dyDescent="0.35">
      <c r="A1521" s="26">
        <v>40000002690</v>
      </c>
      <c r="B1521" s="31">
        <v>1</v>
      </c>
      <c r="C1521" s="29" t="str">
        <f>LOOKUP(A1521,'QALS - Inspection Lot Record'!$A$2:$A$361,'QALS - Inspection Lot Record'!$O$2:$O$361)</f>
        <v>Metformin Tablets (100 MG)</v>
      </c>
      <c r="D1521" s="31">
        <v>80</v>
      </c>
      <c r="E1521" s="29" t="s">
        <v>407</v>
      </c>
      <c r="F1521" s="29" t="str">
        <f>LOOKUP(A1521,'QALS - Inspection Lot Record'!A:A,'QALS - Inspection Lot Record'!G:G)</f>
        <v>GC197258</v>
      </c>
      <c r="G1521" s="59">
        <f ca="1">LOOKUP(A1521,'QALS - Inspection Lot Record'!A:A,'QALS - Inspection Lot Record'!E:E)</f>
        <v>45964</v>
      </c>
      <c r="H1521" s="34" t="str">
        <f t="shared" si="120"/>
        <v>R</v>
      </c>
      <c r="I1521" s="29" t="str">
        <f t="shared" si="116"/>
        <v>GC197258</v>
      </c>
      <c r="J1521" s="59">
        <f t="shared" ca="1" si="117"/>
        <v>45964</v>
      </c>
      <c r="K1521" s="30">
        <f ca="1">LOOKUP(A1521,'QALS - Inspection Lot Record'!A:A,'QALS - Inspection Lot Record'!I:I)</f>
        <v>0.40586805555555555</v>
      </c>
      <c r="L1521" s="59">
        <f t="shared" ca="1" si="118"/>
        <v>45964</v>
      </c>
      <c r="M1521" s="30">
        <f t="shared" ca="1" si="119"/>
        <v>0.4254398148148148</v>
      </c>
      <c r="N1521" s="31"/>
      <c r="O1521" s="31">
        <v>21.4</v>
      </c>
      <c r="P1521" s="29">
        <v>23</v>
      </c>
      <c r="Q1521" s="29">
        <v>25</v>
      </c>
    </row>
    <row r="1522" spans="1:17" x14ac:dyDescent="0.35">
      <c r="A1522" s="26">
        <v>40000002691</v>
      </c>
      <c r="B1522" s="27">
        <v>1</v>
      </c>
      <c r="C1522" s="29" t="str">
        <f>LOOKUP(A1522,'QALS - Inspection Lot Record'!$A$2:$A$361,'QALS - Inspection Lot Record'!$O$2:$O$361)</f>
        <v>Metformin Tablets (500 MG)</v>
      </c>
      <c r="D1522" s="27">
        <v>10</v>
      </c>
      <c r="E1522" s="26" t="s">
        <v>399</v>
      </c>
      <c r="F1522" s="29" t="str">
        <f>LOOKUP(A1522,'QALS - Inspection Lot Record'!A:A,'QALS - Inspection Lot Record'!G:G)</f>
        <v>ZK384180</v>
      </c>
      <c r="G1522" s="59">
        <f ca="1">LOOKUP(A1522,'QALS - Inspection Lot Record'!A:A,'QALS - Inspection Lot Record'!E:E)</f>
        <v>45965</v>
      </c>
      <c r="H1522" s="34" t="str">
        <f t="shared" si="120"/>
        <v>R</v>
      </c>
      <c r="I1522" s="29" t="str">
        <f t="shared" si="116"/>
        <v>ZK384180</v>
      </c>
      <c r="J1522" s="59">
        <f t="shared" ca="1" si="117"/>
        <v>45965</v>
      </c>
      <c r="K1522" s="30">
        <f ca="1">LOOKUP(A1522,'QALS - Inspection Lot Record'!A:A,'QALS - Inspection Lot Record'!I:I)</f>
        <v>0.86321759259259256</v>
      </c>
      <c r="L1522" s="59">
        <f t="shared" ca="1" si="118"/>
        <v>45965</v>
      </c>
      <c r="M1522" s="30">
        <f t="shared" ca="1" si="119"/>
        <v>0.88569444444444445</v>
      </c>
      <c r="N1522" s="31"/>
      <c r="O1522" s="31">
        <v>93.4</v>
      </c>
      <c r="P1522" s="29">
        <v>95</v>
      </c>
      <c r="Q1522" s="29">
        <v>105</v>
      </c>
    </row>
    <row r="1523" spans="1:17" x14ac:dyDescent="0.35">
      <c r="A1523" s="26">
        <v>40000002691</v>
      </c>
      <c r="B1523" s="27">
        <v>1</v>
      </c>
      <c r="C1523" s="29" t="str">
        <f>LOOKUP(A1523,'QALS - Inspection Lot Record'!$A$2:$A$361,'QALS - Inspection Lot Record'!$O$2:$O$361)</f>
        <v>Metformin Tablets (500 MG)</v>
      </c>
      <c r="D1523" s="31">
        <v>20</v>
      </c>
      <c r="E1523" s="29" t="s">
        <v>400</v>
      </c>
      <c r="F1523" s="29" t="str">
        <f>LOOKUP(A1523,'QALS - Inspection Lot Record'!A:A,'QALS - Inspection Lot Record'!G:G)</f>
        <v>ZK384180</v>
      </c>
      <c r="G1523" s="59">
        <f ca="1">LOOKUP(A1523,'QALS - Inspection Lot Record'!A:A,'QALS - Inspection Lot Record'!E:E)</f>
        <v>45965</v>
      </c>
      <c r="H1523" s="34" t="str">
        <f t="shared" si="120"/>
        <v>A</v>
      </c>
      <c r="I1523" s="29" t="str">
        <f t="shared" si="116"/>
        <v>ZK384180</v>
      </c>
      <c r="J1523" s="59">
        <f t="shared" ca="1" si="117"/>
        <v>45965</v>
      </c>
      <c r="K1523" s="30">
        <f ca="1">LOOKUP(A1523,'QALS - Inspection Lot Record'!A:A,'QALS - Inspection Lot Record'!I:I)</f>
        <v>0.86321759259259256</v>
      </c>
      <c r="L1523" s="59">
        <f t="shared" ca="1" si="118"/>
        <v>45965</v>
      </c>
      <c r="M1523" s="30">
        <f t="shared" ca="1" si="119"/>
        <v>0.89165509259259257</v>
      </c>
      <c r="N1523" s="31"/>
      <c r="O1523" s="31">
        <v>7.3</v>
      </c>
      <c r="P1523" s="29">
        <v>3.5</v>
      </c>
      <c r="Q1523" s="29">
        <v>11</v>
      </c>
    </row>
    <row r="1524" spans="1:17" x14ac:dyDescent="0.35">
      <c r="A1524" s="26">
        <v>40000002691</v>
      </c>
      <c r="B1524" s="31">
        <v>1</v>
      </c>
      <c r="C1524" s="29" t="str">
        <f>LOOKUP(A1524,'QALS - Inspection Lot Record'!$A$2:$A$361,'QALS - Inspection Lot Record'!$O$2:$O$361)</f>
        <v>Metformin Tablets (500 MG)</v>
      </c>
      <c r="D1524" s="31">
        <v>30</v>
      </c>
      <c r="E1524" s="29" t="s">
        <v>401</v>
      </c>
      <c r="F1524" s="29" t="str">
        <f>LOOKUP(A1524,'QALS - Inspection Lot Record'!A:A,'QALS - Inspection Lot Record'!G:G)</f>
        <v>ZK384180</v>
      </c>
      <c r="G1524" s="59">
        <f ca="1">LOOKUP(A1524,'QALS - Inspection Lot Record'!A:A,'QALS - Inspection Lot Record'!E:E)</f>
        <v>45965</v>
      </c>
      <c r="H1524" s="34" t="str">
        <f t="shared" si="120"/>
        <v>A</v>
      </c>
      <c r="I1524" s="29" t="str">
        <f t="shared" si="116"/>
        <v>ZK384180</v>
      </c>
      <c r="J1524" s="59">
        <f t="shared" ca="1" si="117"/>
        <v>45965</v>
      </c>
      <c r="K1524" s="30">
        <f ca="1">LOOKUP(A1524,'QALS - Inspection Lot Record'!A:A,'QALS - Inspection Lot Record'!I:I)</f>
        <v>0.86321759259259256</v>
      </c>
      <c r="L1524" s="59">
        <f t="shared" ca="1" si="118"/>
        <v>45965</v>
      </c>
      <c r="M1524" s="30">
        <f t="shared" ca="1" si="119"/>
        <v>0.89023148148148146</v>
      </c>
      <c r="N1524" s="11" t="s">
        <v>402</v>
      </c>
      <c r="O1524" s="31"/>
      <c r="P1524" s="29"/>
      <c r="Q1524" s="29"/>
    </row>
    <row r="1525" spans="1:17" x14ac:dyDescent="0.35">
      <c r="A1525" s="26">
        <v>40000002691</v>
      </c>
      <c r="B1525" s="31">
        <v>1</v>
      </c>
      <c r="C1525" s="29" t="str">
        <f>LOOKUP(A1525,'QALS - Inspection Lot Record'!$A$2:$A$361,'QALS - Inspection Lot Record'!$O$2:$O$361)</f>
        <v>Metformin Tablets (500 MG)</v>
      </c>
      <c r="D1525" s="31">
        <v>40</v>
      </c>
      <c r="E1525" s="29" t="s">
        <v>403</v>
      </c>
      <c r="F1525" s="29" t="str">
        <f>LOOKUP(A1525,'QALS - Inspection Lot Record'!A:A,'QALS - Inspection Lot Record'!G:G)</f>
        <v>ZK384180</v>
      </c>
      <c r="G1525" s="59">
        <f ca="1">LOOKUP(A1525,'QALS - Inspection Lot Record'!A:A,'QALS - Inspection Lot Record'!E:E)</f>
        <v>45965</v>
      </c>
      <c r="H1525" s="34" t="str">
        <f t="shared" si="120"/>
        <v>A</v>
      </c>
      <c r="I1525" s="29" t="str">
        <f t="shared" si="116"/>
        <v>ZK384180</v>
      </c>
      <c r="J1525" s="59">
        <f t="shared" ca="1" si="117"/>
        <v>45965</v>
      </c>
      <c r="K1525" s="30">
        <f ca="1">LOOKUP(A1525,'QALS - Inspection Lot Record'!A:A,'QALS - Inspection Lot Record'!I:I)</f>
        <v>0.86321759259259256</v>
      </c>
      <c r="L1525" s="59">
        <f t="shared" ca="1" si="118"/>
        <v>45965</v>
      </c>
      <c r="M1525" s="30">
        <f t="shared" ca="1" si="119"/>
        <v>0.8820486111111111</v>
      </c>
      <c r="N1525" s="31"/>
      <c r="O1525" s="31">
        <v>1.6</v>
      </c>
      <c r="P1525" s="29">
        <v>0</v>
      </c>
      <c r="Q1525" s="29">
        <v>2</v>
      </c>
    </row>
    <row r="1526" spans="1:17" x14ac:dyDescent="0.35">
      <c r="A1526" s="26">
        <v>40000002691</v>
      </c>
      <c r="B1526" s="31">
        <v>1</v>
      </c>
      <c r="C1526" s="29" t="str">
        <f>LOOKUP(A1526,'QALS - Inspection Lot Record'!$A$2:$A$361,'QALS - Inspection Lot Record'!$O$2:$O$361)</f>
        <v>Metformin Tablets (500 MG)</v>
      </c>
      <c r="D1526" s="31">
        <v>50</v>
      </c>
      <c r="E1526" s="29" t="s">
        <v>404</v>
      </c>
      <c r="F1526" s="29" t="str">
        <f>LOOKUP(A1526,'QALS - Inspection Lot Record'!A:A,'QALS - Inspection Lot Record'!G:G)</f>
        <v>ZK384180</v>
      </c>
      <c r="G1526" s="59">
        <f ca="1">LOOKUP(A1526,'QALS - Inspection Lot Record'!A:A,'QALS - Inspection Lot Record'!E:E)</f>
        <v>45965</v>
      </c>
      <c r="H1526" s="34" t="str">
        <f t="shared" si="120"/>
        <v>A</v>
      </c>
      <c r="I1526" s="29" t="str">
        <f t="shared" si="116"/>
        <v>ZK384180</v>
      </c>
      <c r="J1526" s="59">
        <f t="shared" ca="1" si="117"/>
        <v>45965</v>
      </c>
      <c r="K1526" s="30">
        <f ca="1">LOOKUP(A1526,'QALS - Inspection Lot Record'!A:A,'QALS - Inspection Lot Record'!I:I)</f>
        <v>0.86321759259259256</v>
      </c>
      <c r="L1526" s="59">
        <f t="shared" ca="1" si="118"/>
        <v>45965</v>
      </c>
      <c r="M1526" s="30">
        <f t="shared" ca="1" si="119"/>
        <v>0.8837962962962963</v>
      </c>
      <c r="N1526" s="31"/>
      <c r="O1526" s="31">
        <v>41.4</v>
      </c>
      <c r="P1526" s="29">
        <v>40</v>
      </c>
      <c r="Q1526" s="29">
        <v>60</v>
      </c>
    </row>
    <row r="1527" spans="1:17" x14ac:dyDescent="0.35">
      <c r="A1527" s="26">
        <v>40000002691</v>
      </c>
      <c r="B1527" s="31">
        <v>1</v>
      </c>
      <c r="C1527" s="29" t="str">
        <f>LOOKUP(A1527,'QALS - Inspection Lot Record'!$A$2:$A$361,'QALS - Inspection Lot Record'!$O$2:$O$361)</f>
        <v>Metformin Tablets (500 MG)</v>
      </c>
      <c r="D1527" s="31">
        <v>60</v>
      </c>
      <c r="E1527" s="29" t="s">
        <v>405</v>
      </c>
      <c r="F1527" s="29" t="str">
        <f>LOOKUP(A1527,'QALS - Inspection Lot Record'!A:A,'QALS - Inspection Lot Record'!G:G)</f>
        <v>ZK384180</v>
      </c>
      <c r="G1527" s="59">
        <f ca="1">LOOKUP(A1527,'QALS - Inspection Lot Record'!A:A,'QALS - Inspection Lot Record'!E:E)</f>
        <v>45965</v>
      </c>
      <c r="H1527" s="34" t="str">
        <f t="shared" si="120"/>
        <v>A</v>
      </c>
      <c r="I1527" s="29" t="str">
        <f t="shared" si="116"/>
        <v>ZK384180</v>
      </c>
      <c r="J1527" s="59">
        <f t="shared" ca="1" si="117"/>
        <v>45965</v>
      </c>
      <c r="K1527" s="30">
        <f ca="1">LOOKUP(A1527,'QALS - Inspection Lot Record'!A:A,'QALS - Inspection Lot Record'!I:I)</f>
        <v>0.86321759259259256</v>
      </c>
      <c r="L1527" s="59">
        <f t="shared" ca="1" si="118"/>
        <v>45965</v>
      </c>
      <c r="M1527" s="30">
        <f t="shared" ca="1" si="119"/>
        <v>0.8858449074074074</v>
      </c>
      <c r="N1527" s="31"/>
      <c r="O1527" s="31">
        <v>71.099999999999994</v>
      </c>
      <c r="P1527" s="29">
        <v>70</v>
      </c>
      <c r="Q1527" s="29">
        <v>85</v>
      </c>
    </row>
    <row r="1528" spans="1:17" x14ac:dyDescent="0.35">
      <c r="A1528" s="26">
        <v>40000002691</v>
      </c>
      <c r="B1528" s="31">
        <v>1</v>
      </c>
      <c r="C1528" s="29" t="str">
        <f>LOOKUP(A1528,'QALS - Inspection Lot Record'!$A$2:$A$361,'QALS - Inspection Lot Record'!$O$2:$O$361)</f>
        <v>Metformin Tablets (500 MG)</v>
      </c>
      <c r="D1528" s="31">
        <v>70</v>
      </c>
      <c r="E1528" s="29" t="s">
        <v>406</v>
      </c>
      <c r="F1528" s="29" t="str">
        <f>LOOKUP(A1528,'QALS - Inspection Lot Record'!A:A,'QALS - Inspection Lot Record'!G:G)</f>
        <v>ZK384180</v>
      </c>
      <c r="G1528" s="59">
        <f ca="1">LOOKUP(A1528,'QALS - Inspection Lot Record'!A:A,'QALS - Inspection Lot Record'!E:E)</f>
        <v>45965</v>
      </c>
      <c r="H1528" s="34" t="str">
        <f t="shared" si="120"/>
        <v>A</v>
      </c>
      <c r="I1528" s="29" t="str">
        <f t="shared" si="116"/>
        <v>ZK384180</v>
      </c>
      <c r="J1528" s="59">
        <f t="shared" ca="1" si="117"/>
        <v>45965</v>
      </c>
      <c r="K1528" s="30">
        <f ca="1">LOOKUP(A1528,'QALS - Inspection Lot Record'!A:A,'QALS - Inspection Lot Record'!I:I)</f>
        <v>0.86321759259259256</v>
      </c>
      <c r="L1528" s="59">
        <f t="shared" ca="1" si="118"/>
        <v>45965</v>
      </c>
      <c r="M1528" s="30">
        <f t="shared" ca="1" si="119"/>
        <v>0.89761574074074069</v>
      </c>
      <c r="N1528" s="31"/>
      <c r="O1528" s="31">
        <v>82</v>
      </c>
      <c r="P1528" s="29">
        <v>80</v>
      </c>
      <c r="Q1528" s="29">
        <v>90</v>
      </c>
    </row>
    <row r="1529" spans="1:17" x14ac:dyDescent="0.35">
      <c r="A1529" s="26">
        <v>40000002691</v>
      </c>
      <c r="B1529" s="31">
        <v>1</v>
      </c>
      <c r="C1529" s="29" t="str">
        <f>LOOKUP(A1529,'QALS - Inspection Lot Record'!$A$2:$A$361,'QALS - Inspection Lot Record'!$O$2:$O$361)</f>
        <v>Metformin Tablets (500 MG)</v>
      </c>
      <c r="D1529" s="31">
        <v>80</v>
      </c>
      <c r="E1529" s="29" t="s">
        <v>407</v>
      </c>
      <c r="F1529" s="29" t="str">
        <f>LOOKUP(A1529,'QALS - Inspection Lot Record'!A:A,'QALS - Inspection Lot Record'!G:G)</f>
        <v>ZK384180</v>
      </c>
      <c r="G1529" s="59">
        <f ca="1">LOOKUP(A1529,'QALS - Inspection Lot Record'!A:A,'QALS - Inspection Lot Record'!E:E)</f>
        <v>45965</v>
      </c>
      <c r="H1529" s="34" t="str">
        <f t="shared" si="120"/>
        <v>A</v>
      </c>
      <c r="I1529" s="29" t="str">
        <f t="shared" si="116"/>
        <v>ZK384180</v>
      </c>
      <c r="J1529" s="59">
        <f t="shared" ca="1" si="117"/>
        <v>45965</v>
      </c>
      <c r="K1529" s="30">
        <f ca="1">LOOKUP(A1529,'QALS - Inspection Lot Record'!A:A,'QALS - Inspection Lot Record'!I:I)</f>
        <v>0.86321759259259256</v>
      </c>
      <c r="L1529" s="59">
        <f t="shared" ca="1" si="118"/>
        <v>45965</v>
      </c>
      <c r="M1529" s="30">
        <f t="shared" ca="1" si="119"/>
        <v>0.89516203703703701</v>
      </c>
      <c r="N1529" s="31"/>
      <c r="O1529" s="31">
        <v>25.5</v>
      </c>
      <c r="P1529" s="29">
        <v>23</v>
      </c>
      <c r="Q1529" s="29">
        <v>28</v>
      </c>
    </row>
    <row r="1530" spans="1:17" x14ac:dyDescent="0.35">
      <c r="A1530" s="26">
        <v>40000002692</v>
      </c>
      <c r="B1530" s="27">
        <v>1</v>
      </c>
      <c r="C1530" s="29" t="str">
        <f>LOOKUP(A1530,'QALS - Inspection Lot Record'!$A$2:$A$361,'QALS - Inspection Lot Record'!$O$2:$O$361)</f>
        <v>Metformin Tablets (200 MG)</v>
      </c>
      <c r="D1530" s="27">
        <v>10</v>
      </c>
      <c r="E1530" s="26" t="s">
        <v>399</v>
      </c>
      <c r="F1530" s="29" t="str">
        <f>LOOKUP(A1530,'QALS - Inspection Lot Record'!A:A,'QALS - Inspection Lot Record'!G:G)</f>
        <v>GC197258</v>
      </c>
      <c r="G1530" s="59">
        <f ca="1">LOOKUP(A1530,'QALS - Inspection Lot Record'!A:A,'QALS - Inspection Lot Record'!E:E)</f>
        <v>45965</v>
      </c>
      <c r="H1530" s="34" t="str">
        <f t="shared" si="120"/>
        <v>R</v>
      </c>
      <c r="I1530" s="29" t="str">
        <f t="shared" si="116"/>
        <v>GC197258</v>
      </c>
      <c r="J1530" s="59">
        <f t="shared" ca="1" si="117"/>
        <v>45965</v>
      </c>
      <c r="K1530" s="30">
        <f ca="1">LOOKUP(A1530,'QALS - Inspection Lot Record'!A:A,'QALS - Inspection Lot Record'!I:I)</f>
        <v>0.1746412037037037</v>
      </c>
      <c r="L1530" s="59">
        <f t="shared" ca="1" si="118"/>
        <v>45965</v>
      </c>
      <c r="M1530" s="30">
        <f t="shared" ca="1" si="119"/>
        <v>0.20076388888888888</v>
      </c>
      <c r="N1530" s="31"/>
      <c r="O1530" s="31">
        <v>93.8</v>
      </c>
      <c r="P1530" s="29">
        <v>95</v>
      </c>
      <c r="Q1530" s="29">
        <v>103</v>
      </c>
    </row>
    <row r="1531" spans="1:17" x14ac:dyDescent="0.35">
      <c r="A1531" s="26">
        <v>40000002692</v>
      </c>
      <c r="B1531" s="27">
        <v>1</v>
      </c>
      <c r="C1531" s="29" t="str">
        <f>LOOKUP(A1531,'QALS - Inspection Lot Record'!$A$2:$A$361,'QALS - Inspection Lot Record'!$O$2:$O$361)</f>
        <v>Metformin Tablets (200 MG)</v>
      </c>
      <c r="D1531" s="31">
        <v>20</v>
      </c>
      <c r="E1531" s="29" t="s">
        <v>400</v>
      </c>
      <c r="F1531" s="29" t="str">
        <f>LOOKUP(A1531,'QALS - Inspection Lot Record'!A:A,'QALS - Inspection Lot Record'!G:G)</f>
        <v>GC197258</v>
      </c>
      <c r="G1531" s="59">
        <f ca="1">LOOKUP(A1531,'QALS - Inspection Lot Record'!A:A,'QALS - Inspection Lot Record'!E:E)</f>
        <v>45965</v>
      </c>
      <c r="H1531" s="34" t="str">
        <f t="shared" si="120"/>
        <v>A</v>
      </c>
      <c r="I1531" s="29" t="str">
        <f t="shared" si="116"/>
        <v>GC197258</v>
      </c>
      <c r="J1531" s="59">
        <f t="shared" ca="1" si="117"/>
        <v>45965</v>
      </c>
      <c r="K1531" s="30">
        <f ca="1">LOOKUP(A1531,'QALS - Inspection Lot Record'!A:A,'QALS - Inspection Lot Record'!I:I)</f>
        <v>0.1746412037037037</v>
      </c>
      <c r="L1531" s="59">
        <f t="shared" ca="1" si="118"/>
        <v>45965</v>
      </c>
      <c r="M1531" s="30">
        <f t="shared" ca="1" si="119"/>
        <v>0.19836805555555556</v>
      </c>
      <c r="N1531" s="31"/>
      <c r="O1531" s="31">
        <v>7.8</v>
      </c>
      <c r="P1531" s="29">
        <v>6</v>
      </c>
      <c r="Q1531" s="29">
        <v>9.5</v>
      </c>
    </row>
    <row r="1532" spans="1:17" x14ac:dyDescent="0.35">
      <c r="A1532" s="26">
        <v>40000002692</v>
      </c>
      <c r="B1532" s="31">
        <v>1</v>
      </c>
      <c r="C1532" s="29" t="str">
        <f>LOOKUP(A1532,'QALS - Inspection Lot Record'!$A$2:$A$361,'QALS - Inspection Lot Record'!$O$2:$O$361)</f>
        <v>Metformin Tablets (200 MG)</v>
      </c>
      <c r="D1532" s="31">
        <v>30</v>
      </c>
      <c r="E1532" s="29" t="s">
        <v>401</v>
      </c>
      <c r="F1532" s="29" t="str">
        <f>LOOKUP(A1532,'QALS - Inspection Lot Record'!A:A,'QALS - Inspection Lot Record'!G:G)</f>
        <v>GC197258</v>
      </c>
      <c r="G1532" s="59">
        <f ca="1">LOOKUP(A1532,'QALS - Inspection Lot Record'!A:A,'QALS - Inspection Lot Record'!E:E)</f>
        <v>45965</v>
      </c>
      <c r="H1532" s="34" t="str">
        <f t="shared" si="120"/>
        <v>A</v>
      </c>
      <c r="I1532" s="29" t="str">
        <f t="shared" si="116"/>
        <v>GC197258</v>
      </c>
      <c r="J1532" s="59">
        <f t="shared" ca="1" si="117"/>
        <v>45965</v>
      </c>
      <c r="K1532" s="30">
        <f ca="1">LOOKUP(A1532,'QALS - Inspection Lot Record'!A:A,'QALS - Inspection Lot Record'!I:I)</f>
        <v>0.1746412037037037</v>
      </c>
      <c r="L1532" s="59">
        <f t="shared" ca="1" si="118"/>
        <v>45965</v>
      </c>
      <c r="M1532" s="30">
        <f t="shared" ca="1" si="119"/>
        <v>0.19269675925925925</v>
      </c>
      <c r="N1532" s="11" t="s">
        <v>402</v>
      </c>
      <c r="O1532" s="31"/>
      <c r="P1532" s="29"/>
      <c r="Q1532" s="29"/>
    </row>
    <row r="1533" spans="1:17" x14ac:dyDescent="0.35">
      <c r="A1533" s="26">
        <v>40000002692</v>
      </c>
      <c r="B1533" s="31">
        <v>1</v>
      </c>
      <c r="C1533" s="29" t="str">
        <f>LOOKUP(A1533,'QALS - Inspection Lot Record'!$A$2:$A$361,'QALS - Inspection Lot Record'!$O$2:$O$361)</f>
        <v>Metformin Tablets (200 MG)</v>
      </c>
      <c r="D1533" s="31">
        <v>40</v>
      </c>
      <c r="E1533" s="29" t="s">
        <v>403</v>
      </c>
      <c r="F1533" s="29" t="str">
        <f>LOOKUP(A1533,'QALS - Inspection Lot Record'!A:A,'QALS - Inspection Lot Record'!G:G)</f>
        <v>GC197258</v>
      </c>
      <c r="G1533" s="59">
        <f ca="1">LOOKUP(A1533,'QALS - Inspection Lot Record'!A:A,'QALS - Inspection Lot Record'!E:E)</f>
        <v>45965</v>
      </c>
      <c r="H1533" s="34" t="str">
        <f t="shared" si="120"/>
        <v>A</v>
      </c>
      <c r="I1533" s="29" t="str">
        <f t="shared" si="116"/>
        <v>GC197258</v>
      </c>
      <c r="J1533" s="59">
        <f t="shared" ca="1" si="117"/>
        <v>45965</v>
      </c>
      <c r="K1533" s="30">
        <f ca="1">LOOKUP(A1533,'QALS - Inspection Lot Record'!A:A,'QALS - Inspection Lot Record'!I:I)</f>
        <v>0.1746412037037037</v>
      </c>
      <c r="L1533" s="59">
        <f t="shared" ca="1" si="118"/>
        <v>45965</v>
      </c>
      <c r="M1533" s="30">
        <f t="shared" ca="1" si="119"/>
        <v>0.19243055555555555</v>
      </c>
      <c r="N1533" s="31"/>
      <c r="O1533" s="31">
        <v>1.6</v>
      </c>
      <c r="P1533" s="29">
        <v>0</v>
      </c>
      <c r="Q1533" s="29">
        <v>2</v>
      </c>
    </row>
    <row r="1534" spans="1:17" x14ac:dyDescent="0.35">
      <c r="A1534" s="26">
        <v>40000002692</v>
      </c>
      <c r="B1534" s="31">
        <v>1</v>
      </c>
      <c r="C1534" s="29" t="str">
        <f>LOOKUP(A1534,'QALS - Inspection Lot Record'!$A$2:$A$361,'QALS - Inspection Lot Record'!$O$2:$O$361)</f>
        <v>Metformin Tablets (200 MG)</v>
      </c>
      <c r="D1534" s="31">
        <v>50</v>
      </c>
      <c r="E1534" s="29" t="s">
        <v>404</v>
      </c>
      <c r="F1534" s="29" t="str">
        <f>LOOKUP(A1534,'QALS - Inspection Lot Record'!A:A,'QALS - Inspection Lot Record'!G:G)</f>
        <v>GC197258</v>
      </c>
      <c r="G1534" s="59">
        <f ca="1">LOOKUP(A1534,'QALS - Inspection Lot Record'!A:A,'QALS - Inspection Lot Record'!E:E)</f>
        <v>45965</v>
      </c>
      <c r="H1534" s="34" t="str">
        <f t="shared" si="120"/>
        <v>A</v>
      </c>
      <c r="I1534" s="29" t="str">
        <f t="shared" si="116"/>
        <v>GC197258</v>
      </c>
      <c r="J1534" s="59">
        <f t="shared" ca="1" si="117"/>
        <v>45965</v>
      </c>
      <c r="K1534" s="30">
        <f ca="1">LOOKUP(A1534,'QALS - Inspection Lot Record'!A:A,'QALS - Inspection Lot Record'!I:I)</f>
        <v>0.1746412037037037</v>
      </c>
      <c r="L1534" s="59">
        <f t="shared" ca="1" si="118"/>
        <v>45965</v>
      </c>
      <c r="M1534" s="30">
        <f t="shared" ca="1" si="119"/>
        <v>0.20113425925925926</v>
      </c>
      <c r="N1534" s="31"/>
      <c r="O1534" s="31">
        <v>41.5</v>
      </c>
      <c r="P1534" s="29">
        <v>40</v>
      </c>
      <c r="Q1534" s="29">
        <v>60</v>
      </c>
    </row>
    <row r="1535" spans="1:17" x14ac:dyDescent="0.35">
      <c r="A1535" s="26">
        <v>40000002692</v>
      </c>
      <c r="B1535" s="31">
        <v>1</v>
      </c>
      <c r="C1535" s="29" t="str">
        <f>LOOKUP(A1535,'QALS - Inspection Lot Record'!$A$2:$A$361,'QALS - Inspection Lot Record'!$O$2:$O$361)</f>
        <v>Metformin Tablets (200 MG)</v>
      </c>
      <c r="D1535" s="31">
        <v>60</v>
      </c>
      <c r="E1535" s="29" t="s">
        <v>405</v>
      </c>
      <c r="F1535" s="29" t="str">
        <f>LOOKUP(A1535,'QALS - Inspection Lot Record'!A:A,'QALS - Inspection Lot Record'!G:G)</f>
        <v>GC197258</v>
      </c>
      <c r="G1535" s="59">
        <f ca="1">LOOKUP(A1535,'QALS - Inspection Lot Record'!A:A,'QALS - Inspection Lot Record'!E:E)</f>
        <v>45965</v>
      </c>
      <c r="H1535" s="34" t="str">
        <f t="shared" si="120"/>
        <v>A</v>
      </c>
      <c r="I1535" s="29" t="str">
        <f t="shared" si="116"/>
        <v>GC197258</v>
      </c>
      <c r="J1535" s="59">
        <f t="shared" ca="1" si="117"/>
        <v>45965</v>
      </c>
      <c r="K1535" s="30">
        <f ca="1">LOOKUP(A1535,'QALS - Inspection Lot Record'!A:A,'QALS - Inspection Lot Record'!I:I)</f>
        <v>0.1746412037037037</v>
      </c>
      <c r="L1535" s="59">
        <f t="shared" ca="1" si="118"/>
        <v>45965</v>
      </c>
      <c r="M1535" s="30">
        <f t="shared" ca="1" si="119"/>
        <v>0.20357638888888888</v>
      </c>
      <c r="N1535" s="31"/>
      <c r="O1535" s="31">
        <v>71.8</v>
      </c>
      <c r="P1535" s="29">
        <v>70</v>
      </c>
      <c r="Q1535" s="29">
        <v>85</v>
      </c>
    </row>
    <row r="1536" spans="1:17" x14ac:dyDescent="0.35">
      <c r="A1536" s="26">
        <v>40000002692</v>
      </c>
      <c r="B1536" s="31">
        <v>1</v>
      </c>
      <c r="C1536" s="29" t="str">
        <f>LOOKUP(A1536,'QALS - Inspection Lot Record'!$A$2:$A$361,'QALS - Inspection Lot Record'!$O$2:$O$361)</f>
        <v>Metformin Tablets (200 MG)</v>
      </c>
      <c r="D1536" s="31">
        <v>70</v>
      </c>
      <c r="E1536" s="29" t="s">
        <v>406</v>
      </c>
      <c r="F1536" s="29" t="str">
        <f>LOOKUP(A1536,'QALS - Inspection Lot Record'!A:A,'QALS - Inspection Lot Record'!G:G)</f>
        <v>GC197258</v>
      </c>
      <c r="G1536" s="59">
        <f ca="1">LOOKUP(A1536,'QALS - Inspection Lot Record'!A:A,'QALS - Inspection Lot Record'!E:E)</f>
        <v>45965</v>
      </c>
      <c r="H1536" s="34" t="str">
        <f t="shared" si="120"/>
        <v>A</v>
      </c>
      <c r="I1536" s="29" t="str">
        <f t="shared" si="116"/>
        <v>GC197258</v>
      </c>
      <c r="J1536" s="59">
        <f t="shared" ca="1" si="117"/>
        <v>45965</v>
      </c>
      <c r="K1536" s="30">
        <f ca="1">LOOKUP(A1536,'QALS - Inspection Lot Record'!A:A,'QALS - Inspection Lot Record'!I:I)</f>
        <v>0.1746412037037037</v>
      </c>
      <c r="L1536" s="59">
        <f t="shared" ca="1" si="118"/>
        <v>45965</v>
      </c>
      <c r="M1536" s="30">
        <f t="shared" ca="1" si="119"/>
        <v>0.19855324074074074</v>
      </c>
      <c r="N1536" s="31"/>
      <c r="O1536" s="31">
        <v>81.3</v>
      </c>
      <c r="P1536" s="29">
        <v>80</v>
      </c>
      <c r="Q1536" s="29">
        <v>90</v>
      </c>
    </row>
    <row r="1537" spans="1:17" x14ac:dyDescent="0.35">
      <c r="A1537" s="26">
        <v>40000002692</v>
      </c>
      <c r="B1537" s="31">
        <v>1</v>
      </c>
      <c r="C1537" s="29" t="str">
        <f>LOOKUP(A1537,'QALS - Inspection Lot Record'!$A$2:$A$361,'QALS - Inspection Lot Record'!$O$2:$O$361)</f>
        <v>Metformin Tablets (200 MG)</v>
      </c>
      <c r="D1537" s="31">
        <v>80</v>
      </c>
      <c r="E1537" s="29" t="s">
        <v>407</v>
      </c>
      <c r="F1537" s="29" t="str">
        <f>LOOKUP(A1537,'QALS - Inspection Lot Record'!A:A,'QALS - Inspection Lot Record'!G:G)</f>
        <v>GC197258</v>
      </c>
      <c r="G1537" s="59">
        <f ca="1">LOOKUP(A1537,'QALS - Inspection Lot Record'!A:A,'QALS - Inspection Lot Record'!E:E)</f>
        <v>45965</v>
      </c>
      <c r="H1537" s="34" t="str">
        <f t="shared" si="120"/>
        <v>A</v>
      </c>
      <c r="I1537" s="29" t="str">
        <f t="shared" si="116"/>
        <v>GC197258</v>
      </c>
      <c r="J1537" s="59">
        <f t="shared" ca="1" si="117"/>
        <v>45965</v>
      </c>
      <c r="K1537" s="30">
        <f ca="1">LOOKUP(A1537,'QALS - Inspection Lot Record'!A:A,'QALS - Inspection Lot Record'!I:I)</f>
        <v>0.1746412037037037</v>
      </c>
      <c r="L1537" s="59">
        <f t="shared" ca="1" si="118"/>
        <v>45965</v>
      </c>
      <c r="M1537" s="30">
        <f t="shared" ca="1" si="119"/>
        <v>0.2058912037037037</v>
      </c>
      <c r="N1537" s="31"/>
      <c r="O1537" s="31">
        <v>25.5</v>
      </c>
      <c r="P1537" s="29">
        <v>23</v>
      </c>
      <c r="Q1537" s="29">
        <v>28</v>
      </c>
    </row>
    <row r="1538" spans="1:17" x14ac:dyDescent="0.35">
      <c r="A1538" s="26">
        <v>40000002693</v>
      </c>
      <c r="B1538" s="27">
        <v>1</v>
      </c>
      <c r="C1538" s="29" t="str">
        <f>LOOKUP(A1538,'QALS - Inspection Lot Record'!$A$2:$A$361,'QALS - Inspection Lot Record'!$O$2:$O$361)</f>
        <v>Ibuprofen Tablets (100 MG)</v>
      </c>
      <c r="D1538" s="27">
        <v>10</v>
      </c>
      <c r="E1538" s="26" t="s">
        <v>399</v>
      </c>
      <c r="F1538" s="29" t="str">
        <f>LOOKUP(A1538,'QALS - Inspection Lot Record'!A:A,'QALS - Inspection Lot Record'!G:G)</f>
        <v>ZK384180</v>
      </c>
      <c r="G1538" s="59">
        <f ca="1">LOOKUP(A1538,'QALS - Inspection Lot Record'!A:A,'QALS - Inspection Lot Record'!E:E)</f>
        <v>45966</v>
      </c>
      <c r="H1538" s="34" t="str">
        <f t="shared" si="120"/>
        <v>A</v>
      </c>
      <c r="I1538" s="29" t="str">
        <f t="shared" ref="I1538:I1601" si="121">F1538</f>
        <v>ZK384180</v>
      </c>
      <c r="J1538" s="59">
        <f t="shared" ref="J1538:J1601" ca="1" si="122">G1538</f>
        <v>45966</v>
      </c>
      <c r="K1538" s="30">
        <f ca="1">LOOKUP(A1538,'QALS - Inspection Lot Record'!A:A,'QALS - Inspection Lot Record'!I:I)</f>
        <v>0.93777777777777782</v>
      </c>
      <c r="L1538" s="59">
        <f t="shared" ref="L1538:L1601" ca="1" si="123">G1538</f>
        <v>45966</v>
      </c>
      <c r="M1538" s="30">
        <f t="shared" ref="M1538:M1601" ca="1" si="124">K1538+TIME(0,RANDBETWEEN(25,50),RANDBETWEEN(0,59))</f>
        <v>0.96193287037037045</v>
      </c>
      <c r="N1538" s="31"/>
      <c r="O1538" s="31">
        <v>98.5</v>
      </c>
      <c r="P1538" s="29">
        <v>95</v>
      </c>
      <c r="Q1538" s="29">
        <v>102</v>
      </c>
    </row>
    <row r="1539" spans="1:17" x14ac:dyDescent="0.35">
      <c r="A1539" s="26">
        <v>40000002693</v>
      </c>
      <c r="B1539" s="27">
        <v>1</v>
      </c>
      <c r="C1539" s="29" t="str">
        <f>LOOKUP(A1539,'QALS - Inspection Lot Record'!$A$2:$A$361,'QALS - Inspection Lot Record'!$O$2:$O$361)</f>
        <v>Ibuprofen Tablets (100 MG)</v>
      </c>
      <c r="D1539" s="31">
        <v>20</v>
      </c>
      <c r="E1539" s="29" t="s">
        <v>400</v>
      </c>
      <c r="F1539" s="29" t="str">
        <f>LOOKUP(A1539,'QALS - Inspection Lot Record'!A:A,'QALS - Inspection Lot Record'!G:G)</f>
        <v>ZK384180</v>
      </c>
      <c r="G1539" s="59">
        <f ca="1">LOOKUP(A1539,'QALS - Inspection Lot Record'!A:A,'QALS - Inspection Lot Record'!E:E)</f>
        <v>45966</v>
      </c>
      <c r="H1539" s="34" t="str">
        <f t="shared" si="120"/>
        <v>A</v>
      </c>
      <c r="I1539" s="29" t="str">
        <f t="shared" si="121"/>
        <v>ZK384180</v>
      </c>
      <c r="J1539" s="59">
        <f t="shared" ca="1" si="122"/>
        <v>45966</v>
      </c>
      <c r="K1539" s="30">
        <f ca="1">LOOKUP(A1539,'QALS - Inspection Lot Record'!A:A,'QALS - Inspection Lot Record'!I:I)</f>
        <v>0.93777777777777782</v>
      </c>
      <c r="L1539" s="59">
        <f t="shared" ca="1" si="123"/>
        <v>45966</v>
      </c>
      <c r="M1539" s="30">
        <f t="shared" ca="1" si="124"/>
        <v>0.96909722222222228</v>
      </c>
      <c r="N1539" s="31"/>
      <c r="O1539" s="31">
        <v>7.25</v>
      </c>
      <c r="P1539" s="29">
        <v>3.5</v>
      </c>
      <c r="Q1539" s="29">
        <v>11</v>
      </c>
    </row>
    <row r="1540" spans="1:17" x14ac:dyDescent="0.35">
      <c r="A1540" s="26">
        <v>40000002693</v>
      </c>
      <c r="B1540" s="31">
        <v>1</v>
      </c>
      <c r="C1540" s="29" t="str">
        <f>LOOKUP(A1540,'QALS - Inspection Lot Record'!$A$2:$A$361,'QALS - Inspection Lot Record'!$O$2:$O$361)</f>
        <v>Ibuprofen Tablets (100 MG)</v>
      </c>
      <c r="D1540" s="31">
        <v>30</v>
      </c>
      <c r="E1540" s="29" t="s">
        <v>401</v>
      </c>
      <c r="F1540" s="29" t="str">
        <f>LOOKUP(A1540,'QALS - Inspection Lot Record'!A:A,'QALS - Inspection Lot Record'!G:G)</f>
        <v>ZK384180</v>
      </c>
      <c r="G1540" s="59">
        <f ca="1">LOOKUP(A1540,'QALS - Inspection Lot Record'!A:A,'QALS - Inspection Lot Record'!E:E)</f>
        <v>45966</v>
      </c>
      <c r="H1540" s="34" t="str">
        <f t="shared" si="120"/>
        <v>A</v>
      </c>
      <c r="I1540" s="29" t="str">
        <f t="shared" si="121"/>
        <v>ZK384180</v>
      </c>
      <c r="J1540" s="59">
        <f t="shared" ca="1" si="122"/>
        <v>45966</v>
      </c>
      <c r="K1540" s="30">
        <f ca="1">LOOKUP(A1540,'QALS - Inspection Lot Record'!A:A,'QALS - Inspection Lot Record'!I:I)</f>
        <v>0.93777777777777782</v>
      </c>
      <c r="L1540" s="59">
        <f t="shared" ca="1" si="123"/>
        <v>45966</v>
      </c>
      <c r="M1540" s="30">
        <f t="shared" ca="1" si="124"/>
        <v>0.97309027777777779</v>
      </c>
      <c r="N1540" s="11" t="s">
        <v>402</v>
      </c>
      <c r="O1540" s="31"/>
      <c r="P1540" s="29"/>
      <c r="Q1540" s="29"/>
    </row>
    <row r="1541" spans="1:17" x14ac:dyDescent="0.35">
      <c r="A1541" s="26">
        <v>40000002693</v>
      </c>
      <c r="B1541" s="31">
        <v>1</v>
      </c>
      <c r="C1541" s="29" t="str">
        <f>LOOKUP(A1541,'QALS - Inspection Lot Record'!$A$2:$A$361,'QALS - Inspection Lot Record'!$O$2:$O$361)</f>
        <v>Ibuprofen Tablets (100 MG)</v>
      </c>
      <c r="D1541" s="31">
        <v>40</v>
      </c>
      <c r="E1541" s="29" t="s">
        <v>403</v>
      </c>
      <c r="F1541" s="29" t="str">
        <f>LOOKUP(A1541,'QALS - Inspection Lot Record'!A:A,'QALS - Inspection Lot Record'!G:G)</f>
        <v>ZK384180</v>
      </c>
      <c r="G1541" s="59">
        <f ca="1">LOOKUP(A1541,'QALS - Inspection Lot Record'!A:A,'QALS - Inspection Lot Record'!E:E)</f>
        <v>45966</v>
      </c>
      <c r="H1541" s="34" t="str">
        <f t="shared" si="120"/>
        <v>A</v>
      </c>
      <c r="I1541" s="29" t="str">
        <f t="shared" si="121"/>
        <v>ZK384180</v>
      </c>
      <c r="J1541" s="59">
        <f t="shared" ca="1" si="122"/>
        <v>45966</v>
      </c>
      <c r="K1541" s="30">
        <f ca="1">LOOKUP(A1541,'QALS - Inspection Lot Record'!A:A,'QALS - Inspection Lot Record'!I:I)</f>
        <v>0.93777777777777782</v>
      </c>
      <c r="L1541" s="59">
        <f t="shared" ca="1" si="123"/>
        <v>45966</v>
      </c>
      <c r="M1541" s="30">
        <f t="shared" ca="1" si="124"/>
        <v>0.95759259259259266</v>
      </c>
      <c r="N1541" s="31"/>
      <c r="O1541" s="31">
        <v>0</v>
      </c>
      <c r="P1541" s="29">
        <v>0</v>
      </c>
      <c r="Q1541" s="29">
        <v>1</v>
      </c>
    </row>
    <row r="1542" spans="1:17" x14ac:dyDescent="0.35">
      <c r="A1542" s="26">
        <v>40000002693</v>
      </c>
      <c r="B1542" s="31">
        <v>1</v>
      </c>
      <c r="C1542" s="29" t="str">
        <f>LOOKUP(A1542,'QALS - Inspection Lot Record'!$A$2:$A$361,'QALS - Inspection Lot Record'!$O$2:$O$361)</f>
        <v>Ibuprofen Tablets (100 MG)</v>
      </c>
      <c r="D1542" s="31">
        <v>50</v>
      </c>
      <c r="E1542" s="29" t="s">
        <v>404</v>
      </c>
      <c r="F1542" s="29" t="str">
        <f>LOOKUP(A1542,'QALS - Inspection Lot Record'!A:A,'QALS - Inspection Lot Record'!G:G)</f>
        <v>ZK384180</v>
      </c>
      <c r="G1542" s="59">
        <f ca="1">LOOKUP(A1542,'QALS - Inspection Lot Record'!A:A,'QALS - Inspection Lot Record'!E:E)</f>
        <v>45966</v>
      </c>
      <c r="H1542" s="34" t="str">
        <f t="shared" si="120"/>
        <v>A</v>
      </c>
      <c r="I1542" s="29" t="str">
        <f t="shared" si="121"/>
        <v>ZK384180</v>
      </c>
      <c r="J1542" s="59">
        <f t="shared" ca="1" si="122"/>
        <v>45966</v>
      </c>
      <c r="K1542" s="30">
        <f ca="1">LOOKUP(A1542,'QALS - Inspection Lot Record'!A:A,'QALS - Inspection Lot Record'!I:I)</f>
        <v>0.93777777777777782</v>
      </c>
      <c r="L1542" s="59">
        <f t="shared" ca="1" si="123"/>
        <v>45966</v>
      </c>
      <c r="M1542" s="30">
        <f t="shared" ca="1" si="124"/>
        <v>0.95789351851851856</v>
      </c>
      <c r="N1542" s="31"/>
      <c r="O1542" s="31">
        <v>50</v>
      </c>
      <c r="P1542" s="29">
        <v>40</v>
      </c>
      <c r="Q1542" s="29">
        <v>60</v>
      </c>
    </row>
    <row r="1543" spans="1:17" x14ac:dyDescent="0.35">
      <c r="A1543" s="26">
        <v>40000002693</v>
      </c>
      <c r="B1543" s="31">
        <v>1</v>
      </c>
      <c r="C1543" s="29" t="str">
        <f>LOOKUP(A1543,'QALS - Inspection Lot Record'!$A$2:$A$361,'QALS - Inspection Lot Record'!$O$2:$O$361)</f>
        <v>Ibuprofen Tablets (100 MG)</v>
      </c>
      <c r="D1543" s="31">
        <v>60</v>
      </c>
      <c r="E1543" s="29" t="s">
        <v>405</v>
      </c>
      <c r="F1543" s="29" t="str">
        <f>LOOKUP(A1543,'QALS - Inspection Lot Record'!A:A,'QALS - Inspection Lot Record'!G:G)</f>
        <v>ZK384180</v>
      </c>
      <c r="G1543" s="59">
        <f ca="1">LOOKUP(A1543,'QALS - Inspection Lot Record'!A:A,'QALS - Inspection Lot Record'!E:E)</f>
        <v>45966</v>
      </c>
      <c r="H1543" s="34" t="str">
        <f t="shared" si="120"/>
        <v>A</v>
      </c>
      <c r="I1543" s="29" t="str">
        <f t="shared" si="121"/>
        <v>ZK384180</v>
      </c>
      <c r="J1543" s="59">
        <f t="shared" ca="1" si="122"/>
        <v>45966</v>
      </c>
      <c r="K1543" s="30">
        <f ca="1">LOOKUP(A1543,'QALS - Inspection Lot Record'!A:A,'QALS - Inspection Lot Record'!I:I)</f>
        <v>0.93777777777777782</v>
      </c>
      <c r="L1543" s="59">
        <f t="shared" ca="1" si="123"/>
        <v>45966</v>
      </c>
      <c r="M1543" s="30">
        <f t="shared" ca="1" si="124"/>
        <v>0.96803240740740748</v>
      </c>
      <c r="N1543" s="31"/>
      <c r="O1543" s="31">
        <v>77.5</v>
      </c>
      <c r="P1543" s="29">
        <v>70</v>
      </c>
      <c r="Q1543" s="29">
        <v>85</v>
      </c>
    </row>
    <row r="1544" spans="1:17" x14ac:dyDescent="0.35">
      <c r="A1544" s="26">
        <v>40000002693</v>
      </c>
      <c r="B1544" s="31">
        <v>1</v>
      </c>
      <c r="C1544" s="29" t="str">
        <f>LOOKUP(A1544,'QALS - Inspection Lot Record'!$A$2:$A$361,'QALS - Inspection Lot Record'!$O$2:$O$361)</f>
        <v>Ibuprofen Tablets (100 MG)</v>
      </c>
      <c r="D1544" s="31">
        <v>70</v>
      </c>
      <c r="E1544" s="29" t="s">
        <v>406</v>
      </c>
      <c r="F1544" s="29" t="str">
        <f>LOOKUP(A1544,'QALS - Inspection Lot Record'!A:A,'QALS - Inspection Lot Record'!G:G)</f>
        <v>ZK384180</v>
      </c>
      <c r="G1544" s="59">
        <f ca="1">LOOKUP(A1544,'QALS - Inspection Lot Record'!A:A,'QALS - Inspection Lot Record'!E:E)</f>
        <v>45966</v>
      </c>
      <c r="H1544" s="34" t="str">
        <f t="shared" si="120"/>
        <v>A</v>
      </c>
      <c r="I1544" s="29" t="str">
        <f t="shared" si="121"/>
        <v>ZK384180</v>
      </c>
      <c r="J1544" s="59">
        <f t="shared" ca="1" si="122"/>
        <v>45966</v>
      </c>
      <c r="K1544" s="30">
        <f ca="1">LOOKUP(A1544,'QALS - Inspection Lot Record'!A:A,'QALS - Inspection Lot Record'!I:I)</f>
        <v>0.93777777777777782</v>
      </c>
      <c r="L1544" s="59">
        <f t="shared" ca="1" si="123"/>
        <v>45966</v>
      </c>
      <c r="M1544" s="30">
        <f t="shared" ca="1" si="124"/>
        <v>0.96615740740740741</v>
      </c>
      <c r="N1544" s="31"/>
      <c r="O1544" s="31">
        <v>85</v>
      </c>
      <c r="P1544" s="29">
        <v>80</v>
      </c>
      <c r="Q1544" s="29">
        <v>90</v>
      </c>
    </row>
    <row r="1545" spans="1:17" x14ac:dyDescent="0.35">
      <c r="A1545" s="26">
        <v>40000002693</v>
      </c>
      <c r="B1545" s="31">
        <v>1</v>
      </c>
      <c r="C1545" s="29" t="str">
        <f>LOOKUP(A1545,'QALS - Inspection Lot Record'!$A$2:$A$361,'QALS - Inspection Lot Record'!$O$2:$O$361)</f>
        <v>Ibuprofen Tablets (100 MG)</v>
      </c>
      <c r="D1545" s="31">
        <v>80</v>
      </c>
      <c r="E1545" s="29" t="s">
        <v>407</v>
      </c>
      <c r="F1545" s="29" t="str">
        <f>LOOKUP(A1545,'QALS - Inspection Lot Record'!A:A,'QALS - Inspection Lot Record'!G:G)</f>
        <v>ZK384180</v>
      </c>
      <c r="G1545" s="59">
        <f ca="1">LOOKUP(A1545,'QALS - Inspection Lot Record'!A:A,'QALS - Inspection Lot Record'!E:E)</f>
        <v>45966</v>
      </c>
      <c r="H1545" s="34" t="str">
        <f t="shared" si="120"/>
        <v>A</v>
      </c>
      <c r="I1545" s="29" t="str">
        <f t="shared" si="121"/>
        <v>ZK384180</v>
      </c>
      <c r="J1545" s="59">
        <f t="shared" ca="1" si="122"/>
        <v>45966</v>
      </c>
      <c r="K1545" s="30">
        <f ca="1">LOOKUP(A1545,'QALS - Inspection Lot Record'!A:A,'QALS - Inspection Lot Record'!I:I)</f>
        <v>0.93777777777777782</v>
      </c>
      <c r="L1545" s="59">
        <f t="shared" ca="1" si="123"/>
        <v>45966</v>
      </c>
      <c r="M1545" s="30">
        <f t="shared" ca="1" si="124"/>
        <v>0.9613194444444445</v>
      </c>
      <c r="N1545" s="31"/>
      <c r="O1545" s="31">
        <v>24</v>
      </c>
      <c r="P1545" s="29">
        <v>23</v>
      </c>
      <c r="Q1545" s="29">
        <v>25</v>
      </c>
    </row>
    <row r="1546" spans="1:17" x14ac:dyDescent="0.35">
      <c r="A1546" s="26">
        <v>40000002694</v>
      </c>
      <c r="B1546" s="27">
        <v>1</v>
      </c>
      <c r="C1546" s="29" t="str">
        <f>LOOKUP(A1546,'QALS - Inspection Lot Record'!$A$2:$A$361,'QALS - Inspection Lot Record'!$O$2:$O$361)</f>
        <v>Metformin Tablets (100 MG)</v>
      </c>
      <c r="D1546" s="27">
        <v>10</v>
      </c>
      <c r="E1546" s="26" t="s">
        <v>399</v>
      </c>
      <c r="F1546" s="29" t="str">
        <f>LOOKUP(A1546,'QALS - Inspection Lot Record'!A:A,'QALS - Inspection Lot Record'!G:G)</f>
        <v>TG509538</v>
      </c>
      <c r="G1546" s="59">
        <f ca="1">LOOKUP(A1546,'QALS - Inspection Lot Record'!A:A,'QALS - Inspection Lot Record'!E:E)</f>
        <v>45966</v>
      </c>
      <c r="H1546" s="34" t="str">
        <f t="shared" ref="H1546:H1609" si="125">IF(AND(P1546&lt;=O1546,O1546&lt;=Q1546),"A","R")</f>
        <v>A</v>
      </c>
      <c r="I1546" s="29" t="str">
        <f t="shared" si="121"/>
        <v>TG509538</v>
      </c>
      <c r="J1546" s="59">
        <f t="shared" ca="1" si="122"/>
        <v>45966</v>
      </c>
      <c r="K1546" s="30">
        <f ca="1">LOOKUP(A1546,'QALS - Inspection Lot Record'!A:A,'QALS - Inspection Lot Record'!I:I)</f>
        <v>0.37486111111111109</v>
      </c>
      <c r="L1546" s="59">
        <f t="shared" ca="1" si="123"/>
        <v>45966</v>
      </c>
      <c r="M1546" s="30">
        <f t="shared" ca="1" si="124"/>
        <v>0.40120370370370367</v>
      </c>
      <c r="N1546" s="31"/>
      <c r="O1546" s="31">
        <v>98.5</v>
      </c>
      <c r="P1546" s="29">
        <v>95</v>
      </c>
      <c r="Q1546" s="29">
        <v>102</v>
      </c>
    </row>
    <row r="1547" spans="1:17" x14ac:dyDescent="0.35">
      <c r="A1547" s="26">
        <v>40000002694</v>
      </c>
      <c r="B1547" s="27">
        <v>1</v>
      </c>
      <c r="C1547" s="29" t="str">
        <f>LOOKUP(A1547,'QALS - Inspection Lot Record'!$A$2:$A$361,'QALS - Inspection Lot Record'!$O$2:$O$361)</f>
        <v>Metformin Tablets (100 MG)</v>
      </c>
      <c r="D1547" s="31">
        <v>20</v>
      </c>
      <c r="E1547" s="29" t="s">
        <v>400</v>
      </c>
      <c r="F1547" s="29" t="str">
        <f>LOOKUP(A1547,'QALS - Inspection Lot Record'!A:A,'QALS - Inspection Lot Record'!G:G)</f>
        <v>TG509538</v>
      </c>
      <c r="G1547" s="59">
        <f ca="1">LOOKUP(A1547,'QALS - Inspection Lot Record'!A:A,'QALS - Inspection Lot Record'!E:E)</f>
        <v>45966</v>
      </c>
      <c r="H1547" s="34" t="str">
        <f t="shared" si="125"/>
        <v>A</v>
      </c>
      <c r="I1547" s="29" t="str">
        <f t="shared" si="121"/>
        <v>TG509538</v>
      </c>
      <c r="J1547" s="59">
        <f t="shared" ca="1" si="122"/>
        <v>45966</v>
      </c>
      <c r="K1547" s="30">
        <f ca="1">LOOKUP(A1547,'QALS - Inspection Lot Record'!A:A,'QALS - Inspection Lot Record'!I:I)</f>
        <v>0.37486111111111109</v>
      </c>
      <c r="L1547" s="59">
        <f t="shared" ca="1" si="123"/>
        <v>45966</v>
      </c>
      <c r="M1547" s="30">
        <f t="shared" ca="1" si="124"/>
        <v>0.39905092592592589</v>
      </c>
      <c r="N1547" s="31"/>
      <c r="O1547" s="31">
        <v>7.25</v>
      </c>
      <c r="P1547" s="29">
        <v>3.5</v>
      </c>
      <c r="Q1547" s="29">
        <v>11</v>
      </c>
    </row>
    <row r="1548" spans="1:17" x14ac:dyDescent="0.35">
      <c r="A1548" s="26">
        <v>40000002694</v>
      </c>
      <c r="B1548" s="31">
        <v>1</v>
      </c>
      <c r="C1548" s="29" t="str">
        <f>LOOKUP(A1548,'QALS - Inspection Lot Record'!$A$2:$A$361,'QALS - Inspection Lot Record'!$O$2:$O$361)</f>
        <v>Metformin Tablets (100 MG)</v>
      </c>
      <c r="D1548" s="31">
        <v>30</v>
      </c>
      <c r="E1548" s="29" t="s">
        <v>401</v>
      </c>
      <c r="F1548" s="29" t="str">
        <f>LOOKUP(A1548,'QALS - Inspection Lot Record'!A:A,'QALS - Inspection Lot Record'!G:G)</f>
        <v>TG509538</v>
      </c>
      <c r="G1548" s="59">
        <f ca="1">LOOKUP(A1548,'QALS - Inspection Lot Record'!A:A,'QALS - Inspection Lot Record'!E:E)</f>
        <v>45966</v>
      </c>
      <c r="H1548" s="34" t="str">
        <f t="shared" si="125"/>
        <v>A</v>
      </c>
      <c r="I1548" s="29" t="str">
        <f t="shared" si="121"/>
        <v>TG509538</v>
      </c>
      <c r="J1548" s="59">
        <f t="shared" ca="1" si="122"/>
        <v>45966</v>
      </c>
      <c r="K1548" s="30">
        <f ca="1">LOOKUP(A1548,'QALS - Inspection Lot Record'!A:A,'QALS - Inspection Lot Record'!I:I)</f>
        <v>0.37486111111111109</v>
      </c>
      <c r="L1548" s="59">
        <f t="shared" ca="1" si="123"/>
        <v>45966</v>
      </c>
      <c r="M1548" s="30">
        <f t="shared" ca="1" si="124"/>
        <v>0.40837962962962959</v>
      </c>
      <c r="N1548" s="11" t="s">
        <v>402</v>
      </c>
      <c r="O1548" s="31"/>
      <c r="P1548" s="29"/>
      <c r="Q1548" s="29"/>
    </row>
    <row r="1549" spans="1:17" x14ac:dyDescent="0.35">
      <c r="A1549" s="26">
        <v>40000002694</v>
      </c>
      <c r="B1549" s="31">
        <v>1</v>
      </c>
      <c r="C1549" s="29" t="str">
        <f>LOOKUP(A1549,'QALS - Inspection Lot Record'!$A$2:$A$361,'QALS - Inspection Lot Record'!$O$2:$O$361)</f>
        <v>Metformin Tablets (100 MG)</v>
      </c>
      <c r="D1549" s="31">
        <v>40</v>
      </c>
      <c r="E1549" s="29" t="s">
        <v>403</v>
      </c>
      <c r="F1549" s="29" t="str">
        <f>LOOKUP(A1549,'QALS - Inspection Lot Record'!A:A,'QALS - Inspection Lot Record'!G:G)</f>
        <v>TG509538</v>
      </c>
      <c r="G1549" s="59">
        <f ca="1">LOOKUP(A1549,'QALS - Inspection Lot Record'!A:A,'QALS - Inspection Lot Record'!E:E)</f>
        <v>45966</v>
      </c>
      <c r="H1549" s="34" t="str">
        <f t="shared" si="125"/>
        <v>A</v>
      </c>
      <c r="I1549" s="29" t="str">
        <f t="shared" si="121"/>
        <v>TG509538</v>
      </c>
      <c r="J1549" s="59">
        <f t="shared" ca="1" si="122"/>
        <v>45966</v>
      </c>
      <c r="K1549" s="30">
        <f ca="1">LOOKUP(A1549,'QALS - Inspection Lot Record'!A:A,'QALS - Inspection Lot Record'!I:I)</f>
        <v>0.37486111111111109</v>
      </c>
      <c r="L1549" s="59">
        <f t="shared" ca="1" si="123"/>
        <v>45966</v>
      </c>
      <c r="M1549" s="30">
        <f t="shared" ca="1" si="124"/>
        <v>0.40364583333333331</v>
      </c>
      <c r="N1549" s="31"/>
      <c r="O1549" s="31">
        <v>0</v>
      </c>
      <c r="P1549" s="29">
        <v>0</v>
      </c>
      <c r="Q1549" s="29">
        <v>1</v>
      </c>
    </row>
    <row r="1550" spans="1:17" x14ac:dyDescent="0.35">
      <c r="A1550" s="26">
        <v>40000002694</v>
      </c>
      <c r="B1550" s="31">
        <v>1</v>
      </c>
      <c r="C1550" s="29" t="str">
        <f>LOOKUP(A1550,'QALS - Inspection Lot Record'!$A$2:$A$361,'QALS - Inspection Lot Record'!$O$2:$O$361)</f>
        <v>Metformin Tablets (100 MG)</v>
      </c>
      <c r="D1550" s="31">
        <v>50</v>
      </c>
      <c r="E1550" s="29" t="s">
        <v>404</v>
      </c>
      <c r="F1550" s="29" t="str">
        <f>LOOKUP(A1550,'QALS - Inspection Lot Record'!A:A,'QALS - Inspection Lot Record'!G:G)</f>
        <v>TG509538</v>
      </c>
      <c r="G1550" s="59">
        <f ca="1">LOOKUP(A1550,'QALS - Inspection Lot Record'!A:A,'QALS - Inspection Lot Record'!E:E)</f>
        <v>45966</v>
      </c>
      <c r="H1550" s="34" t="str">
        <f t="shared" si="125"/>
        <v>A</v>
      </c>
      <c r="I1550" s="29" t="str">
        <f t="shared" si="121"/>
        <v>TG509538</v>
      </c>
      <c r="J1550" s="59">
        <f t="shared" ca="1" si="122"/>
        <v>45966</v>
      </c>
      <c r="K1550" s="30">
        <f ca="1">LOOKUP(A1550,'QALS - Inspection Lot Record'!A:A,'QALS - Inspection Lot Record'!I:I)</f>
        <v>0.37486111111111109</v>
      </c>
      <c r="L1550" s="59">
        <f t="shared" ca="1" si="123"/>
        <v>45966</v>
      </c>
      <c r="M1550" s="30">
        <f t="shared" ca="1" si="124"/>
        <v>0.40877314814814814</v>
      </c>
      <c r="N1550" s="31"/>
      <c r="O1550" s="31">
        <v>50</v>
      </c>
      <c r="P1550" s="29">
        <v>40</v>
      </c>
      <c r="Q1550" s="29">
        <v>60</v>
      </c>
    </row>
    <row r="1551" spans="1:17" x14ac:dyDescent="0.35">
      <c r="A1551" s="26">
        <v>40000002694</v>
      </c>
      <c r="B1551" s="31">
        <v>1</v>
      </c>
      <c r="C1551" s="29" t="str">
        <f>LOOKUP(A1551,'QALS - Inspection Lot Record'!$A$2:$A$361,'QALS - Inspection Lot Record'!$O$2:$O$361)</f>
        <v>Metformin Tablets (100 MG)</v>
      </c>
      <c r="D1551" s="31">
        <v>60</v>
      </c>
      <c r="E1551" s="29" t="s">
        <v>405</v>
      </c>
      <c r="F1551" s="29" t="str">
        <f>LOOKUP(A1551,'QALS - Inspection Lot Record'!A:A,'QALS - Inspection Lot Record'!G:G)</f>
        <v>TG509538</v>
      </c>
      <c r="G1551" s="59">
        <f ca="1">LOOKUP(A1551,'QALS - Inspection Lot Record'!A:A,'QALS - Inspection Lot Record'!E:E)</f>
        <v>45966</v>
      </c>
      <c r="H1551" s="34" t="str">
        <f t="shared" si="125"/>
        <v>A</v>
      </c>
      <c r="I1551" s="29" t="str">
        <f t="shared" si="121"/>
        <v>TG509538</v>
      </c>
      <c r="J1551" s="59">
        <f t="shared" ca="1" si="122"/>
        <v>45966</v>
      </c>
      <c r="K1551" s="30">
        <f ca="1">LOOKUP(A1551,'QALS - Inspection Lot Record'!A:A,'QALS - Inspection Lot Record'!I:I)</f>
        <v>0.37486111111111109</v>
      </c>
      <c r="L1551" s="59">
        <f t="shared" ca="1" si="123"/>
        <v>45966</v>
      </c>
      <c r="M1551" s="30">
        <f t="shared" ca="1" si="124"/>
        <v>0.40891203703703705</v>
      </c>
      <c r="N1551" s="31"/>
      <c r="O1551" s="31">
        <v>77.5</v>
      </c>
      <c r="P1551" s="29">
        <v>70</v>
      </c>
      <c r="Q1551" s="29">
        <v>85</v>
      </c>
    </row>
    <row r="1552" spans="1:17" x14ac:dyDescent="0.35">
      <c r="A1552" s="26">
        <v>40000002694</v>
      </c>
      <c r="B1552" s="31">
        <v>1</v>
      </c>
      <c r="C1552" s="29" t="str">
        <f>LOOKUP(A1552,'QALS - Inspection Lot Record'!$A$2:$A$361,'QALS - Inspection Lot Record'!$O$2:$O$361)</f>
        <v>Metformin Tablets (100 MG)</v>
      </c>
      <c r="D1552" s="31">
        <v>70</v>
      </c>
      <c r="E1552" s="29" t="s">
        <v>406</v>
      </c>
      <c r="F1552" s="29" t="str">
        <f>LOOKUP(A1552,'QALS - Inspection Lot Record'!A:A,'QALS - Inspection Lot Record'!G:G)</f>
        <v>TG509538</v>
      </c>
      <c r="G1552" s="59">
        <f ca="1">LOOKUP(A1552,'QALS - Inspection Lot Record'!A:A,'QALS - Inspection Lot Record'!E:E)</f>
        <v>45966</v>
      </c>
      <c r="H1552" s="34" t="str">
        <f t="shared" si="125"/>
        <v>A</v>
      </c>
      <c r="I1552" s="29" t="str">
        <f t="shared" si="121"/>
        <v>TG509538</v>
      </c>
      <c r="J1552" s="59">
        <f t="shared" ca="1" si="122"/>
        <v>45966</v>
      </c>
      <c r="K1552" s="30">
        <f ca="1">LOOKUP(A1552,'QALS - Inspection Lot Record'!A:A,'QALS - Inspection Lot Record'!I:I)</f>
        <v>0.37486111111111109</v>
      </c>
      <c r="L1552" s="59">
        <f t="shared" ca="1" si="123"/>
        <v>45966</v>
      </c>
      <c r="M1552" s="30">
        <f t="shared" ca="1" si="124"/>
        <v>0.4067824074074074</v>
      </c>
      <c r="N1552" s="31"/>
      <c r="O1552" s="31">
        <v>85</v>
      </c>
      <c r="P1552" s="29">
        <v>80</v>
      </c>
      <c r="Q1552" s="29">
        <v>90</v>
      </c>
    </row>
    <row r="1553" spans="1:17" x14ac:dyDescent="0.35">
      <c r="A1553" s="26">
        <v>40000002694</v>
      </c>
      <c r="B1553" s="31">
        <v>1</v>
      </c>
      <c r="C1553" s="29" t="str">
        <f>LOOKUP(A1553,'QALS - Inspection Lot Record'!$A$2:$A$361,'QALS - Inspection Lot Record'!$O$2:$O$361)</f>
        <v>Metformin Tablets (100 MG)</v>
      </c>
      <c r="D1553" s="31">
        <v>80</v>
      </c>
      <c r="E1553" s="29" t="s">
        <v>407</v>
      </c>
      <c r="F1553" s="29" t="str">
        <f>LOOKUP(A1553,'QALS - Inspection Lot Record'!A:A,'QALS - Inspection Lot Record'!G:G)</f>
        <v>TG509538</v>
      </c>
      <c r="G1553" s="59">
        <f ca="1">LOOKUP(A1553,'QALS - Inspection Lot Record'!A:A,'QALS - Inspection Lot Record'!E:E)</f>
        <v>45966</v>
      </c>
      <c r="H1553" s="34" t="str">
        <f t="shared" si="125"/>
        <v>A</v>
      </c>
      <c r="I1553" s="29" t="str">
        <f t="shared" si="121"/>
        <v>TG509538</v>
      </c>
      <c r="J1553" s="59">
        <f t="shared" ca="1" si="122"/>
        <v>45966</v>
      </c>
      <c r="K1553" s="30">
        <f ca="1">LOOKUP(A1553,'QALS - Inspection Lot Record'!A:A,'QALS - Inspection Lot Record'!I:I)</f>
        <v>0.37486111111111109</v>
      </c>
      <c r="L1553" s="59">
        <f t="shared" ca="1" si="123"/>
        <v>45966</v>
      </c>
      <c r="M1553" s="30">
        <f t="shared" ca="1" si="124"/>
        <v>0.40116898148148145</v>
      </c>
      <c r="N1553" s="31"/>
      <c r="O1553" s="31">
        <v>24</v>
      </c>
      <c r="P1553" s="29">
        <v>23</v>
      </c>
      <c r="Q1553" s="29">
        <v>25</v>
      </c>
    </row>
    <row r="1554" spans="1:17" x14ac:dyDescent="0.35">
      <c r="A1554" s="26">
        <v>40000002695</v>
      </c>
      <c r="B1554" s="27">
        <v>1</v>
      </c>
      <c r="C1554" s="29" t="str">
        <f>LOOKUP(A1554,'QALS - Inspection Lot Record'!$A$2:$A$361,'QALS - Inspection Lot Record'!$O$2:$O$361)</f>
        <v>Metformin Tablets (500 MG)</v>
      </c>
      <c r="D1554" s="27">
        <v>10</v>
      </c>
      <c r="E1554" s="26" t="s">
        <v>399</v>
      </c>
      <c r="F1554" s="29" t="str">
        <f>LOOKUP(A1554,'QALS - Inspection Lot Record'!A:A,'QALS - Inspection Lot Record'!G:G)</f>
        <v>AB406550</v>
      </c>
      <c r="G1554" s="59">
        <f ca="1">LOOKUP(A1554,'QALS - Inspection Lot Record'!A:A,'QALS - Inspection Lot Record'!E:E)</f>
        <v>45967</v>
      </c>
      <c r="H1554" s="34" t="str">
        <f t="shared" si="125"/>
        <v>R</v>
      </c>
      <c r="I1554" s="29" t="str">
        <f t="shared" si="121"/>
        <v>AB406550</v>
      </c>
      <c r="J1554" s="59">
        <f t="shared" ca="1" si="122"/>
        <v>45967</v>
      </c>
      <c r="K1554" s="30">
        <f ca="1">LOOKUP(A1554,'QALS - Inspection Lot Record'!A:A,'QALS - Inspection Lot Record'!I:I)</f>
        <v>0.84833333333333338</v>
      </c>
      <c r="L1554" s="59">
        <f t="shared" ca="1" si="123"/>
        <v>45967</v>
      </c>
      <c r="M1554" s="30">
        <f t="shared" ca="1" si="124"/>
        <v>0.88173611111111116</v>
      </c>
      <c r="N1554" s="31"/>
      <c r="O1554" s="31">
        <v>93.8</v>
      </c>
      <c r="P1554" s="29">
        <v>95</v>
      </c>
      <c r="Q1554" s="29">
        <v>105</v>
      </c>
    </row>
    <row r="1555" spans="1:17" x14ac:dyDescent="0.35">
      <c r="A1555" s="26">
        <v>40000002695</v>
      </c>
      <c r="B1555" s="27">
        <v>1</v>
      </c>
      <c r="C1555" s="29" t="str">
        <f>LOOKUP(A1555,'QALS - Inspection Lot Record'!$A$2:$A$361,'QALS - Inspection Lot Record'!$O$2:$O$361)</f>
        <v>Metformin Tablets (500 MG)</v>
      </c>
      <c r="D1555" s="31">
        <v>20</v>
      </c>
      <c r="E1555" s="29" t="s">
        <v>400</v>
      </c>
      <c r="F1555" s="29" t="str">
        <f>LOOKUP(A1555,'QALS - Inspection Lot Record'!A:A,'QALS - Inspection Lot Record'!G:G)</f>
        <v>AB406550</v>
      </c>
      <c r="G1555" s="59">
        <f ca="1">LOOKUP(A1555,'QALS - Inspection Lot Record'!A:A,'QALS - Inspection Lot Record'!E:E)</f>
        <v>45967</v>
      </c>
      <c r="H1555" s="34" t="str">
        <f t="shared" si="125"/>
        <v>A</v>
      </c>
      <c r="I1555" s="29" t="str">
        <f t="shared" si="121"/>
        <v>AB406550</v>
      </c>
      <c r="J1555" s="59">
        <f t="shared" ca="1" si="122"/>
        <v>45967</v>
      </c>
      <c r="K1555" s="30">
        <f ca="1">LOOKUP(A1555,'QALS - Inspection Lot Record'!A:A,'QALS - Inspection Lot Record'!I:I)</f>
        <v>0.84833333333333338</v>
      </c>
      <c r="L1555" s="59">
        <f t="shared" ca="1" si="123"/>
        <v>45967</v>
      </c>
      <c r="M1555" s="30">
        <f t="shared" ca="1" si="124"/>
        <v>0.8740972222222223</v>
      </c>
      <c r="N1555" s="31"/>
      <c r="O1555" s="31">
        <v>7.3</v>
      </c>
      <c r="P1555" s="29">
        <v>3.5</v>
      </c>
      <c r="Q1555" s="29">
        <v>11</v>
      </c>
    </row>
    <row r="1556" spans="1:17" x14ac:dyDescent="0.35">
      <c r="A1556" s="26">
        <v>40000002695</v>
      </c>
      <c r="B1556" s="31">
        <v>1</v>
      </c>
      <c r="C1556" s="29" t="str">
        <f>LOOKUP(A1556,'QALS - Inspection Lot Record'!$A$2:$A$361,'QALS - Inspection Lot Record'!$O$2:$O$361)</f>
        <v>Metformin Tablets (500 MG)</v>
      </c>
      <c r="D1556" s="31">
        <v>30</v>
      </c>
      <c r="E1556" s="29" t="s">
        <v>401</v>
      </c>
      <c r="F1556" s="29" t="str">
        <f>LOOKUP(A1556,'QALS - Inspection Lot Record'!A:A,'QALS - Inspection Lot Record'!G:G)</f>
        <v>AB406550</v>
      </c>
      <c r="G1556" s="59">
        <f ca="1">LOOKUP(A1556,'QALS - Inspection Lot Record'!A:A,'QALS - Inspection Lot Record'!E:E)</f>
        <v>45967</v>
      </c>
      <c r="H1556" s="34" t="str">
        <f t="shared" si="125"/>
        <v>A</v>
      </c>
      <c r="I1556" s="29" t="str">
        <f t="shared" si="121"/>
        <v>AB406550</v>
      </c>
      <c r="J1556" s="59">
        <f t="shared" ca="1" si="122"/>
        <v>45967</v>
      </c>
      <c r="K1556" s="30">
        <f ca="1">LOOKUP(A1556,'QALS - Inspection Lot Record'!A:A,'QALS - Inspection Lot Record'!I:I)</f>
        <v>0.84833333333333338</v>
      </c>
      <c r="L1556" s="59">
        <f t="shared" ca="1" si="123"/>
        <v>45967</v>
      </c>
      <c r="M1556" s="30">
        <f t="shared" ca="1" si="124"/>
        <v>0.87519675925925933</v>
      </c>
      <c r="N1556" s="11" t="s">
        <v>402</v>
      </c>
      <c r="O1556" s="31"/>
      <c r="P1556" s="29"/>
      <c r="Q1556" s="29"/>
    </row>
    <row r="1557" spans="1:17" x14ac:dyDescent="0.35">
      <c r="A1557" s="26">
        <v>40000002695</v>
      </c>
      <c r="B1557" s="31">
        <v>1</v>
      </c>
      <c r="C1557" s="29" t="str">
        <f>LOOKUP(A1557,'QALS - Inspection Lot Record'!$A$2:$A$361,'QALS - Inspection Lot Record'!$O$2:$O$361)</f>
        <v>Metformin Tablets (500 MG)</v>
      </c>
      <c r="D1557" s="31">
        <v>40</v>
      </c>
      <c r="E1557" s="29" t="s">
        <v>403</v>
      </c>
      <c r="F1557" s="29" t="str">
        <f>LOOKUP(A1557,'QALS - Inspection Lot Record'!A:A,'QALS - Inspection Lot Record'!G:G)</f>
        <v>AB406550</v>
      </c>
      <c r="G1557" s="59">
        <f ca="1">LOOKUP(A1557,'QALS - Inspection Lot Record'!A:A,'QALS - Inspection Lot Record'!E:E)</f>
        <v>45967</v>
      </c>
      <c r="H1557" s="34" t="str">
        <f t="shared" si="125"/>
        <v>A</v>
      </c>
      <c r="I1557" s="29" t="str">
        <f t="shared" si="121"/>
        <v>AB406550</v>
      </c>
      <c r="J1557" s="59">
        <f t="shared" ca="1" si="122"/>
        <v>45967</v>
      </c>
      <c r="K1557" s="30">
        <f ca="1">LOOKUP(A1557,'QALS - Inspection Lot Record'!A:A,'QALS - Inspection Lot Record'!I:I)</f>
        <v>0.84833333333333338</v>
      </c>
      <c r="L1557" s="59">
        <f t="shared" ca="1" si="123"/>
        <v>45967</v>
      </c>
      <c r="M1557" s="30">
        <f t="shared" ca="1" si="124"/>
        <v>0.87914351851851857</v>
      </c>
      <c r="N1557" s="31"/>
      <c r="O1557" s="31">
        <v>1.6</v>
      </c>
      <c r="P1557" s="29">
        <v>0</v>
      </c>
      <c r="Q1557" s="29">
        <v>2</v>
      </c>
    </row>
    <row r="1558" spans="1:17" x14ac:dyDescent="0.35">
      <c r="A1558" s="26">
        <v>40000002695</v>
      </c>
      <c r="B1558" s="31">
        <v>1</v>
      </c>
      <c r="C1558" s="29" t="str">
        <f>LOOKUP(A1558,'QALS - Inspection Lot Record'!$A$2:$A$361,'QALS - Inspection Lot Record'!$O$2:$O$361)</f>
        <v>Metformin Tablets (500 MG)</v>
      </c>
      <c r="D1558" s="31">
        <v>50</v>
      </c>
      <c r="E1558" s="29" t="s">
        <v>404</v>
      </c>
      <c r="F1558" s="29" t="str">
        <f>LOOKUP(A1558,'QALS - Inspection Lot Record'!A:A,'QALS - Inspection Lot Record'!G:G)</f>
        <v>AB406550</v>
      </c>
      <c r="G1558" s="59">
        <f ca="1">LOOKUP(A1558,'QALS - Inspection Lot Record'!A:A,'QALS - Inspection Lot Record'!E:E)</f>
        <v>45967</v>
      </c>
      <c r="H1558" s="34" t="str">
        <f t="shared" si="125"/>
        <v>A</v>
      </c>
      <c r="I1558" s="29" t="str">
        <f t="shared" si="121"/>
        <v>AB406550</v>
      </c>
      <c r="J1558" s="59">
        <f t="shared" ca="1" si="122"/>
        <v>45967</v>
      </c>
      <c r="K1558" s="30">
        <f ca="1">LOOKUP(A1558,'QALS - Inspection Lot Record'!A:A,'QALS - Inspection Lot Record'!I:I)</f>
        <v>0.84833333333333338</v>
      </c>
      <c r="L1558" s="59">
        <f t="shared" ca="1" si="123"/>
        <v>45967</v>
      </c>
      <c r="M1558" s="30">
        <f t="shared" ca="1" si="124"/>
        <v>0.86724537037037042</v>
      </c>
      <c r="N1558" s="31"/>
      <c r="O1558" s="31">
        <v>41.3</v>
      </c>
      <c r="P1558" s="29">
        <v>40</v>
      </c>
      <c r="Q1558" s="29">
        <v>60</v>
      </c>
    </row>
    <row r="1559" spans="1:17" x14ac:dyDescent="0.35">
      <c r="A1559" s="26">
        <v>40000002695</v>
      </c>
      <c r="B1559" s="31">
        <v>1</v>
      </c>
      <c r="C1559" s="29" t="str">
        <f>LOOKUP(A1559,'QALS - Inspection Lot Record'!$A$2:$A$361,'QALS - Inspection Lot Record'!$O$2:$O$361)</f>
        <v>Metformin Tablets (500 MG)</v>
      </c>
      <c r="D1559" s="31">
        <v>60</v>
      </c>
      <c r="E1559" s="29" t="s">
        <v>405</v>
      </c>
      <c r="F1559" s="29" t="str">
        <f>LOOKUP(A1559,'QALS - Inspection Lot Record'!A:A,'QALS - Inspection Lot Record'!G:G)</f>
        <v>AB406550</v>
      </c>
      <c r="G1559" s="59">
        <f ca="1">LOOKUP(A1559,'QALS - Inspection Lot Record'!A:A,'QALS - Inspection Lot Record'!E:E)</f>
        <v>45967</v>
      </c>
      <c r="H1559" s="34" t="str">
        <f t="shared" si="125"/>
        <v>A</v>
      </c>
      <c r="I1559" s="29" t="str">
        <f t="shared" si="121"/>
        <v>AB406550</v>
      </c>
      <c r="J1559" s="59">
        <f t="shared" ca="1" si="122"/>
        <v>45967</v>
      </c>
      <c r="K1559" s="30">
        <f ca="1">LOOKUP(A1559,'QALS - Inspection Lot Record'!A:A,'QALS - Inspection Lot Record'!I:I)</f>
        <v>0.84833333333333338</v>
      </c>
      <c r="L1559" s="59">
        <f t="shared" ca="1" si="123"/>
        <v>45967</v>
      </c>
      <c r="M1559" s="30">
        <f t="shared" ca="1" si="124"/>
        <v>0.8746412037037038</v>
      </c>
      <c r="N1559" s="31"/>
      <c r="O1559" s="31">
        <v>71.2</v>
      </c>
      <c r="P1559" s="29">
        <v>70</v>
      </c>
      <c r="Q1559" s="29">
        <v>85</v>
      </c>
    </row>
    <row r="1560" spans="1:17" x14ac:dyDescent="0.35">
      <c r="A1560" s="26">
        <v>40000002695</v>
      </c>
      <c r="B1560" s="31">
        <v>1</v>
      </c>
      <c r="C1560" s="29" t="str">
        <f>LOOKUP(A1560,'QALS - Inspection Lot Record'!$A$2:$A$361,'QALS - Inspection Lot Record'!$O$2:$O$361)</f>
        <v>Metformin Tablets (500 MG)</v>
      </c>
      <c r="D1560" s="31">
        <v>70</v>
      </c>
      <c r="E1560" s="29" t="s">
        <v>406</v>
      </c>
      <c r="F1560" s="29" t="str">
        <f>LOOKUP(A1560,'QALS - Inspection Lot Record'!A:A,'QALS - Inspection Lot Record'!G:G)</f>
        <v>AB406550</v>
      </c>
      <c r="G1560" s="59">
        <f ca="1">LOOKUP(A1560,'QALS - Inspection Lot Record'!A:A,'QALS - Inspection Lot Record'!E:E)</f>
        <v>45967</v>
      </c>
      <c r="H1560" s="34" t="str">
        <f t="shared" si="125"/>
        <v>A</v>
      </c>
      <c r="I1560" s="29" t="str">
        <f t="shared" si="121"/>
        <v>AB406550</v>
      </c>
      <c r="J1560" s="59">
        <f t="shared" ca="1" si="122"/>
        <v>45967</v>
      </c>
      <c r="K1560" s="30">
        <f ca="1">LOOKUP(A1560,'QALS - Inspection Lot Record'!A:A,'QALS - Inspection Lot Record'!I:I)</f>
        <v>0.84833333333333338</v>
      </c>
      <c r="L1560" s="59">
        <f t="shared" ca="1" si="123"/>
        <v>45967</v>
      </c>
      <c r="M1560" s="30">
        <f t="shared" ca="1" si="124"/>
        <v>0.87685185185185188</v>
      </c>
      <c r="N1560" s="31"/>
      <c r="O1560" s="31">
        <v>81.7</v>
      </c>
      <c r="P1560" s="29">
        <v>80</v>
      </c>
      <c r="Q1560" s="29">
        <v>90</v>
      </c>
    </row>
    <row r="1561" spans="1:17" x14ac:dyDescent="0.35">
      <c r="A1561" s="26">
        <v>40000002695</v>
      </c>
      <c r="B1561" s="31">
        <v>1</v>
      </c>
      <c r="C1561" s="29" t="str">
        <f>LOOKUP(A1561,'QALS - Inspection Lot Record'!$A$2:$A$361,'QALS - Inspection Lot Record'!$O$2:$O$361)</f>
        <v>Metformin Tablets (500 MG)</v>
      </c>
      <c r="D1561" s="31">
        <v>80</v>
      </c>
      <c r="E1561" s="29" t="s">
        <v>407</v>
      </c>
      <c r="F1561" s="29" t="str">
        <f>LOOKUP(A1561,'QALS - Inspection Lot Record'!A:A,'QALS - Inspection Lot Record'!G:G)</f>
        <v>AB406550</v>
      </c>
      <c r="G1561" s="59">
        <f ca="1">LOOKUP(A1561,'QALS - Inspection Lot Record'!A:A,'QALS - Inspection Lot Record'!E:E)</f>
        <v>45967</v>
      </c>
      <c r="H1561" s="34" t="str">
        <f t="shared" si="125"/>
        <v>A</v>
      </c>
      <c r="I1561" s="29" t="str">
        <f t="shared" si="121"/>
        <v>AB406550</v>
      </c>
      <c r="J1561" s="59">
        <f t="shared" ca="1" si="122"/>
        <v>45967</v>
      </c>
      <c r="K1561" s="30">
        <f ca="1">LOOKUP(A1561,'QALS - Inspection Lot Record'!A:A,'QALS - Inspection Lot Record'!I:I)</f>
        <v>0.84833333333333338</v>
      </c>
      <c r="L1561" s="59">
        <f t="shared" ca="1" si="123"/>
        <v>45967</v>
      </c>
      <c r="M1561" s="30">
        <f t="shared" ca="1" si="124"/>
        <v>0.88059027777777787</v>
      </c>
      <c r="N1561" s="31"/>
      <c r="O1561" s="31">
        <v>25.5</v>
      </c>
      <c r="P1561" s="29">
        <v>23</v>
      </c>
      <c r="Q1561" s="29">
        <v>28</v>
      </c>
    </row>
    <row r="1562" spans="1:17" x14ac:dyDescent="0.35">
      <c r="A1562" s="26">
        <v>40000002696</v>
      </c>
      <c r="B1562" s="27">
        <v>1</v>
      </c>
      <c r="C1562" s="29" t="str">
        <f>LOOKUP(A1562,'QALS - Inspection Lot Record'!$A$2:$A$361,'QALS - Inspection Lot Record'!$O$2:$O$361)</f>
        <v>Metformin Tablets (100 MG)</v>
      </c>
      <c r="D1562" s="27">
        <v>10</v>
      </c>
      <c r="E1562" s="26" t="s">
        <v>399</v>
      </c>
      <c r="F1562" s="29" t="str">
        <f>LOOKUP(A1562,'QALS - Inspection Lot Record'!A:A,'QALS - Inspection Lot Record'!G:G)</f>
        <v>GC197258</v>
      </c>
      <c r="G1562" s="59">
        <f ca="1">LOOKUP(A1562,'QALS - Inspection Lot Record'!A:A,'QALS - Inspection Lot Record'!E:E)</f>
        <v>45967</v>
      </c>
      <c r="H1562" s="34" t="str">
        <f t="shared" si="125"/>
        <v>R</v>
      </c>
      <c r="I1562" s="29" t="str">
        <f t="shared" si="121"/>
        <v>GC197258</v>
      </c>
      <c r="J1562" s="59">
        <f t="shared" ca="1" si="122"/>
        <v>45967</v>
      </c>
      <c r="K1562" s="30">
        <f ca="1">LOOKUP(A1562,'QALS - Inspection Lot Record'!A:A,'QALS - Inspection Lot Record'!I:I)</f>
        <v>0.24209490740740741</v>
      </c>
      <c r="L1562" s="59">
        <f t="shared" ca="1" si="123"/>
        <v>45967</v>
      </c>
      <c r="M1562" s="30">
        <f t="shared" ca="1" si="124"/>
        <v>0.26170138888888889</v>
      </c>
      <c r="N1562" s="31"/>
      <c r="O1562" s="31">
        <v>93.1</v>
      </c>
      <c r="P1562" s="29">
        <v>95</v>
      </c>
      <c r="Q1562" s="29">
        <v>102</v>
      </c>
    </row>
    <row r="1563" spans="1:17" x14ac:dyDescent="0.35">
      <c r="A1563" s="26">
        <v>40000002696</v>
      </c>
      <c r="B1563" s="27">
        <v>1</v>
      </c>
      <c r="C1563" s="29" t="str">
        <f>LOOKUP(A1563,'QALS - Inspection Lot Record'!$A$2:$A$361,'QALS - Inspection Lot Record'!$O$2:$O$361)</f>
        <v>Metformin Tablets (100 MG)</v>
      </c>
      <c r="D1563" s="31">
        <v>20</v>
      </c>
      <c r="E1563" s="29" t="s">
        <v>400</v>
      </c>
      <c r="F1563" s="29" t="str">
        <f>LOOKUP(A1563,'QALS - Inspection Lot Record'!A:A,'QALS - Inspection Lot Record'!G:G)</f>
        <v>GC197258</v>
      </c>
      <c r="G1563" s="59">
        <f ca="1">LOOKUP(A1563,'QALS - Inspection Lot Record'!A:A,'QALS - Inspection Lot Record'!E:E)</f>
        <v>45967</v>
      </c>
      <c r="H1563" s="34" t="str">
        <f t="shared" si="125"/>
        <v>A</v>
      </c>
      <c r="I1563" s="29" t="str">
        <f t="shared" si="121"/>
        <v>GC197258</v>
      </c>
      <c r="J1563" s="59">
        <f t="shared" ca="1" si="122"/>
        <v>45967</v>
      </c>
      <c r="K1563" s="30">
        <f ca="1">LOOKUP(A1563,'QALS - Inspection Lot Record'!A:A,'QALS - Inspection Lot Record'!I:I)</f>
        <v>0.24209490740740741</v>
      </c>
      <c r="L1563" s="59">
        <f t="shared" ca="1" si="123"/>
        <v>45967</v>
      </c>
      <c r="M1563" s="30">
        <f t="shared" ca="1" si="124"/>
        <v>0.26925925925925925</v>
      </c>
      <c r="N1563" s="31"/>
      <c r="O1563" s="31">
        <v>7.3</v>
      </c>
      <c r="P1563" s="29">
        <v>3.5</v>
      </c>
      <c r="Q1563" s="29">
        <v>11</v>
      </c>
    </row>
    <row r="1564" spans="1:17" x14ac:dyDescent="0.35">
      <c r="A1564" s="26">
        <v>40000002696</v>
      </c>
      <c r="B1564" s="31">
        <v>1</v>
      </c>
      <c r="C1564" s="29" t="str">
        <f>LOOKUP(A1564,'QALS - Inspection Lot Record'!$A$2:$A$361,'QALS - Inspection Lot Record'!$O$2:$O$361)</f>
        <v>Metformin Tablets (100 MG)</v>
      </c>
      <c r="D1564" s="31">
        <v>30</v>
      </c>
      <c r="E1564" s="29" t="s">
        <v>401</v>
      </c>
      <c r="F1564" s="29" t="str">
        <f>LOOKUP(A1564,'QALS - Inspection Lot Record'!A:A,'QALS - Inspection Lot Record'!G:G)</f>
        <v>GC197258</v>
      </c>
      <c r="G1564" s="59">
        <f ca="1">LOOKUP(A1564,'QALS - Inspection Lot Record'!A:A,'QALS - Inspection Lot Record'!E:E)</f>
        <v>45967</v>
      </c>
      <c r="H1564" s="34" t="str">
        <f t="shared" si="125"/>
        <v>A</v>
      </c>
      <c r="I1564" s="29" t="str">
        <f t="shared" si="121"/>
        <v>GC197258</v>
      </c>
      <c r="J1564" s="59">
        <f t="shared" ca="1" si="122"/>
        <v>45967</v>
      </c>
      <c r="K1564" s="30">
        <f ca="1">LOOKUP(A1564,'QALS - Inspection Lot Record'!A:A,'QALS - Inspection Lot Record'!I:I)</f>
        <v>0.24209490740740741</v>
      </c>
      <c r="L1564" s="59">
        <f t="shared" ca="1" si="123"/>
        <v>45967</v>
      </c>
      <c r="M1564" s="30">
        <f t="shared" ca="1" si="124"/>
        <v>0.26590277777777777</v>
      </c>
      <c r="N1564" s="11" t="s">
        <v>402</v>
      </c>
      <c r="O1564" s="31"/>
      <c r="P1564" s="29"/>
      <c r="Q1564" s="29"/>
    </row>
    <row r="1565" spans="1:17" x14ac:dyDescent="0.35">
      <c r="A1565" s="26">
        <v>40000002696</v>
      </c>
      <c r="B1565" s="31">
        <v>1</v>
      </c>
      <c r="C1565" s="29" t="str">
        <f>LOOKUP(A1565,'QALS - Inspection Lot Record'!$A$2:$A$361,'QALS - Inspection Lot Record'!$O$2:$O$361)</f>
        <v>Metformin Tablets (100 MG)</v>
      </c>
      <c r="D1565" s="31">
        <v>40</v>
      </c>
      <c r="E1565" s="29" t="s">
        <v>403</v>
      </c>
      <c r="F1565" s="29" t="str">
        <f>LOOKUP(A1565,'QALS - Inspection Lot Record'!A:A,'QALS - Inspection Lot Record'!G:G)</f>
        <v>GC197258</v>
      </c>
      <c r="G1565" s="59">
        <f ca="1">LOOKUP(A1565,'QALS - Inspection Lot Record'!A:A,'QALS - Inspection Lot Record'!E:E)</f>
        <v>45967</v>
      </c>
      <c r="H1565" s="34" t="str">
        <f t="shared" si="125"/>
        <v>A</v>
      </c>
      <c r="I1565" s="29" t="str">
        <f t="shared" si="121"/>
        <v>GC197258</v>
      </c>
      <c r="J1565" s="59">
        <f t="shared" ca="1" si="122"/>
        <v>45967</v>
      </c>
      <c r="K1565" s="30">
        <f ca="1">LOOKUP(A1565,'QALS - Inspection Lot Record'!A:A,'QALS - Inspection Lot Record'!I:I)</f>
        <v>0.24209490740740741</v>
      </c>
      <c r="L1565" s="59">
        <f t="shared" ca="1" si="123"/>
        <v>45967</v>
      </c>
      <c r="M1565" s="30">
        <f t="shared" ca="1" si="124"/>
        <v>0.26693287037037039</v>
      </c>
      <c r="N1565" s="31"/>
      <c r="O1565" s="31">
        <v>0.5</v>
      </c>
      <c r="P1565" s="29">
        <v>0</v>
      </c>
      <c r="Q1565" s="29">
        <v>1</v>
      </c>
    </row>
    <row r="1566" spans="1:17" x14ac:dyDescent="0.35">
      <c r="A1566" s="26">
        <v>40000002696</v>
      </c>
      <c r="B1566" s="31">
        <v>1</v>
      </c>
      <c r="C1566" s="29" t="str">
        <f>LOOKUP(A1566,'QALS - Inspection Lot Record'!$A$2:$A$361,'QALS - Inspection Lot Record'!$O$2:$O$361)</f>
        <v>Metformin Tablets (100 MG)</v>
      </c>
      <c r="D1566" s="31">
        <v>50</v>
      </c>
      <c r="E1566" s="29" t="s">
        <v>404</v>
      </c>
      <c r="F1566" s="29" t="str">
        <f>LOOKUP(A1566,'QALS - Inspection Lot Record'!A:A,'QALS - Inspection Lot Record'!G:G)</f>
        <v>GC197258</v>
      </c>
      <c r="G1566" s="59">
        <f ca="1">LOOKUP(A1566,'QALS - Inspection Lot Record'!A:A,'QALS - Inspection Lot Record'!E:E)</f>
        <v>45967</v>
      </c>
      <c r="H1566" s="34" t="str">
        <f t="shared" si="125"/>
        <v>A</v>
      </c>
      <c r="I1566" s="29" t="str">
        <f t="shared" si="121"/>
        <v>GC197258</v>
      </c>
      <c r="J1566" s="59">
        <f t="shared" ca="1" si="122"/>
        <v>45967</v>
      </c>
      <c r="K1566" s="30">
        <f ca="1">LOOKUP(A1566,'QALS - Inspection Lot Record'!A:A,'QALS - Inspection Lot Record'!I:I)</f>
        <v>0.24209490740740741</v>
      </c>
      <c r="L1566" s="59">
        <f t="shared" ca="1" si="123"/>
        <v>45967</v>
      </c>
      <c r="M1566" s="30">
        <f t="shared" ca="1" si="124"/>
        <v>0.26693287037037039</v>
      </c>
      <c r="N1566" s="31"/>
      <c r="O1566" s="31">
        <v>41.7</v>
      </c>
      <c r="P1566" s="29">
        <v>40</v>
      </c>
      <c r="Q1566" s="29">
        <v>60</v>
      </c>
    </row>
    <row r="1567" spans="1:17" x14ac:dyDescent="0.35">
      <c r="A1567" s="26">
        <v>40000002696</v>
      </c>
      <c r="B1567" s="31">
        <v>1</v>
      </c>
      <c r="C1567" s="29" t="str">
        <f>LOOKUP(A1567,'QALS - Inspection Lot Record'!$A$2:$A$361,'QALS - Inspection Lot Record'!$O$2:$O$361)</f>
        <v>Metformin Tablets (100 MG)</v>
      </c>
      <c r="D1567" s="31">
        <v>60</v>
      </c>
      <c r="E1567" s="29" t="s">
        <v>405</v>
      </c>
      <c r="F1567" s="29" t="str">
        <f>LOOKUP(A1567,'QALS - Inspection Lot Record'!A:A,'QALS - Inspection Lot Record'!G:G)</f>
        <v>GC197258</v>
      </c>
      <c r="G1567" s="59">
        <f ca="1">LOOKUP(A1567,'QALS - Inspection Lot Record'!A:A,'QALS - Inspection Lot Record'!E:E)</f>
        <v>45967</v>
      </c>
      <c r="H1567" s="34" t="str">
        <f t="shared" si="125"/>
        <v>A</v>
      </c>
      <c r="I1567" s="29" t="str">
        <f t="shared" si="121"/>
        <v>GC197258</v>
      </c>
      <c r="J1567" s="59">
        <f t="shared" ca="1" si="122"/>
        <v>45967</v>
      </c>
      <c r="K1567" s="30">
        <f ca="1">LOOKUP(A1567,'QALS - Inspection Lot Record'!A:A,'QALS - Inspection Lot Record'!I:I)</f>
        <v>0.24209490740740741</v>
      </c>
      <c r="L1567" s="59">
        <f t="shared" ca="1" si="123"/>
        <v>45967</v>
      </c>
      <c r="M1567" s="30">
        <f t="shared" ca="1" si="124"/>
        <v>0.26275462962962964</v>
      </c>
      <c r="N1567" s="31"/>
      <c r="O1567" s="31">
        <v>71.3</v>
      </c>
      <c r="P1567" s="29">
        <v>70</v>
      </c>
      <c r="Q1567" s="29">
        <v>85</v>
      </c>
    </row>
    <row r="1568" spans="1:17" x14ac:dyDescent="0.35">
      <c r="A1568" s="26">
        <v>40000002696</v>
      </c>
      <c r="B1568" s="31">
        <v>1</v>
      </c>
      <c r="C1568" s="29" t="str">
        <f>LOOKUP(A1568,'QALS - Inspection Lot Record'!$A$2:$A$361,'QALS - Inspection Lot Record'!$O$2:$O$361)</f>
        <v>Metformin Tablets (100 MG)</v>
      </c>
      <c r="D1568" s="31">
        <v>70</v>
      </c>
      <c r="E1568" s="29" t="s">
        <v>406</v>
      </c>
      <c r="F1568" s="29" t="str">
        <f>LOOKUP(A1568,'QALS - Inspection Lot Record'!A:A,'QALS - Inspection Lot Record'!G:G)</f>
        <v>GC197258</v>
      </c>
      <c r="G1568" s="59">
        <f ca="1">LOOKUP(A1568,'QALS - Inspection Lot Record'!A:A,'QALS - Inspection Lot Record'!E:E)</f>
        <v>45967</v>
      </c>
      <c r="H1568" s="34" t="str">
        <f t="shared" si="125"/>
        <v>A</v>
      </c>
      <c r="I1568" s="29" t="str">
        <f t="shared" si="121"/>
        <v>GC197258</v>
      </c>
      <c r="J1568" s="59">
        <f t="shared" ca="1" si="122"/>
        <v>45967</v>
      </c>
      <c r="K1568" s="30">
        <f ca="1">LOOKUP(A1568,'QALS - Inspection Lot Record'!A:A,'QALS - Inspection Lot Record'!I:I)</f>
        <v>0.24209490740740741</v>
      </c>
      <c r="L1568" s="59">
        <f t="shared" ca="1" si="123"/>
        <v>45967</v>
      </c>
      <c r="M1568" s="30">
        <f t="shared" ca="1" si="124"/>
        <v>0.25968750000000002</v>
      </c>
      <c r="N1568" s="31"/>
      <c r="O1568" s="31">
        <v>82</v>
      </c>
      <c r="P1568" s="29">
        <v>80</v>
      </c>
      <c r="Q1568" s="29">
        <v>90</v>
      </c>
    </row>
    <row r="1569" spans="1:17" x14ac:dyDescent="0.35">
      <c r="A1569" s="26">
        <v>40000002696</v>
      </c>
      <c r="B1569" s="31">
        <v>1</v>
      </c>
      <c r="C1569" s="29" t="str">
        <f>LOOKUP(A1569,'QALS - Inspection Lot Record'!$A$2:$A$361,'QALS - Inspection Lot Record'!$O$2:$O$361)</f>
        <v>Metformin Tablets (100 MG)</v>
      </c>
      <c r="D1569" s="31">
        <v>80</v>
      </c>
      <c r="E1569" s="29" t="s">
        <v>407</v>
      </c>
      <c r="F1569" s="29" t="str">
        <f>LOOKUP(A1569,'QALS - Inspection Lot Record'!A:A,'QALS - Inspection Lot Record'!G:G)</f>
        <v>GC197258</v>
      </c>
      <c r="G1569" s="59">
        <f ca="1">LOOKUP(A1569,'QALS - Inspection Lot Record'!A:A,'QALS - Inspection Lot Record'!E:E)</f>
        <v>45967</v>
      </c>
      <c r="H1569" s="34" t="str">
        <f t="shared" si="125"/>
        <v>A</v>
      </c>
      <c r="I1569" s="29" t="str">
        <f t="shared" si="121"/>
        <v>GC197258</v>
      </c>
      <c r="J1569" s="59">
        <f t="shared" ca="1" si="122"/>
        <v>45967</v>
      </c>
      <c r="K1569" s="30">
        <f ca="1">LOOKUP(A1569,'QALS - Inspection Lot Record'!A:A,'QALS - Inspection Lot Record'!I:I)</f>
        <v>0.24209490740740741</v>
      </c>
      <c r="L1569" s="59">
        <f t="shared" ca="1" si="123"/>
        <v>45967</v>
      </c>
      <c r="M1569" s="30">
        <f t="shared" ca="1" si="124"/>
        <v>0.27409722222222221</v>
      </c>
      <c r="N1569" s="31"/>
      <c r="O1569" s="31">
        <v>24</v>
      </c>
      <c r="P1569" s="29">
        <v>23</v>
      </c>
      <c r="Q1569" s="29">
        <v>25</v>
      </c>
    </row>
    <row r="1570" spans="1:17" x14ac:dyDescent="0.35">
      <c r="A1570" s="26">
        <v>40000002697</v>
      </c>
      <c r="B1570" s="27">
        <v>1</v>
      </c>
      <c r="C1570" s="29" t="str">
        <f>LOOKUP(A1570,'QALS - Inspection Lot Record'!$A$2:$A$361,'QALS - Inspection Lot Record'!$O$2:$O$361)</f>
        <v>Metformin Tablets (500 MG)</v>
      </c>
      <c r="D1570" s="27">
        <v>10</v>
      </c>
      <c r="E1570" s="26" t="s">
        <v>399</v>
      </c>
      <c r="F1570" s="29" t="str">
        <f>LOOKUP(A1570,'QALS - Inspection Lot Record'!A:A,'QALS - Inspection Lot Record'!G:G)</f>
        <v>AB406550</v>
      </c>
      <c r="G1570" s="59">
        <f ca="1">LOOKUP(A1570,'QALS - Inspection Lot Record'!A:A,'QALS - Inspection Lot Record'!E:E)</f>
        <v>45968</v>
      </c>
      <c r="H1570" s="34" t="str">
        <f t="shared" si="125"/>
        <v>R</v>
      </c>
      <c r="I1570" s="29" t="str">
        <f t="shared" si="121"/>
        <v>AB406550</v>
      </c>
      <c r="J1570" s="59">
        <f t="shared" ca="1" si="122"/>
        <v>45968</v>
      </c>
      <c r="K1570" s="30">
        <f ca="1">LOOKUP(A1570,'QALS - Inspection Lot Record'!A:A,'QALS - Inspection Lot Record'!I:I)</f>
        <v>0.50085648148148143</v>
      </c>
      <c r="L1570" s="59">
        <f t="shared" ca="1" si="123"/>
        <v>45968</v>
      </c>
      <c r="M1570" s="30">
        <f t="shared" ca="1" si="124"/>
        <v>0.53391203703703694</v>
      </c>
      <c r="N1570" s="31"/>
      <c r="O1570" s="31">
        <v>93.2</v>
      </c>
      <c r="P1570" s="29">
        <v>95</v>
      </c>
      <c r="Q1570" s="29">
        <v>105</v>
      </c>
    </row>
    <row r="1571" spans="1:17" x14ac:dyDescent="0.35">
      <c r="A1571" s="26">
        <v>40000002697</v>
      </c>
      <c r="B1571" s="27">
        <v>1</v>
      </c>
      <c r="C1571" s="29" t="str">
        <f>LOOKUP(A1571,'QALS - Inspection Lot Record'!$A$2:$A$361,'QALS - Inspection Lot Record'!$O$2:$O$361)</f>
        <v>Metformin Tablets (500 MG)</v>
      </c>
      <c r="D1571" s="31">
        <v>20</v>
      </c>
      <c r="E1571" s="29" t="s">
        <v>400</v>
      </c>
      <c r="F1571" s="29" t="str">
        <f>LOOKUP(A1571,'QALS - Inspection Lot Record'!A:A,'QALS - Inspection Lot Record'!G:G)</f>
        <v>AB406550</v>
      </c>
      <c r="G1571" s="59">
        <f ca="1">LOOKUP(A1571,'QALS - Inspection Lot Record'!A:A,'QALS - Inspection Lot Record'!E:E)</f>
        <v>45968</v>
      </c>
      <c r="H1571" s="34" t="str">
        <f t="shared" si="125"/>
        <v>A</v>
      </c>
      <c r="I1571" s="29" t="str">
        <f t="shared" si="121"/>
        <v>AB406550</v>
      </c>
      <c r="J1571" s="59">
        <f t="shared" ca="1" si="122"/>
        <v>45968</v>
      </c>
      <c r="K1571" s="30">
        <f ca="1">LOOKUP(A1571,'QALS - Inspection Lot Record'!A:A,'QALS - Inspection Lot Record'!I:I)</f>
        <v>0.50085648148148143</v>
      </c>
      <c r="L1571" s="59">
        <f t="shared" ca="1" si="123"/>
        <v>45968</v>
      </c>
      <c r="M1571" s="30">
        <f t="shared" ca="1" si="124"/>
        <v>0.53552083333333322</v>
      </c>
      <c r="N1571" s="31"/>
      <c r="O1571" s="31">
        <v>7.25</v>
      </c>
      <c r="P1571" s="29">
        <v>3.5</v>
      </c>
      <c r="Q1571" s="29">
        <v>11</v>
      </c>
    </row>
    <row r="1572" spans="1:17" x14ac:dyDescent="0.35">
      <c r="A1572" s="26">
        <v>40000002697</v>
      </c>
      <c r="B1572" s="31">
        <v>1</v>
      </c>
      <c r="C1572" s="29" t="str">
        <f>LOOKUP(A1572,'QALS - Inspection Lot Record'!$A$2:$A$361,'QALS - Inspection Lot Record'!$O$2:$O$361)</f>
        <v>Metformin Tablets (500 MG)</v>
      </c>
      <c r="D1572" s="31">
        <v>30</v>
      </c>
      <c r="E1572" s="29" t="s">
        <v>401</v>
      </c>
      <c r="F1572" s="29" t="str">
        <f>LOOKUP(A1572,'QALS - Inspection Lot Record'!A:A,'QALS - Inspection Lot Record'!G:G)</f>
        <v>AB406550</v>
      </c>
      <c r="G1572" s="59">
        <f ca="1">LOOKUP(A1572,'QALS - Inspection Lot Record'!A:A,'QALS - Inspection Lot Record'!E:E)</f>
        <v>45968</v>
      </c>
      <c r="H1572" s="34" t="str">
        <f t="shared" si="125"/>
        <v>A</v>
      </c>
      <c r="I1572" s="29" t="str">
        <f t="shared" si="121"/>
        <v>AB406550</v>
      </c>
      <c r="J1572" s="59">
        <f t="shared" ca="1" si="122"/>
        <v>45968</v>
      </c>
      <c r="K1572" s="30">
        <f ca="1">LOOKUP(A1572,'QALS - Inspection Lot Record'!A:A,'QALS - Inspection Lot Record'!I:I)</f>
        <v>0.50085648148148143</v>
      </c>
      <c r="L1572" s="59">
        <f t="shared" ca="1" si="123"/>
        <v>45968</v>
      </c>
      <c r="M1572" s="30">
        <f t="shared" ca="1" si="124"/>
        <v>0.52005787037037032</v>
      </c>
      <c r="N1572" s="11" t="s">
        <v>402</v>
      </c>
      <c r="O1572" s="31"/>
      <c r="P1572" s="29"/>
      <c r="Q1572" s="29"/>
    </row>
    <row r="1573" spans="1:17" x14ac:dyDescent="0.35">
      <c r="A1573" s="26">
        <v>40000002697</v>
      </c>
      <c r="B1573" s="31">
        <v>1</v>
      </c>
      <c r="C1573" s="29" t="str">
        <f>LOOKUP(A1573,'QALS - Inspection Lot Record'!$A$2:$A$361,'QALS - Inspection Lot Record'!$O$2:$O$361)</f>
        <v>Metformin Tablets (500 MG)</v>
      </c>
      <c r="D1573" s="31">
        <v>40</v>
      </c>
      <c r="E1573" s="29" t="s">
        <v>403</v>
      </c>
      <c r="F1573" s="29" t="str">
        <f>LOOKUP(A1573,'QALS - Inspection Lot Record'!A:A,'QALS - Inspection Lot Record'!G:G)</f>
        <v>AB406550</v>
      </c>
      <c r="G1573" s="59">
        <f ca="1">LOOKUP(A1573,'QALS - Inspection Lot Record'!A:A,'QALS - Inspection Lot Record'!E:E)</f>
        <v>45968</v>
      </c>
      <c r="H1573" s="34" t="str">
        <f t="shared" si="125"/>
        <v>A</v>
      </c>
      <c r="I1573" s="29" t="str">
        <f t="shared" si="121"/>
        <v>AB406550</v>
      </c>
      <c r="J1573" s="59">
        <f t="shared" ca="1" si="122"/>
        <v>45968</v>
      </c>
      <c r="K1573" s="30">
        <f ca="1">LOOKUP(A1573,'QALS - Inspection Lot Record'!A:A,'QALS - Inspection Lot Record'!I:I)</f>
        <v>0.50085648148148143</v>
      </c>
      <c r="L1573" s="59">
        <f t="shared" ca="1" si="123"/>
        <v>45968</v>
      </c>
      <c r="M1573" s="30">
        <f t="shared" ca="1" si="124"/>
        <v>0.52813657407407399</v>
      </c>
      <c r="N1573" s="31"/>
      <c r="O1573" s="31">
        <v>0</v>
      </c>
      <c r="P1573" s="29">
        <v>0</v>
      </c>
      <c r="Q1573" s="29">
        <v>2</v>
      </c>
    </row>
    <row r="1574" spans="1:17" x14ac:dyDescent="0.35">
      <c r="A1574" s="26">
        <v>40000002697</v>
      </c>
      <c r="B1574" s="31">
        <v>1</v>
      </c>
      <c r="C1574" s="29" t="str">
        <f>LOOKUP(A1574,'QALS - Inspection Lot Record'!$A$2:$A$361,'QALS - Inspection Lot Record'!$O$2:$O$361)</f>
        <v>Metformin Tablets (500 MG)</v>
      </c>
      <c r="D1574" s="31">
        <v>50</v>
      </c>
      <c r="E1574" s="29" t="s">
        <v>404</v>
      </c>
      <c r="F1574" s="29" t="str">
        <f>LOOKUP(A1574,'QALS - Inspection Lot Record'!A:A,'QALS - Inspection Lot Record'!G:G)</f>
        <v>AB406550</v>
      </c>
      <c r="G1574" s="59">
        <f ca="1">LOOKUP(A1574,'QALS - Inspection Lot Record'!A:A,'QALS - Inspection Lot Record'!E:E)</f>
        <v>45968</v>
      </c>
      <c r="H1574" s="34" t="str">
        <f t="shared" si="125"/>
        <v>R</v>
      </c>
      <c r="I1574" s="29" t="str">
        <f t="shared" si="121"/>
        <v>AB406550</v>
      </c>
      <c r="J1574" s="59">
        <f t="shared" ca="1" si="122"/>
        <v>45968</v>
      </c>
      <c r="K1574" s="30">
        <f ca="1">LOOKUP(A1574,'QALS - Inspection Lot Record'!A:A,'QALS - Inspection Lot Record'!I:I)</f>
        <v>0.50085648148148143</v>
      </c>
      <c r="L1574" s="59">
        <f t="shared" ca="1" si="123"/>
        <v>45968</v>
      </c>
      <c r="M1574" s="30">
        <f t="shared" ca="1" si="124"/>
        <v>0.53199074074074071</v>
      </c>
      <c r="N1574" s="31"/>
      <c r="O1574" s="31">
        <v>38.200000000000003</v>
      </c>
      <c r="P1574" s="29">
        <v>40</v>
      </c>
      <c r="Q1574" s="29">
        <v>60</v>
      </c>
    </row>
    <row r="1575" spans="1:17" x14ac:dyDescent="0.35">
      <c r="A1575" s="26">
        <v>40000002697</v>
      </c>
      <c r="B1575" s="31">
        <v>1</v>
      </c>
      <c r="C1575" s="29" t="str">
        <f>LOOKUP(A1575,'QALS - Inspection Lot Record'!$A$2:$A$361,'QALS - Inspection Lot Record'!$O$2:$O$361)</f>
        <v>Metformin Tablets (500 MG)</v>
      </c>
      <c r="D1575" s="31">
        <v>60</v>
      </c>
      <c r="E1575" s="29" t="s">
        <v>405</v>
      </c>
      <c r="F1575" s="29" t="str">
        <f>LOOKUP(A1575,'QALS - Inspection Lot Record'!A:A,'QALS - Inspection Lot Record'!G:G)</f>
        <v>AB406550</v>
      </c>
      <c r="G1575" s="59">
        <f ca="1">LOOKUP(A1575,'QALS - Inspection Lot Record'!A:A,'QALS - Inspection Lot Record'!E:E)</f>
        <v>45968</v>
      </c>
      <c r="H1575" s="34" t="str">
        <f t="shared" si="125"/>
        <v>R</v>
      </c>
      <c r="I1575" s="29" t="str">
        <f t="shared" si="121"/>
        <v>AB406550</v>
      </c>
      <c r="J1575" s="59">
        <f t="shared" ca="1" si="122"/>
        <v>45968</v>
      </c>
      <c r="K1575" s="30">
        <f ca="1">LOOKUP(A1575,'QALS - Inspection Lot Record'!A:A,'QALS - Inspection Lot Record'!I:I)</f>
        <v>0.50085648148148143</v>
      </c>
      <c r="L1575" s="59">
        <f t="shared" ca="1" si="123"/>
        <v>45968</v>
      </c>
      <c r="M1575" s="30">
        <f t="shared" ca="1" si="124"/>
        <v>0.53105324074074067</v>
      </c>
      <c r="N1575" s="31"/>
      <c r="O1575" s="31">
        <v>68</v>
      </c>
      <c r="P1575" s="29">
        <v>70</v>
      </c>
      <c r="Q1575" s="29">
        <v>85</v>
      </c>
    </row>
    <row r="1576" spans="1:17" x14ac:dyDescent="0.35">
      <c r="A1576" s="26">
        <v>40000002697</v>
      </c>
      <c r="B1576" s="31">
        <v>1</v>
      </c>
      <c r="C1576" s="29" t="str">
        <f>LOOKUP(A1576,'QALS - Inspection Lot Record'!$A$2:$A$361,'QALS - Inspection Lot Record'!$O$2:$O$361)</f>
        <v>Metformin Tablets (500 MG)</v>
      </c>
      <c r="D1576" s="31">
        <v>70</v>
      </c>
      <c r="E1576" s="29" t="s">
        <v>406</v>
      </c>
      <c r="F1576" s="29" t="str">
        <f>LOOKUP(A1576,'QALS - Inspection Lot Record'!A:A,'QALS - Inspection Lot Record'!G:G)</f>
        <v>AB406550</v>
      </c>
      <c r="G1576" s="59">
        <f ca="1">LOOKUP(A1576,'QALS - Inspection Lot Record'!A:A,'QALS - Inspection Lot Record'!E:E)</f>
        <v>45968</v>
      </c>
      <c r="H1576" s="34" t="str">
        <f t="shared" si="125"/>
        <v>R</v>
      </c>
      <c r="I1576" s="29" t="str">
        <f t="shared" si="121"/>
        <v>AB406550</v>
      </c>
      <c r="J1576" s="59">
        <f t="shared" ca="1" si="122"/>
        <v>45968</v>
      </c>
      <c r="K1576" s="30">
        <f ca="1">LOOKUP(A1576,'QALS - Inspection Lot Record'!A:A,'QALS - Inspection Lot Record'!I:I)</f>
        <v>0.50085648148148143</v>
      </c>
      <c r="L1576" s="59">
        <f t="shared" ca="1" si="123"/>
        <v>45968</v>
      </c>
      <c r="M1576" s="30">
        <f t="shared" ca="1" si="124"/>
        <v>0.53075231481481477</v>
      </c>
      <c r="N1576" s="31"/>
      <c r="O1576" s="31">
        <v>78.400000000000006</v>
      </c>
      <c r="P1576" s="29">
        <v>80</v>
      </c>
      <c r="Q1576" s="29">
        <v>90</v>
      </c>
    </row>
    <row r="1577" spans="1:17" x14ac:dyDescent="0.35">
      <c r="A1577" s="26">
        <v>40000002697</v>
      </c>
      <c r="B1577" s="31">
        <v>1</v>
      </c>
      <c r="C1577" s="29" t="str">
        <f>LOOKUP(A1577,'QALS - Inspection Lot Record'!$A$2:$A$361,'QALS - Inspection Lot Record'!$O$2:$O$361)</f>
        <v>Metformin Tablets (500 MG)</v>
      </c>
      <c r="D1577" s="31">
        <v>80</v>
      </c>
      <c r="E1577" s="29" t="s">
        <v>407</v>
      </c>
      <c r="F1577" s="29" t="str">
        <f>LOOKUP(A1577,'QALS - Inspection Lot Record'!A:A,'QALS - Inspection Lot Record'!G:G)</f>
        <v>AB406550</v>
      </c>
      <c r="G1577" s="59">
        <f ca="1">LOOKUP(A1577,'QALS - Inspection Lot Record'!A:A,'QALS - Inspection Lot Record'!E:E)</f>
        <v>45968</v>
      </c>
      <c r="H1577" s="34" t="str">
        <f t="shared" si="125"/>
        <v>A</v>
      </c>
      <c r="I1577" s="29" t="str">
        <f t="shared" si="121"/>
        <v>AB406550</v>
      </c>
      <c r="J1577" s="59">
        <f t="shared" ca="1" si="122"/>
        <v>45968</v>
      </c>
      <c r="K1577" s="30">
        <f ca="1">LOOKUP(A1577,'QALS - Inspection Lot Record'!A:A,'QALS - Inspection Lot Record'!I:I)</f>
        <v>0.50085648148148143</v>
      </c>
      <c r="L1577" s="59">
        <f t="shared" ca="1" si="123"/>
        <v>45968</v>
      </c>
      <c r="M1577" s="30">
        <f t="shared" ca="1" si="124"/>
        <v>0.52874999999999994</v>
      </c>
      <c r="N1577" s="31"/>
      <c r="O1577" s="31">
        <v>25.5</v>
      </c>
      <c r="P1577" s="29">
        <v>23</v>
      </c>
      <c r="Q1577" s="29">
        <v>28</v>
      </c>
    </row>
    <row r="1578" spans="1:17" x14ac:dyDescent="0.35">
      <c r="A1578" s="26">
        <v>40000002698</v>
      </c>
      <c r="B1578" s="27">
        <v>1</v>
      </c>
      <c r="C1578" s="29" t="str">
        <f>LOOKUP(A1578,'QALS - Inspection Lot Record'!$A$2:$A$361,'QALS - Inspection Lot Record'!$O$2:$O$361)</f>
        <v>Ibuprofen Tablets (100 MG)</v>
      </c>
      <c r="D1578" s="27">
        <v>10</v>
      </c>
      <c r="E1578" s="26" t="s">
        <v>399</v>
      </c>
      <c r="F1578" s="29" t="str">
        <f>LOOKUP(A1578,'QALS - Inspection Lot Record'!A:A,'QALS - Inspection Lot Record'!G:G)</f>
        <v>YA284176</v>
      </c>
      <c r="G1578" s="59">
        <f ca="1">LOOKUP(A1578,'QALS - Inspection Lot Record'!A:A,'QALS - Inspection Lot Record'!E:E)</f>
        <v>45968</v>
      </c>
      <c r="H1578" s="34" t="str">
        <f t="shared" si="125"/>
        <v>A</v>
      </c>
      <c r="I1578" s="29" t="str">
        <f t="shared" si="121"/>
        <v>YA284176</v>
      </c>
      <c r="J1578" s="59">
        <f t="shared" ca="1" si="122"/>
        <v>45968</v>
      </c>
      <c r="K1578" s="30">
        <f ca="1">LOOKUP(A1578,'QALS - Inspection Lot Record'!A:A,'QALS - Inspection Lot Record'!I:I)</f>
        <v>0.42083333333333334</v>
      </c>
      <c r="L1578" s="59">
        <f t="shared" ca="1" si="123"/>
        <v>45968</v>
      </c>
      <c r="M1578" s="30">
        <f t="shared" ca="1" si="124"/>
        <v>0.4460648148148148</v>
      </c>
      <c r="N1578" s="31"/>
      <c r="O1578" s="31">
        <v>98.5</v>
      </c>
      <c r="P1578" s="29">
        <v>95</v>
      </c>
      <c r="Q1578" s="29">
        <v>102</v>
      </c>
    </row>
    <row r="1579" spans="1:17" x14ac:dyDescent="0.35">
      <c r="A1579" s="26">
        <v>40000002698</v>
      </c>
      <c r="B1579" s="27">
        <v>1</v>
      </c>
      <c r="C1579" s="29" t="str">
        <f>LOOKUP(A1579,'QALS - Inspection Lot Record'!$A$2:$A$361,'QALS - Inspection Lot Record'!$O$2:$O$361)</f>
        <v>Ibuprofen Tablets (100 MG)</v>
      </c>
      <c r="D1579" s="31">
        <v>20</v>
      </c>
      <c r="E1579" s="29" t="s">
        <v>400</v>
      </c>
      <c r="F1579" s="29" t="str">
        <f>LOOKUP(A1579,'QALS - Inspection Lot Record'!A:A,'QALS - Inspection Lot Record'!G:G)</f>
        <v>YA284176</v>
      </c>
      <c r="G1579" s="59">
        <f ca="1">LOOKUP(A1579,'QALS - Inspection Lot Record'!A:A,'QALS - Inspection Lot Record'!E:E)</f>
        <v>45968</v>
      </c>
      <c r="H1579" s="34" t="str">
        <f t="shared" si="125"/>
        <v>A</v>
      </c>
      <c r="I1579" s="29" t="str">
        <f t="shared" si="121"/>
        <v>YA284176</v>
      </c>
      <c r="J1579" s="59">
        <f t="shared" ca="1" si="122"/>
        <v>45968</v>
      </c>
      <c r="K1579" s="30">
        <f ca="1">LOOKUP(A1579,'QALS - Inspection Lot Record'!A:A,'QALS - Inspection Lot Record'!I:I)</f>
        <v>0.42083333333333334</v>
      </c>
      <c r="L1579" s="59">
        <f t="shared" ca="1" si="123"/>
        <v>45968</v>
      </c>
      <c r="M1579" s="30">
        <f t="shared" ca="1" si="124"/>
        <v>0.44542824074074072</v>
      </c>
      <c r="N1579" s="31"/>
      <c r="O1579" s="31">
        <v>7.25</v>
      </c>
      <c r="P1579" s="29">
        <v>3.5</v>
      </c>
      <c r="Q1579" s="29">
        <v>11</v>
      </c>
    </row>
    <row r="1580" spans="1:17" x14ac:dyDescent="0.35">
      <c r="A1580" s="26">
        <v>40000002698</v>
      </c>
      <c r="B1580" s="31">
        <v>1</v>
      </c>
      <c r="C1580" s="29" t="str">
        <f>LOOKUP(A1580,'QALS - Inspection Lot Record'!$A$2:$A$361,'QALS - Inspection Lot Record'!$O$2:$O$361)</f>
        <v>Ibuprofen Tablets (100 MG)</v>
      </c>
      <c r="D1580" s="31">
        <v>30</v>
      </c>
      <c r="E1580" s="29" t="s">
        <v>401</v>
      </c>
      <c r="F1580" s="29" t="str">
        <f>LOOKUP(A1580,'QALS - Inspection Lot Record'!A:A,'QALS - Inspection Lot Record'!G:G)</f>
        <v>YA284176</v>
      </c>
      <c r="G1580" s="59">
        <f ca="1">LOOKUP(A1580,'QALS - Inspection Lot Record'!A:A,'QALS - Inspection Lot Record'!E:E)</f>
        <v>45968</v>
      </c>
      <c r="H1580" s="34" t="str">
        <f t="shared" si="125"/>
        <v>A</v>
      </c>
      <c r="I1580" s="29" t="str">
        <f t="shared" si="121"/>
        <v>YA284176</v>
      </c>
      <c r="J1580" s="59">
        <f t="shared" ca="1" si="122"/>
        <v>45968</v>
      </c>
      <c r="K1580" s="30">
        <f ca="1">LOOKUP(A1580,'QALS - Inspection Lot Record'!A:A,'QALS - Inspection Lot Record'!I:I)</f>
        <v>0.42083333333333334</v>
      </c>
      <c r="L1580" s="59">
        <f t="shared" ca="1" si="123"/>
        <v>45968</v>
      </c>
      <c r="M1580" s="30">
        <f t="shared" ca="1" si="124"/>
        <v>0.43824074074074076</v>
      </c>
      <c r="N1580" s="11" t="s">
        <v>402</v>
      </c>
      <c r="O1580" s="31"/>
      <c r="P1580" s="29"/>
      <c r="Q1580" s="29"/>
    </row>
    <row r="1581" spans="1:17" x14ac:dyDescent="0.35">
      <c r="A1581" s="26">
        <v>40000002698</v>
      </c>
      <c r="B1581" s="31">
        <v>1</v>
      </c>
      <c r="C1581" s="29" t="str">
        <f>LOOKUP(A1581,'QALS - Inspection Lot Record'!$A$2:$A$361,'QALS - Inspection Lot Record'!$O$2:$O$361)</f>
        <v>Ibuprofen Tablets (100 MG)</v>
      </c>
      <c r="D1581" s="31">
        <v>40</v>
      </c>
      <c r="E1581" s="29" t="s">
        <v>403</v>
      </c>
      <c r="F1581" s="29" t="str">
        <f>LOOKUP(A1581,'QALS - Inspection Lot Record'!A:A,'QALS - Inspection Lot Record'!G:G)</f>
        <v>YA284176</v>
      </c>
      <c r="G1581" s="59">
        <f ca="1">LOOKUP(A1581,'QALS - Inspection Lot Record'!A:A,'QALS - Inspection Lot Record'!E:E)</f>
        <v>45968</v>
      </c>
      <c r="H1581" s="34" t="str">
        <f t="shared" si="125"/>
        <v>A</v>
      </c>
      <c r="I1581" s="29" t="str">
        <f t="shared" si="121"/>
        <v>YA284176</v>
      </c>
      <c r="J1581" s="59">
        <f t="shared" ca="1" si="122"/>
        <v>45968</v>
      </c>
      <c r="K1581" s="30">
        <f ca="1">LOOKUP(A1581,'QALS - Inspection Lot Record'!A:A,'QALS - Inspection Lot Record'!I:I)</f>
        <v>0.42083333333333334</v>
      </c>
      <c r="L1581" s="59">
        <f t="shared" ca="1" si="123"/>
        <v>45968</v>
      </c>
      <c r="M1581" s="30">
        <f t="shared" ca="1" si="124"/>
        <v>0.44315972222222222</v>
      </c>
      <c r="N1581" s="31"/>
      <c r="O1581" s="31">
        <v>0</v>
      </c>
      <c r="P1581" s="29">
        <v>0</v>
      </c>
      <c r="Q1581" s="29">
        <v>1</v>
      </c>
    </row>
    <row r="1582" spans="1:17" x14ac:dyDescent="0.35">
      <c r="A1582" s="26">
        <v>40000002698</v>
      </c>
      <c r="B1582" s="31">
        <v>1</v>
      </c>
      <c r="C1582" s="29" t="str">
        <f>LOOKUP(A1582,'QALS - Inspection Lot Record'!$A$2:$A$361,'QALS - Inspection Lot Record'!$O$2:$O$361)</f>
        <v>Ibuprofen Tablets (100 MG)</v>
      </c>
      <c r="D1582" s="31">
        <v>50</v>
      </c>
      <c r="E1582" s="29" t="s">
        <v>404</v>
      </c>
      <c r="F1582" s="29" t="str">
        <f>LOOKUP(A1582,'QALS - Inspection Lot Record'!A:A,'QALS - Inspection Lot Record'!G:G)</f>
        <v>YA284176</v>
      </c>
      <c r="G1582" s="59">
        <f ca="1">LOOKUP(A1582,'QALS - Inspection Lot Record'!A:A,'QALS - Inspection Lot Record'!E:E)</f>
        <v>45968</v>
      </c>
      <c r="H1582" s="34" t="str">
        <f t="shared" si="125"/>
        <v>A</v>
      </c>
      <c r="I1582" s="29" t="str">
        <f t="shared" si="121"/>
        <v>YA284176</v>
      </c>
      <c r="J1582" s="59">
        <f t="shared" ca="1" si="122"/>
        <v>45968</v>
      </c>
      <c r="K1582" s="30">
        <f ca="1">LOOKUP(A1582,'QALS - Inspection Lot Record'!A:A,'QALS - Inspection Lot Record'!I:I)</f>
        <v>0.42083333333333334</v>
      </c>
      <c r="L1582" s="59">
        <f t="shared" ca="1" si="123"/>
        <v>45968</v>
      </c>
      <c r="M1582" s="30">
        <f t="shared" ca="1" si="124"/>
        <v>0.44601851851851854</v>
      </c>
      <c r="N1582" s="31"/>
      <c r="O1582" s="31">
        <v>50</v>
      </c>
      <c r="P1582" s="29">
        <v>40</v>
      </c>
      <c r="Q1582" s="29">
        <v>60</v>
      </c>
    </row>
    <row r="1583" spans="1:17" x14ac:dyDescent="0.35">
      <c r="A1583" s="26">
        <v>40000002698</v>
      </c>
      <c r="B1583" s="31">
        <v>1</v>
      </c>
      <c r="C1583" s="29" t="str">
        <f>LOOKUP(A1583,'QALS - Inspection Lot Record'!$A$2:$A$361,'QALS - Inspection Lot Record'!$O$2:$O$361)</f>
        <v>Ibuprofen Tablets (100 MG)</v>
      </c>
      <c r="D1583" s="31">
        <v>60</v>
      </c>
      <c r="E1583" s="29" t="s">
        <v>405</v>
      </c>
      <c r="F1583" s="29" t="str">
        <f>LOOKUP(A1583,'QALS - Inspection Lot Record'!A:A,'QALS - Inspection Lot Record'!G:G)</f>
        <v>YA284176</v>
      </c>
      <c r="G1583" s="59">
        <f ca="1">LOOKUP(A1583,'QALS - Inspection Lot Record'!A:A,'QALS - Inspection Lot Record'!E:E)</f>
        <v>45968</v>
      </c>
      <c r="H1583" s="34" t="str">
        <f t="shared" si="125"/>
        <v>R</v>
      </c>
      <c r="I1583" s="29" t="str">
        <f t="shared" si="121"/>
        <v>YA284176</v>
      </c>
      <c r="J1583" s="59">
        <f t="shared" ca="1" si="122"/>
        <v>45968</v>
      </c>
      <c r="K1583" s="30">
        <f ca="1">LOOKUP(A1583,'QALS - Inspection Lot Record'!A:A,'QALS - Inspection Lot Record'!I:I)</f>
        <v>0.42083333333333334</v>
      </c>
      <c r="L1583" s="59">
        <f t="shared" ca="1" si="123"/>
        <v>45968</v>
      </c>
      <c r="M1583" s="30">
        <f t="shared" ca="1" si="124"/>
        <v>0.43983796296296296</v>
      </c>
      <c r="N1583" s="31"/>
      <c r="O1583" s="31">
        <v>68.3</v>
      </c>
      <c r="P1583" s="29">
        <v>70</v>
      </c>
      <c r="Q1583" s="29">
        <v>85</v>
      </c>
    </row>
    <row r="1584" spans="1:17" x14ac:dyDescent="0.35">
      <c r="A1584" s="26">
        <v>40000002698</v>
      </c>
      <c r="B1584" s="31">
        <v>1</v>
      </c>
      <c r="C1584" s="29" t="str">
        <f>LOOKUP(A1584,'QALS - Inspection Lot Record'!$A$2:$A$361,'QALS - Inspection Lot Record'!$O$2:$O$361)</f>
        <v>Ibuprofen Tablets (100 MG)</v>
      </c>
      <c r="D1584" s="31">
        <v>70</v>
      </c>
      <c r="E1584" s="29" t="s">
        <v>406</v>
      </c>
      <c r="F1584" s="29" t="str">
        <f>LOOKUP(A1584,'QALS - Inspection Lot Record'!A:A,'QALS - Inspection Lot Record'!G:G)</f>
        <v>YA284176</v>
      </c>
      <c r="G1584" s="59">
        <f ca="1">LOOKUP(A1584,'QALS - Inspection Lot Record'!A:A,'QALS - Inspection Lot Record'!E:E)</f>
        <v>45968</v>
      </c>
      <c r="H1584" s="34" t="str">
        <f t="shared" si="125"/>
        <v>A</v>
      </c>
      <c r="I1584" s="29" t="str">
        <f t="shared" si="121"/>
        <v>YA284176</v>
      </c>
      <c r="J1584" s="59">
        <f t="shared" ca="1" si="122"/>
        <v>45968</v>
      </c>
      <c r="K1584" s="30">
        <f ca="1">LOOKUP(A1584,'QALS - Inspection Lot Record'!A:A,'QALS - Inspection Lot Record'!I:I)</f>
        <v>0.42083333333333334</v>
      </c>
      <c r="L1584" s="59">
        <f t="shared" ca="1" si="123"/>
        <v>45968</v>
      </c>
      <c r="M1584" s="30">
        <f t="shared" ca="1" si="124"/>
        <v>0.44236111111111109</v>
      </c>
      <c r="N1584" s="31"/>
      <c r="O1584" s="31">
        <v>85</v>
      </c>
      <c r="P1584" s="29">
        <v>80</v>
      </c>
      <c r="Q1584" s="29">
        <v>90</v>
      </c>
    </row>
    <row r="1585" spans="1:17" x14ac:dyDescent="0.35">
      <c r="A1585" s="26">
        <v>40000002698</v>
      </c>
      <c r="B1585" s="31">
        <v>1</v>
      </c>
      <c r="C1585" s="29" t="str">
        <f>LOOKUP(A1585,'QALS - Inspection Lot Record'!$A$2:$A$361,'QALS - Inspection Lot Record'!$O$2:$O$361)</f>
        <v>Ibuprofen Tablets (100 MG)</v>
      </c>
      <c r="D1585" s="31">
        <v>80</v>
      </c>
      <c r="E1585" s="29" t="s">
        <v>407</v>
      </c>
      <c r="F1585" s="29" t="str">
        <f>LOOKUP(A1585,'QALS - Inspection Lot Record'!A:A,'QALS - Inspection Lot Record'!G:G)</f>
        <v>YA284176</v>
      </c>
      <c r="G1585" s="59">
        <f ca="1">LOOKUP(A1585,'QALS - Inspection Lot Record'!A:A,'QALS - Inspection Lot Record'!E:E)</f>
        <v>45968</v>
      </c>
      <c r="H1585" s="34" t="str">
        <f t="shared" si="125"/>
        <v>A</v>
      </c>
      <c r="I1585" s="29" t="str">
        <f t="shared" si="121"/>
        <v>YA284176</v>
      </c>
      <c r="J1585" s="59">
        <f t="shared" ca="1" si="122"/>
        <v>45968</v>
      </c>
      <c r="K1585" s="30">
        <f ca="1">LOOKUP(A1585,'QALS - Inspection Lot Record'!A:A,'QALS - Inspection Lot Record'!I:I)</f>
        <v>0.42083333333333334</v>
      </c>
      <c r="L1585" s="59">
        <f t="shared" ca="1" si="123"/>
        <v>45968</v>
      </c>
      <c r="M1585" s="30">
        <f t="shared" ca="1" si="124"/>
        <v>0.44973379629629628</v>
      </c>
      <c r="N1585" s="31"/>
      <c r="O1585" s="31">
        <v>24</v>
      </c>
      <c r="P1585" s="29">
        <v>23</v>
      </c>
      <c r="Q1585" s="29">
        <v>25</v>
      </c>
    </row>
    <row r="1586" spans="1:17" x14ac:dyDescent="0.35">
      <c r="A1586" s="26">
        <v>40000002699</v>
      </c>
      <c r="B1586" s="27">
        <v>1</v>
      </c>
      <c r="C1586" s="29" t="str">
        <f>LOOKUP(A1586,'QALS - Inspection Lot Record'!$A$2:$A$361,'QALS - Inspection Lot Record'!$O$2:$O$361)</f>
        <v>Metformin Tablets (500 MG)</v>
      </c>
      <c r="D1586" s="27">
        <v>10</v>
      </c>
      <c r="E1586" s="26" t="s">
        <v>399</v>
      </c>
      <c r="F1586" s="29" t="str">
        <f>LOOKUP(A1586,'QALS - Inspection Lot Record'!A:A,'QALS - Inspection Lot Record'!G:G)</f>
        <v>ZK384180</v>
      </c>
      <c r="G1586" s="59">
        <f ca="1">LOOKUP(A1586,'QALS - Inspection Lot Record'!A:A,'QALS - Inspection Lot Record'!E:E)</f>
        <v>45969</v>
      </c>
      <c r="H1586" s="34" t="str">
        <f t="shared" si="125"/>
        <v>R</v>
      </c>
      <c r="I1586" s="29" t="str">
        <f t="shared" si="121"/>
        <v>ZK384180</v>
      </c>
      <c r="J1586" s="59">
        <f t="shared" ca="1" si="122"/>
        <v>45969</v>
      </c>
      <c r="K1586" s="30">
        <f ca="1">LOOKUP(A1586,'QALS - Inspection Lot Record'!A:A,'QALS - Inspection Lot Record'!I:I)</f>
        <v>0.67837962962962961</v>
      </c>
      <c r="L1586" s="59">
        <f t="shared" ca="1" si="123"/>
        <v>45969</v>
      </c>
      <c r="M1586" s="30">
        <f t="shared" ca="1" si="124"/>
        <v>0.69789351851851855</v>
      </c>
      <c r="N1586" s="31"/>
      <c r="O1586" s="31">
        <v>93.6</v>
      </c>
      <c r="P1586" s="29">
        <v>95</v>
      </c>
      <c r="Q1586" s="29">
        <v>105</v>
      </c>
    </row>
    <row r="1587" spans="1:17" x14ac:dyDescent="0.35">
      <c r="A1587" s="26">
        <v>40000002699</v>
      </c>
      <c r="B1587" s="27">
        <v>1</v>
      </c>
      <c r="C1587" s="29" t="str">
        <f>LOOKUP(A1587,'QALS - Inspection Lot Record'!$A$2:$A$361,'QALS - Inspection Lot Record'!$O$2:$O$361)</f>
        <v>Metformin Tablets (500 MG)</v>
      </c>
      <c r="D1587" s="31">
        <v>20</v>
      </c>
      <c r="E1587" s="29" t="s">
        <v>400</v>
      </c>
      <c r="F1587" s="29" t="str">
        <f>LOOKUP(A1587,'QALS - Inspection Lot Record'!A:A,'QALS - Inspection Lot Record'!G:G)</f>
        <v>ZK384180</v>
      </c>
      <c r="G1587" s="59">
        <f ca="1">LOOKUP(A1587,'QALS - Inspection Lot Record'!A:A,'QALS - Inspection Lot Record'!E:E)</f>
        <v>45969</v>
      </c>
      <c r="H1587" s="34" t="str">
        <f t="shared" si="125"/>
        <v>A</v>
      </c>
      <c r="I1587" s="29" t="str">
        <f t="shared" si="121"/>
        <v>ZK384180</v>
      </c>
      <c r="J1587" s="59">
        <f t="shared" ca="1" si="122"/>
        <v>45969</v>
      </c>
      <c r="K1587" s="30">
        <f ca="1">LOOKUP(A1587,'QALS - Inspection Lot Record'!A:A,'QALS - Inspection Lot Record'!I:I)</f>
        <v>0.67837962962962961</v>
      </c>
      <c r="L1587" s="59">
        <f t="shared" ca="1" si="123"/>
        <v>45969</v>
      </c>
      <c r="M1587" s="30">
        <f t="shared" ca="1" si="124"/>
        <v>0.70966435185185184</v>
      </c>
      <c r="N1587" s="31"/>
      <c r="O1587" s="31">
        <v>7.25</v>
      </c>
      <c r="P1587" s="29">
        <v>3.5</v>
      </c>
      <c r="Q1587" s="29">
        <v>11</v>
      </c>
    </row>
    <row r="1588" spans="1:17" x14ac:dyDescent="0.35">
      <c r="A1588" s="26">
        <v>40000002699</v>
      </c>
      <c r="B1588" s="31">
        <v>1</v>
      </c>
      <c r="C1588" s="29" t="str">
        <f>LOOKUP(A1588,'QALS - Inspection Lot Record'!$A$2:$A$361,'QALS - Inspection Lot Record'!$O$2:$O$361)</f>
        <v>Metformin Tablets (500 MG)</v>
      </c>
      <c r="D1588" s="31">
        <v>30</v>
      </c>
      <c r="E1588" s="29" t="s">
        <v>401</v>
      </c>
      <c r="F1588" s="29" t="str">
        <f>LOOKUP(A1588,'QALS - Inspection Lot Record'!A:A,'QALS - Inspection Lot Record'!G:G)</f>
        <v>ZK384180</v>
      </c>
      <c r="G1588" s="59">
        <f ca="1">LOOKUP(A1588,'QALS - Inspection Lot Record'!A:A,'QALS - Inspection Lot Record'!E:E)</f>
        <v>45969</v>
      </c>
      <c r="H1588" s="34" t="str">
        <f t="shared" si="125"/>
        <v>A</v>
      </c>
      <c r="I1588" s="29" t="str">
        <f t="shared" si="121"/>
        <v>ZK384180</v>
      </c>
      <c r="J1588" s="59">
        <f t="shared" ca="1" si="122"/>
        <v>45969</v>
      </c>
      <c r="K1588" s="30">
        <f ca="1">LOOKUP(A1588,'QALS - Inspection Lot Record'!A:A,'QALS - Inspection Lot Record'!I:I)</f>
        <v>0.67837962962962961</v>
      </c>
      <c r="L1588" s="59">
        <f t="shared" ca="1" si="123"/>
        <v>45969</v>
      </c>
      <c r="M1588" s="30">
        <f t="shared" ca="1" si="124"/>
        <v>0.70285879629629633</v>
      </c>
      <c r="N1588" s="11" t="s">
        <v>402</v>
      </c>
      <c r="O1588" s="31"/>
      <c r="P1588" s="29"/>
      <c r="Q1588" s="29"/>
    </row>
    <row r="1589" spans="1:17" x14ac:dyDescent="0.35">
      <c r="A1589" s="26">
        <v>40000002699</v>
      </c>
      <c r="B1589" s="31">
        <v>1</v>
      </c>
      <c r="C1589" s="29" t="str">
        <f>LOOKUP(A1589,'QALS - Inspection Lot Record'!$A$2:$A$361,'QALS - Inspection Lot Record'!$O$2:$O$361)</f>
        <v>Metformin Tablets (500 MG)</v>
      </c>
      <c r="D1589" s="31">
        <v>40</v>
      </c>
      <c r="E1589" s="29" t="s">
        <v>403</v>
      </c>
      <c r="F1589" s="29" t="str">
        <f>LOOKUP(A1589,'QALS - Inspection Lot Record'!A:A,'QALS - Inspection Lot Record'!G:G)</f>
        <v>ZK384180</v>
      </c>
      <c r="G1589" s="59">
        <f ca="1">LOOKUP(A1589,'QALS - Inspection Lot Record'!A:A,'QALS - Inspection Lot Record'!E:E)</f>
        <v>45969</v>
      </c>
      <c r="H1589" s="34" t="str">
        <f t="shared" si="125"/>
        <v>A</v>
      </c>
      <c r="I1589" s="29" t="str">
        <f t="shared" si="121"/>
        <v>ZK384180</v>
      </c>
      <c r="J1589" s="59">
        <f t="shared" ca="1" si="122"/>
        <v>45969</v>
      </c>
      <c r="K1589" s="30">
        <f ca="1">LOOKUP(A1589,'QALS - Inspection Lot Record'!A:A,'QALS - Inspection Lot Record'!I:I)</f>
        <v>0.67837962962962961</v>
      </c>
      <c r="L1589" s="59">
        <f t="shared" ca="1" si="123"/>
        <v>45969</v>
      </c>
      <c r="M1589" s="30">
        <f t="shared" ca="1" si="124"/>
        <v>0.70303240740740736</v>
      </c>
      <c r="N1589" s="31"/>
      <c r="O1589" s="31">
        <v>1.6</v>
      </c>
      <c r="P1589" s="29">
        <v>0</v>
      </c>
      <c r="Q1589" s="29">
        <v>2</v>
      </c>
    </row>
    <row r="1590" spans="1:17" x14ac:dyDescent="0.35">
      <c r="A1590" s="26">
        <v>40000002699</v>
      </c>
      <c r="B1590" s="31">
        <v>1</v>
      </c>
      <c r="C1590" s="29" t="str">
        <f>LOOKUP(A1590,'QALS - Inspection Lot Record'!$A$2:$A$361,'QALS - Inspection Lot Record'!$O$2:$O$361)</f>
        <v>Metformin Tablets (500 MG)</v>
      </c>
      <c r="D1590" s="31">
        <v>50</v>
      </c>
      <c r="E1590" s="29" t="s">
        <v>404</v>
      </c>
      <c r="F1590" s="29" t="str">
        <f>LOOKUP(A1590,'QALS - Inspection Lot Record'!A:A,'QALS - Inspection Lot Record'!G:G)</f>
        <v>ZK384180</v>
      </c>
      <c r="G1590" s="59">
        <f ca="1">LOOKUP(A1590,'QALS - Inspection Lot Record'!A:A,'QALS - Inspection Lot Record'!E:E)</f>
        <v>45969</v>
      </c>
      <c r="H1590" s="34" t="str">
        <f t="shared" si="125"/>
        <v>A</v>
      </c>
      <c r="I1590" s="29" t="str">
        <f t="shared" si="121"/>
        <v>ZK384180</v>
      </c>
      <c r="J1590" s="59">
        <f t="shared" ca="1" si="122"/>
        <v>45969</v>
      </c>
      <c r="K1590" s="30">
        <f ca="1">LOOKUP(A1590,'QALS - Inspection Lot Record'!A:A,'QALS - Inspection Lot Record'!I:I)</f>
        <v>0.67837962962962961</v>
      </c>
      <c r="L1590" s="59">
        <f t="shared" ca="1" si="123"/>
        <v>45969</v>
      </c>
      <c r="M1590" s="30">
        <f t="shared" ca="1" si="124"/>
        <v>0.70643518518518511</v>
      </c>
      <c r="N1590" s="31"/>
      <c r="O1590" s="31">
        <v>41.8</v>
      </c>
      <c r="P1590" s="29">
        <v>40</v>
      </c>
      <c r="Q1590" s="29">
        <v>60</v>
      </c>
    </row>
    <row r="1591" spans="1:17" x14ac:dyDescent="0.35">
      <c r="A1591" s="26">
        <v>40000002699</v>
      </c>
      <c r="B1591" s="31">
        <v>1</v>
      </c>
      <c r="C1591" s="29" t="str">
        <f>LOOKUP(A1591,'QALS - Inspection Lot Record'!$A$2:$A$361,'QALS - Inspection Lot Record'!$O$2:$O$361)</f>
        <v>Metformin Tablets (500 MG)</v>
      </c>
      <c r="D1591" s="31">
        <v>60</v>
      </c>
      <c r="E1591" s="29" t="s">
        <v>405</v>
      </c>
      <c r="F1591" s="29" t="str">
        <f>LOOKUP(A1591,'QALS - Inspection Lot Record'!A:A,'QALS - Inspection Lot Record'!G:G)</f>
        <v>ZK384180</v>
      </c>
      <c r="G1591" s="59">
        <f ca="1">LOOKUP(A1591,'QALS - Inspection Lot Record'!A:A,'QALS - Inspection Lot Record'!E:E)</f>
        <v>45969</v>
      </c>
      <c r="H1591" s="34" t="str">
        <f t="shared" si="125"/>
        <v>A</v>
      </c>
      <c r="I1591" s="29" t="str">
        <f t="shared" si="121"/>
        <v>ZK384180</v>
      </c>
      <c r="J1591" s="59">
        <f t="shared" ca="1" si="122"/>
        <v>45969</v>
      </c>
      <c r="K1591" s="30">
        <f ca="1">LOOKUP(A1591,'QALS - Inspection Lot Record'!A:A,'QALS - Inspection Lot Record'!I:I)</f>
        <v>0.67837962962962961</v>
      </c>
      <c r="L1591" s="59">
        <f t="shared" ca="1" si="123"/>
        <v>45969</v>
      </c>
      <c r="M1591" s="30">
        <f t="shared" ca="1" si="124"/>
        <v>0.69790509259259259</v>
      </c>
      <c r="N1591" s="31"/>
      <c r="O1591" s="31">
        <v>72</v>
      </c>
      <c r="P1591" s="29">
        <v>70</v>
      </c>
      <c r="Q1591" s="29">
        <v>85</v>
      </c>
    </row>
    <row r="1592" spans="1:17" x14ac:dyDescent="0.35">
      <c r="A1592" s="26">
        <v>40000002699</v>
      </c>
      <c r="B1592" s="31">
        <v>1</v>
      </c>
      <c r="C1592" s="29" t="str">
        <f>LOOKUP(A1592,'QALS - Inspection Lot Record'!$A$2:$A$361,'QALS - Inspection Lot Record'!$O$2:$O$361)</f>
        <v>Metformin Tablets (500 MG)</v>
      </c>
      <c r="D1592" s="31">
        <v>70</v>
      </c>
      <c r="E1592" s="29" t="s">
        <v>406</v>
      </c>
      <c r="F1592" s="29" t="str">
        <f>LOOKUP(A1592,'QALS - Inspection Lot Record'!A:A,'QALS - Inspection Lot Record'!G:G)</f>
        <v>ZK384180</v>
      </c>
      <c r="G1592" s="59">
        <f ca="1">LOOKUP(A1592,'QALS - Inspection Lot Record'!A:A,'QALS - Inspection Lot Record'!E:E)</f>
        <v>45969</v>
      </c>
      <c r="H1592" s="34" t="str">
        <f t="shared" si="125"/>
        <v>A</v>
      </c>
      <c r="I1592" s="29" t="str">
        <f t="shared" si="121"/>
        <v>ZK384180</v>
      </c>
      <c r="J1592" s="59">
        <f t="shared" ca="1" si="122"/>
        <v>45969</v>
      </c>
      <c r="K1592" s="30">
        <f ca="1">LOOKUP(A1592,'QALS - Inspection Lot Record'!A:A,'QALS - Inspection Lot Record'!I:I)</f>
        <v>0.67837962962962961</v>
      </c>
      <c r="L1592" s="59">
        <f t="shared" ca="1" si="123"/>
        <v>45969</v>
      </c>
      <c r="M1592" s="30">
        <f t="shared" ca="1" si="124"/>
        <v>0.70535879629629628</v>
      </c>
      <c r="N1592" s="31"/>
      <c r="O1592" s="31">
        <v>81.900000000000006</v>
      </c>
      <c r="P1592" s="29">
        <v>80</v>
      </c>
      <c r="Q1592" s="29">
        <v>90</v>
      </c>
    </row>
    <row r="1593" spans="1:17" x14ac:dyDescent="0.35">
      <c r="A1593" s="26">
        <v>40000002699</v>
      </c>
      <c r="B1593" s="31">
        <v>1</v>
      </c>
      <c r="C1593" s="29" t="str">
        <f>LOOKUP(A1593,'QALS - Inspection Lot Record'!$A$2:$A$361,'QALS - Inspection Lot Record'!$O$2:$O$361)</f>
        <v>Metformin Tablets (500 MG)</v>
      </c>
      <c r="D1593" s="31">
        <v>80</v>
      </c>
      <c r="E1593" s="29" t="s">
        <v>407</v>
      </c>
      <c r="F1593" s="29" t="str">
        <f>LOOKUP(A1593,'QALS - Inspection Lot Record'!A:A,'QALS - Inspection Lot Record'!G:G)</f>
        <v>ZK384180</v>
      </c>
      <c r="G1593" s="59">
        <f ca="1">LOOKUP(A1593,'QALS - Inspection Lot Record'!A:A,'QALS - Inspection Lot Record'!E:E)</f>
        <v>45969</v>
      </c>
      <c r="H1593" s="34" t="str">
        <f t="shared" si="125"/>
        <v>A</v>
      </c>
      <c r="I1593" s="29" t="str">
        <f t="shared" si="121"/>
        <v>ZK384180</v>
      </c>
      <c r="J1593" s="59">
        <f t="shared" ca="1" si="122"/>
        <v>45969</v>
      </c>
      <c r="K1593" s="30">
        <f ca="1">LOOKUP(A1593,'QALS - Inspection Lot Record'!A:A,'QALS - Inspection Lot Record'!I:I)</f>
        <v>0.67837962962962961</v>
      </c>
      <c r="L1593" s="59">
        <f t="shared" ca="1" si="123"/>
        <v>45969</v>
      </c>
      <c r="M1593" s="30">
        <f t="shared" ca="1" si="124"/>
        <v>0.69601851851851848</v>
      </c>
      <c r="N1593" s="31"/>
      <c r="O1593" s="31">
        <v>25.5</v>
      </c>
      <c r="P1593" s="29">
        <v>23</v>
      </c>
      <c r="Q1593" s="29">
        <v>28</v>
      </c>
    </row>
    <row r="1594" spans="1:17" x14ac:dyDescent="0.35">
      <c r="A1594" s="26">
        <v>40000002700</v>
      </c>
      <c r="B1594" s="27">
        <v>1</v>
      </c>
      <c r="C1594" s="29" t="str">
        <f>LOOKUP(A1594,'QALS - Inspection Lot Record'!$A$2:$A$361,'QALS - Inspection Lot Record'!$O$2:$O$361)</f>
        <v>Metformin Tablets (200 MG)</v>
      </c>
      <c r="D1594" s="27">
        <v>10</v>
      </c>
      <c r="E1594" s="26" t="s">
        <v>399</v>
      </c>
      <c r="F1594" s="29" t="str">
        <f>LOOKUP(A1594,'QALS - Inspection Lot Record'!A:A,'QALS - Inspection Lot Record'!G:G)</f>
        <v>TG509538</v>
      </c>
      <c r="G1594" s="59">
        <f ca="1">LOOKUP(A1594,'QALS - Inspection Lot Record'!A:A,'QALS - Inspection Lot Record'!E:E)</f>
        <v>45969</v>
      </c>
      <c r="H1594" s="34" t="str">
        <f t="shared" si="125"/>
        <v>R</v>
      </c>
      <c r="I1594" s="29" t="str">
        <f t="shared" si="121"/>
        <v>TG509538</v>
      </c>
      <c r="J1594" s="59">
        <f t="shared" ca="1" si="122"/>
        <v>45969</v>
      </c>
      <c r="K1594" s="30">
        <f ca="1">LOOKUP(A1594,'QALS - Inspection Lot Record'!A:A,'QALS - Inspection Lot Record'!I:I)</f>
        <v>0.24008101851851851</v>
      </c>
      <c r="L1594" s="59">
        <f t="shared" ca="1" si="123"/>
        <v>45969</v>
      </c>
      <c r="M1594" s="30">
        <f t="shared" ca="1" si="124"/>
        <v>0.26541666666666663</v>
      </c>
      <c r="N1594" s="31"/>
      <c r="O1594" s="31">
        <v>93.6</v>
      </c>
      <c r="P1594" s="29">
        <v>95</v>
      </c>
      <c r="Q1594" s="29">
        <v>103</v>
      </c>
    </row>
    <row r="1595" spans="1:17" x14ac:dyDescent="0.35">
      <c r="A1595" s="26">
        <v>40000002700</v>
      </c>
      <c r="B1595" s="27">
        <v>1</v>
      </c>
      <c r="C1595" s="29" t="str">
        <f>LOOKUP(A1595,'QALS - Inspection Lot Record'!$A$2:$A$361,'QALS - Inspection Lot Record'!$O$2:$O$361)</f>
        <v>Metformin Tablets (200 MG)</v>
      </c>
      <c r="D1595" s="31">
        <v>20</v>
      </c>
      <c r="E1595" s="29" t="s">
        <v>400</v>
      </c>
      <c r="F1595" s="29" t="str">
        <f>LOOKUP(A1595,'QALS - Inspection Lot Record'!A:A,'QALS - Inspection Lot Record'!G:G)</f>
        <v>TG509538</v>
      </c>
      <c r="G1595" s="59">
        <f ca="1">LOOKUP(A1595,'QALS - Inspection Lot Record'!A:A,'QALS - Inspection Lot Record'!E:E)</f>
        <v>45969</v>
      </c>
      <c r="H1595" s="34" t="str">
        <f t="shared" si="125"/>
        <v>A</v>
      </c>
      <c r="I1595" s="29" t="str">
        <f t="shared" si="121"/>
        <v>TG509538</v>
      </c>
      <c r="J1595" s="59">
        <f t="shared" ca="1" si="122"/>
        <v>45969</v>
      </c>
      <c r="K1595" s="30">
        <f ca="1">LOOKUP(A1595,'QALS - Inspection Lot Record'!A:A,'QALS - Inspection Lot Record'!I:I)</f>
        <v>0.24008101851851851</v>
      </c>
      <c r="L1595" s="59">
        <f t="shared" ca="1" si="123"/>
        <v>45969</v>
      </c>
      <c r="M1595" s="30">
        <f t="shared" ca="1" si="124"/>
        <v>0.2605439814814815</v>
      </c>
      <c r="N1595" s="31"/>
      <c r="O1595" s="31">
        <v>7.8</v>
      </c>
      <c r="P1595" s="29">
        <v>6</v>
      </c>
      <c r="Q1595" s="29">
        <v>9.5</v>
      </c>
    </row>
    <row r="1596" spans="1:17" x14ac:dyDescent="0.35">
      <c r="A1596" s="26">
        <v>40000002700</v>
      </c>
      <c r="B1596" s="31">
        <v>1</v>
      </c>
      <c r="C1596" s="29" t="str">
        <f>LOOKUP(A1596,'QALS - Inspection Lot Record'!$A$2:$A$361,'QALS - Inspection Lot Record'!$O$2:$O$361)</f>
        <v>Metformin Tablets (200 MG)</v>
      </c>
      <c r="D1596" s="31">
        <v>30</v>
      </c>
      <c r="E1596" s="29" t="s">
        <v>401</v>
      </c>
      <c r="F1596" s="29" t="str">
        <f>LOOKUP(A1596,'QALS - Inspection Lot Record'!A:A,'QALS - Inspection Lot Record'!G:G)</f>
        <v>TG509538</v>
      </c>
      <c r="G1596" s="59">
        <f ca="1">LOOKUP(A1596,'QALS - Inspection Lot Record'!A:A,'QALS - Inspection Lot Record'!E:E)</f>
        <v>45969</v>
      </c>
      <c r="H1596" s="34" t="str">
        <f t="shared" si="125"/>
        <v>A</v>
      </c>
      <c r="I1596" s="29" t="str">
        <f t="shared" si="121"/>
        <v>TG509538</v>
      </c>
      <c r="J1596" s="59">
        <f t="shared" ca="1" si="122"/>
        <v>45969</v>
      </c>
      <c r="K1596" s="30">
        <f ca="1">LOOKUP(A1596,'QALS - Inspection Lot Record'!A:A,'QALS - Inspection Lot Record'!I:I)</f>
        <v>0.24008101851851851</v>
      </c>
      <c r="L1596" s="59">
        <f t="shared" ca="1" si="123"/>
        <v>45969</v>
      </c>
      <c r="M1596" s="30">
        <f t="shared" ca="1" si="124"/>
        <v>0.26101851851851854</v>
      </c>
      <c r="N1596" s="11" t="s">
        <v>402</v>
      </c>
      <c r="O1596" s="31"/>
      <c r="P1596" s="29"/>
      <c r="Q1596" s="29"/>
    </row>
    <row r="1597" spans="1:17" x14ac:dyDescent="0.35">
      <c r="A1597" s="26">
        <v>40000002700</v>
      </c>
      <c r="B1597" s="31">
        <v>1</v>
      </c>
      <c r="C1597" s="29" t="str">
        <f>LOOKUP(A1597,'QALS - Inspection Lot Record'!$A$2:$A$361,'QALS - Inspection Lot Record'!$O$2:$O$361)</f>
        <v>Metformin Tablets (200 MG)</v>
      </c>
      <c r="D1597" s="31">
        <v>40</v>
      </c>
      <c r="E1597" s="29" t="s">
        <v>403</v>
      </c>
      <c r="F1597" s="29" t="str">
        <f>LOOKUP(A1597,'QALS - Inspection Lot Record'!A:A,'QALS - Inspection Lot Record'!G:G)</f>
        <v>TG509538</v>
      </c>
      <c r="G1597" s="59">
        <f ca="1">LOOKUP(A1597,'QALS - Inspection Lot Record'!A:A,'QALS - Inspection Lot Record'!E:E)</f>
        <v>45969</v>
      </c>
      <c r="H1597" s="34" t="str">
        <f t="shared" si="125"/>
        <v>A</v>
      </c>
      <c r="I1597" s="29" t="str">
        <f t="shared" si="121"/>
        <v>TG509538</v>
      </c>
      <c r="J1597" s="59">
        <f t="shared" ca="1" si="122"/>
        <v>45969</v>
      </c>
      <c r="K1597" s="30">
        <f ca="1">LOOKUP(A1597,'QALS - Inspection Lot Record'!A:A,'QALS - Inspection Lot Record'!I:I)</f>
        <v>0.24008101851851851</v>
      </c>
      <c r="L1597" s="59">
        <f t="shared" ca="1" si="123"/>
        <v>45969</v>
      </c>
      <c r="M1597" s="30">
        <f t="shared" ca="1" si="124"/>
        <v>0.25958333333333333</v>
      </c>
      <c r="N1597" s="31"/>
      <c r="O1597" s="31">
        <v>1.6</v>
      </c>
      <c r="P1597" s="29">
        <v>0</v>
      </c>
      <c r="Q1597" s="29">
        <v>2</v>
      </c>
    </row>
    <row r="1598" spans="1:17" x14ac:dyDescent="0.35">
      <c r="A1598" s="26">
        <v>40000002700</v>
      </c>
      <c r="B1598" s="31">
        <v>1</v>
      </c>
      <c r="C1598" s="29" t="str">
        <f>LOOKUP(A1598,'QALS - Inspection Lot Record'!$A$2:$A$361,'QALS - Inspection Lot Record'!$O$2:$O$361)</f>
        <v>Metformin Tablets (200 MG)</v>
      </c>
      <c r="D1598" s="31">
        <v>50</v>
      </c>
      <c r="E1598" s="29" t="s">
        <v>404</v>
      </c>
      <c r="F1598" s="29" t="str">
        <f>LOOKUP(A1598,'QALS - Inspection Lot Record'!A:A,'QALS - Inspection Lot Record'!G:G)</f>
        <v>TG509538</v>
      </c>
      <c r="G1598" s="59">
        <f ca="1">LOOKUP(A1598,'QALS - Inspection Lot Record'!A:A,'QALS - Inspection Lot Record'!E:E)</f>
        <v>45969</v>
      </c>
      <c r="H1598" s="34" t="str">
        <f t="shared" si="125"/>
        <v>A</v>
      </c>
      <c r="I1598" s="29" t="str">
        <f t="shared" si="121"/>
        <v>TG509538</v>
      </c>
      <c r="J1598" s="59">
        <f t="shared" ca="1" si="122"/>
        <v>45969</v>
      </c>
      <c r="K1598" s="30">
        <f ca="1">LOOKUP(A1598,'QALS - Inspection Lot Record'!A:A,'QALS - Inspection Lot Record'!I:I)</f>
        <v>0.24008101851851851</v>
      </c>
      <c r="L1598" s="59">
        <f t="shared" ca="1" si="123"/>
        <v>45969</v>
      </c>
      <c r="M1598" s="30">
        <f t="shared" ca="1" si="124"/>
        <v>0.25995370370370369</v>
      </c>
      <c r="N1598" s="31"/>
      <c r="O1598" s="31">
        <v>41.3</v>
      </c>
      <c r="P1598" s="29">
        <v>40</v>
      </c>
      <c r="Q1598" s="29">
        <v>60</v>
      </c>
    </row>
    <row r="1599" spans="1:17" x14ac:dyDescent="0.35">
      <c r="A1599" s="26">
        <v>40000002700</v>
      </c>
      <c r="B1599" s="31">
        <v>1</v>
      </c>
      <c r="C1599" s="29" t="str">
        <f>LOOKUP(A1599,'QALS - Inspection Lot Record'!$A$2:$A$361,'QALS - Inspection Lot Record'!$O$2:$O$361)</f>
        <v>Metformin Tablets (200 MG)</v>
      </c>
      <c r="D1599" s="31">
        <v>60</v>
      </c>
      <c r="E1599" s="29" t="s">
        <v>405</v>
      </c>
      <c r="F1599" s="29" t="str">
        <f>LOOKUP(A1599,'QALS - Inspection Lot Record'!A:A,'QALS - Inspection Lot Record'!G:G)</f>
        <v>TG509538</v>
      </c>
      <c r="G1599" s="59">
        <f ca="1">LOOKUP(A1599,'QALS - Inspection Lot Record'!A:A,'QALS - Inspection Lot Record'!E:E)</f>
        <v>45969</v>
      </c>
      <c r="H1599" s="34" t="str">
        <f t="shared" si="125"/>
        <v>A</v>
      </c>
      <c r="I1599" s="29" t="str">
        <f t="shared" si="121"/>
        <v>TG509538</v>
      </c>
      <c r="J1599" s="59">
        <f t="shared" ca="1" si="122"/>
        <v>45969</v>
      </c>
      <c r="K1599" s="30">
        <f ca="1">LOOKUP(A1599,'QALS - Inspection Lot Record'!A:A,'QALS - Inspection Lot Record'!I:I)</f>
        <v>0.24008101851851851</v>
      </c>
      <c r="L1599" s="59">
        <f t="shared" ca="1" si="123"/>
        <v>45969</v>
      </c>
      <c r="M1599" s="30">
        <f t="shared" ca="1" si="124"/>
        <v>0.27262731481481484</v>
      </c>
      <c r="N1599" s="31"/>
      <c r="O1599" s="31">
        <v>71.8</v>
      </c>
      <c r="P1599" s="29">
        <v>70</v>
      </c>
      <c r="Q1599" s="29">
        <v>85</v>
      </c>
    </row>
    <row r="1600" spans="1:17" x14ac:dyDescent="0.35">
      <c r="A1600" s="26">
        <v>40000002700</v>
      </c>
      <c r="B1600" s="31">
        <v>1</v>
      </c>
      <c r="C1600" s="29" t="str">
        <f>LOOKUP(A1600,'QALS - Inspection Lot Record'!$A$2:$A$361,'QALS - Inspection Lot Record'!$O$2:$O$361)</f>
        <v>Metformin Tablets (200 MG)</v>
      </c>
      <c r="D1600" s="31">
        <v>70</v>
      </c>
      <c r="E1600" s="29" t="s">
        <v>406</v>
      </c>
      <c r="F1600" s="29" t="str">
        <f>LOOKUP(A1600,'QALS - Inspection Lot Record'!A:A,'QALS - Inspection Lot Record'!G:G)</f>
        <v>TG509538</v>
      </c>
      <c r="G1600" s="59">
        <f ca="1">LOOKUP(A1600,'QALS - Inspection Lot Record'!A:A,'QALS - Inspection Lot Record'!E:E)</f>
        <v>45969</v>
      </c>
      <c r="H1600" s="34" t="str">
        <f t="shared" si="125"/>
        <v>A</v>
      </c>
      <c r="I1600" s="29" t="str">
        <f t="shared" si="121"/>
        <v>TG509538</v>
      </c>
      <c r="J1600" s="59">
        <f t="shared" ca="1" si="122"/>
        <v>45969</v>
      </c>
      <c r="K1600" s="30">
        <f ca="1">LOOKUP(A1600,'QALS - Inspection Lot Record'!A:A,'QALS - Inspection Lot Record'!I:I)</f>
        <v>0.24008101851851851</v>
      </c>
      <c r="L1600" s="59">
        <f t="shared" ca="1" si="123"/>
        <v>45969</v>
      </c>
      <c r="M1600" s="30">
        <f t="shared" ca="1" si="124"/>
        <v>0.2684375</v>
      </c>
      <c r="N1600" s="31"/>
      <c r="O1600" s="31">
        <v>81.3</v>
      </c>
      <c r="P1600" s="29">
        <v>80</v>
      </c>
      <c r="Q1600" s="29">
        <v>90</v>
      </c>
    </row>
    <row r="1601" spans="1:17" x14ac:dyDescent="0.35">
      <c r="A1601" s="26">
        <v>40000002700</v>
      </c>
      <c r="B1601" s="31">
        <v>1</v>
      </c>
      <c r="C1601" s="29" t="str">
        <f>LOOKUP(A1601,'QALS - Inspection Lot Record'!$A$2:$A$361,'QALS - Inspection Lot Record'!$O$2:$O$361)</f>
        <v>Metformin Tablets (200 MG)</v>
      </c>
      <c r="D1601" s="31">
        <v>80</v>
      </c>
      <c r="E1601" s="29" t="s">
        <v>407</v>
      </c>
      <c r="F1601" s="29" t="str">
        <f>LOOKUP(A1601,'QALS - Inspection Lot Record'!A:A,'QALS - Inspection Lot Record'!G:G)</f>
        <v>TG509538</v>
      </c>
      <c r="G1601" s="59">
        <f ca="1">LOOKUP(A1601,'QALS - Inspection Lot Record'!A:A,'QALS - Inspection Lot Record'!E:E)</f>
        <v>45969</v>
      </c>
      <c r="H1601" s="34" t="str">
        <f t="shared" si="125"/>
        <v>A</v>
      </c>
      <c r="I1601" s="29" t="str">
        <f t="shared" si="121"/>
        <v>TG509538</v>
      </c>
      <c r="J1601" s="59">
        <f t="shared" ca="1" si="122"/>
        <v>45969</v>
      </c>
      <c r="K1601" s="30">
        <f ca="1">LOOKUP(A1601,'QALS - Inspection Lot Record'!A:A,'QALS - Inspection Lot Record'!I:I)</f>
        <v>0.24008101851851851</v>
      </c>
      <c r="L1601" s="59">
        <f t="shared" ca="1" si="123"/>
        <v>45969</v>
      </c>
      <c r="M1601" s="30">
        <f t="shared" ca="1" si="124"/>
        <v>0.26446759259259256</v>
      </c>
      <c r="N1601" s="31"/>
      <c r="O1601" s="31">
        <v>25.5</v>
      </c>
      <c r="P1601" s="29">
        <v>23</v>
      </c>
      <c r="Q1601" s="29">
        <v>28</v>
      </c>
    </row>
    <row r="1602" spans="1:17" x14ac:dyDescent="0.35">
      <c r="A1602" s="26">
        <v>40000002701</v>
      </c>
      <c r="B1602" s="27">
        <v>1</v>
      </c>
      <c r="C1602" s="29" t="str">
        <f>LOOKUP(A1602,'QALS - Inspection Lot Record'!$A$2:$A$361,'QALS - Inspection Lot Record'!$O$2:$O$361)</f>
        <v>Metformin Tablets (200 MG)</v>
      </c>
      <c r="D1602" s="27">
        <v>10</v>
      </c>
      <c r="E1602" s="26" t="s">
        <v>399</v>
      </c>
      <c r="F1602" s="29" t="str">
        <f>LOOKUP(A1602,'QALS - Inspection Lot Record'!A:A,'QALS - Inspection Lot Record'!G:G)</f>
        <v>TP397880</v>
      </c>
      <c r="G1602" s="59">
        <f ca="1">LOOKUP(A1602,'QALS - Inspection Lot Record'!A:A,'QALS - Inspection Lot Record'!E:E)</f>
        <v>45970</v>
      </c>
      <c r="H1602" s="34" t="str">
        <f t="shared" si="125"/>
        <v>A</v>
      </c>
      <c r="I1602" s="29" t="str">
        <f t="shared" ref="I1602:I1665" si="126">F1602</f>
        <v>TP397880</v>
      </c>
      <c r="J1602" s="59">
        <f t="shared" ref="J1602:J1665" ca="1" si="127">G1602</f>
        <v>45970</v>
      </c>
      <c r="K1602" s="30">
        <f ca="1">LOOKUP(A1602,'QALS - Inspection Lot Record'!A:A,'QALS - Inspection Lot Record'!I:I)</f>
        <v>0.67252314814814818</v>
      </c>
      <c r="L1602" s="59">
        <f t="shared" ref="L1602:L1665" ca="1" si="128">G1602</f>
        <v>45970</v>
      </c>
      <c r="M1602" s="30">
        <f t="shared" ref="M1602:M1665" ca="1" si="129">K1602+TIME(0,RANDBETWEEN(25,50),RANDBETWEEN(0,59))</f>
        <v>0.703125</v>
      </c>
      <c r="N1602" s="31"/>
      <c r="O1602" s="31">
        <v>99</v>
      </c>
      <c r="P1602" s="29">
        <v>95</v>
      </c>
      <c r="Q1602" s="29">
        <v>103</v>
      </c>
    </row>
    <row r="1603" spans="1:17" x14ac:dyDescent="0.35">
      <c r="A1603" s="26">
        <v>40000002701</v>
      </c>
      <c r="B1603" s="27">
        <v>1</v>
      </c>
      <c r="C1603" s="29" t="str">
        <f>LOOKUP(A1603,'QALS - Inspection Lot Record'!$A$2:$A$361,'QALS - Inspection Lot Record'!$O$2:$O$361)</f>
        <v>Metformin Tablets (200 MG)</v>
      </c>
      <c r="D1603" s="31">
        <v>20</v>
      </c>
      <c r="E1603" s="29" t="s">
        <v>400</v>
      </c>
      <c r="F1603" s="29" t="str">
        <f>LOOKUP(A1603,'QALS - Inspection Lot Record'!A:A,'QALS - Inspection Lot Record'!G:G)</f>
        <v>TP397880</v>
      </c>
      <c r="G1603" s="59">
        <f ca="1">LOOKUP(A1603,'QALS - Inspection Lot Record'!A:A,'QALS - Inspection Lot Record'!E:E)</f>
        <v>45970</v>
      </c>
      <c r="H1603" s="34" t="str">
        <f t="shared" si="125"/>
        <v>A</v>
      </c>
      <c r="I1603" s="29" t="str">
        <f t="shared" si="126"/>
        <v>TP397880</v>
      </c>
      <c r="J1603" s="59">
        <f t="shared" ca="1" si="127"/>
        <v>45970</v>
      </c>
      <c r="K1603" s="30">
        <f ca="1">LOOKUP(A1603,'QALS - Inspection Lot Record'!A:A,'QALS - Inspection Lot Record'!I:I)</f>
        <v>0.67252314814814818</v>
      </c>
      <c r="L1603" s="59">
        <f t="shared" ca="1" si="128"/>
        <v>45970</v>
      </c>
      <c r="M1603" s="30">
        <f t="shared" ca="1" si="129"/>
        <v>0.70326388888888891</v>
      </c>
      <c r="N1603" s="31"/>
      <c r="O1603" s="31">
        <v>7.75</v>
      </c>
      <c r="P1603" s="29">
        <v>6</v>
      </c>
      <c r="Q1603" s="29">
        <v>9.5</v>
      </c>
    </row>
    <row r="1604" spans="1:17" x14ac:dyDescent="0.35">
      <c r="A1604" s="26">
        <v>40000002701</v>
      </c>
      <c r="B1604" s="31">
        <v>1</v>
      </c>
      <c r="C1604" s="29" t="str">
        <f>LOOKUP(A1604,'QALS - Inspection Lot Record'!$A$2:$A$361,'QALS - Inspection Lot Record'!$O$2:$O$361)</f>
        <v>Metformin Tablets (200 MG)</v>
      </c>
      <c r="D1604" s="31">
        <v>30</v>
      </c>
      <c r="E1604" s="29" t="s">
        <v>401</v>
      </c>
      <c r="F1604" s="29" t="str">
        <f>LOOKUP(A1604,'QALS - Inspection Lot Record'!A:A,'QALS - Inspection Lot Record'!G:G)</f>
        <v>TP397880</v>
      </c>
      <c r="G1604" s="59">
        <f ca="1">LOOKUP(A1604,'QALS - Inspection Lot Record'!A:A,'QALS - Inspection Lot Record'!E:E)</f>
        <v>45970</v>
      </c>
      <c r="H1604" s="34" t="str">
        <f t="shared" si="125"/>
        <v>A</v>
      </c>
      <c r="I1604" s="29" t="str">
        <f t="shared" si="126"/>
        <v>TP397880</v>
      </c>
      <c r="J1604" s="59">
        <f t="shared" ca="1" si="127"/>
        <v>45970</v>
      </c>
      <c r="K1604" s="30">
        <f ca="1">LOOKUP(A1604,'QALS - Inspection Lot Record'!A:A,'QALS - Inspection Lot Record'!I:I)</f>
        <v>0.67252314814814818</v>
      </c>
      <c r="L1604" s="59">
        <f t="shared" ca="1" si="128"/>
        <v>45970</v>
      </c>
      <c r="M1604" s="30">
        <f t="shared" ca="1" si="129"/>
        <v>0.70019675925925928</v>
      </c>
      <c r="N1604" s="11" t="s">
        <v>402</v>
      </c>
      <c r="O1604" s="31"/>
      <c r="P1604" s="29"/>
      <c r="Q1604" s="29"/>
    </row>
    <row r="1605" spans="1:17" x14ac:dyDescent="0.35">
      <c r="A1605" s="26">
        <v>40000002701</v>
      </c>
      <c r="B1605" s="31">
        <v>1</v>
      </c>
      <c r="C1605" s="29" t="str">
        <f>LOOKUP(A1605,'QALS - Inspection Lot Record'!$A$2:$A$361,'QALS - Inspection Lot Record'!$O$2:$O$361)</f>
        <v>Metformin Tablets (200 MG)</v>
      </c>
      <c r="D1605" s="31">
        <v>40</v>
      </c>
      <c r="E1605" s="29" t="s">
        <v>403</v>
      </c>
      <c r="F1605" s="29" t="str">
        <f>LOOKUP(A1605,'QALS - Inspection Lot Record'!A:A,'QALS - Inspection Lot Record'!G:G)</f>
        <v>TP397880</v>
      </c>
      <c r="G1605" s="59">
        <f ca="1">LOOKUP(A1605,'QALS - Inspection Lot Record'!A:A,'QALS - Inspection Lot Record'!E:E)</f>
        <v>45970</v>
      </c>
      <c r="H1605" s="34" t="str">
        <f t="shared" si="125"/>
        <v>A</v>
      </c>
      <c r="I1605" s="29" t="str">
        <f t="shared" si="126"/>
        <v>TP397880</v>
      </c>
      <c r="J1605" s="59">
        <f t="shared" ca="1" si="127"/>
        <v>45970</v>
      </c>
      <c r="K1605" s="30">
        <f ca="1">LOOKUP(A1605,'QALS - Inspection Lot Record'!A:A,'QALS - Inspection Lot Record'!I:I)</f>
        <v>0.67252314814814818</v>
      </c>
      <c r="L1605" s="59">
        <f t="shared" ca="1" si="128"/>
        <v>45970</v>
      </c>
      <c r="M1605" s="30">
        <f t="shared" ca="1" si="129"/>
        <v>0.69946759259259261</v>
      </c>
      <c r="N1605" s="31"/>
      <c r="O1605" s="31">
        <v>0</v>
      </c>
      <c r="P1605" s="29">
        <v>0</v>
      </c>
      <c r="Q1605" s="29">
        <v>2</v>
      </c>
    </row>
    <row r="1606" spans="1:17" x14ac:dyDescent="0.35">
      <c r="A1606" s="26">
        <v>40000002701</v>
      </c>
      <c r="B1606" s="31">
        <v>1</v>
      </c>
      <c r="C1606" s="29" t="str">
        <f>LOOKUP(A1606,'QALS - Inspection Lot Record'!$A$2:$A$361,'QALS - Inspection Lot Record'!$O$2:$O$361)</f>
        <v>Metformin Tablets (200 MG)</v>
      </c>
      <c r="D1606" s="31">
        <v>50</v>
      </c>
      <c r="E1606" s="29" t="s">
        <v>404</v>
      </c>
      <c r="F1606" s="29" t="str">
        <f>LOOKUP(A1606,'QALS - Inspection Lot Record'!A:A,'QALS - Inspection Lot Record'!G:G)</f>
        <v>TP397880</v>
      </c>
      <c r="G1606" s="59">
        <f ca="1">LOOKUP(A1606,'QALS - Inspection Lot Record'!A:A,'QALS - Inspection Lot Record'!E:E)</f>
        <v>45970</v>
      </c>
      <c r="H1606" s="34" t="str">
        <f t="shared" si="125"/>
        <v>A</v>
      </c>
      <c r="I1606" s="29" t="str">
        <f t="shared" si="126"/>
        <v>TP397880</v>
      </c>
      <c r="J1606" s="59">
        <f t="shared" ca="1" si="127"/>
        <v>45970</v>
      </c>
      <c r="K1606" s="30">
        <f ca="1">LOOKUP(A1606,'QALS - Inspection Lot Record'!A:A,'QALS - Inspection Lot Record'!I:I)</f>
        <v>0.67252314814814818</v>
      </c>
      <c r="L1606" s="59">
        <f t="shared" ca="1" si="128"/>
        <v>45970</v>
      </c>
      <c r="M1606" s="30">
        <f t="shared" ca="1" si="129"/>
        <v>0.69243055555555555</v>
      </c>
      <c r="N1606" s="31"/>
      <c r="O1606" s="31">
        <v>50</v>
      </c>
      <c r="P1606" s="29">
        <v>40</v>
      </c>
      <c r="Q1606" s="29">
        <v>60</v>
      </c>
    </row>
    <row r="1607" spans="1:17" x14ac:dyDescent="0.35">
      <c r="A1607" s="26">
        <v>40000002701</v>
      </c>
      <c r="B1607" s="31">
        <v>1</v>
      </c>
      <c r="C1607" s="29" t="str">
        <f>LOOKUP(A1607,'QALS - Inspection Lot Record'!$A$2:$A$361,'QALS - Inspection Lot Record'!$O$2:$O$361)</f>
        <v>Metformin Tablets (200 MG)</v>
      </c>
      <c r="D1607" s="31">
        <v>60</v>
      </c>
      <c r="E1607" s="29" t="s">
        <v>405</v>
      </c>
      <c r="F1607" s="29" t="str">
        <f>LOOKUP(A1607,'QALS - Inspection Lot Record'!A:A,'QALS - Inspection Lot Record'!G:G)</f>
        <v>TP397880</v>
      </c>
      <c r="G1607" s="59">
        <f ca="1">LOOKUP(A1607,'QALS - Inspection Lot Record'!A:A,'QALS - Inspection Lot Record'!E:E)</f>
        <v>45970</v>
      </c>
      <c r="H1607" s="34" t="str">
        <f t="shared" si="125"/>
        <v>A</v>
      </c>
      <c r="I1607" s="29" t="str">
        <f t="shared" si="126"/>
        <v>TP397880</v>
      </c>
      <c r="J1607" s="59">
        <f t="shared" ca="1" si="127"/>
        <v>45970</v>
      </c>
      <c r="K1607" s="30">
        <f ca="1">LOOKUP(A1607,'QALS - Inspection Lot Record'!A:A,'QALS - Inspection Lot Record'!I:I)</f>
        <v>0.67252314814814818</v>
      </c>
      <c r="L1607" s="59">
        <f t="shared" ca="1" si="128"/>
        <v>45970</v>
      </c>
      <c r="M1607" s="30">
        <f t="shared" ca="1" si="129"/>
        <v>0.69947916666666665</v>
      </c>
      <c r="N1607" s="31"/>
      <c r="O1607" s="31">
        <v>77.5</v>
      </c>
      <c r="P1607" s="29">
        <v>70</v>
      </c>
      <c r="Q1607" s="29">
        <v>85</v>
      </c>
    </row>
    <row r="1608" spans="1:17" x14ac:dyDescent="0.35">
      <c r="A1608" s="26">
        <v>40000002701</v>
      </c>
      <c r="B1608" s="31">
        <v>1</v>
      </c>
      <c r="C1608" s="29" t="str">
        <f>LOOKUP(A1608,'QALS - Inspection Lot Record'!$A$2:$A$361,'QALS - Inspection Lot Record'!$O$2:$O$361)</f>
        <v>Metformin Tablets (200 MG)</v>
      </c>
      <c r="D1608" s="31">
        <v>70</v>
      </c>
      <c r="E1608" s="29" t="s">
        <v>406</v>
      </c>
      <c r="F1608" s="29" t="str">
        <f>LOOKUP(A1608,'QALS - Inspection Lot Record'!A:A,'QALS - Inspection Lot Record'!G:G)</f>
        <v>TP397880</v>
      </c>
      <c r="G1608" s="59">
        <f ca="1">LOOKUP(A1608,'QALS - Inspection Lot Record'!A:A,'QALS - Inspection Lot Record'!E:E)</f>
        <v>45970</v>
      </c>
      <c r="H1608" s="34" t="str">
        <f t="shared" si="125"/>
        <v>A</v>
      </c>
      <c r="I1608" s="29" t="str">
        <f t="shared" si="126"/>
        <v>TP397880</v>
      </c>
      <c r="J1608" s="59">
        <f t="shared" ca="1" si="127"/>
        <v>45970</v>
      </c>
      <c r="K1608" s="30">
        <f ca="1">LOOKUP(A1608,'QALS - Inspection Lot Record'!A:A,'QALS - Inspection Lot Record'!I:I)</f>
        <v>0.67252314814814818</v>
      </c>
      <c r="L1608" s="59">
        <f t="shared" ca="1" si="128"/>
        <v>45970</v>
      </c>
      <c r="M1608" s="30">
        <f t="shared" ca="1" si="129"/>
        <v>0.70643518518518522</v>
      </c>
      <c r="N1608" s="31"/>
      <c r="O1608" s="31">
        <v>85</v>
      </c>
      <c r="P1608" s="29">
        <v>80</v>
      </c>
      <c r="Q1608" s="29">
        <v>90</v>
      </c>
    </row>
    <row r="1609" spans="1:17" x14ac:dyDescent="0.35">
      <c r="A1609" s="26">
        <v>40000002701</v>
      </c>
      <c r="B1609" s="31">
        <v>1</v>
      </c>
      <c r="C1609" s="29" t="str">
        <f>LOOKUP(A1609,'QALS - Inspection Lot Record'!$A$2:$A$361,'QALS - Inspection Lot Record'!$O$2:$O$361)</f>
        <v>Metformin Tablets (200 MG)</v>
      </c>
      <c r="D1609" s="31">
        <v>80</v>
      </c>
      <c r="E1609" s="29" t="s">
        <v>407</v>
      </c>
      <c r="F1609" s="29" t="str">
        <f>LOOKUP(A1609,'QALS - Inspection Lot Record'!A:A,'QALS - Inspection Lot Record'!G:G)</f>
        <v>TP397880</v>
      </c>
      <c r="G1609" s="59">
        <f ca="1">LOOKUP(A1609,'QALS - Inspection Lot Record'!A:A,'QALS - Inspection Lot Record'!E:E)</f>
        <v>45970</v>
      </c>
      <c r="H1609" s="34" t="str">
        <f t="shared" si="125"/>
        <v>A</v>
      </c>
      <c r="I1609" s="29" t="str">
        <f t="shared" si="126"/>
        <v>TP397880</v>
      </c>
      <c r="J1609" s="59">
        <f t="shared" ca="1" si="127"/>
        <v>45970</v>
      </c>
      <c r="K1609" s="30">
        <f ca="1">LOOKUP(A1609,'QALS - Inspection Lot Record'!A:A,'QALS - Inspection Lot Record'!I:I)</f>
        <v>0.67252314814814818</v>
      </c>
      <c r="L1609" s="59">
        <f t="shared" ca="1" si="128"/>
        <v>45970</v>
      </c>
      <c r="M1609" s="30">
        <f t="shared" ca="1" si="129"/>
        <v>0.69388888888888889</v>
      </c>
      <c r="N1609" s="31"/>
      <c r="O1609" s="31">
        <v>25.5</v>
      </c>
      <c r="P1609" s="29">
        <v>23</v>
      </c>
      <c r="Q1609" s="29">
        <v>28</v>
      </c>
    </row>
    <row r="1610" spans="1:17" x14ac:dyDescent="0.35">
      <c r="A1610" s="26">
        <v>40000002702</v>
      </c>
      <c r="B1610" s="27">
        <v>1</v>
      </c>
      <c r="C1610" s="29" t="str">
        <f>LOOKUP(A1610,'QALS - Inspection Lot Record'!$A$2:$A$361,'QALS - Inspection Lot Record'!$O$2:$O$361)</f>
        <v>Metformin Tablets (200 MG)</v>
      </c>
      <c r="D1610" s="27">
        <v>10</v>
      </c>
      <c r="E1610" s="26" t="s">
        <v>399</v>
      </c>
      <c r="F1610" s="29" t="str">
        <f>LOOKUP(A1610,'QALS - Inspection Lot Record'!A:A,'QALS - Inspection Lot Record'!G:G)</f>
        <v>TG509538</v>
      </c>
      <c r="G1610" s="59">
        <f ca="1">LOOKUP(A1610,'QALS - Inspection Lot Record'!A:A,'QALS - Inspection Lot Record'!E:E)</f>
        <v>45970</v>
      </c>
      <c r="H1610" s="34" t="str">
        <f t="shared" ref="H1610:H1673" si="130">IF(AND(P1610&lt;=O1610,O1610&lt;=Q1610),"A","R")</f>
        <v>A</v>
      </c>
      <c r="I1610" s="29" t="str">
        <f t="shared" si="126"/>
        <v>TG509538</v>
      </c>
      <c r="J1610" s="59">
        <f t="shared" ca="1" si="127"/>
        <v>45970</v>
      </c>
      <c r="K1610" s="30">
        <f ca="1">LOOKUP(A1610,'QALS - Inspection Lot Record'!A:A,'QALS - Inspection Lot Record'!I:I)</f>
        <v>0.14318287037037036</v>
      </c>
      <c r="L1610" s="59">
        <f t="shared" ca="1" si="128"/>
        <v>45970</v>
      </c>
      <c r="M1610" s="30">
        <f t="shared" ca="1" si="129"/>
        <v>0.16589120370370369</v>
      </c>
      <c r="N1610" s="31"/>
      <c r="O1610" s="31">
        <v>99</v>
      </c>
      <c r="P1610" s="29">
        <v>95</v>
      </c>
      <c r="Q1610" s="29">
        <v>103</v>
      </c>
    </row>
    <row r="1611" spans="1:17" x14ac:dyDescent="0.35">
      <c r="A1611" s="26">
        <v>40000002702</v>
      </c>
      <c r="B1611" s="27">
        <v>1</v>
      </c>
      <c r="C1611" s="29" t="str">
        <f>LOOKUP(A1611,'QALS - Inspection Lot Record'!$A$2:$A$361,'QALS - Inspection Lot Record'!$O$2:$O$361)</f>
        <v>Metformin Tablets (200 MG)</v>
      </c>
      <c r="D1611" s="31">
        <v>20</v>
      </c>
      <c r="E1611" s="29" t="s">
        <v>400</v>
      </c>
      <c r="F1611" s="29" t="str">
        <f>LOOKUP(A1611,'QALS - Inspection Lot Record'!A:A,'QALS - Inspection Lot Record'!G:G)</f>
        <v>TG509538</v>
      </c>
      <c r="G1611" s="59">
        <f ca="1">LOOKUP(A1611,'QALS - Inspection Lot Record'!A:A,'QALS - Inspection Lot Record'!E:E)</f>
        <v>45970</v>
      </c>
      <c r="H1611" s="34" t="str">
        <f t="shared" si="130"/>
        <v>A</v>
      </c>
      <c r="I1611" s="29" t="str">
        <f t="shared" si="126"/>
        <v>TG509538</v>
      </c>
      <c r="J1611" s="59">
        <f t="shared" ca="1" si="127"/>
        <v>45970</v>
      </c>
      <c r="K1611" s="30">
        <f ca="1">LOOKUP(A1611,'QALS - Inspection Lot Record'!A:A,'QALS - Inspection Lot Record'!I:I)</f>
        <v>0.14318287037037036</v>
      </c>
      <c r="L1611" s="59">
        <f t="shared" ca="1" si="128"/>
        <v>45970</v>
      </c>
      <c r="M1611" s="30">
        <f t="shared" ca="1" si="129"/>
        <v>0.16249999999999998</v>
      </c>
      <c r="N1611" s="31"/>
      <c r="O1611" s="31">
        <v>7.75</v>
      </c>
      <c r="P1611" s="29">
        <v>6</v>
      </c>
      <c r="Q1611" s="29">
        <v>9.5</v>
      </c>
    </row>
    <row r="1612" spans="1:17" x14ac:dyDescent="0.35">
      <c r="A1612" s="26">
        <v>40000002702</v>
      </c>
      <c r="B1612" s="31">
        <v>1</v>
      </c>
      <c r="C1612" s="29" t="str">
        <f>LOOKUP(A1612,'QALS - Inspection Lot Record'!$A$2:$A$361,'QALS - Inspection Lot Record'!$O$2:$O$361)</f>
        <v>Metformin Tablets (200 MG)</v>
      </c>
      <c r="D1612" s="31">
        <v>30</v>
      </c>
      <c r="E1612" s="29" t="s">
        <v>401</v>
      </c>
      <c r="F1612" s="29" t="str">
        <f>LOOKUP(A1612,'QALS - Inspection Lot Record'!A:A,'QALS - Inspection Lot Record'!G:G)</f>
        <v>TG509538</v>
      </c>
      <c r="G1612" s="59">
        <f ca="1">LOOKUP(A1612,'QALS - Inspection Lot Record'!A:A,'QALS - Inspection Lot Record'!E:E)</f>
        <v>45970</v>
      </c>
      <c r="H1612" s="34" t="str">
        <f t="shared" si="130"/>
        <v>A</v>
      </c>
      <c r="I1612" s="29" t="str">
        <f t="shared" si="126"/>
        <v>TG509538</v>
      </c>
      <c r="J1612" s="59">
        <f t="shared" ca="1" si="127"/>
        <v>45970</v>
      </c>
      <c r="K1612" s="30">
        <f ca="1">LOOKUP(A1612,'QALS - Inspection Lot Record'!A:A,'QALS - Inspection Lot Record'!I:I)</f>
        <v>0.14318287037037036</v>
      </c>
      <c r="L1612" s="59">
        <f t="shared" ca="1" si="128"/>
        <v>45970</v>
      </c>
      <c r="M1612" s="30">
        <f t="shared" ca="1" si="129"/>
        <v>0.16738425925925926</v>
      </c>
      <c r="N1612" s="11" t="s">
        <v>402</v>
      </c>
      <c r="O1612" s="31"/>
      <c r="P1612" s="29"/>
      <c r="Q1612" s="29"/>
    </row>
    <row r="1613" spans="1:17" x14ac:dyDescent="0.35">
      <c r="A1613" s="26">
        <v>40000002702</v>
      </c>
      <c r="B1613" s="31">
        <v>1</v>
      </c>
      <c r="C1613" s="29" t="str">
        <f>LOOKUP(A1613,'QALS - Inspection Lot Record'!$A$2:$A$361,'QALS - Inspection Lot Record'!$O$2:$O$361)</f>
        <v>Metformin Tablets (200 MG)</v>
      </c>
      <c r="D1613" s="31">
        <v>40</v>
      </c>
      <c r="E1613" s="29" t="s">
        <v>403</v>
      </c>
      <c r="F1613" s="29" t="str">
        <f>LOOKUP(A1613,'QALS - Inspection Lot Record'!A:A,'QALS - Inspection Lot Record'!G:G)</f>
        <v>TG509538</v>
      </c>
      <c r="G1613" s="59">
        <f ca="1">LOOKUP(A1613,'QALS - Inspection Lot Record'!A:A,'QALS - Inspection Lot Record'!E:E)</f>
        <v>45970</v>
      </c>
      <c r="H1613" s="34" t="str">
        <f t="shared" si="130"/>
        <v>A</v>
      </c>
      <c r="I1613" s="29" t="str">
        <f t="shared" si="126"/>
        <v>TG509538</v>
      </c>
      <c r="J1613" s="59">
        <f t="shared" ca="1" si="127"/>
        <v>45970</v>
      </c>
      <c r="K1613" s="30">
        <f ca="1">LOOKUP(A1613,'QALS - Inspection Lot Record'!A:A,'QALS - Inspection Lot Record'!I:I)</f>
        <v>0.14318287037037036</v>
      </c>
      <c r="L1613" s="59">
        <f t="shared" ca="1" si="128"/>
        <v>45970</v>
      </c>
      <c r="M1613" s="30">
        <f t="shared" ca="1" si="129"/>
        <v>0.16846064814814815</v>
      </c>
      <c r="N1613" s="31"/>
      <c r="O1613" s="31">
        <v>0</v>
      </c>
      <c r="P1613" s="29">
        <v>0</v>
      </c>
      <c r="Q1613" s="29">
        <v>2</v>
      </c>
    </row>
    <row r="1614" spans="1:17" x14ac:dyDescent="0.35">
      <c r="A1614" s="26">
        <v>40000002702</v>
      </c>
      <c r="B1614" s="31">
        <v>1</v>
      </c>
      <c r="C1614" s="29" t="str">
        <f>LOOKUP(A1614,'QALS - Inspection Lot Record'!$A$2:$A$361,'QALS - Inspection Lot Record'!$O$2:$O$361)</f>
        <v>Metformin Tablets (200 MG)</v>
      </c>
      <c r="D1614" s="31">
        <v>50</v>
      </c>
      <c r="E1614" s="29" t="s">
        <v>404</v>
      </c>
      <c r="F1614" s="29" t="str">
        <f>LOOKUP(A1614,'QALS - Inspection Lot Record'!A:A,'QALS - Inspection Lot Record'!G:G)</f>
        <v>TG509538</v>
      </c>
      <c r="G1614" s="59">
        <f ca="1">LOOKUP(A1614,'QALS - Inspection Lot Record'!A:A,'QALS - Inspection Lot Record'!E:E)</f>
        <v>45970</v>
      </c>
      <c r="H1614" s="34" t="str">
        <f t="shared" si="130"/>
        <v>A</v>
      </c>
      <c r="I1614" s="29" t="str">
        <f t="shared" si="126"/>
        <v>TG509538</v>
      </c>
      <c r="J1614" s="59">
        <f t="shared" ca="1" si="127"/>
        <v>45970</v>
      </c>
      <c r="K1614" s="30">
        <f ca="1">LOOKUP(A1614,'QALS - Inspection Lot Record'!A:A,'QALS - Inspection Lot Record'!I:I)</f>
        <v>0.14318287037037036</v>
      </c>
      <c r="L1614" s="59">
        <f t="shared" ca="1" si="128"/>
        <v>45970</v>
      </c>
      <c r="M1614" s="30">
        <f t="shared" ca="1" si="129"/>
        <v>0.16843749999999999</v>
      </c>
      <c r="N1614" s="31"/>
      <c r="O1614" s="31">
        <v>50</v>
      </c>
      <c r="P1614" s="29">
        <v>40</v>
      </c>
      <c r="Q1614" s="29">
        <v>60</v>
      </c>
    </row>
    <row r="1615" spans="1:17" x14ac:dyDescent="0.35">
      <c r="A1615" s="26">
        <v>40000002702</v>
      </c>
      <c r="B1615" s="31">
        <v>1</v>
      </c>
      <c r="C1615" s="29" t="str">
        <f>LOOKUP(A1615,'QALS - Inspection Lot Record'!$A$2:$A$361,'QALS - Inspection Lot Record'!$O$2:$O$361)</f>
        <v>Metformin Tablets (200 MG)</v>
      </c>
      <c r="D1615" s="31">
        <v>60</v>
      </c>
      <c r="E1615" s="29" t="s">
        <v>405</v>
      </c>
      <c r="F1615" s="29" t="str">
        <f>LOOKUP(A1615,'QALS - Inspection Lot Record'!A:A,'QALS - Inspection Lot Record'!G:G)</f>
        <v>TG509538</v>
      </c>
      <c r="G1615" s="59">
        <f ca="1">LOOKUP(A1615,'QALS - Inspection Lot Record'!A:A,'QALS - Inspection Lot Record'!E:E)</f>
        <v>45970</v>
      </c>
      <c r="H1615" s="34" t="str">
        <f t="shared" si="130"/>
        <v>A</v>
      </c>
      <c r="I1615" s="29" t="str">
        <f t="shared" si="126"/>
        <v>TG509538</v>
      </c>
      <c r="J1615" s="59">
        <f t="shared" ca="1" si="127"/>
        <v>45970</v>
      </c>
      <c r="K1615" s="30">
        <f ca="1">LOOKUP(A1615,'QALS - Inspection Lot Record'!A:A,'QALS - Inspection Lot Record'!I:I)</f>
        <v>0.14318287037037036</v>
      </c>
      <c r="L1615" s="59">
        <f t="shared" ca="1" si="128"/>
        <v>45970</v>
      </c>
      <c r="M1615" s="30">
        <f t="shared" ca="1" si="129"/>
        <v>0.17025462962962962</v>
      </c>
      <c r="N1615" s="31"/>
      <c r="O1615" s="31">
        <v>77.5</v>
      </c>
      <c r="P1615" s="29">
        <v>70</v>
      </c>
      <c r="Q1615" s="29">
        <v>85</v>
      </c>
    </row>
    <row r="1616" spans="1:17" x14ac:dyDescent="0.35">
      <c r="A1616" s="26">
        <v>40000002702</v>
      </c>
      <c r="B1616" s="31">
        <v>1</v>
      </c>
      <c r="C1616" s="29" t="str">
        <f>LOOKUP(A1616,'QALS - Inspection Lot Record'!$A$2:$A$361,'QALS - Inspection Lot Record'!$O$2:$O$361)</f>
        <v>Metformin Tablets (200 MG)</v>
      </c>
      <c r="D1616" s="31">
        <v>70</v>
      </c>
      <c r="E1616" s="29" t="s">
        <v>406</v>
      </c>
      <c r="F1616" s="29" t="str">
        <f>LOOKUP(A1616,'QALS - Inspection Lot Record'!A:A,'QALS - Inspection Lot Record'!G:G)</f>
        <v>TG509538</v>
      </c>
      <c r="G1616" s="59">
        <f ca="1">LOOKUP(A1616,'QALS - Inspection Lot Record'!A:A,'QALS - Inspection Lot Record'!E:E)</f>
        <v>45970</v>
      </c>
      <c r="H1616" s="34" t="str">
        <f t="shared" si="130"/>
        <v>A</v>
      </c>
      <c r="I1616" s="29" t="str">
        <f t="shared" si="126"/>
        <v>TG509538</v>
      </c>
      <c r="J1616" s="59">
        <f t="shared" ca="1" si="127"/>
        <v>45970</v>
      </c>
      <c r="K1616" s="30">
        <f ca="1">LOOKUP(A1616,'QALS - Inspection Lot Record'!A:A,'QALS - Inspection Lot Record'!I:I)</f>
        <v>0.14318287037037036</v>
      </c>
      <c r="L1616" s="59">
        <f t="shared" ca="1" si="128"/>
        <v>45970</v>
      </c>
      <c r="M1616" s="30">
        <f t="shared" ca="1" si="129"/>
        <v>0.17680555555555555</v>
      </c>
      <c r="N1616" s="31"/>
      <c r="O1616" s="31">
        <v>85</v>
      </c>
      <c r="P1616" s="29">
        <v>80</v>
      </c>
      <c r="Q1616" s="29">
        <v>90</v>
      </c>
    </row>
    <row r="1617" spans="1:17" x14ac:dyDescent="0.35">
      <c r="A1617" s="26">
        <v>40000002702</v>
      </c>
      <c r="B1617" s="31">
        <v>1</v>
      </c>
      <c r="C1617" s="29" t="str">
        <f>LOOKUP(A1617,'QALS - Inspection Lot Record'!$A$2:$A$361,'QALS - Inspection Lot Record'!$O$2:$O$361)</f>
        <v>Metformin Tablets (200 MG)</v>
      </c>
      <c r="D1617" s="31">
        <v>80</v>
      </c>
      <c r="E1617" s="29" t="s">
        <v>407</v>
      </c>
      <c r="F1617" s="29" t="str">
        <f>LOOKUP(A1617,'QALS - Inspection Lot Record'!A:A,'QALS - Inspection Lot Record'!G:G)</f>
        <v>TG509538</v>
      </c>
      <c r="G1617" s="59">
        <f ca="1">LOOKUP(A1617,'QALS - Inspection Lot Record'!A:A,'QALS - Inspection Lot Record'!E:E)</f>
        <v>45970</v>
      </c>
      <c r="H1617" s="34" t="str">
        <f t="shared" si="130"/>
        <v>R</v>
      </c>
      <c r="I1617" s="29" t="str">
        <f t="shared" si="126"/>
        <v>TG509538</v>
      </c>
      <c r="J1617" s="59">
        <f t="shared" ca="1" si="127"/>
        <v>45970</v>
      </c>
      <c r="K1617" s="30">
        <f ca="1">LOOKUP(A1617,'QALS - Inspection Lot Record'!A:A,'QALS - Inspection Lot Record'!I:I)</f>
        <v>0.14318287037037036</v>
      </c>
      <c r="L1617" s="59">
        <f t="shared" ca="1" si="128"/>
        <v>45970</v>
      </c>
      <c r="M1617" s="30">
        <f t="shared" ca="1" si="129"/>
        <v>0.17122685185185185</v>
      </c>
      <c r="N1617" s="31"/>
      <c r="O1617" s="31">
        <v>21.4</v>
      </c>
      <c r="P1617" s="29">
        <v>23</v>
      </c>
      <c r="Q1617" s="29">
        <v>28</v>
      </c>
    </row>
    <row r="1618" spans="1:17" x14ac:dyDescent="0.35">
      <c r="A1618" s="26">
        <v>40000002703</v>
      </c>
      <c r="B1618" s="27">
        <v>1</v>
      </c>
      <c r="C1618" s="29" t="str">
        <f>LOOKUP(A1618,'QALS - Inspection Lot Record'!$A$2:$A$361,'QALS - Inspection Lot Record'!$O$2:$O$361)</f>
        <v>Metformin Tablets (500 MG)</v>
      </c>
      <c r="D1618" s="27">
        <v>10</v>
      </c>
      <c r="E1618" s="26" t="s">
        <v>399</v>
      </c>
      <c r="F1618" s="29" t="str">
        <f>LOOKUP(A1618,'QALS - Inspection Lot Record'!A:A,'QALS - Inspection Lot Record'!G:G)</f>
        <v>ZK384180</v>
      </c>
      <c r="G1618" s="59">
        <f ca="1">LOOKUP(A1618,'QALS - Inspection Lot Record'!A:A,'QALS - Inspection Lot Record'!E:E)</f>
        <v>45971</v>
      </c>
      <c r="H1618" s="34" t="str">
        <f t="shared" si="130"/>
        <v>A</v>
      </c>
      <c r="I1618" s="29" t="str">
        <f t="shared" si="126"/>
        <v>ZK384180</v>
      </c>
      <c r="J1618" s="59">
        <f t="shared" ca="1" si="127"/>
        <v>45971</v>
      </c>
      <c r="K1618" s="30">
        <f ca="1">LOOKUP(A1618,'QALS - Inspection Lot Record'!A:A,'QALS - Inspection Lot Record'!I:I)</f>
        <v>0.56519675925925927</v>
      </c>
      <c r="L1618" s="59">
        <f t="shared" ca="1" si="128"/>
        <v>45971</v>
      </c>
      <c r="M1618" s="30">
        <f t="shared" ca="1" si="129"/>
        <v>0.59064814814814814</v>
      </c>
      <c r="N1618" s="31"/>
      <c r="O1618" s="31">
        <v>100</v>
      </c>
      <c r="P1618" s="29">
        <v>95</v>
      </c>
      <c r="Q1618" s="29">
        <v>105</v>
      </c>
    </row>
    <row r="1619" spans="1:17" x14ac:dyDescent="0.35">
      <c r="A1619" s="26">
        <v>40000002703</v>
      </c>
      <c r="B1619" s="27">
        <v>1</v>
      </c>
      <c r="C1619" s="29" t="str">
        <f>LOOKUP(A1619,'QALS - Inspection Lot Record'!$A$2:$A$361,'QALS - Inspection Lot Record'!$O$2:$O$361)</f>
        <v>Metformin Tablets (500 MG)</v>
      </c>
      <c r="D1619" s="31">
        <v>20</v>
      </c>
      <c r="E1619" s="29" t="s">
        <v>400</v>
      </c>
      <c r="F1619" s="29" t="str">
        <f>LOOKUP(A1619,'QALS - Inspection Lot Record'!A:A,'QALS - Inspection Lot Record'!G:G)</f>
        <v>ZK384180</v>
      </c>
      <c r="G1619" s="59">
        <f ca="1">LOOKUP(A1619,'QALS - Inspection Lot Record'!A:A,'QALS - Inspection Lot Record'!E:E)</f>
        <v>45971</v>
      </c>
      <c r="H1619" s="34" t="str">
        <f t="shared" si="130"/>
        <v>A</v>
      </c>
      <c r="I1619" s="29" t="str">
        <f t="shared" si="126"/>
        <v>ZK384180</v>
      </c>
      <c r="J1619" s="59">
        <f t="shared" ca="1" si="127"/>
        <v>45971</v>
      </c>
      <c r="K1619" s="30">
        <f ca="1">LOOKUP(A1619,'QALS - Inspection Lot Record'!A:A,'QALS - Inspection Lot Record'!I:I)</f>
        <v>0.56519675925925927</v>
      </c>
      <c r="L1619" s="59">
        <f t="shared" ca="1" si="128"/>
        <v>45971</v>
      </c>
      <c r="M1619" s="30">
        <f t="shared" ca="1" si="129"/>
        <v>0.5997569444444445</v>
      </c>
      <c r="N1619" s="31"/>
      <c r="O1619" s="31">
        <v>7.25</v>
      </c>
      <c r="P1619" s="29">
        <v>3.5</v>
      </c>
      <c r="Q1619" s="29">
        <v>11</v>
      </c>
    </row>
    <row r="1620" spans="1:17" x14ac:dyDescent="0.35">
      <c r="A1620" s="26">
        <v>40000002703</v>
      </c>
      <c r="B1620" s="31">
        <v>1</v>
      </c>
      <c r="C1620" s="29" t="str">
        <f>LOOKUP(A1620,'QALS - Inspection Lot Record'!$A$2:$A$361,'QALS - Inspection Lot Record'!$O$2:$O$361)</f>
        <v>Metformin Tablets (500 MG)</v>
      </c>
      <c r="D1620" s="31">
        <v>30</v>
      </c>
      <c r="E1620" s="29" t="s">
        <v>401</v>
      </c>
      <c r="F1620" s="29" t="str">
        <f>LOOKUP(A1620,'QALS - Inspection Lot Record'!A:A,'QALS - Inspection Lot Record'!G:G)</f>
        <v>ZK384180</v>
      </c>
      <c r="G1620" s="59">
        <f ca="1">LOOKUP(A1620,'QALS - Inspection Lot Record'!A:A,'QALS - Inspection Lot Record'!E:E)</f>
        <v>45971</v>
      </c>
      <c r="H1620" s="34" t="str">
        <f t="shared" si="130"/>
        <v>A</v>
      </c>
      <c r="I1620" s="29" t="str">
        <f t="shared" si="126"/>
        <v>ZK384180</v>
      </c>
      <c r="J1620" s="59">
        <f t="shared" ca="1" si="127"/>
        <v>45971</v>
      </c>
      <c r="K1620" s="30">
        <f ca="1">LOOKUP(A1620,'QALS - Inspection Lot Record'!A:A,'QALS - Inspection Lot Record'!I:I)</f>
        <v>0.56519675925925927</v>
      </c>
      <c r="L1620" s="59">
        <f t="shared" ca="1" si="128"/>
        <v>45971</v>
      </c>
      <c r="M1620" s="30">
        <f t="shared" ca="1" si="129"/>
        <v>0.58484953703703701</v>
      </c>
      <c r="N1620" s="11" t="s">
        <v>402</v>
      </c>
      <c r="O1620" s="31"/>
      <c r="P1620" s="29"/>
      <c r="Q1620" s="29"/>
    </row>
    <row r="1621" spans="1:17" x14ac:dyDescent="0.35">
      <c r="A1621" s="26">
        <v>40000002703</v>
      </c>
      <c r="B1621" s="31">
        <v>1</v>
      </c>
      <c r="C1621" s="29" t="str">
        <f>LOOKUP(A1621,'QALS - Inspection Lot Record'!$A$2:$A$361,'QALS - Inspection Lot Record'!$O$2:$O$361)</f>
        <v>Metformin Tablets (500 MG)</v>
      </c>
      <c r="D1621" s="31">
        <v>40</v>
      </c>
      <c r="E1621" s="29" t="s">
        <v>403</v>
      </c>
      <c r="F1621" s="29" t="str">
        <f>LOOKUP(A1621,'QALS - Inspection Lot Record'!A:A,'QALS - Inspection Lot Record'!G:G)</f>
        <v>ZK384180</v>
      </c>
      <c r="G1621" s="59">
        <f ca="1">LOOKUP(A1621,'QALS - Inspection Lot Record'!A:A,'QALS - Inspection Lot Record'!E:E)</f>
        <v>45971</v>
      </c>
      <c r="H1621" s="34" t="str">
        <f t="shared" si="130"/>
        <v>A</v>
      </c>
      <c r="I1621" s="29" t="str">
        <f t="shared" si="126"/>
        <v>ZK384180</v>
      </c>
      <c r="J1621" s="59">
        <f t="shared" ca="1" si="127"/>
        <v>45971</v>
      </c>
      <c r="K1621" s="30">
        <f ca="1">LOOKUP(A1621,'QALS - Inspection Lot Record'!A:A,'QALS - Inspection Lot Record'!I:I)</f>
        <v>0.56519675925925927</v>
      </c>
      <c r="L1621" s="59">
        <f t="shared" ca="1" si="128"/>
        <v>45971</v>
      </c>
      <c r="M1621" s="30">
        <f t="shared" ca="1" si="129"/>
        <v>0.58538194444444447</v>
      </c>
      <c r="N1621" s="31"/>
      <c r="O1621" s="31">
        <v>1.6</v>
      </c>
      <c r="P1621" s="29">
        <v>0</v>
      </c>
      <c r="Q1621" s="29">
        <v>2</v>
      </c>
    </row>
    <row r="1622" spans="1:17" x14ac:dyDescent="0.35">
      <c r="A1622" s="26">
        <v>40000002703</v>
      </c>
      <c r="B1622" s="31">
        <v>1</v>
      </c>
      <c r="C1622" s="29" t="str">
        <f>LOOKUP(A1622,'QALS - Inspection Lot Record'!$A$2:$A$361,'QALS - Inspection Lot Record'!$O$2:$O$361)</f>
        <v>Metformin Tablets (500 MG)</v>
      </c>
      <c r="D1622" s="31">
        <v>50</v>
      </c>
      <c r="E1622" s="29" t="s">
        <v>404</v>
      </c>
      <c r="F1622" s="29" t="str">
        <f>LOOKUP(A1622,'QALS - Inspection Lot Record'!A:A,'QALS - Inspection Lot Record'!G:G)</f>
        <v>ZK384180</v>
      </c>
      <c r="G1622" s="59">
        <f ca="1">LOOKUP(A1622,'QALS - Inspection Lot Record'!A:A,'QALS - Inspection Lot Record'!E:E)</f>
        <v>45971</v>
      </c>
      <c r="H1622" s="34" t="str">
        <f t="shared" si="130"/>
        <v>A</v>
      </c>
      <c r="I1622" s="29" t="str">
        <f t="shared" si="126"/>
        <v>ZK384180</v>
      </c>
      <c r="J1622" s="59">
        <f t="shared" ca="1" si="127"/>
        <v>45971</v>
      </c>
      <c r="K1622" s="30">
        <f ca="1">LOOKUP(A1622,'QALS - Inspection Lot Record'!A:A,'QALS - Inspection Lot Record'!I:I)</f>
        <v>0.56519675925925927</v>
      </c>
      <c r="L1622" s="59">
        <f t="shared" ca="1" si="128"/>
        <v>45971</v>
      </c>
      <c r="M1622" s="30">
        <f t="shared" ca="1" si="129"/>
        <v>0.5998148148148148</v>
      </c>
      <c r="N1622" s="31"/>
      <c r="O1622" s="31">
        <v>41</v>
      </c>
      <c r="P1622" s="29">
        <v>40</v>
      </c>
      <c r="Q1622" s="29">
        <v>60</v>
      </c>
    </row>
    <row r="1623" spans="1:17" x14ac:dyDescent="0.35">
      <c r="A1623" s="26">
        <v>40000002703</v>
      </c>
      <c r="B1623" s="31">
        <v>1</v>
      </c>
      <c r="C1623" s="29" t="str">
        <f>LOOKUP(A1623,'QALS - Inspection Lot Record'!$A$2:$A$361,'QALS - Inspection Lot Record'!$O$2:$O$361)</f>
        <v>Metformin Tablets (500 MG)</v>
      </c>
      <c r="D1623" s="31">
        <v>60</v>
      </c>
      <c r="E1623" s="29" t="s">
        <v>405</v>
      </c>
      <c r="F1623" s="29" t="str">
        <f>LOOKUP(A1623,'QALS - Inspection Lot Record'!A:A,'QALS - Inspection Lot Record'!G:G)</f>
        <v>ZK384180</v>
      </c>
      <c r="G1623" s="59">
        <f ca="1">LOOKUP(A1623,'QALS - Inspection Lot Record'!A:A,'QALS - Inspection Lot Record'!E:E)</f>
        <v>45971</v>
      </c>
      <c r="H1623" s="34" t="str">
        <f t="shared" si="130"/>
        <v>A</v>
      </c>
      <c r="I1623" s="29" t="str">
        <f t="shared" si="126"/>
        <v>ZK384180</v>
      </c>
      <c r="J1623" s="59">
        <f t="shared" ca="1" si="127"/>
        <v>45971</v>
      </c>
      <c r="K1623" s="30">
        <f ca="1">LOOKUP(A1623,'QALS - Inspection Lot Record'!A:A,'QALS - Inspection Lot Record'!I:I)</f>
        <v>0.56519675925925927</v>
      </c>
      <c r="L1623" s="59">
        <f t="shared" ca="1" si="128"/>
        <v>45971</v>
      </c>
      <c r="M1623" s="30">
        <f t="shared" ca="1" si="129"/>
        <v>0.58627314814814813</v>
      </c>
      <c r="N1623" s="31"/>
      <c r="O1623" s="31">
        <v>71.3</v>
      </c>
      <c r="P1623" s="29">
        <v>70</v>
      </c>
      <c r="Q1623" s="29">
        <v>85</v>
      </c>
    </row>
    <row r="1624" spans="1:17" x14ac:dyDescent="0.35">
      <c r="A1624" s="26">
        <v>40000002703</v>
      </c>
      <c r="B1624" s="31">
        <v>1</v>
      </c>
      <c r="C1624" s="29" t="str">
        <f>LOOKUP(A1624,'QALS - Inspection Lot Record'!$A$2:$A$361,'QALS - Inspection Lot Record'!$O$2:$O$361)</f>
        <v>Metformin Tablets (500 MG)</v>
      </c>
      <c r="D1624" s="31">
        <v>70</v>
      </c>
      <c r="E1624" s="29" t="s">
        <v>406</v>
      </c>
      <c r="F1624" s="29" t="str">
        <f>LOOKUP(A1624,'QALS - Inspection Lot Record'!A:A,'QALS - Inspection Lot Record'!G:G)</f>
        <v>ZK384180</v>
      </c>
      <c r="G1624" s="59">
        <f ca="1">LOOKUP(A1624,'QALS - Inspection Lot Record'!A:A,'QALS - Inspection Lot Record'!E:E)</f>
        <v>45971</v>
      </c>
      <c r="H1624" s="34" t="str">
        <f t="shared" si="130"/>
        <v>A</v>
      </c>
      <c r="I1624" s="29" t="str">
        <f t="shared" si="126"/>
        <v>ZK384180</v>
      </c>
      <c r="J1624" s="59">
        <f t="shared" ca="1" si="127"/>
        <v>45971</v>
      </c>
      <c r="K1624" s="30">
        <f ca="1">LOOKUP(A1624,'QALS - Inspection Lot Record'!A:A,'QALS - Inspection Lot Record'!I:I)</f>
        <v>0.56519675925925927</v>
      </c>
      <c r="L1624" s="59">
        <f t="shared" ca="1" si="128"/>
        <v>45971</v>
      </c>
      <c r="M1624" s="30">
        <f t="shared" ca="1" si="129"/>
        <v>0.58733796296296292</v>
      </c>
      <c r="N1624" s="31"/>
      <c r="O1624" s="31">
        <v>81.599999999999994</v>
      </c>
      <c r="P1624" s="29">
        <v>80</v>
      </c>
      <c r="Q1624" s="29">
        <v>90</v>
      </c>
    </row>
    <row r="1625" spans="1:17" x14ac:dyDescent="0.35">
      <c r="A1625" s="26">
        <v>40000002703</v>
      </c>
      <c r="B1625" s="31">
        <v>1</v>
      </c>
      <c r="C1625" s="29" t="str">
        <f>LOOKUP(A1625,'QALS - Inspection Lot Record'!$A$2:$A$361,'QALS - Inspection Lot Record'!$O$2:$O$361)</f>
        <v>Metformin Tablets (500 MG)</v>
      </c>
      <c r="D1625" s="31">
        <v>80</v>
      </c>
      <c r="E1625" s="29" t="s">
        <v>407</v>
      </c>
      <c r="F1625" s="29" t="str">
        <f>LOOKUP(A1625,'QALS - Inspection Lot Record'!A:A,'QALS - Inspection Lot Record'!G:G)</f>
        <v>ZK384180</v>
      </c>
      <c r="G1625" s="59">
        <f ca="1">LOOKUP(A1625,'QALS - Inspection Lot Record'!A:A,'QALS - Inspection Lot Record'!E:E)</f>
        <v>45971</v>
      </c>
      <c r="H1625" s="34" t="str">
        <f t="shared" si="130"/>
        <v>A</v>
      </c>
      <c r="I1625" s="29" t="str">
        <f t="shared" si="126"/>
        <v>ZK384180</v>
      </c>
      <c r="J1625" s="59">
        <f t="shared" ca="1" si="127"/>
        <v>45971</v>
      </c>
      <c r="K1625" s="30">
        <f ca="1">LOOKUP(A1625,'QALS - Inspection Lot Record'!A:A,'QALS - Inspection Lot Record'!I:I)</f>
        <v>0.56519675925925927</v>
      </c>
      <c r="L1625" s="59">
        <f t="shared" ca="1" si="128"/>
        <v>45971</v>
      </c>
      <c r="M1625" s="30">
        <f t="shared" ca="1" si="129"/>
        <v>0.59190972222222227</v>
      </c>
      <c r="N1625" s="31"/>
      <c r="O1625" s="31">
        <v>25.5</v>
      </c>
      <c r="P1625" s="29">
        <v>23</v>
      </c>
      <c r="Q1625" s="29">
        <v>28</v>
      </c>
    </row>
    <row r="1626" spans="1:17" x14ac:dyDescent="0.35">
      <c r="A1626" s="26">
        <v>40000002704</v>
      </c>
      <c r="B1626" s="27">
        <v>1</v>
      </c>
      <c r="C1626" s="29" t="str">
        <f>LOOKUP(A1626,'QALS - Inspection Lot Record'!$A$2:$A$361,'QALS - Inspection Lot Record'!$O$2:$O$361)</f>
        <v>Aspirin Tablets (500 MG)</v>
      </c>
      <c r="D1626" s="27">
        <v>10</v>
      </c>
      <c r="E1626" s="26" t="s">
        <v>399</v>
      </c>
      <c r="F1626" s="29" t="str">
        <f>LOOKUP(A1626,'QALS - Inspection Lot Record'!A:A,'QALS - Inspection Lot Record'!G:G)</f>
        <v>YA284176</v>
      </c>
      <c r="G1626" s="59">
        <f ca="1">LOOKUP(A1626,'QALS - Inspection Lot Record'!A:A,'QALS - Inspection Lot Record'!E:E)</f>
        <v>45971</v>
      </c>
      <c r="H1626" s="34" t="str">
        <f t="shared" si="130"/>
        <v>A</v>
      </c>
      <c r="I1626" s="29" t="str">
        <f t="shared" si="126"/>
        <v>YA284176</v>
      </c>
      <c r="J1626" s="59">
        <f t="shared" ca="1" si="127"/>
        <v>45971</v>
      </c>
      <c r="K1626" s="30">
        <f ca="1">LOOKUP(A1626,'QALS - Inspection Lot Record'!A:A,'QALS - Inspection Lot Record'!I:I)</f>
        <v>0.41743055555555558</v>
      </c>
      <c r="L1626" s="59">
        <f t="shared" ca="1" si="128"/>
        <v>45971</v>
      </c>
      <c r="M1626" s="30">
        <f t="shared" ca="1" si="129"/>
        <v>0.44763888888888892</v>
      </c>
      <c r="N1626" s="31"/>
      <c r="O1626" s="31">
        <v>100</v>
      </c>
      <c r="P1626" s="29">
        <v>95</v>
      </c>
      <c r="Q1626" s="29">
        <v>105</v>
      </c>
    </row>
    <row r="1627" spans="1:17" x14ac:dyDescent="0.35">
      <c r="A1627" s="26">
        <v>40000002704</v>
      </c>
      <c r="B1627" s="27">
        <v>1</v>
      </c>
      <c r="C1627" s="29" t="str">
        <f>LOOKUP(A1627,'QALS - Inspection Lot Record'!$A$2:$A$361,'QALS - Inspection Lot Record'!$O$2:$O$361)</f>
        <v>Aspirin Tablets (500 MG)</v>
      </c>
      <c r="D1627" s="31">
        <v>20</v>
      </c>
      <c r="E1627" s="29" t="s">
        <v>400</v>
      </c>
      <c r="F1627" s="29" t="str">
        <f>LOOKUP(A1627,'QALS - Inspection Lot Record'!A:A,'QALS - Inspection Lot Record'!G:G)</f>
        <v>YA284176</v>
      </c>
      <c r="G1627" s="59">
        <f ca="1">LOOKUP(A1627,'QALS - Inspection Lot Record'!A:A,'QALS - Inspection Lot Record'!E:E)</f>
        <v>45971</v>
      </c>
      <c r="H1627" s="34" t="str">
        <f t="shared" si="130"/>
        <v>A</v>
      </c>
      <c r="I1627" s="29" t="str">
        <f t="shared" si="126"/>
        <v>YA284176</v>
      </c>
      <c r="J1627" s="59">
        <f t="shared" ca="1" si="127"/>
        <v>45971</v>
      </c>
      <c r="K1627" s="30">
        <f ca="1">LOOKUP(A1627,'QALS - Inspection Lot Record'!A:A,'QALS - Inspection Lot Record'!I:I)</f>
        <v>0.41743055555555558</v>
      </c>
      <c r="L1627" s="59">
        <f t="shared" ca="1" si="128"/>
        <v>45971</v>
      </c>
      <c r="M1627" s="30">
        <f t="shared" ca="1" si="129"/>
        <v>0.44635416666666672</v>
      </c>
      <c r="N1627" s="31"/>
      <c r="O1627" s="31">
        <v>7.3</v>
      </c>
      <c r="P1627" s="29">
        <v>3.5</v>
      </c>
      <c r="Q1627" s="29">
        <v>11</v>
      </c>
    </row>
    <row r="1628" spans="1:17" x14ac:dyDescent="0.35">
      <c r="A1628" s="26">
        <v>40000002704</v>
      </c>
      <c r="B1628" s="31">
        <v>1</v>
      </c>
      <c r="C1628" s="29" t="str">
        <f>LOOKUP(A1628,'QALS - Inspection Lot Record'!$A$2:$A$361,'QALS - Inspection Lot Record'!$O$2:$O$361)</f>
        <v>Aspirin Tablets (500 MG)</v>
      </c>
      <c r="D1628" s="31">
        <v>30</v>
      </c>
      <c r="E1628" s="29" t="s">
        <v>401</v>
      </c>
      <c r="F1628" s="29" t="str">
        <f>LOOKUP(A1628,'QALS - Inspection Lot Record'!A:A,'QALS - Inspection Lot Record'!G:G)</f>
        <v>YA284176</v>
      </c>
      <c r="G1628" s="59">
        <f ca="1">LOOKUP(A1628,'QALS - Inspection Lot Record'!A:A,'QALS - Inspection Lot Record'!E:E)</f>
        <v>45971</v>
      </c>
      <c r="H1628" s="34" t="str">
        <f t="shared" si="130"/>
        <v>A</v>
      </c>
      <c r="I1628" s="29" t="str">
        <f t="shared" si="126"/>
        <v>YA284176</v>
      </c>
      <c r="J1628" s="59">
        <f t="shared" ca="1" si="127"/>
        <v>45971</v>
      </c>
      <c r="K1628" s="30">
        <f ca="1">LOOKUP(A1628,'QALS - Inspection Lot Record'!A:A,'QALS - Inspection Lot Record'!I:I)</f>
        <v>0.41743055555555558</v>
      </c>
      <c r="L1628" s="59">
        <f t="shared" ca="1" si="128"/>
        <v>45971</v>
      </c>
      <c r="M1628" s="30">
        <f t="shared" ca="1" si="129"/>
        <v>0.448275462962963</v>
      </c>
      <c r="N1628" s="11" t="s">
        <v>402</v>
      </c>
      <c r="O1628" s="31"/>
      <c r="P1628" s="29"/>
      <c r="Q1628" s="29"/>
    </row>
    <row r="1629" spans="1:17" x14ac:dyDescent="0.35">
      <c r="A1629" s="26">
        <v>40000002704</v>
      </c>
      <c r="B1629" s="31">
        <v>1</v>
      </c>
      <c r="C1629" s="29" t="str">
        <f>LOOKUP(A1629,'QALS - Inspection Lot Record'!$A$2:$A$361,'QALS - Inspection Lot Record'!$O$2:$O$361)</f>
        <v>Aspirin Tablets (500 MG)</v>
      </c>
      <c r="D1629" s="31">
        <v>40</v>
      </c>
      <c r="E1629" s="29" t="s">
        <v>403</v>
      </c>
      <c r="F1629" s="29" t="str">
        <f>LOOKUP(A1629,'QALS - Inspection Lot Record'!A:A,'QALS - Inspection Lot Record'!G:G)</f>
        <v>YA284176</v>
      </c>
      <c r="G1629" s="59">
        <f ca="1">LOOKUP(A1629,'QALS - Inspection Lot Record'!A:A,'QALS - Inspection Lot Record'!E:E)</f>
        <v>45971</v>
      </c>
      <c r="H1629" s="34" t="str">
        <f t="shared" si="130"/>
        <v>A</v>
      </c>
      <c r="I1629" s="29" t="str">
        <f t="shared" si="126"/>
        <v>YA284176</v>
      </c>
      <c r="J1629" s="59">
        <f t="shared" ca="1" si="127"/>
        <v>45971</v>
      </c>
      <c r="K1629" s="30">
        <f ca="1">LOOKUP(A1629,'QALS - Inspection Lot Record'!A:A,'QALS - Inspection Lot Record'!I:I)</f>
        <v>0.41743055555555558</v>
      </c>
      <c r="L1629" s="59">
        <f t="shared" ca="1" si="128"/>
        <v>45971</v>
      </c>
      <c r="M1629" s="30">
        <f t="shared" ca="1" si="129"/>
        <v>0.44828703703703704</v>
      </c>
      <c r="N1629" s="31"/>
      <c r="O1629" s="31">
        <v>1.8</v>
      </c>
      <c r="P1629" s="29">
        <v>0</v>
      </c>
      <c r="Q1629" s="29">
        <v>2.5</v>
      </c>
    </row>
    <row r="1630" spans="1:17" x14ac:dyDescent="0.35">
      <c r="A1630" s="26">
        <v>40000002704</v>
      </c>
      <c r="B1630" s="31">
        <v>1</v>
      </c>
      <c r="C1630" s="29" t="str">
        <f>LOOKUP(A1630,'QALS - Inspection Lot Record'!$A$2:$A$361,'QALS - Inspection Lot Record'!$O$2:$O$361)</f>
        <v>Aspirin Tablets (500 MG)</v>
      </c>
      <c r="D1630" s="31">
        <v>50</v>
      </c>
      <c r="E1630" s="29" t="s">
        <v>404</v>
      </c>
      <c r="F1630" s="29" t="str">
        <f>LOOKUP(A1630,'QALS - Inspection Lot Record'!A:A,'QALS - Inspection Lot Record'!G:G)</f>
        <v>YA284176</v>
      </c>
      <c r="G1630" s="59">
        <f ca="1">LOOKUP(A1630,'QALS - Inspection Lot Record'!A:A,'QALS - Inspection Lot Record'!E:E)</f>
        <v>45971</v>
      </c>
      <c r="H1630" s="34" t="str">
        <f t="shared" si="130"/>
        <v>A</v>
      </c>
      <c r="I1630" s="29" t="str">
        <f t="shared" si="126"/>
        <v>YA284176</v>
      </c>
      <c r="J1630" s="59">
        <f t="shared" ca="1" si="127"/>
        <v>45971</v>
      </c>
      <c r="K1630" s="30">
        <f ca="1">LOOKUP(A1630,'QALS - Inspection Lot Record'!A:A,'QALS - Inspection Lot Record'!I:I)</f>
        <v>0.41743055555555558</v>
      </c>
      <c r="L1630" s="59">
        <f t="shared" ca="1" si="128"/>
        <v>45971</v>
      </c>
      <c r="M1630" s="30">
        <f t="shared" ca="1" si="129"/>
        <v>0.45258101851851856</v>
      </c>
      <c r="N1630" s="31"/>
      <c r="O1630" s="31">
        <v>41.6</v>
      </c>
      <c r="P1630" s="29">
        <v>40</v>
      </c>
      <c r="Q1630" s="29">
        <v>60</v>
      </c>
    </row>
    <row r="1631" spans="1:17" x14ac:dyDescent="0.35">
      <c r="A1631" s="26">
        <v>40000002704</v>
      </c>
      <c r="B1631" s="31">
        <v>1</v>
      </c>
      <c r="C1631" s="29" t="str">
        <f>LOOKUP(A1631,'QALS - Inspection Lot Record'!$A$2:$A$361,'QALS - Inspection Lot Record'!$O$2:$O$361)</f>
        <v>Aspirin Tablets (500 MG)</v>
      </c>
      <c r="D1631" s="31">
        <v>60</v>
      </c>
      <c r="E1631" s="29" t="s">
        <v>405</v>
      </c>
      <c r="F1631" s="29" t="str">
        <f>LOOKUP(A1631,'QALS - Inspection Lot Record'!A:A,'QALS - Inspection Lot Record'!G:G)</f>
        <v>YA284176</v>
      </c>
      <c r="G1631" s="59">
        <f ca="1">LOOKUP(A1631,'QALS - Inspection Lot Record'!A:A,'QALS - Inspection Lot Record'!E:E)</f>
        <v>45971</v>
      </c>
      <c r="H1631" s="34" t="str">
        <f t="shared" si="130"/>
        <v>A</v>
      </c>
      <c r="I1631" s="29" t="str">
        <f t="shared" si="126"/>
        <v>YA284176</v>
      </c>
      <c r="J1631" s="59">
        <f t="shared" ca="1" si="127"/>
        <v>45971</v>
      </c>
      <c r="K1631" s="30">
        <f ca="1">LOOKUP(A1631,'QALS - Inspection Lot Record'!A:A,'QALS - Inspection Lot Record'!I:I)</f>
        <v>0.41743055555555558</v>
      </c>
      <c r="L1631" s="59">
        <f t="shared" ca="1" si="128"/>
        <v>45971</v>
      </c>
      <c r="M1631" s="30">
        <f t="shared" ca="1" si="129"/>
        <v>0.45166666666666672</v>
      </c>
      <c r="N1631" s="31"/>
      <c r="O1631" s="31">
        <v>71.099999999999994</v>
      </c>
      <c r="P1631" s="29">
        <v>70</v>
      </c>
      <c r="Q1631" s="29">
        <v>85</v>
      </c>
    </row>
    <row r="1632" spans="1:17" x14ac:dyDescent="0.35">
      <c r="A1632" s="26">
        <v>40000002704</v>
      </c>
      <c r="B1632" s="31">
        <v>1</v>
      </c>
      <c r="C1632" s="29" t="str">
        <f>LOOKUP(A1632,'QALS - Inspection Lot Record'!$A$2:$A$361,'QALS - Inspection Lot Record'!$O$2:$O$361)</f>
        <v>Aspirin Tablets (500 MG)</v>
      </c>
      <c r="D1632" s="31">
        <v>70</v>
      </c>
      <c r="E1632" s="29" t="s">
        <v>406</v>
      </c>
      <c r="F1632" s="29" t="str">
        <f>LOOKUP(A1632,'QALS - Inspection Lot Record'!A:A,'QALS - Inspection Lot Record'!G:G)</f>
        <v>YA284176</v>
      </c>
      <c r="G1632" s="59">
        <f ca="1">LOOKUP(A1632,'QALS - Inspection Lot Record'!A:A,'QALS - Inspection Lot Record'!E:E)</f>
        <v>45971</v>
      </c>
      <c r="H1632" s="34" t="str">
        <f t="shared" si="130"/>
        <v>A</v>
      </c>
      <c r="I1632" s="29" t="str">
        <f t="shared" si="126"/>
        <v>YA284176</v>
      </c>
      <c r="J1632" s="59">
        <f t="shared" ca="1" si="127"/>
        <v>45971</v>
      </c>
      <c r="K1632" s="30">
        <f ca="1">LOOKUP(A1632,'QALS - Inspection Lot Record'!A:A,'QALS - Inspection Lot Record'!I:I)</f>
        <v>0.41743055555555558</v>
      </c>
      <c r="L1632" s="59">
        <f t="shared" ca="1" si="128"/>
        <v>45971</v>
      </c>
      <c r="M1632" s="30">
        <f t="shared" ca="1" si="129"/>
        <v>0.4412962962962963</v>
      </c>
      <c r="N1632" s="31"/>
      <c r="O1632" s="31">
        <v>81.2</v>
      </c>
      <c r="P1632" s="29">
        <v>80</v>
      </c>
      <c r="Q1632" s="29">
        <v>90</v>
      </c>
    </row>
    <row r="1633" spans="1:17" x14ac:dyDescent="0.35">
      <c r="A1633" s="26">
        <v>40000002704</v>
      </c>
      <c r="B1633" s="31">
        <v>1</v>
      </c>
      <c r="C1633" s="29" t="str">
        <f>LOOKUP(A1633,'QALS - Inspection Lot Record'!$A$2:$A$361,'QALS - Inspection Lot Record'!$O$2:$O$361)</f>
        <v>Aspirin Tablets (500 MG)</v>
      </c>
      <c r="D1633" s="31">
        <v>80</v>
      </c>
      <c r="E1633" s="29" t="s">
        <v>407</v>
      </c>
      <c r="F1633" s="29" t="str">
        <f>LOOKUP(A1633,'QALS - Inspection Lot Record'!A:A,'QALS - Inspection Lot Record'!G:G)</f>
        <v>YA284176</v>
      </c>
      <c r="G1633" s="59">
        <f ca="1">LOOKUP(A1633,'QALS - Inspection Lot Record'!A:A,'QALS - Inspection Lot Record'!E:E)</f>
        <v>45971</v>
      </c>
      <c r="H1633" s="34" t="str">
        <f t="shared" si="130"/>
        <v>A</v>
      </c>
      <c r="I1633" s="29" t="str">
        <f t="shared" si="126"/>
        <v>YA284176</v>
      </c>
      <c r="J1633" s="59">
        <f t="shared" ca="1" si="127"/>
        <v>45971</v>
      </c>
      <c r="K1633" s="30">
        <f ca="1">LOOKUP(A1633,'QALS - Inspection Lot Record'!A:A,'QALS - Inspection Lot Record'!I:I)</f>
        <v>0.41743055555555558</v>
      </c>
      <c r="L1633" s="59">
        <f t="shared" ca="1" si="128"/>
        <v>45971</v>
      </c>
      <c r="M1633" s="30">
        <f t="shared" ca="1" si="129"/>
        <v>0.44017361111111114</v>
      </c>
      <c r="N1633" s="31"/>
      <c r="O1633" s="31">
        <v>25.5</v>
      </c>
      <c r="P1633" s="29">
        <v>23</v>
      </c>
      <c r="Q1633" s="29">
        <v>28</v>
      </c>
    </row>
    <row r="1634" spans="1:17" x14ac:dyDescent="0.35">
      <c r="A1634" s="26">
        <v>40000002705</v>
      </c>
      <c r="B1634" s="27">
        <v>1</v>
      </c>
      <c r="C1634" s="29" t="str">
        <f>LOOKUP(A1634,'QALS - Inspection Lot Record'!$A$2:$A$361,'QALS - Inspection Lot Record'!$O$2:$O$361)</f>
        <v>Metformin Tablets (500 MG)</v>
      </c>
      <c r="D1634" s="27">
        <v>10</v>
      </c>
      <c r="E1634" s="26" t="s">
        <v>399</v>
      </c>
      <c r="F1634" s="29" t="str">
        <f>LOOKUP(A1634,'QALS - Inspection Lot Record'!A:A,'QALS - Inspection Lot Record'!G:G)</f>
        <v>TP397880</v>
      </c>
      <c r="G1634" s="59">
        <f ca="1">LOOKUP(A1634,'QALS - Inspection Lot Record'!A:A,'QALS - Inspection Lot Record'!E:E)</f>
        <v>45972</v>
      </c>
      <c r="H1634" s="34" t="str">
        <f t="shared" si="130"/>
        <v>A</v>
      </c>
      <c r="I1634" s="29" t="str">
        <f t="shared" si="126"/>
        <v>TP397880</v>
      </c>
      <c r="J1634" s="59">
        <f t="shared" ca="1" si="127"/>
        <v>45972</v>
      </c>
      <c r="K1634" s="30">
        <f ca="1">LOOKUP(A1634,'QALS - Inspection Lot Record'!A:A,'QALS - Inspection Lot Record'!I:I)</f>
        <v>0.71420138888888884</v>
      </c>
      <c r="L1634" s="59">
        <f t="shared" ca="1" si="128"/>
        <v>45972</v>
      </c>
      <c r="M1634" s="30">
        <f t="shared" ca="1" si="129"/>
        <v>0.74456018518518519</v>
      </c>
      <c r="N1634" s="31"/>
      <c r="O1634" s="31">
        <v>100</v>
      </c>
      <c r="P1634" s="29">
        <v>95</v>
      </c>
      <c r="Q1634" s="29">
        <v>105</v>
      </c>
    </row>
    <row r="1635" spans="1:17" x14ac:dyDescent="0.35">
      <c r="A1635" s="26">
        <v>40000002705</v>
      </c>
      <c r="B1635" s="27">
        <v>1</v>
      </c>
      <c r="C1635" s="29" t="str">
        <f>LOOKUP(A1635,'QALS - Inspection Lot Record'!$A$2:$A$361,'QALS - Inspection Lot Record'!$O$2:$O$361)</f>
        <v>Metformin Tablets (500 MG)</v>
      </c>
      <c r="D1635" s="31">
        <v>20</v>
      </c>
      <c r="E1635" s="29" t="s">
        <v>400</v>
      </c>
      <c r="F1635" s="29" t="str">
        <f>LOOKUP(A1635,'QALS - Inspection Lot Record'!A:A,'QALS - Inspection Lot Record'!G:G)</f>
        <v>TP397880</v>
      </c>
      <c r="G1635" s="59">
        <f ca="1">LOOKUP(A1635,'QALS - Inspection Lot Record'!A:A,'QALS - Inspection Lot Record'!E:E)</f>
        <v>45972</v>
      </c>
      <c r="H1635" s="34" t="str">
        <f t="shared" si="130"/>
        <v>A</v>
      </c>
      <c r="I1635" s="29" t="str">
        <f t="shared" si="126"/>
        <v>TP397880</v>
      </c>
      <c r="J1635" s="59">
        <f t="shared" ca="1" si="127"/>
        <v>45972</v>
      </c>
      <c r="K1635" s="30">
        <f ca="1">LOOKUP(A1635,'QALS - Inspection Lot Record'!A:A,'QALS - Inspection Lot Record'!I:I)</f>
        <v>0.71420138888888884</v>
      </c>
      <c r="L1635" s="59">
        <f t="shared" ca="1" si="128"/>
        <v>45972</v>
      </c>
      <c r="M1635" s="30">
        <f t="shared" ca="1" si="129"/>
        <v>0.73273148148148148</v>
      </c>
      <c r="N1635" s="31"/>
      <c r="O1635" s="31">
        <v>7.25</v>
      </c>
      <c r="P1635" s="29">
        <v>3.5</v>
      </c>
      <c r="Q1635" s="29">
        <v>11</v>
      </c>
    </row>
    <row r="1636" spans="1:17" x14ac:dyDescent="0.35">
      <c r="A1636" s="26">
        <v>40000002705</v>
      </c>
      <c r="B1636" s="31">
        <v>1</v>
      </c>
      <c r="C1636" s="29" t="str">
        <f>LOOKUP(A1636,'QALS - Inspection Lot Record'!$A$2:$A$361,'QALS - Inspection Lot Record'!$O$2:$O$361)</f>
        <v>Metformin Tablets (500 MG)</v>
      </c>
      <c r="D1636" s="31">
        <v>30</v>
      </c>
      <c r="E1636" s="29" t="s">
        <v>401</v>
      </c>
      <c r="F1636" s="29" t="str">
        <f>LOOKUP(A1636,'QALS - Inspection Lot Record'!A:A,'QALS - Inspection Lot Record'!G:G)</f>
        <v>TP397880</v>
      </c>
      <c r="G1636" s="59">
        <f ca="1">LOOKUP(A1636,'QALS - Inspection Lot Record'!A:A,'QALS - Inspection Lot Record'!E:E)</f>
        <v>45972</v>
      </c>
      <c r="H1636" s="34" t="str">
        <f t="shared" si="130"/>
        <v>A</v>
      </c>
      <c r="I1636" s="29" t="str">
        <f t="shared" si="126"/>
        <v>TP397880</v>
      </c>
      <c r="J1636" s="59">
        <f t="shared" ca="1" si="127"/>
        <v>45972</v>
      </c>
      <c r="K1636" s="30">
        <f ca="1">LOOKUP(A1636,'QALS - Inspection Lot Record'!A:A,'QALS - Inspection Lot Record'!I:I)</f>
        <v>0.71420138888888884</v>
      </c>
      <c r="L1636" s="59">
        <f t="shared" ca="1" si="128"/>
        <v>45972</v>
      </c>
      <c r="M1636" s="30">
        <f t="shared" ca="1" si="129"/>
        <v>0.73230324074074071</v>
      </c>
      <c r="N1636" s="11" t="s">
        <v>402</v>
      </c>
      <c r="O1636" s="31"/>
      <c r="P1636" s="29"/>
      <c r="Q1636" s="29"/>
    </row>
    <row r="1637" spans="1:17" x14ac:dyDescent="0.35">
      <c r="A1637" s="26">
        <v>40000002705</v>
      </c>
      <c r="B1637" s="31">
        <v>1</v>
      </c>
      <c r="C1637" s="29" t="str">
        <f>LOOKUP(A1637,'QALS - Inspection Lot Record'!$A$2:$A$361,'QALS - Inspection Lot Record'!$O$2:$O$361)</f>
        <v>Metformin Tablets (500 MG)</v>
      </c>
      <c r="D1637" s="31">
        <v>40</v>
      </c>
      <c r="E1637" s="29" t="s">
        <v>403</v>
      </c>
      <c r="F1637" s="29" t="str">
        <f>LOOKUP(A1637,'QALS - Inspection Lot Record'!A:A,'QALS - Inspection Lot Record'!G:G)</f>
        <v>TP397880</v>
      </c>
      <c r="G1637" s="59">
        <f ca="1">LOOKUP(A1637,'QALS - Inspection Lot Record'!A:A,'QALS - Inspection Lot Record'!E:E)</f>
        <v>45972</v>
      </c>
      <c r="H1637" s="34" t="str">
        <f t="shared" si="130"/>
        <v>A</v>
      </c>
      <c r="I1637" s="29" t="str">
        <f t="shared" si="126"/>
        <v>TP397880</v>
      </c>
      <c r="J1637" s="59">
        <f t="shared" ca="1" si="127"/>
        <v>45972</v>
      </c>
      <c r="K1637" s="30">
        <f ca="1">LOOKUP(A1637,'QALS - Inspection Lot Record'!A:A,'QALS - Inspection Lot Record'!I:I)</f>
        <v>0.71420138888888884</v>
      </c>
      <c r="L1637" s="59">
        <f t="shared" ca="1" si="128"/>
        <v>45972</v>
      </c>
      <c r="M1637" s="30">
        <f t="shared" ca="1" si="129"/>
        <v>0.74004629629629626</v>
      </c>
      <c r="N1637" s="31"/>
      <c r="O1637" s="31">
        <v>0</v>
      </c>
      <c r="P1637" s="29">
        <v>0</v>
      </c>
      <c r="Q1637" s="29">
        <v>2</v>
      </c>
    </row>
    <row r="1638" spans="1:17" x14ac:dyDescent="0.35">
      <c r="A1638" s="26">
        <v>40000002705</v>
      </c>
      <c r="B1638" s="31">
        <v>1</v>
      </c>
      <c r="C1638" s="29" t="str">
        <f>LOOKUP(A1638,'QALS - Inspection Lot Record'!$A$2:$A$361,'QALS - Inspection Lot Record'!$O$2:$O$361)</f>
        <v>Metformin Tablets (500 MG)</v>
      </c>
      <c r="D1638" s="31">
        <v>50</v>
      </c>
      <c r="E1638" s="29" t="s">
        <v>404</v>
      </c>
      <c r="F1638" s="29" t="str">
        <f>LOOKUP(A1638,'QALS - Inspection Lot Record'!A:A,'QALS - Inspection Lot Record'!G:G)</f>
        <v>TP397880</v>
      </c>
      <c r="G1638" s="59">
        <f ca="1">LOOKUP(A1638,'QALS - Inspection Lot Record'!A:A,'QALS - Inspection Lot Record'!E:E)</f>
        <v>45972</v>
      </c>
      <c r="H1638" s="34" t="str">
        <f t="shared" si="130"/>
        <v>A</v>
      </c>
      <c r="I1638" s="29" t="str">
        <f t="shared" si="126"/>
        <v>TP397880</v>
      </c>
      <c r="J1638" s="59">
        <f t="shared" ca="1" si="127"/>
        <v>45972</v>
      </c>
      <c r="K1638" s="30">
        <f ca="1">LOOKUP(A1638,'QALS - Inspection Lot Record'!A:A,'QALS - Inspection Lot Record'!I:I)</f>
        <v>0.71420138888888884</v>
      </c>
      <c r="L1638" s="59">
        <f t="shared" ca="1" si="128"/>
        <v>45972</v>
      </c>
      <c r="M1638" s="30">
        <f t="shared" ca="1" si="129"/>
        <v>0.7485532407407407</v>
      </c>
      <c r="N1638" s="31"/>
      <c r="O1638" s="31">
        <v>50</v>
      </c>
      <c r="P1638" s="29">
        <v>40</v>
      </c>
      <c r="Q1638" s="29">
        <v>60</v>
      </c>
    </row>
    <row r="1639" spans="1:17" x14ac:dyDescent="0.35">
      <c r="A1639" s="26">
        <v>40000002705</v>
      </c>
      <c r="B1639" s="31">
        <v>1</v>
      </c>
      <c r="C1639" s="29" t="str">
        <f>LOOKUP(A1639,'QALS - Inspection Lot Record'!$A$2:$A$361,'QALS - Inspection Lot Record'!$O$2:$O$361)</f>
        <v>Metformin Tablets (500 MG)</v>
      </c>
      <c r="D1639" s="31">
        <v>60</v>
      </c>
      <c r="E1639" s="29" t="s">
        <v>405</v>
      </c>
      <c r="F1639" s="29" t="str">
        <f>LOOKUP(A1639,'QALS - Inspection Lot Record'!A:A,'QALS - Inspection Lot Record'!G:G)</f>
        <v>TP397880</v>
      </c>
      <c r="G1639" s="59">
        <f ca="1">LOOKUP(A1639,'QALS - Inspection Lot Record'!A:A,'QALS - Inspection Lot Record'!E:E)</f>
        <v>45972</v>
      </c>
      <c r="H1639" s="34" t="str">
        <f t="shared" si="130"/>
        <v>A</v>
      </c>
      <c r="I1639" s="29" t="str">
        <f t="shared" si="126"/>
        <v>TP397880</v>
      </c>
      <c r="J1639" s="59">
        <f t="shared" ca="1" si="127"/>
        <v>45972</v>
      </c>
      <c r="K1639" s="30">
        <f ca="1">LOOKUP(A1639,'QALS - Inspection Lot Record'!A:A,'QALS - Inspection Lot Record'!I:I)</f>
        <v>0.71420138888888884</v>
      </c>
      <c r="L1639" s="59">
        <f t="shared" ca="1" si="128"/>
        <v>45972</v>
      </c>
      <c r="M1639" s="30">
        <f t="shared" ca="1" si="129"/>
        <v>0.73571759259259251</v>
      </c>
      <c r="N1639" s="31"/>
      <c r="O1639" s="31">
        <v>77.5</v>
      </c>
      <c r="P1639" s="29">
        <v>70</v>
      </c>
      <c r="Q1639" s="29">
        <v>85</v>
      </c>
    </row>
    <row r="1640" spans="1:17" x14ac:dyDescent="0.35">
      <c r="A1640" s="26">
        <v>40000002705</v>
      </c>
      <c r="B1640" s="31">
        <v>1</v>
      </c>
      <c r="C1640" s="29" t="str">
        <f>LOOKUP(A1640,'QALS - Inspection Lot Record'!$A$2:$A$361,'QALS - Inspection Lot Record'!$O$2:$O$361)</f>
        <v>Metformin Tablets (500 MG)</v>
      </c>
      <c r="D1640" s="31">
        <v>70</v>
      </c>
      <c r="E1640" s="29" t="s">
        <v>406</v>
      </c>
      <c r="F1640" s="29" t="str">
        <f>LOOKUP(A1640,'QALS - Inspection Lot Record'!A:A,'QALS - Inspection Lot Record'!G:G)</f>
        <v>TP397880</v>
      </c>
      <c r="G1640" s="59">
        <f ca="1">LOOKUP(A1640,'QALS - Inspection Lot Record'!A:A,'QALS - Inspection Lot Record'!E:E)</f>
        <v>45972</v>
      </c>
      <c r="H1640" s="34" t="str">
        <f t="shared" si="130"/>
        <v>A</v>
      </c>
      <c r="I1640" s="29" t="str">
        <f t="shared" si="126"/>
        <v>TP397880</v>
      </c>
      <c r="J1640" s="59">
        <f t="shared" ca="1" si="127"/>
        <v>45972</v>
      </c>
      <c r="K1640" s="30">
        <f ca="1">LOOKUP(A1640,'QALS - Inspection Lot Record'!A:A,'QALS - Inspection Lot Record'!I:I)</f>
        <v>0.71420138888888884</v>
      </c>
      <c r="L1640" s="59">
        <f t="shared" ca="1" si="128"/>
        <v>45972</v>
      </c>
      <c r="M1640" s="30">
        <f t="shared" ca="1" si="129"/>
        <v>0.73432870370370362</v>
      </c>
      <c r="N1640" s="31"/>
      <c r="O1640" s="31">
        <v>85</v>
      </c>
      <c r="P1640" s="29">
        <v>80</v>
      </c>
      <c r="Q1640" s="29">
        <v>90</v>
      </c>
    </row>
    <row r="1641" spans="1:17" x14ac:dyDescent="0.35">
      <c r="A1641" s="26">
        <v>40000002705</v>
      </c>
      <c r="B1641" s="31">
        <v>1</v>
      </c>
      <c r="C1641" s="29" t="str">
        <f>LOOKUP(A1641,'QALS - Inspection Lot Record'!$A$2:$A$361,'QALS - Inspection Lot Record'!$O$2:$O$361)</f>
        <v>Metformin Tablets (500 MG)</v>
      </c>
      <c r="D1641" s="31">
        <v>80</v>
      </c>
      <c r="E1641" s="29" t="s">
        <v>407</v>
      </c>
      <c r="F1641" s="29" t="str">
        <f>LOOKUP(A1641,'QALS - Inspection Lot Record'!A:A,'QALS - Inspection Lot Record'!G:G)</f>
        <v>TP397880</v>
      </c>
      <c r="G1641" s="59">
        <f ca="1">LOOKUP(A1641,'QALS - Inspection Lot Record'!A:A,'QALS - Inspection Lot Record'!E:E)</f>
        <v>45972</v>
      </c>
      <c r="H1641" s="34" t="str">
        <f t="shared" si="130"/>
        <v>A</v>
      </c>
      <c r="I1641" s="29" t="str">
        <f t="shared" si="126"/>
        <v>TP397880</v>
      </c>
      <c r="J1641" s="59">
        <f t="shared" ca="1" si="127"/>
        <v>45972</v>
      </c>
      <c r="K1641" s="30">
        <f ca="1">LOOKUP(A1641,'QALS - Inspection Lot Record'!A:A,'QALS - Inspection Lot Record'!I:I)</f>
        <v>0.71420138888888884</v>
      </c>
      <c r="L1641" s="59">
        <f t="shared" ca="1" si="128"/>
        <v>45972</v>
      </c>
      <c r="M1641" s="30">
        <f t="shared" ca="1" si="129"/>
        <v>0.74908564814814815</v>
      </c>
      <c r="N1641" s="31"/>
      <c r="O1641" s="31">
        <v>25.5</v>
      </c>
      <c r="P1641" s="29">
        <v>23</v>
      </c>
      <c r="Q1641" s="29">
        <v>28</v>
      </c>
    </row>
    <row r="1642" spans="1:17" x14ac:dyDescent="0.35">
      <c r="A1642" s="26">
        <v>40000002706</v>
      </c>
      <c r="B1642" s="27">
        <v>1</v>
      </c>
      <c r="C1642" s="29" t="str">
        <f>LOOKUP(A1642,'QALS - Inspection Lot Record'!$A$2:$A$361,'QALS - Inspection Lot Record'!$O$2:$O$361)</f>
        <v>Metformin Tablets (200 MG)</v>
      </c>
      <c r="D1642" s="27">
        <v>10</v>
      </c>
      <c r="E1642" s="26" t="s">
        <v>399</v>
      </c>
      <c r="F1642" s="29" t="str">
        <f>LOOKUP(A1642,'QALS - Inspection Lot Record'!A:A,'QALS - Inspection Lot Record'!G:G)</f>
        <v>YA284176</v>
      </c>
      <c r="G1642" s="59">
        <f ca="1">LOOKUP(A1642,'QALS - Inspection Lot Record'!A:A,'QALS - Inspection Lot Record'!E:E)</f>
        <v>45972</v>
      </c>
      <c r="H1642" s="34" t="str">
        <f t="shared" si="130"/>
        <v>A</v>
      </c>
      <c r="I1642" s="29" t="str">
        <f t="shared" si="126"/>
        <v>YA284176</v>
      </c>
      <c r="J1642" s="59">
        <f t="shared" ca="1" si="127"/>
        <v>45972</v>
      </c>
      <c r="K1642" s="30">
        <f ca="1">LOOKUP(A1642,'QALS - Inspection Lot Record'!A:A,'QALS - Inspection Lot Record'!I:I)</f>
        <v>5.0960648148148151E-2</v>
      </c>
      <c r="L1642" s="59">
        <f t="shared" ca="1" si="128"/>
        <v>45972</v>
      </c>
      <c r="M1642" s="30">
        <f t="shared" ca="1" si="129"/>
        <v>7.7106481481481484E-2</v>
      </c>
      <c r="N1642" s="31"/>
      <c r="O1642" s="31">
        <v>99</v>
      </c>
      <c r="P1642" s="29">
        <v>95</v>
      </c>
      <c r="Q1642" s="29">
        <v>103</v>
      </c>
    </row>
    <row r="1643" spans="1:17" x14ac:dyDescent="0.35">
      <c r="A1643" s="26">
        <v>40000002706</v>
      </c>
      <c r="B1643" s="27">
        <v>1</v>
      </c>
      <c r="C1643" s="29" t="str">
        <f>LOOKUP(A1643,'QALS - Inspection Lot Record'!$A$2:$A$361,'QALS - Inspection Lot Record'!$O$2:$O$361)</f>
        <v>Metformin Tablets (200 MG)</v>
      </c>
      <c r="D1643" s="31">
        <v>20</v>
      </c>
      <c r="E1643" s="29" t="s">
        <v>400</v>
      </c>
      <c r="F1643" s="29" t="str">
        <f>LOOKUP(A1643,'QALS - Inspection Lot Record'!A:A,'QALS - Inspection Lot Record'!G:G)</f>
        <v>YA284176</v>
      </c>
      <c r="G1643" s="59">
        <f ca="1">LOOKUP(A1643,'QALS - Inspection Lot Record'!A:A,'QALS - Inspection Lot Record'!E:E)</f>
        <v>45972</v>
      </c>
      <c r="H1643" s="34" t="str">
        <f t="shared" si="130"/>
        <v>A</v>
      </c>
      <c r="I1643" s="29" t="str">
        <f t="shared" si="126"/>
        <v>YA284176</v>
      </c>
      <c r="J1643" s="59">
        <f t="shared" ca="1" si="127"/>
        <v>45972</v>
      </c>
      <c r="K1643" s="30">
        <f ca="1">LOOKUP(A1643,'QALS - Inspection Lot Record'!A:A,'QALS - Inspection Lot Record'!I:I)</f>
        <v>5.0960648148148151E-2</v>
      </c>
      <c r="L1643" s="59">
        <f t="shared" ca="1" si="128"/>
        <v>45972</v>
      </c>
      <c r="M1643" s="30">
        <f t="shared" ca="1" si="129"/>
        <v>7.1238425925925927E-2</v>
      </c>
      <c r="N1643" s="31"/>
      <c r="O1643" s="31">
        <v>7.75</v>
      </c>
      <c r="P1643" s="29">
        <v>6</v>
      </c>
      <c r="Q1643" s="29">
        <v>9.5</v>
      </c>
    </row>
    <row r="1644" spans="1:17" x14ac:dyDescent="0.35">
      <c r="A1644" s="26">
        <v>40000002706</v>
      </c>
      <c r="B1644" s="31">
        <v>1</v>
      </c>
      <c r="C1644" s="29" t="str">
        <f>LOOKUP(A1644,'QALS - Inspection Lot Record'!$A$2:$A$361,'QALS - Inspection Lot Record'!$O$2:$O$361)</f>
        <v>Metformin Tablets (200 MG)</v>
      </c>
      <c r="D1644" s="31">
        <v>30</v>
      </c>
      <c r="E1644" s="29" t="s">
        <v>401</v>
      </c>
      <c r="F1644" s="29" t="str">
        <f>LOOKUP(A1644,'QALS - Inspection Lot Record'!A:A,'QALS - Inspection Lot Record'!G:G)</f>
        <v>YA284176</v>
      </c>
      <c r="G1644" s="59">
        <f ca="1">LOOKUP(A1644,'QALS - Inspection Lot Record'!A:A,'QALS - Inspection Lot Record'!E:E)</f>
        <v>45972</v>
      </c>
      <c r="H1644" s="34" t="str">
        <f t="shared" si="130"/>
        <v>A</v>
      </c>
      <c r="I1644" s="29" t="str">
        <f t="shared" si="126"/>
        <v>YA284176</v>
      </c>
      <c r="J1644" s="59">
        <f t="shared" ca="1" si="127"/>
        <v>45972</v>
      </c>
      <c r="K1644" s="30">
        <f ca="1">LOOKUP(A1644,'QALS - Inspection Lot Record'!A:A,'QALS - Inspection Lot Record'!I:I)</f>
        <v>5.0960648148148151E-2</v>
      </c>
      <c r="L1644" s="59">
        <f t="shared" ca="1" si="128"/>
        <v>45972</v>
      </c>
      <c r="M1644" s="30">
        <f t="shared" ca="1" si="129"/>
        <v>7.3078703703703701E-2</v>
      </c>
      <c r="N1644" s="11" t="s">
        <v>402</v>
      </c>
      <c r="O1644" s="31"/>
      <c r="P1644" s="29"/>
      <c r="Q1644" s="29"/>
    </row>
    <row r="1645" spans="1:17" x14ac:dyDescent="0.35">
      <c r="A1645" s="26">
        <v>40000002706</v>
      </c>
      <c r="B1645" s="31">
        <v>1</v>
      </c>
      <c r="C1645" s="29" t="str">
        <f>LOOKUP(A1645,'QALS - Inspection Lot Record'!$A$2:$A$361,'QALS - Inspection Lot Record'!$O$2:$O$361)</f>
        <v>Metformin Tablets (200 MG)</v>
      </c>
      <c r="D1645" s="31">
        <v>40</v>
      </c>
      <c r="E1645" s="29" t="s">
        <v>403</v>
      </c>
      <c r="F1645" s="29" t="str">
        <f>LOOKUP(A1645,'QALS - Inspection Lot Record'!A:A,'QALS - Inspection Lot Record'!G:G)</f>
        <v>YA284176</v>
      </c>
      <c r="G1645" s="59">
        <f ca="1">LOOKUP(A1645,'QALS - Inspection Lot Record'!A:A,'QALS - Inspection Lot Record'!E:E)</f>
        <v>45972</v>
      </c>
      <c r="H1645" s="34" t="str">
        <f t="shared" si="130"/>
        <v>A</v>
      </c>
      <c r="I1645" s="29" t="str">
        <f t="shared" si="126"/>
        <v>YA284176</v>
      </c>
      <c r="J1645" s="59">
        <f t="shared" ca="1" si="127"/>
        <v>45972</v>
      </c>
      <c r="K1645" s="30">
        <f ca="1">LOOKUP(A1645,'QALS - Inspection Lot Record'!A:A,'QALS - Inspection Lot Record'!I:I)</f>
        <v>5.0960648148148151E-2</v>
      </c>
      <c r="L1645" s="59">
        <f t="shared" ca="1" si="128"/>
        <v>45972</v>
      </c>
      <c r="M1645" s="30">
        <f t="shared" ca="1" si="129"/>
        <v>7.6597222222222233E-2</v>
      </c>
      <c r="N1645" s="31"/>
      <c r="O1645" s="31">
        <v>0</v>
      </c>
      <c r="P1645" s="29">
        <v>0</v>
      </c>
      <c r="Q1645" s="29">
        <v>2</v>
      </c>
    </row>
    <row r="1646" spans="1:17" x14ac:dyDescent="0.35">
      <c r="A1646" s="26">
        <v>40000002706</v>
      </c>
      <c r="B1646" s="31">
        <v>1</v>
      </c>
      <c r="C1646" s="29" t="str">
        <f>LOOKUP(A1646,'QALS - Inspection Lot Record'!$A$2:$A$361,'QALS - Inspection Lot Record'!$O$2:$O$361)</f>
        <v>Metformin Tablets (200 MG)</v>
      </c>
      <c r="D1646" s="31">
        <v>50</v>
      </c>
      <c r="E1646" s="29" t="s">
        <v>404</v>
      </c>
      <c r="F1646" s="29" t="str">
        <f>LOOKUP(A1646,'QALS - Inspection Lot Record'!A:A,'QALS - Inspection Lot Record'!G:G)</f>
        <v>YA284176</v>
      </c>
      <c r="G1646" s="59">
        <f ca="1">LOOKUP(A1646,'QALS - Inspection Lot Record'!A:A,'QALS - Inspection Lot Record'!E:E)</f>
        <v>45972</v>
      </c>
      <c r="H1646" s="34" t="str">
        <f t="shared" si="130"/>
        <v>A</v>
      </c>
      <c r="I1646" s="29" t="str">
        <f t="shared" si="126"/>
        <v>YA284176</v>
      </c>
      <c r="J1646" s="59">
        <f t="shared" ca="1" si="127"/>
        <v>45972</v>
      </c>
      <c r="K1646" s="30">
        <f ca="1">LOOKUP(A1646,'QALS - Inspection Lot Record'!A:A,'QALS - Inspection Lot Record'!I:I)</f>
        <v>5.0960648148148151E-2</v>
      </c>
      <c r="L1646" s="59">
        <f t="shared" ca="1" si="128"/>
        <v>45972</v>
      </c>
      <c r="M1646" s="30">
        <f t="shared" ca="1" si="129"/>
        <v>7.2071759259259266E-2</v>
      </c>
      <c r="N1646" s="31"/>
      <c r="O1646" s="31">
        <v>50</v>
      </c>
      <c r="P1646" s="29">
        <v>40</v>
      </c>
      <c r="Q1646" s="29">
        <v>60</v>
      </c>
    </row>
    <row r="1647" spans="1:17" x14ac:dyDescent="0.35">
      <c r="A1647" s="26">
        <v>40000002706</v>
      </c>
      <c r="B1647" s="31">
        <v>1</v>
      </c>
      <c r="C1647" s="29" t="str">
        <f>LOOKUP(A1647,'QALS - Inspection Lot Record'!$A$2:$A$361,'QALS - Inspection Lot Record'!$O$2:$O$361)</f>
        <v>Metformin Tablets (200 MG)</v>
      </c>
      <c r="D1647" s="31">
        <v>60</v>
      </c>
      <c r="E1647" s="29" t="s">
        <v>405</v>
      </c>
      <c r="F1647" s="29" t="str">
        <f>LOOKUP(A1647,'QALS - Inspection Lot Record'!A:A,'QALS - Inspection Lot Record'!G:G)</f>
        <v>YA284176</v>
      </c>
      <c r="G1647" s="59">
        <f ca="1">LOOKUP(A1647,'QALS - Inspection Lot Record'!A:A,'QALS - Inspection Lot Record'!E:E)</f>
        <v>45972</v>
      </c>
      <c r="H1647" s="34" t="str">
        <f t="shared" si="130"/>
        <v>A</v>
      </c>
      <c r="I1647" s="29" t="str">
        <f t="shared" si="126"/>
        <v>YA284176</v>
      </c>
      <c r="J1647" s="59">
        <f t="shared" ca="1" si="127"/>
        <v>45972</v>
      </c>
      <c r="K1647" s="30">
        <f ca="1">LOOKUP(A1647,'QALS - Inspection Lot Record'!A:A,'QALS - Inspection Lot Record'!I:I)</f>
        <v>5.0960648148148151E-2</v>
      </c>
      <c r="L1647" s="59">
        <f t="shared" ca="1" si="128"/>
        <v>45972</v>
      </c>
      <c r="M1647" s="30">
        <f t="shared" ca="1" si="129"/>
        <v>8.3715277777777777E-2</v>
      </c>
      <c r="N1647" s="31"/>
      <c r="O1647" s="31">
        <v>77.5</v>
      </c>
      <c r="P1647" s="29">
        <v>70</v>
      </c>
      <c r="Q1647" s="29">
        <v>85</v>
      </c>
    </row>
    <row r="1648" spans="1:17" x14ac:dyDescent="0.35">
      <c r="A1648" s="26">
        <v>40000002706</v>
      </c>
      <c r="B1648" s="31">
        <v>1</v>
      </c>
      <c r="C1648" s="29" t="str">
        <f>LOOKUP(A1648,'QALS - Inspection Lot Record'!$A$2:$A$361,'QALS - Inspection Lot Record'!$O$2:$O$361)</f>
        <v>Metformin Tablets (200 MG)</v>
      </c>
      <c r="D1648" s="31">
        <v>70</v>
      </c>
      <c r="E1648" s="29" t="s">
        <v>406</v>
      </c>
      <c r="F1648" s="29" t="str">
        <f>LOOKUP(A1648,'QALS - Inspection Lot Record'!A:A,'QALS - Inspection Lot Record'!G:G)</f>
        <v>YA284176</v>
      </c>
      <c r="G1648" s="59">
        <f ca="1">LOOKUP(A1648,'QALS - Inspection Lot Record'!A:A,'QALS - Inspection Lot Record'!E:E)</f>
        <v>45972</v>
      </c>
      <c r="H1648" s="34" t="str">
        <f t="shared" si="130"/>
        <v>A</v>
      </c>
      <c r="I1648" s="29" t="str">
        <f t="shared" si="126"/>
        <v>YA284176</v>
      </c>
      <c r="J1648" s="59">
        <f t="shared" ca="1" si="127"/>
        <v>45972</v>
      </c>
      <c r="K1648" s="30">
        <f ca="1">LOOKUP(A1648,'QALS - Inspection Lot Record'!A:A,'QALS - Inspection Lot Record'!I:I)</f>
        <v>5.0960648148148151E-2</v>
      </c>
      <c r="L1648" s="59">
        <f t="shared" ca="1" si="128"/>
        <v>45972</v>
      </c>
      <c r="M1648" s="30">
        <f t="shared" ca="1" si="129"/>
        <v>7.0520833333333338E-2</v>
      </c>
      <c r="N1648" s="31"/>
      <c r="O1648" s="31">
        <v>85</v>
      </c>
      <c r="P1648" s="29">
        <v>80</v>
      </c>
      <c r="Q1648" s="29">
        <v>90</v>
      </c>
    </row>
    <row r="1649" spans="1:17" x14ac:dyDescent="0.35">
      <c r="A1649" s="26">
        <v>40000002706</v>
      </c>
      <c r="B1649" s="31">
        <v>1</v>
      </c>
      <c r="C1649" s="29" t="str">
        <f>LOOKUP(A1649,'QALS - Inspection Lot Record'!$A$2:$A$361,'QALS - Inspection Lot Record'!$O$2:$O$361)</f>
        <v>Metformin Tablets (200 MG)</v>
      </c>
      <c r="D1649" s="31">
        <v>80</v>
      </c>
      <c r="E1649" s="29" t="s">
        <v>407</v>
      </c>
      <c r="F1649" s="29" t="str">
        <f>LOOKUP(A1649,'QALS - Inspection Lot Record'!A:A,'QALS - Inspection Lot Record'!G:G)</f>
        <v>YA284176</v>
      </c>
      <c r="G1649" s="59">
        <f ca="1">LOOKUP(A1649,'QALS - Inspection Lot Record'!A:A,'QALS - Inspection Lot Record'!E:E)</f>
        <v>45972</v>
      </c>
      <c r="H1649" s="34" t="str">
        <f t="shared" si="130"/>
        <v>R</v>
      </c>
      <c r="I1649" s="29" t="str">
        <f t="shared" si="126"/>
        <v>YA284176</v>
      </c>
      <c r="J1649" s="59">
        <f t="shared" ca="1" si="127"/>
        <v>45972</v>
      </c>
      <c r="K1649" s="30">
        <f ca="1">LOOKUP(A1649,'QALS - Inspection Lot Record'!A:A,'QALS - Inspection Lot Record'!I:I)</f>
        <v>5.0960648148148151E-2</v>
      </c>
      <c r="L1649" s="59">
        <f t="shared" ca="1" si="128"/>
        <v>45972</v>
      </c>
      <c r="M1649" s="30">
        <f t="shared" ca="1" si="129"/>
        <v>7.2511574074074076E-2</v>
      </c>
      <c r="N1649" s="31"/>
      <c r="O1649" s="31">
        <v>21.2</v>
      </c>
      <c r="P1649" s="29">
        <v>23</v>
      </c>
      <c r="Q1649" s="29">
        <v>28</v>
      </c>
    </row>
    <row r="1650" spans="1:17" x14ac:dyDescent="0.35">
      <c r="A1650" s="26">
        <v>40000002707</v>
      </c>
      <c r="B1650" s="27">
        <v>1</v>
      </c>
      <c r="C1650" s="29" t="str">
        <f>LOOKUP(A1650,'QALS - Inspection Lot Record'!$A$2:$A$361,'QALS - Inspection Lot Record'!$O$2:$O$361)</f>
        <v>Ibuprofen Tablets (100 MG)</v>
      </c>
      <c r="D1650" s="27">
        <v>10</v>
      </c>
      <c r="E1650" s="26" t="s">
        <v>399</v>
      </c>
      <c r="F1650" s="29" t="str">
        <f>LOOKUP(A1650,'QALS - Inspection Lot Record'!A:A,'QALS - Inspection Lot Record'!G:G)</f>
        <v>ZK384180</v>
      </c>
      <c r="G1650" s="59">
        <f ca="1">LOOKUP(A1650,'QALS - Inspection Lot Record'!A:A,'QALS - Inspection Lot Record'!E:E)</f>
        <v>45973</v>
      </c>
      <c r="H1650" s="34" t="str">
        <f t="shared" si="130"/>
        <v>A</v>
      </c>
      <c r="I1650" s="29" t="str">
        <f t="shared" si="126"/>
        <v>ZK384180</v>
      </c>
      <c r="J1650" s="59">
        <f t="shared" ca="1" si="127"/>
        <v>45973</v>
      </c>
      <c r="K1650" s="30">
        <f ca="1">LOOKUP(A1650,'QALS - Inspection Lot Record'!A:A,'QALS - Inspection Lot Record'!I:I)</f>
        <v>0.70250000000000001</v>
      </c>
      <c r="L1650" s="59">
        <f t="shared" ca="1" si="128"/>
        <v>45973</v>
      </c>
      <c r="M1650" s="30">
        <f t="shared" ca="1" si="129"/>
        <v>0.7297569444444445</v>
      </c>
      <c r="N1650" s="31"/>
      <c r="O1650" s="31">
        <v>98.5</v>
      </c>
      <c r="P1650" s="29">
        <v>95</v>
      </c>
      <c r="Q1650" s="29">
        <v>102</v>
      </c>
    </row>
    <row r="1651" spans="1:17" x14ac:dyDescent="0.35">
      <c r="A1651" s="26">
        <v>40000002707</v>
      </c>
      <c r="B1651" s="27">
        <v>1</v>
      </c>
      <c r="C1651" s="29" t="str">
        <f>LOOKUP(A1651,'QALS - Inspection Lot Record'!$A$2:$A$361,'QALS - Inspection Lot Record'!$O$2:$O$361)</f>
        <v>Ibuprofen Tablets (100 MG)</v>
      </c>
      <c r="D1651" s="31">
        <v>20</v>
      </c>
      <c r="E1651" s="29" t="s">
        <v>400</v>
      </c>
      <c r="F1651" s="29" t="str">
        <f>LOOKUP(A1651,'QALS - Inspection Lot Record'!A:A,'QALS - Inspection Lot Record'!G:G)</f>
        <v>ZK384180</v>
      </c>
      <c r="G1651" s="59">
        <f ca="1">LOOKUP(A1651,'QALS - Inspection Lot Record'!A:A,'QALS - Inspection Lot Record'!E:E)</f>
        <v>45973</v>
      </c>
      <c r="H1651" s="34" t="str">
        <f t="shared" si="130"/>
        <v>A</v>
      </c>
      <c r="I1651" s="29" t="str">
        <f t="shared" si="126"/>
        <v>ZK384180</v>
      </c>
      <c r="J1651" s="59">
        <f t="shared" ca="1" si="127"/>
        <v>45973</v>
      </c>
      <c r="K1651" s="30">
        <f ca="1">LOOKUP(A1651,'QALS - Inspection Lot Record'!A:A,'QALS - Inspection Lot Record'!I:I)</f>
        <v>0.70250000000000001</v>
      </c>
      <c r="L1651" s="59">
        <f t="shared" ca="1" si="128"/>
        <v>45973</v>
      </c>
      <c r="M1651" s="30">
        <f t="shared" ca="1" si="129"/>
        <v>0.73706018518518523</v>
      </c>
      <c r="N1651" s="31"/>
      <c r="O1651" s="31">
        <v>7.3</v>
      </c>
      <c r="P1651" s="29">
        <v>3.5</v>
      </c>
      <c r="Q1651" s="29">
        <v>11</v>
      </c>
    </row>
    <row r="1652" spans="1:17" x14ac:dyDescent="0.35">
      <c r="A1652" s="26">
        <v>40000002707</v>
      </c>
      <c r="B1652" s="31">
        <v>1</v>
      </c>
      <c r="C1652" s="29" t="str">
        <f>LOOKUP(A1652,'QALS - Inspection Lot Record'!$A$2:$A$361,'QALS - Inspection Lot Record'!$O$2:$O$361)</f>
        <v>Ibuprofen Tablets (100 MG)</v>
      </c>
      <c r="D1652" s="31">
        <v>30</v>
      </c>
      <c r="E1652" s="29" t="s">
        <v>401</v>
      </c>
      <c r="F1652" s="29" t="str">
        <f>LOOKUP(A1652,'QALS - Inspection Lot Record'!A:A,'QALS - Inspection Lot Record'!G:G)</f>
        <v>ZK384180</v>
      </c>
      <c r="G1652" s="59">
        <f ca="1">LOOKUP(A1652,'QALS - Inspection Lot Record'!A:A,'QALS - Inspection Lot Record'!E:E)</f>
        <v>45973</v>
      </c>
      <c r="H1652" s="34" t="str">
        <f t="shared" si="130"/>
        <v>A</v>
      </c>
      <c r="I1652" s="29" t="str">
        <f t="shared" si="126"/>
        <v>ZK384180</v>
      </c>
      <c r="J1652" s="59">
        <f t="shared" ca="1" si="127"/>
        <v>45973</v>
      </c>
      <c r="K1652" s="30">
        <f ca="1">LOOKUP(A1652,'QALS - Inspection Lot Record'!A:A,'QALS - Inspection Lot Record'!I:I)</f>
        <v>0.70250000000000001</v>
      </c>
      <c r="L1652" s="59">
        <f t="shared" ca="1" si="128"/>
        <v>45973</v>
      </c>
      <c r="M1652" s="30">
        <f t="shared" ca="1" si="129"/>
        <v>0.73728009259259264</v>
      </c>
      <c r="N1652" s="11" t="s">
        <v>402</v>
      </c>
      <c r="O1652" s="31"/>
      <c r="P1652" s="29"/>
      <c r="Q1652" s="29"/>
    </row>
    <row r="1653" spans="1:17" x14ac:dyDescent="0.35">
      <c r="A1653" s="26">
        <v>40000002707</v>
      </c>
      <c r="B1653" s="31">
        <v>1</v>
      </c>
      <c r="C1653" s="29" t="str">
        <f>LOOKUP(A1653,'QALS - Inspection Lot Record'!$A$2:$A$361,'QALS - Inspection Lot Record'!$O$2:$O$361)</f>
        <v>Ibuprofen Tablets (100 MG)</v>
      </c>
      <c r="D1653" s="31">
        <v>40</v>
      </c>
      <c r="E1653" s="29" t="s">
        <v>403</v>
      </c>
      <c r="F1653" s="29" t="str">
        <f>LOOKUP(A1653,'QALS - Inspection Lot Record'!A:A,'QALS - Inspection Lot Record'!G:G)</f>
        <v>ZK384180</v>
      </c>
      <c r="G1653" s="59">
        <f ca="1">LOOKUP(A1653,'QALS - Inspection Lot Record'!A:A,'QALS - Inspection Lot Record'!E:E)</f>
        <v>45973</v>
      </c>
      <c r="H1653" s="34" t="str">
        <f t="shared" si="130"/>
        <v>A</v>
      </c>
      <c r="I1653" s="29" t="str">
        <f t="shared" si="126"/>
        <v>ZK384180</v>
      </c>
      <c r="J1653" s="59">
        <f t="shared" ca="1" si="127"/>
        <v>45973</v>
      </c>
      <c r="K1653" s="30">
        <f ca="1">LOOKUP(A1653,'QALS - Inspection Lot Record'!A:A,'QALS - Inspection Lot Record'!I:I)</f>
        <v>0.70250000000000001</v>
      </c>
      <c r="L1653" s="59">
        <f t="shared" ca="1" si="128"/>
        <v>45973</v>
      </c>
      <c r="M1653" s="30">
        <f t="shared" ca="1" si="129"/>
        <v>0.73499999999999999</v>
      </c>
      <c r="N1653" s="31"/>
      <c r="O1653" s="31">
        <v>0.5</v>
      </c>
      <c r="P1653" s="29">
        <v>0</v>
      </c>
      <c r="Q1653" s="29">
        <v>1</v>
      </c>
    </row>
    <row r="1654" spans="1:17" x14ac:dyDescent="0.35">
      <c r="A1654" s="26">
        <v>40000002707</v>
      </c>
      <c r="B1654" s="31">
        <v>1</v>
      </c>
      <c r="C1654" s="29" t="str">
        <f>LOOKUP(A1654,'QALS - Inspection Lot Record'!$A$2:$A$361,'QALS - Inspection Lot Record'!$O$2:$O$361)</f>
        <v>Ibuprofen Tablets (100 MG)</v>
      </c>
      <c r="D1654" s="31">
        <v>50</v>
      </c>
      <c r="E1654" s="29" t="s">
        <v>404</v>
      </c>
      <c r="F1654" s="29" t="str">
        <f>LOOKUP(A1654,'QALS - Inspection Lot Record'!A:A,'QALS - Inspection Lot Record'!G:G)</f>
        <v>ZK384180</v>
      </c>
      <c r="G1654" s="59">
        <f ca="1">LOOKUP(A1654,'QALS - Inspection Lot Record'!A:A,'QALS - Inspection Lot Record'!E:E)</f>
        <v>45973</v>
      </c>
      <c r="H1654" s="34" t="str">
        <f t="shared" si="130"/>
        <v>A</v>
      </c>
      <c r="I1654" s="29" t="str">
        <f t="shared" si="126"/>
        <v>ZK384180</v>
      </c>
      <c r="J1654" s="59">
        <f t="shared" ca="1" si="127"/>
        <v>45973</v>
      </c>
      <c r="K1654" s="30">
        <f ca="1">LOOKUP(A1654,'QALS - Inspection Lot Record'!A:A,'QALS - Inspection Lot Record'!I:I)</f>
        <v>0.70250000000000001</v>
      </c>
      <c r="L1654" s="59">
        <f t="shared" ca="1" si="128"/>
        <v>45973</v>
      </c>
      <c r="M1654" s="30">
        <f t="shared" ca="1" si="129"/>
        <v>0.72062499999999996</v>
      </c>
      <c r="N1654" s="31"/>
      <c r="O1654" s="31">
        <v>50</v>
      </c>
      <c r="P1654" s="29">
        <v>40</v>
      </c>
      <c r="Q1654" s="29">
        <v>60</v>
      </c>
    </row>
    <row r="1655" spans="1:17" x14ac:dyDescent="0.35">
      <c r="A1655" s="26">
        <v>40000002707</v>
      </c>
      <c r="B1655" s="31">
        <v>1</v>
      </c>
      <c r="C1655" s="29" t="str">
        <f>LOOKUP(A1655,'QALS - Inspection Lot Record'!$A$2:$A$361,'QALS - Inspection Lot Record'!$O$2:$O$361)</f>
        <v>Ibuprofen Tablets (100 MG)</v>
      </c>
      <c r="D1655" s="31">
        <v>60</v>
      </c>
      <c r="E1655" s="29" t="s">
        <v>405</v>
      </c>
      <c r="F1655" s="29" t="str">
        <f>LOOKUP(A1655,'QALS - Inspection Lot Record'!A:A,'QALS - Inspection Lot Record'!G:G)</f>
        <v>ZK384180</v>
      </c>
      <c r="G1655" s="59">
        <f ca="1">LOOKUP(A1655,'QALS - Inspection Lot Record'!A:A,'QALS - Inspection Lot Record'!E:E)</f>
        <v>45973</v>
      </c>
      <c r="H1655" s="34" t="str">
        <f t="shared" si="130"/>
        <v>A</v>
      </c>
      <c r="I1655" s="29" t="str">
        <f t="shared" si="126"/>
        <v>ZK384180</v>
      </c>
      <c r="J1655" s="59">
        <f t="shared" ca="1" si="127"/>
        <v>45973</v>
      </c>
      <c r="K1655" s="30">
        <f ca="1">LOOKUP(A1655,'QALS - Inspection Lot Record'!A:A,'QALS - Inspection Lot Record'!I:I)</f>
        <v>0.70250000000000001</v>
      </c>
      <c r="L1655" s="59">
        <f t="shared" ca="1" si="128"/>
        <v>45973</v>
      </c>
      <c r="M1655" s="30">
        <f t="shared" ca="1" si="129"/>
        <v>0.72482638888888895</v>
      </c>
      <c r="N1655" s="31"/>
      <c r="O1655" s="31">
        <v>71.7</v>
      </c>
      <c r="P1655" s="29">
        <v>70</v>
      </c>
      <c r="Q1655" s="29">
        <v>85</v>
      </c>
    </row>
    <row r="1656" spans="1:17" x14ac:dyDescent="0.35">
      <c r="A1656" s="26">
        <v>40000002707</v>
      </c>
      <c r="B1656" s="31">
        <v>1</v>
      </c>
      <c r="C1656" s="29" t="str">
        <f>LOOKUP(A1656,'QALS - Inspection Lot Record'!$A$2:$A$361,'QALS - Inspection Lot Record'!$O$2:$O$361)</f>
        <v>Ibuprofen Tablets (100 MG)</v>
      </c>
      <c r="D1656" s="31">
        <v>70</v>
      </c>
      <c r="E1656" s="29" t="s">
        <v>406</v>
      </c>
      <c r="F1656" s="29" t="str">
        <f>LOOKUP(A1656,'QALS - Inspection Lot Record'!A:A,'QALS - Inspection Lot Record'!G:G)</f>
        <v>ZK384180</v>
      </c>
      <c r="G1656" s="59">
        <f ca="1">LOOKUP(A1656,'QALS - Inspection Lot Record'!A:A,'QALS - Inspection Lot Record'!E:E)</f>
        <v>45973</v>
      </c>
      <c r="H1656" s="34" t="str">
        <f t="shared" si="130"/>
        <v>A</v>
      </c>
      <c r="I1656" s="29" t="str">
        <f t="shared" si="126"/>
        <v>ZK384180</v>
      </c>
      <c r="J1656" s="59">
        <f t="shared" ca="1" si="127"/>
        <v>45973</v>
      </c>
      <c r="K1656" s="30">
        <f ca="1">LOOKUP(A1656,'QALS - Inspection Lot Record'!A:A,'QALS - Inspection Lot Record'!I:I)</f>
        <v>0.70250000000000001</v>
      </c>
      <c r="L1656" s="59">
        <f t="shared" ca="1" si="128"/>
        <v>45973</v>
      </c>
      <c r="M1656" s="30">
        <f t="shared" ca="1" si="129"/>
        <v>0.7254976851851852</v>
      </c>
      <c r="N1656" s="31"/>
      <c r="O1656" s="31">
        <v>81.7</v>
      </c>
      <c r="P1656" s="29">
        <v>80</v>
      </c>
      <c r="Q1656" s="29">
        <v>90</v>
      </c>
    </row>
    <row r="1657" spans="1:17" x14ac:dyDescent="0.35">
      <c r="A1657" s="26">
        <v>40000002707</v>
      </c>
      <c r="B1657" s="31">
        <v>1</v>
      </c>
      <c r="C1657" s="29" t="str">
        <f>LOOKUP(A1657,'QALS - Inspection Lot Record'!$A$2:$A$361,'QALS - Inspection Lot Record'!$O$2:$O$361)</f>
        <v>Ibuprofen Tablets (100 MG)</v>
      </c>
      <c r="D1657" s="31">
        <v>80</v>
      </c>
      <c r="E1657" s="29" t="s">
        <v>407</v>
      </c>
      <c r="F1657" s="29" t="str">
        <f>LOOKUP(A1657,'QALS - Inspection Lot Record'!A:A,'QALS - Inspection Lot Record'!G:G)</f>
        <v>ZK384180</v>
      </c>
      <c r="G1657" s="59">
        <f ca="1">LOOKUP(A1657,'QALS - Inspection Lot Record'!A:A,'QALS - Inspection Lot Record'!E:E)</f>
        <v>45973</v>
      </c>
      <c r="H1657" s="34" t="str">
        <f t="shared" si="130"/>
        <v>A</v>
      </c>
      <c r="I1657" s="29" t="str">
        <f t="shared" si="126"/>
        <v>ZK384180</v>
      </c>
      <c r="J1657" s="59">
        <f t="shared" ca="1" si="127"/>
        <v>45973</v>
      </c>
      <c r="K1657" s="30">
        <f ca="1">LOOKUP(A1657,'QALS - Inspection Lot Record'!A:A,'QALS - Inspection Lot Record'!I:I)</f>
        <v>0.70250000000000001</v>
      </c>
      <c r="L1657" s="59">
        <f t="shared" ca="1" si="128"/>
        <v>45973</v>
      </c>
      <c r="M1657" s="30">
        <f t="shared" ca="1" si="129"/>
        <v>0.73410879629629633</v>
      </c>
      <c r="N1657" s="31"/>
      <c r="O1657" s="31">
        <v>24</v>
      </c>
      <c r="P1657" s="29">
        <v>23</v>
      </c>
      <c r="Q1657" s="29">
        <v>25</v>
      </c>
    </row>
    <row r="1658" spans="1:17" x14ac:dyDescent="0.35">
      <c r="A1658" s="26">
        <v>40000002708</v>
      </c>
      <c r="B1658" s="27">
        <v>1</v>
      </c>
      <c r="C1658" s="29" t="str">
        <f>LOOKUP(A1658,'QALS - Inspection Lot Record'!$A$2:$A$361,'QALS - Inspection Lot Record'!$O$2:$O$361)</f>
        <v>Aspirin Tablets (500 MG)</v>
      </c>
      <c r="D1658" s="27">
        <v>10</v>
      </c>
      <c r="E1658" s="26" t="s">
        <v>399</v>
      </c>
      <c r="F1658" s="29" t="str">
        <f>LOOKUP(A1658,'QALS - Inspection Lot Record'!A:A,'QALS - Inspection Lot Record'!G:G)</f>
        <v>TG509538</v>
      </c>
      <c r="G1658" s="59">
        <f ca="1">LOOKUP(A1658,'QALS - Inspection Lot Record'!A:A,'QALS - Inspection Lot Record'!E:E)</f>
        <v>45973</v>
      </c>
      <c r="H1658" s="34" t="str">
        <f t="shared" si="130"/>
        <v>A</v>
      </c>
      <c r="I1658" s="29" t="str">
        <f t="shared" si="126"/>
        <v>TG509538</v>
      </c>
      <c r="J1658" s="59">
        <f t="shared" ca="1" si="127"/>
        <v>45973</v>
      </c>
      <c r="K1658" s="30">
        <f ca="1">LOOKUP(A1658,'QALS - Inspection Lot Record'!A:A,'QALS - Inspection Lot Record'!I:I)</f>
        <v>0.14348379629629629</v>
      </c>
      <c r="L1658" s="59">
        <f t="shared" ca="1" si="128"/>
        <v>45973</v>
      </c>
      <c r="M1658" s="30">
        <f t="shared" ca="1" si="129"/>
        <v>0.17015046296296296</v>
      </c>
      <c r="N1658" s="31"/>
      <c r="O1658" s="31">
        <v>100</v>
      </c>
      <c r="P1658" s="29">
        <v>95</v>
      </c>
      <c r="Q1658" s="29">
        <v>105</v>
      </c>
    </row>
    <row r="1659" spans="1:17" x14ac:dyDescent="0.35">
      <c r="A1659" s="26">
        <v>40000002708</v>
      </c>
      <c r="B1659" s="27">
        <v>1</v>
      </c>
      <c r="C1659" s="29" t="str">
        <f>LOOKUP(A1659,'QALS - Inspection Lot Record'!$A$2:$A$361,'QALS - Inspection Lot Record'!$O$2:$O$361)</f>
        <v>Aspirin Tablets (500 MG)</v>
      </c>
      <c r="D1659" s="31">
        <v>20</v>
      </c>
      <c r="E1659" s="29" t="s">
        <v>400</v>
      </c>
      <c r="F1659" s="29" t="str">
        <f>LOOKUP(A1659,'QALS - Inspection Lot Record'!A:A,'QALS - Inspection Lot Record'!G:G)</f>
        <v>TG509538</v>
      </c>
      <c r="G1659" s="59">
        <f ca="1">LOOKUP(A1659,'QALS - Inspection Lot Record'!A:A,'QALS - Inspection Lot Record'!E:E)</f>
        <v>45973</v>
      </c>
      <c r="H1659" s="34" t="str">
        <f t="shared" si="130"/>
        <v>A</v>
      </c>
      <c r="I1659" s="29" t="str">
        <f t="shared" si="126"/>
        <v>TG509538</v>
      </c>
      <c r="J1659" s="59">
        <f t="shared" ca="1" si="127"/>
        <v>45973</v>
      </c>
      <c r="K1659" s="30">
        <f ca="1">LOOKUP(A1659,'QALS - Inspection Lot Record'!A:A,'QALS - Inspection Lot Record'!I:I)</f>
        <v>0.14348379629629629</v>
      </c>
      <c r="L1659" s="59">
        <f t="shared" ca="1" si="128"/>
        <v>45973</v>
      </c>
      <c r="M1659" s="30">
        <f t="shared" ca="1" si="129"/>
        <v>0.16175925925925924</v>
      </c>
      <c r="N1659" s="31"/>
      <c r="O1659" s="31">
        <v>7.3</v>
      </c>
      <c r="P1659" s="29">
        <v>3.5</v>
      </c>
      <c r="Q1659" s="29">
        <v>11</v>
      </c>
    </row>
    <row r="1660" spans="1:17" x14ac:dyDescent="0.35">
      <c r="A1660" s="26">
        <v>40000002708</v>
      </c>
      <c r="B1660" s="31">
        <v>1</v>
      </c>
      <c r="C1660" s="29" t="str">
        <f>LOOKUP(A1660,'QALS - Inspection Lot Record'!$A$2:$A$361,'QALS - Inspection Lot Record'!$O$2:$O$361)</f>
        <v>Aspirin Tablets (500 MG)</v>
      </c>
      <c r="D1660" s="31">
        <v>30</v>
      </c>
      <c r="E1660" s="29" t="s">
        <v>401</v>
      </c>
      <c r="F1660" s="29" t="str">
        <f>LOOKUP(A1660,'QALS - Inspection Lot Record'!A:A,'QALS - Inspection Lot Record'!G:G)</f>
        <v>TG509538</v>
      </c>
      <c r="G1660" s="59">
        <f ca="1">LOOKUP(A1660,'QALS - Inspection Lot Record'!A:A,'QALS - Inspection Lot Record'!E:E)</f>
        <v>45973</v>
      </c>
      <c r="H1660" s="34" t="str">
        <f t="shared" si="130"/>
        <v>A</v>
      </c>
      <c r="I1660" s="29" t="str">
        <f t="shared" si="126"/>
        <v>TG509538</v>
      </c>
      <c r="J1660" s="59">
        <f t="shared" ca="1" si="127"/>
        <v>45973</v>
      </c>
      <c r="K1660" s="30">
        <f ca="1">LOOKUP(A1660,'QALS - Inspection Lot Record'!A:A,'QALS - Inspection Lot Record'!I:I)</f>
        <v>0.14348379629629629</v>
      </c>
      <c r="L1660" s="59">
        <f t="shared" ca="1" si="128"/>
        <v>45973</v>
      </c>
      <c r="M1660" s="30">
        <f t="shared" ca="1" si="129"/>
        <v>0.17452546296296295</v>
      </c>
      <c r="N1660" s="11" t="s">
        <v>402</v>
      </c>
      <c r="O1660" s="31"/>
      <c r="P1660" s="29"/>
      <c r="Q1660" s="29"/>
    </row>
    <row r="1661" spans="1:17" x14ac:dyDescent="0.35">
      <c r="A1661" s="26">
        <v>40000002708</v>
      </c>
      <c r="B1661" s="31">
        <v>1</v>
      </c>
      <c r="C1661" s="29" t="str">
        <f>LOOKUP(A1661,'QALS - Inspection Lot Record'!$A$2:$A$361,'QALS - Inspection Lot Record'!$O$2:$O$361)</f>
        <v>Aspirin Tablets (500 MG)</v>
      </c>
      <c r="D1661" s="31">
        <v>40</v>
      </c>
      <c r="E1661" s="29" t="s">
        <v>403</v>
      </c>
      <c r="F1661" s="29" t="str">
        <f>LOOKUP(A1661,'QALS - Inspection Lot Record'!A:A,'QALS - Inspection Lot Record'!G:G)</f>
        <v>TG509538</v>
      </c>
      <c r="G1661" s="59">
        <f ca="1">LOOKUP(A1661,'QALS - Inspection Lot Record'!A:A,'QALS - Inspection Lot Record'!E:E)</f>
        <v>45973</v>
      </c>
      <c r="H1661" s="34" t="str">
        <f t="shared" si="130"/>
        <v>A</v>
      </c>
      <c r="I1661" s="29" t="str">
        <f t="shared" si="126"/>
        <v>TG509538</v>
      </c>
      <c r="J1661" s="59">
        <f t="shared" ca="1" si="127"/>
        <v>45973</v>
      </c>
      <c r="K1661" s="30">
        <f ca="1">LOOKUP(A1661,'QALS - Inspection Lot Record'!A:A,'QALS - Inspection Lot Record'!I:I)</f>
        <v>0.14348379629629629</v>
      </c>
      <c r="L1661" s="59">
        <f t="shared" ca="1" si="128"/>
        <v>45973</v>
      </c>
      <c r="M1661" s="30">
        <f t="shared" ca="1" si="129"/>
        <v>0.1759375</v>
      </c>
      <c r="N1661" s="31"/>
      <c r="O1661" s="31">
        <v>1.8</v>
      </c>
      <c r="P1661" s="29">
        <v>0</v>
      </c>
      <c r="Q1661" s="29">
        <v>2.5</v>
      </c>
    </row>
    <row r="1662" spans="1:17" x14ac:dyDescent="0.35">
      <c r="A1662" s="26">
        <v>40000002708</v>
      </c>
      <c r="B1662" s="31">
        <v>1</v>
      </c>
      <c r="C1662" s="29" t="str">
        <f>LOOKUP(A1662,'QALS - Inspection Lot Record'!$A$2:$A$361,'QALS - Inspection Lot Record'!$O$2:$O$361)</f>
        <v>Aspirin Tablets (500 MG)</v>
      </c>
      <c r="D1662" s="31">
        <v>50</v>
      </c>
      <c r="E1662" s="29" t="s">
        <v>404</v>
      </c>
      <c r="F1662" s="29" t="str">
        <f>LOOKUP(A1662,'QALS - Inspection Lot Record'!A:A,'QALS - Inspection Lot Record'!G:G)</f>
        <v>TG509538</v>
      </c>
      <c r="G1662" s="59">
        <f ca="1">LOOKUP(A1662,'QALS - Inspection Lot Record'!A:A,'QALS - Inspection Lot Record'!E:E)</f>
        <v>45973</v>
      </c>
      <c r="H1662" s="34" t="str">
        <f t="shared" si="130"/>
        <v>A</v>
      </c>
      <c r="I1662" s="29" t="str">
        <f t="shared" si="126"/>
        <v>TG509538</v>
      </c>
      <c r="J1662" s="59">
        <f t="shared" ca="1" si="127"/>
        <v>45973</v>
      </c>
      <c r="K1662" s="30">
        <f ca="1">LOOKUP(A1662,'QALS - Inspection Lot Record'!A:A,'QALS - Inspection Lot Record'!I:I)</f>
        <v>0.14348379629629629</v>
      </c>
      <c r="L1662" s="59">
        <f t="shared" ca="1" si="128"/>
        <v>45973</v>
      </c>
      <c r="M1662" s="30">
        <f t="shared" ca="1" si="129"/>
        <v>0.17608796296296295</v>
      </c>
      <c r="N1662" s="31"/>
      <c r="O1662" s="31">
        <v>41.3</v>
      </c>
      <c r="P1662" s="29">
        <v>40</v>
      </c>
      <c r="Q1662" s="29">
        <v>60</v>
      </c>
    </row>
    <row r="1663" spans="1:17" x14ac:dyDescent="0.35">
      <c r="A1663" s="26">
        <v>40000002708</v>
      </c>
      <c r="B1663" s="31">
        <v>1</v>
      </c>
      <c r="C1663" s="29" t="str">
        <f>LOOKUP(A1663,'QALS - Inspection Lot Record'!$A$2:$A$361,'QALS - Inspection Lot Record'!$O$2:$O$361)</f>
        <v>Aspirin Tablets (500 MG)</v>
      </c>
      <c r="D1663" s="31">
        <v>60</v>
      </c>
      <c r="E1663" s="29" t="s">
        <v>405</v>
      </c>
      <c r="F1663" s="29" t="str">
        <f>LOOKUP(A1663,'QALS - Inspection Lot Record'!A:A,'QALS - Inspection Lot Record'!G:G)</f>
        <v>TG509538</v>
      </c>
      <c r="G1663" s="59">
        <f ca="1">LOOKUP(A1663,'QALS - Inspection Lot Record'!A:A,'QALS - Inspection Lot Record'!E:E)</f>
        <v>45973</v>
      </c>
      <c r="H1663" s="34" t="str">
        <f t="shared" si="130"/>
        <v>A</v>
      </c>
      <c r="I1663" s="29" t="str">
        <f t="shared" si="126"/>
        <v>TG509538</v>
      </c>
      <c r="J1663" s="59">
        <f t="shared" ca="1" si="127"/>
        <v>45973</v>
      </c>
      <c r="K1663" s="30">
        <f ca="1">LOOKUP(A1663,'QALS - Inspection Lot Record'!A:A,'QALS - Inspection Lot Record'!I:I)</f>
        <v>0.14348379629629629</v>
      </c>
      <c r="L1663" s="59">
        <f t="shared" ca="1" si="128"/>
        <v>45973</v>
      </c>
      <c r="M1663" s="30">
        <f t="shared" ca="1" si="129"/>
        <v>0.16988425925925926</v>
      </c>
      <c r="N1663" s="31"/>
      <c r="O1663" s="31">
        <v>71.400000000000006</v>
      </c>
      <c r="P1663" s="29">
        <v>70</v>
      </c>
      <c r="Q1663" s="29">
        <v>85</v>
      </c>
    </row>
    <row r="1664" spans="1:17" x14ac:dyDescent="0.35">
      <c r="A1664" s="26">
        <v>40000002708</v>
      </c>
      <c r="B1664" s="31">
        <v>1</v>
      </c>
      <c r="C1664" s="29" t="str">
        <f>LOOKUP(A1664,'QALS - Inspection Lot Record'!$A$2:$A$361,'QALS - Inspection Lot Record'!$O$2:$O$361)</f>
        <v>Aspirin Tablets (500 MG)</v>
      </c>
      <c r="D1664" s="31">
        <v>70</v>
      </c>
      <c r="E1664" s="29" t="s">
        <v>406</v>
      </c>
      <c r="F1664" s="29" t="str">
        <f>LOOKUP(A1664,'QALS - Inspection Lot Record'!A:A,'QALS - Inspection Lot Record'!G:G)</f>
        <v>TG509538</v>
      </c>
      <c r="G1664" s="59">
        <f ca="1">LOOKUP(A1664,'QALS - Inspection Lot Record'!A:A,'QALS - Inspection Lot Record'!E:E)</f>
        <v>45973</v>
      </c>
      <c r="H1664" s="34" t="str">
        <f t="shared" si="130"/>
        <v>A</v>
      </c>
      <c r="I1664" s="29" t="str">
        <f t="shared" si="126"/>
        <v>TG509538</v>
      </c>
      <c r="J1664" s="59">
        <f t="shared" ca="1" si="127"/>
        <v>45973</v>
      </c>
      <c r="K1664" s="30">
        <f ca="1">LOOKUP(A1664,'QALS - Inspection Lot Record'!A:A,'QALS - Inspection Lot Record'!I:I)</f>
        <v>0.14348379629629629</v>
      </c>
      <c r="L1664" s="59">
        <f t="shared" ca="1" si="128"/>
        <v>45973</v>
      </c>
      <c r="M1664" s="30">
        <f t="shared" ca="1" si="129"/>
        <v>0.17085648148148147</v>
      </c>
      <c r="N1664" s="31"/>
      <c r="O1664" s="31">
        <v>81.2</v>
      </c>
      <c r="P1664" s="29">
        <v>80</v>
      </c>
      <c r="Q1664" s="29">
        <v>90</v>
      </c>
    </row>
    <row r="1665" spans="1:17" x14ac:dyDescent="0.35">
      <c r="A1665" s="26">
        <v>40000002708</v>
      </c>
      <c r="B1665" s="31">
        <v>1</v>
      </c>
      <c r="C1665" s="29" t="str">
        <f>LOOKUP(A1665,'QALS - Inspection Lot Record'!$A$2:$A$361,'QALS - Inspection Lot Record'!$O$2:$O$361)</f>
        <v>Aspirin Tablets (500 MG)</v>
      </c>
      <c r="D1665" s="31">
        <v>80</v>
      </c>
      <c r="E1665" s="29" t="s">
        <v>407</v>
      </c>
      <c r="F1665" s="29" t="str">
        <f>LOOKUP(A1665,'QALS - Inspection Lot Record'!A:A,'QALS - Inspection Lot Record'!G:G)</f>
        <v>TG509538</v>
      </c>
      <c r="G1665" s="59">
        <f ca="1">LOOKUP(A1665,'QALS - Inspection Lot Record'!A:A,'QALS - Inspection Lot Record'!E:E)</f>
        <v>45973</v>
      </c>
      <c r="H1665" s="34" t="str">
        <f t="shared" si="130"/>
        <v>A</v>
      </c>
      <c r="I1665" s="29" t="str">
        <f t="shared" si="126"/>
        <v>TG509538</v>
      </c>
      <c r="J1665" s="59">
        <f t="shared" ca="1" si="127"/>
        <v>45973</v>
      </c>
      <c r="K1665" s="30">
        <f ca="1">LOOKUP(A1665,'QALS - Inspection Lot Record'!A:A,'QALS - Inspection Lot Record'!I:I)</f>
        <v>0.14348379629629629</v>
      </c>
      <c r="L1665" s="59">
        <f t="shared" ca="1" si="128"/>
        <v>45973</v>
      </c>
      <c r="M1665" s="30">
        <f t="shared" ca="1" si="129"/>
        <v>0.1610648148148148</v>
      </c>
      <c r="N1665" s="31"/>
      <c r="O1665" s="31">
        <v>25.5</v>
      </c>
      <c r="P1665" s="29">
        <v>23</v>
      </c>
      <c r="Q1665" s="29">
        <v>28</v>
      </c>
    </row>
    <row r="1666" spans="1:17" x14ac:dyDescent="0.35">
      <c r="A1666" s="26">
        <v>40000002709</v>
      </c>
      <c r="B1666" s="27">
        <v>1</v>
      </c>
      <c r="C1666" s="29" t="str">
        <f>LOOKUP(A1666,'QALS - Inspection Lot Record'!$A$2:$A$361,'QALS - Inspection Lot Record'!$O$2:$O$361)</f>
        <v>Metformin Tablets (100 MG)</v>
      </c>
      <c r="D1666" s="27">
        <v>10</v>
      </c>
      <c r="E1666" s="26" t="s">
        <v>399</v>
      </c>
      <c r="F1666" s="29" t="str">
        <f>LOOKUP(A1666,'QALS - Inspection Lot Record'!A:A,'QALS - Inspection Lot Record'!G:G)</f>
        <v>AB406550</v>
      </c>
      <c r="G1666" s="59">
        <f ca="1">LOOKUP(A1666,'QALS - Inspection Lot Record'!A:A,'QALS - Inspection Lot Record'!E:E)</f>
        <v>45974</v>
      </c>
      <c r="H1666" s="34" t="str">
        <f t="shared" si="130"/>
        <v>A</v>
      </c>
      <c r="I1666" s="29" t="str">
        <f t="shared" ref="I1666:I1729" si="131">F1666</f>
        <v>AB406550</v>
      </c>
      <c r="J1666" s="59">
        <f t="shared" ref="J1666:J1729" ca="1" si="132">G1666</f>
        <v>45974</v>
      </c>
      <c r="K1666" s="30">
        <f ca="1">LOOKUP(A1666,'QALS - Inspection Lot Record'!A:A,'QALS - Inspection Lot Record'!I:I)</f>
        <v>0.77430555555555558</v>
      </c>
      <c r="L1666" s="59">
        <f t="shared" ref="L1666:L1729" ca="1" si="133">G1666</f>
        <v>45974</v>
      </c>
      <c r="M1666" s="30">
        <f t="shared" ref="M1666:M1729" ca="1" si="134">K1666+TIME(0,RANDBETWEEN(25,50),RANDBETWEEN(0,59))</f>
        <v>0.79203703703703709</v>
      </c>
      <c r="N1666" s="31"/>
      <c r="O1666" s="31">
        <v>98.5</v>
      </c>
      <c r="P1666" s="29">
        <v>95</v>
      </c>
      <c r="Q1666" s="29">
        <v>102</v>
      </c>
    </row>
    <row r="1667" spans="1:17" x14ac:dyDescent="0.35">
      <c r="A1667" s="26">
        <v>40000002709</v>
      </c>
      <c r="B1667" s="27">
        <v>1</v>
      </c>
      <c r="C1667" s="29" t="str">
        <f>LOOKUP(A1667,'QALS - Inspection Lot Record'!$A$2:$A$361,'QALS - Inspection Lot Record'!$O$2:$O$361)</f>
        <v>Metformin Tablets (100 MG)</v>
      </c>
      <c r="D1667" s="31">
        <v>20</v>
      </c>
      <c r="E1667" s="29" t="s">
        <v>400</v>
      </c>
      <c r="F1667" s="29" t="str">
        <f>LOOKUP(A1667,'QALS - Inspection Lot Record'!A:A,'QALS - Inspection Lot Record'!G:G)</f>
        <v>AB406550</v>
      </c>
      <c r="G1667" s="59">
        <f ca="1">LOOKUP(A1667,'QALS - Inspection Lot Record'!A:A,'QALS - Inspection Lot Record'!E:E)</f>
        <v>45974</v>
      </c>
      <c r="H1667" s="34" t="str">
        <f t="shared" si="130"/>
        <v>R</v>
      </c>
      <c r="I1667" s="29" t="str">
        <f t="shared" si="131"/>
        <v>AB406550</v>
      </c>
      <c r="J1667" s="59">
        <f t="shared" ca="1" si="132"/>
        <v>45974</v>
      </c>
      <c r="K1667" s="30">
        <f ca="1">LOOKUP(A1667,'QALS - Inspection Lot Record'!A:A,'QALS - Inspection Lot Record'!I:I)</f>
        <v>0.77430555555555558</v>
      </c>
      <c r="L1667" s="59">
        <f t="shared" ca="1" si="133"/>
        <v>45974</v>
      </c>
      <c r="M1667" s="30">
        <f t="shared" ca="1" si="134"/>
        <v>0.79249999999999998</v>
      </c>
      <c r="N1667" s="31"/>
      <c r="O1667" s="31">
        <v>2.4</v>
      </c>
      <c r="P1667" s="29">
        <v>3.5</v>
      </c>
      <c r="Q1667" s="29">
        <v>11</v>
      </c>
    </row>
    <row r="1668" spans="1:17" x14ac:dyDescent="0.35">
      <c r="A1668" s="26">
        <v>40000002709</v>
      </c>
      <c r="B1668" s="31">
        <v>1</v>
      </c>
      <c r="C1668" s="29" t="str">
        <f>LOOKUP(A1668,'QALS - Inspection Lot Record'!$A$2:$A$361,'QALS - Inspection Lot Record'!$O$2:$O$361)</f>
        <v>Metformin Tablets (100 MG)</v>
      </c>
      <c r="D1668" s="31">
        <v>30</v>
      </c>
      <c r="E1668" s="29" t="s">
        <v>401</v>
      </c>
      <c r="F1668" s="29" t="str">
        <f>LOOKUP(A1668,'QALS - Inspection Lot Record'!A:A,'QALS - Inspection Lot Record'!G:G)</f>
        <v>AB406550</v>
      </c>
      <c r="G1668" s="59">
        <f ca="1">LOOKUP(A1668,'QALS - Inspection Lot Record'!A:A,'QALS - Inspection Lot Record'!E:E)</f>
        <v>45974</v>
      </c>
      <c r="H1668" s="34" t="str">
        <f t="shared" si="130"/>
        <v>A</v>
      </c>
      <c r="I1668" s="29" t="str">
        <f t="shared" si="131"/>
        <v>AB406550</v>
      </c>
      <c r="J1668" s="59">
        <f t="shared" ca="1" si="132"/>
        <v>45974</v>
      </c>
      <c r="K1668" s="30">
        <f ca="1">LOOKUP(A1668,'QALS - Inspection Lot Record'!A:A,'QALS - Inspection Lot Record'!I:I)</f>
        <v>0.77430555555555558</v>
      </c>
      <c r="L1668" s="59">
        <f t="shared" ca="1" si="133"/>
        <v>45974</v>
      </c>
      <c r="M1668" s="30">
        <f t="shared" ca="1" si="134"/>
        <v>0.80290509259259257</v>
      </c>
      <c r="N1668" s="11" t="s">
        <v>402</v>
      </c>
      <c r="O1668" s="31"/>
      <c r="P1668" s="29"/>
      <c r="Q1668" s="29"/>
    </row>
    <row r="1669" spans="1:17" x14ac:dyDescent="0.35">
      <c r="A1669" s="26">
        <v>40000002709</v>
      </c>
      <c r="B1669" s="31">
        <v>1</v>
      </c>
      <c r="C1669" s="29" t="str">
        <f>LOOKUP(A1669,'QALS - Inspection Lot Record'!$A$2:$A$361,'QALS - Inspection Lot Record'!$O$2:$O$361)</f>
        <v>Metformin Tablets (100 MG)</v>
      </c>
      <c r="D1669" s="31">
        <v>40</v>
      </c>
      <c r="E1669" s="29" t="s">
        <v>403</v>
      </c>
      <c r="F1669" s="29" t="str">
        <f>LOOKUP(A1669,'QALS - Inspection Lot Record'!A:A,'QALS - Inspection Lot Record'!G:G)</f>
        <v>AB406550</v>
      </c>
      <c r="G1669" s="59">
        <f ca="1">LOOKUP(A1669,'QALS - Inspection Lot Record'!A:A,'QALS - Inspection Lot Record'!E:E)</f>
        <v>45974</v>
      </c>
      <c r="H1669" s="34" t="str">
        <f t="shared" si="130"/>
        <v>A</v>
      </c>
      <c r="I1669" s="29" t="str">
        <f t="shared" si="131"/>
        <v>AB406550</v>
      </c>
      <c r="J1669" s="59">
        <f t="shared" ca="1" si="132"/>
        <v>45974</v>
      </c>
      <c r="K1669" s="30">
        <f ca="1">LOOKUP(A1669,'QALS - Inspection Lot Record'!A:A,'QALS - Inspection Lot Record'!I:I)</f>
        <v>0.77430555555555558</v>
      </c>
      <c r="L1669" s="59">
        <f t="shared" ca="1" si="133"/>
        <v>45974</v>
      </c>
      <c r="M1669" s="30">
        <f t="shared" ca="1" si="134"/>
        <v>0.79576388888888894</v>
      </c>
      <c r="N1669" s="31"/>
      <c r="O1669" s="31">
        <v>0</v>
      </c>
      <c r="P1669" s="29">
        <v>0</v>
      </c>
      <c r="Q1669" s="29">
        <v>1</v>
      </c>
    </row>
    <row r="1670" spans="1:17" x14ac:dyDescent="0.35">
      <c r="A1670" s="26">
        <v>40000002709</v>
      </c>
      <c r="B1670" s="31">
        <v>1</v>
      </c>
      <c r="C1670" s="29" t="str">
        <f>LOOKUP(A1670,'QALS - Inspection Lot Record'!$A$2:$A$361,'QALS - Inspection Lot Record'!$O$2:$O$361)</f>
        <v>Metformin Tablets (100 MG)</v>
      </c>
      <c r="D1670" s="31">
        <v>50</v>
      </c>
      <c r="E1670" s="29" t="s">
        <v>404</v>
      </c>
      <c r="F1670" s="29" t="str">
        <f>LOOKUP(A1670,'QALS - Inspection Lot Record'!A:A,'QALS - Inspection Lot Record'!G:G)</f>
        <v>AB406550</v>
      </c>
      <c r="G1670" s="59">
        <f ca="1">LOOKUP(A1670,'QALS - Inspection Lot Record'!A:A,'QALS - Inspection Lot Record'!E:E)</f>
        <v>45974</v>
      </c>
      <c r="H1670" s="34" t="str">
        <f t="shared" si="130"/>
        <v>A</v>
      </c>
      <c r="I1670" s="29" t="str">
        <f t="shared" si="131"/>
        <v>AB406550</v>
      </c>
      <c r="J1670" s="59">
        <f t="shared" ca="1" si="132"/>
        <v>45974</v>
      </c>
      <c r="K1670" s="30">
        <f ca="1">LOOKUP(A1670,'QALS - Inspection Lot Record'!A:A,'QALS - Inspection Lot Record'!I:I)</f>
        <v>0.77430555555555558</v>
      </c>
      <c r="L1670" s="59">
        <f t="shared" ca="1" si="133"/>
        <v>45974</v>
      </c>
      <c r="M1670" s="30">
        <f t="shared" ca="1" si="134"/>
        <v>0.80458333333333332</v>
      </c>
      <c r="N1670" s="31"/>
      <c r="O1670" s="31">
        <v>50</v>
      </c>
      <c r="P1670" s="29">
        <v>40</v>
      </c>
      <c r="Q1670" s="29">
        <v>60</v>
      </c>
    </row>
    <row r="1671" spans="1:17" x14ac:dyDescent="0.35">
      <c r="A1671" s="26">
        <v>40000002709</v>
      </c>
      <c r="B1671" s="31">
        <v>1</v>
      </c>
      <c r="C1671" s="29" t="str">
        <f>LOOKUP(A1671,'QALS - Inspection Lot Record'!$A$2:$A$361,'QALS - Inspection Lot Record'!$O$2:$O$361)</f>
        <v>Metformin Tablets (100 MG)</v>
      </c>
      <c r="D1671" s="31">
        <v>60</v>
      </c>
      <c r="E1671" s="29" t="s">
        <v>405</v>
      </c>
      <c r="F1671" s="29" t="str">
        <f>LOOKUP(A1671,'QALS - Inspection Lot Record'!A:A,'QALS - Inspection Lot Record'!G:G)</f>
        <v>AB406550</v>
      </c>
      <c r="G1671" s="59">
        <f ca="1">LOOKUP(A1671,'QALS - Inspection Lot Record'!A:A,'QALS - Inspection Lot Record'!E:E)</f>
        <v>45974</v>
      </c>
      <c r="H1671" s="34" t="str">
        <f t="shared" si="130"/>
        <v>A</v>
      </c>
      <c r="I1671" s="29" t="str">
        <f t="shared" si="131"/>
        <v>AB406550</v>
      </c>
      <c r="J1671" s="59">
        <f t="shared" ca="1" si="132"/>
        <v>45974</v>
      </c>
      <c r="K1671" s="30">
        <f ca="1">LOOKUP(A1671,'QALS - Inspection Lot Record'!A:A,'QALS - Inspection Lot Record'!I:I)</f>
        <v>0.77430555555555558</v>
      </c>
      <c r="L1671" s="59">
        <f t="shared" ca="1" si="133"/>
        <v>45974</v>
      </c>
      <c r="M1671" s="30">
        <f t="shared" ca="1" si="134"/>
        <v>0.79578703703703701</v>
      </c>
      <c r="N1671" s="31"/>
      <c r="O1671" s="31">
        <v>77.5</v>
      </c>
      <c r="P1671" s="29">
        <v>70</v>
      </c>
      <c r="Q1671" s="29">
        <v>85</v>
      </c>
    </row>
    <row r="1672" spans="1:17" x14ac:dyDescent="0.35">
      <c r="A1672" s="26">
        <v>40000002709</v>
      </c>
      <c r="B1672" s="31">
        <v>1</v>
      </c>
      <c r="C1672" s="29" t="str">
        <f>LOOKUP(A1672,'QALS - Inspection Lot Record'!$A$2:$A$361,'QALS - Inspection Lot Record'!$O$2:$O$361)</f>
        <v>Metformin Tablets (100 MG)</v>
      </c>
      <c r="D1672" s="31">
        <v>70</v>
      </c>
      <c r="E1672" s="29" t="s">
        <v>406</v>
      </c>
      <c r="F1672" s="29" t="str">
        <f>LOOKUP(A1672,'QALS - Inspection Lot Record'!A:A,'QALS - Inspection Lot Record'!G:G)</f>
        <v>AB406550</v>
      </c>
      <c r="G1672" s="59">
        <f ca="1">LOOKUP(A1672,'QALS - Inspection Lot Record'!A:A,'QALS - Inspection Lot Record'!E:E)</f>
        <v>45974</v>
      </c>
      <c r="H1672" s="34" t="str">
        <f t="shared" si="130"/>
        <v>R</v>
      </c>
      <c r="I1672" s="29" t="str">
        <f t="shared" si="131"/>
        <v>AB406550</v>
      </c>
      <c r="J1672" s="59">
        <f t="shared" ca="1" si="132"/>
        <v>45974</v>
      </c>
      <c r="K1672" s="30">
        <f ca="1">LOOKUP(A1672,'QALS - Inspection Lot Record'!A:A,'QALS - Inspection Lot Record'!I:I)</f>
        <v>0.77430555555555558</v>
      </c>
      <c r="L1672" s="59">
        <f t="shared" ca="1" si="133"/>
        <v>45974</v>
      </c>
      <c r="M1672" s="30">
        <f t="shared" ca="1" si="134"/>
        <v>0.80934027777777784</v>
      </c>
      <c r="N1672" s="31"/>
      <c r="O1672" s="31">
        <v>78.5</v>
      </c>
      <c r="P1672" s="29">
        <v>80</v>
      </c>
      <c r="Q1672" s="29">
        <v>90</v>
      </c>
    </row>
    <row r="1673" spans="1:17" x14ac:dyDescent="0.35">
      <c r="A1673" s="26">
        <v>40000002709</v>
      </c>
      <c r="B1673" s="31">
        <v>1</v>
      </c>
      <c r="C1673" s="29" t="str">
        <f>LOOKUP(A1673,'QALS - Inspection Lot Record'!$A$2:$A$361,'QALS - Inspection Lot Record'!$O$2:$O$361)</f>
        <v>Metformin Tablets (100 MG)</v>
      </c>
      <c r="D1673" s="31">
        <v>80</v>
      </c>
      <c r="E1673" s="29" t="s">
        <v>407</v>
      </c>
      <c r="F1673" s="29" t="str">
        <f>LOOKUP(A1673,'QALS - Inspection Lot Record'!A:A,'QALS - Inspection Lot Record'!G:G)</f>
        <v>AB406550</v>
      </c>
      <c r="G1673" s="59">
        <f ca="1">LOOKUP(A1673,'QALS - Inspection Lot Record'!A:A,'QALS - Inspection Lot Record'!E:E)</f>
        <v>45974</v>
      </c>
      <c r="H1673" s="34" t="str">
        <f t="shared" si="130"/>
        <v>A</v>
      </c>
      <c r="I1673" s="29" t="str">
        <f t="shared" si="131"/>
        <v>AB406550</v>
      </c>
      <c r="J1673" s="59">
        <f t="shared" ca="1" si="132"/>
        <v>45974</v>
      </c>
      <c r="K1673" s="30">
        <f ca="1">LOOKUP(A1673,'QALS - Inspection Lot Record'!A:A,'QALS - Inspection Lot Record'!I:I)</f>
        <v>0.77430555555555558</v>
      </c>
      <c r="L1673" s="59">
        <f t="shared" ca="1" si="133"/>
        <v>45974</v>
      </c>
      <c r="M1673" s="30">
        <f t="shared" ca="1" si="134"/>
        <v>0.80116898148148152</v>
      </c>
      <c r="N1673" s="31"/>
      <c r="O1673" s="31">
        <v>24</v>
      </c>
      <c r="P1673" s="29">
        <v>23</v>
      </c>
      <c r="Q1673" s="29">
        <v>25</v>
      </c>
    </row>
    <row r="1674" spans="1:17" x14ac:dyDescent="0.35">
      <c r="A1674" s="26">
        <v>40000002710</v>
      </c>
      <c r="B1674" s="27">
        <v>1</v>
      </c>
      <c r="C1674" s="29" t="str">
        <f>LOOKUP(A1674,'QALS - Inspection Lot Record'!$A$2:$A$361,'QALS - Inspection Lot Record'!$O$2:$O$361)</f>
        <v>Ibuprofen Tablets (100 MG)</v>
      </c>
      <c r="D1674" s="27">
        <v>10</v>
      </c>
      <c r="E1674" s="26" t="s">
        <v>399</v>
      </c>
      <c r="F1674" s="29" t="str">
        <f>LOOKUP(A1674,'QALS - Inspection Lot Record'!A:A,'QALS - Inspection Lot Record'!G:G)</f>
        <v>TG509538</v>
      </c>
      <c r="G1674" s="59">
        <f ca="1">LOOKUP(A1674,'QALS - Inspection Lot Record'!A:A,'QALS - Inspection Lot Record'!E:E)</f>
        <v>45974</v>
      </c>
      <c r="H1674" s="34" t="str">
        <f t="shared" ref="H1674:H1737" si="135">IF(AND(P1674&lt;=O1674,O1674&lt;=Q1674),"A","R")</f>
        <v>R</v>
      </c>
      <c r="I1674" s="29" t="str">
        <f t="shared" si="131"/>
        <v>TG509538</v>
      </c>
      <c r="J1674" s="59">
        <f t="shared" ca="1" si="132"/>
        <v>45974</v>
      </c>
      <c r="K1674" s="30">
        <f ca="1">LOOKUP(A1674,'QALS - Inspection Lot Record'!A:A,'QALS - Inspection Lot Record'!I:I)</f>
        <v>0.20518518518518519</v>
      </c>
      <c r="L1674" s="59">
        <f t="shared" ca="1" si="133"/>
        <v>45974</v>
      </c>
      <c r="M1674" s="30">
        <f t="shared" ca="1" si="134"/>
        <v>0.23583333333333334</v>
      </c>
      <c r="N1674" s="31"/>
      <c r="O1674" s="31">
        <v>93.1</v>
      </c>
      <c r="P1674" s="29">
        <v>95</v>
      </c>
      <c r="Q1674" s="29">
        <v>102</v>
      </c>
    </row>
    <row r="1675" spans="1:17" x14ac:dyDescent="0.35">
      <c r="A1675" s="26">
        <v>40000002710</v>
      </c>
      <c r="B1675" s="27">
        <v>1</v>
      </c>
      <c r="C1675" s="29" t="str">
        <f>LOOKUP(A1675,'QALS - Inspection Lot Record'!$A$2:$A$361,'QALS - Inspection Lot Record'!$O$2:$O$361)</f>
        <v>Ibuprofen Tablets (100 MG)</v>
      </c>
      <c r="D1675" s="31">
        <v>20</v>
      </c>
      <c r="E1675" s="29" t="s">
        <v>400</v>
      </c>
      <c r="F1675" s="29" t="str">
        <f>LOOKUP(A1675,'QALS - Inspection Lot Record'!A:A,'QALS - Inspection Lot Record'!G:G)</f>
        <v>TG509538</v>
      </c>
      <c r="G1675" s="59">
        <f ca="1">LOOKUP(A1675,'QALS - Inspection Lot Record'!A:A,'QALS - Inspection Lot Record'!E:E)</f>
        <v>45974</v>
      </c>
      <c r="H1675" s="34" t="str">
        <f t="shared" si="135"/>
        <v>A</v>
      </c>
      <c r="I1675" s="29" t="str">
        <f t="shared" si="131"/>
        <v>TG509538</v>
      </c>
      <c r="J1675" s="59">
        <f t="shared" ca="1" si="132"/>
        <v>45974</v>
      </c>
      <c r="K1675" s="30">
        <f ca="1">LOOKUP(A1675,'QALS - Inspection Lot Record'!A:A,'QALS - Inspection Lot Record'!I:I)</f>
        <v>0.20518518518518519</v>
      </c>
      <c r="L1675" s="59">
        <f t="shared" ca="1" si="133"/>
        <v>45974</v>
      </c>
      <c r="M1675" s="30">
        <f t="shared" ca="1" si="134"/>
        <v>0.23969907407407409</v>
      </c>
      <c r="N1675" s="31"/>
      <c r="O1675" s="31">
        <v>7.25</v>
      </c>
      <c r="P1675" s="29">
        <v>3.5</v>
      </c>
      <c r="Q1675" s="29">
        <v>11</v>
      </c>
    </row>
    <row r="1676" spans="1:17" x14ac:dyDescent="0.35">
      <c r="A1676" s="26">
        <v>40000002710</v>
      </c>
      <c r="B1676" s="31">
        <v>1</v>
      </c>
      <c r="C1676" s="29" t="str">
        <f>LOOKUP(A1676,'QALS - Inspection Lot Record'!$A$2:$A$361,'QALS - Inspection Lot Record'!$O$2:$O$361)</f>
        <v>Ibuprofen Tablets (100 MG)</v>
      </c>
      <c r="D1676" s="31">
        <v>30</v>
      </c>
      <c r="E1676" s="29" t="s">
        <v>401</v>
      </c>
      <c r="F1676" s="29" t="str">
        <f>LOOKUP(A1676,'QALS - Inspection Lot Record'!A:A,'QALS - Inspection Lot Record'!G:G)</f>
        <v>TG509538</v>
      </c>
      <c r="G1676" s="59">
        <f ca="1">LOOKUP(A1676,'QALS - Inspection Lot Record'!A:A,'QALS - Inspection Lot Record'!E:E)</f>
        <v>45974</v>
      </c>
      <c r="H1676" s="34" t="str">
        <f t="shared" si="135"/>
        <v>A</v>
      </c>
      <c r="I1676" s="29" t="str">
        <f t="shared" si="131"/>
        <v>TG509538</v>
      </c>
      <c r="J1676" s="59">
        <f t="shared" ca="1" si="132"/>
        <v>45974</v>
      </c>
      <c r="K1676" s="30">
        <f ca="1">LOOKUP(A1676,'QALS - Inspection Lot Record'!A:A,'QALS - Inspection Lot Record'!I:I)</f>
        <v>0.20518518518518519</v>
      </c>
      <c r="L1676" s="59">
        <f t="shared" ca="1" si="133"/>
        <v>45974</v>
      </c>
      <c r="M1676" s="30">
        <f t="shared" ca="1" si="134"/>
        <v>0.23368055555555556</v>
      </c>
      <c r="N1676" s="11" t="s">
        <v>402</v>
      </c>
      <c r="O1676" s="31"/>
      <c r="P1676" s="29"/>
      <c r="Q1676" s="29"/>
    </row>
    <row r="1677" spans="1:17" x14ac:dyDescent="0.35">
      <c r="A1677" s="26">
        <v>40000002710</v>
      </c>
      <c r="B1677" s="31">
        <v>1</v>
      </c>
      <c r="C1677" s="29" t="str">
        <f>LOOKUP(A1677,'QALS - Inspection Lot Record'!$A$2:$A$361,'QALS - Inspection Lot Record'!$O$2:$O$361)</f>
        <v>Ibuprofen Tablets (100 MG)</v>
      </c>
      <c r="D1677" s="31">
        <v>40</v>
      </c>
      <c r="E1677" s="29" t="s">
        <v>403</v>
      </c>
      <c r="F1677" s="29" t="str">
        <f>LOOKUP(A1677,'QALS - Inspection Lot Record'!A:A,'QALS - Inspection Lot Record'!G:G)</f>
        <v>TG509538</v>
      </c>
      <c r="G1677" s="59">
        <f ca="1">LOOKUP(A1677,'QALS - Inspection Lot Record'!A:A,'QALS - Inspection Lot Record'!E:E)</f>
        <v>45974</v>
      </c>
      <c r="H1677" s="34" t="str">
        <f t="shared" si="135"/>
        <v>A</v>
      </c>
      <c r="I1677" s="29" t="str">
        <f t="shared" si="131"/>
        <v>TG509538</v>
      </c>
      <c r="J1677" s="59">
        <f t="shared" ca="1" si="132"/>
        <v>45974</v>
      </c>
      <c r="K1677" s="30">
        <f ca="1">LOOKUP(A1677,'QALS - Inspection Lot Record'!A:A,'QALS - Inspection Lot Record'!I:I)</f>
        <v>0.20518518518518519</v>
      </c>
      <c r="L1677" s="59">
        <f t="shared" ca="1" si="133"/>
        <v>45974</v>
      </c>
      <c r="M1677" s="30">
        <f t="shared" ca="1" si="134"/>
        <v>0.23709490740740741</v>
      </c>
      <c r="N1677" s="31"/>
      <c r="O1677" s="31">
        <v>0</v>
      </c>
      <c r="P1677" s="29">
        <v>0</v>
      </c>
      <c r="Q1677" s="29">
        <v>1</v>
      </c>
    </row>
    <row r="1678" spans="1:17" x14ac:dyDescent="0.35">
      <c r="A1678" s="26">
        <v>40000002710</v>
      </c>
      <c r="B1678" s="31">
        <v>1</v>
      </c>
      <c r="C1678" s="29" t="str">
        <f>LOOKUP(A1678,'QALS - Inspection Lot Record'!$A$2:$A$361,'QALS - Inspection Lot Record'!$O$2:$O$361)</f>
        <v>Ibuprofen Tablets (100 MG)</v>
      </c>
      <c r="D1678" s="31">
        <v>50</v>
      </c>
      <c r="E1678" s="29" t="s">
        <v>404</v>
      </c>
      <c r="F1678" s="29" t="str">
        <f>LOOKUP(A1678,'QALS - Inspection Lot Record'!A:A,'QALS - Inspection Lot Record'!G:G)</f>
        <v>TG509538</v>
      </c>
      <c r="G1678" s="59">
        <f ca="1">LOOKUP(A1678,'QALS - Inspection Lot Record'!A:A,'QALS - Inspection Lot Record'!E:E)</f>
        <v>45974</v>
      </c>
      <c r="H1678" s="34" t="str">
        <f t="shared" si="135"/>
        <v>A</v>
      </c>
      <c r="I1678" s="29" t="str">
        <f t="shared" si="131"/>
        <v>TG509538</v>
      </c>
      <c r="J1678" s="59">
        <f t="shared" ca="1" si="132"/>
        <v>45974</v>
      </c>
      <c r="K1678" s="30">
        <f ca="1">LOOKUP(A1678,'QALS - Inspection Lot Record'!A:A,'QALS - Inspection Lot Record'!I:I)</f>
        <v>0.20518518518518519</v>
      </c>
      <c r="L1678" s="59">
        <f t="shared" ca="1" si="133"/>
        <v>45974</v>
      </c>
      <c r="M1678" s="30">
        <f t="shared" ca="1" si="134"/>
        <v>0.22834490740740743</v>
      </c>
      <c r="N1678" s="31"/>
      <c r="O1678" s="31">
        <v>50</v>
      </c>
      <c r="P1678" s="29">
        <v>40</v>
      </c>
      <c r="Q1678" s="29">
        <v>60</v>
      </c>
    </row>
    <row r="1679" spans="1:17" x14ac:dyDescent="0.35">
      <c r="A1679" s="26">
        <v>40000002710</v>
      </c>
      <c r="B1679" s="31">
        <v>1</v>
      </c>
      <c r="C1679" s="29" t="str">
        <f>LOOKUP(A1679,'QALS - Inspection Lot Record'!$A$2:$A$361,'QALS - Inspection Lot Record'!$O$2:$O$361)</f>
        <v>Ibuprofen Tablets (100 MG)</v>
      </c>
      <c r="D1679" s="31">
        <v>60</v>
      </c>
      <c r="E1679" s="29" t="s">
        <v>405</v>
      </c>
      <c r="F1679" s="29" t="str">
        <f>LOOKUP(A1679,'QALS - Inspection Lot Record'!A:A,'QALS - Inspection Lot Record'!G:G)</f>
        <v>TG509538</v>
      </c>
      <c r="G1679" s="59">
        <f ca="1">LOOKUP(A1679,'QALS - Inspection Lot Record'!A:A,'QALS - Inspection Lot Record'!E:E)</f>
        <v>45974</v>
      </c>
      <c r="H1679" s="34" t="str">
        <f t="shared" si="135"/>
        <v>A</v>
      </c>
      <c r="I1679" s="29" t="str">
        <f t="shared" si="131"/>
        <v>TG509538</v>
      </c>
      <c r="J1679" s="59">
        <f t="shared" ca="1" si="132"/>
        <v>45974</v>
      </c>
      <c r="K1679" s="30">
        <f ca="1">LOOKUP(A1679,'QALS - Inspection Lot Record'!A:A,'QALS - Inspection Lot Record'!I:I)</f>
        <v>0.20518518518518519</v>
      </c>
      <c r="L1679" s="59">
        <f t="shared" ca="1" si="133"/>
        <v>45974</v>
      </c>
      <c r="M1679" s="30">
        <f t="shared" ca="1" si="134"/>
        <v>0.22481481481481483</v>
      </c>
      <c r="N1679" s="31"/>
      <c r="O1679" s="31">
        <v>77.5</v>
      </c>
      <c r="P1679" s="29">
        <v>70</v>
      </c>
      <c r="Q1679" s="29">
        <v>85</v>
      </c>
    </row>
    <row r="1680" spans="1:17" x14ac:dyDescent="0.35">
      <c r="A1680" s="26">
        <v>40000002710</v>
      </c>
      <c r="B1680" s="31">
        <v>1</v>
      </c>
      <c r="C1680" s="29" t="str">
        <f>LOOKUP(A1680,'QALS - Inspection Lot Record'!$A$2:$A$361,'QALS - Inspection Lot Record'!$O$2:$O$361)</f>
        <v>Ibuprofen Tablets (100 MG)</v>
      </c>
      <c r="D1680" s="31">
        <v>70</v>
      </c>
      <c r="E1680" s="29" t="s">
        <v>406</v>
      </c>
      <c r="F1680" s="29" t="str">
        <f>LOOKUP(A1680,'QALS - Inspection Lot Record'!A:A,'QALS - Inspection Lot Record'!G:G)</f>
        <v>TG509538</v>
      </c>
      <c r="G1680" s="59">
        <f ca="1">LOOKUP(A1680,'QALS - Inspection Lot Record'!A:A,'QALS - Inspection Lot Record'!E:E)</f>
        <v>45974</v>
      </c>
      <c r="H1680" s="34" t="str">
        <f t="shared" si="135"/>
        <v>R</v>
      </c>
      <c r="I1680" s="29" t="str">
        <f t="shared" si="131"/>
        <v>TG509538</v>
      </c>
      <c r="J1680" s="59">
        <f t="shared" ca="1" si="132"/>
        <v>45974</v>
      </c>
      <c r="K1680" s="30">
        <f ca="1">LOOKUP(A1680,'QALS - Inspection Lot Record'!A:A,'QALS - Inspection Lot Record'!I:I)</f>
        <v>0.20518518518518519</v>
      </c>
      <c r="L1680" s="59">
        <f t="shared" ca="1" si="133"/>
        <v>45974</v>
      </c>
      <c r="M1680" s="30">
        <f t="shared" ca="1" si="134"/>
        <v>0.23916666666666667</v>
      </c>
      <c r="N1680" s="31"/>
      <c r="O1680" s="31">
        <v>78.099999999999994</v>
      </c>
      <c r="P1680" s="29">
        <v>80</v>
      </c>
      <c r="Q1680" s="29">
        <v>90</v>
      </c>
    </row>
    <row r="1681" spans="1:17" x14ac:dyDescent="0.35">
      <c r="A1681" s="26">
        <v>40000002710</v>
      </c>
      <c r="B1681" s="31">
        <v>1</v>
      </c>
      <c r="C1681" s="29" t="str">
        <f>LOOKUP(A1681,'QALS - Inspection Lot Record'!$A$2:$A$361,'QALS - Inspection Lot Record'!$O$2:$O$361)</f>
        <v>Ibuprofen Tablets (100 MG)</v>
      </c>
      <c r="D1681" s="31">
        <v>80</v>
      </c>
      <c r="E1681" s="29" t="s">
        <v>407</v>
      </c>
      <c r="F1681" s="29" t="str">
        <f>LOOKUP(A1681,'QALS - Inspection Lot Record'!A:A,'QALS - Inspection Lot Record'!G:G)</f>
        <v>TG509538</v>
      </c>
      <c r="G1681" s="59">
        <f ca="1">LOOKUP(A1681,'QALS - Inspection Lot Record'!A:A,'QALS - Inspection Lot Record'!E:E)</f>
        <v>45974</v>
      </c>
      <c r="H1681" s="34" t="str">
        <f t="shared" si="135"/>
        <v>A</v>
      </c>
      <c r="I1681" s="29" t="str">
        <f t="shared" si="131"/>
        <v>TG509538</v>
      </c>
      <c r="J1681" s="59">
        <f t="shared" ca="1" si="132"/>
        <v>45974</v>
      </c>
      <c r="K1681" s="30">
        <f ca="1">LOOKUP(A1681,'QALS - Inspection Lot Record'!A:A,'QALS - Inspection Lot Record'!I:I)</f>
        <v>0.20518518518518519</v>
      </c>
      <c r="L1681" s="59">
        <f t="shared" ca="1" si="133"/>
        <v>45974</v>
      </c>
      <c r="M1681" s="30">
        <f t="shared" ca="1" si="134"/>
        <v>0.23238425925925926</v>
      </c>
      <c r="N1681" s="31"/>
      <c r="O1681" s="31">
        <v>24</v>
      </c>
      <c r="P1681" s="29">
        <v>23</v>
      </c>
      <c r="Q1681" s="29">
        <v>25</v>
      </c>
    </row>
    <row r="1682" spans="1:17" x14ac:dyDescent="0.35">
      <c r="A1682" s="26">
        <v>40000002711</v>
      </c>
      <c r="B1682" s="27">
        <v>1</v>
      </c>
      <c r="C1682" s="29" t="str">
        <f>LOOKUP(A1682,'QALS - Inspection Lot Record'!$A$2:$A$361,'QALS - Inspection Lot Record'!$O$2:$O$361)</f>
        <v>Aspirin Tablets (500 MG)</v>
      </c>
      <c r="D1682" s="27">
        <v>10</v>
      </c>
      <c r="E1682" s="26" t="s">
        <v>399</v>
      </c>
      <c r="F1682" s="29" t="str">
        <f>LOOKUP(A1682,'QALS - Inspection Lot Record'!A:A,'QALS - Inspection Lot Record'!G:G)</f>
        <v>TP397880</v>
      </c>
      <c r="G1682" s="59">
        <f ca="1">LOOKUP(A1682,'QALS - Inspection Lot Record'!A:A,'QALS - Inspection Lot Record'!E:E)</f>
        <v>45975</v>
      </c>
      <c r="H1682" s="34" t="str">
        <f t="shared" si="135"/>
        <v>A</v>
      </c>
      <c r="I1682" s="29" t="str">
        <f t="shared" si="131"/>
        <v>TP397880</v>
      </c>
      <c r="J1682" s="59">
        <f t="shared" ca="1" si="132"/>
        <v>45975</v>
      </c>
      <c r="K1682" s="30">
        <f ca="1">LOOKUP(A1682,'QALS - Inspection Lot Record'!A:A,'QALS - Inspection Lot Record'!I:I)</f>
        <v>0.57307870370370373</v>
      </c>
      <c r="L1682" s="59">
        <f t="shared" ca="1" si="133"/>
        <v>45975</v>
      </c>
      <c r="M1682" s="30">
        <f t="shared" ca="1" si="134"/>
        <v>0.60467592592592601</v>
      </c>
      <c r="N1682" s="31"/>
      <c r="O1682" s="31">
        <v>100</v>
      </c>
      <c r="P1682" s="29">
        <v>95</v>
      </c>
      <c r="Q1682" s="29">
        <v>105</v>
      </c>
    </row>
    <row r="1683" spans="1:17" x14ac:dyDescent="0.35">
      <c r="A1683" s="26">
        <v>40000002711</v>
      </c>
      <c r="B1683" s="27">
        <v>1</v>
      </c>
      <c r="C1683" s="29" t="str">
        <f>LOOKUP(A1683,'QALS - Inspection Lot Record'!$A$2:$A$361,'QALS - Inspection Lot Record'!$O$2:$O$361)</f>
        <v>Aspirin Tablets (500 MG)</v>
      </c>
      <c r="D1683" s="31">
        <v>20</v>
      </c>
      <c r="E1683" s="29" t="s">
        <v>400</v>
      </c>
      <c r="F1683" s="29" t="str">
        <f>LOOKUP(A1683,'QALS - Inspection Lot Record'!A:A,'QALS - Inspection Lot Record'!G:G)</f>
        <v>TP397880</v>
      </c>
      <c r="G1683" s="59">
        <f ca="1">LOOKUP(A1683,'QALS - Inspection Lot Record'!A:A,'QALS - Inspection Lot Record'!E:E)</f>
        <v>45975</v>
      </c>
      <c r="H1683" s="34" t="str">
        <f t="shared" si="135"/>
        <v>A</v>
      </c>
      <c r="I1683" s="29" t="str">
        <f t="shared" si="131"/>
        <v>TP397880</v>
      </c>
      <c r="J1683" s="59">
        <f t="shared" ca="1" si="132"/>
        <v>45975</v>
      </c>
      <c r="K1683" s="30">
        <f ca="1">LOOKUP(A1683,'QALS - Inspection Lot Record'!A:A,'QALS - Inspection Lot Record'!I:I)</f>
        <v>0.57307870370370373</v>
      </c>
      <c r="L1683" s="59">
        <f t="shared" ca="1" si="133"/>
        <v>45975</v>
      </c>
      <c r="M1683" s="30">
        <f t="shared" ca="1" si="134"/>
        <v>0.59636574074074078</v>
      </c>
      <c r="N1683" s="31"/>
      <c r="O1683" s="31">
        <v>7.25</v>
      </c>
      <c r="P1683" s="29">
        <v>3.5</v>
      </c>
      <c r="Q1683" s="29">
        <v>11</v>
      </c>
    </row>
    <row r="1684" spans="1:17" x14ac:dyDescent="0.35">
      <c r="A1684" s="26">
        <v>40000002711</v>
      </c>
      <c r="B1684" s="31">
        <v>1</v>
      </c>
      <c r="C1684" s="29" t="str">
        <f>LOOKUP(A1684,'QALS - Inspection Lot Record'!$A$2:$A$361,'QALS - Inspection Lot Record'!$O$2:$O$361)</f>
        <v>Aspirin Tablets (500 MG)</v>
      </c>
      <c r="D1684" s="31">
        <v>30</v>
      </c>
      <c r="E1684" s="29" t="s">
        <v>401</v>
      </c>
      <c r="F1684" s="29" t="str">
        <f>LOOKUP(A1684,'QALS - Inspection Lot Record'!A:A,'QALS - Inspection Lot Record'!G:G)</f>
        <v>TP397880</v>
      </c>
      <c r="G1684" s="59">
        <f ca="1">LOOKUP(A1684,'QALS - Inspection Lot Record'!A:A,'QALS - Inspection Lot Record'!E:E)</f>
        <v>45975</v>
      </c>
      <c r="H1684" s="34" t="str">
        <f t="shared" si="135"/>
        <v>A</v>
      </c>
      <c r="I1684" s="29" t="str">
        <f t="shared" si="131"/>
        <v>TP397880</v>
      </c>
      <c r="J1684" s="59">
        <f t="shared" ca="1" si="132"/>
        <v>45975</v>
      </c>
      <c r="K1684" s="30">
        <f ca="1">LOOKUP(A1684,'QALS - Inspection Lot Record'!A:A,'QALS - Inspection Lot Record'!I:I)</f>
        <v>0.57307870370370373</v>
      </c>
      <c r="L1684" s="59">
        <f t="shared" ca="1" si="133"/>
        <v>45975</v>
      </c>
      <c r="M1684" s="30">
        <f t="shared" ca="1" si="134"/>
        <v>0.59840277777777784</v>
      </c>
      <c r="N1684" s="11" t="s">
        <v>402</v>
      </c>
      <c r="O1684" s="31"/>
      <c r="P1684" s="29"/>
      <c r="Q1684" s="29"/>
    </row>
    <row r="1685" spans="1:17" x14ac:dyDescent="0.35">
      <c r="A1685" s="26">
        <v>40000002711</v>
      </c>
      <c r="B1685" s="31">
        <v>1</v>
      </c>
      <c r="C1685" s="29" t="str">
        <f>LOOKUP(A1685,'QALS - Inspection Lot Record'!$A$2:$A$361,'QALS - Inspection Lot Record'!$O$2:$O$361)</f>
        <v>Aspirin Tablets (500 MG)</v>
      </c>
      <c r="D1685" s="31">
        <v>40</v>
      </c>
      <c r="E1685" s="29" t="s">
        <v>403</v>
      </c>
      <c r="F1685" s="29" t="str">
        <f>LOOKUP(A1685,'QALS - Inspection Lot Record'!A:A,'QALS - Inspection Lot Record'!G:G)</f>
        <v>TP397880</v>
      </c>
      <c r="G1685" s="59">
        <f ca="1">LOOKUP(A1685,'QALS - Inspection Lot Record'!A:A,'QALS - Inspection Lot Record'!E:E)</f>
        <v>45975</v>
      </c>
      <c r="H1685" s="34" t="str">
        <f t="shared" si="135"/>
        <v>A</v>
      </c>
      <c r="I1685" s="29" t="str">
        <f t="shared" si="131"/>
        <v>TP397880</v>
      </c>
      <c r="J1685" s="59">
        <f t="shared" ca="1" si="132"/>
        <v>45975</v>
      </c>
      <c r="K1685" s="30">
        <f ca="1">LOOKUP(A1685,'QALS - Inspection Lot Record'!A:A,'QALS - Inspection Lot Record'!I:I)</f>
        <v>0.57307870370370373</v>
      </c>
      <c r="L1685" s="59">
        <f t="shared" ca="1" si="133"/>
        <v>45975</v>
      </c>
      <c r="M1685" s="30">
        <f t="shared" ca="1" si="134"/>
        <v>0.60677083333333337</v>
      </c>
      <c r="N1685" s="31"/>
      <c r="O1685" s="31">
        <v>0</v>
      </c>
      <c r="P1685" s="29">
        <v>0</v>
      </c>
      <c r="Q1685" s="29">
        <v>2.5</v>
      </c>
    </row>
    <row r="1686" spans="1:17" x14ac:dyDescent="0.35">
      <c r="A1686" s="26">
        <v>40000002711</v>
      </c>
      <c r="B1686" s="31">
        <v>1</v>
      </c>
      <c r="C1686" s="29" t="str">
        <f>LOOKUP(A1686,'QALS - Inspection Lot Record'!$A$2:$A$361,'QALS - Inspection Lot Record'!$O$2:$O$361)</f>
        <v>Aspirin Tablets (500 MG)</v>
      </c>
      <c r="D1686" s="31">
        <v>50</v>
      </c>
      <c r="E1686" s="29" t="s">
        <v>404</v>
      </c>
      <c r="F1686" s="29" t="str">
        <f>LOOKUP(A1686,'QALS - Inspection Lot Record'!A:A,'QALS - Inspection Lot Record'!G:G)</f>
        <v>TP397880</v>
      </c>
      <c r="G1686" s="59">
        <f ca="1">LOOKUP(A1686,'QALS - Inspection Lot Record'!A:A,'QALS - Inspection Lot Record'!E:E)</f>
        <v>45975</v>
      </c>
      <c r="H1686" s="34" t="str">
        <f t="shared" si="135"/>
        <v>A</v>
      </c>
      <c r="I1686" s="29" t="str">
        <f t="shared" si="131"/>
        <v>TP397880</v>
      </c>
      <c r="J1686" s="59">
        <f t="shared" ca="1" si="132"/>
        <v>45975</v>
      </c>
      <c r="K1686" s="30">
        <f ca="1">LOOKUP(A1686,'QALS - Inspection Lot Record'!A:A,'QALS - Inspection Lot Record'!I:I)</f>
        <v>0.57307870370370373</v>
      </c>
      <c r="L1686" s="59">
        <f t="shared" ca="1" si="133"/>
        <v>45975</v>
      </c>
      <c r="M1686" s="30">
        <f t="shared" ca="1" si="134"/>
        <v>0.59430555555555553</v>
      </c>
      <c r="N1686" s="31"/>
      <c r="O1686" s="31">
        <v>50</v>
      </c>
      <c r="P1686" s="29">
        <v>40</v>
      </c>
      <c r="Q1686" s="29">
        <v>60</v>
      </c>
    </row>
    <row r="1687" spans="1:17" x14ac:dyDescent="0.35">
      <c r="A1687" s="26">
        <v>40000002711</v>
      </c>
      <c r="B1687" s="31">
        <v>1</v>
      </c>
      <c r="C1687" s="29" t="str">
        <f>LOOKUP(A1687,'QALS - Inspection Lot Record'!$A$2:$A$361,'QALS - Inspection Lot Record'!$O$2:$O$361)</f>
        <v>Aspirin Tablets (500 MG)</v>
      </c>
      <c r="D1687" s="31">
        <v>60</v>
      </c>
      <c r="E1687" s="29" t="s">
        <v>405</v>
      </c>
      <c r="F1687" s="29" t="str">
        <f>LOOKUP(A1687,'QALS - Inspection Lot Record'!A:A,'QALS - Inspection Lot Record'!G:G)</f>
        <v>TP397880</v>
      </c>
      <c r="G1687" s="59">
        <f ca="1">LOOKUP(A1687,'QALS - Inspection Lot Record'!A:A,'QALS - Inspection Lot Record'!E:E)</f>
        <v>45975</v>
      </c>
      <c r="H1687" s="34" t="str">
        <f t="shared" si="135"/>
        <v>R</v>
      </c>
      <c r="I1687" s="29" t="str">
        <f t="shared" si="131"/>
        <v>TP397880</v>
      </c>
      <c r="J1687" s="59">
        <f t="shared" ca="1" si="132"/>
        <v>45975</v>
      </c>
      <c r="K1687" s="30">
        <f ca="1">LOOKUP(A1687,'QALS - Inspection Lot Record'!A:A,'QALS - Inspection Lot Record'!I:I)</f>
        <v>0.57307870370370373</v>
      </c>
      <c r="L1687" s="59">
        <f t="shared" ca="1" si="133"/>
        <v>45975</v>
      </c>
      <c r="M1687" s="30">
        <f t="shared" ca="1" si="134"/>
        <v>0.59817129629629628</v>
      </c>
      <c r="N1687" s="31"/>
      <c r="O1687" s="31">
        <v>68.099999999999994</v>
      </c>
      <c r="P1687" s="29">
        <v>70</v>
      </c>
      <c r="Q1687" s="29">
        <v>85</v>
      </c>
    </row>
    <row r="1688" spans="1:17" x14ac:dyDescent="0.35">
      <c r="A1688" s="26">
        <v>40000002711</v>
      </c>
      <c r="B1688" s="31">
        <v>1</v>
      </c>
      <c r="C1688" s="29" t="str">
        <f>LOOKUP(A1688,'QALS - Inspection Lot Record'!$A$2:$A$361,'QALS - Inspection Lot Record'!$O$2:$O$361)</f>
        <v>Aspirin Tablets (500 MG)</v>
      </c>
      <c r="D1688" s="31">
        <v>70</v>
      </c>
      <c r="E1688" s="29" t="s">
        <v>406</v>
      </c>
      <c r="F1688" s="29" t="str">
        <f>LOOKUP(A1688,'QALS - Inspection Lot Record'!A:A,'QALS - Inspection Lot Record'!G:G)</f>
        <v>TP397880</v>
      </c>
      <c r="G1688" s="59">
        <f ca="1">LOOKUP(A1688,'QALS - Inspection Lot Record'!A:A,'QALS - Inspection Lot Record'!E:E)</f>
        <v>45975</v>
      </c>
      <c r="H1688" s="34" t="str">
        <f t="shared" si="135"/>
        <v>A</v>
      </c>
      <c r="I1688" s="29" t="str">
        <f t="shared" si="131"/>
        <v>TP397880</v>
      </c>
      <c r="J1688" s="59">
        <f t="shared" ca="1" si="132"/>
        <v>45975</v>
      </c>
      <c r="K1688" s="30">
        <f ca="1">LOOKUP(A1688,'QALS - Inspection Lot Record'!A:A,'QALS - Inspection Lot Record'!I:I)</f>
        <v>0.57307870370370373</v>
      </c>
      <c r="L1688" s="59">
        <f t="shared" ca="1" si="133"/>
        <v>45975</v>
      </c>
      <c r="M1688" s="30">
        <f t="shared" ca="1" si="134"/>
        <v>0.6013425925925926</v>
      </c>
      <c r="N1688" s="31"/>
      <c r="O1688" s="31">
        <v>85</v>
      </c>
      <c r="P1688" s="29">
        <v>80</v>
      </c>
      <c r="Q1688" s="29">
        <v>90</v>
      </c>
    </row>
    <row r="1689" spans="1:17" x14ac:dyDescent="0.35">
      <c r="A1689" s="26">
        <v>40000002711</v>
      </c>
      <c r="B1689" s="31">
        <v>1</v>
      </c>
      <c r="C1689" s="29" t="str">
        <f>LOOKUP(A1689,'QALS - Inspection Lot Record'!$A$2:$A$361,'QALS - Inspection Lot Record'!$O$2:$O$361)</f>
        <v>Aspirin Tablets (500 MG)</v>
      </c>
      <c r="D1689" s="31">
        <v>80</v>
      </c>
      <c r="E1689" s="29" t="s">
        <v>407</v>
      </c>
      <c r="F1689" s="29" t="str">
        <f>LOOKUP(A1689,'QALS - Inspection Lot Record'!A:A,'QALS - Inspection Lot Record'!G:G)</f>
        <v>TP397880</v>
      </c>
      <c r="G1689" s="59">
        <f ca="1">LOOKUP(A1689,'QALS - Inspection Lot Record'!A:A,'QALS - Inspection Lot Record'!E:E)</f>
        <v>45975</v>
      </c>
      <c r="H1689" s="34" t="str">
        <f t="shared" si="135"/>
        <v>A</v>
      </c>
      <c r="I1689" s="29" t="str">
        <f t="shared" si="131"/>
        <v>TP397880</v>
      </c>
      <c r="J1689" s="59">
        <f t="shared" ca="1" si="132"/>
        <v>45975</v>
      </c>
      <c r="K1689" s="30">
        <f ca="1">LOOKUP(A1689,'QALS - Inspection Lot Record'!A:A,'QALS - Inspection Lot Record'!I:I)</f>
        <v>0.57307870370370373</v>
      </c>
      <c r="L1689" s="59">
        <f t="shared" ca="1" si="133"/>
        <v>45975</v>
      </c>
      <c r="M1689" s="30">
        <f t="shared" ca="1" si="134"/>
        <v>0.59965277777777781</v>
      </c>
      <c r="N1689" s="31"/>
      <c r="O1689" s="31">
        <v>25.5</v>
      </c>
      <c r="P1689" s="29">
        <v>23</v>
      </c>
      <c r="Q1689" s="29">
        <v>28</v>
      </c>
    </row>
    <row r="1690" spans="1:17" x14ac:dyDescent="0.35">
      <c r="A1690" s="26">
        <v>40000002712</v>
      </c>
      <c r="B1690" s="27">
        <v>1</v>
      </c>
      <c r="C1690" s="29" t="str">
        <f>LOOKUP(A1690,'QALS - Inspection Lot Record'!$A$2:$A$361,'QALS - Inspection Lot Record'!$O$2:$O$361)</f>
        <v>Ibuprofen Tablets (100 MG)</v>
      </c>
      <c r="D1690" s="27">
        <v>10</v>
      </c>
      <c r="E1690" s="26" t="s">
        <v>399</v>
      </c>
      <c r="F1690" s="29" t="str">
        <f>LOOKUP(A1690,'QALS - Inspection Lot Record'!A:A,'QALS - Inspection Lot Record'!G:G)</f>
        <v>YA284176</v>
      </c>
      <c r="G1690" s="59">
        <f ca="1">LOOKUP(A1690,'QALS - Inspection Lot Record'!A:A,'QALS - Inspection Lot Record'!E:E)</f>
        <v>45975</v>
      </c>
      <c r="H1690" s="34" t="str">
        <f t="shared" si="135"/>
        <v>A</v>
      </c>
      <c r="I1690" s="29" t="str">
        <f t="shared" si="131"/>
        <v>YA284176</v>
      </c>
      <c r="J1690" s="59">
        <f t="shared" ca="1" si="132"/>
        <v>45975</v>
      </c>
      <c r="K1690" s="30">
        <f ca="1">LOOKUP(A1690,'QALS - Inspection Lot Record'!A:A,'QALS - Inspection Lot Record'!I:I)</f>
        <v>0.18740740740740741</v>
      </c>
      <c r="L1690" s="59">
        <f t="shared" ca="1" si="133"/>
        <v>45975</v>
      </c>
      <c r="M1690" s="30">
        <f t="shared" ca="1" si="134"/>
        <v>0.20651620370370372</v>
      </c>
      <c r="N1690" s="31"/>
      <c r="O1690" s="31">
        <v>98.5</v>
      </c>
      <c r="P1690" s="29">
        <v>95</v>
      </c>
      <c r="Q1690" s="29">
        <v>102</v>
      </c>
    </row>
    <row r="1691" spans="1:17" x14ac:dyDescent="0.35">
      <c r="A1691" s="26">
        <v>40000002712</v>
      </c>
      <c r="B1691" s="27">
        <v>1</v>
      </c>
      <c r="C1691" s="29" t="str">
        <f>LOOKUP(A1691,'QALS - Inspection Lot Record'!$A$2:$A$361,'QALS - Inspection Lot Record'!$O$2:$O$361)</f>
        <v>Ibuprofen Tablets (100 MG)</v>
      </c>
      <c r="D1691" s="31">
        <v>20</v>
      </c>
      <c r="E1691" s="29" t="s">
        <v>400</v>
      </c>
      <c r="F1691" s="29" t="str">
        <f>LOOKUP(A1691,'QALS - Inspection Lot Record'!A:A,'QALS - Inspection Lot Record'!G:G)</f>
        <v>YA284176</v>
      </c>
      <c r="G1691" s="59">
        <f ca="1">LOOKUP(A1691,'QALS - Inspection Lot Record'!A:A,'QALS - Inspection Lot Record'!E:E)</f>
        <v>45975</v>
      </c>
      <c r="H1691" s="34" t="str">
        <f t="shared" si="135"/>
        <v>A</v>
      </c>
      <c r="I1691" s="29" t="str">
        <f t="shared" si="131"/>
        <v>YA284176</v>
      </c>
      <c r="J1691" s="59">
        <f t="shared" ca="1" si="132"/>
        <v>45975</v>
      </c>
      <c r="K1691" s="30">
        <f ca="1">LOOKUP(A1691,'QALS - Inspection Lot Record'!A:A,'QALS - Inspection Lot Record'!I:I)</f>
        <v>0.18740740740740741</v>
      </c>
      <c r="L1691" s="59">
        <f t="shared" ca="1" si="133"/>
        <v>45975</v>
      </c>
      <c r="M1691" s="30">
        <f t="shared" ca="1" si="134"/>
        <v>0.21685185185185185</v>
      </c>
      <c r="N1691" s="31"/>
      <c r="O1691" s="31">
        <v>7.25</v>
      </c>
      <c r="P1691" s="29">
        <v>3.5</v>
      </c>
      <c r="Q1691" s="29">
        <v>11</v>
      </c>
    </row>
    <row r="1692" spans="1:17" x14ac:dyDescent="0.35">
      <c r="A1692" s="26">
        <v>40000002712</v>
      </c>
      <c r="B1692" s="31">
        <v>1</v>
      </c>
      <c r="C1692" s="29" t="str">
        <f>LOOKUP(A1692,'QALS - Inspection Lot Record'!$A$2:$A$361,'QALS - Inspection Lot Record'!$O$2:$O$361)</f>
        <v>Ibuprofen Tablets (100 MG)</v>
      </c>
      <c r="D1692" s="31">
        <v>30</v>
      </c>
      <c r="E1692" s="29" t="s">
        <v>401</v>
      </c>
      <c r="F1692" s="29" t="str">
        <f>LOOKUP(A1692,'QALS - Inspection Lot Record'!A:A,'QALS - Inspection Lot Record'!G:G)</f>
        <v>YA284176</v>
      </c>
      <c r="G1692" s="59">
        <f ca="1">LOOKUP(A1692,'QALS - Inspection Lot Record'!A:A,'QALS - Inspection Lot Record'!E:E)</f>
        <v>45975</v>
      </c>
      <c r="H1692" s="34" t="str">
        <f t="shared" si="135"/>
        <v>A</v>
      </c>
      <c r="I1692" s="29" t="str">
        <f t="shared" si="131"/>
        <v>YA284176</v>
      </c>
      <c r="J1692" s="59">
        <f t="shared" ca="1" si="132"/>
        <v>45975</v>
      </c>
      <c r="K1692" s="30">
        <f ca="1">LOOKUP(A1692,'QALS - Inspection Lot Record'!A:A,'QALS - Inspection Lot Record'!I:I)</f>
        <v>0.18740740740740741</v>
      </c>
      <c r="L1692" s="59">
        <f t="shared" ca="1" si="133"/>
        <v>45975</v>
      </c>
      <c r="M1692" s="30">
        <f t="shared" ca="1" si="134"/>
        <v>0.20871527777777779</v>
      </c>
      <c r="N1692" s="11" t="s">
        <v>402</v>
      </c>
      <c r="O1692" s="31"/>
      <c r="P1692" s="29"/>
      <c r="Q1692" s="29"/>
    </row>
    <row r="1693" spans="1:17" x14ac:dyDescent="0.35">
      <c r="A1693" s="26">
        <v>40000002712</v>
      </c>
      <c r="B1693" s="31">
        <v>1</v>
      </c>
      <c r="C1693" s="29" t="str">
        <f>LOOKUP(A1693,'QALS - Inspection Lot Record'!$A$2:$A$361,'QALS - Inspection Lot Record'!$O$2:$O$361)</f>
        <v>Ibuprofen Tablets (100 MG)</v>
      </c>
      <c r="D1693" s="31">
        <v>40</v>
      </c>
      <c r="E1693" s="29" t="s">
        <v>403</v>
      </c>
      <c r="F1693" s="29" t="str">
        <f>LOOKUP(A1693,'QALS - Inspection Lot Record'!A:A,'QALS - Inspection Lot Record'!G:G)</f>
        <v>YA284176</v>
      </c>
      <c r="G1693" s="59">
        <f ca="1">LOOKUP(A1693,'QALS - Inspection Lot Record'!A:A,'QALS - Inspection Lot Record'!E:E)</f>
        <v>45975</v>
      </c>
      <c r="H1693" s="34" t="str">
        <f t="shared" si="135"/>
        <v>A</v>
      </c>
      <c r="I1693" s="29" t="str">
        <f t="shared" si="131"/>
        <v>YA284176</v>
      </c>
      <c r="J1693" s="59">
        <f t="shared" ca="1" si="132"/>
        <v>45975</v>
      </c>
      <c r="K1693" s="30">
        <f ca="1">LOOKUP(A1693,'QALS - Inspection Lot Record'!A:A,'QALS - Inspection Lot Record'!I:I)</f>
        <v>0.18740740740740741</v>
      </c>
      <c r="L1693" s="59">
        <f t="shared" ca="1" si="133"/>
        <v>45975</v>
      </c>
      <c r="M1693" s="30">
        <f t="shared" ca="1" si="134"/>
        <v>0.2074074074074074</v>
      </c>
      <c r="N1693" s="31"/>
      <c r="O1693" s="31">
        <v>0</v>
      </c>
      <c r="P1693" s="29">
        <v>0</v>
      </c>
      <c r="Q1693" s="29">
        <v>1</v>
      </c>
    </row>
    <row r="1694" spans="1:17" x14ac:dyDescent="0.35">
      <c r="A1694" s="26">
        <v>40000002712</v>
      </c>
      <c r="B1694" s="31">
        <v>1</v>
      </c>
      <c r="C1694" s="29" t="str">
        <f>LOOKUP(A1694,'QALS - Inspection Lot Record'!$A$2:$A$361,'QALS - Inspection Lot Record'!$O$2:$O$361)</f>
        <v>Ibuprofen Tablets (100 MG)</v>
      </c>
      <c r="D1694" s="31">
        <v>50</v>
      </c>
      <c r="E1694" s="29" t="s">
        <v>404</v>
      </c>
      <c r="F1694" s="29" t="str">
        <f>LOOKUP(A1694,'QALS - Inspection Lot Record'!A:A,'QALS - Inspection Lot Record'!G:G)</f>
        <v>YA284176</v>
      </c>
      <c r="G1694" s="59">
        <f ca="1">LOOKUP(A1694,'QALS - Inspection Lot Record'!A:A,'QALS - Inspection Lot Record'!E:E)</f>
        <v>45975</v>
      </c>
      <c r="H1694" s="34" t="str">
        <f t="shared" si="135"/>
        <v>A</v>
      </c>
      <c r="I1694" s="29" t="str">
        <f t="shared" si="131"/>
        <v>YA284176</v>
      </c>
      <c r="J1694" s="59">
        <f t="shared" ca="1" si="132"/>
        <v>45975</v>
      </c>
      <c r="K1694" s="30">
        <f ca="1">LOOKUP(A1694,'QALS - Inspection Lot Record'!A:A,'QALS - Inspection Lot Record'!I:I)</f>
        <v>0.18740740740740741</v>
      </c>
      <c r="L1694" s="59">
        <f t="shared" ca="1" si="133"/>
        <v>45975</v>
      </c>
      <c r="M1694" s="30">
        <f t="shared" ca="1" si="134"/>
        <v>0.2189699074074074</v>
      </c>
      <c r="N1694" s="31"/>
      <c r="O1694" s="31">
        <v>50</v>
      </c>
      <c r="P1694" s="29">
        <v>40</v>
      </c>
      <c r="Q1694" s="29">
        <v>60</v>
      </c>
    </row>
    <row r="1695" spans="1:17" x14ac:dyDescent="0.35">
      <c r="A1695" s="26">
        <v>40000002712</v>
      </c>
      <c r="B1695" s="31">
        <v>1</v>
      </c>
      <c r="C1695" s="29" t="str">
        <f>LOOKUP(A1695,'QALS - Inspection Lot Record'!$A$2:$A$361,'QALS - Inspection Lot Record'!$O$2:$O$361)</f>
        <v>Ibuprofen Tablets (100 MG)</v>
      </c>
      <c r="D1695" s="31">
        <v>60</v>
      </c>
      <c r="E1695" s="29" t="s">
        <v>405</v>
      </c>
      <c r="F1695" s="29" t="str">
        <f>LOOKUP(A1695,'QALS - Inspection Lot Record'!A:A,'QALS - Inspection Lot Record'!G:G)</f>
        <v>YA284176</v>
      </c>
      <c r="G1695" s="59">
        <f ca="1">LOOKUP(A1695,'QALS - Inspection Lot Record'!A:A,'QALS - Inspection Lot Record'!E:E)</f>
        <v>45975</v>
      </c>
      <c r="H1695" s="34" t="str">
        <f t="shared" si="135"/>
        <v>A</v>
      </c>
      <c r="I1695" s="29" t="str">
        <f t="shared" si="131"/>
        <v>YA284176</v>
      </c>
      <c r="J1695" s="59">
        <f t="shared" ca="1" si="132"/>
        <v>45975</v>
      </c>
      <c r="K1695" s="30">
        <f ca="1">LOOKUP(A1695,'QALS - Inspection Lot Record'!A:A,'QALS - Inspection Lot Record'!I:I)</f>
        <v>0.18740740740740741</v>
      </c>
      <c r="L1695" s="59">
        <f t="shared" ca="1" si="133"/>
        <v>45975</v>
      </c>
      <c r="M1695" s="30">
        <f t="shared" ca="1" si="134"/>
        <v>0.20537037037037037</v>
      </c>
      <c r="N1695" s="31"/>
      <c r="O1695" s="31">
        <v>77.5</v>
      </c>
      <c r="P1695" s="29">
        <v>70</v>
      </c>
      <c r="Q1695" s="29">
        <v>85</v>
      </c>
    </row>
    <row r="1696" spans="1:17" x14ac:dyDescent="0.35">
      <c r="A1696" s="26">
        <v>40000002712</v>
      </c>
      <c r="B1696" s="31">
        <v>1</v>
      </c>
      <c r="C1696" s="29" t="str">
        <f>LOOKUP(A1696,'QALS - Inspection Lot Record'!$A$2:$A$361,'QALS - Inspection Lot Record'!$O$2:$O$361)</f>
        <v>Ibuprofen Tablets (100 MG)</v>
      </c>
      <c r="D1696" s="31">
        <v>70</v>
      </c>
      <c r="E1696" s="29" t="s">
        <v>406</v>
      </c>
      <c r="F1696" s="29" t="str">
        <f>LOOKUP(A1696,'QALS - Inspection Lot Record'!A:A,'QALS - Inspection Lot Record'!G:G)</f>
        <v>YA284176</v>
      </c>
      <c r="G1696" s="59">
        <f ca="1">LOOKUP(A1696,'QALS - Inspection Lot Record'!A:A,'QALS - Inspection Lot Record'!E:E)</f>
        <v>45975</v>
      </c>
      <c r="H1696" s="34" t="str">
        <f t="shared" si="135"/>
        <v>A</v>
      </c>
      <c r="I1696" s="29" t="str">
        <f t="shared" si="131"/>
        <v>YA284176</v>
      </c>
      <c r="J1696" s="59">
        <f t="shared" ca="1" si="132"/>
        <v>45975</v>
      </c>
      <c r="K1696" s="30">
        <f ca="1">LOOKUP(A1696,'QALS - Inspection Lot Record'!A:A,'QALS - Inspection Lot Record'!I:I)</f>
        <v>0.18740740740740741</v>
      </c>
      <c r="L1696" s="59">
        <f t="shared" ca="1" si="133"/>
        <v>45975</v>
      </c>
      <c r="M1696" s="30">
        <f t="shared" ca="1" si="134"/>
        <v>0.21361111111111111</v>
      </c>
      <c r="N1696" s="31"/>
      <c r="O1696" s="31">
        <v>85</v>
      </c>
      <c r="P1696" s="29">
        <v>80</v>
      </c>
      <c r="Q1696" s="29">
        <v>90</v>
      </c>
    </row>
    <row r="1697" spans="1:17" x14ac:dyDescent="0.35">
      <c r="A1697" s="26">
        <v>40000002712</v>
      </c>
      <c r="B1697" s="31">
        <v>1</v>
      </c>
      <c r="C1697" s="29" t="str">
        <f>LOOKUP(A1697,'QALS - Inspection Lot Record'!$A$2:$A$361,'QALS - Inspection Lot Record'!$O$2:$O$361)</f>
        <v>Ibuprofen Tablets (100 MG)</v>
      </c>
      <c r="D1697" s="31">
        <v>80</v>
      </c>
      <c r="E1697" s="29" t="s">
        <v>407</v>
      </c>
      <c r="F1697" s="29" t="str">
        <f>LOOKUP(A1697,'QALS - Inspection Lot Record'!A:A,'QALS - Inspection Lot Record'!G:G)</f>
        <v>YA284176</v>
      </c>
      <c r="G1697" s="59">
        <f ca="1">LOOKUP(A1697,'QALS - Inspection Lot Record'!A:A,'QALS - Inspection Lot Record'!E:E)</f>
        <v>45975</v>
      </c>
      <c r="H1697" s="34" t="str">
        <f t="shared" si="135"/>
        <v>R</v>
      </c>
      <c r="I1697" s="29" t="str">
        <f t="shared" si="131"/>
        <v>YA284176</v>
      </c>
      <c r="J1697" s="59">
        <f t="shared" ca="1" si="132"/>
        <v>45975</v>
      </c>
      <c r="K1697" s="30">
        <f ca="1">LOOKUP(A1697,'QALS - Inspection Lot Record'!A:A,'QALS - Inspection Lot Record'!I:I)</f>
        <v>0.18740740740740741</v>
      </c>
      <c r="L1697" s="59">
        <f t="shared" ca="1" si="133"/>
        <v>45975</v>
      </c>
      <c r="M1697" s="30">
        <f t="shared" ca="1" si="134"/>
        <v>0.20862268518518517</v>
      </c>
      <c r="N1697" s="31"/>
      <c r="O1697" s="31">
        <v>21.1</v>
      </c>
      <c r="P1697" s="29">
        <v>23</v>
      </c>
      <c r="Q1697" s="29">
        <v>25</v>
      </c>
    </row>
    <row r="1698" spans="1:17" x14ac:dyDescent="0.35">
      <c r="A1698" s="26">
        <v>40000002713</v>
      </c>
      <c r="B1698" s="27">
        <v>1</v>
      </c>
      <c r="C1698" s="29" t="str">
        <f>LOOKUP(A1698,'QALS - Inspection Lot Record'!$A$2:$A$361,'QALS - Inspection Lot Record'!$O$2:$O$361)</f>
        <v>Metformin Tablets (200 MG)</v>
      </c>
      <c r="D1698" s="27">
        <v>10</v>
      </c>
      <c r="E1698" s="26" t="s">
        <v>399</v>
      </c>
      <c r="F1698" s="29" t="str">
        <f>LOOKUP(A1698,'QALS - Inspection Lot Record'!A:A,'QALS - Inspection Lot Record'!G:G)</f>
        <v>TP397880</v>
      </c>
      <c r="G1698" s="59">
        <f ca="1">LOOKUP(A1698,'QALS - Inspection Lot Record'!A:A,'QALS - Inspection Lot Record'!E:E)</f>
        <v>45976</v>
      </c>
      <c r="H1698" s="34" t="str">
        <f t="shared" si="135"/>
        <v>A</v>
      </c>
      <c r="I1698" s="29" t="str">
        <f t="shared" si="131"/>
        <v>TP397880</v>
      </c>
      <c r="J1698" s="59">
        <f t="shared" ca="1" si="132"/>
        <v>45976</v>
      </c>
      <c r="K1698" s="30">
        <f ca="1">LOOKUP(A1698,'QALS - Inspection Lot Record'!A:A,'QALS - Inspection Lot Record'!I:I)</f>
        <v>0.78145833333333337</v>
      </c>
      <c r="L1698" s="59">
        <f t="shared" ca="1" si="133"/>
        <v>45976</v>
      </c>
      <c r="M1698" s="30">
        <f t="shared" ca="1" si="134"/>
        <v>0.81116898148148153</v>
      </c>
      <c r="N1698" s="31"/>
      <c r="O1698" s="31">
        <v>99</v>
      </c>
      <c r="P1698" s="29">
        <v>95</v>
      </c>
      <c r="Q1698" s="29">
        <v>103</v>
      </c>
    </row>
    <row r="1699" spans="1:17" x14ac:dyDescent="0.35">
      <c r="A1699" s="26">
        <v>40000002713</v>
      </c>
      <c r="B1699" s="27">
        <v>1</v>
      </c>
      <c r="C1699" s="29" t="str">
        <f>LOOKUP(A1699,'QALS - Inspection Lot Record'!$A$2:$A$361,'QALS - Inspection Lot Record'!$O$2:$O$361)</f>
        <v>Metformin Tablets (200 MG)</v>
      </c>
      <c r="D1699" s="31">
        <v>20</v>
      </c>
      <c r="E1699" s="29" t="s">
        <v>400</v>
      </c>
      <c r="F1699" s="29" t="str">
        <f>LOOKUP(A1699,'QALS - Inspection Lot Record'!A:A,'QALS - Inspection Lot Record'!G:G)</f>
        <v>TP397880</v>
      </c>
      <c r="G1699" s="59">
        <f ca="1">LOOKUP(A1699,'QALS - Inspection Lot Record'!A:A,'QALS - Inspection Lot Record'!E:E)</f>
        <v>45976</v>
      </c>
      <c r="H1699" s="34" t="str">
        <f t="shared" si="135"/>
        <v>A</v>
      </c>
      <c r="I1699" s="29" t="str">
        <f t="shared" si="131"/>
        <v>TP397880</v>
      </c>
      <c r="J1699" s="59">
        <f t="shared" ca="1" si="132"/>
        <v>45976</v>
      </c>
      <c r="K1699" s="30">
        <f ca="1">LOOKUP(A1699,'QALS - Inspection Lot Record'!A:A,'QALS - Inspection Lot Record'!I:I)</f>
        <v>0.78145833333333337</v>
      </c>
      <c r="L1699" s="59">
        <f t="shared" ca="1" si="133"/>
        <v>45976</v>
      </c>
      <c r="M1699" s="30">
        <f t="shared" ca="1" si="134"/>
        <v>0.81430555555555562</v>
      </c>
      <c r="N1699" s="31"/>
      <c r="O1699" s="31">
        <v>7.8</v>
      </c>
      <c r="P1699" s="29">
        <v>6</v>
      </c>
      <c r="Q1699" s="29">
        <v>9.5</v>
      </c>
    </row>
    <row r="1700" spans="1:17" x14ac:dyDescent="0.35">
      <c r="A1700" s="26">
        <v>40000002713</v>
      </c>
      <c r="B1700" s="31">
        <v>1</v>
      </c>
      <c r="C1700" s="29" t="str">
        <f>LOOKUP(A1700,'QALS - Inspection Lot Record'!$A$2:$A$361,'QALS - Inspection Lot Record'!$O$2:$O$361)</f>
        <v>Metformin Tablets (200 MG)</v>
      </c>
      <c r="D1700" s="31">
        <v>30</v>
      </c>
      <c r="E1700" s="29" t="s">
        <v>401</v>
      </c>
      <c r="F1700" s="29" t="str">
        <f>LOOKUP(A1700,'QALS - Inspection Lot Record'!A:A,'QALS - Inspection Lot Record'!G:G)</f>
        <v>TP397880</v>
      </c>
      <c r="G1700" s="59">
        <f ca="1">LOOKUP(A1700,'QALS - Inspection Lot Record'!A:A,'QALS - Inspection Lot Record'!E:E)</f>
        <v>45976</v>
      </c>
      <c r="H1700" s="34" t="str">
        <f t="shared" si="135"/>
        <v>A</v>
      </c>
      <c r="I1700" s="29" t="str">
        <f t="shared" si="131"/>
        <v>TP397880</v>
      </c>
      <c r="J1700" s="59">
        <f t="shared" ca="1" si="132"/>
        <v>45976</v>
      </c>
      <c r="K1700" s="30">
        <f ca="1">LOOKUP(A1700,'QALS - Inspection Lot Record'!A:A,'QALS - Inspection Lot Record'!I:I)</f>
        <v>0.78145833333333337</v>
      </c>
      <c r="L1700" s="59">
        <f t="shared" ca="1" si="133"/>
        <v>45976</v>
      </c>
      <c r="M1700" s="30">
        <f t="shared" ca="1" si="134"/>
        <v>0.80739583333333331</v>
      </c>
      <c r="N1700" s="11" t="s">
        <v>402</v>
      </c>
      <c r="O1700" s="31"/>
      <c r="P1700" s="29"/>
      <c r="Q1700" s="29"/>
    </row>
    <row r="1701" spans="1:17" x14ac:dyDescent="0.35">
      <c r="A1701" s="26">
        <v>40000002713</v>
      </c>
      <c r="B1701" s="31">
        <v>1</v>
      </c>
      <c r="C1701" s="29" t="str">
        <f>LOOKUP(A1701,'QALS - Inspection Lot Record'!$A$2:$A$361,'QALS - Inspection Lot Record'!$O$2:$O$361)</f>
        <v>Metformin Tablets (200 MG)</v>
      </c>
      <c r="D1701" s="31">
        <v>40</v>
      </c>
      <c r="E1701" s="29" t="s">
        <v>403</v>
      </c>
      <c r="F1701" s="29" t="str">
        <f>LOOKUP(A1701,'QALS - Inspection Lot Record'!A:A,'QALS - Inspection Lot Record'!G:G)</f>
        <v>TP397880</v>
      </c>
      <c r="G1701" s="59">
        <f ca="1">LOOKUP(A1701,'QALS - Inspection Lot Record'!A:A,'QALS - Inspection Lot Record'!E:E)</f>
        <v>45976</v>
      </c>
      <c r="H1701" s="34" t="str">
        <f t="shared" si="135"/>
        <v>A</v>
      </c>
      <c r="I1701" s="29" t="str">
        <f t="shared" si="131"/>
        <v>TP397880</v>
      </c>
      <c r="J1701" s="59">
        <f t="shared" ca="1" si="132"/>
        <v>45976</v>
      </c>
      <c r="K1701" s="30">
        <f ca="1">LOOKUP(A1701,'QALS - Inspection Lot Record'!A:A,'QALS - Inspection Lot Record'!I:I)</f>
        <v>0.78145833333333337</v>
      </c>
      <c r="L1701" s="59">
        <f t="shared" ca="1" si="133"/>
        <v>45976</v>
      </c>
      <c r="M1701" s="30">
        <f t="shared" ca="1" si="134"/>
        <v>0.81587962962962968</v>
      </c>
      <c r="N1701" s="31"/>
      <c r="O1701" s="31">
        <v>0</v>
      </c>
      <c r="P1701" s="29">
        <v>0</v>
      </c>
      <c r="Q1701" s="29">
        <v>2</v>
      </c>
    </row>
    <row r="1702" spans="1:17" x14ac:dyDescent="0.35">
      <c r="A1702" s="26">
        <v>40000002713</v>
      </c>
      <c r="B1702" s="31">
        <v>1</v>
      </c>
      <c r="C1702" s="29" t="str">
        <f>LOOKUP(A1702,'QALS - Inspection Lot Record'!$A$2:$A$361,'QALS - Inspection Lot Record'!$O$2:$O$361)</f>
        <v>Metformin Tablets (200 MG)</v>
      </c>
      <c r="D1702" s="31">
        <v>50</v>
      </c>
      <c r="E1702" s="29" t="s">
        <v>404</v>
      </c>
      <c r="F1702" s="29" t="str">
        <f>LOOKUP(A1702,'QALS - Inspection Lot Record'!A:A,'QALS - Inspection Lot Record'!G:G)</f>
        <v>TP397880</v>
      </c>
      <c r="G1702" s="59">
        <f ca="1">LOOKUP(A1702,'QALS - Inspection Lot Record'!A:A,'QALS - Inspection Lot Record'!E:E)</f>
        <v>45976</v>
      </c>
      <c r="H1702" s="34" t="str">
        <f t="shared" si="135"/>
        <v>A</v>
      </c>
      <c r="I1702" s="29" t="str">
        <f t="shared" si="131"/>
        <v>TP397880</v>
      </c>
      <c r="J1702" s="59">
        <f t="shared" ca="1" si="132"/>
        <v>45976</v>
      </c>
      <c r="K1702" s="30">
        <f ca="1">LOOKUP(A1702,'QALS - Inspection Lot Record'!A:A,'QALS - Inspection Lot Record'!I:I)</f>
        <v>0.78145833333333337</v>
      </c>
      <c r="L1702" s="59">
        <f t="shared" ca="1" si="133"/>
        <v>45976</v>
      </c>
      <c r="M1702" s="30">
        <f t="shared" ca="1" si="134"/>
        <v>0.80346064814814822</v>
      </c>
      <c r="N1702" s="31"/>
      <c r="O1702" s="31">
        <v>50</v>
      </c>
      <c r="P1702" s="29">
        <v>40</v>
      </c>
      <c r="Q1702" s="29">
        <v>60</v>
      </c>
    </row>
    <row r="1703" spans="1:17" x14ac:dyDescent="0.35">
      <c r="A1703" s="26">
        <v>40000002713</v>
      </c>
      <c r="B1703" s="31">
        <v>1</v>
      </c>
      <c r="C1703" s="29" t="str">
        <f>LOOKUP(A1703,'QALS - Inspection Lot Record'!$A$2:$A$361,'QALS - Inspection Lot Record'!$O$2:$O$361)</f>
        <v>Metformin Tablets (200 MG)</v>
      </c>
      <c r="D1703" s="31">
        <v>60</v>
      </c>
      <c r="E1703" s="29" t="s">
        <v>405</v>
      </c>
      <c r="F1703" s="29" t="str">
        <f>LOOKUP(A1703,'QALS - Inspection Lot Record'!A:A,'QALS - Inspection Lot Record'!G:G)</f>
        <v>TP397880</v>
      </c>
      <c r="G1703" s="59">
        <f ca="1">LOOKUP(A1703,'QALS - Inspection Lot Record'!A:A,'QALS - Inspection Lot Record'!E:E)</f>
        <v>45976</v>
      </c>
      <c r="H1703" s="34" t="str">
        <f t="shared" si="135"/>
        <v>A</v>
      </c>
      <c r="I1703" s="29" t="str">
        <f t="shared" si="131"/>
        <v>TP397880</v>
      </c>
      <c r="J1703" s="59">
        <f t="shared" ca="1" si="132"/>
        <v>45976</v>
      </c>
      <c r="K1703" s="30">
        <f ca="1">LOOKUP(A1703,'QALS - Inspection Lot Record'!A:A,'QALS - Inspection Lot Record'!I:I)</f>
        <v>0.78145833333333337</v>
      </c>
      <c r="L1703" s="59">
        <f t="shared" ca="1" si="133"/>
        <v>45976</v>
      </c>
      <c r="M1703" s="30">
        <f t="shared" ca="1" si="134"/>
        <v>0.81407407407407406</v>
      </c>
      <c r="N1703" s="31"/>
      <c r="O1703" s="31">
        <v>77.5</v>
      </c>
      <c r="P1703" s="29">
        <v>70</v>
      </c>
      <c r="Q1703" s="29">
        <v>85</v>
      </c>
    </row>
    <row r="1704" spans="1:17" x14ac:dyDescent="0.35">
      <c r="A1704" s="26">
        <v>40000002713</v>
      </c>
      <c r="B1704" s="31">
        <v>1</v>
      </c>
      <c r="C1704" s="29" t="str">
        <f>LOOKUP(A1704,'QALS - Inspection Lot Record'!$A$2:$A$361,'QALS - Inspection Lot Record'!$O$2:$O$361)</f>
        <v>Metformin Tablets (200 MG)</v>
      </c>
      <c r="D1704" s="31">
        <v>70</v>
      </c>
      <c r="E1704" s="29" t="s">
        <v>406</v>
      </c>
      <c r="F1704" s="29" t="str">
        <f>LOOKUP(A1704,'QALS - Inspection Lot Record'!A:A,'QALS - Inspection Lot Record'!G:G)</f>
        <v>TP397880</v>
      </c>
      <c r="G1704" s="59">
        <f ca="1">LOOKUP(A1704,'QALS - Inspection Lot Record'!A:A,'QALS - Inspection Lot Record'!E:E)</f>
        <v>45976</v>
      </c>
      <c r="H1704" s="34" t="str">
        <f t="shared" si="135"/>
        <v>A</v>
      </c>
      <c r="I1704" s="29" t="str">
        <f t="shared" si="131"/>
        <v>TP397880</v>
      </c>
      <c r="J1704" s="59">
        <f t="shared" ca="1" si="132"/>
        <v>45976</v>
      </c>
      <c r="K1704" s="30">
        <f ca="1">LOOKUP(A1704,'QALS - Inspection Lot Record'!A:A,'QALS - Inspection Lot Record'!I:I)</f>
        <v>0.78145833333333337</v>
      </c>
      <c r="L1704" s="59">
        <f t="shared" ca="1" si="133"/>
        <v>45976</v>
      </c>
      <c r="M1704" s="30">
        <f t="shared" ca="1" si="134"/>
        <v>0.81336805555555558</v>
      </c>
      <c r="N1704" s="31"/>
      <c r="O1704" s="31">
        <v>85</v>
      </c>
      <c r="P1704" s="29">
        <v>80</v>
      </c>
      <c r="Q1704" s="29">
        <v>90</v>
      </c>
    </row>
    <row r="1705" spans="1:17" x14ac:dyDescent="0.35">
      <c r="A1705" s="26">
        <v>40000002713</v>
      </c>
      <c r="B1705" s="31">
        <v>1</v>
      </c>
      <c r="C1705" s="29" t="str">
        <f>LOOKUP(A1705,'QALS - Inspection Lot Record'!$A$2:$A$361,'QALS - Inspection Lot Record'!$O$2:$O$361)</f>
        <v>Metformin Tablets (200 MG)</v>
      </c>
      <c r="D1705" s="31">
        <v>80</v>
      </c>
      <c r="E1705" s="29" t="s">
        <v>407</v>
      </c>
      <c r="F1705" s="29" t="str">
        <f>LOOKUP(A1705,'QALS - Inspection Lot Record'!A:A,'QALS - Inspection Lot Record'!G:G)</f>
        <v>TP397880</v>
      </c>
      <c r="G1705" s="59">
        <f ca="1">LOOKUP(A1705,'QALS - Inspection Lot Record'!A:A,'QALS - Inspection Lot Record'!E:E)</f>
        <v>45976</v>
      </c>
      <c r="H1705" s="34" t="str">
        <f t="shared" si="135"/>
        <v>A</v>
      </c>
      <c r="I1705" s="29" t="str">
        <f t="shared" si="131"/>
        <v>TP397880</v>
      </c>
      <c r="J1705" s="59">
        <f t="shared" ca="1" si="132"/>
        <v>45976</v>
      </c>
      <c r="K1705" s="30">
        <f ca="1">LOOKUP(A1705,'QALS - Inspection Lot Record'!A:A,'QALS - Inspection Lot Record'!I:I)</f>
        <v>0.78145833333333337</v>
      </c>
      <c r="L1705" s="59">
        <f t="shared" ca="1" si="133"/>
        <v>45976</v>
      </c>
      <c r="M1705" s="30">
        <f t="shared" ca="1" si="134"/>
        <v>0.81158564814814815</v>
      </c>
      <c r="N1705" s="31"/>
      <c r="O1705" s="31">
        <v>25.5</v>
      </c>
      <c r="P1705" s="29">
        <v>23</v>
      </c>
      <c r="Q1705" s="29">
        <v>28</v>
      </c>
    </row>
    <row r="1706" spans="1:17" x14ac:dyDescent="0.35">
      <c r="A1706" s="26">
        <v>40000002714</v>
      </c>
      <c r="B1706" s="27">
        <v>1</v>
      </c>
      <c r="C1706" s="29" t="str">
        <f>LOOKUP(A1706,'QALS - Inspection Lot Record'!$A$2:$A$361,'QALS - Inspection Lot Record'!$O$2:$O$361)</f>
        <v>Ibuprofen Tablets (100 MG)</v>
      </c>
      <c r="D1706" s="27">
        <v>10</v>
      </c>
      <c r="E1706" s="26" t="s">
        <v>399</v>
      </c>
      <c r="F1706" s="29" t="str">
        <f>LOOKUP(A1706,'QALS - Inspection Lot Record'!A:A,'QALS - Inspection Lot Record'!G:G)</f>
        <v>YA284176</v>
      </c>
      <c r="G1706" s="59">
        <f ca="1">LOOKUP(A1706,'QALS - Inspection Lot Record'!A:A,'QALS - Inspection Lot Record'!E:E)</f>
        <v>45976</v>
      </c>
      <c r="H1706" s="34" t="str">
        <f t="shared" si="135"/>
        <v>A</v>
      </c>
      <c r="I1706" s="29" t="str">
        <f t="shared" si="131"/>
        <v>YA284176</v>
      </c>
      <c r="J1706" s="59">
        <f t="shared" ca="1" si="132"/>
        <v>45976</v>
      </c>
      <c r="K1706" s="30">
        <f ca="1">LOOKUP(A1706,'QALS - Inspection Lot Record'!A:A,'QALS - Inspection Lot Record'!I:I)</f>
        <v>0.35723379629629631</v>
      </c>
      <c r="L1706" s="59">
        <f t="shared" ca="1" si="133"/>
        <v>45976</v>
      </c>
      <c r="M1706" s="30">
        <f t="shared" ca="1" si="134"/>
        <v>0.38646990740740744</v>
      </c>
      <c r="N1706" s="31"/>
      <c r="O1706" s="31">
        <v>98.5</v>
      </c>
      <c r="P1706" s="29">
        <v>95</v>
      </c>
      <c r="Q1706" s="29">
        <v>102</v>
      </c>
    </row>
    <row r="1707" spans="1:17" x14ac:dyDescent="0.35">
      <c r="A1707" s="26">
        <v>40000002714</v>
      </c>
      <c r="B1707" s="27">
        <v>1</v>
      </c>
      <c r="C1707" s="29" t="str">
        <f>LOOKUP(A1707,'QALS - Inspection Lot Record'!$A$2:$A$361,'QALS - Inspection Lot Record'!$O$2:$O$361)</f>
        <v>Ibuprofen Tablets (100 MG)</v>
      </c>
      <c r="D1707" s="31">
        <v>20</v>
      </c>
      <c r="E1707" s="29" t="s">
        <v>400</v>
      </c>
      <c r="F1707" s="29" t="str">
        <f>LOOKUP(A1707,'QALS - Inspection Lot Record'!A:A,'QALS - Inspection Lot Record'!G:G)</f>
        <v>YA284176</v>
      </c>
      <c r="G1707" s="59">
        <f ca="1">LOOKUP(A1707,'QALS - Inspection Lot Record'!A:A,'QALS - Inspection Lot Record'!E:E)</f>
        <v>45976</v>
      </c>
      <c r="H1707" s="34" t="str">
        <f t="shared" si="135"/>
        <v>A</v>
      </c>
      <c r="I1707" s="29" t="str">
        <f t="shared" si="131"/>
        <v>YA284176</v>
      </c>
      <c r="J1707" s="59">
        <f t="shared" ca="1" si="132"/>
        <v>45976</v>
      </c>
      <c r="K1707" s="30">
        <f ca="1">LOOKUP(A1707,'QALS - Inspection Lot Record'!A:A,'QALS - Inspection Lot Record'!I:I)</f>
        <v>0.35723379629629631</v>
      </c>
      <c r="L1707" s="59">
        <f t="shared" ca="1" si="133"/>
        <v>45976</v>
      </c>
      <c r="M1707" s="30">
        <f t="shared" ca="1" si="134"/>
        <v>0.38817129629629632</v>
      </c>
      <c r="N1707" s="31"/>
      <c r="O1707" s="31">
        <v>7.25</v>
      </c>
      <c r="P1707" s="29">
        <v>3.5</v>
      </c>
      <c r="Q1707" s="29">
        <v>11</v>
      </c>
    </row>
    <row r="1708" spans="1:17" x14ac:dyDescent="0.35">
      <c r="A1708" s="26">
        <v>40000002714</v>
      </c>
      <c r="B1708" s="31">
        <v>1</v>
      </c>
      <c r="C1708" s="29" t="str">
        <f>LOOKUP(A1708,'QALS - Inspection Lot Record'!$A$2:$A$361,'QALS - Inspection Lot Record'!$O$2:$O$361)</f>
        <v>Ibuprofen Tablets (100 MG)</v>
      </c>
      <c r="D1708" s="31">
        <v>30</v>
      </c>
      <c r="E1708" s="29" t="s">
        <v>401</v>
      </c>
      <c r="F1708" s="29" t="str">
        <f>LOOKUP(A1708,'QALS - Inspection Lot Record'!A:A,'QALS - Inspection Lot Record'!G:G)</f>
        <v>YA284176</v>
      </c>
      <c r="G1708" s="59">
        <f ca="1">LOOKUP(A1708,'QALS - Inspection Lot Record'!A:A,'QALS - Inspection Lot Record'!E:E)</f>
        <v>45976</v>
      </c>
      <c r="H1708" s="34" t="str">
        <f t="shared" si="135"/>
        <v>A</v>
      </c>
      <c r="I1708" s="29" t="str">
        <f t="shared" si="131"/>
        <v>YA284176</v>
      </c>
      <c r="J1708" s="59">
        <f t="shared" ca="1" si="132"/>
        <v>45976</v>
      </c>
      <c r="K1708" s="30">
        <f ca="1">LOOKUP(A1708,'QALS - Inspection Lot Record'!A:A,'QALS - Inspection Lot Record'!I:I)</f>
        <v>0.35723379629629631</v>
      </c>
      <c r="L1708" s="59">
        <f t="shared" ca="1" si="133"/>
        <v>45976</v>
      </c>
      <c r="M1708" s="30">
        <f t="shared" ca="1" si="134"/>
        <v>0.38392361111111112</v>
      </c>
      <c r="N1708" s="11" t="s">
        <v>402</v>
      </c>
      <c r="O1708" s="31"/>
      <c r="P1708" s="29"/>
      <c r="Q1708" s="29"/>
    </row>
    <row r="1709" spans="1:17" x14ac:dyDescent="0.35">
      <c r="A1709" s="26">
        <v>40000002714</v>
      </c>
      <c r="B1709" s="31">
        <v>1</v>
      </c>
      <c r="C1709" s="29" t="str">
        <f>LOOKUP(A1709,'QALS - Inspection Lot Record'!$A$2:$A$361,'QALS - Inspection Lot Record'!$O$2:$O$361)</f>
        <v>Ibuprofen Tablets (100 MG)</v>
      </c>
      <c r="D1709" s="31">
        <v>40</v>
      </c>
      <c r="E1709" s="29" t="s">
        <v>403</v>
      </c>
      <c r="F1709" s="29" t="str">
        <f>LOOKUP(A1709,'QALS - Inspection Lot Record'!A:A,'QALS - Inspection Lot Record'!G:G)</f>
        <v>YA284176</v>
      </c>
      <c r="G1709" s="59">
        <f ca="1">LOOKUP(A1709,'QALS - Inspection Lot Record'!A:A,'QALS - Inspection Lot Record'!E:E)</f>
        <v>45976</v>
      </c>
      <c r="H1709" s="34" t="str">
        <f t="shared" si="135"/>
        <v>A</v>
      </c>
      <c r="I1709" s="29" t="str">
        <f t="shared" si="131"/>
        <v>YA284176</v>
      </c>
      <c r="J1709" s="59">
        <f t="shared" ca="1" si="132"/>
        <v>45976</v>
      </c>
      <c r="K1709" s="30">
        <f ca="1">LOOKUP(A1709,'QALS - Inspection Lot Record'!A:A,'QALS - Inspection Lot Record'!I:I)</f>
        <v>0.35723379629629631</v>
      </c>
      <c r="L1709" s="59">
        <f t="shared" ca="1" si="133"/>
        <v>45976</v>
      </c>
      <c r="M1709" s="30">
        <f t="shared" ca="1" si="134"/>
        <v>0.38108796296296299</v>
      </c>
      <c r="N1709" s="31"/>
      <c r="O1709" s="31">
        <v>0</v>
      </c>
      <c r="P1709" s="29">
        <v>0</v>
      </c>
      <c r="Q1709" s="29">
        <v>1</v>
      </c>
    </row>
    <row r="1710" spans="1:17" x14ac:dyDescent="0.35">
      <c r="A1710" s="26">
        <v>40000002714</v>
      </c>
      <c r="B1710" s="31">
        <v>1</v>
      </c>
      <c r="C1710" s="29" t="str">
        <f>LOOKUP(A1710,'QALS - Inspection Lot Record'!$A$2:$A$361,'QALS - Inspection Lot Record'!$O$2:$O$361)</f>
        <v>Ibuprofen Tablets (100 MG)</v>
      </c>
      <c r="D1710" s="31">
        <v>50</v>
      </c>
      <c r="E1710" s="29" t="s">
        <v>404</v>
      </c>
      <c r="F1710" s="29" t="str">
        <f>LOOKUP(A1710,'QALS - Inspection Lot Record'!A:A,'QALS - Inspection Lot Record'!G:G)</f>
        <v>YA284176</v>
      </c>
      <c r="G1710" s="59">
        <f ca="1">LOOKUP(A1710,'QALS - Inspection Lot Record'!A:A,'QALS - Inspection Lot Record'!E:E)</f>
        <v>45976</v>
      </c>
      <c r="H1710" s="34" t="str">
        <f t="shared" si="135"/>
        <v>A</v>
      </c>
      <c r="I1710" s="29" t="str">
        <f t="shared" si="131"/>
        <v>YA284176</v>
      </c>
      <c r="J1710" s="59">
        <f t="shared" ca="1" si="132"/>
        <v>45976</v>
      </c>
      <c r="K1710" s="30">
        <f ca="1">LOOKUP(A1710,'QALS - Inspection Lot Record'!A:A,'QALS - Inspection Lot Record'!I:I)</f>
        <v>0.35723379629629631</v>
      </c>
      <c r="L1710" s="59">
        <f t="shared" ca="1" si="133"/>
        <v>45976</v>
      </c>
      <c r="M1710" s="30">
        <f t="shared" ca="1" si="134"/>
        <v>0.38526620370370374</v>
      </c>
      <c r="N1710" s="31"/>
      <c r="O1710" s="31">
        <v>50</v>
      </c>
      <c r="P1710" s="29">
        <v>40</v>
      </c>
      <c r="Q1710" s="29">
        <v>60</v>
      </c>
    </row>
    <row r="1711" spans="1:17" x14ac:dyDescent="0.35">
      <c r="A1711" s="26">
        <v>40000002714</v>
      </c>
      <c r="B1711" s="31">
        <v>1</v>
      </c>
      <c r="C1711" s="29" t="str">
        <f>LOOKUP(A1711,'QALS - Inspection Lot Record'!$A$2:$A$361,'QALS - Inspection Lot Record'!$O$2:$O$361)</f>
        <v>Ibuprofen Tablets (100 MG)</v>
      </c>
      <c r="D1711" s="31">
        <v>60</v>
      </c>
      <c r="E1711" s="29" t="s">
        <v>405</v>
      </c>
      <c r="F1711" s="29" t="str">
        <f>LOOKUP(A1711,'QALS - Inspection Lot Record'!A:A,'QALS - Inspection Lot Record'!G:G)</f>
        <v>YA284176</v>
      </c>
      <c r="G1711" s="59">
        <f ca="1">LOOKUP(A1711,'QALS - Inspection Lot Record'!A:A,'QALS - Inspection Lot Record'!E:E)</f>
        <v>45976</v>
      </c>
      <c r="H1711" s="34" t="str">
        <f t="shared" si="135"/>
        <v>A</v>
      </c>
      <c r="I1711" s="29" t="str">
        <f t="shared" si="131"/>
        <v>YA284176</v>
      </c>
      <c r="J1711" s="59">
        <f t="shared" ca="1" si="132"/>
        <v>45976</v>
      </c>
      <c r="K1711" s="30">
        <f ca="1">LOOKUP(A1711,'QALS - Inspection Lot Record'!A:A,'QALS - Inspection Lot Record'!I:I)</f>
        <v>0.35723379629629631</v>
      </c>
      <c r="L1711" s="59">
        <f t="shared" ca="1" si="133"/>
        <v>45976</v>
      </c>
      <c r="M1711" s="30">
        <f t="shared" ca="1" si="134"/>
        <v>0.38056712962962963</v>
      </c>
      <c r="N1711" s="31"/>
      <c r="O1711" s="31">
        <v>77.5</v>
      </c>
      <c r="P1711" s="29">
        <v>70</v>
      </c>
      <c r="Q1711" s="29">
        <v>85</v>
      </c>
    </row>
    <row r="1712" spans="1:17" x14ac:dyDescent="0.35">
      <c r="A1712" s="26">
        <v>40000002714</v>
      </c>
      <c r="B1712" s="31">
        <v>1</v>
      </c>
      <c r="C1712" s="29" t="str">
        <f>LOOKUP(A1712,'QALS - Inspection Lot Record'!$A$2:$A$361,'QALS - Inspection Lot Record'!$O$2:$O$361)</f>
        <v>Ibuprofen Tablets (100 MG)</v>
      </c>
      <c r="D1712" s="31">
        <v>70</v>
      </c>
      <c r="E1712" s="29" t="s">
        <v>406</v>
      </c>
      <c r="F1712" s="29" t="str">
        <f>LOOKUP(A1712,'QALS - Inspection Lot Record'!A:A,'QALS - Inspection Lot Record'!G:G)</f>
        <v>YA284176</v>
      </c>
      <c r="G1712" s="59">
        <f ca="1">LOOKUP(A1712,'QALS - Inspection Lot Record'!A:A,'QALS - Inspection Lot Record'!E:E)</f>
        <v>45976</v>
      </c>
      <c r="H1712" s="34" t="str">
        <f t="shared" si="135"/>
        <v>A</v>
      </c>
      <c r="I1712" s="29" t="str">
        <f t="shared" si="131"/>
        <v>YA284176</v>
      </c>
      <c r="J1712" s="59">
        <f t="shared" ca="1" si="132"/>
        <v>45976</v>
      </c>
      <c r="K1712" s="30">
        <f ca="1">LOOKUP(A1712,'QALS - Inspection Lot Record'!A:A,'QALS - Inspection Lot Record'!I:I)</f>
        <v>0.35723379629629631</v>
      </c>
      <c r="L1712" s="59">
        <f t="shared" ca="1" si="133"/>
        <v>45976</v>
      </c>
      <c r="M1712" s="30">
        <f t="shared" ca="1" si="134"/>
        <v>0.39123842592592595</v>
      </c>
      <c r="N1712" s="31"/>
      <c r="O1712" s="31">
        <v>85</v>
      </c>
      <c r="P1712" s="29">
        <v>80</v>
      </c>
      <c r="Q1712" s="29">
        <v>90</v>
      </c>
    </row>
    <row r="1713" spans="1:17" x14ac:dyDescent="0.35">
      <c r="A1713" s="26">
        <v>40000002714</v>
      </c>
      <c r="B1713" s="31">
        <v>1</v>
      </c>
      <c r="C1713" s="29" t="str">
        <f>LOOKUP(A1713,'QALS - Inspection Lot Record'!$A$2:$A$361,'QALS - Inspection Lot Record'!$O$2:$O$361)</f>
        <v>Ibuprofen Tablets (100 MG)</v>
      </c>
      <c r="D1713" s="31">
        <v>80</v>
      </c>
      <c r="E1713" s="29" t="s">
        <v>407</v>
      </c>
      <c r="F1713" s="29" t="str">
        <f>LOOKUP(A1713,'QALS - Inspection Lot Record'!A:A,'QALS - Inspection Lot Record'!G:G)</f>
        <v>YA284176</v>
      </c>
      <c r="G1713" s="59">
        <f ca="1">LOOKUP(A1713,'QALS - Inspection Lot Record'!A:A,'QALS - Inspection Lot Record'!E:E)</f>
        <v>45976</v>
      </c>
      <c r="H1713" s="34" t="str">
        <f t="shared" si="135"/>
        <v>A</v>
      </c>
      <c r="I1713" s="29" t="str">
        <f t="shared" si="131"/>
        <v>YA284176</v>
      </c>
      <c r="J1713" s="59">
        <f t="shared" ca="1" si="132"/>
        <v>45976</v>
      </c>
      <c r="K1713" s="30">
        <f ca="1">LOOKUP(A1713,'QALS - Inspection Lot Record'!A:A,'QALS - Inspection Lot Record'!I:I)</f>
        <v>0.35723379629629631</v>
      </c>
      <c r="L1713" s="59">
        <f t="shared" ca="1" si="133"/>
        <v>45976</v>
      </c>
      <c r="M1713" s="30">
        <f t="shared" ca="1" si="134"/>
        <v>0.3771990740740741</v>
      </c>
      <c r="N1713" s="31"/>
      <c r="O1713" s="31">
        <v>24</v>
      </c>
      <c r="P1713" s="29">
        <v>23</v>
      </c>
      <c r="Q1713" s="29">
        <v>25</v>
      </c>
    </row>
    <row r="1714" spans="1:17" x14ac:dyDescent="0.35">
      <c r="A1714" s="26">
        <v>40000002715</v>
      </c>
      <c r="B1714" s="27">
        <v>1</v>
      </c>
      <c r="C1714" s="29" t="str">
        <f>LOOKUP(A1714,'QALS - Inspection Lot Record'!$A$2:$A$361,'QALS - Inspection Lot Record'!$O$2:$O$361)</f>
        <v>Metformin Tablets (500 MG)</v>
      </c>
      <c r="D1714" s="27">
        <v>10</v>
      </c>
      <c r="E1714" s="26" t="s">
        <v>399</v>
      </c>
      <c r="F1714" s="29" t="str">
        <f>LOOKUP(A1714,'QALS - Inspection Lot Record'!A:A,'QALS - Inspection Lot Record'!G:G)</f>
        <v>AB406550</v>
      </c>
      <c r="G1714" s="59">
        <f ca="1">LOOKUP(A1714,'QALS - Inspection Lot Record'!A:A,'QALS - Inspection Lot Record'!E:E)</f>
        <v>45977</v>
      </c>
      <c r="H1714" s="34" t="str">
        <f t="shared" si="135"/>
        <v>A</v>
      </c>
      <c r="I1714" s="29" t="str">
        <f t="shared" si="131"/>
        <v>AB406550</v>
      </c>
      <c r="J1714" s="59">
        <f t="shared" ca="1" si="132"/>
        <v>45977</v>
      </c>
      <c r="K1714" s="30">
        <f ca="1">LOOKUP(A1714,'QALS - Inspection Lot Record'!A:A,'QALS - Inspection Lot Record'!I:I)</f>
        <v>0.71016203703703706</v>
      </c>
      <c r="L1714" s="59">
        <f t="shared" ca="1" si="133"/>
        <v>45977</v>
      </c>
      <c r="M1714" s="30">
        <f t="shared" ca="1" si="134"/>
        <v>0.73865740740740748</v>
      </c>
      <c r="N1714" s="31"/>
      <c r="O1714" s="31">
        <v>100</v>
      </c>
      <c r="P1714" s="29">
        <v>95</v>
      </c>
      <c r="Q1714" s="29">
        <v>105</v>
      </c>
    </row>
    <row r="1715" spans="1:17" x14ac:dyDescent="0.35">
      <c r="A1715" s="26">
        <v>40000002715</v>
      </c>
      <c r="B1715" s="27">
        <v>1</v>
      </c>
      <c r="C1715" s="29" t="str">
        <f>LOOKUP(A1715,'QALS - Inspection Lot Record'!$A$2:$A$361,'QALS - Inspection Lot Record'!$O$2:$O$361)</f>
        <v>Metformin Tablets (500 MG)</v>
      </c>
      <c r="D1715" s="31">
        <v>20</v>
      </c>
      <c r="E1715" s="29" t="s">
        <v>400</v>
      </c>
      <c r="F1715" s="29" t="str">
        <f>LOOKUP(A1715,'QALS - Inspection Lot Record'!A:A,'QALS - Inspection Lot Record'!G:G)</f>
        <v>AB406550</v>
      </c>
      <c r="G1715" s="59">
        <f ca="1">LOOKUP(A1715,'QALS - Inspection Lot Record'!A:A,'QALS - Inspection Lot Record'!E:E)</f>
        <v>45977</v>
      </c>
      <c r="H1715" s="34" t="str">
        <f t="shared" si="135"/>
        <v>A</v>
      </c>
      <c r="I1715" s="29" t="str">
        <f t="shared" si="131"/>
        <v>AB406550</v>
      </c>
      <c r="J1715" s="59">
        <f t="shared" ca="1" si="132"/>
        <v>45977</v>
      </c>
      <c r="K1715" s="30">
        <f ca="1">LOOKUP(A1715,'QALS - Inspection Lot Record'!A:A,'QALS - Inspection Lot Record'!I:I)</f>
        <v>0.71016203703703706</v>
      </c>
      <c r="L1715" s="59">
        <f t="shared" ca="1" si="133"/>
        <v>45977</v>
      </c>
      <c r="M1715" s="30">
        <f t="shared" ca="1" si="134"/>
        <v>0.74358796296296303</v>
      </c>
      <c r="N1715" s="31"/>
      <c r="O1715" s="31">
        <v>7.25</v>
      </c>
      <c r="P1715" s="29">
        <v>3.5</v>
      </c>
      <c r="Q1715" s="29">
        <v>11</v>
      </c>
    </row>
    <row r="1716" spans="1:17" x14ac:dyDescent="0.35">
      <c r="A1716" s="26">
        <v>40000002715</v>
      </c>
      <c r="B1716" s="31">
        <v>1</v>
      </c>
      <c r="C1716" s="29" t="str">
        <f>LOOKUP(A1716,'QALS - Inspection Lot Record'!$A$2:$A$361,'QALS - Inspection Lot Record'!$O$2:$O$361)</f>
        <v>Metformin Tablets (500 MG)</v>
      </c>
      <c r="D1716" s="31">
        <v>30</v>
      </c>
      <c r="E1716" s="29" t="s">
        <v>401</v>
      </c>
      <c r="F1716" s="29" t="str">
        <f>LOOKUP(A1716,'QALS - Inspection Lot Record'!A:A,'QALS - Inspection Lot Record'!G:G)</f>
        <v>AB406550</v>
      </c>
      <c r="G1716" s="59">
        <f ca="1">LOOKUP(A1716,'QALS - Inspection Lot Record'!A:A,'QALS - Inspection Lot Record'!E:E)</f>
        <v>45977</v>
      </c>
      <c r="H1716" s="34" t="str">
        <f t="shared" si="135"/>
        <v>A</v>
      </c>
      <c r="I1716" s="29" t="str">
        <f t="shared" si="131"/>
        <v>AB406550</v>
      </c>
      <c r="J1716" s="59">
        <f t="shared" ca="1" si="132"/>
        <v>45977</v>
      </c>
      <c r="K1716" s="30">
        <f ca="1">LOOKUP(A1716,'QALS - Inspection Lot Record'!A:A,'QALS - Inspection Lot Record'!I:I)</f>
        <v>0.71016203703703706</v>
      </c>
      <c r="L1716" s="59">
        <f t="shared" ca="1" si="133"/>
        <v>45977</v>
      </c>
      <c r="M1716" s="30">
        <f t="shared" ca="1" si="134"/>
        <v>0.73548611111111117</v>
      </c>
      <c r="N1716" s="11" t="s">
        <v>402</v>
      </c>
      <c r="O1716" s="31"/>
      <c r="P1716" s="29"/>
      <c r="Q1716" s="29"/>
    </row>
    <row r="1717" spans="1:17" x14ac:dyDescent="0.35">
      <c r="A1717" s="26">
        <v>40000002715</v>
      </c>
      <c r="B1717" s="31">
        <v>1</v>
      </c>
      <c r="C1717" s="29" t="str">
        <f>LOOKUP(A1717,'QALS - Inspection Lot Record'!$A$2:$A$361,'QALS - Inspection Lot Record'!$O$2:$O$361)</f>
        <v>Metformin Tablets (500 MG)</v>
      </c>
      <c r="D1717" s="31">
        <v>40</v>
      </c>
      <c r="E1717" s="29" t="s">
        <v>403</v>
      </c>
      <c r="F1717" s="29" t="str">
        <f>LOOKUP(A1717,'QALS - Inspection Lot Record'!A:A,'QALS - Inspection Lot Record'!G:G)</f>
        <v>AB406550</v>
      </c>
      <c r="G1717" s="59">
        <f ca="1">LOOKUP(A1717,'QALS - Inspection Lot Record'!A:A,'QALS - Inspection Lot Record'!E:E)</f>
        <v>45977</v>
      </c>
      <c r="H1717" s="34" t="str">
        <f t="shared" si="135"/>
        <v>A</v>
      </c>
      <c r="I1717" s="29" t="str">
        <f t="shared" si="131"/>
        <v>AB406550</v>
      </c>
      <c r="J1717" s="59">
        <f t="shared" ca="1" si="132"/>
        <v>45977</v>
      </c>
      <c r="K1717" s="30">
        <f ca="1">LOOKUP(A1717,'QALS - Inspection Lot Record'!A:A,'QALS - Inspection Lot Record'!I:I)</f>
        <v>0.71016203703703706</v>
      </c>
      <c r="L1717" s="59">
        <f t="shared" ca="1" si="133"/>
        <v>45977</v>
      </c>
      <c r="M1717" s="30">
        <f t="shared" ca="1" si="134"/>
        <v>0.73056712962962966</v>
      </c>
      <c r="N1717" s="31"/>
      <c r="O1717" s="31">
        <v>0</v>
      </c>
      <c r="P1717" s="29">
        <v>0</v>
      </c>
      <c r="Q1717" s="29">
        <v>2</v>
      </c>
    </row>
    <row r="1718" spans="1:17" x14ac:dyDescent="0.35">
      <c r="A1718" s="26">
        <v>40000002715</v>
      </c>
      <c r="B1718" s="31">
        <v>1</v>
      </c>
      <c r="C1718" s="29" t="str">
        <f>LOOKUP(A1718,'QALS - Inspection Lot Record'!$A$2:$A$361,'QALS - Inspection Lot Record'!$O$2:$O$361)</f>
        <v>Metformin Tablets (500 MG)</v>
      </c>
      <c r="D1718" s="31">
        <v>50</v>
      </c>
      <c r="E1718" s="29" t="s">
        <v>404</v>
      </c>
      <c r="F1718" s="29" t="str">
        <f>LOOKUP(A1718,'QALS - Inspection Lot Record'!A:A,'QALS - Inspection Lot Record'!G:G)</f>
        <v>AB406550</v>
      </c>
      <c r="G1718" s="59">
        <f ca="1">LOOKUP(A1718,'QALS - Inspection Lot Record'!A:A,'QALS - Inspection Lot Record'!E:E)</f>
        <v>45977</v>
      </c>
      <c r="H1718" s="34" t="str">
        <f t="shared" si="135"/>
        <v>A</v>
      </c>
      <c r="I1718" s="29" t="str">
        <f t="shared" si="131"/>
        <v>AB406550</v>
      </c>
      <c r="J1718" s="59">
        <f t="shared" ca="1" si="132"/>
        <v>45977</v>
      </c>
      <c r="K1718" s="30">
        <f ca="1">LOOKUP(A1718,'QALS - Inspection Lot Record'!A:A,'QALS - Inspection Lot Record'!I:I)</f>
        <v>0.71016203703703706</v>
      </c>
      <c r="L1718" s="59">
        <f t="shared" ca="1" si="133"/>
        <v>45977</v>
      </c>
      <c r="M1718" s="30">
        <f t="shared" ca="1" si="134"/>
        <v>0.73894675925925923</v>
      </c>
      <c r="N1718" s="31"/>
      <c r="O1718" s="31">
        <v>50</v>
      </c>
      <c r="P1718" s="29">
        <v>40</v>
      </c>
      <c r="Q1718" s="29">
        <v>60</v>
      </c>
    </row>
    <row r="1719" spans="1:17" x14ac:dyDescent="0.35">
      <c r="A1719" s="26">
        <v>40000002715</v>
      </c>
      <c r="B1719" s="31">
        <v>1</v>
      </c>
      <c r="C1719" s="29" t="str">
        <f>LOOKUP(A1719,'QALS - Inspection Lot Record'!$A$2:$A$361,'QALS - Inspection Lot Record'!$O$2:$O$361)</f>
        <v>Metformin Tablets (500 MG)</v>
      </c>
      <c r="D1719" s="31">
        <v>60</v>
      </c>
      <c r="E1719" s="29" t="s">
        <v>405</v>
      </c>
      <c r="F1719" s="29" t="str">
        <f>LOOKUP(A1719,'QALS - Inspection Lot Record'!A:A,'QALS - Inspection Lot Record'!G:G)</f>
        <v>AB406550</v>
      </c>
      <c r="G1719" s="59">
        <f ca="1">LOOKUP(A1719,'QALS - Inspection Lot Record'!A:A,'QALS - Inspection Lot Record'!E:E)</f>
        <v>45977</v>
      </c>
      <c r="H1719" s="34" t="str">
        <f t="shared" si="135"/>
        <v>A</v>
      </c>
      <c r="I1719" s="29" t="str">
        <f t="shared" si="131"/>
        <v>AB406550</v>
      </c>
      <c r="J1719" s="59">
        <f t="shared" ca="1" si="132"/>
        <v>45977</v>
      </c>
      <c r="K1719" s="30">
        <f ca="1">LOOKUP(A1719,'QALS - Inspection Lot Record'!A:A,'QALS - Inspection Lot Record'!I:I)</f>
        <v>0.71016203703703706</v>
      </c>
      <c r="L1719" s="59">
        <f t="shared" ca="1" si="133"/>
        <v>45977</v>
      </c>
      <c r="M1719" s="30">
        <f t="shared" ca="1" si="134"/>
        <v>0.7377893518518519</v>
      </c>
      <c r="N1719" s="31"/>
      <c r="O1719" s="31">
        <v>77.5</v>
      </c>
      <c r="P1719" s="29">
        <v>70</v>
      </c>
      <c r="Q1719" s="29">
        <v>85</v>
      </c>
    </row>
    <row r="1720" spans="1:17" x14ac:dyDescent="0.35">
      <c r="A1720" s="26">
        <v>40000002715</v>
      </c>
      <c r="B1720" s="31">
        <v>1</v>
      </c>
      <c r="C1720" s="29" t="str">
        <f>LOOKUP(A1720,'QALS - Inspection Lot Record'!$A$2:$A$361,'QALS - Inspection Lot Record'!$O$2:$O$361)</f>
        <v>Metformin Tablets (500 MG)</v>
      </c>
      <c r="D1720" s="31">
        <v>70</v>
      </c>
      <c r="E1720" s="29" t="s">
        <v>406</v>
      </c>
      <c r="F1720" s="29" t="str">
        <f>LOOKUP(A1720,'QALS - Inspection Lot Record'!A:A,'QALS - Inspection Lot Record'!G:G)</f>
        <v>AB406550</v>
      </c>
      <c r="G1720" s="59">
        <f ca="1">LOOKUP(A1720,'QALS - Inspection Lot Record'!A:A,'QALS - Inspection Lot Record'!E:E)</f>
        <v>45977</v>
      </c>
      <c r="H1720" s="34" t="str">
        <f t="shared" si="135"/>
        <v>A</v>
      </c>
      <c r="I1720" s="29" t="str">
        <f t="shared" si="131"/>
        <v>AB406550</v>
      </c>
      <c r="J1720" s="59">
        <f t="shared" ca="1" si="132"/>
        <v>45977</v>
      </c>
      <c r="K1720" s="30">
        <f ca="1">LOOKUP(A1720,'QALS - Inspection Lot Record'!A:A,'QALS - Inspection Lot Record'!I:I)</f>
        <v>0.71016203703703706</v>
      </c>
      <c r="L1720" s="59">
        <f t="shared" ca="1" si="133"/>
        <v>45977</v>
      </c>
      <c r="M1720" s="30">
        <f t="shared" ca="1" si="134"/>
        <v>0.73322916666666671</v>
      </c>
      <c r="N1720" s="31"/>
      <c r="O1720" s="31">
        <v>85</v>
      </c>
      <c r="P1720" s="29">
        <v>80</v>
      </c>
      <c r="Q1720" s="29">
        <v>90</v>
      </c>
    </row>
    <row r="1721" spans="1:17" x14ac:dyDescent="0.35">
      <c r="A1721" s="26">
        <v>40000002715</v>
      </c>
      <c r="B1721" s="31">
        <v>1</v>
      </c>
      <c r="C1721" s="29" t="str">
        <f>LOOKUP(A1721,'QALS - Inspection Lot Record'!$A$2:$A$361,'QALS - Inspection Lot Record'!$O$2:$O$361)</f>
        <v>Metformin Tablets (500 MG)</v>
      </c>
      <c r="D1721" s="31">
        <v>80</v>
      </c>
      <c r="E1721" s="29" t="s">
        <v>407</v>
      </c>
      <c r="F1721" s="29" t="str">
        <f>LOOKUP(A1721,'QALS - Inspection Lot Record'!A:A,'QALS - Inspection Lot Record'!G:G)</f>
        <v>AB406550</v>
      </c>
      <c r="G1721" s="59">
        <f ca="1">LOOKUP(A1721,'QALS - Inspection Lot Record'!A:A,'QALS - Inspection Lot Record'!E:E)</f>
        <v>45977</v>
      </c>
      <c r="H1721" s="34" t="str">
        <f t="shared" si="135"/>
        <v>A</v>
      </c>
      <c r="I1721" s="29" t="str">
        <f t="shared" si="131"/>
        <v>AB406550</v>
      </c>
      <c r="J1721" s="59">
        <f t="shared" ca="1" si="132"/>
        <v>45977</v>
      </c>
      <c r="K1721" s="30">
        <f ca="1">LOOKUP(A1721,'QALS - Inspection Lot Record'!A:A,'QALS - Inspection Lot Record'!I:I)</f>
        <v>0.71016203703703706</v>
      </c>
      <c r="L1721" s="59">
        <f t="shared" ca="1" si="133"/>
        <v>45977</v>
      </c>
      <c r="M1721" s="30">
        <f t="shared" ca="1" si="134"/>
        <v>0.73616898148148147</v>
      </c>
      <c r="N1721" s="31"/>
      <c r="O1721" s="31">
        <v>25.5</v>
      </c>
      <c r="P1721" s="29">
        <v>23</v>
      </c>
      <c r="Q1721" s="29">
        <v>28</v>
      </c>
    </row>
    <row r="1722" spans="1:17" x14ac:dyDescent="0.35">
      <c r="A1722" s="26">
        <v>40000002716</v>
      </c>
      <c r="B1722" s="27">
        <v>1</v>
      </c>
      <c r="C1722" s="29" t="str">
        <f>LOOKUP(A1722,'QALS - Inspection Lot Record'!$A$2:$A$361,'QALS - Inspection Lot Record'!$O$2:$O$361)</f>
        <v>Metformin Tablets (500 MG)</v>
      </c>
      <c r="D1722" s="27">
        <v>10</v>
      </c>
      <c r="E1722" s="26" t="s">
        <v>399</v>
      </c>
      <c r="F1722" s="29" t="str">
        <f>LOOKUP(A1722,'QALS - Inspection Lot Record'!A:A,'QALS - Inspection Lot Record'!G:G)</f>
        <v>YA284176</v>
      </c>
      <c r="G1722" s="59">
        <f ca="1">LOOKUP(A1722,'QALS - Inspection Lot Record'!A:A,'QALS - Inspection Lot Record'!E:E)</f>
        <v>45977</v>
      </c>
      <c r="H1722" s="34" t="str">
        <f t="shared" si="135"/>
        <v>A</v>
      </c>
      <c r="I1722" s="29" t="str">
        <f t="shared" si="131"/>
        <v>YA284176</v>
      </c>
      <c r="J1722" s="59">
        <f t="shared" ca="1" si="132"/>
        <v>45977</v>
      </c>
      <c r="K1722" s="30">
        <f ca="1">LOOKUP(A1722,'QALS - Inspection Lot Record'!A:A,'QALS - Inspection Lot Record'!I:I)</f>
        <v>1.361111111111111E-2</v>
      </c>
      <c r="L1722" s="59">
        <f t="shared" ca="1" si="133"/>
        <v>45977</v>
      </c>
      <c r="M1722" s="30">
        <f t="shared" ca="1" si="134"/>
        <v>4.1203703703703701E-2</v>
      </c>
      <c r="N1722" s="31"/>
      <c r="O1722" s="31">
        <v>100</v>
      </c>
      <c r="P1722" s="29">
        <v>95</v>
      </c>
      <c r="Q1722" s="29">
        <v>105</v>
      </c>
    </row>
    <row r="1723" spans="1:17" x14ac:dyDescent="0.35">
      <c r="A1723" s="26">
        <v>40000002716</v>
      </c>
      <c r="B1723" s="27">
        <v>1</v>
      </c>
      <c r="C1723" s="29" t="str">
        <f>LOOKUP(A1723,'QALS - Inspection Lot Record'!$A$2:$A$361,'QALS - Inspection Lot Record'!$O$2:$O$361)</f>
        <v>Metformin Tablets (500 MG)</v>
      </c>
      <c r="D1723" s="31">
        <v>20</v>
      </c>
      <c r="E1723" s="29" t="s">
        <v>400</v>
      </c>
      <c r="F1723" s="29" t="str">
        <f>LOOKUP(A1723,'QALS - Inspection Lot Record'!A:A,'QALS - Inspection Lot Record'!G:G)</f>
        <v>YA284176</v>
      </c>
      <c r="G1723" s="59">
        <f ca="1">LOOKUP(A1723,'QALS - Inspection Lot Record'!A:A,'QALS - Inspection Lot Record'!E:E)</f>
        <v>45977</v>
      </c>
      <c r="H1723" s="34" t="str">
        <f t="shared" si="135"/>
        <v>A</v>
      </c>
      <c r="I1723" s="29" t="str">
        <f t="shared" si="131"/>
        <v>YA284176</v>
      </c>
      <c r="J1723" s="59">
        <f t="shared" ca="1" si="132"/>
        <v>45977</v>
      </c>
      <c r="K1723" s="30">
        <f ca="1">LOOKUP(A1723,'QALS - Inspection Lot Record'!A:A,'QALS - Inspection Lot Record'!I:I)</f>
        <v>1.361111111111111E-2</v>
      </c>
      <c r="L1723" s="59">
        <f t="shared" ca="1" si="133"/>
        <v>45977</v>
      </c>
      <c r="M1723" s="30">
        <f t="shared" ca="1" si="134"/>
        <v>4.2326388888888886E-2</v>
      </c>
      <c r="N1723" s="31"/>
      <c r="O1723" s="31">
        <v>7.25</v>
      </c>
      <c r="P1723" s="29">
        <v>3.5</v>
      </c>
      <c r="Q1723" s="29">
        <v>11</v>
      </c>
    </row>
    <row r="1724" spans="1:17" x14ac:dyDescent="0.35">
      <c r="A1724" s="26">
        <v>40000002716</v>
      </c>
      <c r="B1724" s="31">
        <v>1</v>
      </c>
      <c r="C1724" s="29" t="str">
        <f>LOOKUP(A1724,'QALS - Inspection Lot Record'!$A$2:$A$361,'QALS - Inspection Lot Record'!$O$2:$O$361)</f>
        <v>Metformin Tablets (500 MG)</v>
      </c>
      <c r="D1724" s="31">
        <v>30</v>
      </c>
      <c r="E1724" s="29" t="s">
        <v>401</v>
      </c>
      <c r="F1724" s="29" t="str">
        <f>LOOKUP(A1724,'QALS - Inspection Lot Record'!A:A,'QALS - Inspection Lot Record'!G:G)</f>
        <v>YA284176</v>
      </c>
      <c r="G1724" s="59">
        <f ca="1">LOOKUP(A1724,'QALS - Inspection Lot Record'!A:A,'QALS - Inspection Lot Record'!E:E)</f>
        <v>45977</v>
      </c>
      <c r="H1724" s="34" t="str">
        <f t="shared" si="135"/>
        <v>A</v>
      </c>
      <c r="I1724" s="29" t="str">
        <f t="shared" si="131"/>
        <v>YA284176</v>
      </c>
      <c r="J1724" s="59">
        <f t="shared" ca="1" si="132"/>
        <v>45977</v>
      </c>
      <c r="K1724" s="30">
        <f ca="1">LOOKUP(A1724,'QALS - Inspection Lot Record'!A:A,'QALS - Inspection Lot Record'!I:I)</f>
        <v>1.361111111111111E-2</v>
      </c>
      <c r="L1724" s="59">
        <f t="shared" ca="1" si="133"/>
        <v>45977</v>
      </c>
      <c r="M1724" s="30">
        <f t="shared" ca="1" si="134"/>
        <v>4.5740740740740742E-2</v>
      </c>
      <c r="N1724" s="11" t="s">
        <v>402</v>
      </c>
      <c r="O1724" s="31"/>
      <c r="P1724" s="29"/>
      <c r="Q1724" s="29"/>
    </row>
    <row r="1725" spans="1:17" x14ac:dyDescent="0.35">
      <c r="A1725" s="26">
        <v>40000002716</v>
      </c>
      <c r="B1725" s="31">
        <v>1</v>
      </c>
      <c r="C1725" s="29" t="str">
        <f>LOOKUP(A1725,'QALS - Inspection Lot Record'!$A$2:$A$361,'QALS - Inspection Lot Record'!$O$2:$O$361)</f>
        <v>Metformin Tablets (500 MG)</v>
      </c>
      <c r="D1725" s="31">
        <v>40</v>
      </c>
      <c r="E1725" s="29" t="s">
        <v>403</v>
      </c>
      <c r="F1725" s="29" t="str">
        <f>LOOKUP(A1725,'QALS - Inspection Lot Record'!A:A,'QALS - Inspection Lot Record'!G:G)</f>
        <v>YA284176</v>
      </c>
      <c r="G1725" s="59">
        <f ca="1">LOOKUP(A1725,'QALS - Inspection Lot Record'!A:A,'QALS - Inspection Lot Record'!E:E)</f>
        <v>45977</v>
      </c>
      <c r="H1725" s="34" t="str">
        <f t="shared" si="135"/>
        <v>A</v>
      </c>
      <c r="I1725" s="29" t="str">
        <f t="shared" si="131"/>
        <v>YA284176</v>
      </c>
      <c r="J1725" s="59">
        <f t="shared" ca="1" si="132"/>
        <v>45977</v>
      </c>
      <c r="K1725" s="30">
        <f ca="1">LOOKUP(A1725,'QALS - Inspection Lot Record'!A:A,'QALS - Inspection Lot Record'!I:I)</f>
        <v>1.361111111111111E-2</v>
      </c>
      <c r="L1725" s="59">
        <f t="shared" ca="1" si="133"/>
        <v>45977</v>
      </c>
      <c r="M1725" s="30">
        <f t="shared" ca="1" si="134"/>
        <v>4.0590277777777774E-2</v>
      </c>
      <c r="N1725" s="31"/>
      <c r="O1725" s="31">
        <v>0</v>
      </c>
      <c r="P1725" s="29">
        <v>0</v>
      </c>
      <c r="Q1725" s="29">
        <v>2</v>
      </c>
    </row>
    <row r="1726" spans="1:17" x14ac:dyDescent="0.35">
      <c r="A1726" s="26">
        <v>40000002716</v>
      </c>
      <c r="B1726" s="31">
        <v>1</v>
      </c>
      <c r="C1726" s="29" t="str">
        <f>LOOKUP(A1726,'QALS - Inspection Lot Record'!$A$2:$A$361,'QALS - Inspection Lot Record'!$O$2:$O$361)</f>
        <v>Metformin Tablets (500 MG)</v>
      </c>
      <c r="D1726" s="31">
        <v>50</v>
      </c>
      <c r="E1726" s="29" t="s">
        <v>404</v>
      </c>
      <c r="F1726" s="29" t="str">
        <f>LOOKUP(A1726,'QALS - Inspection Lot Record'!A:A,'QALS - Inspection Lot Record'!G:G)</f>
        <v>YA284176</v>
      </c>
      <c r="G1726" s="59">
        <f ca="1">LOOKUP(A1726,'QALS - Inspection Lot Record'!A:A,'QALS - Inspection Lot Record'!E:E)</f>
        <v>45977</v>
      </c>
      <c r="H1726" s="34" t="str">
        <f t="shared" si="135"/>
        <v>A</v>
      </c>
      <c r="I1726" s="29" t="str">
        <f t="shared" si="131"/>
        <v>YA284176</v>
      </c>
      <c r="J1726" s="59">
        <f t="shared" ca="1" si="132"/>
        <v>45977</v>
      </c>
      <c r="K1726" s="30">
        <f ca="1">LOOKUP(A1726,'QALS - Inspection Lot Record'!A:A,'QALS - Inspection Lot Record'!I:I)</f>
        <v>1.361111111111111E-2</v>
      </c>
      <c r="L1726" s="59">
        <f t="shared" ca="1" si="133"/>
        <v>45977</v>
      </c>
      <c r="M1726" s="30">
        <f t="shared" ca="1" si="134"/>
        <v>4.7337962962962964E-2</v>
      </c>
      <c r="N1726" s="31"/>
      <c r="O1726" s="31">
        <v>50</v>
      </c>
      <c r="P1726" s="29">
        <v>40</v>
      </c>
      <c r="Q1726" s="29">
        <v>60</v>
      </c>
    </row>
    <row r="1727" spans="1:17" x14ac:dyDescent="0.35">
      <c r="A1727" s="26">
        <v>40000002716</v>
      </c>
      <c r="B1727" s="31">
        <v>1</v>
      </c>
      <c r="C1727" s="29" t="str">
        <f>LOOKUP(A1727,'QALS - Inspection Lot Record'!$A$2:$A$361,'QALS - Inspection Lot Record'!$O$2:$O$361)</f>
        <v>Metformin Tablets (500 MG)</v>
      </c>
      <c r="D1727" s="31">
        <v>60</v>
      </c>
      <c r="E1727" s="29" t="s">
        <v>405</v>
      </c>
      <c r="F1727" s="29" t="str">
        <f>LOOKUP(A1727,'QALS - Inspection Lot Record'!A:A,'QALS - Inspection Lot Record'!G:G)</f>
        <v>YA284176</v>
      </c>
      <c r="G1727" s="59">
        <f ca="1">LOOKUP(A1727,'QALS - Inspection Lot Record'!A:A,'QALS - Inspection Lot Record'!E:E)</f>
        <v>45977</v>
      </c>
      <c r="H1727" s="34" t="str">
        <f t="shared" si="135"/>
        <v>A</v>
      </c>
      <c r="I1727" s="29" t="str">
        <f t="shared" si="131"/>
        <v>YA284176</v>
      </c>
      <c r="J1727" s="59">
        <f t="shared" ca="1" si="132"/>
        <v>45977</v>
      </c>
      <c r="K1727" s="30">
        <f ca="1">LOOKUP(A1727,'QALS - Inspection Lot Record'!A:A,'QALS - Inspection Lot Record'!I:I)</f>
        <v>1.361111111111111E-2</v>
      </c>
      <c r="L1727" s="59">
        <f t="shared" ca="1" si="133"/>
        <v>45977</v>
      </c>
      <c r="M1727" s="30">
        <f t="shared" ca="1" si="134"/>
        <v>4.386574074074074E-2</v>
      </c>
      <c r="N1727" s="31"/>
      <c r="O1727" s="31">
        <v>77.5</v>
      </c>
      <c r="P1727" s="29">
        <v>70</v>
      </c>
      <c r="Q1727" s="29">
        <v>85</v>
      </c>
    </row>
    <row r="1728" spans="1:17" x14ac:dyDescent="0.35">
      <c r="A1728" s="26">
        <v>40000002716</v>
      </c>
      <c r="B1728" s="31">
        <v>1</v>
      </c>
      <c r="C1728" s="29" t="str">
        <f>LOOKUP(A1728,'QALS - Inspection Lot Record'!$A$2:$A$361,'QALS - Inspection Lot Record'!$O$2:$O$361)</f>
        <v>Metformin Tablets (500 MG)</v>
      </c>
      <c r="D1728" s="31">
        <v>70</v>
      </c>
      <c r="E1728" s="29" t="s">
        <v>406</v>
      </c>
      <c r="F1728" s="29" t="str">
        <f>LOOKUP(A1728,'QALS - Inspection Lot Record'!A:A,'QALS - Inspection Lot Record'!G:G)</f>
        <v>YA284176</v>
      </c>
      <c r="G1728" s="59">
        <f ca="1">LOOKUP(A1728,'QALS - Inspection Lot Record'!A:A,'QALS - Inspection Lot Record'!E:E)</f>
        <v>45977</v>
      </c>
      <c r="H1728" s="34" t="str">
        <f t="shared" si="135"/>
        <v>A</v>
      </c>
      <c r="I1728" s="29" t="str">
        <f t="shared" si="131"/>
        <v>YA284176</v>
      </c>
      <c r="J1728" s="59">
        <f t="shared" ca="1" si="132"/>
        <v>45977</v>
      </c>
      <c r="K1728" s="30">
        <f ca="1">LOOKUP(A1728,'QALS - Inspection Lot Record'!A:A,'QALS - Inspection Lot Record'!I:I)</f>
        <v>1.361111111111111E-2</v>
      </c>
      <c r="L1728" s="59">
        <f t="shared" ca="1" si="133"/>
        <v>45977</v>
      </c>
      <c r="M1728" s="30">
        <f t="shared" ca="1" si="134"/>
        <v>4.8888888888888885E-2</v>
      </c>
      <c r="N1728" s="31"/>
      <c r="O1728" s="31">
        <v>85</v>
      </c>
      <c r="P1728" s="29">
        <v>80</v>
      </c>
      <c r="Q1728" s="29">
        <v>90</v>
      </c>
    </row>
    <row r="1729" spans="1:17" x14ac:dyDescent="0.35">
      <c r="A1729" s="26">
        <v>40000002716</v>
      </c>
      <c r="B1729" s="31">
        <v>1</v>
      </c>
      <c r="C1729" s="29" t="str">
        <f>LOOKUP(A1729,'QALS - Inspection Lot Record'!$A$2:$A$361,'QALS - Inspection Lot Record'!$O$2:$O$361)</f>
        <v>Metformin Tablets (500 MG)</v>
      </c>
      <c r="D1729" s="31">
        <v>80</v>
      </c>
      <c r="E1729" s="29" t="s">
        <v>407</v>
      </c>
      <c r="F1729" s="29" t="str">
        <f>LOOKUP(A1729,'QALS - Inspection Lot Record'!A:A,'QALS - Inspection Lot Record'!G:G)</f>
        <v>YA284176</v>
      </c>
      <c r="G1729" s="59">
        <f ca="1">LOOKUP(A1729,'QALS - Inspection Lot Record'!A:A,'QALS - Inspection Lot Record'!E:E)</f>
        <v>45977</v>
      </c>
      <c r="H1729" s="34" t="str">
        <f t="shared" si="135"/>
        <v>A</v>
      </c>
      <c r="I1729" s="29" t="str">
        <f t="shared" si="131"/>
        <v>YA284176</v>
      </c>
      <c r="J1729" s="59">
        <f t="shared" ca="1" si="132"/>
        <v>45977</v>
      </c>
      <c r="K1729" s="30">
        <f ca="1">LOOKUP(A1729,'QALS - Inspection Lot Record'!A:A,'QALS - Inspection Lot Record'!I:I)</f>
        <v>1.361111111111111E-2</v>
      </c>
      <c r="L1729" s="59">
        <f t="shared" ca="1" si="133"/>
        <v>45977</v>
      </c>
      <c r="M1729" s="30">
        <f t="shared" ca="1" si="134"/>
        <v>4.1111111111111112E-2</v>
      </c>
      <c r="N1729" s="31"/>
      <c r="O1729" s="31">
        <v>25.5</v>
      </c>
      <c r="P1729" s="29">
        <v>23</v>
      </c>
      <c r="Q1729" s="29">
        <v>28</v>
      </c>
    </row>
    <row r="1730" spans="1:17" x14ac:dyDescent="0.35">
      <c r="A1730" s="26">
        <v>40000002717</v>
      </c>
      <c r="B1730" s="27">
        <v>1</v>
      </c>
      <c r="C1730" s="29" t="str">
        <f>LOOKUP(A1730,'QALS - Inspection Lot Record'!$A$2:$A$361,'QALS - Inspection Lot Record'!$O$2:$O$361)</f>
        <v>Aspirin Tablets (500 MG)</v>
      </c>
      <c r="D1730" s="27">
        <v>10</v>
      </c>
      <c r="E1730" s="26" t="s">
        <v>399</v>
      </c>
      <c r="F1730" s="29" t="str">
        <f>LOOKUP(A1730,'QALS - Inspection Lot Record'!A:A,'QALS - Inspection Lot Record'!G:G)</f>
        <v>ZK384180</v>
      </c>
      <c r="G1730" s="59">
        <f ca="1">LOOKUP(A1730,'QALS - Inspection Lot Record'!A:A,'QALS - Inspection Lot Record'!E:E)</f>
        <v>45978</v>
      </c>
      <c r="H1730" s="34" t="str">
        <f t="shared" si="135"/>
        <v>A</v>
      </c>
      <c r="I1730" s="29" t="str">
        <f t="shared" ref="I1730:I1793" si="136">F1730</f>
        <v>ZK384180</v>
      </c>
      <c r="J1730" s="59">
        <f t="shared" ref="J1730:J1793" ca="1" si="137">G1730</f>
        <v>45978</v>
      </c>
      <c r="K1730" s="30">
        <f ca="1">LOOKUP(A1730,'QALS - Inspection Lot Record'!A:A,'QALS - Inspection Lot Record'!I:I)</f>
        <v>0.94797453703703705</v>
      </c>
      <c r="L1730" s="59">
        <f t="shared" ref="L1730:L1793" ca="1" si="138">G1730</f>
        <v>45978</v>
      </c>
      <c r="M1730" s="30">
        <f t="shared" ref="M1730:M1793" ca="1" si="139">K1730+TIME(0,RANDBETWEEN(25,50),RANDBETWEEN(0,59))</f>
        <v>0.97809027777777779</v>
      </c>
      <c r="N1730" s="31"/>
      <c r="O1730" s="31">
        <v>100</v>
      </c>
      <c r="P1730" s="29">
        <v>95</v>
      </c>
      <c r="Q1730" s="29">
        <v>105</v>
      </c>
    </row>
    <row r="1731" spans="1:17" x14ac:dyDescent="0.35">
      <c r="A1731" s="26">
        <v>40000002717</v>
      </c>
      <c r="B1731" s="27">
        <v>1</v>
      </c>
      <c r="C1731" s="29" t="str">
        <f>LOOKUP(A1731,'QALS - Inspection Lot Record'!$A$2:$A$361,'QALS - Inspection Lot Record'!$O$2:$O$361)</f>
        <v>Aspirin Tablets (500 MG)</v>
      </c>
      <c r="D1731" s="31">
        <v>20</v>
      </c>
      <c r="E1731" s="29" t="s">
        <v>400</v>
      </c>
      <c r="F1731" s="29" t="str">
        <f>LOOKUP(A1731,'QALS - Inspection Lot Record'!A:A,'QALS - Inspection Lot Record'!G:G)</f>
        <v>ZK384180</v>
      </c>
      <c r="G1731" s="59">
        <f ca="1">LOOKUP(A1731,'QALS - Inspection Lot Record'!A:A,'QALS - Inspection Lot Record'!E:E)</f>
        <v>45978</v>
      </c>
      <c r="H1731" s="34" t="str">
        <f t="shared" si="135"/>
        <v>A</v>
      </c>
      <c r="I1731" s="29" t="str">
        <f t="shared" si="136"/>
        <v>ZK384180</v>
      </c>
      <c r="J1731" s="59">
        <f t="shared" ca="1" si="137"/>
        <v>45978</v>
      </c>
      <c r="K1731" s="30">
        <f ca="1">LOOKUP(A1731,'QALS - Inspection Lot Record'!A:A,'QALS - Inspection Lot Record'!I:I)</f>
        <v>0.94797453703703705</v>
      </c>
      <c r="L1731" s="59">
        <f t="shared" ca="1" si="138"/>
        <v>45978</v>
      </c>
      <c r="M1731" s="30">
        <f t="shared" ca="1" si="139"/>
        <v>0.974212962962963</v>
      </c>
      <c r="N1731" s="31"/>
      <c r="O1731" s="31">
        <v>7.25</v>
      </c>
      <c r="P1731" s="29">
        <v>3.5</v>
      </c>
      <c r="Q1731" s="29">
        <v>11</v>
      </c>
    </row>
    <row r="1732" spans="1:17" x14ac:dyDescent="0.35">
      <c r="A1732" s="26">
        <v>40000002717</v>
      </c>
      <c r="B1732" s="31">
        <v>1</v>
      </c>
      <c r="C1732" s="29" t="str">
        <f>LOOKUP(A1732,'QALS - Inspection Lot Record'!$A$2:$A$361,'QALS - Inspection Lot Record'!$O$2:$O$361)</f>
        <v>Aspirin Tablets (500 MG)</v>
      </c>
      <c r="D1732" s="31">
        <v>30</v>
      </c>
      <c r="E1732" s="29" t="s">
        <v>401</v>
      </c>
      <c r="F1732" s="29" t="str">
        <f>LOOKUP(A1732,'QALS - Inspection Lot Record'!A:A,'QALS - Inspection Lot Record'!G:G)</f>
        <v>ZK384180</v>
      </c>
      <c r="G1732" s="59">
        <f ca="1">LOOKUP(A1732,'QALS - Inspection Lot Record'!A:A,'QALS - Inspection Lot Record'!E:E)</f>
        <v>45978</v>
      </c>
      <c r="H1732" s="34" t="str">
        <f t="shared" si="135"/>
        <v>A</v>
      </c>
      <c r="I1732" s="29" t="str">
        <f t="shared" si="136"/>
        <v>ZK384180</v>
      </c>
      <c r="J1732" s="59">
        <f t="shared" ca="1" si="137"/>
        <v>45978</v>
      </c>
      <c r="K1732" s="30">
        <f ca="1">LOOKUP(A1732,'QALS - Inspection Lot Record'!A:A,'QALS - Inspection Lot Record'!I:I)</f>
        <v>0.94797453703703705</v>
      </c>
      <c r="L1732" s="59">
        <f t="shared" ca="1" si="138"/>
        <v>45978</v>
      </c>
      <c r="M1732" s="30">
        <f t="shared" ca="1" si="139"/>
        <v>0.97307870370370375</v>
      </c>
      <c r="N1732" s="11" t="s">
        <v>402</v>
      </c>
      <c r="O1732" s="31"/>
      <c r="P1732" s="29"/>
      <c r="Q1732" s="29"/>
    </row>
    <row r="1733" spans="1:17" x14ac:dyDescent="0.35">
      <c r="A1733" s="26">
        <v>40000002717</v>
      </c>
      <c r="B1733" s="31">
        <v>1</v>
      </c>
      <c r="C1733" s="29" t="str">
        <f>LOOKUP(A1733,'QALS - Inspection Lot Record'!$A$2:$A$361,'QALS - Inspection Lot Record'!$O$2:$O$361)</f>
        <v>Aspirin Tablets (500 MG)</v>
      </c>
      <c r="D1733" s="31">
        <v>40</v>
      </c>
      <c r="E1733" s="29" t="s">
        <v>403</v>
      </c>
      <c r="F1733" s="29" t="str">
        <f>LOOKUP(A1733,'QALS - Inspection Lot Record'!A:A,'QALS - Inspection Lot Record'!G:G)</f>
        <v>ZK384180</v>
      </c>
      <c r="G1733" s="59">
        <f ca="1">LOOKUP(A1733,'QALS - Inspection Lot Record'!A:A,'QALS - Inspection Lot Record'!E:E)</f>
        <v>45978</v>
      </c>
      <c r="H1733" s="34" t="str">
        <f t="shared" si="135"/>
        <v>A</v>
      </c>
      <c r="I1733" s="29" t="str">
        <f t="shared" si="136"/>
        <v>ZK384180</v>
      </c>
      <c r="J1733" s="59">
        <f t="shared" ca="1" si="137"/>
        <v>45978</v>
      </c>
      <c r="K1733" s="30">
        <f ca="1">LOOKUP(A1733,'QALS - Inspection Lot Record'!A:A,'QALS - Inspection Lot Record'!I:I)</f>
        <v>0.94797453703703705</v>
      </c>
      <c r="L1733" s="59">
        <f t="shared" ca="1" si="138"/>
        <v>45978</v>
      </c>
      <c r="M1733" s="30">
        <f t="shared" ca="1" si="139"/>
        <v>0.97313657407407406</v>
      </c>
      <c r="N1733" s="31"/>
      <c r="O1733" s="31">
        <v>0</v>
      </c>
      <c r="P1733" s="29">
        <v>0</v>
      </c>
      <c r="Q1733" s="29">
        <v>2.5</v>
      </c>
    </row>
    <row r="1734" spans="1:17" x14ac:dyDescent="0.35">
      <c r="A1734" s="26">
        <v>40000002717</v>
      </c>
      <c r="B1734" s="31">
        <v>1</v>
      </c>
      <c r="C1734" s="29" t="str">
        <f>LOOKUP(A1734,'QALS - Inspection Lot Record'!$A$2:$A$361,'QALS - Inspection Lot Record'!$O$2:$O$361)</f>
        <v>Aspirin Tablets (500 MG)</v>
      </c>
      <c r="D1734" s="31">
        <v>50</v>
      </c>
      <c r="E1734" s="29" t="s">
        <v>404</v>
      </c>
      <c r="F1734" s="29" t="str">
        <f>LOOKUP(A1734,'QALS - Inspection Lot Record'!A:A,'QALS - Inspection Lot Record'!G:G)</f>
        <v>ZK384180</v>
      </c>
      <c r="G1734" s="59">
        <f ca="1">LOOKUP(A1734,'QALS - Inspection Lot Record'!A:A,'QALS - Inspection Lot Record'!E:E)</f>
        <v>45978</v>
      </c>
      <c r="H1734" s="34" t="str">
        <f t="shared" si="135"/>
        <v>A</v>
      </c>
      <c r="I1734" s="29" t="str">
        <f t="shared" si="136"/>
        <v>ZK384180</v>
      </c>
      <c r="J1734" s="59">
        <f t="shared" ca="1" si="137"/>
        <v>45978</v>
      </c>
      <c r="K1734" s="30">
        <f ca="1">LOOKUP(A1734,'QALS - Inspection Lot Record'!A:A,'QALS - Inspection Lot Record'!I:I)</f>
        <v>0.94797453703703705</v>
      </c>
      <c r="L1734" s="59">
        <f t="shared" ca="1" si="138"/>
        <v>45978</v>
      </c>
      <c r="M1734" s="30">
        <f t="shared" ca="1" si="139"/>
        <v>0.96820601851851851</v>
      </c>
      <c r="N1734" s="31"/>
      <c r="O1734" s="31">
        <v>50</v>
      </c>
      <c r="P1734" s="29">
        <v>40</v>
      </c>
      <c r="Q1734" s="29">
        <v>60</v>
      </c>
    </row>
    <row r="1735" spans="1:17" x14ac:dyDescent="0.35">
      <c r="A1735" s="26">
        <v>40000002717</v>
      </c>
      <c r="B1735" s="31">
        <v>1</v>
      </c>
      <c r="C1735" s="29" t="str">
        <f>LOOKUP(A1735,'QALS - Inspection Lot Record'!$A$2:$A$361,'QALS - Inspection Lot Record'!$O$2:$O$361)</f>
        <v>Aspirin Tablets (500 MG)</v>
      </c>
      <c r="D1735" s="31">
        <v>60</v>
      </c>
      <c r="E1735" s="29" t="s">
        <v>405</v>
      </c>
      <c r="F1735" s="29" t="str">
        <f>LOOKUP(A1735,'QALS - Inspection Lot Record'!A:A,'QALS - Inspection Lot Record'!G:G)</f>
        <v>ZK384180</v>
      </c>
      <c r="G1735" s="59">
        <f ca="1">LOOKUP(A1735,'QALS - Inspection Lot Record'!A:A,'QALS - Inspection Lot Record'!E:E)</f>
        <v>45978</v>
      </c>
      <c r="H1735" s="34" t="str">
        <f t="shared" si="135"/>
        <v>A</v>
      </c>
      <c r="I1735" s="29" t="str">
        <f t="shared" si="136"/>
        <v>ZK384180</v>
      </c>
      <c r="J1735" s="59">
        <f t="shared" ca="1" si="137"/>
        <v>45978</v>
      </c>
      <c r="K1735" s="30">
        <f ca="1">LOOKUP(A1735,'QALS - Inspection Lot Record'!A:A,'QALS - Inspection Lot Record'!I:I)</f>
        <v>0.94797453703703705</v>
      </c>
      <c r="L1735" s="59">
        <f t="shared" ca="1" si="138"/>
        <v>45978</v>
      </c>
      <c r="M1735" s="30">
        <f t="shared" ca="1" si="139"/>
        <v>0.97650462962962958</v>
      </c>
      <c r="N1735" s="31"/>
      <c r="O1735" s="31">
        <v>77.5</v>
      </c>
      <c r="P1735" s="29">
        <v>70</v>
      </c>
      <c r="Q1735" s="29">
        <v>85</v>
      </c>
    </row>
    <row r="1736" spans="1:17" x14ac:dyDescent="0.35">
      <c r="A1736" s="26">
        <v>40000002717</v>
      </c>
      <c r="B1736" s="31">
        <v>1</v>
      </c>
      <c r="C1736" s="29" t="str">
        <f>LOOKUP(A1736,'QALS - Inspection Lot Record'!$A$2:$A$361,'QALS - Inspection Lot Record'!$O$2:$O$361)</f>
        <v>Aspirin Tablets (500 MG)</v>
      </c>
      <c r="D1736" s="31">
        <v>70</v>
      </c>
      <c r="E1736" s="29" t="s">
        <v>406</v>
      </c>
      <c r="F1736" s="29" t="str">
        <f>LOOKUP(A1736,'QALS - Inspection Lot Record'!A:A,'QALS - Inspection Lot Record'!G:G)</f>
        <v>ZK384180</v>
      </c>
      <c r="G1736" s="59">
        <f ca="1">LOOKUP(A1736,'QALS - Inspection Lot Record'!A:A,'QALS - Inspection Lot Record'!E:E)</f>
        <v>45978</v>
      </c>
      <c r="H1736" s="34" t="str">
        <f t="shared" si="135"/>
        <v>A</v>
      </c>
      <c r="I1736" s="29" t="str">
        <f t="shared" si="136"/>
        <v>ZK384180</v>
      </c>
      <c r="J1736" s="59">
        <f t="shared" ca="1" si="137"/>
        <v>45978</v>
      </c>
      <c r="K1736" s="30">
        <f ca="1">LOOKUP(A1736,'QALS - Inspection Lot Record'!A:A,'QALS - Inspection Lot Record'!I:I)</f>
        <v>0.94797453703703705</v>
      </c>
      <c r="L1736" s="59">
        <f t="shared" ca="1" si="138"/>
        <v>45978</v>
      </c>
      <c r="M1736" s="30">
        <f t="shared" ca="1" si="139"/>
        <v>0.98003472222222221</v>
      </c>
      <c r="N1736" s="31"/>
      <c r="O1736" s="31">
        <v>85</v>
      </c>
      <c r="P1736" s="29">
        <v>80</v>
      </c>
      <c r="Q1736" s="29">
        <v>90</v>
      </c>
    </row>
    <row r="1737" spans="1:17" x14ac:dyDescent="0.35">
      <c r="A1737" s="26">
        <v>40000002717</v>
      </c>
      <c r="B1737" s="31">
        <v>1</v>
      </c>
      <c r="C1737" s="29" t="str">
        <f>LOOKUP(A1737,'QALS - Inspection Lot Record'!$A$2:$A$361,'QALS - Inspection Lot Record'!$O$2:$O$361)</f>
        <v>Aspirin Tablets (500 MG)</v>
      </c>
      <c r="D1737" s="31">
        <v>80</v>
      </c>
      <c r="E1737" s="29" t="s">
        <v>407</v>
      </c>
      <c r="F1737" s="29" t="str">
        <f>LOOKUP(A1737,'QALS - Inspection Lot Record'!A:A,'QALS - Inspection Lot Record'!G:G)</f>
        <v>ZK384180</v>
      </c>
      <c r="G1737" s="59">
        <f ca="1">LOOKUP(A1737,'QALS - Inspection Lot Record'!A:A,'QALS - Inspection Lot Record'!E:E)</f>
        <v>45978</v>
      </c>
      <c r="H1737" s="34" t="str">
        <f t="shared" si="135"/>
        <v>A</v>
      </c>
      <c r="I1737" s="29" t="str">
        <f t="shared" si="136"/>
        <v>ZK384180</v>
      </c>
      <c r="J1737" s="59">
        <f t="shared" ca="1" si="137"/>
        <v>45978</v>
      </c>
      <c r="K1737" s="30">
        <f ca="1">LOOKUP(A1737,'QALS - Inspection Lot Record'!A:A,'QALS - Inspection Lot Record'!I:I)</f>
        <v>0.94797453703703705</v>
      </c>
      <c r="L1737" s="59">
        <f t="shared" ca="1" si="138"/>
        <v>45978</v>
      </c>
      <c r="M1737" s="30">
        <f t="shared" ca="1" si="139"/>
        <v>0.96826388888888892</v>
      </c>
      <c r="N1737" s="31"/>
      <c r="O1737" s="31">
        <v>25.5</v>
      </c>
      <c r="P1737" s="29">
        <v>23</v>
      </c>
      <c r="Q1737" s="29">
        <v>28</v>
      </c>
    </row>
    <row r="1738" spans="1:17" x14ac:dyDescent="0.35">
      <c r="A1738" s="26">
        <v>40000002718</v>
      </c>
      <c r="B1738" s="27">
        <v>1</v>
      </c>
      <c r="C1738" s="29" t="str">
        <f>LOOKUP(A1738,'QALS - Inspection Lot Record'!$A$2:$A$361,'QALS - Inspection Lot Record'!$O$2:$O$361)</f>
        <v>Ibuprofen Tablets (100 MG)</v>
      </c>
      <c r="D1738" s="27">
        <v>10</v>
      </c>
      <c r="E1738" s="26" t="s">
        <v>399</v>
      </c>
      <c r="F1738" s="29" t="str">
        <f>LOOKUP(A1738,'QALS - Inspection Lot Record'!A:A,'QALS - Inspection Lot Record'!G:G)</f>
        <v>TG509538</v>
      </c>
      <c r="G1738" s="59">
        <f ca="1">LOOKUP(A1738,'QALS - Inspection Lot Record'!A:A,'QALS - Inspection Lot Record'!E:E)</f>
        <v>45978</v>
      </c>
      <c r="H1738" s="34" t="str">
        <f t="shared" ref="H1738:H1801" si="140">IF(AND(P1738&lt;=O1738,O1738&lt;=Q1738),"A","R")</f>
        <v>A</v>
      </c>
      <c r="I1738" s="29" t="str">
        <f t="shared" si="136"/>
        <v>TG509538</v>
      </c>
      <c r="J1738" s="59">
        <f t="shared" ca="1" si="137"/>
        <v>45978</v>
      </c>
      <c r="K1738" s="30">
        <f ca="1">LOOKUP(A1738,'QALS - Inspection Lot Record'!A:A,'QALS - Inspection Lot Record'!I:I)</f>
        <v>8.6898148148148155E-2</v>
      </c>
      <c r="L1738" s="59">
        <f t="shared" ca="1" si="138"/>
        <v>45978</v>
      </c>
      <c r="M1738" s="30">
        <f t="shared" ca="1" si="139"/>
        <v>0.11811342592592594</v>
      </c>
      <c r="N1738" s="31"/>
      <c r="O1738" s="31">
        <v>98.5</v>
      </c>
      <c r="P1738" s="29">
        <v>95</v>
      </c>
      <c r="Q1738" s="29">
        <v>102</v>
      </c>
    </row>
    <row r="1739" spans="1:17" x14ac:dyDescent="0.35">
      <c r="A1739" s="26">
        <v>40000002718</v>
      </c>
      <c r="B1739" s="27">
        <v>1</v>
      </c>
      <c r="C1739" s="29" t="str">
        <f>LOOKUP(A1739,'QALS - Inspection Lot Record'!$A$2:$A$361,'QALS - Inspection Lot Record'!$O$2:$O$361)</f>
        <v>Ibuprofen Tablets (100 MG)</v>
      </c>
      <c r="D1739" s="31">
        <v>20</v>
      </c>
      <c r="E1739" s="29" t="s">
        <v>400</v>
      </c>
      <c r="F1739" s="29" t="str">
        <f>LOOKUP(A1739,'QALS - Inspection Lot Record'!A:A,'QALS - Inspection Lot Record'!G:G)</f>
        <v>TG509538</v>
      </c>
      <c r="G1739" s="59">
        <f ca="1">LOOKUP(A1739,'QALS - Inspection Lot Record'!A:A,'QALS - Inspection Lot Record'!E:E)</f>
        <v>45978</v>
      </c>
      <c r="H1739" s="34" t="str">
        <f t="shared" si="140"/>
        <v>A</v>
      </c>
      <c r="I1739" s="29" t="str">
        <f t="shared" si="136"/>
        <v>TG509538</v>
      </c>
      <c r="J1739" s="59">
        <f t="shared" ca="1" si="137"/>
        <v>45978</v>
      </c>
      <c r="K1739" s="30">
        <f ca="1">LOOKUP(A1739,'QALS - Inspection Lot Record'!A:A,'QALS - Inspection Lot Record'!I:I)</f>
        <v>8.6898148148148155E-2</v>
      </c>
      <c r="L1739" s="59">
        <f t="shared" ca="1" si="138"/>
        <v>45978</v>
      </c>
      <c r="M1739" s="30">
        <f t="shared" ca="1" si="139"/>
        <v>0.11450231481481482</v>
      </c>
      <c r="N1739" s="31"/>
      <c r="O1739" s="31">
        <v>7.25</v>
      </c>
      <c r="P1739" s="29">
        <v>3.5</v>
      </c>
      <c r="Q1739" s="29">
        <v>11</v>
      </c>
    </row>
    <row r="1740" spans="1:17" x14ac:dyDescent="0.35">
      <c r="A1740" s="26">
        <v>40000002718</v>
      </c>
      <c r="B1740" s="31">
        <v>1</v>
      </c>
      <c r="C1740" s="29" t="str">
        <f>LOOKUP(A1740,'QALS - Inspection Lot Record'!$A$2:$A$361,'QALS - Inspection Lot Record'!$O$2:$O$361)</f>
        <v>Ibuprofen Tablets (100 MG)</v>
      </c>
      <c r="D1740" s="31">
        <v>30</v>
      </c>
      <c r="E1740" s="29" t="s">
        <v>401</v>
      </c>
      <c r="F1740" s="29" t="str">
        <f>LOOKUP(A1740,'QALS - Inspection Lot Record'!A:A,'QALS - Inspection Lot Record'!G:G)</f>
        <v>TG509538</v>
      </c>
      <c r="G1740" s="59">
        <f ca="1">LOOKUP(A1740,'QALS - Inspection Lot Record'!A:A,'QALS - Inspection Lot Record'!E:E)</f>
        <v>45978</v>
      </c>
      <c r="H1740" s="34" t="str">
        <f t="shared" si="140"/>
        <v>A</v>
      </c>
      <c r="I1740" s="29" t="str">
        <f t="shared" si="136"/>
        <v>TG509538</v>
      </c>
      <c r="J1740" s="59">
        <f t="shared" ca="1" si="137"/>
        <v>45978</v>
      </c>
      <c r="K1740" s="30">
        <f ca="1">LOOKUP(A1740,'QALS - Inspection Lot Record'!A:A,'QALS - Inspection Lot Record'!I:I)</f>
        <v>8.6898148148148155E-2</v>
      </c>
      <c r="L1740" s="59">
        <f t="shared" ca="1" si="138"/>
        <v>45978</v>
      </c>
      <c r="M1740" s="30">
        <f t="shared" ca="1" si="139"/>
        <v>0.11851851851851852</v>
      </c>
      <c r="N1740" s="11" t="s">
        <v>402</v>
      </c>
      <c r="O1740" s="31"/>
      <c r="P1740" s="29"/>
      <c r="Q1740" s="29"/>
    </row>
    <row r="1741" spans="1:17" x14ac:dyDescent="0.35">
      <c r="A1741" s="26">
        <v>40000002718</v>
      </c>
      <c r="B1741" s="31">
        <v>1</v>
      </c>
      <c r="C1741" s="29" t="str">
        <f>LOOKUP(A1741,'QALS - Inspection Lot Record'!$A$2:$A$361,'QALS - Inspection Lot Record'!$O$2:$O$361)</f>
        <v>Ibuprofen Tablets (100 MG)</v>
      </c>
      <c r="D1741" s="31">
        <v>40</v>
      </c>
      <c r="E1741" s="29" t="s">
        <v>403</v>
      </c>
      <c r="F1741" s="29" t="str">
        <f>LOOKUP(A1741,'QALS - Inspection Lot Record'!A:A,'QALS - Inspection Lot Record'!G:G)</f>
        <v>TG509538</v>
      </c>
      <c r="G1741" s="59">
        <f ca="1">LOOKUP(A1741,'QALS - Inspection Lot Record'!A:A,'QALS - Inspection Lot Record'!E:E)</f>
        <v>45978</v>
      </c>
      <c r="H1741" s="34" t="str">
        <f t="shared" si="140"/>
        <v>A</v>
      </c>
      <c r="I1741" s="29" t="str">
        <f t="shared" si="136"/>
        <v>TG509538</v>
      </c>
      <c r="J1741" s="59">
        <f t="shared" ca="1" si="137"/>
        <v>45978</v>
      </c>
      <c r="K1741" s="30">
        <f ca="1">LOOKUP(A1741,'QALS - Inspection Lot Record'!A:A,'QALS - Inspection Lot Record'!I:I)</f>
        <v>8.6898148148148155E-2</v>
      </c>
      <c r="L1741" s="59">
        <f t="shared" ca="1" si="138"/>
        <v>45978</v>
      </c>
      <c r="M1741" s="30">
        <f t="shared" ca="1" si="139"/>
        <v>0.11619212962962963</v>
      </c>
      <c r="N1741" s="31"/>
      <c r="O1741" s="31">
        <v>0</v>
      </c>
      <c r="P1741" s="29">
        <v>0</v>
      </c>
      <c r="Q1741" s="29">
        <v>1</v>
      </c>
    </row>
    <row r="1742" spans="1:17" x14ac:dyDescent="0.35">
      <c r="A1742" s="26">
        <v>40000002718</v>
      </c>
      <c r="B1742" s="31">
        <v>1</v>
      </c>
      <c r="C1742" s="29" t="str">
        <f>LOOKUP(A1742,'QALS - Inspection Lot Record'!$A$2:$A$361,'QALS - Inspection Lot Record'!$O$2:$O$361)</f>
        <v>Ibuprofen Tablets (100 MG)</v>
      </c>
      <c r="D1742" s="31">
        <v>50</v>
      </c>
      <c r="E1742" s="29" t="s">
        <v>404</v>
      </c>
      <c r="F1742" s="29" t="str">
        <f>LOOKUP(A1742,'QALS - Inspection Lot Record'!A:A,'QALS - Inspection Lot Record'!G:G)</f>
        <v>TG509538</v>
      </c>
      <c r="G1742" s="59">
        <f ca="1">LOOKUP(A1742,'QALS - Inspection Lot Record'!A:A,'QALS - Inspection Lot Record'!E:E)</f>
        <v>45978</v>
      </c>
      <c r="H1742" s="34" t="str">
        <f t="shared" si="140"/>
        <v>A</v>
      </c>
      <c r="I1742" s="29" t="str">
        <f t="shared" si="136"/>
        <v>TG509538</v>
      </c>
      <c r="J1742" s="59">
        <f t="shared" ca="1" si="137"/>
        <v>45978</v>
      </c>
      <c r="K1742" s="30">
        <f ca="1">LOOKUP(A1742,'QALS - Inspection Lot Record'!A:A,'QALS - Inspection Lot Record'!I:I)</f>
        <v>8.6898148148148155E-2</v>
      </c>
      <c r="L1742" s="59">
        <f t="shared" ca="1" si="138"/>
        <v>45978</v>
      </c>
      <c r="M1742" s="30">
        <f t="shared" ca="1" si="139"/>
        <v>0.10668981481481482</v>
      </c>
      <c r="N1742" s="31"/>
      <c r="O1742" s="31">
        <v>50</v>
      </c>
      <c r="P1742" s="29">
        <v>40</v>
      </c>
      <c r="Q1742" s="29">
        <v>60</v>
      </c>
    </row>
    <row r="1743" spans="1:17" x14ac:dyDescent="0.35">
      <c r="A1743" s="26">
        <v>40000002718</v>
      </c>
      <c r="B1743" s="31">
        <v>1</v>
      </c>
      <c r="C1743" s="29" t="str">
        <f>LOOKUP(A1743,'QALS - Inspection Lot Record'!$A$2:$A$361,'QALS - Inspection Lot Record'!$O$2:$O$361)</f>
        <v>Ibuprofen Tablets (100 MG)</v>
      </c>
      <c r="D1743" s="31">
        <v>60</v>
      </c>
      <c r="E1743" s="29" t="s">
        <v>405</v>
      </c>
      <c r="F1743" s="29" t="str">
        <f>LOOKUP(A1743,'QALS - Inspection Lot Record'!A:A,'QALS - Inspection Lot Record'!G:G)</f>
        <v>TG509538</v>
      </c>
      <c r="G1743" s="59">
        <f ca="1">LOOKUP(A1743,'QALS - Inspection Lot Record'!A:A,'QALS - Inspection Lot Record'!E:E)</f>
        <v>45978</v>
      </c>
      <c r="H1743" s="34" t="str">
        <f t="shared" si="140"/>
        <v>A</v>
      </c>
      <c r="I1743" s="29" t="str">
        <f t="shared" si="136"/>
        <v>TG509538</v>
      </c>
      <c r="J1743" s="59">
        <f t="shared" ca="1" si="137"/>
        <v>45978</v>
      </c>
      <c r="K1743" s="30">
        <f ca="1">LOOKUP(A1743,'QALS - Inspection Lot Record'!A:A,'QALS - Inspection Lot Record'!I:I)</f>
        <v>8.6898148148148155E-2</v>
      </c>
      <c r="L1743" s="59">
        <f t="shared" ca="1" si="138"/>
        <v>45978</v>
      </c>
      <c r="M1743" s="30">
        <f t="shared" ca="1" si="139"/>
        <v>0.10851851851851853</v>
      </c>
      <c r="N1743" s="31"/>
      <c r="O1743" s="31">
        <v>77.5</v>
      </c>
      <c r="P1743" s="29">
        <v>70</v>
      </c>
      <c r="Q1743" s="29">
        <v>85</v>
      </c>
    </row>
    <row r="1744" spans="1:17" x14ac:dyDescent="0.35">
      <c r="A1744" s="26">
        <v>40000002718</v>
      </c>
      <c r="B1744" s="31">
        <v>1</v>
      </c>
      <c r="C1744" s="29" t="str">
        <f>LOOKUP(A1744,'QALS - Inspection Lot Record'!$A$2:$A$361,'QALS - Inspection Lot Record'!$O$2:$O$361)</f>
        <v>Ibuprofen Tablets (100 MG)</v>
      </c>
      <c r="D1744" s="31">
        <v>70</v>
      </c>
      <c r="E1744" s="29" t="s">
        <v>406</v>
      </c>
      <c r="F1744" s="29" t="str">
        <f>LOOKUP(A1744,'QALS - Inspection Lot Record'!A:A,'QALS - Inspection Lot Record'!G:G)</f>
        <v>TG509538</v>
      </c>
      <c r="G1744" s="59">
        <f ca="1">LOOKUP(A1744,'QALS - Inspection Lot Record'!A:A,'QALS - Inspection Lot Record'!E:E)</f>
        <v>45978</v>
      </c>
      <c r="H1744" s="34" t="str">
        <f t="shared" si="140"/>
        <v>A</v>
      </c>
      <c r="I1744" s="29" t="str">
        <f t="shared" si="136"/>
        <v>TG509538</v>
      </c>
      <c r="J1744" s="59">
        <f t="shared" ca="1" si="137"/>
        <v>45978</v>
      </c>
      <c r="K1744" s="30">
        <f ca="1">LOOKUP(A1744,'QALS - Inspection Lot Record'!A:A,'QALS - Inspection Lot Record'!I:I)</f>
        <v>8.6898148148148155E-2</v>
      </c>
      <c r="L1744" s="59">
        <f t="shared" ca="1" si="138"/>
        <v>45978</v>
      </c>
      <c r="M1744" s="30">
        <f t="shared" ca="1" si="139"/>
        <v>0.11202546296296297</v>
      </c>
      <c r="N1744" s="31"/>
      <c r="O1744" s="31">
        <v>85</v>
      </c>
      <c r="P1744" s="29">
        <v>80</v>
      </c>
      <c r="Q1744" s="29">
        <v>90</v>
      </c>
    </row>
    <row r="1745" spans="1:17" x14ac:dyDescent="0.35">
      <c r="A1745" s="26">
        <v>40000002718</v>
      </c>
      <c r="B1745" s="31">
        <v>1</v>
      </c>
      <c r="C1745" s="29" t="str">
        <f>LOOKUP(A1745,'QALS - Inspection Lot Record'!$A$2:$A$361,'QALS - Inspection Lot Record'!$O$2:$O$361)</f>
        <v>Ibuprofen Tablets (100 MG)</v>
      </c>
      <c r="D1745" s="31">
        <v>80</v>
      </c>
      <c r="E1745" s="29" t="s">
        <v>407</v>
      </c>
      <c r="F1745" s="29" t="str">
        <f>LOOKUP(A1745,'QALS - Inspection Lot Record'!A:A,'QALS - Inspection Lot Record'!G:G)</f>
        <v>TG509538</v>
      </c>
      <c r="G1745" s="59">
        <f ca="1">LOOKUP(A1745,'QALS - Inspection Lot Record'!A:A,'QALS - Inspection Lot Record'!E:E)</f>
        <v>45978</v>
      </c>
      <c r="H1745" s="34" t="str">
        <f t="shared" si="140"/>
        <v>A</v>
      </c>
      <c r="I1745" s="29" t="str">
        <f t="shared" si="136"/>
        <v>TG509538</v>
      </c>
      <c r="J1745" s="59">
        <f t="shared" ca="1" si="137"/>
        <v>45978</v>
      </c>
      <c r="K1745" s="30">
        <f ca="1">LOOKUP(A1745,'QALS - Inspection Lot Record'!A:A,'QALS - Inspection Lot Record'!I:I)</f>
        <v>8.6898148148148155E-2</v>
      </c>
      <c r="L1745" s="59">
        <f t="shared" ca="1" si="138"/>
        <v>45978</v>
      </c>
      <c r="M1745" s="30">
        <f t="shared" ca="1" si="139"/>
        <v>0.12209490740740742</v>
      </c>
      <c r="N1745" s="31"/>
      <c r="O1745" s="31">
        <v>24</v>
      </c>
      <c r="P1745" s="29">
        <v>23</v>
      </c>
      <c r="Q1745" s="29">
        <v>25</v>
      </c>
    </row>
    <row r="1746" spans="1:17" x14ac:dyDescent="0.35">
      <c r="A1746" s="26">
        <v>40000002719</v>
      </c>
      <c r="B1746" s="27">
        <v>1</v>
      </c>
      <c r="C1746" s="29" t="str">
        <f>LOOKUP(A1746,'QALS - Inspection Lot Record'!$A$2:$A$361,'QALS - Inspection Lot Record'!$O$2:$O$361)</f>
        <v>Aspirin Tablets (500 MG)</v>
      </c>
      <c r="D1746" s="27">
        <v>10</v>
      </c>
      <c r="E1746" s="26" t="s">
        <v>399</v>
      </c>
      <c r="F1746" s="29" t="str">
        <f>LOOKUP(A1746,'QALS - Inspection Lot Record'!A:A,'QALS - Inspection Lot Record'!G:G)</f>
        <v>AB406550</v>
      </c>
      <c r="G1746" s="59">
        <f ca="1">LOOKUP(A1746,'QALS - Inspection Lot Record'!A:A,'QALS - Inspection Lot Record'!E:E)</f>
        <v>45979</v>
      </c>
      <c r="H1746" s="34" t="str">
        <f t="shared" si="140"/>
        <v>A</v>
      </c>
      <c r="I1746" s="29" t="str">
        <f t="shared" si="136"/>
        <v>AB406550</v>
      </c>
      <c r="J1746" s="59">
        <f t="shared" ca="1" si="137"/>
        <v>45979</v>
      </c>
      <c r="K1746" s="30">
        <f ca="1">LOOKUP(A1746,'QALS - Inspection Lot Record'!A:A,'QALS - Inspection Lot Record'!I:I)</f>
        <v>0.80756944444444445</v>
      </c>
      <c r="L1746" s="59">
        <f t="shared" ca="1" si="138"/>
        <v>45979</v>
      </c>
      <c r="M1746" s="30">
        <f t="shared" ca="1" si="139"/>
        <v>0.83710648148148148</v>
      </c>
      <c r="N1746" s="31"/>
      <c r="O1746" s="31">
        <v>97.5</v>
      </c>
      <c r="P1746" s="29">
        <v>95</v>
      </c>
      <c r="Q1746" s="29">
        <v>105</v>
      </c>
    </row>
    <row r="1747" spans="1:17" x14ac:dyDescent="0.35">
      <c r="A1747" s="26">
        <v>40000002719</v>
      </c>
      <c r="B1747" s="27">
        <v>1</v>
      </c>
      <c r="C1747" s="29" t="str">
        <f>LOOKUP(A1747,'QALS - Inspection Lot Record'!$A$2:$A$361,'QALS - Inspection Lot Record'!$O$2:$O$361)</f>
        <v>Aspirin Tablets (500 MG)</v>
      </c>
      <c r="D1747" s="31">
        <v>20</v>
      </c>
      <c r="E1747" s="29" t="s">
        <v>400</v>
      </c>
      <c r="F1747" s="29" t="str">
        <f>LOOKUP(A1747,'QALS - Inspection Lot Record'!A:A,'QALS - Inspection Lot Record'!G:G)</f>
        <v>AB406550</v>
      </c>
      <c r="G1747" s="59">
        <f ca="1">LOOKUP(A1747,'QALS - Inspection Lot Record'!A:A,'QALS - Inspection Lot Record'!E:E)</f>
        <v>45979</v>
      </c>
      <c r="H1747" s="34" t="str">
        <f t="shared" si="140"/>
        <v>A</v>
      </c>
      <c r="I1747" s="29" t="str">
        <f t="shared" si="136"/>
        <v>AB406550</v>
      </c>
      <c r="J1747" s="59">
        <f t="shared" ca="1" si="137"/>
        <v>45979</v>
      </c>
      <c r="K1747" s="30">
        <f ca="1">LOOKUP(A1747,'QALS - Inspection Lot Record'!A:A,'QALS - Inspection Lot Record'!I:I)</f>
        <v>0.80756944444444445</v>
      </c>
      <c r="L1747" s="59">
        <f t="shared" ca="1" si="138"/>
        <v>45979</v>
      </c>
      <c r="M1747" s="30">
        <f t="shared" ca="1" si="139"/>
        <v>0.82548611111111114</v>
      </c>
      <c r="N1747" s="31"/>
      <c r="O1747" s="31">
        <v>3.8</v>
      </c>
      <c r="P1747" s="29">
        <v>3.5</v>
      </c>
      <c r="Q1747" s="29">
        <v>11</v>
      </c>
    </row>
    <row r="1748" spans="1:17" x14ac:dyDescent="0.35">
      <c r="A1748" s="26">
        <v>40000002719</v>
      </c>
      <c r="B1748" s="31">
        <v>1</v>
      </c>
      <c r="C1748" s="29" t="str">
        <f>LOOKUP(A1748,'QALS - Inspection Lot Record'!$A$2:$A$361,'QALS - Inspection Lot Record'!$O$2:$O$361)</f>
        <v>Aspirin Tablets (500 MG)</v>
      </c>
      <c r="D1748" s="31">
        <v>30</v>
      </c>
      <c r="E1748" s="29" t="s">
        <v>401</v>
      </c>
      <c r="F1748" s="29" t="str">
        <f>LOOKUP(A1748,'QALS - Inspection Lot Record'!A:A,'QALS - Inspection Lot Record'!G:G)</f>
        <v>AB406550</v>
      </c>
      <c r="G1748" s="59">
        <f ca="1">LOOKUP(A1748,'QALS - Inspection Lot Record'!A:A,'QALS - Inspection Lot Record'!E:E)</f>
        <v>45979</v>
      </c>
      <c r="H1748" s="34" t="str">
        <f t="shared" si="140"/>
        <v>A</v>
      </c>
      <c r="I1748" s="29" t="str">
        <f t="shared" si="136"/>
        <v>AB406550</v>
      </c>
      <c r="J1748" s="59">
        <f t="shared" ca="1" si="137"/>
        <v>45979</v>
      </c>
      <c r="K1748" s="30">
        <f ca="1">LOOKUP(A1748,'QALS - Inspection Lot Record'!A:A,'QALS - Inspection Lot Record'!I:I)</f>
        <v>0.80756944444444445</v>
      </c>
      <c r="L1748" s="59">
        <f t="shared" ca="1" si="138"/>
        <v>45979</v>
      </c>
      <c r="M1748" s="30">
        <f t="shared" ca="1" si="139"/>
        <v>0.83895833333333336</v>
      </c>
      <c r="N1748" s="11" t="s">
        <v>402</v>
      </c>
      <c r="O1748" s="31"/>
      <c r="P1748" s="29"/>
      <c r="Q1748" s="29"/>
    </row>
    <row r="1749" spans="1:17" x14ac:dyDescent="0.35">
      <c r="A1749" s="26">
        <v>40000002719</v>
      </c>
      <c r="B1749" s="31">
        <v>1</v>
      </c>
      <c r="C1749" s="29" t="str">
        <f>LOOKUP(A1749,'QALS - Inspection Lot Record'!$A$2:$A$361,'QALS - Inspection Lot Record'!$O$2:$O$361)</f>
        <v>Aspirin Tablets (500 MG)</v>
      </c>
      <c r="D1749" s="31">
        <v>40</v>
      </c>
      <c r="E1749" s="29" t="s">
        <v>403</v>
      </c>
      <c r="F1749" s="29" t="str">
        <f>LOOKUP(A1749,'QALS - Inspection Lot Record'!A:A,'QALS - Inspection Lot Record'!G:G)</f>
        <v>AB406550</v>
      </c>
      <c r="G1749" s="59">
        <f ca="1">LOOKUP(A1749,'QALS - Inspection Lot Record'!A:A,'QALS - Inspection Lot Record'!E:E)</f>
        <v>45979</v>
      </c>
      <c r="H1749" s="34" t="str">
        <f t="shared" si="140"/>
        <v>A</v>
      </c>
      <c r="I1749" s="29" t="str">
        <f t="shared" si="136"/>
        <v>AB406550</v>
      </c>
      <c r="J1749" s="59">
        <f t="shared" ca="1" si="137"/>
        <v>45979</v>
      </c>
      <c r="K1749" s="30">
        <f ca="1">LOOKUP(A1749,'QALS - Inspection Lot Record'!A:A,'QALS - Inspection Lot Record'!I:I)</f>
        <v>0.80756944444444445</v>
      </c>
      <c r="L1749" s="59">
        <f t="shared" ca="1" si="138"/>
        <v>45979</v>
      </c>
      <c r="M1749" s="30">
        <f t="shared" ca="1" si="139"/>
        <v>0.8332060185185185</v>
      </c>
      <c r="N1749" s="31"/>
      <c r="O1749" s="31">
        <v>1.8</v>
      </c>
      <c r="P1749" s="29">
        <v>0</v>
      </c>
      <c r="Q1749" s="29">
        <v>2.5</v>
      </c>
    </row>
    <row r="1750" spans="1:17" x14ac:dyDescent="0.35">
      <c r="A1750" s="26">
        <v>40000002719</v>
      </c>
      <c r="B1750" s="31">
        <v>1</v>
      </c>
      <c r="C1750" s="29" t="str">
        <f>LOOKUP(A1750,'QALS - Inspection Lot Record'!$A$2:$A$361,'QALS - Inspection Lot Record'!$O$2:$O$361)</f>
        <v>Aspirin Tablets (500 MG)</v>
      </c>
      <c r="D1750" s="31">
        <v>50</v>
      </c>
      <c r="E1750" s="29" t="s">
        <v>404</v>
      </c>
      <c r="F1750" s="29" t="str">
        <f>LOOKUP(A1750,'QALS - Inspection Lot Record'!A:A,'QALS - Inspection Lot Record'!G:G)</f>
        <v>AB406550</v>
      </c>
      <c r="G1750" s="59">
        <f ca="1">LOOKUP(A1750,'QALS - Inspection Lot Record'!A:A,'QALS - Inspection Lot Record'!E:E)</f>
        <v>45979</v>
      </c>
      <c r="H1750" s="34" t="str">
        <f t="shared" si="140"/>
        <v>R</v>
      </c>
      <c r="I1750" s="29" t="str">
        <f t="shared" si="136"/>
        <v>AB406550</v>
      </c>
      <c r="J1750" s="59">
        <f t="shared" ca="1" si="137"/>
        <v>45979</v>
      </c>
      <c r="K1750" s="30">
        <f ca="1">LOOKUP(A1750,'QALS - Inspection Lot Record'!A:A,'QALS - Inspection Lot Record'!I:I)</f>
        <v>0.80756944444444445</v>
      </c>
      <c r="L1750" s="59">
        <f t="shared" ca="1" si="138"/>
        <v>45979</v>
      </c>
      <c r="M1750" s="30">
        <f t="shared" ca="1" si="139"/>
        <v>0.83377314814814818</v>
      </c>
      <c r="N1750" s="31"/>
      <c r="O1750" s="31">
        <v>38.6</v>
      </c>
      <c r="P1750" s="29">
        <v>40</v>
      </c>
      <c r="Q1750" s="29">
        <v>60</v>
      </c>
    </row>
    <row r="1751" spans="1:17" x14ac:dyDescent="0.35">
      <c r="A1751" s="26">
        <v>40000002719</v>
      </c>
      <c r="B1751" s="31">
        <v>1</v>
      </c>
      <c r="C1751" s="29" t="str">
        <f>LOOKUP(A1751,'QALS - Inspection Lot Record'!$A$2:$A$361,'QALS - Inspection Lot Record'!$O$2:$O$361)</f>
        <v>Aspirin Tablets (500 MG)</v>
      </c>
      <c r="D1751" s="31">
        <v>60</v>
      </c>
      <c r="E1751" s="29" t="s">
        <v>405</v>
      </c>
      <c r="F1751" s="29" t="str">
        <f>LOOKUP(A1751,'QALS - Inspection Lot Record'!A:A,'QALS - Inspection Lot Record'!G:G)</f>
        <v>AB406550</v>
      </c>
      <c r="G1751" s="59">
        <f ca="1">LOOKUP(A1751,'QALS - Inspection Lot Record'!A:A,'QALS - Inspection Lot Record'!E:E)</f>
        <v>45979</v>
      </c>
      <c r="H1751" s="34" t="str">
        <f t="shared" si="140"/>
        <v>R</v>
      </c>
      <c r="I1751" s="29" t="str">
        <f t="shared" si="136"/>
        <v>AB406550</v>
      </c>
      <c r="J1751" s="59">
        <f t="shared" ca="1" si="137"/>
        <v>45979</v>
      </c>
      <c r="K1751" s="30">
        <f ca="1">LOOKUP(A1751,'QALS - Inspection Lot Record'!A:A,'QALS - Inspection Lot Record'!I:I)</f>
        <v>0.80756944444444445</v>
      </c>
      <c r="L1751" s="59">
        <f t="shared" ca="1" si="138"/>
        <v>45979</v>
      </c>
      <c r="M1751" s="30">
        <f t="shared" ca="1" si="139"/>
        <v>0.84048611111111116</v>
      </c>
      <c r="N1751" s="31"/>
      <c r="O1751" s="31">
        <v>68.2</v>
      </c>
      <c r="P1751" s="29">
        <v>70</v>
      </c>
      <c r="Q1751" s="29">
        <v>85</v>
      </c>
    </row>
    <row r="1752" spans="1:17" x14ac:dyDescent="0.35">
      <c r="A1752" s="26">
        <v>40000002719</v>
      </c>
      <c r="B1752" s="31">
        <v>1</v>
      </c>
      <c r="C1752" s="29" t="str">
        <f>LOOKUP(A1752,'QALS - Inspection Lot Record'!$A$2:$A$361,'QALS - Inspection Lot Record'!$O$2:$O$361)</f>
        <v>Aspirin Tablets (500 MG)</v>
      </c>
      <c r="D1752" s="31">
        <v>70</v>
      </c>
      <c r="E1752" s="29" t="s">
        <v>406</v>
      </c>
      <c r="F1752" s="29" t="str">
        <f>LOOKUP(A1752,'QALS - Inspection Lot Record'!A:A,'QALS - Inspection Lot Record'!G:G)</f>
        <v>AB406550</v>
      </c>
      <c r="G1752" s="59">
        <f ca="1">LOOKUP(A1752,'QALS - Inspection Lot Record'!A:A,'QALS - Inspection Lot Record'!E:E)</f>
        <v>45979</v>
      </c>
      <c r="H1752" s="34" t="str">
        <f t="shared" si="140"/>
        <v>R</v>
      </c>
      <c r="I1752" s="29" t="str">
        <f t="shared" si="136"/>
        <v>AB406550</v>
      </c>
      <c r="J1752" s="59">
        <f t="shared" ca="1" si="137"/>
        <v>45979</v>
      </c>
      <c r="K1752" s="30">
        <f ca="1">LOOKUP(A1752,'QALS - Inspection Lot Record'!A:A,'QALS - Inspection Lot Record'!I:I)</f>
        <v>0.80756944444444445</v>
      </c>
      <c r="L1752" s="59">
        <f t="shared" ca="1" si="138"/>
        <v>45979</v>
      </c>
      <c r="M1752" s="30">
        <f t="shared" ca="1" si="139"/>
        <v>0.82945601851851858</v>
      </c>
      <c r="N1752" s="31"/>
      <c r="O1752" s="31">
        <v>78.2</v>
      </c>
      <c r="P1752" s="29">
        <v>80</v>
      </c>
      <c r="Q1752" s="29">
        <v>90</v>
      </c>
    </row>
    <row r="1753" spans="1:17" x14ac:dyDescent="0.35">
      <c r="A1753" s="26">
        <v>40000002719</v>
      </c>
      <c r="B1753" s="31">
        <v>1</v>
      </c>
      <c r="C1753" s="29" t="str">
        <f>LOOKUP(A1753,'QALS - Inspection Lot Record'!$A$2:$A$361,'QALS - Inspection Lot Record'!$O$2:$O$361)</f>
        <v>Aspirin Tablets (500 MG)</v>
      </c>
      <c r="D1753" s="31">
        <v>80</v>
      </c>
      <c r="E1753" s="29" t="s">
        <v>407</v>
      </c>
      <c r="F1753" s="29" t="str">
        <f>LOOKUP(A1753,'QALS - Inspection Lot Record'!A:A,'QALS - Inspection Lot Record'!G:G)</f>
        <v>AB406550</v>
      </c>
      <c r="G1753" s="59">
        <f ca="1">LOOKUP(A1753,'QALS - Inspection Lot Record'!A:A,'QALS - Inspection Lot Record'!E:E)</f>
        <v>45979</v>
      </c>
      <c r="H1753" s="34" t="str">
        <f t="shared" si="140"/>
        <v>R</v>
      </c>
      <c r="I1753" s="29" t="str">
        <f t="shared" si="136"/>
        <v>AB406550</v>
      </c>
      <c r="J1753" s="59">
        <f t="shared" ca="1" si="137"/>
        <v>45979</v>
      </c>
      <c r="K1753" s="30">
        <f ca="1">LOOKUP(A1753,'QALS - Inspection Lot Record'!A:A,'QALS - Inspection Lot Record'!I:I)</f>
        <v>0.80756944444444445</v>
      </c>
      <c r="L1753" s="59">
        <f t="shared" ca="1" si="138"/>
        <v>45979</v>
      </c>
      <c r="M1753" s="30">
        <f t="shared" ca="1" si="139"/>
        <v>0.8376851851851852</v>
      </c>
      <c r="N1753" s="31"/>
      <c r="O1753" s="31">
        <v>22.4</v>
      </c>
      <c r="P1753" s="29">
        <v>23</v>
      </c>
      <c r="Q1753" s="29">
        <v>28</v>
      </c>
    </row>
    <row r="1754" spans="1:17" x14ac:dyDescent="0.35">
      <c r="A1754" s="26">
        <v>40000002720</v>
      </c>
      <c r="B1754" s="27">
        <v>1</v>
      </c>
      <c r="C1754" s="29" t="str">
        <f>LOOKUP(A1754,'QALS - Inspection Lot Record'!$A$2:$A$361,'QALS - Inspection Lot Record'!$O$2:$O$361)</f>
        <v>Metformin Tablets (100 MG)</v>
      </c>
      <c r="D1754" s="27">
        <v>10</v>
      </c>
      <c r="E1754" s="26" t="s">
        <v>399</v>
      </c>
      <c r="F1754" s="29" t="str">
        <f>LOOKUP(A1754,'QALS - Inspection Lot Record'!A:A,'QALS - Inspection Lot Record'!G:G)</f>
        <v>TG509538</v>
      </c>
      <c r="G1754" s="59">
        <f ca="1">LOOKUP(A1754,'QALS - Inspection Lot Record'!A:A,'QALS - Inspection Lot Record'!E:E)</f>
        <v>45979</v>
      </c>
      <c r="H1754" s="34" t="str">
        <f t="shared" si="140"/>
        <v>A</v>
      </c>
      <c r="I1754" s="29" t="str">
        <f t="shared" si="136"/>
        <v>TG509538</v>
      </c>
      <c r="J1754" s="59">
        <f t="shared" ca="1" si="137"/>
        <v>45979</v>
      </c>
      <c r="K1754" s="30">
        <f ca="1">LOOKUP(A1754,'QALS - Inspection Lot Record'!A:A,'QALS - Inspection Lot Record'!I:I)</f>
        <v>7.9386574074074068E-2</v>
      </c>
      <c r="L1754" s="59">
        <f t="shared" ca="1" si="138"/>
        <v>45979</v>
      </c>
      <c r="M1754" s="30">
        <f t="shared" ca="1" si="139"/>
        <v>0.11097222222222222</v>
      </c>
      <c r="N1754" s="31"/>
      <c r="O1754" s="31">
        <v>98.5</v>
      </c>
      <c r="P1754" s="29">
        <v>95</v>
      </c>
      <c r="Q1754" s="29">
        <v>102</v>
      </c>
    </row>
    <row r="1755" spans="1:17" x14ac:dyDescent="0.35">
      <c r="A1755" s="26">
        <v>40000002720</v>
      </c>
      <c r="B1755" s="27">
        <v>1</v>
      </c>
      <c r="C1755" s="29" t="str">
        <f>LOOKUP(A1755,'QALS - Inspection Lot Record'!$A$2:$A$361,'QALS - Inspection Lot Record'!$O$2:$O$361)</f>
        <v>Metformin Tablets (100 MG)</v>
      </c>
      <c r="D1755" s="31">
        <v>20</v>
      </c>
      <c r="E1755" s="29" t="s">
        <v>400</v>
      </c>
      <c r="F1755" s="29" t="str">
        <f>LOOKUP(A1755,'QALS - Inspection Lot Record'!A:A,'QALS - Inspection Lot Record'!G:G)</f>
        <v>TG509538</v>
      </c>
      <c r="G1755" s="59">
        <f ca="1">LOOKUP(A1755,'QALS - Inspection Lot Record'!A:A,'QALS - Inspection Lot Record'!E:E)</f>
        <v>45979</v>
      </c>
      <c r="H1755" s="34" t="str">
        <f t="shared" si="140"/>
        <v>R</v>
      </c>
      <c r="I1755" s="29" t="str">
        <f t="shared" si="136"/>
        <v>TG509538</v>
      </c>
      <c r="J1755" s="59">
        <f t="shared" ca="1" si="137"/>
        <v>45979</v>
      </c>
      <c r="K1755" s="30">
        <f ca="1">LOOKUP(A1755,'QALS - Inspection Lot Record'!A:A,'QALS - Inspection Lot Record'!I:I)</f>
        <v>7.9386574074074068E-2</v>
      </c>
      <c r="L1755" s="59">
        <f t="shared" ca="1" si="138"/>
        <v>45979</v>
      </c>
      <c r="M1755" s="30">
        <f t="shared" ca="1" si="139"/>
        <v>0.1041087962962963</v>
      </c>
      <c r="N1755" s="31"/>
      <c r="O1755" s="31">
        <v>1.7</v>
      </c>
      <c r="P1755" s="29">
        <v>3.5</v>
      </c>
      <c r="Q1755" s="29">
        <v>11</v>
      </c>
    </row>
    <row r="1756" spans="1:17" x14ac:dyDescent="0.35">
      <c r="A1756" s="26">
        <v>40000002720</v>
      </c>
      <c r="B1756" s="31">
        <v>1</v>
      </c>
      <c r="C1756" s="29" t="str">
        <f>LOOKUP(A1756,'QALS - Inspection Lot Record'!$A$2:$A$361,'QALS - Inspection Lot Record'!$O$2:$O$361)</f>
        <v>Metformin Tablets (100 MG)</v>
      </c>
      <c r="D1756" s="31">
        <v>30</v>
      </c>
      <c r="E1756" s="29" t="s">
        <v>401</v>
      </c>
      <c r="F1756" s="29" t="str">
        <f>LOOKUP(A1756,'QALS - Inspection Lot Record'!A:A,'QALS - Inspection Lot Record'!G:G)</f>
        <v>TG509538</v>
      </c>
      <c r="G1756" s="59">
        <f ca="1">LOOKUP(A1756,'QALS - Inspection Lot Record'!A:A,'QALS - Inspection Lot Record'!E:E)</f>
        <v>45979</v>
      </c>
      <c r="H1756" s="34" t="str">
        <f t="shared" si="140"/>
        <v>A</v>
      </c>
      <c r="I1756" s="29" t="str">
        <f t="shared" si="136"/>
        <v>TG509538</v>
      </c>
      <c r="J1756" s="59">
        <f t="shared" ca="1" si="137"/>
        <v>45979</v>
      </c>
      <c r="K1756" s="30">
        <f ca="1">LOOKUP(A1756,'QALS - Inspection Lot Record'!A:A,'QALS - Inspection Lot Record'!I:I)</f>
        <v>7.9386574074074068E-2</v>
      </c>
      <c r="L1756" s="59">
        <f t="shared" ca="1" si="138"/>
        <v>45979</v>
      </c>
      <c r="M1756" s="30">
        <f t="shared" ca="1" si="139"/>
        <v>0.10010416666666666</v>
      </c>
      <c r="N1756" s="11" t="s">
        <v>402</v>
      </c>
      <c r="O1756" s="31"/>
      <c r="P1756" s="29"/>
      <c r="Q1756" s="29"/>
    </row>
    <row r="1757" spans="1:17" x14ac:dyDescent="0.35">
      <c r="A1757" s="26">
        <v>40000002720</v>
      </c>
      <c r="B1757" s="31">
        <v>1</v>
      </c>
      <c r="C1757" s="29" t="str">
        <f>LOOKUP(A1757,'QALS - Inspection Lot Record'!$A$2:$A$361,'QALS - Inspection Lot Record'!$O$2:$O$361)</f>
        <v>Metformin Tablets (100 MG)</v>
      </c>
      <c r="D1757" s="31">
        <v>40</v>
      </c>
      <c r="E1757" s="29" t="s">
        <v>403</v>
      </c>
      <c r="F1757" s="29" t="str">
        <f>LOOKUP(A1757,'QALS - Inspection Lot Record'!A:A,'QALS - Inspection Lot Record'!G:G)</f>
        <v>TG509538</v>
      </c>
      <c r="G1757" s="59">
        <f ca="1">LOOKUP(A1757,'QALS - Inspection Lot Record'!A:A,'QALS - Inspection Lot Record'!E:E)</f>
        <v>45979</v>
      </c>
      <c r="H1757" s="34" t="str">
        <f t="shared" si="140"/>
        <v>A</v>
      </c>
      <c r="I1757" s="29" t="str">
        <f t="shared" si="136"/>
        <v>TG509538</v>
      </c>
      <c r="J1757" s="59">
        <f t="shared" ca="1" si="137"/>
        <v>45979</v>
      </c>
      <c r="K1757" s="30">
        <f ca="1">LOOKUP(A1757,'QALS - Inspection Lot Record'!A:A,'QALS - Inspection Lot Record'!I:I)</f>
        <v>7.9386574074074068E-2</v>
      </c>
      <c r="L1757" s="59">
        <f t="shared" ca="1" si="138"/>
        <v>45979</v>
      </c>
      <c r="M1757" s="30">
        <f t="shared" ca="1" si="139"/>
        <v>9.9537037037037035E-2</v>
      </c>
      <c r="N1757" s="31"/>
      <c r="O1757" s="31">
        <v>0.5</v>
      </c>
      <c r="P1757" s="29">
        <v>0</v>
      </c>
      <c r="Q1757" s="29">
        <v>1</v>
      </c>
    </row>
    <row r="1758" spans="1:17" x14ac:dyDescent="0.35">
      <c r="A1758" s="26">
        <v>40000002720</v>
      </c>
      <c r="B1758" s="31">
        <v>1</v>
      </c>
      <c r="C1758" s="29" t="str">
        <f>LOOKUP(A1758,'QALS - Inspection Lot Record'!$A$2:$A$361,'QALS - Inspection Lot Record'!$O$2:$O$361)</f>
        <v>Metformin Tablets (100 MG)</v>
      </c>
      <c r="D1758" s="31">
        <v>50</v>
      </c>
      <c r="E1758" s="29" t="s">
        <v>404</v>
      </c>
      <c r="F1758" s="29" t="str">
        <f>LOOKUP(A1758,'QALS - Inspection Lot Record'!A:A,'QALS - Inspection Lot Record'!G:G)</f>
        <v>TG509538</v>
      </c>
      <c r="G1758" s="59">
        <f ca="1">LOOKUP(A1758,'QALS - Inspection Lot Record'!A:A,'QALS - Inspection Lot Record'!E:E)</f>
        <v>45979</v>
      </c>
      <c r="H1758" s="34" t="str">
        <f t="shared" si="140"/>
        <v>A</v>
      </c>
      <c r="I1758" s="29" t="str">
        <f t="shared" si="136"/>
        <v>TG509538</v>
      </c>
      <c r="J1758" s="59">
        <f t="shared" ca="1" si="137"/>
        <v>45979</v>
      </c>
      <c r="K1758" s="30">
        <f ca="1">LOOKUP(A1758,'QALS - Inspection Lot Record'!A:A,'QALS - Inspection Lot Record'!I:I)</f>
        <v>7.9386574074074068E-2</v>
      </c>
      <c r="L1758" s="59">
        <f t="shared" ca="1" si="138"/>
        <v>45979</v>
      </c>
      <c r="M1758" s="30">
        <f t="shared" ca="1" si="139"/>
        <v>0.10581018518518517</v>
      </c>
      <c r="N1758" s="31"/>
      <c r="O1758" s="31">
        <v>43.2</v>
      </c>
      <c r="P1758" s="29">
        <v>40</v>
      </c>
      <c r="Q1758" s="29">
        <v>60</v>
      </c>
    </row>
    <row r="1759" spans="1:17" x14ac:dyDescent="0.35">
      <c r="A1759" s="26">
        <v>40000002720</v>
      </c>
      <c r="B1759" s="31">
        <v>1</v>
      </c>
      <c r="C1759" s="29" t="str">
        <f>LOOKUP(A1759,'QALS - Inspection Lot Record'!$A$2:$A$361,'QALS - Inspection Lot Record'!$O$2:$O$361)</f>
        <v>Metformin Tablets (100 MG)</v>
      </c>
      <c r="D1759" s="31">
        <v>60</v>
      </c>
      <c r="E1759" s="29" t="s">
        <v>405</v>
      </c>
      <c r="F1759" s="29" t="str">
        <f>LOOKUP(A1759,'QALS - Inspection Lot Record'!A:A,'QALS - Inspection Lot Record'!G:G)</f>
        <v>TG509538</v>
      </c>
      <c r="G1759" s="59">
        <f ca="1">LOOKUP(A1759,'QALS - Inspection Lot Record'!A:A,'QALS - Inspection Lot Record'!E:E)</f>
        <v>45979</v>
      </c>
      <c r="H1759" s="34" t="str">
        <f t="shared" si="140"/>
        <v>R</v>
      </c>
      <c r="I1759" s="29" t="str">
        <f t="shared" si="136"/>
        <v>TG509538</v>
      </c>
      <c r="J1759" s="59">
        <f t="shared" ca="1" si="137"/>
        <v>45979</v>
      </c>
      <c r="K1759" s="30">
        <f ca="1">LOOKUP(A1759,'QALS - Inspection Lot Record'!A:A,'QALS - Inspection Lot Record'!I:I)</f>
        <v>7.9386574074074068E-2</v>
      </c>
      <c r="L1759" s="59">
        <f t="shared" ca="1" si="138"/>
        <v>45979</v>
      </c>
      <c r="M1759" s="30">
        <f t="shared" ca="1" si="139"/>
        <v>0.10262731481481481</v>
      </c>
      <c r="N1759" s="31"/>
      <c r="O1759" s="31">
        <v>68.3</v>
      </c>
      <c r="P1759" s="29">
        <v>70</v>
      </c>
      <c r="Q1759" s="29">
        <v>85</v>
      </c>
    </row>
    <row r="1760" spans="1:17" x14ac:dyDescent="0.35">
      <c r="A1760" s="26">
        <v>40000002720</v>
      </c>
      <c r="B1760" s="31">
        <v>1</v>
      </c>
      <c r="C1760" s="29" t="str">
        <f>LOOKUP(A1760,'QALS - Inspection Lot Record'!$A$2:$A$361,'QALS - Inspection Lot Record'!$O$2:$O$361)</f>
        <v>Metformin Tablets (100 MG)</v>
      </c>
      <c r="D1760" s="31">
        <v>70</v>
      </c>
      <c r="E1760" s="29" t="s">
        <v>406</v>
      </c>
      <c r="F1760" s="29" t="str">
        <f>LOOKUP(A1760,'QALS - Inspection Lot Record'!A:A,'QALS - Inspection Lot Record'!G:G)</f>
        <v>TG509538</v>
      </c>
      <c r="G1760" s="59">
        <f ca="1">LOOKUP(A1760,'QALS - Inspection Lot Record'!A:A,'QALS - Inspection Lot Record'!E:E)</f>
        <v>45979</v>
      </c>
      <c r="H1760" s="34" t="str">
        <f t="shared" si="140"/>
        <v>R</v>
      </c>
      <c r="I1760" s="29" t="str">
        <f t="shared" si="136"/>
        <v>TG509538</v>
      </c>
      <c r="J1760" s="59">
        <f t="shared" ca="1" si="137"/>
        <v>45979</v>
      </c>
      <c r="K1760" s="30">
        <f ca="1">LOOKUP(A1760,'QALS - Inspection Lot Record'!A:A,'QALS - Inspection Lot Record'!I:I)</f>
        <v>7.9386574074074068E-2</v>
      </c>
      <c r="L1760" s="59">
        <f t="shared" ca="1" si="138"/>
        <v>45979</v>
      </c>
      <c r="M1760" s="30">
        <f t="shared" ca="1" si="139"/>
        <v>9.9039351851851851E-2</v>
      </c>
      <c r="N1760" s="31"/>
      <c r="O1760" s="31">
        <v>78.2</v>
      </c>
      <c r="P1760" s="29">
        <v>80</v>
      </c>
      <c r="Q1760" s="29">
        <v>90</v>
      </c>
    </row>
    <row r="1761" spans="1:17" x14ac:dyDescent="0.35">
      <c r="A1761" s="26">
        <v>40000002720</v>
      </c>
      <c r="B1761" s="31">
        <v>1</v>
      </c>
      <c r="C1761" s="29" t="str">
        <f>LOOKUP(A1761,'QALS - Inspection Lot Record'!$A$2:$A$361,'QALS - Inspection Lot Record'!$O$2:$O$361)</f>
        <v>Metformin Tablets (100 MG)</v>
      </c>
      <c r="D1761" s="31">
        <v>80</v>
      </c>
      <c r="E1761" s="29" t="s">
        <v>407</v>
      </c>
      <c r="F1761" s="29" t="str">
        <f>LOOKUP(A1761,'QALS - Inspection Lot Record'!A:A,'QALS - Inspection Lot Record'!G:G)</f>
        <v>TG509538</v>
      </c>
      <c r="G1761" s="59">
        <f ca="1">LOOKUP(A1761,'QALS - Inspection Lot Record'!A:A,'QALS - Inspection Lot Record'!E:E)</f>
        <v>45979</v>
      </c>
      <c r="H1761" s="34" t="str">
        <f t="shared" si="140"/>
        <v>A</v>
      </c>
      <c r="I1761" s="29" t="str">
        <f t="shared" si="136"/>
        <v>TG509538</v>
      </c>
      <c r="J1761" s="59">
        <f t="shared" ca="1" si="137"/>
        <v>45979</v>
      </c>
      <c r="K1761" s="30">
        <f ca="1">LOOKUP(A1761,'QALS - Inspection Lot Record'!A:A,'QALS - Inspection Lot Record'!I:I)</f>
        <v>7.9386574074074068E-2</v>
      </c>
      <c r="L1761" s="59">
        <f t="shared" ca="1" si="138"/>
        <v>45979</v>
      </c>
      <c r="M1761" s="30">
        <f t="shared" ca="1" si="139"/>
        <v>0.10898148148148147</v>
      </c>
      <c r="N1761" s="31"/>
      <c r="O1761" s="31">
        <v>24</v>
      </c>
      <c r="P1761" s="29">
        <v>23</v>
      </c>
      <c r="Q1761" s="29">
        <v>25</v>
      </c>
    </row>
    <row r="1762" spans="1:17" x14ac:dyDescent="0.35">
      <c r="A1762" s="26">
        <v>40000002721</v>
      </c>
      <c r="B1762" s="27">
        <v>1</v>
      </c>
      <c r="C1762" s="29" t="str">
        <f>LOOKUP(A1762,'QALS - Inspection Lot Record'!$A$2:$A$361,'QALS - Inspection Lot Record'!$O$2:$O$361)</f>
        <v>Ibuprofen Tablets (100 MG)</v>
      </c>
      <c r="D1762" s="27">
        <v>10</v>
      </c>
      <c r="E1762" s="26" t="s">
        <v>399</v>
      </c>
      <c r="F1762" s="29" t="str">
        <f>LOOKUP(A1762,'QALS - Inspection Lot Record'!A:A,'QALS - Inspection Lot Record'!G:G)</f>
        <v>TP397880</v>
      </c>
      <c r="G1762" s="59">
        <f ca="1">LOOKUP(A1762,'QALS - Inspection Lot Record'!A:A,'QALS - Inspection Lot Record'!E:E)</f>
        <v>45980</v>
      </c>
      <c r="H1762" s="34" t="str">
        <f t="shared" si="140"/>
        <v>A</v>
      </c>
      <c r="I1762" s="29" t="str">
        <f t="shared" si="136"/>
        <v>TP397880</v>
      </c>
      <c r="J1762" s="59">
        <f t="shared" ca="1" si="137"/>
        <v>45980</v>
      </c>
      <c r="K1762" s="30">
        <f ca="1">LOOKUP(A1762,'QALS - Inspection Lot Record'!A:A,'QALS - Inspection Lot Record'!I:I)</f>
        <v>0.91703703703703698</v>
      </c>
      <c r="L1762" s="59">
        <f t="shared" ca="1" si="138"/>
        <v>45980</v>
      </c>
      <c r="M1762" s="30">
        <f t="shared" ca="1" si="139"/>
        <v>0.94184027777777768</v>
      </c>
      <c r="N1762" s="31"/>
      <c r="O1762" s="31">
        <v>98.5</v>
      </c>
      <c r="P1762" s="29">
        <v>95</v>
      </c>
      <c r="Q1762" s="29">
        <v>102</v>
      </c>
    </row>
    <row r="1763" spans="1:17" x14ac:dyDescent="0.35">
      <c r="A1763" s="26">
        <v>40000002721</v>
      </c>
      <c r="B1763" s="27">
        <v>1</v>
      </c>
      <c r="C1763" s="29" t="str">
        <f>LOOKUP(A1763,'QALS - Inspection Lot Record'!$A$2:$A$361,'QALS - Inspection Lot Record'!$O$2:$O$361)</f>
        <v>Ibuprofen Tablets (100 MG)</v>
      </c>
      <c r="D1763" s="31">
        <v>20</v>
      </c>
      <c r="E1763" s="29" t="s">
        <v>400</v>
      </c>
      <c r="F1763" s="29" t="str">
        <f>LOOKUP(A1763,'QALS - Inspection Lot Record'!A:A,'QALS - Inspection Lot Record'!G:G)</f>
        <v>TP397880</v>
      </c>
      <c r="G1763" s="59">
        <f ca="1">LOOKUP(A1763,'QALS - Inspection Lot Record'!A:A,'QALS - Inspection Lot Record'!E:E)</f>
        <v>45980</v>
      </c>
      <c r="H1763" s="34" t="str">
        <f t="shared" si="140"/>
        <v>A</v>
      </c>
      <c r="I1763" s="29" t="str">
        <f t="shared" si="136"/>
        <v>TP397880</v>
      </c>
      <c r="J1763" s="59">
        <f t="shared" ca="1" si="137"/>
        <v>45980</v>
      </c>
      <c r="K1763" s="30">
        <f ca="1">LOOKUP(A1763,'QALS - Inspection Lot Record'!A:A,'QALS - Inspection Lot Record'!I:I)</f>
        <v>0.91703703703703698</v>
      </c>
      <c r="L1763" s="59">
        <f t="shared" ca="1" si="138"/>
        <v>45980</v>
      </c>
      <c r="M1763" s="30">
        <f t="shared" ca="1" si="139"/>
        <v>0.93869212962962956</v>
      </c>
      <c r="N1763" s="31"/>
      <c r="O1763" s="31">
        <v>7.25</v>
      </c>
      <c r="P1763" s="29">
        <v>3.5</v>
      </c>
      <c r="Q1763" s="29">
        <v>11</v>
      </c>
    </row>
    <row r="1764" spans="1:17" x14ac:dyDescent="0.35">
      <c r="A1764" s="26">
        <v>40000002721</v>
      </c>
      <c r="B1764" s="31">
        <v>1</v>
      </c>
      <c r="C1764" s="29" t="str">
        <f>LOOKUP(A1764,'QALS - Inspection Lot Record'!$A$2:$A$361,'QALS - Inspection Lot Record'!$O$2:$O$361)</f>
        <v>Ibuprofen Tablets (100 MG)</v>
      </c>
      <c r="D1764" s="31">
        <v>30</v>
      </c>
      <c r="E1764" s="29" t="s">
        <v>401</v>
      </c>
      <c r="F1764" s="29" t="str">
        <f>LOOKUP(A1764,'QALS - Inspection Lot Record'!A:A,'QALS - Inspection Lot Record'!G:G)</f>
        <v>TP397880</v>
      </c>
      <c r="G1764" s="59">
        <f ca="1">LOOKUP(A1764,'QALS - Inspection Lot Record'!A:A,'QALS - Inspection Lot Record'!E:E)</f>
        <v>45980</v>
      </c>
      <c r="H1764" s="34" t="str">
        <f t="shared" si="140"/>
        <v>A</v>
      </c>
      <c r="I1764" s="29" t="str">
        <f t="shared" si="136"/>
        <v>TP397880</v>
      </c>
      <c r="J1764" s="59">
        <f t="shared" ca="1" si="137"/>
        <v>45980</v>
      </c>
      <c r="K1764" s="30">
        <f ca="1">LOOKUP(A1764,'QALS - Inspection Lot Record'!A:A,'QALS - Inspection Lot Record'!I:I)</f>
        <v>0.91703703703703698</v>
      </c>
      <c r="L1764" s="59">
        <f t="shared" ca="1" si="138"/>
        <v>45980</v>
      </c>
      <c r="M1764" s="30">
        <f t="shared" ca="1" si="139"/>
        <v>0.94535879629629627</v>
      </c>
      <c r="N1764" s="11" t="s">
        <v>402</v>
      </c>
      <c r="O1764" s="31"/>
      <c r="P1764" s="29"/>
      <c r="Q1764" s="29"/>
    </row>
    <row r="1765" spans="1:17" x14ac:dyDescent="0.35">
      <c r="A1765" s="26">
        <v>40000002721</v>
      </c>
      <c r="B1765" s="31">
        <v>1</v>
      </c>
      <c r="C1765" s="29" t="str">
        <f>LOOKUP(A1765,'QALS - Inspection Lot Record'!$A$2:$A$361,'QALS - Inspection Lot Record'!$O$2:$O$361)</f>
        <v>Ibuprofen Tablets (100 MG)</v>
      </c>
      <c r="D1765" s="31">
        <v>40</v>
      </c>
      <c r="E1765" s="29" t="s">
        <v>403</v>
      </c>
      <c r="F1765" s="29" t="str">
        <f>LOOKUP(A1765,'QALS - Inspection Lot Record'!A:A,'QALS - Inspection Lot Record'!G:G)</f>
        <v>TP397880</v>
      </c>
      <c r="G1765" s="59">
        <f ca="1">LOOKUP(A1765,'QALS - Inspection Lot Record'!A:A,'QALS - Inspection Lot Record'!E:E)</f>
        <v>45980</v>
      </c>
      <c r="H1765" s="34" t="str">
        <f t="shared" si="140"/>
        <v>A</v>
      </c>
      <c r="I1765" s="29" t="str">
        <f t="shared" si="136"/>
        <v>TP397880</v>
      </c>
      <c r="J1765" s="59">
        <f t="shared" ca="1" si="137"/>
        <v>45980</v>
      </c>
      <c r="K1765" s="30">
        <f ca="1">LOOKUP(A1765,'QALS - Inspection Lot Record'!A:A,'QALS - Inspection Lot Record'!I:I)</f>
        <v>0.91703703703703698</v>
      </c>
      <c r="L1765" s="59">
        <f t="shared" ca="1" si="138"/>
        <v>45980</v>
      </c>
      <c r="M1765" s="30">
        <f t="shared" ca="1" si="139"/>
        <v>0.94275462962962953</v>
      </c>
      <c r="N1765" s="31"/>
      <c r="O1765" s="31">
        <v>0</v>
      </c>
      <c r="P1765" s="29">
        <v>0</v>
      </c>
      <c r="Q1765" s="29">
        <v>1</v>
      </c>
    </row>
    <row r="1766" spans="1:17" x14ac:dyDescent="0.35">
      <c r="A1766" s="26">
        <v>40000002721</v>
      </c>
      <c r="B1766" s="31">
        <v>1</v>
      </c>
      <c r="C1766" s="29" t="str">
        <f>LOOKUP(A1766,'QALS - Inspection Lot Record'!$A$2:$A$361,'QALS - Inspection Lot Record'!$O$2:$O$361)</f>
        <v>Ibuprofen Tablets (100 MG)</v>
      </c>
      <c r="D1766" s="31">
        <v>50</v>
      </c>
      <c r="E1766" s="29" t="s">
        <v>404</v>
      </c>
      <c r="F1766" s="29" t="str">
        <f>LOOKUP(A1766,'QALS - Inspection Lot Record'!A:A,'QALS - Inspection Lot Record'!G:G)</f>
        <v>TP397880</v>
      </c>
      <c r="G1766" s="59">
        <f ca="1">LOOKUP(A1766,'QALS - Inspection Lot Record'!A:A,'QALS - Inspection Lot Record'!E:E)</f>
        <v>45980</v>
      </c>
      <c r="H1766" s="34" t="str">
        <f t="shared" si="140"/>
        <v>A</v>
      </c>
      <c r="I1766" s="29" t="str">
        <f t="shared" si="136"/>
        <v>TP397880</v>
      </c>
      <c r="J1766" s="59">
        <f t="shared" ca="1" si="137"/>
        <v>45980</v>
      </c>
      <c r="K1766" s="30">
        <f ca="1">LOOKUP(A1766,'QALS - Inspection Lot Record'!A:A,'QALS - Inspection Lot Record'!I:I)</f>
        <v>0.91703703703703698</v>
      </c>
      <c r="L1766" s="59">
        <f t="shared" ca="1" si="138"/>
        <v>45980</v>
      </c>
      <c r="M1766" s="30">
        <f t="shared" ca="1" si="139"/>
        <v>0.94690972222222214</v>
      </c>
      <c r="N1766" s="31"/>
      <c r="O1766" s="31">
        <v>50</v>
      </c>
      <c r="P1766" s="29">
        <v>40</v>
      </c>
      <c r="Q1766" s="29">
        <v>60</v>
      </c>
    </row>
    <row r="1767" spans="1:17" x14ac:dyDescent="0.35">
      <c r="A1767" s="26">
        <v>40000002721</v>
      </c>
      <c r="B1767" s="31">
        <v>1</v>
      </c>
      <c r="C1767" s="29" t="str">
        <f>LOOKUP(A1767,'QALS - Inspection Lot Record'!$A$2:$A$361,'QALS - Inspection Lot Record'!$O$2:$O$361)</f>
        <v>Ibuprofen Tablets (100 MG)</v>
      </c>
      <c r="D1767" s="31">
        <v>60</v>
      </c>
      <c r="E1767" s="29" t="s">
        <v>405</v>
      </c>
      <c r="F1767" s="29" t="str">
        <f>LOOKUP(A1767,'QALS - Inspection Lot Record'!A:A,'QALS - Inspection Lot Record'!G:G)</f>
        <v>TP397880</v>
      </c>
      <c r="G1767" s="59">
        <f ca="1">LOOKUP(A1767,'QALS - Inspection Lot Record'!A:A,'QALS - Inspection Lot Record'!E:E)</f>
        <v>45980</v>
      </c>
      <c r="H1767" s="34" t="str">
        <f t="shared" si="140"/>
        <v>A</v>
      </c>
      <c r="I1767" s="29" t="str">
        <f t="shared" si="136"/>
        <v>TP397880</v>
      </c>
      <c r="J1767" s="59">
        <f t="shared" ca="1" si="137"/>
        <v>45980</v>
      </c>
      <c r="K1767" s="30">
        <f ca="1">LOOKUP(A1767,'QALS - Inspection Lot Record'!A:A,'QALS - Inspection Lot Record'!I:I)</f>
        <v>0.91703703703703698</v>
      </c>
      <c r="L1767" s="59">
        <f t="shared" ca="1" si="138"/>
        <v>45980</v>
      </c>
      <c r="M1767" s="30">
        <f t="shared" ca="1" si="139"/>
        <v>0.94482638888888881</v>
      </c>
      <c r="N1767" s="31"/>
      <c r="O1767" s="31">
        <v>77.5</v>
      </c>
      <c r="P1767" s="29">
        <v>70</v>
      </c>
      <c r="Q1767" s="29">
        <v>85</v>
      </c>
    </row>
    <row r="1768" spans="1:17" x14ac:dyDescent="0.35">
      <c r="A1768" s="26">
        <v>40000002721</v>
      </c>
      <c r="B1768" s="31">
        <v>1</v>
      </c>
      <c r="C1768" s="29" t="str">
        <f>LOOKUP(A1768,'QALS - Inspection Lot Record'!$A$2:$A$361,'QALS - Inspection Lot Record'!$O$2:$O$361)</f>
        <v>Ibuprofen Tablets (100 MG)</v>
      </c>
      <c r="D1768" s="31">
        <v>70</v>
      </c>
      <c r="E1768" s="29" t="s">
        <v>406</v>
      </c>
      <c r="F1768" s="29" t="str">
        <f>LOOKUP(A1768,'QALS - Inspection Lot Record'!A:A,'QALS - Inspection Lot Record'!G:G)</f>
        <v>TP397880</v>
      </c>
      <c r="G1768" s="59">
        <f ca="1">LOOKUP(A1768,'QALS - Inspection Lot Record'!A:A,'QALS - Inspection Lot Record'!E:E)</f>
        <v>45980</v>
      </c>
      <c r="H1768" s="34" t="str">
        <f t="shared" si="140"/>
        <v>A</v>
      </c>
      <c r="I1768" s="29" t="str">
        <f t="shared" si="136"/>
        <v>TP397880</v>
      </c>
      <c r="J1768" s="59">
        <f t="shared" ca="1" si="137"/>
        <v>45980</v>
      </c>
      <c r="K1768" s="30">
        <f ca="1">LOOKUP(A1768,'QALS - Inspection Lot Record'!A:A,'QALS - Inspection Lot Record'!I:I)</f>
        <v>0.91703703703703698</v>
      </c>
      <c r="L1768" s="59">
        <f t="shared" ca="1" si="138"/>
        <v>45980</v>
      </c>
      <c r="M1768" s="30">
        <f t="shared" ca="1" si="139"/>
        <v>0.94108796296296293</v>
      </c>
      <c r="N1768" s="31"/>
      <c r="O1768" s="31">
        <v>85</v>
      </c>
      <c r="P1768" s="29">
        <v>80</v>
      </c>
      <c r="Q1768" s="29">
        <v>90</v>
      </c>
    </row>
    <row r="1769" spans="1:17" x14ac:dyDescent="0.35">
      <c r="A1769" s="26">
        <v>40000002721</v>
      </c>
      <c r="B1769" s="31">
        <v>1</v>
      </c>
      <c r="C1769" s="29" t="str">
        <f>LOOKUP(A1769,'QALS - Inspection Lot Record'!$A$2:$A$361,'QALS - Inspection Lot Record'!$O$2:$O$361)</f>
        <v>Ibuprofen Tablets (100 MG)</v>
      </c>
      <c r="D1769" s="31">
        <v>80</v>
      </c>
      <c r="E1769" s="29" t="s">
        <v>407</v>
      </c>
      <c r="F1769" s="29" t="str">
        <f>LOOKUP(A1769,'QALS - Inspection Lot Record'!A:A,'QALS - Inspection Lot Record'!G:G)</f>
        <v>TP397880</v>
      </c>
      <c r="G1769" s="59">
        <f ca="1">LOOKUP(A1769,'QALS - Inspection Lot Record'!A:A,'QALS - Inspection Lot Record'!E:E)</f>
        <v>45980</v>
      </c>
      <c r="H1769" s="34" t="str">
        <f t="shared" si="140"/>
        <v>A</v>
      </c>
      <c r="I1769" s="29" t="str">
        <f t="shared" si="136"/>
        <v>TP397880</v>
      </c>
      <c r="J1769" s="59">
        <f t="shared" ca="1" si="137"/>
        <v>45980</v>
      </c>
      <c r="K1769" s="30">
        <f ca="1">LOOKUP(A1769,'QALS - Inspection Lot Record'!A:A,'QALS - Inspection Lot Record'!I:I)</f>
        <v>0.91703703703703698</v>
      </c>
      <c r="L1769" s="59">
        <f t="shared" ca="1" si="138"/>
        <v>45980</v>
      </c>
      <c r="M1769" s="30">
        <f t="shared" ca="1" si="139"/>
        <v>0.9349884259259259</v>
      </c>
      <c r="N1769" s="31"/>
      <c r="O1769" s="31">
        <v>24</v>
      </c>
      <c r="P1769" s="29">
        <v>23</v>
      </c>
      <c r="Q1769" s="29">
        <v>25</v>
      </c>
    </row>
    <row r="1770" spans="1:17" x14ac:dyDescent="0.35">
      <c r="A1770" s="26">
        <v>40000002722</v>
      </c>
      <c r="B1770" s="27">
        <v>1</v>
      </c>
      <c r="C1770" s="29" t="str">
        <f>LOOKUP(A1770,'QALS - Inspection Lot Record'!$A$2:$A$361,'QALS - Inspection Lot Record'!$O$2:$O$361)</f>
        <v>Aspirin Tablets (500 MG)</v>
      </c>
      <c r="D1770" s="27">
        <v>10</v>
      </c>
      <c r="E1770" s="26" t="s">
        <v>399</v>
      </c>
      <c r="F1770" s="29" t="str">
        <f>LOOKUP(A1770,'QALS - Inspection Lot Record'!A:A,'QALS - Inspection Lot Record'!G:G)</f>
        <v>GC197258</v>
      </c>
      <c r="G1770" s="59">
        <f ca="1">LOOKUP(A1770,'QALS - Inspection Lot Record'!A:A,'QALS - Inspection Lot Record'!E:E)</f>
        <v>45980</v>
      </c>
      <c r="H1770" s="34" t="str">
        <f t="shared" si="140"/>
        <v>A</v>
      </c>
      <c r="I1770" s="29" t="str">
        <f t="shared" si="136"/>
        <v>GC197258</v>
      </c>
      <c r="J1770" s="59">
        <f t="shared" ca="1" si="137"/>
        <v>45980</v>
      </c>
      <c r="K1770" s="30">
        <f ca="1">LOOKUP(A1770,'QALS - Inspection Lot Record'!A:A,'QALS - Inspection Lot Record'!I:I)</f>
        <v>8.2025462962962967E-2</v>
      </c>
      <c r="L1770" s="59">
        <f t="shared" ca="1" si="138"/>
        <v>45980</v>
      </c>
      <c r="M1770" s="30">
        <f t="shared" ca="1" si="139"/>
        <v>9.9456018518518527E-2</v>
      </c>
      <c r="N1770" s="31"/>
      <c r="O1770" s="31">
        <v>100</v>
      </c>
      <c r="P1770" s="29">
        <v>95</v>
      </c>
      <c r="Q1770" s="29">
        <v>105</v>
      </c>
    </row>
    <row r="1771" spans="1:17" x14ac:dyDescent="0.35">
      <c r="A1771" s="26">
        <v>40000002722</v>
      </c>
      <c r="B1771" s="27">
        <v>1</v>
      </c>
      <c r="C1771" s="29" t="str">
        <f>LOOKUP(A1771,'QALS - Inspection Lot Record'!$A$2:$A$361,'QALS - Inspection Lot Record'!$O$2:$O$361)</f>
        <v>Aspirin Tablets (500 MG)</v>
      </c>
      <c r="D1771" s="31">
        <v>20</v>
      </c>
      <c r="E1771" s="29" t="s">
        <v>400</v>
      </c>
      <c r="F1771" s="29" t="str">
        <f>LOOKUP(A1771,'QALS - Inspection Lot Record'!A:A,'QALS - Inspection Lot Record'!G:G)</f>
        <v>GC197258</v>
      </c>
      <c r="G1771" s="59">
        <f ca="1">LOOKUP(A1771,'QALS - Inspection Lot Record'!A:A,'QALS - Inspection Lot Record'!E:E)</f>
        <v>45980</v>
      </c>
      <c r="H1771" s="34" t="str">
        <f t="shared" si="140"/>
        <v>A</v>
      </c>
      <c r="I1771" s="29" t="str">
        <f t="shared" si="136"/>
        <v>GC197258</v>
      </c>
      <c r="J1771" s="59">
        <f t="shared" ca="1" si="137"/>
        <v>45980</v>
      </c>
      <c r="K1771" s="30">
        <f ca="1">LOOKUP(A1771,'QALS - Inspection Lot Record'!A:A,'QALS - Inspection Lot Record'!I:I)</f>
        <v>8.2025462962962967E-2</v>
      </c>
      <c r="L1771" s="59">
        <f t="shared" ca="1" si="138"/>
        <v>45980</v>
      </c>
      <c r="M1771" s="30">
        <f t="shared" ca="1" si="139"/>
        <v>0.10258101851851853</v>
      </c>
      <c r="N1771" s="31"/>
      <c r="O1771" s="31">
        <v>7.3</v>
      </c>
      <c r="P1771" s="29">
        <v>3.5</v>
      </c>
      <c r="Q1771" s="29">
        <v>11</v>
      </c>
    </row>
    <row r="1772" spans="1:17" x14ac:dyDescent="0.35">
      <c r="A1772" s="26">
        <v>40000002722</v>
      </c>
      <c r="B1772" s="31">
        <v>1</v>
      </c>
      <c r="C1772" s="29" t="str">
        <f>LOOKUP(A1772,'QALS - Inspection Lot Record'!$A$2:$A$361,'QALS - Inspection Lot Record'!$O$2:$O$361)</f>
        <v>Aspirin Tablets (500 MG)</v>
      </c>
      <c r="D1772" s="31">
        <v>30</v>
      </c>
      <c r="E1772" s="29" t="s">
        <v>401</v>
      </c>
      <c r="F1772" s="29" t="str">
        <f>LOOKUP(A1772,'QALS - Inspection Lot Record'!A:A,'QALS - Inspection Lot Record'!G:G)</f>
        <v>GC197258</v>
      </c>
      <c r="G1772" s="59">
        <f ca="1">LOOKUP(A1772,'QALS - Inspection Lot Record'!A:A,'QALS - Inspection Lot Record'!E:E)</f>
        <v>45980</v>
      </c>
      <c r="H1772" s="34" t="str">
        <f t="shared" si="140"/>
        <v>A</v>
      </c>
      <c r="I1772" s="29" t="str">
        <f t="shared" si="136"/>
        <v>GC197258</v>
      </c>
      <c r="J1772" s="59">
        <f t="shared" ca="1" si="137"/>
        <v>45980</v>
      </c>
      <c r="K1772" s="30">
        <f ca="1">LOOKUP(A1772,'QALS - Inspection Lot Record'!A:A,'QALS - Inspection Lot Record'!I:I)</f>
        <v>8.2025462962962967E-2</v>
      </c>
      <c r="L1772" s="59">
        <f t="shared" ca="1" si="138"/>
        <v>45980</v>
      </c>
      <c r="M1772" s="30">
        <f t="shared" ca="1" si="139"/>
        <v>9.9467592592592594E-2</v>
      </c>
      <c r="N1772" s="11" t="s">
        <v>402</v>
      </c>
      <c r="O1772" s="31"/>
      <c r="P1772" s="29"/>
      <c r="Q1772" s="29"/>
    </row>
    <row r="1773" spans="1:17" x14ac:dyDescent="0.35">
      <c r="A1773" s="26">
        <v>40000002722</v>
      </c>
      <c r="B1773" s="31">
        <v>1</v>
      </c>
      <c r="C1773" s="29" t="str">
        <f>LOOKUP(A1773,'QALS - Inspection Lot Record'!$A$2:$A$361,'QALS - Inspection Lot Record'!$O$2:$O$361)</f>
        <v>Aspirin Tablets (500 MG)</v>
      </c>
      <c r="D1773" s="31">
        <v>40</v>
      </c>
      <c r="E1773" s="29" t="s">
        <v>403</v>
      </c>
      <c r="F1773" s="29" t="str">
        <f>LOOKUP(A1773,'QALS - Inspection Lot Record'!A:A,'QALS - Inspection Lot Record'!G:G)</f>
        <v>GC197258</v>
      </c>
      <c r="G1773" s="59">
        <f ca="1">LOOKUP(A1773,'QALS - Inspection Lot Record'!A:A,'QALS - Inspection Lot Record'!E:E)</f>
        <v>45980</v>
      </c>
      <c r="H1773" s="34" t="str">
        <f t="shared" si="140"/>
        <v>A</v>
      </c>
      <c r="I1773" s="29" t="str">
        <f t="shared" si="136"/>
        <v>GC197258</v>
      </c>
      <c r="J1773" s="59">
        <f t="shared" ca="1" si="137"/>
        <v>45980</v>
      </c>
      <c r="K1773" s="30">
        <f ca="1">LOOKUP(A1773,'QALS - Inspection Lot Record'!A:A,'QALS - Inspection Lot Record'!I:I)</f>
        <v>8.2025462962962967E-2</v>
      </c>
      <c r="L1773" s="59">
        <f t="shared" ca="1" si="138"/>
        <v>45980</v>
      </c>
      <c r="M1773" s="30">
        <f t="shared" ca="1" si="139"/>
        <v>0.10697916666666667</v>
      </c>
      <c r="N1773" s="31"/>
      <c r="O1773" s="31">
        <v>0</v>
      </c>
      <c r="P1773" s="29">
        <v>0</v>
      </c>
      <c r="Q1773" s="29">
        <v>2.5</v>
      </c>
    </row>
    <row r="1774" spans="1:17" x14ac:dyDescent="0.35">
      <c r="A1774" s="26">
        <v>40000002722</v>
      </c>
      <c r="B1774" s="31">
        <v>1</v>
      </c>
      <c r="C1774" s="29" t="str">
        <f>LOOKUP(A1774,'QALS - Inspection Lot Record'!$A$2:$A$361,'QALS - Inspection Lot Record'!$O$2:$O$361)</f>
        <v>Aspirin Tablets (500 MG)</v>
      </c>
      <c r="D1774" s="31">
        <v>50</v>
      </c>
      <c r="E1774" s="29" t="s">
        <v>404</v>
      </c>
      <c r="F1774" s="29" t="str">
        <f>LOOKUP(A1774,'QALS - Inspection Lot Record'!A:A,'QALS - Inspection Lot Record'!G:G)</f>
        <v>GC197258</v>
      </c>
      <c r="G1774" s="59">
        <f ca="1">LOOKUP(A1774,'QALS - Inspection Lot Record'!A:A,'QALS - Inspection Lot Record'!E:E)</f>
        <v>45980</v>
      </c>
      <c r="H1774" s="34" t="str">
        <f t="shared" si="140"/>
        <v>A</v>
      </c>
      <c r="I1774" s="29" t="str">
        <f t="shared" si="136"/>
        <v>GC197258</v>
      </c>
      <c r="J1774" s="59">
        <f t="shared" ca="1" si="137"/>
        <v>45980</v>
      </c>
      <c r="K1774" s="30">
        <f ca="1">LOOKUP(A1774,'QALS - Inspection Lot Record'!A:A,'QALS - Inspection Lot Record'!I:I)</f>
        <v>8.2025462962962967E-2</v>
      </c>
      <c r="L1774" s="59">
        <f t="shared" ca="1" si="138"/>
        <v>45980</v>
      </c>
      <c r="M1774" s="30">
        <f t="shared" ca="1" si="139"/>
        <v>0.10063657407407407</v>
      </c>
      <c r="N1774" s="31"/>
      <c r="O1774" s="31">
        <v>41.2</v>
      </c>
      <c r="P1774" s="29">
        <v>40</v>
      </c>
      <c r="Q1774" s="29">
        <v>60</v>
      </c>
    </row>
    <row r="1775" spans="1:17" x14ac:dyDescent="0.35">
      <c r="A1775" s="26">
        <v>40000002722</v>
      </c>
      <c r="B1775" s="31">
        <v>1</v>
      </c>
      <c r="C1775" s="29" t="str">
        <f>LOOKUP(A1775,'QALS - Inspection Lot Record'!$A$2:$A$361,'QALS - Inspection Lot Record'!$O$2:$O$361)</f>
        <v>Aspirin Tablets (500 MG)</v>
      </c>
      <c r="D1775" s="31">
        <v>60</v>
      </c>
      <c r="E1775" s="29" t="s">
        <v>405</v>
      </c>
      <c r="F1775" s="29" t="str">
        <f>LOOKUP(A1775,'QALS - Inspection Lot Record'!A:A,'QALS - Inspection Lot Record'!G:G)</f>
        <v>GC197258</v>
      </c>
      <c r="G1775" s="59">
        <f ca="1">LOOKUP(A1775,'QALS - Inspection Lot Record'!A:A,'QALS - Inspection Lot Record'!E:E)</f>
        <v>45980</v>
      </c>
      <c r="H1775" s="34" t="str">
        <f t="shared" si="140"/>
        <v>A</v>
      </c>
      <c r="I1775" s="29" t="str">
        <f t="shared" si="136"/>
        <v>GC197258</v>
      </c>
      <c r="J1775" s="59">
        <f t="shared" ca="1" si="137"/>
        <v>45980</v>
      </c>
      <c r="K1775" s="30">
        <f ca="1">LOOKUP(A1775,'QALS - Inspection Lot Record'!A:A,'QALS - Inspection Lot Record'!I:I)</f>
        <v>8.2025462962962967E-2</v>
      </c>
      <c r="L1775" s="59">
        <f t="shared" ca="1" si="138"/>
        <v>45980</v>
      </c>
      <c r="M1775" s="30">
        <f t="shared" ca="1" si="139"/>
        <v>0.1071875</v>
      </c>
      <c r="N1775" s="31"/>
      <c r="O1775" s="31">
        <v>71.900000000000006</v>
      </c>
      <c r="P1775" s="29">
        <v>70</v>
      </c>
      <c r="Q1775" s="29">
        <v>85</v>
      </c>
    </row>
    <row r="1776" spans="1:17" x14ac:dyDescent="0.35">
      <c r="A1776" s="26">
        <v>40000002722</v>
      </c>
      <c r="B1776" s="31">
        <v>1</v>
      </c>
      <c r="C1776" s="29" t="str">
        <f>LOOKUP(A1776,'QALS - Inspection Lot Record'!$A$2:$A$361,'QALS - Inspection Lot Record'!$O$2:$O$361)</f>
        <v>Aspirin Tablets (500 MG)</v>
      </c>
      <c r="D1776" s="31">
        <v>70</v>
      </c>
      <c r="E1776" s="29" t="s">
        <v>406</v>
      </c>
      <c r="F1776" s="29" t="str">
        <f>LOOKUP(A1776,'QALS - Inspection Lot Record'!A:A,'QALS - Inspection Lot Record'!G:G)</f>
        <v>GC197258</v>
      </c>
      <c r="G1776" s="59">
        <f ca="1">LOOKUP(A1776,'QALS - Inspection Lot Record'!A:A,'QALS - Inspection Lot Record'!E:E)</f>
        <v>45980</v>
      </c>
      <c r="H1776" s="34" t="str">
        <f t="shared" si="140"/>
        <v>A</v>
      </c>
      <c r="I1776" s="29" t="str">
        <f t="shared" si="136"/>
        <v>GC197258</v>
      </c>
      <c r="J1776" s="59">
        <f t="shared" ca="1" si="137"/>
        <v>45980</v>
      </c>
      <c r="K1776" s="30">
        <f ca="1">LOOKUP(A1776,'QALS - Inspection Lot Record'!A:A,'QALS - Inspection Lot Record'!I:I)</f>
        <v>8.2025462962962967E-2</v>
      </c>
      <c r="L1776" s="59">
        <f t="shared" ca="1" si="138"/>
        <v>45980</v>
      </c>
      <c r="M1776" s="30">
        <f t="shared" ca="1" si="139"/>
        <v>0.10299768518518519</v>
      </c>
      <c r="N1776" s="31"/>
      <c r="O1776" s="31">
        <v>85</v>
      </c>
      <c r="P1776" s="29">
        <v>80</v>
      </c>
      <c r="Q1776" s="29">
        <v>90</v>
      </c>
    </row>
    <row r="1777" spans="1:17" x14ac:dyDescent="0.35">
      <c r="A1777" s="26">
        <v>40000002722</v>
      </c>
      <c r="B1777" s="31">
        <v>1</v>
      </c>
      <c r="C1777" s="29" t="str">
        <f>LOOKUP(A1777,'QALS - Inspection Lot Record'!$A$2:$A$361,'QALS - Inspection Lot Record'!$O$2:$O$361)</f>
        <v>Aspirin Tablets (500 MG)</v>
      </c>
      <c r="D1777" s="31">
        <v>80</v>
      </c>
      <c r="E1777" s="29" t="s">
        <v>407</v>
      </c>
      <c r="F1777" s="29" t="str">
        <f>LOOKUP(A1777,'QALS - Inspection Lot Record'!A:A,'QALS - Inspection Lot Record'!G:G)</f>
        <v>GC197258</v>
      </c>
      <c r="G1777" s="59">
        <f ca="1">LOOKUP(A1777,'QALS - Inspection Lot Record'!A:A,'QALS - Inspection Lot Record'!E:E)</f>
        <v>45980</v>
      </c>
      <c r="H1777" s="34" t="str">
        <f t="shared" si="140"/>
        <v>A</v>
      </c>
      <c r="I1777" s="29" t="str">
        <f t="shared" si="136"/>
        <v>GC197258</v>
      </c>
      <c r="J1777" s="59">
        <f t="shared" ca="1" si="137"/>
        <v>45980</v>
      </c>
      <c r="K1777" s="30">
        <f ca="1">LOOKUP(A1777,'QALS - Inspection Lot Record'!A:A,'QALS - Inspection Lot Record'!I:I)</f>
        <v>8.2025462962962967E-2</v>
      </c>
      <c r="L1777" s="59">
        <f t="shared" ca="1" si="138"/>
        <v>45980</v>
      </c>
      <c r="M1777" s="30">
        <f t="shared" ca="1" si="139"/>
        <v>0.11210648148148149</v>
      </c>
      <c r="N1777" s="31"/>
      <c r="O1777" s="31">
        <v>25.5</v>
      </c>
      <c r="P1777" s="29">
        <v>23</v>
      </c>
      <c r="Q1777" s="29">
        <v>28</v>
      </c>
    </row>
    <row r="1778" spans="1:17" x14ac:dyDescent="0.35">
      <c r="A1778" s="26">
        <v>40000002723</v>
      </c>
      <c r="B1778" s="27">
        <v>1</v>
      </c>
      <c r="C1778" s="29" t="str">
        <f>LOOKUP(A1778,'QALS - Inspection Lot Record'!$A$2:$A$361,'QALS - Inspection Lot Record'!$O$2:$O$361)</f>
        <v>Metformin Tablets (200 MG)</v>
      </c>
      <c r="D1778" s="27">
        <v>10</v>
      </c>
      <c r="E1778" s="26" t="s">
        <v>399</v>
      </c>
      <c r="F1778" s="29" t="str">
        <f>LOOKUP(A1778,'QALS - Inspection Lot Record'!A:A,'QALS - Inspection Lot Record'!G:G)</f>
        <v>ZK384180</v>
      </c>
      <c r="G1778" s="59">
        <f ca="1">LOOKUP(A1778,'QALS - Inspection Lot Record'!A:A,'QALS - Inspection Lot Record'!E:E)</f>
        <v>45981</v>
      </c>
      <c r="H1778" s="34" t="str">
        <f t="shared" si="140"/>
        <v>A</v>
      </c>
      <c r="I1778" s="29" t="str">
        <f t="shared" si="136"/>
        <v>ZK384180</v>
      </c>
      <c r="J1778" s="59">
        <f t="shared" ca="1" si="137"/>
        <v>45981</v>
      </c>
      <c r="K1778" s="30">
        <f ca="1">LOOKUP(A1778,'QALS - Inspection Lot Record'!A:A,'QALS - Inspection Lot Record'!I:I)</f>
        <v>0.71668981481481486</v>
      </c>
      <c r="L1778" s="59">
        <f t="shared" ca="1" si="138"/>
        <v>45981</v>
      </c>
      <c r="M1778" s="30">
        <f t="shared" ca="1" si="139"/>
        <v>0.74203703703703705</v>
      </c>
      <c r="N1778" s="31"/>
      <c r="O1778" s="31">
        <v>99</v>
      </c>
      <c r="P1778" s="29">
        <v>95</v>
      </c>
      <c r="Q1778" s="29">
        <v>103</v>
      </c>
    </row>
    <row r="1779" spans="1:17" x14ac:dyDescent="0.35">
      <c r="A1779" s="26">
        <v>40000002723</v>
      </c>
      <c r="B1779" s="27">
        <v>1</v>
      </c>
      <c r="C1779" s="29" t="str">
        <f>LOOKUP(A1779,'QALS - Inspection Lot Record'!$A$2:$A$361,'QALS - Inspection Lot Record'!$O$2:$O$361)</f>
        <v>Metformin Tablets (200 MG)</v>
      </c>
      <c r="D1779" s="31">
        <v>20</v>
      </c>
      <c r="E1779" s="29" t="s">
        <v>400</v>
      </c>
      <c r="F1779" s="29" t="str">
        <f>LOOKUP(A1779,'QALS - Inspection Lot Record'!A:A,'QALS - Inspection Lot Record'!G:G)</f>
        <v>ZK384180</v>
      </c>
      <c r="G1779" s="59">
        <f ca="1">LOOKUP(A1779,'QALS - Inspection Lot Record'!A:A,'QALS - Inspection Lot Record'!E:E)</f>
        <v>45981</v>
      </c>
      <c r="H1779" s="34" t="str">
        <f t="shared" si="140"/>
        <v>R</v>
      </c>
      <c r="I1779" s="29" t="str">
        <f t="shared" si="136"/>
        <v>ZK384180</v>
      </c>
      <c r="J1779" s="59">
        <f t="shared" ca="1" si="137"/>
        <v>45981</v>
      </c>
      <c r="K1779" s="30">
        <f ca="1">LOOKUP(A1779,'QALS - Inspection Lot Record'!A:A,'QALS - Inspection Lot Record'!I:I)</f>
        <v>0.71668981481481486</v>
      </c>
      <c r="L1779" s="59">
        <f t="shared" ca="1" si="138"/>
        <v>45981</v>
      </c>
      <c r="M1779" s="30">
        <f t="shared" ca="1" si="139"/>
        <v>0.74165509259259266</v>
      </c>
      <c r="N1779" s="31"/>
      <c r="O1779" s="31">
        <v>4.4000000000000004</v>
      </c>
      <c r="P1779" s="29">
        <v>6</v>
      </c>
      <c r="Q1779" s="29">
        <v>9.5</v>
      </c>
    </row>
    <row r="1780" spans="1:17" x14ac:dyDescent="0.35">
      <c r="A1780" s="26">
        <v>40000002723</v>
      </c>
      <c r="B1780" s="31">
        <v>1</v>
      </c>
      <c r="C1780" s="29" t="str">
        <f>LOOKUP(A1780,'QALS - Inspection Lot Record'!$A$2:$A$361,'QALS - Inspection Lot Record'!$O$2:$O$361)</f>
        <v>Metformin Tablets (200 MG)</v>
      </c>
      <c r="D1780" s="31">
        <v>30</v>
      </c>
      <c r="E1780" s="29" t="s">
        <v>401</v>
      </c>
      <c r="F1780" s="29" t="str">
        <f>LOOKUP(A1780,'QALS - Inspection Lot Record'!A:A,'QALS - Inspection Lot Record'!G:G)</f>
        <v>ZK384180</v>
      </c>
      <c r="G1780" s="59">
        <f ca="1">LOOKUP(A1780,'QALS - Inspection Lot Record'!A:A,'QALS - Inspection Lot Record'!E:E)</f>
        <v>45981</v>
      </c>
      <c r="H1780" s="34" t="str">
        <f t="shared" si="140"/>
        <v>A</v>
      </c>
      <c r="I1780" s="29" t="str">
        <f t="shared" si="136"/>
        <v>ZK384180</v>
      </c>
      <c r="J1780" s="59">
        <f t="shared" ca="1" si="137"/>
        <v>45981</v>
      </c>
      <c r="K1780" s="30">
        <f ca="1">LOOKUP(A1780,'QALS - Inspection Lot Record'!A:A,'QALS - Inspection Lot Record'!I:I)</f>
        <v>0.71668981481481486</v>
      </c>
      <c r="L1780" s="59">
        <f t="shared" ca="1" si="138"/>
        <v>45981</v>
      </c>
      <c r="M1780" s="30">
        <f t="shared" ca="1" si="139"/>
        <v>0.74633101851851857</v>
      </c>
      <c r="N1780" s="11" t="s">
        <v>402</v>
      </c>
      <c r="O1780" s="31"/>
      <c r="P1780" s="29"/>
      <c r="Q1780" s="29"/>
    </row>
    <row r="1781" spans="1:17" x14ac:dyDescent="0.35">
      <c r="A1781" s="26">
        <v>40000002723</v>
      </c>
      <c r="B1781" s="31">
        <v>1</v>
      </c>
      <c r="C1781" s="29" t="str">
        <f>LOOKUP(A1781,'QALS - Inspection Lot Record'!$A$2:$A$361,'QALS - Inspection Lot Record'!$O$2:$O$361)</f>
        <v>Metformin Tablets (200 MG)</v>
      </c>
      <c r="D1781" s="31">
        <v>40</v>
      </c>
      <c r="E1781" s="29" t="s">
        <v>403</v>
      </c>
      <c r="F1781" s="29" t="str">
        <f>LOOKUP(A1781,'QALS - Inspection Lot Record'!A:A,'QALS - Inspection Lot Record'!G:G)</f>
        <v>ZK384180</v>
      </c>
      <c r="G1781" s="59">
        <f ca="1">LOOKUP(A1781,'QALS - Inspection Lot Record'!A:A,'QALS - Inspection Lot Record'!E:E)</f>
        <v>45981</v>
      </c>
      <c r="H1781" s="34" t="str">
        <f t="shared" si="140"/>
        <v>A</v>
      </c>
      <c r="I1781" s="29" t="str">
        <f t="shared" si="136"/>
        <v>ZK384180</v>
      </c>
      <c r="J1781" s="59">
        <f t="shared" ca="1" si="137"/>
        <v>45981</v>
      </c>
      <c r="K1781" s="30">
        <f ca="1">LOOKUP(A1781,'QALS - Inspection Lot Record'!A:A,'QALS - Inspection Lot Record'!I:I)</f>
        <v>0.71668981481481486</v>
      </c>
      <c r="L1781" s="59">
        <f t="shared" ca="1" si="138"/>
        <v>45981</v>
      </c>
      <c r="M1781" s="30">
        <f t="shared" ca="1" si="139"/>
        <v>0.75123842592592593</v>
      </c>
      <c r="N1781" s="31"/>
      <c r="O1781" s="31">
        <v>1.6</v>
      </c>
      <c r="P1781" s="29">
        <v>0</v>
      </c>
      <c r="Q1781" s="29">
        <v>2</v>
      </c>
    </row>
    <row r="1782" spans="1:17" x14ac:dyDescent="0.35">
      <c r="A1782" s="26">
        <v>40000002723</v>
      </c>
      <c r="B1782" s="31">
        <v>1</v>
      </c>
      <c r="C1782" s="29" t="str">
        <f>LOOKUP(A1782,'QALS - Inspection Lot Record'!$A$2:$A$361,'QALS - Inspection Lot Record'!$O$2:$O$361)</f>
        <v>Metformin Tablets (200 MG)</v>
      </c>
      <c r="D1782" s="31">
        <v>50</v>
      </c>
      <c r="E1782" s="29" t="s">
        <v>404</v>
      </c>
      <c r="F1782" s="29" t="str">
        <f>LOOKUP(A1782,'QALS - Inspection Lot Record'!A:A,'QALS - Inspection Lot Record'!G:G)</f>
        <v>ZK384180</v>
      </c>
      <c r="G1782" s="59">
        <f ca="1">LOOKUP(A1782,'QALS - Inspection Lot Record'!A:A,'QALS - Inspection Lot Record'!E:E)</f>
        <v>45981</v>
      </c>
      <c r="H1782" s="34" t="str">
        <f t="shared" si="140"/>
        <v>A</v>
      </c>
      <c r="I1782" s="29" t="str">
        <f t="shared" si="136"/>
        <v>ZK384180</v>
      </c>
      <c r="J1782" s="59">
        <f t="shared" ca="1" si="137"/>
        <v>45981</v>
      </c>
      <c r="K1782" s="30">
        <f ca="1">LOOKUP(A1782,'QALS - Inspection Lot Record'!A:A,'QALS - Inspection Lot Record'!I:I)</f>
        <v>0.71668981481481486</v>
      </c>
      <c r="L1782" s="59">
        <f t="shared" ca="1" si="138"/>
        <v>45981</v>
      </c>
      <c r="M1782" s="30">
        <f t="shared" ca="1" si="139"/>
        <v>0.75163194444444448</v>
      </c>
      <c r="N1782" s="31"/>
      <c r="O1782" s="31">
        <v>43.6</v>
      </c>
      <c r="P1782" s="29">
        <v>40</v>
      </c>
      <c r="Q1782" s="29">
        <v>60</v>
      </c>
    </row>
    <row r="1783" spans="1:17" x14ac:dyDescent="0.35">
      <c r="A1783" s="26">
        <v>40000002723</v>
      </c>
      <c r="B1783" s="31">
        <v>1</v>
      </c>
      <c r="C1783" s="29" t="str">
        <f>LOOKUP(A1783,'QALS - Inspection Lot Record'!$A$2:$A$361,'QALS - Inspection Lot Record'!$O$2:$O$361)</f>
        <v>Metformin Tablets (200 MG)</v>
      </c>
      <c r="D1783" s="31">
        <v>60</v>
      </c>
      <c r="E1783" s="29" t="s">
        <v>405</v>
      </c>
      <c r="F1783" s="29" t="str">
        <f>LOOKUP(A1783,'QALS - Inspection Lot Record'!A:A,'QALS - Inspection Lot Record'!G:G)</f>
        <v>ZK384180</v>
      </c>
      <c r="G1783" s="59">
        <f ca="1">LOOKUP(A1783,'QALS - Inspection Lot Record'!A:A,'QALS - Inspection Lot Record'!E:E)</f>
        <v>45981</v>
      </c>
      <c r="H1783" s="34" t="str">
        <f t="shared" si="140"/>
        <v>R</v>
      </c>
      <c r="I1783" s="29" t="str">
        <f t="shared" si="136"/>
        <v>ZK384180</v>
      </c>
      <c r="J1783" s="59">
        <f t="shared" ca="1" si="137"/>
        <v>45981</v>
      </c>
      <c r="K1783" s="30">
        <f ca="1">LOOKUP(A1783,'QALS - Inspection Lot Record'!A:A,'QALS - Inspection Lot Record'!I:I)</f>
        <v>0.71668981481481486</v>
      </c>
      <c r="L1783" s="59">
        <f t="shared" ca="1" si="138"/>
        <v>45981</v>
      </c>
      <c r="M1783" s="30">
        <f t="shared" ca="1" si="139"/>
        <v>0.74553240740740745</v>
      </c>
      <c r="N1783" s="31"/>
      <c r="O1783" s="31">
        <v>69</v>
      </c>
      <c r="P1783" s="29">
        <v>70</v>
      </c>
      <c r="Q1783" s="29">
        <v>85</v>
      </c>
    </row>
    <row r="1784" spans="1:17" x14ac:dyDescent="0.35">
      <c r="A1784" s="26">
        <v>40000002723</v>
      </c>
      <c r="B1784" s="31">
        <v>1</v>
      </c>
      <c r="C1784" s="29" t="str">
        <f>LOOKUP(A1784,'QALS - Inspection Lot Record'!$A$2:$A$361,'QALS - Inspection Lot Record'!$O$2:$O$361)</f>
        <v>Metformin Tablets (200 MG)</v>
      </c>
      <c r="D1784" s="31">
        <v>70</v>
      </c>
      <c r="E1784" s="29" t="s">
        <v>406</v>
      </c>
      <c r="F1784" s="29" t="str">
        <f>LOOKUP(A1784,'QALS - Inspection Lot Record'!A:A,'QALS - Inspection Lot Record'!G:G)</f>
        <v>ZK384180</v>
      </c>
      <c r="G1784" s="59">
        <f ca="1">LOOKUP(A1784,'QALS - Inspection Lot Record'!A:A,'QALS - Inspection Lot Record'!E:E)</f>
        <v>45981</v>
      </c>
      <c r="H1784" s="34" t="str">
        <f t="shared" si="140"/>
        <v>R</v>
      </c>
      <c r="I1784" s="29" t="str">
        <f t="shared" si="136"/>
        <v>ZK384180</v>
      </c>
      <c r="J1784" s="59">
        <f t="shared" ca="1" si="137"/>
        <v>45981</v>
      </c>
      <c r="K1784" s="30">
        <f ca="1">LOOKUP(A1784,'QALS - Inspection Lot Record'!A:A,'QALS - Inspection Lot Record'!I:I)</f>
        <v>0.71668981481481486</v>
      </c>
      <c r="L1784" s="59">
        <f t="shared" ca="1" si="138"/>
        <v>45981</v>
      </c>
      <c r="M1784" s="30">
        <f t="shared" ca="1" si="139"/>
        <v>0.74577546296296304</v>
      </c>
      <c r="N1784" s="31"/>
      <c r="O1784" s="31">
        <v>79</v>
      </c>
      <c r="P1784" s="29">
        <v>80</v>
      </c>
      <c r="Q1784" s="29">
        <v>90</v>
      </c>
    </row>
    <row r="1785" spans="1:17" x14ac:dyDescent="0.35">
      <c r="A1785" s="26">
        <v>40000002723</v>
      </c>
      <c r="B1785" s="31">
        <v>1</v>
      </c>
      <c r="C1785" s="29" t="str">
        <f>LOOKUP(A1785,'QALS - Inspection Lot Record'!$A$2:$A$361,'QALS - Inspection Lot Record'!$O$2:$O$361)</f>
        <v>Metformin Tablets (200 MG)</v>
      </c>
      <c r="D1785" s="31">
        <v>80</v>
      </c>
      <c r="E1785" s="29" t="s">
        <v>407</v>
      </c>
      <c r="F1785" s="29" t="str">
        <f>LOOKUP(A1785,'QALS - Inspection Lot Record'!A:A,'QALS - Inspection Lot Record'!G:G)</f>
        <v>ZK384180</v>
      </c>
      <c r="G1785" s="59">
        <f ca="1">LOOKUP(A1785,'QALS - Inspection Lot Record'!A:A,'QALS - Inspection Lot Record'!E:E)</f>
        <v>45981</v>
      </c>
      <c r="H1785" s="34" t="str">
        <f t="shared" si="140"/>
        <v>A</v>
      </c>
      <c r="I1785" s="29" t="str">
        <f t="shared" si="136"/>
        <v>ZK384180</v>
      </c>
      <c r="J1785" s="59">
        <f t="shared" ca="1" si="137"/>
        <v>45981</v>
      </c>
      <c r="K1785" s="30">
        <f ca="1">LOOKUP(A1785,'QALS - Inspection Lot Record'!A:A,'QALS - Inspection Lot Record'!I:I)</f>
        <v>0.71668981481481486</v>
      </c>
      <c r="L1785" s="59">
        <f t="shared" ca="1" si="138"/>
        <v>45981</v>
      </c>
      <c r="M1785" s="30">
        <f t="shared" ca="1" si="139"/>
        <v>0.74526620370370378</v>
      </c>
      <c r="N1785" s="31"/>
      <c r="O1785" s="31">
        <v>24</v>
      </c>
      <c r="P1785" s="29">
        <v>23</v>
      </c>
      <c r="Q1785" s="29">
        <v>28</v>
      </c>
    </row>
    <row r="1786" spans="1:17" x14ac:dyDescent="0.35">
      <c r="A1786" s="26">
        <v>40000002724</v>
      </c>
      <c r="B1786" s="27">
        <v>1</v>
      </c>
      <c r="C1786" s="29" t="str">
        <f>LOOKUP(A1786,'QALS - Inspection Lot Record'!$A$2:$A$361,'QALS - Inspection Lot Record'!$O$2:$O$361)</f>
        <v>Metformin Tablets (500 MG)</v>
      </c>
      <c r="D1786" s="27">
        <v>10</v>
      </c>
      <c r="E1786" s="26" t="s">
        <v>399</v>
      </c>
      <c r="F1786" s="29" t="str">
        <f>LOOKUP(A1786,'QALS - Inspection Lot Record'!A:A,'QALS - Inspection Lot Record'!G:G)</f>
        <v>GC197258</v>
      </c>
      <c r="G1786" s="59">
        <f ca="1">LOOKUP(A1786,'QALS - Inspection Lot Record'!A:A,'QALS - Inspection Lot Record'!E:E)</f>
        <v>45981</v>
      </c>
      <c r="H1786" s="34" t="str">
        <f t="shared" si="140"/>
        <v>A</v>
      </c>
      <c r="I1786" s="29" t="str">
        <f t="shared" si="136"/>
        <v>GC197258</v>
      </c>
      <c r="J1786" s="59">
        <f t="shared" ca="1" si="137"/>
        <v>45981</v>
      </c>
      <c r="K1786" s="30">
        <f ca="1">LOOKUP(A1786,'QALS - Inspection Lot Record'!A:A,'QALS - Inspection Lot Record'!I:I)</f>
        <v>0.31231481481481482</v>
      </c>
      <c r="L1786" s="59">
        <f t="shared" ca="1" si="138"/>
        <v>45981</v>
      </c>
      <c r="M1786" s="30">
        <f t="shared" ca="1" si="139"/>
        <v>0.33837962962962964</v>
      </c>
      <c r="N1786" s="31"/>
      <c r="O1786" s="31">
        <v>100</v>
      </c>
      <c r="P1786" s="29">
        <v>95</v>
      </c>
      <c r="Q1786" s="29">
        <v>105</v>
      </c>
    </row>
    <row r="1787" spans="1:17" x14ac:dyDescent="0.35">
      <c r="A1787" s="26">
        <v>40000002724</v>
      </c>
      <c r="B1787" s="27">
        <v>1</v>
      </c>
      <c r="C1787" s="29" t="str">
        <f>LOOKUP(A1787,'QALS - Inspection Lot Record'!$A$2:$A$361,'QALS - Inspection Lot Record'!$O$2:$O$361)</f>
        <v>Metformin Tablets (500 MG)</v>
      </c>
      <c r="D1787" s="31">
        <v>20</v>
      </c>
      <c r="E1787" s="29" t="s">
        <v>400</v>
      </c>
      <c r="F1787" s="29" t="str">
        <f>LOOKUP(A1787,'QALS - Inspection Lot Record'!A:A,'QALS - Inspection Lot Record'!G:G)</f>
        <v>GC197258</v>
      </c>
      <c r="G1787" s="59">
        <f ca="1">LOOKUP(A1787,'QALS - Inspection Lot Record'!A:A,'QALS - Inspection Lot Record'!E:E)</f>
        <v>45981</v>
      </c>
      <c r="H1787" s="34" t="str">
        <f t="shared" si="140"/>
        <v>A</v>
      </c>
      <c r="I1787" s="29" t="str">
        <f t="shared" si="136"/>
        <v>GC197258</v>
      </c>
      <c r="J1787" s="59">
        <f t="shared" ca="1" si="137"/>
        <v>45981</v>
      </c>
      <c r="K1787" s="30">
        <f ca="1">LOOKUP(A1787,'QALS - Inspection Lot Record'!A:A,'QALS - Inspection Lot Record'!I:I)</f>
        <v>0.31231481481481482</v>
      </c>
      <c r="L1787" s="59">
        <f t="shared" ca="1" si="138"/>
        <v>45981</v>
      </c>
      <c r="M1787" s="30">
        <f t="shared" ca="1" si="139"/>
        <v>0.33135416666666667</v>
      </c>
      <c r="N1787" s="31"/>
      <c r="O1787" s="31">
        <v>7.25</v>
      </c>
      <c r="P1787" s="29">
        <v>3.5</v>
      </c>
      <c r="Q1787" s="29">
        <v>11</v>
      </c>
    </row>
    <row r="1788" spans="1:17" x14ac:dyDescent="0.35">
      <c r="A1788" s="26">
        <v>40000002724</v>
      </c>
      <c r="B1788" s="31">
        <v>1</v>
      </c>
      <c r="C1788" s="29" t="str">
        <f>LOOKUP(A1788,'QALS - Inspection Lot Record'!$A$2:$A$361,'QALS - Inspection Lot Record'!$O$2:$O$361)</f>
        <v>Metformin Tablets (500 MG)</v>
      </c>
      <c r="D1788" s="31">
        <v>30</v>
      </c>
      <c r="E1788" s="29" t="s">
        <v>401</v>
      </c>
      <c r="F1788" s="29" t="str">
        <f>LOOKUP(A1788,'QALS - Inspection Lot Record'!A:A,'QALS - Inspection Lot Record'!G:G)</f>
        <v>GC197258</v>
      </c>
      <c r="G1788" s="59">
        <f ca="1">LOOKUP(A1788,'QALS - Inspection Lot Record'!A:A,'QALS - Inspection Lot Record'!E:E)</f>
        <v>45981</v>
      </c>
      <c r="H1788" s="34" t="str">
        <f t="shared" si="140"/>
        <v>A</v>
      </c>
      <c r="I1788" s="29" t="str">
        <f t="shared" si="136"/>
        <v>GC197258</v>
      </c>
      <c r="J1788" s="59">
        <f t="shared" ca="1" si="137"/>
        <v>45981</v>
      </c>
      <c r="K1788" s="30">
        <f ca="1">LOOKUP(A1788,'QALS - Inspection Lot Record'!A:A,'QALS - Inspection Lot Record'!I:I)</f>
        <v>0.31231481481481482</v>
      </c>
      <c r="L1788" s="59">
        <f t="shared" ca="1" si="138"/>
        <v>45981</v>
      </c>
      <c r="M1788" s="30">
        <f t="shared" ca="1" si="139"/>
        <v>0.34452546296296299</v>
      </c>
      <c r="N1788" s="11" t="s">
        <v>402</v>
      </c>
      <c r="O1788" s="31"/>
      <c r="P1788" s="29"/>
      <c r="Q1788" s="29"/>
    </row>
    <row r="1789" spans="1:17" x14ac:dyDescent="0.35">
      <c r="A1789" s="26">
        <v>40000002724</v>
      </c>
      <c r="B1789" s="31">
        <v>1</v>
      </c>
      <c r="C1789" s="29" t="str">
        <f>LOOKUP(A1789,'QALS - Inspection Lot Record'!$A$2:$A$361,'QALS - Inspection Lot Record'!$O$2:$O$361)</f>
        <v>Metformin Tablets (500 MG)</v>
      </c>
      <c r="D1789" s="31">
        <v>40</v>
      </c>
      <c r="E1789" s="29" t="s">
        <v>403</v>
      </c>
      <c r="F1789" s="29" t="str">
        <f>LOOKUP(A1789,'QALS - Inspection Lot Record'!A:A,'QALS - Inspection Lot Record'!G:G)</f>
        <v>GC197258</v>
      </c>
      <c r="G1789" s="59">
        <f ca="1">LOOKUP(A1789,'QALS - Inspection Lot Record'!A:A,'QALS - Inspection Lot Record'!E:E)</f>
        <v>45981</v>
      </c>
      <c r="H1789" s="34" t="str">
        <f t="shared" si="140"/>
        <v>A</v>
      </c>
      <c r="I1789" s="29" t="str">
        <f t="shared" si="136"/>
        <v>GC197258</v>
      </c>
      <c r="J1789" s="59">
        <f t="shared" ca="1" si="137"/>
        <v>45981</v>
      </c>
      <c r="K1789" s="30">
        <f ca="1">LOOKUP(A1789,'QALS - Inspection Lot Record'!A:A,'QALS - Inspection Lot Record'!I:I)</f>
        <v>0.31231481481481482</v>
      </c>
      <c r="L1789" s="59">
        <f t="shared" ca="1" si="138"/>
        <v>45981</v>
      </c>
      <c r="M1789" s="30">
        <f t="shared" ca="1" si="139"/>
        <v>0.34149305555555554</v>
      </c>
      <c r="N1789" s="31"/>
      <c r="O1789" s="31">
        <v>1.6</v>
      </c>
      <c r="P1789" s="29">
        <v>0</v>
      </c>
      <c r="Q1789" s="29">
        <v>2</v>
      </c>
    </row>
    <row r="1790" spans="1:17" x14ac:dyDescent="0.35">
      <c r="A1790" s="26">
        <v>40000002724</v>
      </c>
      <c r="B1790" s="31">
        <v>1</v>
      </c>
      <c r="C1790" s="29" t="str">
        <f>LOOKUP(A1790,'QALS - Inspection Lot Record'!$A$2:$A$361,'QALS - Inspection Lot Record'!$O$2:$O$361)</f>
        <v>Metformin Tablets (500 MG)</v>
      </c>
      <c r="D1790" s="31">
        <v>50</v>
      </c>
      <c r="E1790" s="29" t="s">
        <v>404</v>
      </c>
      <c r="F1790" s="29" t="str">
        <f>LOOKUP(A1790,'QALS - Inspection Lot Record'!A:A,'QALS - Inspection Lot Record'!G:G)</f>
        <v>GC197258</v>
      </c>
      <c r="G1790" s="59">
        <f ca="1">LOOKUP(A1790,'QALS - Inspection Lot Record'!A:A,'QALS - Inspection Lot Record'!E:E)</f>
        <v>45981</v>
      </c>
      <c r="H1790" s="34" t="str">
        <f t="shared" si="140"/>
        <v>A</v>
      </c>
      <c r="I1790" s="29" t="str">
        <f t="shared" si="136"/>
        <v>GC197258</v>
      </c>
      <c r="J1790" s="59">
        <f t="shared" ca="1" si="137"/>
        <v>45981</v>
      </c>
      <c r="K1790" s="30">
        <f ca="1">LOOKUP(A1790,'QALS - Inspection Lot Record'!A:A,'QALS - Inspection Lot Record'!I:I)</f>
        <v>0.31231481481481482</v>
      </c>
      <c r="L1790" s="59">
        <f t="shared" ca="1" si="138"/>
        <v>45981</v>
      </c>
      <c r="M1790" s="30">
        <f t="shared" ca="1" si="139"/>
        <v>0.34731481481481485</v>
      </c>
      <c r="N1790" s="31"/>
      <c r="O1790" s="31">
        <v>42.6</v>
      </c>
      <c r="P1790" s="29">
        <v>40</v>
      </c>
      <c r="Q1790" s="29">
        <v>60</v>
      </c>
    </row>
    <row r="1791" spans="1:17" x14ac:dyDescent="0.35">
      <c r="A1791" s="26">
        <v>40000002724</v>
      </c>
      <c r="B1791" s="31">
        <v>1</v>
      </c>
      <c r="C1791" s="29" t="str">
        <f>LOOKUP(A1791,'QALS - Inspection Lot Record'!$A$2:$A$361,'QALS - Inspection Lot Record'!$O$2:$O$361)</f>
        <v>Metformin Tablets (500 MG)</v>
      </c>
      <c r="D1791" s="31">
        <v>60</v>
      </c>
      <c r="E1791" s="29" t="s">
        <v>405</v>
      </c>
      <c r="F1791" s="29" t="str">
        <f>LOOKUP(A1791,'QALS - Inspection Lot Record'!A:A,'QALS - Inspection Lot Record'!G:G)</f>
        <v>GC197258</v>
      </c>
      <c r="G1791" s="59">
        <f ca="1">LOOKUP(A1791,'QALS - Inspection Lot Record'!A:A,'QALS - Inspection Lot Record'!E:E)</f>
        <v>45981</v>
      </c>
      <c r="H1791" s="34" t="str">
        <f t="shared" si="140"/>
        <v>R</v>
      </c>
      <c r="I1791" s="29" t="str">
        <f t="shared" si="136"/>
        <v>GC197258</v>
      </c>
      <c r="J1791" s="59">
        <f t="shared" ca="1" si="137"/>
        <v>45981</v>
      </c>
      <c r="K1791" s="30">
        <f ca="1">LOOKUP(A1791,'QALS - Inspection Lot Record'!A:A,'QALS - Inspection Lot Record'!I:I)</f>
        <v>0.31231481481481482</v>
      </c>
      <c r="L1791" s="59">
        <f t="shared" ca="1" si="138"/>
        <v>45981</v>
      </c>
      <c r="M1791" s="30">
        <f t="shared" ca="1" si="139"/>
        <v>0.3321527777777778</v>
      </c>
      <c r="N1791" s="31"/>
      <c r="O1791" s="31">
        <v>68.599999999999994</v>
      </c>
      <c r="P1791" s="29">
        <v>70</v>
      </c>
      <c r="Q1791" s="29">
        <v>85</v>
      </c>
    </row>
    <row r="1792" spans="1:17" x14ac:dyDescent="0.35">
      <c r="A1792" s="26">
        <v>40000002724</v>
      </c>
      <c r="B1792" s="31">
        <v>1</v>
      </c>
      <c r="C1792" s="29" t="str">
        <f>LOOKUP(A1792,'QALS - Inspection Lot Record'!$A$2:$A$361,'QALS - Inspection Lot Record'!$O$2:$O$361)</f>
        <v>Metformin Tablets (500 MG)</v>
      </c>
      <c r="D1792" s="31">
        <v>70</v>
      </c>
      <c r="E1792" s="29" t="s">
        <v>406</v>
      </c>
      <c r="F1792" s="29" t="str">
        <f>LOOKUP(A1792,'QALS - Inspection Lot Record'!A:A,'QALS - Inspection Lot Record'!G:G)</f>
        <v>GC197258</v>
      </c>
      <c r="G1792" s="59">
        <f ca="1">LOOKUP(A1792,'QALS - Inspection Lot Record'!A:A,'QALS - Inspection Lot Record'!E:E)</f>
        <v>45981</v>
      </c>
      <c r="H1792" s="34" t="str">
        <f t="shared" si="140"/>
        <v>R</v>
      </c>
      <c r="I1792" s="29" t="str">
        <f t="shared" si="136"/>
        <v>GC197258</v>
      </c>
      <c r="J1792" s="59">
        <f t="shared" ca="1" si="137"/>
        <v>45981</v>
      </c>
      <c r="K1792" s="30">
        <f ca="1">LOOKUP(A1792,'QALS - Inspection Lot Record'!A:A,'QALS - Inspection Lot Record'!I:I)</f>
        <v>0.31231481481481482</v>
      </c>
      <c r="L1792" s="59">
        <f t="shared" ca="1" si="138"/>
        <v>45981</v>
      </c>
      <c r="M1792" s="30">
        <f t="shared" ca="1" si="139"/>
        <v>0.33952546296296299</v>
      </c>
      <c r="N1792" s="31"/>
      <c r="O1792" s="31">
        <v>78.900000000000006</v>
      </c>
      <c r="P1792" s="29">
        <v>80</v>
      </c>
      <c r="Q1792" s="29">
        <v>90</v>
      </c>
    </row>
    <row r="1793" spans="1:17" x14ac:dyDescent="0.35">
      <c r="A1793" s="26">
        <v>40000002724</v>
      </c>
      <c r="B1793" s="31">
        <v>1</v>
      </c>
      <c r="C1793" s="29" t="str">
        <f>LOOKUP(A1793,'QALS - Inspection Lot Record'!$A$2:$A$361,'QALS - Inspection Lot Record'!$O$2:$O$361)</f>
        <v>Metformin Tablets (500 MG)</v>
      </c>
      <c r="D1793" s="31">
        <v>80</v>
      </c>
      <c r="E1793" s="29" t="s">
        <v>407</v>
      </c>
      <c r="F1793" s="29" t="str">
        <f>LOOKUP(A1793,'QALS - Inspection Lot Record'!A:A,'QALS - Inspection Lot Record'!G:G)</f>
        <v>GC197258</v>
      </c>
      <c r="G1793" s="59">
        <f ca="1">LOOKUP(A1793,'QALS - Inspection Lot Record'!A:A,'QALS - Inspection Lot Record'!E:E)</f>
        <v>45981</v>
      </c>
      <c r="H1793" s="34" t="str">
        <f t="shared" si="140"/>
        <v>A</v>
      </c>
      <c r="I1793" s="29" t="str">
        <f t="shared" si="136"/>
        <v>GC197258</v>
      </c>
      <c r="J1793" s="59">
        <f t="shared" ca="1" si="137"/>
        <v>45981</v>
      </c>
      <c r="K1793" s="30">
        <f ca="1">LOOKUP(A1793,'QALS - Inspection Lot Record'!A:A,'QALS - Inspection Lot Record'!I:I)</f>
        <v>0.31231481481481482</v>
      </c>
      <c r="L1793" s="59">
        <f t="shared" ca="1" si="138"/>
        <v>45981</v>
      </c>
      <c r="M1793" s="30">
        <f t="shared" ca="1" si="139"/>
        <v>0.33607638888888891</v>
      </c>
      <c r="N1793" s="31"/>
      <c r="O1793" s="31">
        <v>23.9</v>
      </c>
      <c r="P1793" s="29">
        <v>23</v>
      </c>
      <c r="Q1793" s="29">
        <v>28</v>
      </c>
    </row>
    <row r="1794" spans="1:17" x14ac:dyDescent="0.35">
      <c r="A1794" s="26">
        <v>40000002725</v>
      </c>
      <c r="B1794" s="27">
        <v>1</v>
      </c>
      <c r="C1794" s="29" t="str">
        <f>LOOKUP(A1794,'QALS - Inspection Lot Record'!$A$2:$A$361,'QALS - Inspection Lot Record'!$O$2:$O$361)</f>
        <v>Aspirin Tablets (500 MG)</v>
      </c>
      <c r="D1794" s="27">
        <v>10</v>
      </c>
      <c r="E1794" s="26" t="s">
        <v>399</v>
      </c>
      <c r="F1794" s="29" t="str">
        <f>LOOKUP(A1794,'QALS - Inspection Lot Record'!A:A,'QALS - Inspection Lot Record'!G:G)</f>
        <v>ZK384180</v>
      </c>
      <c r="G1794" s="59">
        <f ca="1">LOOKUP(A1794,'QALS - Inspection Lot Record'!A:A,'QALS - Inspection Lot Record'!E:E)</f>
        <v>45982</v>
      </c>
      <c r="H1794" s="34" t="str">
        <f t="shared" si="140"/>
        <v>A</v>
      </c>
      <c r="I1794" s="29" t="str">
        <f t="shared" ref="I1794:I1857" si="141">F1794</f>
        <v>ZK384180</v>
      </c>
      <c r="J1794" s="59">
        <f t="shared" ref="J1794:J1857" ca="1" si="142">G1794</f>
        <v>45982</v>
      </c>
      <c r="K1794" s="30">
        <f ca="1">LOOKUP(A1794,'QALS - Inspection Lot Record'!A:A,'QALS - Inspection Lot Record'!I:I)</f>
        <v>0.81822916666666667</v>
      </c>
      <c r="L1794" s="59">
        <f t="shared" ref="L1794:L1857" ca="1" si="143">G1794</f>
        <v>45982</v>
      </c>
      <c r="M1794" s="30">
        <f t="shared" ref="M1794:M1857" ca="1" si="144">K1794+TIME(0,RANDBETWEEN(25,50),RANDBETWEEN(0,59))</f>
        <v>0.84270833333333339</v>
      </c>
      <c r="N1794" s="31"/>
      <c r="O1794" s="31">
        <v>100</v>
      </c>
      <c r="P1794" s="29">
        <v>95</v>
      </c>
      <c r="Q1794" s="29">
        <v>105</v>
      </c>
    </row>
    <row r="1795" spans="1:17" x14ac:dyDescent="0.35">
      <c r="A1795" s="26">
        <v>40000002725</v>
      </c>
      <c r="B1795" s="27">
        <v>1</v>
      </c>
      <c r="C1795" s="29" t="str">
        <f>LOOKUP(A1795,'QALS - Inspection Lot Record'!$A$2:$A$361,'QALS - Inspection Lot Record'!$O$2:$O$361)</f>
        <v>Aspirin Tablets (500 MG)</v>
      </c>
      <c r="D1795" s="31">
        <v>20</v>
      </c>
      <c r="E1795" s="29" t="s">
        <v>400</v>
      </c>
      <c r="F1795" s="29" t="str">
        <f>LOOKUP(A1795,'QALS - Inspection Lot Record'!A:A,'QALS - Inspection Lot Record'!G:G)</f>
        <v>ZK384180</v>
      </c>
      <c r="G1795" s="59">
        <f ca="1">LOOKUP(A1795,'QALS - Inspection Lot Record'!A:A,'QALS - Inspection Lot Record'!E:E)</f>
        <v>45982</v>
      </c>
      <c r="H1795" s="34" t="str">
        <f t="shared" si="140"/>
        <v>A</v>
      </c>
      <c r="I1795" s="29" t="str">
        <f t="shared" si="141"/>
        <v>ZK384180</v>
      </c>
      <c r="J1795" s="59">
        <f t="shared" ca="1" si="142"/>
        <v>45982</v>
      </c>
      <c r="K1795" s="30">
        <f ca="1">LOOKUP(A1795,'QALS - Inspection Lot Record'!A:A,'QALS - Inspection Lot Record'!I:I)</f>
        <v>0.81822916666666667</v>
      </c>
      <c r="L1795" s="59">
        <f t="shared" ca="1" si="143"/>
        <v>45982</v>
      </c>
      <c r="M1795" s="30">
        <f t="shared" ca="1" si="144"/>
        <v>0.84115740740740741</v>
      </c>
      <c r="N1795" s="31"/>
      <c r="O1795" s="31">
        <v>7.25</v>
      </c>
      <c r="P1795" s="29">
        <v>3.5</v>
      </c>
      <c r="Q1795" s="29">
        <v>11</v>
      </c>
    </row>
    <row r="1796" spans="1:17" x14ac:dyDescent="0.35">
      <c r="A1796" s="26">
        <v>40000002725</v>
      </c>
      <c r="B1796" s="31">
        <v>1</v>
      </c>
      <c r="C1796" s="29" t="str">
        <f>LOOKUP(A1796,'QALS - Inspection Lot Record'!$A$2:$A$361,'QALS - Inspection Lot Record'!$O$2:$O$361)</f>
        <v>Aspirin Tablets (500 MG)</v>
      </c>
      <c r="D1796" s="31">
        <v>30</v>
      </c>
      <c r="E1796" s="29" t="s">
        <v>401</v>
      </c>
      <c r="F1796" s="29" t="str">
        <f>LOOKUP(A1796,'QALS - Inspection Lot Record'!A:A,'QALS - Inspection Lot Record'!G:G)</f>
        <v>ZK384180</v>
      </c>
      <c r="G1796" s="59">
        <f ca="1">LOOKUP(A1796,'QALS - Inspection Lot Record'!A:A,'QALS - Inspection Lot Record'!E:E)</f>
        <v>45982</v>
      </c>
      <c r="H1796" s="34" t="str">
        <f t="shared" si="140"/>
        <v>A</v>
      </c>
      <c r="I1796" s="29" t="str">
        <f t="shared" si="141"/>
        <v>ZK384180</v>
      </c>
      <c r="J1796" s="59">
        <f t="shared" ca="1" si="142"/>
        <v>45982</v>
      </c>
      <c r="K1796" s="30">
        <f ca="1">LOOKUP(A1796,'QALS - Inspection Lot Record'!A:A,'QALS - Inspection Lot Record'!I:I)</f>
        <v>0.81822916666666667</v>
      </c>
      <c r="L1796" s="59">
        <f t="shared" ca="1" si="143"/>
        <v>45982</v>
      </c>
      <c r="M1796" s="30">
        <f t="shared" ca="1" si="144"/>
        <v>0.85120370370370368</v>
      </c>
      <c r="N1796" s="11" t="s">
        <v>402</v>
      </c>
      <c r="O1796" s="31"/>
      <c r="P1796" s="29"/>
      <c r="Q1796" s="29"/>
    </row>
    <row r="1797" spans="1:17" x14ac:dyDescent="0.35">
      <c r="A1797" s="26">
        <v>40000002725</v>
      </c>
      <c r="B1797" s="31">
        <v>1</v>
      </c>
      <c r="C1797" s="29" t="str">
        <f>LOOKUP(A1797,'QALS - Inspection Lot Record'!$A$2:$A$361,'QALS - Inspection Lot Record'!$O$2:$O$361)</f>
        <v>Aspirin Tablets (500 MG)</v>
      </c>
      <c r="D1797" s="31">
        <v>40</v>
      </c>
      <c r="E1797" s="29" t="s">
        <v>403</v>
      </c>
      <c r="F1797" s="29" t="str">
        <f>LOOKUP(A1797,'QALS - Inspection Lot Record'!A:A,'QALS - Inspection Lot Record'!G:G)</f>
        <v>ZK384180</v>
      </c>
      <c r="G1797" s="59">
        <f ca="1">LOOKUP(A1797,'QALS - Inspection Lot Record'!A:A,'QALS - Inspection Lot Record'!E:E)</f>
        <v>45982</v>
      </c>
      <c r="H1797" s="34" t="str">
        <f t="shared" si="140"/>
        <v>A</v>
      </c>
      <c r="I1797" s="29" t="str">
        <f t="shared" si="141"/>
        <v>ZK384180</v>
      </c>
      <c r="J1797" s="59">
        <f t="shared" ca="1" si="142"/>
        <v>45982</v>
      </c>
      <c r="K1797" s="30">
        <f ca="1">LOOKUP(A1797,'QALS - Inspection Lot Record'!A:A,'QALS - Inspection Lot Record'!I:I)</f>
        <v>0.81822916666666667</v>
      </c>
      <c r="L1797" s="59">
        <f t="shared" ca="1" si="143"/>
        <v>45982</v>
      </c>
      <c r="M1797" s="30">
        <f t="shared" ca="1" si="144"/>
        <v>0.84547453703703701</v>
      </c>
      <c r="N1797" s="31"/>
      <c r="O1797" s="31">
        <v>0</v>
      </c>
      <c r="P1797" s="29">
        <v>0</v>
      </c>
      <c r="Q1797" s="29">
        <v>2.5</v>
      </c>
    </row>
    <row r="1798" spans="1:17" x14ac:dyDescent="0.35">
      <c r="A1798" s="26">
        <v>40000002725</v>
      </c>
      <c r="B1798" s="31">
        <v>1</v>
      </c>
      <c r="C1798" s="29" t="str">
        <f>LOOKUP(A1798,'QALS - Inspection Lot Record'!$A$2:$A$361,'QALS - Inspection Lot Record'!$O$2:$O$361)</f>
        <v>Aspirin Tablets (500 MG)</v>
      </c>
      <c r="D1798" s="31">
        <v>50</v>
      </c>
      <c r="E1798" s="29" t="s">
        <v>404</v>
      </c>
      <c r="F1798" s="29" t="str">
        <f>LOOKUP(A1798,'QALS - Inspection Lot Record'!A:A,'QALS - Inspection Lot Record'!G:G)</f>
        <v>ZK384180</v>
      </c>
      <c r="G1798" s="59">
        <f ca="1">LOOKUP(A1798,'QALS - Inspection Lot Record'!A:A,'QALS - Inspection Lot Record'!E:E)</f>
        <v>45982</v>
      </c>
      <c r="H1798" s="34" t="str">
        <f t="shared" si="140"/>
        <v>A</v>
      </c>
      <c r="I1798" s="29" t="str">
        <f t="shared" si="141"/>
        <v>ZK384180</v>
      </c>
      <c r="J1798" s="59">
        <f t="shared" ca="1" si="142"/>
        <v>45982</v>
      </c>
      <c r="K1798" s="30">
        <f ca="1">LOOKUP(A1798,'QALS - Inspection Lot Record'!A:A,'QALS - Inspection Lot Record'!I:I)</f>
        <v>0.81822916666666667</v>
      </c>
      <c r="L1798" s="59">
        <f t="shared" ca="1" si="143"/>
        <v>45982</v>
      </c>
      <c r="M1798" s="30">
        <f t="shared" ca="1" si="144"/>
        <v>0.83769675925925924</v>
      </c>
      <c r="N1798" s="31"/>
      <c r="O1798" s="31">
        <v>50</v>
      </c>
      <c r="P1798" s="29">
        <v>40</v>
      </c>
      <c r="Q1798" s="29">
        <v>60</v>
      </c>
    </row>
    <row r="1799" spans="1:17" x14ac:dyDescent="0.35">
      <c r="A1799" s="26">
        <v>40000002725</v>
      </c>
      <c r="B1799" s="31">
        <v>1</v>
      </c>
      <c r="C1799" s="29" t="str">
        <f>LOOKUP(A1799,'QALS - Inspection Lot Record'!$A$2:$A$361,'QALS - Inspection Lot Record'!$O$2:$O$361)</f>
        <v>Aspirin Tablets (500 MG)</v>
      </c>
      <c r="D1799" s="31">
        <v>60</v>
      </c>
      <c r="E1799" s="29" t="s">
        <v>405</v>
      </c>
      <c r="F1799" s="29" t="str">
        <f>LOOKUP(A1799,'QALS - Inspection Lot Record'!A:A,'QALS - Inspection Lot Record'!G:G)</f>
        <v>ZK384180</v>
      </c>
      <c r="G1799" s="59">
        <f ca="1">LOOKUP(A1799,'QALS - Inspection Lot Record'!A:A,'QALS - Inspection Lot Record'!E:E)</f>
        <v>45982</v>
      </c>
      <c r="H1799" s="34" t="str">
        <f t="shared" si="140"/>
        <v>A</v>
      </c>
      <c r="I1799" s="29" t="str">
        <f t="shared" si="141"/>
        <v>ZK384180</v>
      </c>
      <c r="J1799" s="59">
        <f t="shared" ca="1" si="142"/>
        <v>45982</v>
      </c>
      <c r="K1799" s="30">
        <f ca="1">LOOKUP(A1799,'QALS - Inspection Lot Record'!A:A,'QALS - Inspection Lot Record'!I:I)</f>
        <v>0.81822916666666667</v>
      </c>
      <c r="L1799" s="59">
        <f t="shared" ca="1" si="143"/>
        <v>45982</v>
      </c>
      <c r="M1799" s="30">
        <f t="shared" ca="1" si="144"/>
        <v>0.84293981481481484</v>
      </c>
      <c r="N1799" s="31"/>
      <c r="O1799" s="31">
        <v>77.5</v>
      </c>
      <c r="P1799" s="29">
        <v>70</v>
      </c>
      <c r="Q1799" s="29">
        <v>85</v>
      </c>
    </row>
    <row r="1800" spans="1:17" x14ac:dyDescent="0.35">
      <c r="A1800" s="26">
        <v>40000002725</v>
      </c>
      <c r="B1800" s="31">
        <v>1</v>
      </c>
      <c r="C1800" s="29" t="str">
        <f>LOOKUP(A1800,'QALS - Inspection Lot Record'!$A$2:$A$361,'QALS - Inspection Lot Record'!$O$2:$O$361)</f>
        <v>Aspirin Tablets (500 MG)</v>
      </c>
      <c r="D1800" s="31">
        <v>70</v>
      </c>
      <c r="E1800" s="29" t="s">
        <v>406</v>
      </c>
      <c r="F1800" s="29" t="str">
        <f>LOOKUP(A1800,'QALS - Inspection Lot Record'!A:A,'QALS - Inspection Lot Record'!G:G)</f>
        <v>ZK384180</v>
      </c>
      <c r="G1800" s="59">
        <f ca="1">LOOKUP(A1800,'QALS - Inspection Lot Record'!A:A,'QALS - Inspection Lot Record'!E:E)</f>
        <v>45982</v>
      </c>
      <c r="H1800" s="34" t="str">
        <f t="shared" si="140"/>
        <v>A</v>
      </c>
      <c r="I1800" s="29" t="str">
        <f t="shared" si="141"/>
        <v>ZK384180</v>
      </c>
      <c r="J1800" s="59">
        <f t="shared" ca="1" si="142"/>
        <v>45982</v>
      </c>
      <c r="K1800" s="30">
        <f ca="1">LOOKUP(A1800,'QALS - Inspection Lot Record'!A:A,'QALS - Inspection Lot Record'!I:I)</f>
        <v>0.81822916666666667</v>
      </c>
      <c r="L1800" s="59">
        <f t="shared" ca="1" si="143"/>
        <v>45982</v>
      </c>
      <c r="M1800" s="30">
        <f t="shared" ca="1" si="144"/>
        <v>0.84695601851851854</v>
      </c>
      <c r="N1800" s="31"/>
      <c r="O1800" s="31">
        <v>81</v>
      </c>
      <c r="P1800" s="29">
        <v>80</v>
      </c>
      <c r="Q1800" s="29">
        <v>90</v>
      </c>
    </row>
    <row r="1801" spans="1:17" x14ac:dyDescent="0.35">
      <c r="A1801" s="26">
        <v>40000002725</v>
      </c>
      <c r="B1801" s="31">
        <v>1</v>
      </c>
      <c r="C1801" s="29" t="str">
        <f>LOOKUP(A1801,'QALS - Inspection Lot Record'!$A$2:$A$361,'QALS - Inspection Lot Record'!$O$2:$O$361)</f>
        <v>Aspirin Tablets (500 MG)</v>
      </c>
      <c r="D1801" s="31">
        <v>80</v>
      </c>
      <c r="E1801" s="29" t="s">
        <v>407</v>
      </c>
      <c r="F1801" s="29" t="str">
        <f>LOOKUP(A1801,'QALS - Inspection Lot Record'!A:A,'QALS - Inspection Lot Record'!G:G)</f>
        <v>ZK384180</v>
      </c>
      <c r="G1801" s="59">
        <f ca="1">LOOKUP(A1801,'QALS - Inspection Lot Record'!A:A,'QALS - Inspection Lot Record'!E:E)</f>
        <v>45982</v>
      </c>
      <c r="H1801" s="34" t="str">
        <f t="shared" si="140"/>
        <v>A</v>
      </c>
      <c r="I1801" s="29" t="str">
        <f t="shared" si="141"/>
        <v>ZK384180</v>
      </c>
      <c r="J1801" s="59">
        <f t="shared" ca="1" si="142"/>
        <v>45982</v>
      </c>
      <c r="K1801" s="30">
        <f ca="1">LOOKUP(A1801,'QALS - Inspection Lot Record'!A:A,'QALS - Inspection Lot Record'!I:I)</f>
        <v>0.81822916666666667</v>
      </c>
      <c r="L1801" s="59">
        <f t="shared" ca="1" si="143"/>
        <v>45982</v>
      </c>
      <c r="M1801" s="30">
        <f t="shared" ca="1" si="144"/>
        <v>0.84059027777777784</v>
      </c>
      <c r="N1801" s="31"/>
      <c r="O1801" s="31">
        <v>25.5</v>
      </c>
      <c r="P1801" s="29">
        <v>23</v>
      </c>
      <c r="Q1801" s="29">
        <v>28</v>
      </c>
    </row>
    <row r="1802" spans="1:17" x14ac:dyDescent="0.35">
      <c r="A1802" s="26">
        <v>40000002726</v>
      </c>
      <c r="B1802" s="27">
        <v>1</v>
      </c>
      <c r="C1802" s="29" t="str">
        <f>LOOKUP(A1802,'QALS - Inspection Lot Record'!$A$2:$A$361,'QALS - Inspection Lot Record'!$O$2:$O$361)</f>
        <v>Metformin Tablets (200 MG)</v>
      </c>
      <c r="D1802" s="27">
        <v>10</v>
      </c>
      <c r="E1802" s="26" t="s">
        <v>399</v>
      </c>
      <c r="F1802" s="29" t="str">
        <f>LOOKUP(A1802,'QALS - Inspection Lot Record'!A:A,'QALS - Inspection Lot Record'!G:G)</f>
        <v>GC197258</v>
      </c>
      <c r="G1802" s="59">
        <f ca="1">LOOKUP(A1802,'QALS - Inspection Lot Record'!A:A,'QALS - Inspection Lot Record'!E:E)</f>
        <v>45982</v>
      </c>
      <c r="H1802" s="34" t="str">
        <f t="shared" ref="H1802:H1865" si="145">IF(AND(P1802&lt;=O1802,O1802&lt;=Q1802),"A","R")</f>
        <v>A</v>
      </c>
      <c r="I1802" s="29" t="str">
        <f t="shared" si="141"/>
        <v>GC197258</v>
      </c>
      <c r="J1802" s="59">
        <f t="shared" ca="1" si="142"/>
        <v>45982</v>
      </c>
      <c r="K1802" s="30">
        <f ca="1">LOOKUP(A1802,'QALS - Inspection Lot Record'!A:A,'QALS - Inspection Lot Record'!I:I)</f>
        <v>8.8541666666666671E-2</v>
      </c>
      <c r="L1802" s="59">
        <f t="shared" ca="1" si="143"/>
        <v>45982</v>
      </c>
      <c r="M1802" s="30">
        <f t="shared" ca="1" si="144"/>
        <v>0.12226851851851853</v>
      </c>
      <c r="N1802" s="31"/>
      <c r="O1802" s="31">
        <v>99</v>
      </c>
      <c r="P1802" s="29">
        <v>95</v>
      </c>
      <c r="Q1802" s="29">
        <v>103</v>
      </c>
    </row>
    <row r="1803" spans="1:17" x14ac:dyDescent="0.35">
      <c r="A1803" s="26">
        <v>40000002726</v>
      </c>
      <c r="B1803" s="27">
        <v>1</v>
      </c>
      <c r="C1803" s="29" t="str">
        <f>LOOKUP(A1803,'QALS - Inspection Lot Record'!$A$2:$A$361,'QALS - Inspection Lot Record'!$O$2:$O$361)</f>
        <v>Metformin Tablets (200 MG)</v>
      </c>
      <c r="D1803" s="31">
        <v>20</v>
      </c>
      <c r="E1803" s="29" t="s">
        <v>400</v>
      </c>
      <c r="F1803" s="29" t="str">
        <f>LOOKUP(A1803,'QALS - Inspection Lot Record'!A:A,'QALS - Inspection Lot Record'!G:G)</f>
        <v>GC197258</v>
      </c>
      <c r="G1803" s="59">
        <f ca="1">LOOKUP(A1803,'QALS - Inspection Lot Record'!A:A,'QALS - Inspection Lot Record'!E:E)</f>
        <v>45982</v>
      </c>
      <c r="H1803" s="34" t="str">
        <f t="shared" si="145"/>
        <v>A</v>
      </c>
      <c r="I1803" s="29" t="str">
        <f t="shared" si="141"/>
        <v>GC197258</v>
      </c>
      <c r="J1803" s="59">
        <f t="shared" ca="1" si="142"/>
        <v>45982</v>
      </c>
      <c r="K1803" s="30">
        <f ca="1">LOOKUP(A1803,'QALS - Inspection Lot Record'!A:A,'QALS - Inspection Lot Record'!I:I)</f>
        <v>8.8541666666666671E-2</v>
      </c>
      <c r="L1803" s="59">
        <f t="shared" ca="1" si="143"/>
        <v>45982</v>
      </c>
      <c r="M1803" s="30">
        <f t="shared" ca="1" si="144"/>
        <v>0.11792824074074075</v>
      </c>
      <c r="N1803" s="31"/>
      <c r="O1803" s="31">
        <v>7.75</v>
      </c>
      <c r="P1803" s="29">
        <v>6</v>
      </c>
      <c r="Q1803" s="29">
        <v>9.5</v>
      </c>
    </row>
    <row r="1804" spans="1:17" x14ac:dyDescent="0.35">
      <c r="A1804" s="26">
        <v>40000002726</v>
      </c>
      <c r="B1804" s="31">
        <v>1</v>
      </c>
      <c r="C1804" s="29" t="str">
        <f>LOOKUP(A1804,'QALS - Inspection Lot Record'!$A$2:$A$361,'QALS - Inspection Lot Record'!$O$2:$O$361)</f>
        <v>Metformin Tablets (200 MG)</v>
      </c>
      <c r="D1804" s="31">
        <v>30</v>
      </c>
      <c r="E1804" s="29" t="s">
        <v>401</v>
      </c>
      <c r="F1804" s="29" t="str">
        <f>LOOKUP(A1804,'QALS - Inspection Lot Record'!A:A,'QALS - Inspection Lot Record'!G:G)</f>
        <v>GC197258</v>
      </c>
      <c r="G1804" s="59">
        <f ca="1">LOOKUP(A1804,'QALS - Inspection Lot Record'!A:A,'QALS - Inspection Lot Record'!E:E)</f>
        <v>45982</v>
      </c>
      <c r="H1804" s="34" t="str">
        <f t="shared" si="145"/>
        <v>A</v>
      </c>
      <c r="I1804" s="29" t="str">
        <f t="shared" si="141"/>
        <v>GC197258</v>
      </c>
      <c r="J1804" s="59">
        <f t="shared" ca="1" si="142"/>
        <v>45982</v>
      </c>
      <c r="K1804" s="30">
        <f ca="1">LOOKUP(A1804,'QALS - Inspection Lot Record'!A:A,'QALS - Inspection Lot Record'!I:I)</f>
        <v>8.8541666666666671E-2</v>
      </c>
      <c r="L1804" s="59">
        <f t="shared" ca="1" si="143"/>
        <v>45982</v>
      </c>
      <c r="M1804" s="30">
        <f t="shared" ca="1" si="144"/>
        <v>0.1103587962962963</v>
      </c>
      <c r="N1804" s="11" t="s">
        <v>402</v>
      </c>
      <c r="O1804" s="31"/>
      <c r="P1804" s="29"/>
      <c r="Q1804" s="29"/>
    </row>
    <row r="1805" spans="1:17" x14ac:dyDescent="0.35">
      <c r="A1805" s="26">
        <v>40000002726</v>
      </c>
      <c r="B1805" s="31">
        <v>1</v>
      </c>
      <c r="C1805" s="29" t="str">
        <f>LOOKUP(A1805,'QALS - Inspection Lot Record'!$A$2:$A$361,'QALS - Inspection Lot Record'!$O$2:$O$361)</f>
        <v>Metformin Tablets (200 MG)</v>
      </c>
      <c r="D1805" s="31">
        <v>40</v>
      </c>
      <c r="E1805" s="29" t="s">
        <v>403</v>
      </c>
      <c r="F1805" s="29" t="str">
        <f>LOOKUP(A1805,'QALS - Inspection Lot Record'!A:A,'QALS - Inspection Lot Record'!G:G)</f>
        <v>GC197258</v>
      </c>
      <c r="G1805" s="59">
        <f ca="1">LOOKUP(A1805,'QALS - Inspection Lot Record'!A:A,'QALS - Inspection Lot Record'!E:E)</f>
        <v>45982</v>
      </c>
      <c r="H1805" s="34" t="str">
        <f t="shared" si="145"/>
        <v>A</v>
      </c>
      <c r="I1805" s="29" t="str">
        <f t="shared" si="141"/>
        <v>GC197258</v>
      </c>
      <c r="J1805" s="59">
        <f t="shared" ca="1" si="142"/>
        <v>45982</v>
      </c>
      <c r="K1805" s="30">
        <f ca="1">LOOKUP(A1805,'QALS - Inspection Lot Record'!A:A,'QALS - Inspection Lot Record'!I:I)</f>
        <v>8.8541666666666671E-2</v>
      </c>
      <c r="L1805" s="59">
        <f t="shared" ca="1" si="143"/>
        <v>45982</v>
      </c>
      <c r="M1805" s="30">
        <f t="shared" ca="1" si="144"/>
        <v>0.11207175925925926</v>
      </c>
      <c r="N1805" s="31"/>
      <c r="O1805" s="31">
        <v>0</v>
      </c>
      <c r="P1805" s="29">
        <v>0</v>
      </c>
      <c r="Q1805" s="29">
        <v>2</v>
      </c>
    </row>
    <row r="1806" spans="1:17" x14ac:dyDescent="0.35">
      <c r="A1806" s="26">
        <v>40000002726</v>
      </c>
      <c r="B1806" s="31">
        <v>1</v>
      </c>
      <c r="C1806" s="29" t="str">
        <f>LOOKUP(A1806,'QALS - Inspection Lot Record'!$A$2:$A$361,'QALS - Inspection Lot Record'!$O$2:$O$361)</f>
        <v>Metformin Tablets (200 MG)</v>
      </c>
      <c r="D1806" s="31">
        <v>50</v>
      </c>
      <c r="E1806" s="29" t="s">
        <v>404</v>
      </c>
      <c r="F1806" s="29" t="str">
        <f>LOOKUP(A1806,'QALS - Inspection Lot Record'!A:A,'QALS - Inspection Lot Record'!G:G)</f>
        <v>GC197258</v>
      </c>
      <c r="G1806" s="59">
        <f ca="1">LOOKUP(A1806,'QALS - Inspection Lot Record'!A:A,'QALS - Inspection Lot Record'!E:E)</f>
        <v>45982</v>
      </c>
      <c r="H1806" s="34" t="str">
        <f t="shared" si="145"/>
        <v>A</v>
      </c>
      <c r="I1806" s="29" t="str">
        <f t="shared" si="141"/>
        <v>GC197258</v>
      </c>
      <c r="J1806" s="59">
        <f t="shared" ca="1" si="142"/>
        <v>45982</v>
      </c>
      <c r="K1806" s="30">
        <f ca="1">LOOKUP(A1806,'QALS - Inspection Lot Record'!A:A,'QALS - Inspection Lot Record'!I:I)</f>
        <v>8.8541666666666671E-2</v>
      </c>
      <c r="L1806" s="59">
        <f t="shared" ca="1" si="143"/>
        <v>45982</v>
      </c>
      <c r="M1806" s="30">
        <f t="shared" ca="1" si="144"/>
        <v>0.12153935185185186</v>
      </c>
      <c r="N1806" s="31"/>
      <c r="O1806" s="31">
        <v>41.7</v>
      </c>
      <c r="P1806" s="29">
        <v>40</v>
      </c>
      <c r="Q1806" s="29">
        <v>60</v>
      </c>
    </row>
    <row r="1807" spans="1:17" x14ac:dyDescent="0.35">
      <c r="A1807" s="26">
        <v>40000002726</v>
      </c>
      <c r="B1807" s="31">
        <v>1</v>
      </c>
      <c r="C1807" s="29" t="str">
        <f>LOOKUP(A1807,'QALS - Inspection Lot Record'!$A$2:$A$361,'QALS - Inspection Lot Record'!$O$2:$O$361)</f>
        <v>Metformin Tablets (200 MG)</v>
      </c>
      <c r="D1807" s="31">
        <v>60</v>
      </c>
      <c r="E1807" s="29" t="s">
        <v>405</v>
      </c>
      <c r="F1807" s="29" t="str">
        <f>LOOKUP(A1807,'QALS - Inspection Lot Record'!A:A,'QALS - Inspection Lot Record'!G:G)</f>
        <v>GC197258</v>
      </c>
      <c r="G1807" s="59">
        <f ca="1">LOOKUP(A1807,'QALS - Inspection Lot Record'!A:A,'QALS - Inspection Lot Record'!E:E)</f>
        <v>45982</v>
      </c>
      <c r="H1807" s="34" t="str">
        <f t="shared" si="145"/>
        <v>A</v>
      </c>
      <c r="I1807" s="29" t="str">
        <f t="shared" si="141"/>
        <v>GC197258</v>
      </c>
      <c r="J1807" s="59">
        <f t="shared" ca="1" si="142"/>
        <v>45982</v>
      </c>
      <c r="K1807" s="30">
        <f ca="1">LOOKUP(A1807,'QALS - Inspection Lot Record'!A:A,'QALS - Inspection Lot Record'!I:I)</f>
        <v>8.8541666666666671E-2</v>
      </c>
      <c r="L1807" s="59">
        <f t="shared" ca="1" si="143"/>
        <v>45982</v>
      </c>
      <c r="M1807" s="30">
        <f t="shared" ca="1" si="144"/>
        <v>0.10662037037037038</v>
      </c>
      <c r="N1807" s="31"/>
      <c r="O1807" s="31">
        <v>71.400000000000006</v>
      </c>
      <c r="P1807" s="29">
        <v>70</v>
      </c>
      <c r="Q1807" s="29">
        <v>85</v>
      </c>
    </row>
    <row r="1808" spans="1:17" x14ac:dyDescent="0.35">
      <c r="A1808" s="26">
        <v>40000002726</v>
      </c>
      <c r="B1808" s="31">
        <v>1</v>
      </c>
      <c r="C1808" s="29" t="str">
        <f>LOOKUP(A1808,'QALS - Inspection Lot Record'!$A$2:$A$361,'QALS - Inspection Lot Record'!$O$2:$O$361)</f>
        <v>Metformin Tablets (200 MG)</v>
      </c>
      <c r="D1808" s="31">
        <v>70</v>
      </c>
      <c r="E1808" s="29" t="s">
        <v>406</v>
      </c>
      <c r="F1808" s="29" t="str">
        <f>LOOKUP(A1808,'QALS - Inspection Lot Record'!A:A,'QALS - Inspection Lot Record'!G:G)</f>
        <v>GC197258</v>
      </c>
      <c r="G1808" s="59">
        <f ca="1">LOOKUP(A1808,'QALS - Inspection Lot Record'!A:A,'QALS - Inspection Lot Record'!E:E)</f>
        <v>45982</v>
      </c>
      <c r="H1808" s="34" t="str">
        <f t="shared" si="145"/>
        <v>A</v>
      </c>
      <c r="I1808" s="29" t="str">
        <f t="shared" si="141"/>
        <v>GC197258</v>
      </c>
      <c r="J1808" s="59">
        <f t="shared" ca="1" si="142"/>
        <v>45982</v>
      </c>
      <c r="K1808" s="30">
        <f ca="1">LOOKUP(A1808,'QALS - Inspection Lot Record'!A:A,'QALS - Inspection Lot Record'!I:I)</f>
        <v>8.8541666666666671E-2</v>
      </c>
      <c r="L1808" s="59">
        <f t="shared" ca="1" si="143"/>
        <v>45982</v>
      </c>
      <c r="M1808" s="30">
        <f t="shared" ca="1" si="144"/>
        <v>0.12267361111111111</v>
      </c>
      <c r="N1808" s="31"/>
      <c r="O1808" s="31">
        <v>85</v>
      </c>
      <c r="P1808" s="29">
        <v>80</v>
      </c>
      <c r="Q1808" s="29">
        <v>90</v>
      </c>
    </row>
    <row r="1809" spans="1:17" x14ac:dyDescent="0.35">
      <c r="A1809" s="26">
        <v>40000002726</v>
      </c>
      <c r="B1809" s="31">
        <v>1</v>
      </c>
      <c r="C1809" s="29" t="str">
        <f>LOOKUP(A1809,'QALS - Inspection Lot Record'!$A$2:$A$361,'QALS - Inspection Lot Record'!$O$2:$O$361)</f>
        <v>Metformin Tablets (200 MG)</v>
      </c>
      <c r="D1809" s="31">
        <v>80</v>
      </c>
      <c r="E1809" s="29" t="s">
        <v>407</v>
      </c>
      <c r="F1809" s="29" t="str">
        <f>LOOKUP(A1809,'QALS - Inspection Lot Record'!A:A,'QALS - Inspection Lot Record'!G:G)</f>
        <v>GC197258</v>
      </c>
      <c r="G1809" s="59">
        <f ca="1">LOOKUP(A1809,'QALS - Inspection Lot Record'!A:A,'QALS - Inspection Lot Record'!E:E)</f>
        <v>45982</v>
      </c>
      <c r="H1809" s="34" t="str">
        <f t="shared" si="145"/>
        <v>A</v>
      </c>
      <c r="I1809" s="29" t="str">
        <f t="shared" si="141"/>
        <v>GC197258</v>
      </c>
      <c r="J1809" s="59">
        <f t="shared" ca="1" si="142"/>
        <v>45982</v>
      </c>
      <c r="K1809" s="30">
        <f ca="1">LOOKUP(A1809,'QALS - Inspection Lot Record'!A:A,'QALS - Inspection Lot Record'!I:I)</f>
        <v>8.8541666666666671E-2</v>
      </c>
      <c r="L1809" s="59">
        <f t="shared" ca="1" si="143"/>
        <v>45982</v>
      </c>
      <c r="M1809" s="30">
        <f t="shared" ca="1" si="144"/>
        <v>0.10630787037037037</v>
      </c>
      <c r="N1809" s="31"/>
      <c r="O1809" s="31">
        <v>25.5</v>
      </c>
      <c r="P1809" s="29">
        <v>23</v>
      </c>
      <c r="Q1809" s="29">
        <v>28</v>
      </c>
    </row>
    <row r="1810" spans="1:17" x14ac:dyDescent="0.35">
      <c r="A1810" s="26">
        <v>40000002727</v>
      </c>
      <c r="B1810" s="27">
        <v>1</v>
      </c>
      <c r="C1810" s="29" t="str">
        <f>LOOKUP(A1810,'QALS - Inspection Lot Record'!$A$2:$A$361,'QALS - Inspection Lot Record'!$O$2:$O$361)</f>
        <v>Aspirin Tablets (500 MG)</v>
      </c>
      <c r="D1810" s="27">
        <v>10</v>
      </c>
      <c r="E1810" s="26" t="s">
        <v>399</v>
      </c>
      <c r="F1810" s="29" t="str">
        <f>LOOKUP(A1810,'QALS - Inspection Lot Record'!A:A,'QALS - Inspection Lot Record'!G:G)</f>
        <v>ZK384180</v>
      </c>
      <c r="G1810" s="59">
        <f ca="1">LOOKUP(A1810,'QALS - Inspection Lot Record'!A:A,'QALS - Inspection Lot Record'!E:E)</f>
        <v>45983</v>
      </c>
      <c r="H1810" s="34" t="str">
        <f t="shared" si="145"/>
        <v>R</v>
      </c>
      <c r="I1810" s="29" t="str">
        <f t="shared" si="141"/>
        <v>ZK384180</v>
      </c>
      <c r="J1810" s="59">
        <f t="shared" ca="1" si="142"/>
        <v>45983</v>
      </c>
      <c r="K1810" s="30">
        <f ca="1">LOOKUP(A1810,'QALS - Inspection Lot Record'!A:A,'QALS - Inspection Lot Record'!I:I)</f>
        <v>0.65138888888888891</v>
      </c>
      <c r="L1810" s="59">
        <f t="shared" ca="1" si="143"/>
        <v>45983</v>
      </c>
      <c r="M1810" s="30">
        <f t="shared" ca="1" si="144"/>
        <v>0.67839120370370376</v>
      </c>
      <c r="N1810" s="31"/>
      <c r="O1810" s="31">
        <v>93.9</v>
      </c>
      <c r="P1810" s="29">
        <v>95</v>
      </c>
      <c r="Q1810" s="29">
        <v>105</v>
      </c>
    </row>
    <row r="1811" spans="1:17" x14ac:dyDescent="0.35">
      <c r="A1811" s="26">
        <v>40000002727</v>
      </c>
      <c r="B1811" s="27">
        <v>1</v>
      </c>
      <c r="C1811" s="29" t="str">
        <f>LOOKUP(A1811,'QALS - Inspection Lot Record'!$A$2:$A$361,'QALS - Inspection Lot Record'!$O$2:$O$361)</f>
        <v>Aspirin Tablets (500 MG)</v>
      </c>
      <c r="D1811" s="31">
        <v>20</v>
      </c>
      <c r="E1811" s="29" t="s">
        <v>400</v>
      </c>
      <c r="F1811" s="29" t="str">
        <f>LOOKUP(A1811,'QALS - Inspection Lot Record'!A:A,'QALS - Inspection Lot Record'!G:G)</f>
        <v>ZK384180</v>
      </c>
      <c r="G1811" s="59">
        <f ca="1">LOOKUP(A1811,'QALS - Inspection Lot Record'!A:A,'QALS - Inspection Lot Record'!E:E)</f>
        <v>45983</v>
      </c>
      <c r="H1811" s="34" t="str">
        <f t="shared" si="145"/>
        <v>R</v>
      </c>
      <c r="I1811" s="29" t="str">
        <f t="shared" si="141"/>
        <v>ZK384180</v>
      </c>
      <c r="J1811" s="59">
        <f t="shared" ca="1" si="142"/>
        <v>45983</v>
      </c>
      <c r="K1811" s="30">
        <f ca="1">LOOKUP(A1811,'QALS - Inspection Lot Record'!A:A,'QALS - Inspection Lot Record'!I:I)</f>
        <v>0.65138888888888891</v>
      </c>
      <c r="L1811" s="59">
        <f t="shared" ca="1" si="143"/>
        <v>45983</v>
      </c>
      <c r="M1811" s="30">
        <f t="shared" ca="1" si="144"/>
        <v>0.66956018518518523</v>
      </c>
      <c r="N1811" s="31"/>
      <c r="O1811" s="31">
        <v>1.9</v>
      </c>
      <c r="P1811" s="29">
        <v>3.5</v>
      </c>
      <c r="Q1811" s="29">
        <v>11</v>
      </c>
    </row>
    <row r="1812" spans="1:17" x14ac:dyDescent="0.35">
      <c r="A1812" s="26">
        <v>40000002727</v>
      </c>
      <c r="B1812" s="31">
        <v>1</v>
      </c>
      <c r="C1812" s="29" t="str">
        <f>LOOKUP(A1812,'QALS - Inspection Lot Record'!$A$2:$A$361,'QALS - Inspection Lot Record'!$O$2:$O$361)</f>
        <v>Aspirin Tablets (500 MG)</v>
      </c>
      <c r="D1812" s="31">
        <v>30</v>
      </c>
      <c r="E1812" s="29" t="s">
        <v>401</v>
      </c>
      <c r="F1812" s="29" t="str">
        <f>LOOKUP(A1812,'QALS - Inspection Lot Record'!A:A,'QALS - Inspection Lot Record'!G:G)</f>
        <v>ZK384180</v>
      </c>
      <c r="G1812" s="59">
        <f ca="1">LOOKUP(A1812,'QALS - Inspection Lot Record'!A:A,'QALS - Inspection Lot Record'!E:E)</f>
        <v>45983</v>
      </c>
      <c r="H1812" s="34" t="str">
        <f t="shared" si="145"/>
        <v>A</v>
      </c>
      <c r="I1812" s="29" t="str">
        <f t="shared" si="141"/>
        <v>ZK384180</v>
      </c>
      <c r="J1812" s="59">
        <f t="shared" ca="1" si="142"/>
        <v>45983</v>
      </c>
      <c r="K1812" s="30">
        <f ca="1">LOOKUP(A1812,'QALS - Inspection Lot Record'!A:A,'QALS - Inspection Lot Record'!I:I)</f>
        <v>0.65138888888888891</v>
      </c>
      <c r="L1812" s="59">
        <f t="shared" ca="1" si="143"/>
        <v>45983</v>
      </c>
      <c r="M1812" s="30">
        <f t="shared" ca="1" si="144"/>
        <v>0.68057870370370377</v>
      </c>
      <c r="N1812" s="11" t="s">
        <v>402</v>
      </c>
      <c r="O1812" s="31"/>
      <c r="P1812" s="29"/>
      <c r="Q1812" s="29"/>
    </row>
    <row r="1813" spans="1:17" x14ac:dyDescent="0.35">
      <c r="A1813" s="26">
        <v>40000002727</v>
      </c>
      <c r="B1813" s="31">
        <v>1</v>
      </c>
      <c r="C1813" s="29" t="str">
        <f>LOOKUP(A1813,'QALS - Inspection Lot Record'!$A$2:$A$361,'QALS - Inspection Lot Record'!$O$2:$O$361)</f>
        <v>Aspirin Tablets (500 MG)</v>
      </c>
      <c r="D1813" s="31">
        <v>40</v>
      </c>
      <c r="E1813" s="29" t="s">
        <v>403</v>
      </c>
      <c r="F1813" s="29" t="str">
        <f>LOOKUP(A1813,'QALS - Inspection Lot Record'!A:A,'QALS - Inspection Lot Record'!G:G)</f>
        <v>ZK384180</v>
      </c>
      <c r="G1813" s="59">
        <f ca="1">LOOKUP(A1813,'QALS - Inspection Lot Record'!A:A,'QALS - Inspection Lot Record'!E:E)</f>
        <v>45983</v>
      </c>
      <c r="H1813" s="34" t="str">
        <f t="shared" si="145"/>
        <v>A</v>
      </c>
      <c r="I1813" s="29" t="str">
        <f t="shared" si="141"/>
        <v>ZK384180</v>
      </c>
      <c r="J1813" s="59">
        <f t="shared" ca="1" si="142"/>
        <v>45983</v>
      </c>
      <c r="K1813" s="30">
        <f ca="1">LOOKUP(A1813,'QALS - Inspection Lot Record'!A:A,'QALS - Inspection Lot Record'!I:I)</f>
        <v>0.65138888888888891</v>
      </c>
      <c r="L1813" s="59">
        <f t="shared" ca="1" si="143"/>
        <v>45983</v>
      </c>
      <c r="M1813" s="30">
        <f t="shared" ca="1" si="144"/>
        <v>0.67865740740740743</v>
      </c>
      <c r="N1813" s="31"/>
      <c r="O1813" s="31">
        <v>1.8</v>
      </c>
      <c r="P1813" s="29">
        <v>0</v>
      </c>
      <c r="Q1813" s="29">
        <v>2.5</v>
      </c>
    </row>
    <row r="1814" spans="1:17" x14ac:dyDescent="0.35">
      <c r="A1814" s="26">
        <v>40000002727</v>
      </c>
      <c r="B1814" s="31">
        <v>1</v>
      </c>
      <c r="C1814" s="29" t="str">
        <f>LOOKUP(A1814,'QALS - Inspection Lot Record'!$A$2:$A$361,'QALS - Inspection Lot Record'!$O$2:$O$361)</f>
        <v>Aspirin Tablets (500 MG)</v>
      </c>
      <c r="D1814" s="31">
        <v>50</v>
      </c>
      <c r="E1814" s="29" t="s">
        <v>404</v>
      </c>
      <c r="F1814" s="29" t="str">
        <f>LOOKUP(A1814,'QALS - Inspection Lot Record'!A:A,'QALS - Inspection Lot Record'!G:G)</f>
        <v>ZK384180</v>
      </c>
      <c r="G1814" s="59">
        <f ca="1">LOOKUP(A1814,'QALS - Inspection Lot Record'!A:A,'QALS - Inspection Lot Record'!E:E)</f>
        <v>45983</v>
      </c>
      <c r="H1814" s="34" t="str">
        <f t="shared" si="145"/>
        <v>A</v>
      </c>
      <c r="I1814" s="29" t="str">
        <f t="shared" si="141"/>
        <v>ZK384180</v>
      </c>
      <c r="J1814" s="59">
        <f t="shared" ca="1" si="142"/>
        <v>45983</v>
      </c>
      <c r="K1814" s="30">
        <f ca="1">LOOKUP(A1814,'QALS - Inspection Lot Record'!A:A,'QALS - Inspection Lot Record'!I:I)</f>
        <v>0.65138888888888891</v>
      </c>
      <c r="L1814" s="59">
        <f t="shared" ca="1" si="143"/>
        <v>45983</v>
      </c>
      <c r="M1814" s="30">
        <f t="shared" ca="1" si="144"/>
        <v>0.68210648148148145</v>
      </c>
      <c r="N1814" s="31"/>
      <c r="O1814" s="31">
        <v>42.3</v>
      </c>
      <c r="P1814" s="29">
        <v>40</v>
      </c>
      <c r="Q1814" s="29">
        <v>60</v>
      </c>
    </row>
    <row r="1815" spans="1:17" x14ac:dyDescent="0.35">
      <c r="A1815" s="26">
        <v>40000002727</v>
      </c>
      <c r="B1815" s="31">
        <v>1</v>
      </c>
      <c r="C1815" s="29" t="str">
        <f>LOOKUP(A1815,'QALS - Inspection Lot Record'!$A$2:$A$361,'QALS - Inspection Lot Record'!$O$2:$O$361)</f>
        <v>Aspirin Tablets (500 MG)</v>
      </c>
      <c r="D1815" s="31">
        <v>60</v>
      </c>
      <c r="E1815" s="29" t="s">
        <v>405</v>
      </c>
      <c r="F1815" s="29" t="str">
        <f>LOOKUP(A1815,'QALS - Inspection Lot Record'!A:A,'QALS - Inspection Lot Record'!G:G)</f>
        <v>ZK384180</v>
      </c>
      <c r="G1815" s="59">
        <f ca="1">LOOKUP(A1815,'QALS - Inspection Lot Record'!A:A,'QALS - Inspection Lot Record'!E:E)</f>
        <v>45983</v>
      </c>
      <c r="H1815" s="34" t="str">
        <f t="shared" si="145"/>
        <v>A</v>
      </c>
      <c r="I1815" s="29" t="str">
        <f t="shared" si="141"/>
        <v>ZK384180</v>
      </c>
      <c r="J1815" s="59">
        <f t="shared" ca="1" si="142"/>
        <v>45983</v>
      </c>
      <c r="K1815" s="30">
        <f ca="1">LOOKUP(A1815,'QALS - Inspection Lot Record'!A:A,'QALS - Inspection Lot Record'!I:I)</f>
        <v>0.65138888888888891</v>
      </c>
      <c r="L1815" s="59">
        <f t="shared" ca="1" si="143"/>
        <v>45983</v>
      </c>
      <c r="M1815" s="30">
        <f t="shared" ca="1" si="144"/>
        <v>0.67879629629629634</v>
      </c>
      <c r="N1815" s="31"/>
      <c r="O1815" s="31">
        <v>73.599999999999994</v>
      </c>
      <c r="P1815" s="29">
        <v>70</v>
      </c>
      <c r="Q1815" s="29">
        <v>85</v>
      </c>
    </row>
    <row r="1816" spans="1:17" x14ac:dyDescent="0.35">
      <c r="A1816" s="26">
        <v>40000002727</v>
      </c>
      <c r="B1816" s="31">
        <v>1</v>
      </c>
      <c r="C1816" s="29" t="str">
        <f>LOOKUP(A1816,'QALS - Inspection Lot Record'!$A$2:$A$361,'QALS - Inspection Lot Record'!$O$2:$O$361)</f>
        <v>Aspirin Tablets (500 MG)</v>
      </c>
      <c r="D1816" s="31">
        <v>70</v>
      </c>
      <c r="E1816" s="29" t="s">
        <v>406</v>
      </c>
      <c r="F1816" s="29" t="str">
        <f>LOOKUP(A1816,'QALS - Inspection Lot Record'!A:A,'QALS - Inspection Lot Record'!G:G)</f>
        <v>ZK384180</v>
      </c>
      <c r="G1816" s="59">
        <f ca="1">LOOKUP(A1816,'QALS - Inspection Lot Record'!A:A,'QALS - Inspection Lot Record'!E:E)</f>
        <v>45983</v>
      </c>
      <c r="H1816" s="34" t="str">
        <f t="shared" si="145"/>
        <v>R</v>
      </c>
      <c r="I1816" s="29" t="str">
        <f t="shared" si="141"/>
        <v>ZK384180</v>
      </c>
      <c r="J1816" s="59">
        <f t="shared" ca="1" si="142"/>
        <v>45983</v>
      </c>
      <c r="K1816" s="30">
        <f ca="1">LOOKUP(A1816,'QALS - Inspection Lot Record'!A:A,'QALS - Inspection Lot Record'!I:I)</f>
        <v>0.65138888888888891</v>
      </c>
      <c r="L1816" s="59">
        <f t="shared" ca="1" si="143"/>
        <v>45983</v>
      </c>
      <c r="M1816" s="30">
        <f t="shared" ca="1" si="144"/>
        <v>0.68601851851851858</v>
      </c>
      <c r="N1816" s="31"/>
      <c r="O1816" s="31">
        <v>78.900000000000006</v>
      </c>
      <c r="P1816" s="29">
        <v>80</v>
      </c>
      <c r="Q1816" s="29">
        <v>90</v>
      </c>
    </row>
    <row r="1817" spans="1:17" x14ac:dyDescent="0.35">
      <c r="A1817" s="26">
        <v>40000002727</v>
      </c>
      <c r="B1817" s="31">
        <v>1</v>
      </c>
      <c r="C1817" s="29" t="str">
        <f>LOOKUP(A1817,'QALS - Inspection Lot Record'!$A$2:$A$361,'QALS - Inspection Lot Record'!$O$2:$O$361)</f>
        <v>Aspirin Tablets (500 MG)</v>
      </c>
      <c r="D1817" s="31">
        <v>80</v>
      </c>
      <c r="E1817" s="29" t="s">
        <v>407</v>
      </c>
      <c r="F1817" s="29" t="str">
        <f>LOOKUP(A1817,'QALS - Inspection Lot Record'!A:A,'QALS - Inspection Lot Record'!G:G)</f>
        <v>ZK384180</v>
      </c>
      <c r="G1817" s="59">
        <f ca="1">LOOKUP(A1817,'QALS - Inspection Lot Record'!A:A,'QALS - Inspection Lot Record'!E:E)</f>
        <v>45983</v>
      </c>
      <c r="H1817" s="34" t="str">
        <f t="shared" si="145"/>
        <v>A</v>
      </c>
      <c r="I1817" s="29" t="str">
        <f t="shared" si="141"/>
        <v>ZK384180</v>
      </c>
      <c r="J1817" s="59">
        <f t="shared" ca="1" si="142"/>
        <v>45983</v>
      </c>
      <c r="K1817" s="30">
        <f ca="1">LOOKUP(A1817,'QALS - Inspection Lot Record'!A:A,'QALS - Inspection Lot Record'!I:I)</f>
        <v>0.65138888888888891</v>
      </c>
      <c r="L1817" s="59">
        <f t="shared" ca="1" si="143"/>
        <v>45983</v>
      </c>
      <c r="M1817" s="30">
        <f t="shared" ca="1" si="144"/>
        <v>0.68383101851851857</v>
      </c>
      <c r="N1817" s="31"/>
      <c r="O1817" s="31">
        <v>24</v>
      </c>
      <c r="P1817" s="29">
        <v>23</v>
      </c>
      <c r="Q1817" s="29">
        <v>28</v>
      </c>
    </row>
    <row r="1818" spans="1:17" x14ac:dyDescent="0.35">
      <c r="A1818" s="26">
        <v>40000002728</v>
      </c>
      <c r="B1818" s="27">
        <v>1</v>
      </c>
      <c r="C1818" s="29" t="str">
        <f>LOOKUP(A1818,'QALS - Inspection Lot Record'!$A$2:$A$361,'QALS - Inspection Lot Record'!$O$2:$O$361)</f>
        <v>Metformin Tablets (100 MG)</v>
      </c>
      <c r="D1818" s="27">
        <v>10</v>
      </c>
      <c r="E1818" s="26" t="s">
        <v>399</v>
      </c>
      <c r="F1818" s="29" t="str">
        <f>LOOKUP(A1818,'QALS - Inspection Lot Record'!A:A,'QALS - Inspection Lot Record'!G:G)</f>
        <v>GC197258</v>
      </c>
      <c r="G1818" s="59">
        <f ca="1">LOOKUP(A1818,'QALS - Inspection Lot Record'!A:A,'QALS - Inspection Lot Record'!E:E)</f>
        <v>45983</v>
      </c>
      <c r="H1818" s="34" t="str">
        <f t="shared" si="145"/>
        <v>A</v>
      </c>
      <c r="I1818" s="29" t="str">
        <f t="shared" si="141"/>
        <v>GC197258</v>
      </c>
      <c r="J1818" s="59">
        <f t="shared" ca="1" si="142"/>
        <v>45983</v>
      </c>
      <c r="K1818" s="30">
        <f ca="1">LOOKUP(A1818,'QALS - Inspection Lot Record'!A:A,'QALS - Inspection Lot Record'!I:I)</f>
        <v>0.34909722222222223</v>
      </c>
      <c r="L1818" s="59">
        <f t="shared" ca="1" si="143"/>
        <v>45983</v>
      </c>
      <c r="M1818" s="30">
        <f t="shared" ca="1" si="144"/>
        <v>0.38179398148148147</v>
      </c>
      <c r="N1818" s="31"/>
      <c r="O1818" s="31">
        <v>98.5</v>
      </c>
      <c r="P1818" s="29">
        <v>95</v>
      </c>
      <c r="Q1818" s="29">
        <v>102</v>
      </c>
    </row>
    <row r="1819" spans="1:17" x14ac:dyDescent="0.35">
      <c r="A1819" s="26">
        <v>40000002728</v>
      </c>
      <c r="B1819" s="27">
        <v>1</v>
      </c>
      <c r="C1819" s="29" t="str">
        <f>LOOKUP(A1819,'QALS - Inspection Lot Record'!$A$2:$A$361,'QALS - Inspection Lot Record'!$O$2:$O$361)</f>
        <v>Metformin Tablets (100 MG)</v>
      </c>
      <c r="D1819" s="31">
        <v>20</v>
      </c>
      <c r="E1819" s="29" t="s">
        <v>400</v>
      </c>
      <c r="F1819" s="29" t="str">
        <f>LOOKUP(A1819,'QALS - Inspection Lot Record'!A:A,'QALS - Inspection Lot Record'!G:G)</f>
        <v>GC197258</v>
      </c>
      <c r="G1819" s="59">
        <f ca="1">LOOKUP(A1819,'QALS - Inspection Lot Record'!A:A,'QALS - Inspection Lot Record'!E:E)</f>
        <v>45983</v>
      </c>
      <c r="H1819" s="34" t="str">
        <f t="shared" si="145"/>
        <v>R</v>
      </c>
      <c r="I1819" s="29" t="str">
        <f t="shared" si="141"/>
        <v>GC197258</v>
      </c>
      <c r="J1819" s="59">
        <f t="shared" ca="1" si="142"/>
        <v>45983</v>
      </c>
      <c r="K1819" s="30">
        <f ca="1">LOOKUP(A1819,'QALS - Inspection Lot Record'!A:A,'QALS - Inspection Lot Record'!I:I)</f>
        <v>0.34909722222222223</v>
      </c>
      <c r="L1819" s="59">
        <f t="shared" ca="1" si="143"/>
        <v>45983</v>
      </c>
      <c r="M1819" s="30">
        <f t="shared" ca="1" si="144"/>
        <v>0.36780092592592595</v>
      </c>
      <c r="N1819" s="31"/>
      <c r="O1819" s="31">
        <v>2.5</v>
      </c>
      <c r="P1819" s="29">
        <v>3.5</v>
      </c>
      <c r="Q1819" s="29">
        <v>11</v>
      </c>
    </row>
    <row r="1820" spans="1:17" x14ac:dyDescent="0.35">
      <c r="A1820" s="26">
        <v>40000002728</v>
      </c>
      <c r="B1820" s="31">
        <v>1</v>
      </c>
      <c r="C1820" s="29" t="str">
        <f>LOOKUP(A1820,'QALS - Inspection Lot Record'!$A$2:$A$361,'QALS - Inspection Lot Record'!$O$2:$O$361)</f>
        <v>Metformin Tablets (100 MG)</v>
      </c>
      <c r="D1820" s="31">
        <v>30</v>
      </c>
      <c r="E1820" s="29" t="s">
        <v>401</v>
      </c>
      <c r="F1820" s="29" t="str">
        <f>LOOKUP(A1820,'QALS - Inspection Lot Record'!A:A,'QALS - Inspection Lot Record'!G:G)</f>
        <v>GC197258</v>
      </c>
      <c r="G1820" s="59">
        <f ca="1">LOOKUP(A1820,'QALS - Inspection Lot Record'!A:A,'QALS - Inspection Lot Record'!E:E)</f>
        <v>45983</v>
      </c>
      <c r="H1820" s="34" t="str">
        <f t="shared" si="145"/>
        <v>A</v>
      </c>
      <c r="I1820" s="29" t="str">
        <f t="shared" si="141"/>
        <v>GC197258</v>
      </c>
      <c r="J1820" s="59">
        <f t="shared" ca="1" si="142"/>
        <v>45983</v>
      </c>
      <c r="K1820" s="30">
        <f ca="1">LOOKUP(A1820,'QALS - Inspection Lot Record'!A:A,'QALS - Inspection Lot Record'!I:I)</f>
        <v>0.34909722222222223</v>
      </c>
      <c r="L1820" s="59">
        <f t="shared" ca="1" si="143"/>
        <v>45983</v>
      </c>
      <c r="M1820" s="30">
        <f t="shared" ca="1" si="144"/>
        <v>0.38131944444444443</v>
      </c>
      <c r="N1820" s="11" t="s">
        <v>402</v>
      </c>
      <c r="O1820" s="31"/>
      <c r="P1820" s="29"/>
      <c r="Q1820" s="29"/>
    </row>
    <row r="1821" spans="1:17" x14ac:dyDescent="0.35">
      <c r="A1821" s="26">
        <v>40000002728</v>
      </c>
      <c r="B1821" s="31">
        <v>1</v>
      </c>
      <c r="C1821" s="29" t="str">
        <f>LOOKUP(A1821,'QALS - Inspection Lot Record'!$A$2:$A$361,'QALS - Inspection Lot Record'!$O$2:$O$361)</f>
        <v>Metformin Tablets (100 MG)</v>
      </c>
      <c r="D1821" s="31">
        <v>40</v>
      </c>
      <c r="E1821" s="29" t="s">
        <v>403</v>
      </c>
      <c r="F1821" s="29" t="str">
        <f>LOOKUP(A1821,'QALS - Inspection Lot Record'!A:A,'QALS - Inspection Lot Record'!G:G)</f>
        <v>GC197258</v>
      </c>
      <c r="G1821" s="59">
        <f ca="1">LOOKUP(A1821,'QALS - Inspection Lot Record'!A:A,'QALS - Inspection Lot Record'!E:E)</f>
        <v>45983</v>
      </c>
      <c r="H1821" s="34" t="str">
        <f t="shared" si="145"/>
        <v>A</v>
      </c>
      <c r="I1821" s="29" t="str">
        <f t="shared" si="141"/>
        <v>GC197258</v>
      </c>
      <c r="J1821" s="59">
        <f t="shared" ca="1" si="142"/>
        <v>45983</v>
      </c>
      <c r="K1821" s="30">
        <f ca="1">LOOKUP(A1821,'QALS - Inspection Lot Record'!A:A,'QALS - Inspection Lot Record'!I:I)</f>
        <v>0.34909722222222223</v>
      </c>
      <c r="L1821" s="59">
        <f t="shared" ca="1" si="143"/>
        <v>45983</v>
      </c>
      <c r="M1821" s="30">
        <f t="shared" ca="1" si="144"/>
        <v>0.37032407407407408</v>
      </c>
      <c r="N1821" s="31"/>
      <c r="O1821" s="31">
        <v>0.5</v>
      </c>
      <c r="P1821" s="29">
        <v>0</v>
      </c>
      <c r="Q1821" s="29">
        <v>1</v>
      </c>
    </row>
    <row r="1822" spans="1:17" x14ac:dyDescent="0.35">
      <c r="A1822" s="26">
        <v>40000002728</v>
      </c>
      <c r="B1822" s="31">
        <v>1</v>
      </c>
      <c r="C1822" s="29" t="str">
        <f>LOOKUP(A1822,'QALS - Inspection Lot Record'!$A$2:$A$361,'QALS - Inspection Lot Record'!$O$2:$O$361)</f>
        <v>Metformin Tablets (100 MG)</v>
      </c>
      <c r="D1822" s="31">
        <v>50</v>
      </c>
      <c r="E1822" s="29" t="s">
        <v>404</v>
      </c>
      <c r="F1822" s="29" t="str">
        <f>LOOKUP(A1822,'QALS - Inspection Lot Record'!A:A,'QALS - Inspection Lot Record'!G:G)</f>
        <v>GC197258</v>
      </c>
      <c r="G1822" s="59">
        <f ca="1">LOOKUP(A1822,'QALS - Inspection Lot Record'!A:A,'QALS - Inspection Lot Record'!E:E)</f>
        <v>45983</v>
      </c>
      <c r="H1822" s="34" t="str">
        <f t="shared" si="145"/>
        <v>R</v>
      </c>
      <c r="I1822" s="29" t="str">
        <f t="shared" si="141"/>
        <v>GC197258</v>
      </c>
      <c r="J1822" s="59">
        <f t="shared" ca="1" si="142"/>
        <v>45983</v>
      </c>
      <c r="K1822" s="30">
        <f ca="1">LOOKUP(A1822,'QALS - Inspection Lot Record'!A:A,'QALS - Inspection Lot Record'!I:I)</f>
        <v>0.34909722222222223</v>
      </c>
      <c r="L1822" s="59">
        <f t="shared" ca="1" si="143"/>
        <v>45983</v>
      </c>
      <c r="M1822" s="30">
        <f t="shared" ca="1" si="144"/>
        <v>0.37203703703703705</v>
      </c>
      <c r="N1822" s="31"/>
      <c r="O1822" s="31">
        <v>38.1</v>
      </c>
      <c r="P1822" s="29">
        <v>40</v>
      </c>
      <c r="Q1822" s="29">
        <v>60</v>
      </c>
    </row>
    <row r="1823" spans="1:17" x14ac:dyDescent="0.35">
      <c r="A1823" s="26">
        <v>40000002728</v>
      </c>
      <c r="B1823" s="31">
        <v>1</v>
      </c>
      <c r="C1823" s="29" t="str">
        <f>LOOKUP(A1823,'QALS - Inspection Lot Record'!$A$2:$A$361,'QALS - Inspection Lot Record'!$O$2:$O$361)</f>
        <v>Metformin Tablets (100 MG)</v>
      </c>
      <c r="D1823" s="31">
        <v>60</v>
      </c>
      <c r="E1823" s="29" t="s">
        <v>405</v>
      </c>
      <c r="F1823" s="29" t="str">
        <f>LOOKUP(A1823,'QALS - Inspection Lot Record'!A:A,'QALS - Inspection Lot Record'!G:G)</f>
        <v>GC197258</v>
      </c>
      <c r="G1823" s="59">
        <f ca="1">LOOKUP(A1823,'QALS - Inspection Lot Record'!A:A,'QALS - Inspection Lot Record'!E:E)</f>
        <v>45983</v>
      </c>
      <c r="H1823" s="34" t="str">
        <f t="shared" si="145"/>
        <v>R</v>
      </c>
      <c r="I1823" s="29" t="str">
        <f t="shared" si="141"/>
        <v>GC197258</v>
      </c>
      <c r="J1823" s="59">
        <f t="shared" ca="1" si="142"/>
        <v>45983</v>
      </c>
      <c r="K1823" s="30">
        <f ca="1">LOOKUP(A1823,'QALS - Inspection Lot Record'!A:A,'QALS - Inspection Lot Record'!I:I)</f>
        <v>0.34909722222222223</v>
      </c>
      <c r="L1823" s="59">
        <f t="shared" ca="1" si="143"/>
        <v>45983</v>
      </c>
      <c r="M1823" s="30">
        <f t="shared" ca="1" si="144"/>
        <v>0.37155092592592592</v>
      </c>
      <c r="N1823" s="31"/>
      <c r="O1823" s="31">
        <v>68.5</v>
      </c>
      <c r="P1823" s="29">
        <v>70</v>
      </c>
      <c r="Q1823" s="29">
        <v>85</v>
      </c>
    </row>
    <row r="1824" spans="1:17" x14ac:dyDescent="0.35">
      <c r="A1824" s="26">
        <v>40000002728</v>
      </c>
      <c r="B1824" s="31">
        <v>1</v>
      </c>
      <c r="C1824" s="29" t="str">
        <f>LOOKUP(A1824,'QALS - Inspection Lot Record'!$A$2:$A$361,'QALS - Inspection Lot Record'!$O$2:$O$361)</f>
        <v>Metformin Tablets (100 MG)</v>
      </c>
      <c r="D1824" s="31">
        <v>70</v>
      </c>
      <c r="E1824" s="29" t="s">
        <v>406</v>
      </c>
      <c r="F1824" s="29" t="str">
        <f>LOOKUP(A1824,'QALS - Inspection Lot Record'!A:A,'QALS - Inspection Lot Record'!G:G)</f>
        <v>GC197258</v>
      </c>
      <c r="G1824" s="59">
        <f ca="1">LOOKUP(A1824,'QALS - Inspection Lot Record'!A:A,'QALS - Inspection Lot Record'!E:E)</f>
        <v>45983</v>
      </c>
      <c r="H1824" s="34" t="str">
        <f t="shared" si="145"/>
        <v>A</v>
      </c>
      <c r="I1824" s="29" t="str">
        <f t="shared" si="141"/>
        <v>GC197258</v>
      </c>
      <c r="J1824" s="59">
        <f t="shared" ca="1" si="142"/>
        <v>45983</v>
      </c>
      <c r="K1824" s="30">
        <f ca="1">LOOKUP(A1824,'QALS - Inspection Lot Record'!A:A,'QALS - Inspection Lot Record'!I:I)</f>
        <v>0.34909722222222223</v>
      </c>
      <c r="L1824" s="59">
        <f t="shared" ca="1" si="143"/>
        <v>45983</v>
      </c>
      <c r="M1824" s="30">
        <f t="shared" ca="1" si="144"/>
        <v>0.37615740740740738</v>
      </c>
      <c r="N1824" s="31"/>
      <c r="O1824" s="31">
        <v>83.5</v>
      </c>
      <c r="P1824" s="29">
        <v>80</v>
      </c>
      <c r="Q1824" s="29">
        <v>90</v>
      </c>
    </row>
    <row r="1825" spans="1:17" x14ac:dyDescent="0.35">
      <c r="A1825" s="26">
        <v>40000002728</v>
      </c>
      <c r="B1825" s="31">
        <v>1</v>
      </c>
      <c r="C1825" s="29" t="str">
        <f>LOOKUP(A1825,'QALS - Inspection Lot Record'!$A$2:$A$361,'QALS - Inspection Lot Record'!$O$2:$O$361)</f>
        <v>Metformin Tablets (100 MG)</v>
      </c>
      <c r="D1825" s="31">
        <v>80</v>
      </c>
      <c r="E1825" s="29" t="s">
        <v>407</v>
      </c>
      <c r="F1825" s="29" t="str">
        <f>LOOKUP(A1825,'QALS - Inspection Lot Record'!A:A,'QALS - Inspection Lot Record'!G:G)</f>
        <v>GC197258</v>
      </c>
      <c r="G1825" s="59">
        <f ca="1">LOOKUP(A1825,'QALS - Inspection Lot Record'!A:A,'QALS - Inspection Lot Record'!E:E)</f>
        <v>45983</v>
      </c>
      <c r="H1825" s="34" t="str">
        <f t="shared" si="145"/>
        <v>A</v>
      </c>
      <c r="I1825" s="29" t="str">
        <f t="shared" si="141"/>
        <v>GC197258</v>
      </c>
      <c r="J1825" s="59">
        <f t="shared" ca="1" si="142"/>
        <v>45983</v>
      </c>
      <c r="K1825" s="30">
        <f ca="1">LOOKUP(A1825,'QALS - Inspection Lot Record'!A:A,'QALS - Inspection Lot Record'!I:I)</f>
        <v>0.34909722222222223</v>
      </c>
      <c r="L1825" s="59">
        <f t="shared" ca="1" si="143"/>
        <v>45983</v>
      </c>
      <c r="M1825" s="30">
        <f t="shared" ca="1" si="144"/>
        <v>0.37625000000000003</v>
      </c>
      <c r="N1825" s="31"/>
      <c r="O1825" s="31">
        <v>23.8</v>
      </c>
      <c r="P1825" s="29">
        <v>23</v>
      </c>
      <c r="Q1825" s="29">
        <v>25</v>
      </c>
    </row>
    <row r="1826" spans="1:17" x14ac:dyDescent="0.35">
      <c r="A1826" s="26">
        <v>40000002729</v>
      </c>
      <c r="B1826" s="27">
        <v>1</v>
      </c>
      <c r="C1826" s="29" t="str">
        <f>LOOKUP(A1826,'QALS - Inspection Lot Record'!$A$2:$A$361,'QALS - Inspection Lot Record'!$O$2:$O$361)</f>
        <v>Metformin Tablets (500 MG)</v>
      </c>
      <c r="D1826" s="27">
        <v>10</v>
      </c>
      <c r="E1826" s="26" t="s">
        <v>399</v>
      </c>
      <c r="F1826" s="29" t="str">
        <f>LOOKUP(A1826,'QALS - Inspection Lot Record'!A:A,'QALS - Inspection Lot Record'!G:G)</f>
        <v>ZK384180</v>
      </c>
      <c r="G1826" s="59">
        <f ca="1">LOOKUP(A1826,'QALS - Inspection Lot Record'!A:A,'QALS - Inspection Lot Record'!E:E)</f>
        <v>45984</v>
      </c>
      <c r="H1826" s="34" t="str">
        <f t="shared" si="145"/>
        <v>A</v>
      </c>
      <c r="I1826" s="29" t="str">
        <f t="shared" si="141"/>
        <v>ZK384180</v>
      </c>
      <c r="J1826" s="59">
        <f t="shared" ca="1" si="142"/>
        <v>45984</v>
      </c>
      <c r="K1826" s="30">
        <f ca="1">LOOKUP(A1826,'QALS - Inspection Lot Record'!A:A,'QALS - Inspection Lot Record'!I:I)</f>
        <v>0.70520833333333333</v>
      </c>
      <c r="L1826" s="59">
        <f t="shared" ca="1" si="143"/>
        <v>45984</v>
      </c>
      <c r="M1826" s="30">
        <f t="shared" ca="1" si="144"/>
        <v>0.73122685185185188</v>
      </c>
      <c r="N1826" s="31"/>
      <c r="O1826" s="31">
        <v>100</v>
      </c>
      <c r="P1826" s="29">
        <v>95</v>
      </c>
      <c r="Q1826" s="29">
        <v>105</v>
      </c>
    </row>
    <row r="1827" spans="1:17" x14ac:dyDescent="0.35">
      <c r="A1827" s="26">
        <v>40000002729</v>
      </c>
      <c r="B1827" s="27">
        <v>1</v>
      </c>
      <c r="C1827" s="29" t="str">
        <f>LOOKUP(A1827,'QALS - Inspection Lot Record'!$A$2:$A$361,'QALS - Inspection Lot Record'!$O$2:$O$361)</f>
        <v>Metformin Tablets (500 MG)</v>
      </c>
      <c r="D1827" s="31">
        <v>20</v>
      </c>
      <c r="E1827" s="29" t="s">
        <v>400</v>
      </c>
      <c r="F1827" s="29" t="str">
        <f>LOOKUP(A1827,'QALS - Inspection Lot Record'!A:A,'QALS - Inspection Lot Record'!G:G)</f>
        <v>ZK384180</v>
      </c>
      <c r="G1827" s="59">
        <f ca="1">LOOKUP(A1827,'QALS - Inspection Lot Record'!A:A,'QALS - Inspection Lot Record'!E:E)</f>
        <v>45984</v>
      </c>
      <c r="H1827" s="34" t="str">
        <f t="shared" si="145"/>
        <v>A</v>
      </c>
      <c r="I1827" s="29" t="str">
        <f t="shared" si="141"/>
        <v>ZK384180</v>
      </c>
      <c r="J1827" s="59">
        <f t="shared" ca="1" si="142"/>
        <v>45984</v>
      </c>
      <c r="K1827" s="30">
        <f ca="1">LOOKUP(A1827,'QALS - Inspection Lot Record'!A:A,'QALS - Inspection Lot Record'!I:I)</f>
        <v>0.70520833333333333</v>
      </c>
      <c r="L1827" s="59">
        <f t="shared" ca="1" si="143"/>
        <v>45984</v>
      </c>
      <c r="M1827" s="30">
        <f t="shared" ca="1" si="144"/>
        <v>0.72696759259259258</v>
      </c>
      <c r="N1827" s="31"/>
      <c r="O1827" s="31">
        <v>7.25</v>
      </c>
      <c r="P1827" s="29">
        <v>3.5</v>
      </c>
      <c r="Q1827" s="29">
        <v>11</v>
      </c>
    </row>
    <row r="1828" spans="1:17" x14ac:dyDescent="0.35">
      <c r="A1828" s="26">
        <v>40000002729</v>
      </c>
      <c r="B1828" s="31">
        <v>1</v>
      </c>
      <c r="C1828" s="29" t="str">
        <f>LOOKUP(A1828,'QALS - Inspection Lot Record'!$A$2:$A$361,'QALS - Inspection Lot Record'!$O$2:$O$361)</f>
        <v>Metformin Tablets (500 MG)</v>
      </c>
      <c r="D1828" s="31">
        <v>30</v>
      </c>
      <c r="E1828" s="29" t="s">
        <v>401</v>
      </c>
      <c r="F1828" s="29" t="str">
        <f>LOOKUP(A1828,'QALS - Inspection Lot Record'!A:A,'QALS - Inspection Lot Record'!G:G)</f>
        <v>ZK384180</v>
      </c>
      <c r="G1828" s="59">
        <f ca="1">LOOKUP(A1828,'QALS - Inspection Lot Record'!A:A,'QALS - Inspection Lot Record'!E:E)</f>
        <v>45984</v>
      </c>
      <c r="H1828" s="34" t="str">
        <f t="shared" si="145"/>
        <v>A</v>
      </c>
      <c r="I1828" s="29" t="str">
        <f t="shared" si="141"/>
        <v>ZK384180</v>
      </c>
      <c r="J1828" s="59">
        <f t="shared" ca="1" si="142"/>
        <v>45984</v>
      </c>
      <c r="K1828" s="30">
        <f ca="1">LOOKUP(A1828,'QALS - Inspection Lot Record'!A:A,'QALS - Inspection Lot Record'!I:I)</f>
        <v>0.70520833333333333</v>
      </c>
      <c r="L1828" s="59">
        <f t="shared" ca="1" si="143"/>
        <v>45984</v>
      </c>
      <c r="M1828" s="30">
        <f t="shared" ca="1" si="144"/>
        <v>0.72761574074074076</v>
      </c>
      <c r="N1828" s="11" t="s">
        <v>402</v>
      </c>
      <c r="O1828" s="31"/>
      <c r="P1828" s="29"/>
      <c r="Q1828" s="29"/>
    </row>
    <row r="1829" spans="1:17" x14ac:dyDescent="0.35">
      <c r="A1829" s="26">
        <v>40000002729</v>
      </c>
      <c r="B1829" s="31">
        <v>1</v>
      </c>
      <c r="C1829" s="29" t="str">
        <f>LOOKUP(A1829,'QALS - Inspection Lot Record'!$A$2:$A$361,'QALS - Inspection Lot Record'!$O$2:$O$361)</f>
        <v>Metformin Tablets (500 MG)</v>
      </c>
      <c r="D1829" s="31">
        <v>40</v>
      </c>
      <c r="E1829" s="29" t="s">
        <v>403</v>
      </c>
      <c r="F1829" s="29" t="str">
        <f>LOOKUP(A1829,'QALS - Inspection Lot Record'!A:A,'QALS - Inspection Lot Record'!G:G)</f>
        <v>ZK384180</v>
      </c>
      <c r="G1829" s="59">
        <f ca="1">LOOKUP(A1829,'QALS - Inspection Lot Record'!A:A,'QALS - Inspection Lot Record'!E:E)</f>
        <v>45984</v>
      </c>
      <c r="H1829" s="34" t="str">
        <f t="shared" si="145"/>
        <v>A</v>
      </c>
      <c r="I1829" s="29" t="str">
        <f t="shared" si="141"/>
        <v>ZK384180</v>
      </c>
      <c r="J1829" s="59">
        <f t="shared" ca="1" si="142"/>
        <v>45984</v>
      </c>
      <c r="K1829" s="30">
        <f ca="1">LOOKUP(A1829,'QALS - Inspection Lot Record'!A:A,'QALS - Inspection Lot Record'!I:I)</f>
        <v>0.70520833333333333</v>
      </c>
      <c r="L1829" s="59">
        <f t="shared" ca="1" si="143"/>
        <v>45984</v>
      </c>
      <c r="M1829" s="30">
        <f t="shared" ca="1" si="144"/>
        <v>0.73858796296296292</v>
      </c>
      <c r="N1829" s="31"/>
      <c r="O1829" s="31">
        <v>0</v>
      </c>
      <c r="P1829" s="29">
        <v>0</v>
      </c>
      <c r="Q1829" s="29">
        <v>2</v>
      </c>
    </row>
    <row r="1830" spans="1:17" x14ac:dyDescent="0.35">
      <c r="A1830" s="26">
        <v>40000002729</v>
      </c>
      <c r="B1830" s="31">
        <v>1</v>
      </c>
      <c r="C1830" s="29" t="str">
        <f>LOOKUP(A1830,'QALS - Inspection Lot Record'!$A$2:$A$361,'QALS - Inspection Lot Record'!$O$2:$O$361)</f>
        <v>Metformin Tablets (500 MG)</v>
      </c>
      <c r="D1830" s="31">
        <v>50</v>
      </c>
      <c r="E1830" s="29" t="s">
        <v>404</v>
      </c>
      <c r="F1830" s="29" t="str">
        <f>LOOKUP(A1830,'QALS - Inspection Lot Record'!A:A,'QALS - Inspection Lot Record'!G:G)</f>
        <v>ZK384180</v>
      </c>
      <c r="G1830" s="59">
        <f ca="1">LOOKUP(A1830,'QALS - Inspection Lot Record'!A:A,'QALS - Inspection Lot Record'!E:E)</f>
        <v>45984</v>
      </c>
      <c r="H1830" s="34" t="str">
        <f t="shared" si="145"/>
        <v>A</v>
      </c>
      <c r="I1830" s="29" t="str">
        <f t="shared" si="141"/>
        <v>ZK384180</v>
      </c>
      <c r="J1830" s="59">
        <f t="shared" ca="1" si="142"/>
        <v>45984</v>
      </c>
      <c r="K1830" s="30">
        <f ca="1">LOOKUP(A1830,'QALS - Inspection Lot Record'!A:A,'QALS - Inspection Lot Record'!I:I)</f>
        <v>0.70520833333333333</v>
      </c>
      <c r="L1830" s="59">
        <f t="shared" ca="1" si="143"/>
        <v>45984</v>
      </c>
      <c r="M1830" s="30">
        <f t="shared" ca="1" si="144"/>
        <v>0.73861111111111111</v>
      </c>
      <c r="N1830" s="31"/>
      <c r="O1830" s="31">
        <v>50</v>
      </c>
      <c r="P1830" s="29">
        <v>40</v>
      </c>
      <c r="Q1830" s="29">
        <v>60</v>
      </c>
    </row>
    <row r="1831" spans="1:17" x14ac:dyDescent="0.35">
      <c r="A1831" s="26">
        <v>40000002729</v>
      </c>
      <c r="B1831" s="31">
        <v>1</v>
      </c>
      <c r="C1831" s="29" t="str">
        <f>LOOKUP(A1831,'QALS - Inspection Lot Record'!$A$2:$A$361,'QALS - Inspection Lot Record'!$O$2:$O$361)</f>
        <v>Metformin Tablets (500 MG)</v>
      </c>
      <c r="D1831" s="31">
        <v>60</v>
      </c>
      <c r="E1831" s="29" t="s">
        <v>405</v>
      </c>
      <c r="F1831" s="29" t="str">
        <f>LOOKUP(A1831,'QALS - Inspection Lot Record'!A:A,'QALS - Inspection Lot Record'!G:G)</f>
        <v>ZK384180</v>
      </c>
      <c r="G1831" s="59">
        <f ca="1">LOOKUP(A1831,'QALS - Inspection Lot Record'!A:A,'QALS - Inspection Lot Record'!E:E)</f>
        <v>45984</v>
      </c>
      <c r="H1831" s="34" t="str">
        <f t="shared" si="145"/>
        <v>A</v>
      </c>
      <c r="I1831" s="29" t="str">
        <f t="shared" si="141"/>
        <v>ZK384180</v>
      </c>
      <c r="J1831" s="59">
        <f t="shared" ca="1" si="142"/>
        <v>45984</v>
      </c>
      <c r="K1831" s="30">
        <f ca="1">LOOKUP(A1831,'QALS - Inspection Lot Record'!A:A,'QALS - Inspection Lot Record'!I:I)</f>
        <v>0.70520833333333333</v>
      </c>
      <c r="L1831" s="59">
        <f t="shared" ca="1" si="143"/>
        <v>45984</v>
      </c>
      <c r="M1831" s="30">
        <f t="shared" ca="1" si="144"/>
        <v>0.74056712962962967</v>
      </c>
      <c r="N1831" s="31"/>
      <c r="O1831" s="31">
        <v>71.599999999999994</v>
      </c>
      <c r="P1831" s="29">
        <v>70</v>
      </c>
      <c r="Q1831" s="29">
        <v>85</v>
      </c>
    </row>
    <row r="1832" spans="1:17" x14ac:dyDescent="0.35">
      <c r="A1832" s="26">
        <v>40000002729</v>
      </c>
      <c r="B1832" s="31">
        <v>1</v>
      </c>
      <c r="C1832" s="29" t="str">
        <f>LOOKUP(A1832,'QALS - Inspection Lot Record'!$A$2:$A$361,'QALS - Inspection Lot Record'!$O$2:$O$361)</f>
        <v>Metformin Tablets (500 MG)</v>
      </c>
      <c r="D1832" s="31">
        <v>70</v>
      </c>
      <c r="E1832" s="29" t="s">
        <v>406</v>
      </c>
      <c r="F1832" s="29" t="str">
        <f>LOOKUP(A1832,'QALS - Inspection Lot Record'!A:A,'QALS - Inspection Lot Record'!G:G)</f>
        <v>ZK384180</v>
      </c>
      <c r="G1832" s="59">
        <f ca="1">LOOKUP(A1832,'QALS - Inspection Lot Record'!A:A,'QALS - Inspection Lot Record'!E:E)</f>
        <v>45984</v>
      </c>
      <c r="H1832" s="34" t="str">
        <f t="shared" si="145"/>
        <v>A</v>
      </c>
      <c r="I1832" s="29" t="str">
        <f t="shared" si="141"/>
        <v>ZK384180</v>
      </c>
      <c r="J1832" s="59">
        <f t="shared" ca="1" si="142"/>
        <v>45984</v>
      </c>
      <c r="K1832" s="30">
        <f ca="1">LOOKUP(A1832,'QALS - Inspection Lot Record'!A:A,'QALS - Inspection Lot Record'!I:I)</f>
        <v>0.70520833333333333</v>
      </c>
      <c r="L1832" s="59">
        <f t="shared" ca="1" si="143"/>
        <v>45984</v>
      </c>
      <c r="M1832" s="30">
        <f t="shared" ca="1" si="144"/>
        <v>0.73451388888888891</v>
      </c>
      <c r="N1832" s="31"/>
      <c r="O1832" s="31">
        <v>81.900000000000006</v>
      </c>
      <c r="P1832" s="29">
        <v>80</v>
      </c>
      <c r="Q1832" s="29">
        <v>90</v>
      </c>
    </row>
    <row r="1833" spans="1:17" x14ac:dyDescent="0.35">
      <c r="A1833" s="26">
        <v>40000002729</v>
      </c>
      <c r="B1833" s="31">
        <v>1</v>
      </c>
      <c r="C1833" s="29" t="str">
        <f>LOOKUP(A1833,'QALS - Inspection Lot Record'!$A$2:$A$361,'QALS - Inspection Lot Record'!$O$2:$O$361)</f>
        <v>Metformin Tablets (500 MG)</v>
      </c>
      <c r="D1833" s="31">
        <v>80</v>
      </c>
      <c r="E1833" s="29" t="s">
        <v>407</v>
      </c>
      <c r="F1833" s="29" t="str">
        <f>LOOKUP(A1833,'QALS - Inspection Lot Record'!A:A,'QALS - Inspection Lot Record'!G:G)</f>
        <v>ZK384180</v>
      </c>
      <c r="G1833" s="59">
        <f ca="1">LOOKUP(A1833,'QALS - Inspection Lot Record'!A:A,'QALS - Inspection Lot Record'!E:E)</f>
        <v>45984</v>
      </c>
      <c r="H1833" s="34" t="str">
        <f t="shared" si="145"/>
        <v>A</v>
      </c>
      <c r="I1833" s="29" t="str">
        <f t="shared" si="141"/>
        <v>ZK384180</v>
      </c>
      <c r="J1833" s="59">
        <f t="shared" ca="1" si="142"/>
        <v>45984</v>
      </c>
      <c r="K1833" s="30">
        <f ca="1">LOOKUP(A1833,'QALS - Inspection Lot Record'!A:A,'QALS - Inspection Lot Record'!I:I)</f>
        <v>0.70520833333333333</v>
      </c>
      <c r="L1833" s="59">
        <f t="shared" ca="1" si="143"/>
        <v>45984</v>
      </c>
      <c r="M1833" s="30">
        <f t="shared" ca="1" si="144"/>
        <v>0.73630787037037038</v>
      </c>
      <c r="N1833" s="31"/>
      <c r="O1833" s="31">
        <v>25.5</v>
      </c>
      <c r="P1833" s="29">
        <v>23</v>
      </c>
      <c r="Q1833" s="29">
        <v>28</v>
      </c>
    </row>
    <row r="1834" spans="1:17" x14ac:dyDescent="0.35">
      <c r="A1834" s="26">
        <v>40000002730</v>
      </c>
      <c r="B1834" s="27">
        <v>1</v>
      </c>
      <c r="C1834" s="29" t="str">
        <f>LOOKUP(A1834,'QALS - Inspection Lot Record'!$A$2:$A$361,'QALS - Inspection Lot Record'!$O$2:$O$361)</f>
        <v>Ibuprofen Tablets (100 MG)</v>
      </c>
      <c r="D1834" s="27">
        <v>10</v>
      </c>
      <c r="E1834" s="26" t="s">
        <v>399</v>
      </c>
      <c r="F1834" s="29" t="str">
        <f>LOOKUP(A1834,'QALS - Inspection Lot Record'!A:A,'QALS - Inspection Lot Record'!G:G)</f>
        <v>TG509538</v>
      </c>
      <c r="G1834" s="59">
        <f ca="1">LOOKUP(A1834,'QALS - Inspection Lot Record'!A:A,'QALS - Inspection Lot Record'!E:E)</f>
        <v>45984</v>
      </c>
      <c r="H1834" s="34" t="str">
        <f t="shared" si="145"/>
        <v>A</v>
      </c>
      <c r="I1834" s="29" t="str">
        <f t="shared" si="141"/>
        <v>TG509538</v>
      </c>
      <c r="J1834" s="59">
        <f t="shared" ca="1" si="142"/>
        <v>45984</v>
      </c>
      <c r="K1834" s="30">
        <f ca="1">LOOKUP(A1834,'QALS - Inspection Lot Record'!A:A,'QALS - Inspection Lot Record'!I:I)</f>
        <v>0.16259259259259259</v>
      </c>
      <c r="L1834" s="59">
        <f t="shared" ca="1" si="143"/>
        <v>45984</v>
      </c>
      <c r="M1834" s="30">
        <f t="shared" ca="1" si="144"/>
        <v>0.18898148148148147</v>
      </c>
      <c r="N1834" s="31"/>
      <c r="O1834" s="31">
        <v>98.5</v>
      </c>
      <c r="P1834" s="29">
        <v>95</v>
      </c>
      <c r="Q1834" s="29">
        <v>102</v>
      </c>
    </row>
    <row r="1835" spans="1:17" x14ac:dyDescent="0.35">
      <c r="A1835" s="26">
        <v>40000002730</v>
      </c>
      <c r="B1835" s="27">
        <v>1</v>
      </c>
      <c r="C1835" s="29" t="str">
        <f>LOOKUP(A1835,'QALS - Inspection Lot Record'!$A$2:$A$361,'QALS - Inspection Lot Record'!$O$2:$O$361)</f>
        <v>Ibuprofen Tablets (100 MG)</v>
      </c>
      <c r="D1835" s="31">
        <v>20</v>
      </c>
      <c r="E1835" s="29" t="s">
        <v>400</v>
      </c>
      <c r="F1835" s="29" t="str">
        <f>LOOKUP(A1835,'QALS - Inspection Lot Record'!A:A,'QALS - Inspection Lot Record'!G:G)</f>
        <v>TG509538</v>
      </c>
      <c r="G1835" s="59">
        <f ca="1">LOOKUP(A1835,'QALS - Inspection Lot Record'!A:A,'QALS - Inspection Lot Record'!E:E)</f>
        <v>45984</v>
      </c>
      <c r="H1835" s="34" t="str">
        <f t="shared" si="145"/>
        <v>A</v>
      </c>
      <c r="I1835" s="29" t="str">
        <f t="shared" si="141"/>
        <v>TG509538</v>
      </c>
      <c r="J1835" s="59">
        <f t="shared" ca="1" si="142"/>
        <v>45984</v>
      </c>
      <c r="K1835" s="30">
        <f ca="1">LOOKUP(A1835,'QALS - Inspection Lot Record'!A:A,'QALS - Inspection Lot Record'!I:I)</f>
        <v>0.16259259259259259</v>
      </c>
      <c r="L1835" s="59">
        <f t="shared" ca="1" si="143"/>
        <v>45984</v>
      </c>
      <c r="M1835" s="30">
        <f t="shared" ca="1" si="144"/>
        <v>0.19530092592592593</v>
      </c>
      <c r="N1835" s="31"/>
      <c r="O1835" s="31">
        <v>7.25</v>
      </c>
      <c r="P1835" s="29">
        <v>3.5</v>
      </c>
      <c r="Q1835" s="29">
        <v>11</v>
      </c>
    </row>
    <row r="1836" spans="1:17" x14ac:dyDescent="0.35">
      <c r="A1836" s="26">
        <v>40000002730</v>
      </c>
      <c r="B1836" s="31">
        <v>1</v>
      </c>
      <c r="C1836" s="29" t="str">
        <f>LOOKUP(A1836,'QALS - Inspection Lot Record'!$A$2:$A$361,'QALS - Inspection Lot Record'!$O$2:$O$361)</f>
        <v>Ibuprofen Tablets (100 MG)</v>
      </c>
      <c r="D1836" s="31">
        <v>30</v>
      </c>
      <c r="E1836" s="29" t="s">
        <v>401</v>
      </c>
      <c r="F1836" s="29" t="str">
        <f>LOOKUP(A1836,'QALS - Inspection Lot Record'!A:A,'QALS - Inspection Lot Record'!G:G)</f>
        <v>TG509538</v>
      </c>
      <c r="G1836" s="59">
        <f ca="1">LOOKUP(A1836,'QALS - Inspection Lot Record'!A:A,'QALS - Inspection Lot Record'!E:E)</f>
        <v>45984</v>
      </c>
      <c r="H1836" s="34" t="str">
        <f t="shared" si="145"/>
        <v>A</v>
      </c>
      <c r="I1836" s="29" t="str">
        <f t="shared" si="141"/>
        <v>TG509538</v>
      </c>
      <c r="J1836" s="59">
        <f t="shared" ca="1" si="142"/>
        <v>45984</v>
      </c>
      <c r="K1836" s="30">
        <f ca="1">LOOKUP(A1836,'QALS - Inspection Lot Record'!A:A,'QALS - Inspection Lot Record'!I:I)</f>
        <v>0.16259259259259259</v>
      </c>
      <c r="L1836" s="59">
        <f t="shared" ca="1" si="143"/>
        <v>45984</v>
      </c>
      <c r="M1836" s="30">
        <f t="shared" ca="1" si="144"/>
        <v>0.18109953703703704</v>
      </c>
      <c r="N1836" s="11" t="s">
        <v>402</v>
      </c>
      <c r="O1836" s="31"/>
      <c r="P1836" s="29"/>
      <c r="Q1836" s="29"/>
    </row>
    <row r="1837" spans="1:17" x14ac:dyDescent="0.35">
      <c r="A1837" s="26">
        <v>40000002730</v>
      </c>
      <c r="B1837" s="31">
        <v>1</v>
      </c>
      <c r="C1837" s="29" t="str">
        <f>LOOKUP(A1837,'QALS - Inspection Lot Record'!$A$2:$A$361,'QALS - Inspection Lot Record'!$O$2:$O$361)</f>
        <v>Ibuprofen Tablets (100 MG)</v>
      </c>
      <c r="D1837" s="31">
        <v>40</v>
      </c>
      <c r="E1837" s="29" t="s">
        <v>403</v>
      </c>
      <c r="F1837" s="29" t="str">
        <f>LOOKUP(A1837,'QALS - Inspection Lot Record'!A:A,'QALS - Inspection Lot Record'!G:G)</f>
        <v>TG509538</v>
      </c>
      <c r="G1837" s="59">
        <f ca="1">LOOKUP(A1837,'QALS - Inspection Lot Record'!A:A,'QALS - Inspection Lot Record'!E:E)</f>
        <v>45984</v>
      </c>
      <c r="H1837" s="34" t="str">
        <f t="shared" si="145"/>
        <v>A</v>
      </c>
      <c r="I1837" s="29" t="str">
        <f t="shared" si="141"/>
        <v>TG509538</v>
      </c>
      <c r="J1837" s="59">
        <f t="shared" ca="1" si="142"/>
        <v>45984</v>
      </c>
      <c r="K1837" s="30">
        <f ca="1">LOOKUP(A1837,'QALS - Inspection Lot Record'!A:A,'QALS - Inspection Lot Record'!I:I)</f>
        <v>0.16259259259259259</v>
      </c>
      <c r="L1837" s="59">
        <f t="shared" ca="1" si="143"/>
        <v>45984</v>
      </c>
      <c r="M1837" s="30">
        <f t="shared" ca="1" si="144"/>
        <v>0.19659722222222223</v>
      </c>
      <c r="N1837" s="31"/>
      <c r="O1837" s="31">
        <v>0</v>
      </c>
      <c r="P1837" s="29">
        <v>0</v>
      </c>
      <c r="Q1837" s="29">
        <v>1</v>
      </c>
    </row>
    <row r="1838" spans="1:17" x14ac:dyDescent="0.35">
      <c r="A1838" s="26">
        <v>40000002730</v>
      </c>
      <c r="B1838" s="31">
        <v>1</v>
      </c>
      <c r="C1838" s="29" t="str">
        <f>LOOKUP(A1838,'QALS - Inspection Lot Record'!$A$2:$A$361,'QALS - Inspection Lot Record'!$O$2:$O$361)</f>
        <v>Ibuprofen Tablets (100 MG)</v>
      </c>
      <c r="D1838" s="31">
        <v>50</v>
      </c>
      <c r="E1838" s="29" t="s">
        <v>404</v>
      </c>
      <c r="F1838" s="29" t="str">
        <f>LOOKUP(A1838,'QALS - Inspection Lot Record'!A:A,'QALS - Inspection Lot Record'!G:G)</f>
        <v>TG509538</v>
      </c>
      <c r="G1838" s="59">
        <f ca="1">LOOKUP(A1838,'QALS - Inspection Lot Record'!A:A,'QALS - Inspection Lot Record'!E:E)</f>
        <v>45984</v>
      </c>
      <c r="H1838" s="34" t="str">
        <f t="shared" si="145"/>
        <v>A</v>
      </c>
      <c r="I1838" s="29" t="str">
        <f t="shared" si="141"/>
        <v>TG509538</v>
      </c>
      <c r="J1838" s="59">
        <f t="shared" ca="1" si="142"/>
        <v>45984</v>
      </c>
      <c r="K1838" s="30">
        <f ca="1">LOOKUP(A1838,'QALS - Inspection Lot Record'!A:A,'QALS - Inspection Lot Record'!I:I)</f>
        <v>0.16259259259259259</v>
      </c>
      <c r="L1838" s="59">
        <f t="shared" ca="1" si="143"/>
        <v>45984</v>
      </c>
      <c r="M1838" s="30">
        <f t="shared" ca="1" si="144"/>
        <v>0.18209490740740741</v>
      </c>
      <c r="N1838" s="31"/>
      <c r="O1838" s="31">
        <v>50</v>
      </c>
      <c r="P1838" s="29">
        <v>40</v>
      </c>
      <c r="Q1838" s="29">
        <v>60</v>
      </c>
    </row>
    <row r="1839" spans="1:17" x14ac:dyDescent="0.35">
      <c r="A1839" s="26">
        <v>40000002730</v>
      </c>
      <c r="B1839" s="31">
        <v>1</v>
      </c>
      <c r="C1839" s="29" t="str">
        <f>LOOKUP(A1839,'QALS - Inspection Lot Record'!$A$2:$A$361,'QALS - Inspection Lot Record'!$O$2:$O$361)</f>
        <v>Ibuprofen Tablets (100 MG)</v>
      </c>
      <c r="D1839" s="31">
        <v>60</v>
      </c>
      <c r="E1839" s="29" t="s">
        <v>405</v>
      </c>
      <c r="F1839" s="29" t="str">
        <f>LOOKUP(A1839,'QALS - Inspection Lot Record'!A:A,'QALS - Inspection Lot Record'!G:G)</f>
        <v>TG509538</v>
      </c>
      <c r="G1839" s="59">
        <f ca="1">LOOKUP(A1839,'QALS - Inspection Lot Record'!A:A,'QALS - Inspection Lot Record'!E:E)</f>
        <v>45984</v>
      </c>
      <c r="H1839" s="34" t="str">
        <f t="shared" si="145"/>
        <v>A</v>
      </c>
      <c r="I1839" s="29" t="str">
        <f t="shared" si="141"/>
        <v>TG509538</v>
      </c>
      <c r="J1839" s="59">
        <f t="shared" ca="1" si="142"/>
        <v>45984</v>
      </c>
      <c r="K1839" s="30">
        <f ca="1">LOOKUP(A1839,'QALS - Inspection Lot Record'!A:A,'QALS - Inspection Lot Record'!I:I)</f>
        <v>0.16259259259259259</v>
      </c>
      <c r="L1839" s="59">
        <f t="shared" ca="1" si="143"/>
        <v>45984</v>
      </c>
      <c r="M1839" s="30">
        <f t="shared" ca="1" si="144"/>
        <v>0.18628472222222223</v>
      </c>
      <c r="N1839" s="31"/>
      <c r="O1839" s="31">
        <v>71.2</v>
      </c>
      <c r="P1839" s="29">
        <v>70</v>
      </c>
      <c r="Q1839" s="29">
        <v>85</v>
      </c>
    </row>
    <row r="1840" spans="1:17" x14ac:dyDescent="0.35">
      <c r="A1840" s="26">
        <v>40000002730</v>
      </c>
      <c r="B1840" s="31">
        <v>1</v>
      </c>
      <c r="C1840" s="29" t="str">
        <f>LOOKUP(A1840,'QALS - Inspection Lot Record'!$A$2:$A$361,'QALS - Inspection Lot Record'!$O$2:$O$361)</f>
        <v>Ibuprofen Tablets (100 MG)</v>
      </c>
      <c r="D1840" s="31">
        <v>70</v>
      </c>
      <c r="E1840" s="29" t="s">
        <v>406</v>
      </c>
      <c r="F1840" s="29" t="str">
        <f>LOOKUP(A1840,'QALS - Inspection Lot Record'!A:A,'QALS - Inspection Lot Record'!G:G)</f>
        <v>TG509538</v>
      </c>
      <c r="G1840" s="59">
        <f ca="1">LOOKUP(A1840,'QALS - Inspection Lot Record'!A:A,'QALS - Inspection Lot Record'!E:E)</f>
        <v>45984</v>
      </c>
      <c r="H1840" s="34" t="str">
        <f t="shared" si="145"/>
        <v>A</v>
      </c>
      <c r="I1840" s="29" t="str">
        <f t="shared" si="141"/>
        <v>TG509538</v>
      </c>
      <c r="J1840" s="59">
        <f t="shared" ca="1" si="142"/>
        <v>45984</v>
      </c>
      <c r="K1840" s="30">
        <f ca="1">LOOKUP(A1840,'QALS - Inspection Lot Record'!A:A,'QALS - Inspection Lot Record'!I:I)</f>
        <v>0.16259259259259259</v>
      </c>
      <c r="L1840" s="59">
        <f t="shared" ca="1" si="143"/>
        <v>45984</v>
      </c>
      <c r="M1840" s="30">
        <f t="shared" ca="1" si="144"/>
        <v>0.18182870370370371</v>
      </c>
      <c r="N1840" s="31"/>
      <c r="O1840" s="31">
        <v>85</v>
      </c>
      <c r="P1840" s="29">
        <v>80</v>
      </c>
      <c r="Q1840" s="29">
        <v>90</v>
      </c>
    </row>
    <row r="1841" spans="1:17" x14ac:dyDescent="0.35">
      <c r="A1841" s="26">
        <v>40000002730</v>
      </c>
      <c r="B1841" s="31">
        <v>1</v>
      </c>
      <c r="C1841" s="29" t="str">
        <f>LOOKUP(A1841,'QALS - Inspection Lot Record'!$A$2:$A$361,'QALS - Inspection Lot Record'!$O$2:$O$361)</f>
        <v>Ibuprofen Tablets (100 MG)</v>
      </c>
      <c r="D1841" s="31">
        <v>80</v>
      </c>
      <c r="E1841" s="29" t="s">
        <v>407</v>
      </c>
      <c r="F1841" s="29" t="str">
        <f>LOOKUP(A1841,'QALS - Inspection Lot Record'!A:A,'QALS - Inspection Lot Record'!G:G)</f>
        <v>TG509538</v>
      </c>
      <c r="G1841" s="59">
        <f ca="1">LOOKUP(A1841,'QALS - Inspection Lot Record'!A:A,'QALS - Inspection Lot Record'!E:E)</f>
        <v>45984</v>
      </c>
      <c r="H1841" s="34" t="str">
        <f t="shared" si="145"/>
        <v>A</v>
      </c>
      <c r="I1841" s="29" t="str">
        <f t="shared" si="141"/>
        <v>TG509538</v>
      </c>
      <c r="J1841" s="59">
        <f t="shared" ca="1" si="142"/>
        <v>45984</v>
      </c>
      <c r="K1841" s="30">
        <f ca="1">LOOKUP(A1841,'QALS - Inspection Lot Record'!A:A,'QALS - Inspection Lot Record'!I:I)</f>
        <v>0.16259259259259259</v>
      </c>
      <c r="L1841" s="59">
        <f t="shared" ca="1" si="143"/>
        <v>45984</v>
      </c>
      <c r="M1841" s="30">
        <f t="shared" ca="1" si="144"/>
        <v>0.19734953703703703</v>
      </c>
      <c r="N1841" s="31"/>
      <c r="O1841" s="31">
        <v>24</v>
      </c>
      <c r="P1841" s="29">
        <v>23</v>
      </c>
      <c r="Q1841" s="29">
        <v>25</v>
      </c>
    </row>
    <row r="1842" spans="1:17" x14ac:dyDescent="0.35">
      <c r="A1842" s="26">
        <v>40000002731</v>
      </c>
      <c r="B1842" s="27">
        <v>1</v>
      </c>
      <c r="C1842" s="29" t="str">
        <f>LOOKUP(A1842,'QALS - Inspection Lot Record'!$A$2:$A$361,'QALS - Inspection Lot Record'!$O$2:$O$361)</f>
        <v>Metformin Tablets (200 MG)</v>
      </c>
      <c r="D1842" s="27">
        <v>10</v>
      </c>
      <c r="E1842" s="26" t="s">
        <v>399</v>
      </c>
      <c r="F1842" s="29" t="str">
        <f>LOOKUP(A1842,'QALS - Inspection Lot Record'!A:A,'QALS - Inspection Lot Record'!G:G)</f>
        <v>ZK384180</v>
      </c>
      <c r="G1842" s="59">
        <f ca="1">LOOKUP(A1842,'QALS - Inspection Lot Record'!A:A,'QALS - Inspection Lot Record'!E:E)</f>
        <v>45985</v>
      </c>
      <c r="H1842" s="34" t="str">
        <f t="shared" si="145"/>
        <v>A</v>
      </c>
      <c r="I1842" s="29" t="str">
        <f t="shared" si="141"/>
        <v>ZK384180</v>
      </c>
      <c r="J1842" s="59">
        <f t="shared" ca="1" si="142"/>
        <v>45985</v>
      </c>
      <c r="K1842" s="30">
        <f ca="1">LOOKUP(A1842,'QALS - Inspection Lot Record'!A:A,'QALS - Inspection Lot Record'!I:I)</f>
        <v>0.50774305555555554</v>
      </c>
      <c r="L1842" s="59">
        <f t="shared" ca="1" si="143"/>
        <v>45985</v>
      </c>
      <c r="M1842" s="30">
        <f t="shared" ca="1" si="144"/>
        <v>0.53343750000000001</v>
      </c>
      <c r="N1842" s="31"/>
      <c r="O1842" s="31">
        <v>99</v>
      </c>
      <c r="P1842" s="29">
        <v>95</v>
      </c>
      <c r="Q1842" s="29">
        <v>103</v>
      </c>
    </row>
    <row r="1843" spans="1:17" x14ac:dyDescent="0.35">
      <c r="A1843" s="26">
        <v>40000002731</v>
      </c>
      <c r="B1843" s="27">
        <v>1</v>
      </c>
      <c r="C1843" s="29" t="str">
        <f>LOOKUP(A1843,'QALS - Inspection Lot Record'!$A$2:$A$361,'QALS - Inspection Lot Record'!$O$2:$O$361)</f>
        <v>Metformin Tablets (200 MG)</v>
      </c>
      <c r="D1843" s="31">
        <v>20</v>
      </c>
      <c r="E1843" s="29" t="s">
        <v>400</v>
      </c>
      <c r="F1843" s="29" t="str">
        <f>LOOKUP(A1843,'QALS - Inspection Lot Record'!A:A,'QALS - Inspection Lot Record'!G:G)</f>
        <v>ZK384180</v>
      </c>
      <c r="G1843" s="59">
        <f ca="1">LOOKUP(A1843,'QALS - Inspection Lot Record'!A:A,'QALS - Inspection Lot Record'!E:E)</f>
        <v>45985</v>
      </c>
      <c r="H1843" s="34" t="str">
        <f t="shared" si="145"/>
        <v>A</v>
      </c>
      <c r="I1843" s="29" t="str">
        <f t="shared" si="141"/>
        <v>ZK384180</v>
      </c>
      <c r="J1843" s="59">
        <f t="shared" ca="1" si="142"/>
        <v>45985</v>
      </c>
      <c r="K1843" s="30">
        <f ca="1">LOOKUP(A1843,'QALS - Inspection Lot Record'!A:A,'QALS - Inspection Lot Record'!I:I)</f>
        <v>0.50774305555555554</v>
      </c>
      <c r="L1843" s="59">
        <f t="shared" ca="1" si="143"/>
        <v>45985</v>
      </c>
      <c r="M1843" s="30">
        <f t="shared" ca="1" si="144"/>
        <v>0.53775462962962961</v>
      </c>
      <c r="N1843" s="31"/>
      <c r="O1843" s="31">
        <v>7.75</v>
      </c>
      <c r="P1843" s="29">
        <v>6</v>
      </c>
      <c r="Q1843" s="29">
        <v>9.5</v>
      </c>
    </row>
    <row r="1844" spans="1:17" x14ac:dyDescent="0.35">
      <c r="A1844" s="26">
        <v>40000002731</v>
      </c>
      <c r="B1844" s="31">
        <v>1</v>
      </c>
      <c r="C1844" s="29" t="str">
        <f>LOOKUP(A1844,'QALS - Inspection Lot Record'!$A$2:$A$361,'QALS - Inspection Lot Record'!$O$2:$O$361)</f>
        <v>Metformin Tablets (200 MG)</v>
      </c>
      <c r="D1844" s="31">
        <v>30</v>
      </c>
      <c r="E1844" s="29" t="s">
        <v>401</v>
      </c>
      <c r="F1844" s="29" t="str">
        <f>LOOKUP(A1844,'QALS - Inspection Lot Record'!A:A,'QALS - Inspection Lot Record'!G:G)</f>
        <v>ZK384180</v>
      </c>
      <c r="G1844" s="59">
        <f ca="1">LOOKUP(A1844,'QALS - Inspection Lot Record'!A:A,'QALS - Inspection Lot Record'!E:E)</f>
        <v>45985</v>
      </c>
      <c r="H1844" s="34" t="str">
        <f t="shared" si="145"/>
        <v>A</v>
      </c>
      <c r="I1844" s="29" t="str">
        <f t="shared" si="141"/>
        <v>ZK384180</v>
      </c>
      <c r="J1844" s="59">
        <f t="shared" ca="1" si="142"/>
        <v>45985</v>
      </c>
      <c r="K1844" s="30">
        <f ca="1">LOOKUP(A1844,'QALS - Inspection Lot Record'!A:A,'QALS - Inspection Lot Record'!I:I)</f>
        <v>0.50774305555555554</v>
      </c>
      <c r="L1844" s="59">
        <f t="shared" ca="1" si="143"/>
        <v>45985</v>
      </c>
      <c r="M1844" s="30">
        <f t="shared" ca="1" si="144"/>
        <v>0.53981481481481475</v>
      </c>
      <c r="N1844" s="11" t="s">
        <v>402</v>
      </c>
      <c r="O1844" s="31"/>
      <c r="P1844" s="29"/>
      <c r="Q1844" s="29"/>
    </row>
    <row r="1845" spans="1:17" x14ac:dyDescent="0.35">
      <c r="A1845" s="26">
        <v>40000002731</v>
      </c>
      <c r="B1845" s="31">
        <v>1</v>
      </c>
      <c r="C1845" s="29" t="str">
        <f>LOOKUP(A1845,'QALS - Inspection Lot Record'!$A$2:$A$361,'QALS - Inspection Lot Record'!$O$2:$O$361)</f>
        <v>Metformin Tablets (200 MG)</v>
      </c>
      <c r="D1845" s="31">
        <v>40</v>
      </c>
      <c r="E1845" s="29" t="s">
        <v>403</v>
      </c>
      <c r="F1845" s="29" t="str">
        <f>LOOKUP(A1845,'QALS - Inspection Lot Record'!A:A,'QALS - Inspection Lot Record'!G:G)</f>
        <v>ZK384180</v>
      </c>
      <c r="G1845" s="59">
        <f ca="1">LOOKUP(A1845,'QALS - Inspection Lot Record'!A:A,'QALS - Inspection Lot Record'!E:E)</f>
        <v>45985</v>
      </c>
      <c r="H1845" s="34" t="str">
        <f t="shared" si="145"/>
        <v>A</v>
      </c>
      <c r="I1845" s="29" t="str">
        <f t="shared" si="141"/>
        <v>ZK384180</v>
      </c>
      <c r="J1845" s="59">
        <f t="shared" ca="1" si="142"/>
        <v>45985</v>
      </c>
      <c r="K1845" s="30">
        <f ca="1">LOOKUP(A1845,'QALS - Inspection Lot Record'!A:A,'QALS - Inspection Lot Record'!I:I)</f>
        <v>0.50774305555555554</v>
      </c>
      <c r="L1845" s="59">
        <f t="shared" ca="1" si="143"/>
        <v>45985</v>
      </c>
      <c r="M1845" s="30">
        <f t="shared" ca="1" si="144"/>
        <v>0.53684027777777776</v>
      </c>
      <c r="N1845" s="31"/>
      <c r="O1845" s="31">
        <v>1.6</v>
      </c>
      <c r="P1845" s="29">
        <v>0</v>
      </c>
      <c r="Q1845" s="29">
        <v>2</v>
      </c>
    </row>
    <row r="1846" spans="1:17" x14ac:dyDescent="0.35">
      <c r="A1846" s="26">
        <v>40000002731</v>
      </c>
      <c r="B1846" s="31">
        <v>1</v>
      </c>
      <c r="C1846" s="29" t="str">
        <f>LOOKUP(A1846,'QALS - Inspection Lot Record'!$A$2:$A$361,'QALS - Inspection Lot Record'!$O$2:$O$361)</f>
        <v>Metformin Tablets (200 MG)</v>
      </c>
      <c r="D1846" s="31">
        <v>50</v>
      </c>
      <c r="E1846" s="29" t="s">
        <v>404</v>
      </c>
      <c r="F1846" s="29" t="str">
        <f>LOOKUP(A1846,'QALS - Inspection Lot Record'!A:A,'QALS - Inspection Lot Record'!G:G)</f>
        <v>ZK384180</v>
      </c>
      <c r="G1846" s="59">
        <f ca="1">LOOKUP(A1846,'QALS - Inspection Lot Record'!A:A,'QALS - Inspection Lot Record'!E:E)</f>
        <v>45985</v>
      </c>
      <c r="H1846" s="34" t="str">
        <f t="shared" si="145"/>
        <v>A</v>
      </c>
      <c r="I1846" s="29" t="str">
        <f t="shared" si="141"/>
        <v>ZK384180</v>
      </c>
      <c r="J1846" s="59">
        <f t="shared" ca="1" si="142"/>
        <v>45985</v>
      </c>
      <c r="K1846" s="30">
        <f ca="1">LOOKUP(A1846,'QALS - Inspection Lot Record'!A:A,'QALS - Inspection Lot Record'!I:I)</f>
        <v>0.50774305555555554</v>
      </c>
      <c r="L1846" s="59">
        <f t="shared" ca="1" si="143"/>
        <v>45985</v>
      </c>
      <c r="M1846" s="30">
        <f t="shared" ca="1" si="144"/>
        <v>0.53418981481481476</v>
      </c>
      <c r="N1846" s="31"/>
      <c r="O1846" s="31">
        <v>45.3</v>
      </c>
      <c r="P1846" s="29">
        <v>40</v>
      </c>
      <c r="Q1846" s="29">
        <v>60</v>
      </c>
    </row>
    <row r="1847" spans="1:17" x14ac:dyDescent="0.35">
      <c r="A1847" s="26">
        <v>40000002731</v>
      </c>
      <c r="B1847" s="31">
        <v>1</v>
      </c>
      <c r="C1847" s="29" t="str">
        <f>LOOKUP(A1847,'QALS - Inspection Lot Record'!$A$2:$A$361,'QALS - Inspection Lot Record'!$O$2:$O$361)</f>
        <v>Metformin Tablets (200 MG)</v>
      </c>
      <c r="D1847" s="31">
        <v>60</v>
      </c>
      <c r="E1847" s="29" t="s">
        <v>405</v>
      </c>
      <c r="F1847" s="29" t="str">
        <f>LOOKUP(A1847,'QALS - Inspection Lot Record'!A:A,'QALS - Inspection Lot Record'!G:G)</f>
        <v>ZK384180</v>
      </c>
      <c r="G1847" s="59">
        <f ca="1">LOOKUP(A1847,'QALS - Inspection Lot Record'!A:A,'QALS - Inspection Lot Record'!E:E)</f>
        <v>45985</v>
      </c>
      <c r="H1847" s="34" t="str">
        <f t="shared" si="145"/>
        <v>A</v>
      </c>
      <c r="I1847" s="29" t="str">
        <f t="shared" si="141"/>
        <v>ZK384180</v>
      </c>
      <c r="J1847" s="59">
        <f t="shared" ca="1" si="142"/>
        <v>45985</v>
      </c>
      <c r="K1847" s="30">
        <f ca="1">LOOKUP(A1847,'QALS - Inspection Lot Record'!A:A,'QALS - Inspection Lot Record'!I:I)</f>
        <v>0.50774305555555554</v>
      </c>
      <c r="L1847" s="59">
        <f t="shared" ca="1" si="143"/>
        <v>45985</v>
      </c>
      <c r="M1847" s="30">
        <f t="shared" ca="1" si="144"/>
        <v>0.52605324074074078</v>
      </c>
      <c r="N1847" s="31"/>
      <c r="O1847" s="31">
        <v>72.3</v>
      </c>
      <c r="P1847" s="29">
        <v>70</v>
      </c>
      <c r="Q1847" s="29">
        <v>85</v>
      </c>
    </row>
    <row r="1848" spans="1:17" x14ac:dyDescent="0.35">
      <c r="A1848" s="26">
        <v>40000002731</v>
      </c>
      <c r="B1848" s="31">
        <v>1</v>
      </c>
      <c r="C1848" s="29" t="str">
        <f>LOOKUP(A1848,'QALS - Inspection Lot Record'!$A$2:$A$361,'QALS - Inspection Lot Record'!$O$2:$O$361)</f>
        <v>Metformin Tablets (200 MG)</v>
      </c>
      <c r="D1848" s="31">
        <v>70</v>
      </c>
      <c r="E1848" s="29" t="s">
        <v>406</v>
      </c>
      <c r="F1848" s="29" t="str">
        <f>LOOKUP(A1848,'QALS - Inspection Lot Record'!A:A,'QALS - Inspection Lot Record'!G:G)</f>
        <v>ZK384180</v>
      </c>
      <c r="G1848" s="59">
        <f ca="1">LOOKUP(A1848,'QALS - Inspection Lot Record'!A:A,'QALS - Inspection Lot Record'!E:E)</f>
        <v>45985</v>
      </c>
      <c r="H1848" s="34" t="str">
        <f t="shared" si="145"/>
        <v>R</v>
      </c>
      <c r="I1848" s="29" t="str">
        <f t="shared" si="141"/>
        <v>ZK384180</v>
      </c>
      <c r="J1848" s="59">
        <f t="shared" ca="1" si="142"/>
        <v>45985</v>
      </c>
      <c r="K1848" s="30">
        <f ca="1">LOOKUP(A1848,'QALS - Inspection Lot Record'!A:A,'QALS - Inspection Lot Record'!I:I)</f>
        <v>0.50774305555555554</v>
      </c>
      <c r="L1848" s="59">
        <f t="shared" ca="1" si="143"/>
        <v>45985</v>
      </c>
      <c r="M1848" s="30">
        <f t="shared" ca="1" si="144"/>
        <v>0.5417129629629629</v>
      </c>
      <c r="N1848" s="31"/>
      <c r="O1848" s="31">
        <v>78.8</v>
      </c>
      <c r="P1848" s="29">
        <v>80</v>
      </c>
      <c r="Q1848" s="29">
        <v>90</v>
      </c>
    </row>
    <row r="1849" spans="1:17" x14ac:dyDescent="0.35">
      <c r="A1849" s="26">
        <v>40000002731</v>
      </c>
      <c r="B1849" s="31">
        <v>1</v>
      </c>
      <c r="C1849" s="29" t="str">
        <f>LOOKUP(A1849,'QALS - Inspection Lot Record'!$A$2:$A$361,'QALS - Inspection Lot Record'!$O$2:$O$361)</f>
        <v>Metformin Tablets (200 MG)</v>
      </c>
      <c r="D1849" s="31">
        <v>80</v>
      </c>
      <c r="E1849" s="29" t="s">
        <v>407</v>
      </c>
      <c r="F1849" s="29" t="str">
        <f>LOOKUP(A1849,'QALS - Inspection Lot Record'!A:A,'QALS - Inspection Lot Record'!G:G)</f>
        <v>ZK384180</v>
      </c>
      <c r="G1849" s="59">
        <f ca="1">LOOKUP(A1849,'QALS - Inspection Lot Record'!A:A,'QALS - Inspection Lot Record'!E:E)</f>
        <v>45985</v>
      </c>
      <c r="H1849" s="34" t="str">
        <f t="shared" si="145"/>
        <v>A</v>
      </c>
      <c r="I1849" s="29" t="str">
        <f t="shared" si="141"/>
        <v>ZK384180</v>
      </c>
      <c r="J1849" s="59">
        <f t="shared" ca="1" si="142"/>
        <v>45985</v>
      </c>
      <c r="K1849" s="30">
        <f ca="1">LOOKUP(A1849,'QALS - Inspection Lot Record'!A:A,'QALS - Inspection Lot Record'!I:I)</f>
        <v>0.50774305555555554</v>
      </c>
      <c r="L1849" s="59">
        <f t="shared" ca="1" si="143"/>
        <v>45985</v>
      </c>
      <c r="M1849" s="30">
        <f t="shared" ca="1" si="144"/>
        <v>0.53310185185185188</v>
      </c>
      <c r="N1849" s="31"/>
      <c r="O1849" s="31">
        <v>24</v>
      </c>
      <c r="P1849" s="29">
        <v>23</v>
      </c>
      <c r="Q1849" s="29">
        <v>28</v>
      </c>
    </row>
    <row r="1850" spans="1:17" x14ac:dyDescent="0.35">
      <c r="A1850" s="26">
        <v>40000002732</v>
      </c>
      <c r="B1850" s="27">
        <v>1</v>
      </c>
      <c r="C1850" s="29" t="str">
        <f>LOOKUP(A1850,'QALS - Inspection Lot Record'!$A$2:$A$361,'QALS - Inspection Lot Record'!$O$2:$O$361)</f>
        <v>Metformin Tablets (500 MG)</v>
      </c>
      <c r="D1850" s="27">
        <v>10</v>
      </c>
      <c r="E1850" s="26" t="s">
        <v>399</v>
      </c>
      <c r="F1850" s="29" t="str">
        <f>LOOKUP(A1850,'QALS - Inspection Lot Record'!A:A,'QALS - Inspection Lot Record'!G:G)</f>
        <v>YA284176</v>
      </c>
      <c r="G1850" s="59">
        <f ca="1">LOOKUP(A1850,'QALS - Inspection Lot Record'!A:A,'QALS - Inspection Lot Record'!E:E)</f>
        <v>45985</v>
      </c>
      <c r="H1850" s="34" t="str">
        <f t="shared" si="145"/>
        <v>R</v>
      </c>
      <c r="I1850" s="29" t="str">
        <f t="shared" si="141"/>
        <v>YA284176</v>
      </c>
      <c r="J1850" s="59">
        <f t="shared" ca="1" si="142"/>
        <v>45985</v>
      </c>
      <c r="K1850" s="30">
        <f ca="1">LOOKUP(A1850,'QALS - Inspection Lot Record'!A:A,'QALS - Inspection Lot Record'!I:I)</f>
        <v>0.1544675925925926</v>
      </c>
      <c r="L1850" s="59">
        <f t="shared" ca="1" si="143"/>
        <v>45985</v>
      </c>
      <c r="M1850" s="30">
        <f t="shared" ca="1" si="144"/>
        <v>0.18113425925925927</v>
      </c>
      <c r="N1850" s="31"/>
      <c r="O1850" s="31">
        <v>93.7</v>
      </c>
      <c r="P1850" s="29">
        <v>95</v>
      </c>
      <c r="Q1850" s="29">
        <v>105</v>
      </c>
    </row>
    <row r="1851" spans="1:17" x14ac:dyDescent="0.35">
      <c r="A1851" s="26">
        <v>40000002732</v>
      </c>
      <c r="B1851" s="27">
        <v>1</v>
      </c>
      <c r="C1851" s="29" t="str">
        <f>LOOKUP(A1851,'QALS - Inspection Lot Record'!$A$2:$A$361,'QALS - Inspection Lot Record'!$O$2:$O$361)</f>
        <v>Metformin Tablets (500 MG)</v>
      </c>
      <c r="D1851" s="31">
        <v>20</v>
      </c>
      <c r="E1851" s="29" t="s">
        <v>400</v>
      </c>
      <c r="F1851" s="29" t="str">
        <f>LOOKUP(A1851,'QALS - Inspection Lot Record'!A:A,'QALS - Inspection Lot Record'!G:G)</f>
        <v>YA284176</v>
      </c>
      <c r="G1851" s="59">
        <f ca="1">LOOKUP(A1851,'QALS - Inspection Lot Record'!A:A,'QALS - Inspection Lot Record'!E:E)</f>
        <v>45985</v>
      </c>
      <c r="H1851" s="34" t="str">
        <f t="shared" si="145"/>
        <v>A</v>
      </c>
      <c r="I1851" s="29" t="str">
        <f t="shared" si="141"/>
        <v>YA284176</v>
      </c>
      <c r="J1851" s="59">
        <f t="shared" ca="1" si="142"/>
        <v>45985</v>
      </c>
      <c r="K1851" s="30">
        <f ca="1">LOOKUP(A1851,'QALS - Inspection Lot Record'!A:A,'QALS - Inspection Lot Record'!I:I)</f>
        <v>0.1544675925925926</v>
      </c>
      <c r="L1851" s="59">
        <f t="shared" ca="1" si="143"/>
        <v>45985</v>
      </c>
      <c r="M1851" s="30">
        <f t="shared" ca="1" si="144"/>
        <v>0.18671296296296297</v>
      </c>
      <c r="N1851" s="31"/>
      <c r="O1851" s="31">
        <v>7.25</v>
      </c>
      <c r="P1851" s="29">
        <v>3.5</v>
      </c>
      <c r="Q1851" s="29">
        <v>11</v>
      </c>
    </row>
    <row r="1852" spans="1:17" x14ac:dyDescent="0.35">
      <c r="A1852" s="26">
        <v>40000002732</v>
      </c>
      <c r="B1852" s="31">
        <v>1</v>
      </c>
      <c r="C1852" s="29" t="str">
        <f>LOOKUP(A1852,'QALS - Inspection Lot Record'!$A$2:$A$361,'QALS - Inspection Lot Record'!$O$2:$O$361)</f>
        <v>Metformin Tablets (500 MG)</v>
      </c>
      <c r="D1852" s="31">
        <v>30</v>
      </c>
      <c r="E1852" s="29" t="s">
        <v>401</v>
      </c>
      <c r="F1852" s="29" t="str">
        <f>LOOKUP(A1852,'QALS - Inspection Lot Record'!A:A,'QALS - Inspection Lot Record'!G:G)</f>
        <v>YA284176</v>
      </c>
      <c r="G1852" s="59">
        <f ca="1">LOOKUP(A1852,'QALS - Inspection Lot Record'!A:A,'QALS - Inspection Lot Record'!E:E)</f>
        <v>45985</v>
      </c>
      <c r="H1852" s="34" t="str">
        <f t="shared" si="145"/>
        <v>A</v>
      </c>
      <c r="I1852" s="29" t="str">
        <f t="shared" si="141"/>
        <v>YA284176</v>
      </c>
      <c r="J1852" s="59">
        <f t="shared" ca="1" si="142"/>
        <v>45985</v>
      </c>
      <c r="K1852" s="30">
        <f ca="1">LOOKUP(A1852,'QALS - Inspection Lot Record'!A:A,'QALS - Inspection Lot Record'!I:I)</f>
        <v>0.1544675925925926</v>
      </c>
      <c r="L1852" s="59">
        <f t="shared" ca="1" si="143"/>
        <v>45985</v>
      </c>
      <c r="M1852" s="30">
        <f t="shared" ca="1" si="144"/>
        <v>0.17561342592592594</v>
      </c>
      <c r="N1852" s="11" t="s">
        <v>402</v>
      </c>
      <c r="O1852" s="31"/>
      <c r="P1852" s="29"/>
      <c r="Q1852" s="29"/>
    </row>
    <row r="1853" spans="1:17" x14ac:dyDescent="0.35">
      <c r="A1853" s="26">
        <v>40000002732</v>
      </c>
      <c r="B1853" s="31">
        <v>1</v>
      </c>
      <c r="C1853" s="29" t="str">
        <f>LOOKUP(A1853,'QALS - Inspection Lot Record'!$A$2:$A$361,'QALS - Inspection Lot Record'!$O$2:$O$361)</f>
        <v>Metformin Tablets (500 MG)</v>
      </c>
      <c r="D1853" s="31">
        <v>40</v>
      </c>
      <c r="E1853" s="29" t="s">
        <v>403</v>
      </c>
      <c r="F1853" s="29" t="str">
        <f>LOOKUP(A1853,'QALS - Inspection Lot Record'!A:A,'QALS - Inspection Lot Record'!G:G)</f>
        <v>YA284176</v>
      </c>
      <c r="G1853" s="59">
        <f ca="1">LOOKUP(A1853,'QALS - Inspection Lot Record'!A:A,'QALS - Inspection Lot Record'!E:E)</f>
        <v>45985</v>
      </c>
      <c r="H1853" s="34" t="str">
        <f t="shared" si="145"/>
        <v>A</v>
      </c>
      <c r="I1853" s="29" t="str">
        <f t="shared" si="141"/>
        <v>YA284176</v>
      </c>
      <c r="J1853" s="59">
        <f t="shared" ca="1" si="142"/>
        <v>45985</v>
      </c>
      <c r="K1853" s="30">
        <f ca="1">LOOKUP(A1853,'QALS - Inspection Lot Record'!A:A,'QALS - Inspection Lot Record'!I:I)</f>
        <v>0.1544675925925926</v>
      </c>
      <c r="L1853" s="59">
        <f t="shared" ca="1" si="143"/>
        <v>45985</v>
      </c>
      <c r="M1853" s="30">
        <f t="shared" ca="1" si="144"/>
        <v>0.17193287037037039</v>
      </c>
      <c r="N1853" s="31"/>
      <c r="O1853" s="31">
        <v>1.6</v>
      </c>
      <c r="P1853" s="29">
        <v>0</v>
      </c>
      <c r="Q1853" s="29">
        <v>2</v>
      </c>
    </row>
    <row r="1854" spans="1:17" x14ac:dyDescent="0.35">
      <c r="A1854" s="26">
        <v>40000002732</v>
      </c>
      <c r="B1854" s="31">
        <v>1</v>
      </c>
      <c r="C1854" s="29" t="str">
        <f>LOOKUP(A1854,'QALS - Inspection Lot Record'!$A$2:$A$361,'QALS - Inspection Lot Record'!$O$2:$O$361)</f>
        <v>Metformin Tablets (500 MG)</v>
      </c>
      <c r="D1854" s="31">
        <v>50</v>
      </c>
      <c r="E1854" s="29" t="s">
        <v>404</v>
      </c>
      <c r="F1854" s="29" t="str">
        <f>LOOKUP(A1854,'QALS - Inspection Lot Record'!A:A,'QALS - Inspection Lot Record'!G:G)</f>
        <v>YA284176</v>
      </c>
      <c r="G1854" s="59">
        <f ca="1">LOOKUP(A1854,'QALS - Inspection Lot Record'!A:A,'QALS - Inspection Lot Record'!E:E)</f>
        <v>45985</v>
      </c>
      <c r="H1854" s="34" t="str">
        <f t="shared" si="145"/>
        <v>A</v>
      </c>
      <c r="I1854" s="29" t="str">
        <f t="shared" si="141"/>
        <v>YA284176</v>
      </c>
      <c r="J1854" s="59">
        <f t="shared" ca="1" si="142"/>
        <v>45985</v>
      </c>
      <c r="K1854" s="30">
        <f ca="1">LOOKUP(A1854,'QALS - Inspection Lot Record'!A:A,'QALS - Inspection Lot Record'!I:I)</f>
        <v>0.1544675925925926</v>
      </c>
      <c r="L1854" s="59">
        <f t="shared" ca="1" si="143"/>
        <v>45985</v>
      </c>
      <c r="M1854" s="30">
        <f t="shared" ca="1" si="144"/>
        <v>0.17329861111111111</v>
      </c>
      <c r="N1854" s="31"/>
      <c r="O1854" s="31">
        <v>42</v>
      </c>
      <c r="P1854" s="29">
        <v>40</v>
      </c>
      <c r="Q1854" s="29">
        <v>60</v>
      </c>
    </row>
    <row r="1855" spans="1:17" x14ac:dyDescent="0.35">
      <c r="A1855" s="26">
        <v>40000002732</v>
      </c>
      <c r="B1855" s="31">
        <v>1</v>
      </c>
      <c r="C1855" s="29" t="str">
        <f>LOOKUP(A1855,'QALS - Inspection Lot Record'!$A$2:$A$361,'QALS - Inspection Lot Record'!$O$2:$O$361)</f>
        <v>Metformin Tablets (500 MG)</v>
      </c>
      <c r="D1855" s="31">
        <v>60</v>
      </c>
      <c r="E1855" s="29" t="s">
        <v>405</v>
      </c>
      <c r="F1855" s="29" t="str">
        <f>LOOKUP(A1855,'QALS - Inspection Lot Record'!A:A,'QALS - Inspection Lot Record'!G:G)</f>
        <v>YA284176</v>
      </c>
      <c r="G1855" s="59">
        <f ca="1">LOOKUP(A1855,'QALS - Inspection Lot Record'!A:A,'QALS - Inspection Lot Record'!E:E)</f>
        <v>45985</v>
      </c>
      <c r="H1855" s="34" t="str">
        <f t="shared" si="145"/>
        <v>R</v>
      </c>
      <c r="I1855" s="29" t="str">
        <f t="shared" si="141"/>
        <v>YA284176</v>
      </c>
      <c r="J1855" s="59">
        <f t="shared" ca="1" si="142"/>
        <v>45985</v>
      </c>
      <c r="K1855" s="30">
        <f ca="1">LOOKUP(A1855,'QALS - Inspection Lot Record'!A:A,'QALS - Inspection Lot Record'!I:I)</f>
        <v>0.1544675925925926</v>
      </c>
      <c r="L1855" s="59">
        <f t="shared" ca="1" si="143"/>
        <v>45985</v>
      </c>
      <c r="M1855" s="30">
        <f t="shared" ca="1" si="144"/>
        <v>0.18903935185185186</v>
      </c>
      <c r="N1855" s="31"/>
      <c r="O1855" s="31">
        <v>68.400000000000006</v>
      </c>
      <c r="P1855" s="29">
        <v>70</v>
      </c>
      <c r="Q1855" s="29">
        <v>85</v>
      </c>
    </row>
    <row r="1856" spans="1:17" x14ac:dyDescent="0.35">
      <c r="A1856" s="26">
        <v>40000002732</v>
      </c>
      <c r="B1856" s="31">
        <v>1</v>
      </c>
      <c r="C1856" s="29" t="str">
        <f>LOOKUP(A1856,'QALS - Inspection Lot Record'!$A$2:$A$361,'QALS - Inspection Lot Record'!$O$2:$O$361)</f>
        <v>Metformin Tablets (500 MG)</v>
      </c>
      <c r="D1856" s="31">
        <v>70</v>
      </c>
      <c r="E1856" s="29" t="s">
        <v>406</v>
      </c>
      <c r="F1856" s="29" t="str">
        <f>LOOKUP(A1856,'QALS - Inspection Lot Record'!A:A,'QALS - Inspection Lot Record'!G:G)</f>
        <v>YA284176</v>
      </c>
      <c r="G1856" s="59">
        <f ca="1">LOOKUP(A1856,'QALS - Inspection Lot Record'!A:A,'QALS - Inspection Lot Record'!E:E)</f>
        <v>45985</v>
      </c>
      <c r="H1856" s="34" t="str">
        <f t="shared" si="145"/>
        <v>A</v>
      </c>
      <c r="I1856" s="29" t="str">
        <f t="shared" si="141"/>
        <v>YA284176</v>
      </c>
      <c r="J1856" s="59">
        <f t="shared" ca="1" si="142"/>
        <v>45985</v>
      </c>
      <c r="K1856" s="30">
        <f ca="1">LOOKUP(A1856,'QALS - Inspection Lot Record'!A:A,'QALS - Inspection Lot Record'!I:I)</f>
        <v>0.1544675925925926</v>
      </c>
      <c r="L1856" s="59">
        <f t="shared" ca="1" si="143"/>
        <v>45985</v>
      </c>
      <c r="M1856" s="30">
        <f t="shared" ca="1" si="144"/>
        <v>0.17287037037037037</v>
      </c>
      <c r="N1856" s="31"/>
      <c r="O1856" s="31">
        <v>83</v>
      </c>
      <c r="P1856" s="29">
        <v>80</v>
      </c>
      <c r="Q1856" s="29">
        <v>90</v>
      </c>
    </row>
    <row r="1857" spans="1:17" x14ac:dyDescent="0.35">
      <c r="A1857" s="26">
        <v>40000002732</v>
      </c>
      <c r="B1857" s="31">
        <v>1</v>
      </c>
      <c r="C1857" s="29" t="str">
        <f>LOOKUP(A1857,'QALS - Inspection Lot Record'!$A$2:$A$361,'QALS - Inspection Lot Record'!$O$2:$O$361)</f>
        <v>Metformin Tablets (500 MG)</v>
      </c>
      <c r="D1857" s="31">
        <v>80</v>
      </c>
      <c r="E1857" s="29" t="s">
        <v>407</v>
      </c>
      <c r="F1857" s="29" t="str">
        <f>LOOKUP(A1857,'QALS - Inspection Lot Record'!A:A,'QALS - Inspection Lot Record'!G:G)</f>
        <v>YA284176</v>
      </c>
      <c r="G1857" s="59">
        <f ca="1">LOOKUP(A1857,'QALS - Inspection Lot Record'!A:A,'QALS - Inspection Lot Record'!E:E)</f>
        <v>45985</v>
      </c>
      <c r="H1857" s="34" t="str">
        <f t="shared" si="145"/>
        <v>A</v>
      </c>
      <c r="I1857" s="29" t="str">
        <f t="shared" si="141"/>
        <v>YA284176</v>
      </c>
      <c r="J1857" s="59">
        <f t="shared" ca="1" si="142"/>
        <v>45985</v>
      </c>
      <c r="K1857" s="30">
        <f ca="1">LOOKUP(A1857,'QALS - Inspection Lot Record'!A:A,'QALS - Inspection Lot Record'!I:I)</f>
        <v>0.1544675925925926</v>
      </c>
      <c r="L1857" s="59">
        <f t="shared" ca="1" si="143"/>
        <v>45985</v>
      </c>
      <c r="M1857" s="30">
        <f t="shared" ca="1" si="144"/>
        <v>0.17346064814814816</v>
      </c>
      <c r="N1857" s="31"/>
      <c r="O1857" s="31">
        <v>25</v>
      </c>
      <c r="P1857" s="29">
        <v>23</v>
      </c>
      <c r="Q1857" s="29">
        <v>28</v>
      </c>
    </row>
    <row r="1858" spans="1:17" x14ac:dyDescent="0.35">
      <c r="A1858" s="26">
        <v>40000002733</v>
      </c>
      <c r="B1858" s="27">
        <v>1</v>
      </c>
      <c r="C1858" s="29" t="str">
        <f>LOOKUP(A1858,'QALS - Inspection Lot Record'!$A$2:$A$361,'QALS - Inspection Lot Record'!$O$2:$O$361)</f>
        <v>Metformin Tablets (100 MG)</v>
      </c>
      <c r="D1858" s="27">
        <v>10</v>
      </c>
      <c r="E1858" s="26" t="s">
        <v>399</v>
      </c>
      <c r="F1858" s="29" t="str">
        <f>LOOKUP(A1858,'QALS - Inspection Lot Record'!A:A,'QALS - Inspection Lot Record'!G:G)</f>
        <v>TP397880</v>
      </c>
      <c r="G1858" s="59">
        <f ca="1">LOOKUP(A1858,'QALS - Inspection Lot Record'!A:A,'QALS - Inspection Lot Record'!E:E)</f>
        <v>45986</v>
      </c>
      <c r="H1858" s="34" t="str">
        <f t="shared" si="145"/>
        <v>A</v>
      </c>
      <c r="I1858" s="29" t="str">
        <f t="shared" ref="I1858:I1921" si="146">F1858</f>
        <v>TP397880</v>
      </c>
      <c r="J1858" s="59">
        <f t="shared" ref="J1858:J1921" ca="1" si="147">G1858</f>
        <v>45986</v>
      </c>
      <c r="K1858" s="30">
        <f ca="1">LOOKUP(A1858,'QALS - Inspection Lot Record'!A:A,'QALS - Inspection Lot Record'!I:I)</f>
        <v>0.55807870370370372</v>
      </c>
      <c r="L1858" s="59">
        <f t="shared" ref="L1858:L1921" ca="1" si="148">G1858</f>
        <v>45986</v>
      </c>
      <c r="M1858" s="30">
        <f t="shared" ref="M1858:M1921" ca="1" si="149">K1858+TIME(0,RANDBETWEEN(25,50),RANDBETWEEN(0,59))</f>
        <v>0.58018518518518525</v>
      </c>
      <c r="N1858" s="31"/>
      <c r="O1858" s="31">
        <v>98.5</v>
      </c>
      <c r="P1858" s="29">
        <v>95</v>
      </c>
      <c r="Q1858" s="29">
        <v>102</v>
      </c>
    </row>
    <row r="1859" spans="1:17" x14ac:dyDescent="0.35">
      <c r="A1859" s="26">
        <v>40000002733</v>
      </c>
      <c r="B1859" s="27">
        <v>1</v>
      </c>
      <c r="C1859" s="29" t="str">
        <f>LOOKUP(A1859,'QALS - Inspection Lot Record'!$A$2:$A$361,'QALS - Inspection Lot Record'!$O$2:$O$361)</f>
        <v>Metformin Tablets (100 MG)</v>
      </c>
      <c r="D1859" s="31">
        <v>20</v>
      </c>
      <c r="E1859" s="29" t="s">
        <v>400</v>
      </c>
      <c r="F1859" s="29" t="str">
        <f>LOOKUP(A1859,'QALS - Inspection Lot Record'!A:A,'QALS - Inspection Lot Record'!G:G)</f>
        <v>TP397880</v>
      </c>
      <c r="G1859" s="59">
        <f ca="1">LOOKUP(A1859,'QALS - Inspection Lot Record'!A:A,'QALS - Inspection Lot Record'!E:E)</f>
        <v>45986</v>
      </c>
      <c r="H1859" s="34" t="str">
        <f t="shared" si="145"/>
        <v>A</v>
      </c>
      <c r="I1859" s="29" t="str">
        <f t="shared" si="146"/>
        <v>TP397880</v>
      </c>
      <c r="J1859" s="59">
        <f t="shared" ca="1" si="147"/>
        <v>45986</v>
      </c>
      <c r="K1859" s="30">
        <f ca="1">LOOKUP(A1859,'QALS - Inspection Lot Record'!A:A,'QALS - Inspection Lot Record'!I:I)</f>
        <v>0.55807870370370372</v>
      </c>
      <c r="L1859" s="59">
        <f t="shared" ca="1" si="148"/>
        <v>45986</v>
      </c>
      <c r="M1859" s="30">
        <f t="shared" ca="1" si="149"/>
        <v>0.59208333333333329</v>
      </c>
      <c r="N1859" s="31"/>
      <c r="O1859" s="31">
        <v>7.25</v>
      </c>
      <c r="P1859" s="29">
        <v>3.5</v>
      </c>
      <c r="Q1859" s="29">
        <v>11</v>
      </c>
    </row>
    <row r="1860" spans="1:17" x14ac:dyDescent="0.35">
      <c r="A1860" s="26">
        <v>40000002733</v>
      </c>
      <c r="B1860" s="31">
        <v>1</v>
      </c>
      <c r="C1860" s="29" t="str">
        <f>LOOKUP(A1860,'QALS - Inspection Lot Record'!$A$2:$A$361,'QALS - Inspection Lot Record'!$O$2:$O$361)</f>
        <v>Metformin Tablets (100 MG)</v>
      </c>
      <c r="D1860" s="31">
        <v>30</v>
      </c>
      <c r="E1860" s="29" t="s">
        <v>401</v>
      </c>
      <c r="F1860" s="29" t="str">
        <f>LOOKUP(A1860,'QALS - Inspection Lot Record'!A:A,'QALS - Inspection Lot Record'!G:G)</f>
        <v>TP397880</v>
      </c>
      <c r="G1860" s="59">
        <f ca="1">LOOKUP(A1860,'QALS - Inspection Lot Record'!A:A,'QALS - Inspection Lot Record'!E:E)</f>
        <v>45986</v>
      </c>
      <c r="H1860" s="34" t="str">
        <f t="shared" si="145"/>
        <v>A</v>
      </c>
      <c r="I1860" s="29" t="str">
        <f t="shared" si="146"/>
        <v>TP397880</v>
      </c>
      <c r="J1860" s="59">
        <f t="shared" ca="1" si="147"/>
        <v>45986</v>
      </c>
      <c r="K1860" s="30">
        <f ca="1">LOOKUP(A1860,'QALS - Inspection Lot Record'!A:A,'QALS - Inspection Lot Record'!I:I)</f>
        <v>0.55807870370370372</v>
      </c>
      <c r="L1860" s="59">
        <f t="shared" ca="1" si="148"/>
        <v>45986</v>
      </c>
      <c r="M1860" s="30">
        <f t="shared" ca="1" si="149"/>
        <v>0.5851736111111111</v>
      </c>
      <c r="N1860" s="11" t="s">
        <v>402</v>
      </c>
      <c r="O1860" s="31"/>
      <c r="P1860" s="29"/>
      <c r="Q1860" s="29"/>
    </row>
    <row r="1861" spans="1:17" x14ac:dyDescent="0.35">
      <c r="A1861" s="26">
        <v>40000002733</v>
      </c>
      <c r="B1861" s="31">
        <v>1</v>
      </c>
      <c r="C1861" s="29" t="str">
        <f>LOOKUP(A1861,'QALS - Inspection Lot Record'!$A$2:$A$361,'QALS - Inspection Lot Record'!$O$2:$O$361)</f>
        <v>Metformin Tablets (100 MG)</v>
      </c>
      <c r="D1861" s="31">
        <v>40</v>
      </c>
      <c r="E1861" s="29" t="s">
        <v>403</v>
      </c>
      <c r="F1861" s="29" t="str">
        <f>LOOKUP(A1861,'QALS - Inspection Lot Record'!A:A,'QALS - Inspection Lot Record'!G:G)</f>
        <v>TP397880</v>
      </c>
      <c r="G1861" s="59">
        <f ca="1">LOOKUP(A1861,'QALS - Inspection Lot Record'!A:A,'QALS - Inspection Lot Record'!E:E)</f>
        <v>45986</v>
      </c>
      <c r="H1861" s="34" t="str">
        <f t="shared" si="145"/>
        <v>A</v>
      </c>
      <c r="I1861" s="29" t="str">
        <f t="shared" si="146"/>
        <v>TP397880</v>
      </c>
      <c r="J1861" s="59">
        <f t="shared" ca="1" si="147"/>
        <v>45986</v>
      </c>
      <c r="K1861" s="30">
        <f ca="1">LOOKUP(A1861,'QALS - Inspection Lot Record'!A:A,'QALS - Inspection Lot Record'!I:I)</f>
        <v>0.55807870370370372</v>
      </c>
      <c r="L1861" s="59">
        <f t="shared" ca="1" si="148"/>
        <v>45986</v>
      </c>
      <c r="M1861" s="30">
        <f t="shared" ca="1" si="149"/>
        <v>0.58180555555555558</v>
      </c>
      <c r="N1861" s="31"/>
      <c r="O1861" s="31">
        <v>0</v>
      </c>
      <c r="P1861" s="29">
        <v>0</v>
      </c>
      <c r="Q1861" s="29">
        <v>1</v>
      </c>
    </row>
    <row r="1862" spans="1:17" x14ac:dyDescent="0.35">
      <c r="A1862" s="26">
        <v>40000002733</v>
      </c>
      <c r="B1862" s="31">
        <v>1</v>
      </c>
      <c r="C1862" s="29" t="str">
        <f>LOOKUP(A1862,'QALS - Inspection Lot Record'!$A$2:$A$361,'QALS - Inspection Lot Record'!$O$2:$O$361)</f>
        <v>Metformin Tablets (100 MG)</v>
      </c>
      <c r="D1862" s="31">
        <v>50</v>
      </c>
      <c r="E1862" s="29" t="s">
        <v>404</v>
      </c>
      <c r="F1862" s="29" t="str">
        <f>LOOKUP(A1862,'QALS - Inspection Lot Record'!A:A,'QALS - Inspection Lot Record'!G:G)</f>
        <v>TP397880</v>
      </c>
      <c r="G1862" s="59">
        <f ca="1">LOOKUP(A1862,'QALS - Inspection Lot Record'!A:A,'QALS - Inspection Lot Record'!E:E)</f>
        <v>45986</v>
      </c>
      <c r="H1862" s="34" t="str">
        <f t="shared" si="145"/>
        <v>A</v>
      </c>
      <c r="I1862" s="29" t="str">
        <f t="shared" si="146"/>
        <v>TP397880</v>
      </c>
      <c r="J1862" s="59">
        <f t="shared" ca="1" si="147"/>
        <v>45986</v>
      </c>
      <c r="K1862" s="30">
        <f ca="1">LOOKUP(A1862,'QALS - Inspection Lot Record'!A:A,'QALS - Inspection Lot Record'!I:I)</f>
        <v>0.55807870370370372</v>
      </c>
      <c r="L1862" s="59">
        <f t="shared" ca="1" si="148"/>
        <v>45986</v>
      </c>
      <c r="M1862" s="30">
        <f t="shared" ca="1" si="149"/>
        <v>0.58523148148148152</v>
      </c>
      <c r="N1862" s="31"/>
      <c r="O1862" s="31">
        <v>50</v>
      </c>
      <c r="P1862" s="29">
        <v>40</v>
      </c>
      <c r="Q1862" s="29">
        <v>60</v>
      </c>
    </row>
    <row r="1863" spans="1:17" x14ac:dyDescent="0.35">
      <c r="A1863" s="26">
        <v>40000002733</v>
      </c>
      <c r="B1863" s="31">
        <v>1</v>
      </c>
      <c r="C1863" s="29" t="str">
        <f>LOOKUP(A1863,'QALS - Inspection Lot Record'!$A$2:$A$361,'QALS - Inspection Lot Record'!$O$2:$O$361)</f>
        <v>Metformin Tablets (100 MG)</v>
      </c>
      <c r="D1863" s="31">
        <v>60</v>
      </c>
      <c r="E1863" s="29" t="s">
        <v>405</v>
      </c>
      <c r="F1863" s="29" t="str">
        <f>LOOKUP(A1863,'QALS - Inspection Lot Record'!A:A,'QALS - Inspection Lot Record'!G:G)</f>
        <v>TP397880</v>
      </c>
      <c r="G1863" s="59">
        <f ca="1">LOOKUP(A1863,'QALS - Inspection Lot Record'!A:A,'QALS - Inspection Lot Record'!E:E)</f>
        <v>45986</v>
      </c>
      <c r="H1863" s="34" t="str">
        <f t="shared" si="145"/>
        <v>A</v>
      </c>
      <c r="I1863" s="29" t="str">
        <f t="shared" si="146"/>
        <v>TP397880</v>
      </c>
      <c r="J1863" s="59">
        <f t="shared" ca="1" si="147"/>
        <v>45986</v>
      </c>
      <c r="K1863" s="30">
        <f ca="1">LOOKUP(A1863,'QALS - Inspection Lot Record'!A:A,'QALS - Inspection Lot Record'!I:I)</f>
        <v>0.55807870370370372</v>
      </c>
      <c r="L1863" s="59">
        <f t="shared" ca="1" si="148"/>
        <v>45986</v>
      </c>
      <c r="M1863" s="30">
        <f t="shared" ca="1" si="149"/>
        <v>0.57640046296296299</v>
      </c>
      <c r="N1863" s="31"/>
      <c r="O1863" s="31">
        <v>71.8</v>
      </c>
      <c r="P1863" s="29">
        <v>70</v>
      </c>
      <c r="Q1863" s="29">
        <v>85</v>
      </c>
    </row>
    <row r="1864" spans="1:17" x14ac:dyDescent="0.35">
      <c r="A1864" s="26">
        <v>40000002733</v>
      </c>
      <c r="B1864" s="31">
        <v>1</v>
      </c>
      <c r="C1864" s="29" t="str">
        <f>LOOKUP(A1864,'QALS - Inspection Lot Record'!$A$2:$A$361,'QALS - Inspection Lot Record'!$O$2:$O$361)</f>
        <v>Metformin Tablets (100 MG)</v>
      </c>
      <c r="D1864" s="31">
        <v>70</v>
      </c>
      <c r="E1864" s="29" t="s">
        <v>406</v>
      </c>
      <c r="F1864" s="29" t="str">
        <f>LOOKUP(A1864,'QALS - Inspection Lot Record'!A:A,'QALS - Inspection Lot Record'!G:G)</f>
        <v>TP397880</v>
      </c>
      <c r="G1864" s="59">
        <f ca="1">LOOKUP(A1864,'QALS - Inspection Lot Record'!A:A,'QALS - Inspection Lot Record'!E:E)</f>
        <v>45986</v>
      </c>
      <c r="H1864" s="34" t="str">
        <f t="shared" si="145"/>
        <v>A</v>
      </c>
      <c r="I1864" s="29" t="str">
        <f t="shared" si="146"/>
        <v>TP397880</v>
      </c>
      <c r="J1864" s="59">
        <f t="shared" ca="1" si="147"/>
        <v>45986</v>
      </c>
      <c r="K1864" s="30">
        <f ca="1">LOOKUP(A1864,'QALS - Inspection Lot Record'!A:A,'QALS - Inspection Lot Record'!I:I)</f>
        <v>0.55807870370370372</v>
      </c>
      <c r="L1864" s="59">
        <f t="shared" ca="1" si="148"/>
        <v>45986</v>
      </c>
      <c r="M1864" s="30">
        <f t="shared" ca="1" si="149"/>
        <v>0.58626157407407409</v>
      </c>
      <c r="N1864" s="31"/>
      <c r="O1864" s="31">
        <v>81.400000000000006</v>
      </c>
      <c r="P1864" s="29">
        <v>80</v>
      </c>
      <c r="Q1864" s="29">
        <v>90</v>
      </c>
    </row>
    <row r="1865" spans="1:17" x14ac:dyDescent="0.35">
      <c r="A1865" s="26">
        <v>40000002733</v>
      </c>
      <c r="B1865" s="31">
        <v>1</v>
      </c>
      <c r="C1865" s="29" t="str">
        <f>LOOKUP(A1865,'QALS - Inspection Lot Record'!$A$2:$A$361,'QALS - Inspection Lot Record'!$O$2:$O$361)</f>
        <v>Metformin Tablets (100 MG)</v>
      </c>
      <c r="D1865" s="31">
        <v>80</v>
      </c>
      <c r="E1865" s="29" t="s">
        <v>407</v>
      </c>
      <c r="F1865" s="29" t="str">
        <f>LOOKUP(A1865,'QALS - Inspection Lot Record'!A:A,'QALS - Inspection Lot Record'!G:G)</f>
        <v>TP397880</v>
      </c>
      <c r="G1865" s="59">
        <f ca="1">LOOKUP(A1865,'QALS - Inspection Lot Record'!A:A,'QALS - Inspection Lot Record'!E:E)</f>
        <v>45986</v>
      </c>
      <c r="H1865" s="34" t="str">
        <f t="shared" si="145"/>
        <v>A</v>
      </c>
      <c r="I1865" s="29" t="str">
        <f t="shared" si="146"/>
        <v>TP397880</v>
      </c>
      <c r="J1865" s="59">
        <f t="shared" ca="1" si="147"/>
        <v>45986</v>
      </c>
      <c r="K1865" s="30">
        <f ca="1">LOOKUP(A1865,'QALS - Inspection Lot Record'!A:A,'QALS - Inspection Lot Record'!I:I)</f>
        <v>0.55807870370370372</v>
      </c>
      <c r="L1865" s="59">
        <f t="shared" ca="1" si="148"/>
        <v>45986</v>
      </c>
      <c r="M1865" s="30">
        <f t="shared" ca="1" si="149"/>
        <v>0.58752314814814821</v>
      </c>
      <c r="N1865" s="31"/>
      <c r="O1865" s="31">
        <v>24</v>
      </c>
      <c r="P1865" s="29">
        <v>23</v>
      </c>
      <c r="Q1865" s="29">
        <v>25</v>
      </c>
    </row>
    <row r="1866" spans="1:17" x14ac:dyDescent="0.35">
      <c r="A1866" s="26">
        <v>40000002734</v>
      </c>
      <c r="B1866" s="27">
        <v>1</v>
      </c>
      <c r="C1866" s="29" t="str">
        <f>LOOKUP(A1866,'QALS - Inspection Lot Record'!$A$2:$A$361,'QALS - Inspection Lot Record'!$O$2:$O$361)</f>
        <v>Metformin Tablets (500 MG)</v>
      </c>
      <c r="D1866" s="27">
        <v>10</v>
      </c>
      <c r="E1866" s="26" t="s">
        <v>399</v>
      </c>
      <c r="F1866" s="29" t="str">
        <f>LOOKUP(A1866,'QALS - Inspection Lot Record'!A:A,'QALS - Inspection Lot Record'!G:G)</f>
        <v>YA284176</v>
      </c>
      <c r="G1866" s="59">
        <f ca="1">LOOKUP(A1866,'QALS - Inspection Lot Record'!A:A,'QALS - Inspection Lot Record'!E:E)</f>
        <v>45986</v>
      </c>
      <c r="H1866" s="34" t="str">
        <f t="shared" ref="H1866:H1929" si="150">IF(AND(P1866&lt;=O1866,O1866&lt;=Q1866),"A","R")</f>
        <v>A</v>
      </c>
      <c r="I1866" s="29" t="str">
        <f t="shared" si="146"/>
        <v>YA284176</v>
      </c>
      <c r="J1866" s="59">
        <f t="shared" ca="1" si="147"/>
        <v>45986</v>
      </c>
      <c r="K1866" s="30">
        <f ca="1">LOOKUP(A1866,'QALS - Inspection Lot Record'!A:A,'QALS - Inspection Lot Record'!I:I)</f>
        <v>0.39489583333333333</v>
      </c>
      <c r="L1866" s="59">
        <f t="shared" ca="1" si="148"/>
        <v>45986</v>
      </c>
      <c r="M1866" s="30">
        <f t="shared" ca="1" si="149"/>
        <v>0.42482638888888891</v>
      </c>
      <c r="N1866" s="31"/>
      <c r="O1866" s="31">
        <v>100</v>
      </c>
      <c r="P1866" s="29">
        <v>95</v>
      </c>
      <c r="Q1866" s="29">
        <v>105</v>
      </c>
    </row>
    <row r="1867" spans="1:17" x14ac:dyDescent="0.35">
      <c r="A1867" s="26">
        <v>40000002734</v>
      </c>
      <c r="B1867" s="27">
        <v>1</v>
      </c>
      <c r="C1867" s="29" t="str">
        <f>LOOKUP(A1867,'QALS - Inspection Lot Record'!$A$2:$A$361,'QALS - Inspection Lot Record'!$O$2:$O$361)</f>
        <v>Metformin Tablets (500 MG)</v>
      </c>
      <c r="D1867" s="31">
        <v>20</v>
      </c>
      <c r="E1867" s="29" t="s">
        <v>400</v>
      </c>
      <c r="F1867" s="29" t="str">
        <f>LOOKUP(A1867,'QALS - Inspection Lot Record'!A:A,'QALS - Inspection Lot Record'!G:G)</f>
        <v>YA284176</v>
      </c>
      <c r="G1867" s="59">
        <f ca="1">LOOKUP(A1867,'QALS - Inspection Lot Record'!A:A,'QALS - Inspection Lot Record'!E:E)</f>
        <v>45986</v>
      </c>
      <c r="H1867" s="34" t="str">
        <f t="shared" si="150"/>
        <v>A</v>
      </c>
      <c r="I1867" s="29" t="str">
        <f t="shared" si="146"/>
        <v>YA284176</v>
      </c>
      <c r="J1867" s="59">
        <f t="shared" ca="1" si="147"/>
        <v>45986</v>
      </c>
      <c r="K1867" s="30">
        <f ca="1">LOOKUP(A1867,'QALS - Inspection Lot Record'!A:A,'QALS - Inspection Lot Record'!I:I)</f>
        <v>0.39489583333333333</v>
      </c>
      <c r="L1867" s="59">
        <f t="shared" ca="1" si="148"/>
        <v>45986</v>
      </c>
      <c r="M1867" s="30">
        <f t="shared" ca="1" si="149"/>
        <v>0.42131944444444447</v>
      </c>
      <c r="N1867" s="31"/>
      <c r="O1867" s="31">
        <v>7.25</v>
      </c>
      <c r="P1867" s="29">
        <v>3.5</v>
      </c>
      <c r="Q1867" s="29">
        <v>11</v>
      </c>
    </row>
    <row r="1868" spans="1:17" x14ac:dyDescent="0.35">
      <c r="A1868" s="26">
        <v>40000002734</v>
      </c>
      <c r="B1868" s="31">
        <v>1</v>
      </c>
      <c r="C1868" s="29" t="str">
        <f>LOOKUP(A1868,'QALS - Inspection Lot Record'!$A$2:$A$361,'QALS - Inspection Lot Record'!$O$2:$O$361)</f>
        <v>Metformin Tablets (500 MG)</v>
      </c>
      <c r="D1868" s="31">
        <v>30</v>
      </c>
      <c r="E1868" s="29" t="s">
        <v>401</v>
      </c>
      <c r="F1868" s="29" t="str">
        <f>LOOKUP(A1868,'QALS - Inspection Lot Record'!A:A,'QALS - Inspection Lot Record'!G:G)</f>
        <v>YA284176</v>
      </c>
      <c r="G1868" s="59">
        <f ca="1">LOOKUP(A1868,'QALS - Inspection Lot Record'!A:A,'QALS - Inspection Lot Record'!E:E)</f>
        <v>45986</v>
      </c>
      <c r="H1868" s="34" t="str">
        <f t="shared" si="150"/>
        <v>A</v>
      </c>
      <c r="I1868" s="29" t="str">
        <f t="shared" si="146"/>
        <v>YA284176</v>
      </c>
      <c r="J1868" s="59">
        <f t="shared" ca="1" si="147"/>
        <v>45986</v>
      </c>
      <c r="K1868" s="30">
        <f ca="1">LOOKUP(A1868,'QALS - Inspection Lot Record'!A:A,'QALS - Inspection Lot Record'!I:I)</f>
        <v>0.39489583333333333</v>
      </c>
      <c r="L1868" s="59">
        <f t="shared" ca="1" si="148"/>
        <v>45986</v>
      </c>
      <c r="M1868" s="30">
        <f t="shared" ca="1" si="149"/>
        <v>0.4231597222222222</v>
      </c>
      <c r="N1868" s="11" t="s">
        <v>402</v>
      </c>
      <c r="O1868" s="31"/>
      <c r="P1868" s="29"/>
      <c r="Q1868" s="29"/>
    </row>
    <row r="1869" spans="1:17" x14ac:dyDescent="0.35">
      <c r="A1869" s="26">
        <v>40000002734</v>
      </c>
      <c r="B1869" s="31">
        <v>1</v>
      </c>
      <c r="C1869" s="29" t="str">
        <f>LOOKUP(A1869,'QALS - Inspection Lot Record'!$A$2:$A$361,'QALS - Inspection Lot Record'!$O$2:$O$361)</f>
        <v>Metformin Tablets (500 MG)</v>
      </c>
      <c r="D1869" s="31">
        <v>40</v>
      </c>
      <c r="E1869" s="29" t="s">
        <v>403</v>
      </c>
      <c r="F1869" s="29" t="str">
        <f>LOOKUP(A1869,'QALS - Inspection Lot Record'!A:A,'QALS - Inspection Lot Record'!G:G)</f>
        <v>YA284176</v>
      </c>
      <c r="G1869" s="59">
        <f ca="1">LOOKUP(A1869,'QALS - Inspection Lot Record'!A:A,'QALS - Inspection Lot Record'!E:E)</f>
        <v>45986</v>
      </c>
      <c r="H1869" s="34" t="str">
        <f t="shared" si="150"/>
        <v>A</v>
      </c>
      <c r="I1869" s="29" t="str">
        <f t="shared" si="146"/>
        <v>YA284176</v>
      </c>
      <c r="J1869" s="59">
        <f t="shared" ca="1" si="147"/>
        <v>45986</v>
      </c>
      <c r="K1869" s="30">
        <f ca="1">LOOKUP(A1869,'QALS - Inspection Lot Record'!A:A,'QALS - Inspection Lot Record'!I:I)</f>
        <v>0.39489583333333333</v>
      </c>
      <c r="L1869" s="59">
        <f t="shared" ca="1" si="148"/>
        <v>45986</v>
      </c>
      <c r="M1869" s="30">
        <f t="shared" ca="1" si="149"/>
        <v>0.41822916666666665</v>
      </c>
      <c r="N1869" s="31"/>
      <c r="O1869" s="31">
        <v>0</v>
      </c>
      <c r="P1869" s="29">
        <v>0</v>
      </c>
      <c r="Q1869" s="29">
        <v>2</v>
      </c>
    </row>
    <row r="1870" spans="1:17" x14ac:dyDescent="0.35">
      <c r="A1870" s="26">
        <v>40000002734</v>
      </c>
      <c r="B1870" s="31">
        <v>1</v>
      </c>
      <c r="C1870" s="29" t="str">
        <f>LOOKUP(A1870,'QALS - Inspection Lot Record'!$A$2:$A$361,'QALS - Inspection Lot Record'!$O$2:$O$361)</f>
        <v>Metformin Tablets (500 MG)</v>
      </c>
      <c r="D1870" s="31">
        <v>50</v>
      </c>
      <c r="E1870" s="29" t="s">
        <v>404</v>
      </c>
      <c r="F1870" s="29" t="str">
        <f>LOOKUP(A1870,'QALS - Inspection Lot Record'!A:A,'QALS - Inspection Lot Record'!G:G)</f>
        <v>YA284176</v>
      </c>
      <c r="G1870" s="59">
        <f ca="1">LOOKUP(A1870,'QALS - Inspection Lot Record'!A:A,'QALS - Inspection Lot Record'!E:E)</f>
        <v>45986</v>
      </c>
      <c r="H1870" s="34" t="str">
        <f t="shared" si="150"/>
        <v>A</v>
      </c>
      <c r="I1870" s="29" t="str">
        <f t="shared" si="146"/>
        <v>YA284176</v>
      </c>
      <c r="J1870" s="59">
        <f t="shared" ca="1" si="147"/>
        <v>45986</v>
      </c>
      <c r="K1870" s="30">
        <f ca="1">LOOKUP(A1870,'QALS - Inspection Lot Record'!A:A,'QALS - Inspection Lot Record'!I:I)</f>
        <v>0.39489583333333333</v>
      </c>
      <c r="L1870" s="59">
        <f t="shared" ca="1" si="148"/>
        <v>45986</v>
      </c>
      <c r="M1870" s="30">
        <f t="shared" ca="1" si="149"/>
        <v>0.42895833333333333</v>
      </c>
      <c r="N1870" s="31"/>
      <c r="O1870" s="31">
        <v>50</v>
      </c>
      <c r="P1870" s="29">
        <v>40</v>
      </c>
      <c r="Q1870" s="29">
        <v>60</v>
      </c>
    </row>
    <row r="1871" spans="1:17" x14ac:dyDescent="0.35">
      <c r="A1871" s="26">
        <v>40000002734</v>
      </c>
      <c r="B1871" s="31">
        <v>1</v>
      </c>
      <c r="C1871" s="29" t="str">
        <f>LOOKUP(A1871,'QALS - Inspection Lot Record'!$A$2:$A$361,'QALS - Inspection Lot Record'!$O$2:$O$361)</f>
        <v>Metformin Tablets (500 MG)</v>
      </c>
      <c r="D1871" s="31">
        <v>60</v>
      </c>
      <c r="E1871" s="29" t="s">
        <v>405</v>
      </c>
      <c r="F1871" s="29" t="str">
        <f>LOOKUP(A1871,'QALS - Inspection Lot Record'!A:A,'QALS - Inspection Lot Record'!G:G)</f>
        <v>YA284176</v>
      </c>
      <c r="G1871" s="59">
        <f ca="1">LOOKUP(A1871,'QALS - Inspection Lot Record'!A:A,'QALS - Inspection Lot Record'!E:E)</f>
        <v>45986</v>
      </c>
      <c r="H1871" s="34" t="str">
        <f t="shared" si="150"/>
        <v>A</v>
      </c>
      <c r="I1871" s="29" t="str">
        <f t="shared" si="146"/>
        <v>YA284176</v>
      </c>
      <c r="J1871" s="59">
        <f t="shared" ca="1" si="147"/>
        <v>45986</v>
      </c>
      <c r="K1871" s="30">
        <f ca="1">LOOKUP(A1871,'QALS - Inspection Lot Record'!A:A,'QALS - Inspection Lot Record'!I:I)</f>
        <v>0.39489583333333333</v>
      </c>
      <c r="L1871" s="59">
        <f t="shared" ca="1" si="148"/>
        <v>45986</v>
      </c>
      <c r="M1871" s="30">
        <f t="shared" ca="1" si="149"/>
        <v>0.42834490740740738</v>
      </c>
      <c r="N1871" s="31"/>
      <c r="O1871" s="31">
        <v>77.5</v>
      </c>
      <c r="P1871" s="29">
        <v>70</v>
      </c>
      <c r="Q1871" s="29">
        <v>85</v>
      </c>
    </row>
    <row r="1872" spans="1:17" x14ac:dyDescent="0.35">
      <c r="A1872" s="26">
        <v>40000002734</v>
      </c>
      <c r="B1872" s="31">
        <v>1</v>
      </c>
      <c r="C1872" s="29" t="str">
        <f>LOOKUP(A1872,'QALS - Inspection Lot Record'!$A$2:$A$361,'QALS - Inspection Lot Record'!$O$2:$O$361)</f>
        <v>Metformin Tablets (500 MG)</v>
      </c>
      <c r="D1872" s="31">
        <v>70</v>
      </c>
      <c r="E1872" s="29" t="s">
        <v>406</v>
      </c>
      <c r="F1872" s="29" t="str">
        <f>LOOKUP(A1872,'QALS - Inspection Lot Record'!A:A,'QALS - Inspection Lot Record'!G:G)</f>
        <v>YA284176</v>
      </c>
      <c r="G1872" s="59">
        <f ca="1">LOOKUP(A1872,'QALS - Inspection Lot Record'!A:A,'QALS - Inspection Lot Record'!E:E)</f>
        <v>45986</v>
      </c>
      <c r="H1872" s="34" t="str">
        <f t="shared" si="150"/>
        <v>A</v>
      </c>
      <c r="I1872" s="29" t="str">
        <f t="shared" si="146"/>
        <v>YA284176</v>
      </c>
      <c r="J1872" s="59">
        <f t="shared" ca="1" si="147"/>
        <v>45986</v>
      </c>
      <c r="K1872" s="30">
        <f ca="1">LOOKUP(A1872,'QALS - Inspection Lot Record'!A:A,'QALS - Inspection Lot Record'!I:I)</f>
        <v>0.39489583333333333</v>
      </c>
      <c r="L1872" s="59">
        <f t="shared" ca="1" si="148"/>
        <v>45986</v>
      </c>
      <c r="M1872" s="30">
        <f t="shared" ca="1" si="149"/>
        <v>0.41842592592592592</v>
      </c>
      <c r="N1872" s="31"/>
      <c r="O1872" s="31">
        <v>85</v>
      </c>
      <c r="P1872" s="29">
        <v>80</v>
      </c>
      <c r="Q1872" s="29">
        <v>90</v>
      </c>
    </row>
    <row r="1873" spans="1:17" x14ac:dyDescent="0.35">
      <c r="A1873" s="26">
        <v>40000002734</v>
      </c>
      <c r="B1873" s="31">
        <v>1</v>
      </c>
      <c r="C1873" s="29" t="str">
        <f>LOOKUP(A1873,'QALS - Inspection Lot Record'!$A$2:$A$361,'QALS - Inspection Lot Record'!$O$2:$O$361)</f>
        <v>Metformin Tablets (500 MG)</v>
      </c>
      <c r="D1873" s="31">
        <v>80</v>
      </c>
      <c r="E1873" s="29" t="s">
        <v>407</v>
      </c>
      <c r="F1873" s="29" t="str">
        <f>LOOKUP(A1873,'QALS - Inspection Lot Record'!A:A,'QALS - Inspection Lot Record'!G:G)</f>
        <v>YA284176</v>
      </c>
      <c r="G1873" s="59">
        <f ca="1">LOOKUP(A1873,'QALS - Inspection Lot Record'!A:A,'QALS - Inspection Lot Record'!E:E)</f>
        <v>45986</v>
      </c>
      <c r="H1873" s="34" t="str">
        <f t="shared" si="150"/>
        <v>A</v>
      </c>
      <c r="I1873" s="29" t="str">
        <f t="shared" si="146"/>
        <v>YA284176</v>
      </c>
      <c r="J1873" s="59">
        <f t="shared" ca="1" si="147"/>
        <v>45986</v>
      </c>
      <c r="K1873" s="30">
        <f ca="1">LOOKUP(A1873,'QALS - Inspection Lot Record'!A:A,'QALS - Inspection Lot Record'!I:I)</f>
        <v>0.39489583333333333</v>
      </c>
      <c r="L1873" s="59">
        <f t="shared" ca="1" si="148"/>
        <v>45986</v>
      </c>
      <c r="M1873" s="30">
        <f t="shared" ca="1" si="149"/>
        <v>0.41773148148148148</v>
      </c>
      <c r="N1873" s="31"/>
      <c r="O1873" s="31">
        <v>25.5</v>
      </c>
      <c r="P1873" s="29">
        <v>23</v>
      </c>
      <c r="Q1873" s="29">
        <v>28</v>
      </c>
    </row>
    <row r="1874" spans="1:17" x14ac:dyDescent="0.35">
      <c r="A1874" s="26">
        <v>40000002735</v>
      </c>
      <c r="B1874" s="27">
        <v>1</v>
      </c>
      <c r="C1874" s="29" t="str">
        <f>LOOKUP(A1874,'QALS - Inspection Lot Record'!$A$2:$A$361,'QALS - Inspection Lot Record'!$O$2:$O$361)</f>
        <v>Metformin Tablets (100 MG)</v>
      </c>
      <c r="D1874" s="27">
        <v>10</v>
      </c>
      <c r="E1874" s="26" t="s">
        <v>399</v>
      </c>
      <c r="F1874" s="29" t="str">
        <f>LOOKUP(A1874,'QALS - Inspection Lot Record'!A:A,'QALS - Inspection Lot Record'!G:G)</f>
        <v>TP397880</v>
      </c>
      <c r="G1874" s="59">
        <f ca="1">LOOKUP(A1874,'QALS - Inspection Lot Record'!A:A,'QALS - Inspection Lot Record'!E:E)</f>
        <v>45987</v>
      </c>
      <c r="H1874" s="34" t="str">
        <f t="shared" si="150"/>
        <v>R</v>
      </c>
      <c r="I1874" s="29" t="str">
        <f t="shared" si="146"/>
        <v>TP397880</v>
      </c>
      <c r="J1874" s="59">
        <f t="shared" ca="1" si="147"/>
        <v>45987</v>
      </c>
      <c r="K1874" s="30">
        <f ca="1">LOOKUP(A1874,'QALS - Inspection Lot Record'!A:A,'QALS - Inspection Lot Record'!I:I)</f>
        <v>0.80201388888888892</v>
      </c>
      <c r="L1874" s="59">
        <f t="shared" ca="1" si="148"/>
        <v>45987</v>
      </c>
      <c r="M1874" s="30">
        <f t="shared" ca="1" si="149"/>
        <v>0.82434027777777785</v>
      </c>
      <c r="N1874" s="31"/>
      <c r="O1874" s="31">
        <v>94.3</v>
      </c>
      <c r="P1874" s="29">
        <v>95</v>
      </c>
      <c r="Q1874" s="29">
        <v>102</v>
      </c>
    </row>
    <row r="1875" spans="1:17" x14ac:dyDescent="0.35">
      <c r="A1875" s="26">
        <v>40000002735</v>
      </c>
      <c r="B1875" s="27">
        <v>1</v>
      </c>
      <c r="C1875" s="29" t="str">
        <f>LOOKUP(A1875,'QALS - Inspection Lot Record'!$A$2:$A$361,'QALS - Inspection Lot Record'!$O$2:$O$361)</f>
        <v>Metformin Tablets (100 MG)</v>
      </c>
      <c r="D1875" s="31">
        <v>20</v>
      </c>
      <c r="E1875" s="29" t="s">
        <v>400</v>
      </c>
      <c r="F1875" s="29" t="str">
        <f>LOOKUP(A1875,'QALS - Inspection Lot Record'!A:A,'QALS - Inspection Lot Record'!G:G)</f>
        <v>TP397880</v>
      </c>
      <c r="G1875" s="59">
        <f ca="1">LOOKUP(A1875,'QALS - Inspection Lot Record'!A:A,'QALS - Inspection Lot Record'!E:E)</f>
        <v>45987</v>
      </c>
      <c r="H1875" s="34" t="str">
        <f t="shared" si="150"/>
        <v>A</v>
      </c>
      <c r="I1875" s="29" t="str">
        <f t="shared" si="146"/>
        <v>TP397880</v>
      </c>
      <c r="J1875" s="59">
        <f t="shared" ca="1" si="147"/>
        <v>45987</v>
      </c>
      <c r="K1875" s="30">
        <f ca="1">LOOKUP(A1875,'QALS - Inspection Lot Record'!A:A,'QALS - Inspection Lot Record'!I:I)</f>
        <v>0.80201388888888892</v>
      </c>
      <c r="L1875" s="59">
        <f t="shared" ca="1" si="148"/>
        <v>45987</v>
      </c>
      <c r="M1875" s="30">
        <f t="shared" ca="1" si="149"/>
        <v>0.81938657407407411</v>
      </c>
      <c r="N1875" s="31"/>
      <c r="O1875" s="31">
        <v>3.9</v>
      </c>
      <c r="P1875" s="29">
        <v>3.5</v>
      </c>
      <c r="Q1875" s="29">
        <v>11</v>
      </c>
    </row>
    <row r="1876" spans="1:17" x14ac:dyDescent="0.35">
      <c r="A1876" s="26">
        <v>40000002735</v>
      </c>
      <c r="B1876" s="31">
        <v>1</v>
      </c>
      <c r="C1876" s="29" t="str">
        <f>LOOKUP(A1876,'QALS - Inspection Lot Record'!$A$2:$A$361,'QALS - Inspection Lot Record'!$O$2:$O$361)</f>
        <v>Metformin Tablets (100 MG)</v>
      </c>
      <c r="D1876" s="31">
        <v>30</v>
      </c>
      <c r="E1876" s="29" t="s">
        <v>401</v>
      </c>
      <c r="F1876" s="29" t="str">
        <f>LOOKUP(A1876,'QALS - Inspection Lot Record'!A:A,'QALS - Inspection Lot Record'!G:G)</f>
        <v>TP397880</v>
      </c>
      <c r="G1876" s="59">
        <f ca="1">LOOKUP(A1876,'QALS - Inspection Lot Record'!A:A,'QALS - Inspection Lot Record'!E:E)</f>
        <v>45987</v>
      </c>
      <c r="H1876" s="34" t="str">
        <f t="shared" si="150"/>
        <v>A</v>
      </c>
      <c r="I1876" s="29" t="str">
        <f t="shared" si="146"/>
        <v>TP397880</v>
      </c>
      <c r="J1876" s="59">
        <f t="shared" ca="1" si="147"/>
        <v>45987</v>
      </c>
      <c r="K1876" s="30">
        <f ca="1">LOOKUP(A1876,'QALS - Inspection Lot Record'!A:A,'QALS - Inspection Lot Record'!I:I)</f>
        <v>0.80201388888888892</v>
      </c>
      <c r="L1876" s="59">
        <f t="shared" ca="1" si="148"/>
        <v>45987</v>
      </c>
      <c r="M1876" s="30">
        <f t="shared" ca="1" si="149"/>
        <v>0.82966435185185183</v>
      </c>
      <c r="N1876" s="11" t="s">
        <v>402</v>
      </c>
      <c r="O1876" s="31"/>
      <c r="P1876" s="29"/>
      <c r="Q1876" s="29"/>
    </row>
    <row r="1877" spans="1:17" x14ac:dyDescent="0.35">
      <c r="A1877" s="26">
        <v>40000002735</v>
      </c>
      <c r="B1877" s="31">
        <v>1</v>
      </c>
      <c r="C1877" s="29" t="str">
        <f>LOOKUP(A1877,'QALS - Inspection Lot Record'!$A$2:$A$361,'QALS - Inspection Lot Record'!$O$2:$O$361)</f>
        <v>Metformin Tablets (100 MG)</v>
      </c>
      <c r="D1877" s="31">
        <v>40</v>
      </c>
      <c r="E1877" s="29" t="s">
        <v>403</v>
      </c>
      <c r="F1877" s="29" t="str">
        <f>LOOKUP(A1877,'QALS - Inspection Lot Record'!A:A,'QALS - Inspection Lot Record'!G:G)</f>
        <v>TP397880</v>
      </c>
      <c r="G1877" s="59">
        <f ca="1">LOOKUP(A1877,'QALS - Inspection Lot Record'!A:A,'QALS - Inspection Lot Record'!E:E)</f>
        <v>45987</v>
      </c>
      <c r="H1877" s="34" t="str">
        <f t="shared" si="150"/>
        <v>R</v>
      </c>
      <c r="I1877" s="29" t="str">
        <f t="shared" si="146"/>
        <v>TP397880</v>
      </c>
      <c r="J1877" s="59">
        <f t="shared" ca="1" si="147"/>
        <v>45987</v>
      </c>
      <c r="K1877" s="30">
        <f ca="1">LOOKUP(A1877,'QALS - Inspection Lot Record'!A:A,'QALS - Inspection Lot Record'!I:I)</f>
        <v>0.80201388888888892</v>
      </c>
      <c r="L1877" s="59">
        <f t="shared" ca="1" si="148"/>
        <v>45987</v>
      </c>
      <c r="M1877" s="30">
        <f t="shared" ca="1" si="149"/>
        <v>0.83553240740740742</v>
      </c>
      <c r="N1877" s="31"/>
      <c r="O1877" s="31">
        <v>1.2</v>
      </c>
      <c r="P1877" s="29">
        <v>0</v>
      </c>
      <c r="Q1877" s="29">
        <v>1</v>
      </c>
    </row>
    <row r="1878" spans="1:17" x14ac:dyDescent="0.35">
      <c r="A1878" s="26">
        <v>40000002735</v>
      </c>
      <c r="B1878" s="31">
        <v>1</v>
      </c>
      <c r="C1878" s="29" t="str">
        <f>LOOKUP(A1878,'QALS - Inspection Lot Record'!$A$2:$A$361,'QALS - Inspection Lot Record'!$O$2:$O$361)</f>
        <v>Metformin Tablets (100 MG)</v>
      </c>
      <c r="D1878" s="31">
        <v>50</v>
      </c>
      <c r="E1878" s="29" t="s">
        <v>404</v>
      </c>
      <c r="F1878" s="29" t="str">
        <f>LOOKUP(A1878,'QALS - Inspection Lot Record'!A:A,'QALS - Inspection Lot Record'!G:G)</f>
        <v>TP397880</v>
      </c>
      <c r="G1878" s="59">
        <f ca="1">LOOKUP(A1878,'QALS - Inspection Lot Record'!A:A,'QALS - Inspection Lot Record'!E:E)</f>
        <v>45987</v>
      </c>
      <c r="H1878" s="34" t="str">
        <f t="shared" si="150"/>
        <v>R</v>
      </c>
      <c r="I1878" s="29" t="str">
        <f t="shared" si="146"/>
        <v>TP397880</v>
      </c>
      <c r="J1878" s="59">
        <f t="shared" ca="1" si="147"/>
        <v>45987</v>
      </c>
      <c r="K1878" s="30">
        <f ca="1">LOOKUP(A1878,'QALS - Inspection Lot Record'!A:A,'QALS - Inspection Lot Record'!I:I)</f>
        <v>0.80201388888888892</v>
      </c>
      <c r="L1878" s="59">
        <f t="shared" ca="1" si="148"/>
        <v>45987</v>
      </c>
      <c r="M1878" s="30">
        <f t="shared" ca="1" si="149"/>
        <v>0.82004629629629633</v>
      </c>
      <c r="N1878" s="31"/>
      <c r="O1878" s="31">
        <v>38.9</v>
      </c>
      <c r="P1878" s="29">
        <v>40</v>
      </c>
      <c r="Q1878" s="29">
        <v>60</v>
      </c>
    </row>
    <row r="1879" spans="1:17" x14ac:dyDescent="0.35">
      <c r="A1879" s="26">
        <v>40000002735</v>
      </c>
      <c r="B1879" s="31">
        <v>1</v>
      </c>
      <c r="C1879" s="29" t="str">
        <f>LOOKUP(A1879,'QALS - Inspection Lot Record'!$A$2:$A$361,'QALS - Inspection Lot Record'!$O$2:$O$361)</f>
        <v>Metformin Tablets (100 MG)</v>
      </c>
      <c r="D1879" s="31">
        <v>60</v>
      </c>
      <c r="E1879" s="29" t="s">
        <v>405</v>
      </c>
      <c r="F1879" s="29" t="str">
        <f>LOOKUP(A1879,'QALS - Inspection Lot Record'!A:A,'QALS - Inspection Lot Record'!G:G)</f>
        <v>TP397880</v>
      </c>
      <c r="G1879" s="59">
        <f ca="1">LOOKUP(A1879,'QALS - Inspection Lot Record'!A:A,'QALS - Inspection Lot Record'!E:E)</f>
        <v>45987</v>
      </c>
      <c r="H1879" s="34" t="str">
        <f t="shared" si="150"/>
        <v>A</v>
      </c>
      <c r="I1879" s="29" t="str">
        <f t="shared" si="146"/>
        <v>TP397880</v>
      </c>
      <c r="J1879" s="59">
        <f t="shared" ca="1" si="147"/>
        <v>45987</v>
      </c>
      <c r="K1879" s="30">
        <f ca="1">LOOKUP(A1879,'QALS - Inspection Lot Record'!A:A,'QALS - Inspection Lot Record'!I:I)</f>
        <v>0.80201388888888892</v>
      </c>
      <c r="L1879" s="59">
        <f t="shared" ca="1" si="148"/>
        <v>45987</v>
      </c>
      <c r="M1879" s="30">
        <f t="shared" ca="1" si="149"/>
        <v>0.83581018518518524</v>
      </c>
      <c r="N1879" s="31"/>
      <c r="O1879" s="31">
        <v>73.400000000000006</v>
      </c>
      <c r="P1879" s="29">
        <v>70</v>
      </c>
      <c r="Q1879" s="29">
        <v>85</v>
      </c>
    </row>
    <row r="1880" spans="1:17" x14ac:dyDescent="0.35">
      <c r="A1880" s="26">
        <v>40000002735</v>
      </c>
      <c r="B1880" s="31">
        <v>1</v>
      </c>
      <c r="C1880" s="29" t="str">
        <f>LOOKUP(A1880,'QALS - Inspection Lot Record'!$A$2:$A$361,'QALS - Inspection Lot Record'!$O$2:$O$361)</f>
        <v>Metformin Tablets (100 MG)</v>
      </c>
      <c r="D1880" s="31">
        <v>70</v>
      </c>
      <c r="E1880" s="29" t="s">
        <v>406</v>
      </c>
      <c r="F1880" s="29" t="str">
        <f>LOOKUP(A1880,'QALS - Inspection Lot Record'!A:A,'QALS - Inspection Lot Record'!G:G)</f>
        <v>TP397880</v>
      </c>
      <c r="G1880" s="59">
        <f ca="1">LOOKUP(A1880,'QALS - Inspection Lot Record'!A:A,'QALS - Inspection Lot Record'!E:E)</f>
        <v>45987</v>
      </c>
      <c r="H1880" s="34" t="str">
        <f t="shared" si="150"/>
        <v>A</v>
      </c>
      <c r="I1880" s="29" t="str">
        <f t="shared" si="146"/>
        <v>TP397880</v>
      </c>
      <c r="J1880" s="59">
        <f t="shared" ca="1" si="147"/>
        <v>45987</v>
      </c>
      <c r="K1880" s="30">
        <f ca="1">LOOKUP(A1880,'QALS - Inspection Lot Record'!A:A,'QALS - Inspection Lot Record'!I:I)</f>
        <v>0.80201388888888892</v>
      </c>
      <c r="L1880" s="59">
        <f t="shared" ca="1" si="148"/>
        <v>45987</v>
      </c>
      <c r="M1880" s="30">
        <f t="shared" ca="1" si="149"/>
        <v>0.81987268518518519</v>
      </c>
      <c r="N1880" s="31"/>
      <c r="O1880" s="31">
        <v>84.3</v>
      </c>
      <c r="P1880" s="29">
        <v>80</v>
      </c>
      <c r="Q1880" s="29">
        <v>90</v>
      </c>
    </row>
    <row r="1881" spans="1:17" x14ac:dyDescent="0.35">
      <c r="A1881" s="26">
        <v>40000002735</v>
      </c>
      <c r="B1881" s="31">
        <v>1</v>
      </c>
      <c r="C1881" s="29" t="str">
        <f>LOOKUP(A1881,'QALS - Inspection Lot Record'!$A$2:$A$361,'QALS - Inspection Lot Record'!$O$2:$O$361)</f>
        <v>Metformin Tablets (100 MG)</v>
      </c>
      <c r="D1881" s="31">
        <v>80</v>
      </c>
      <c r="E1881" s="29" t="s">
        <v>407</v>
      </c>
      <c r="F1881" s="29" t="str">
        <f>LOOKUP(A1881,'QALS - Inspection Lot Record'!A:A,'QALS - Inspection Lot Record'!G:G)</f>
        <v>TP397880</v>
      </c>
      <c r="G1881" s="59">
        <f ca="1">LOOKUP(A1881,'QALS - Inspection Lot Record'!A:A,'QALS - Inspection Lot Record'!E:E)</f>
        <v>45987</v>
      </c>
      <c r="H1881" s="34" t="str">
        <f t="shared" si="150"/>
        <v>A</v>
      </c>
      <c r="I1881" s="29" t="str">
        <f t="shared" si="146"/>
        <v>TP397880</v>
      </c>
      <c r="J1881" s="59">
        <f t="shared" ca="1" si="147"/>
        <v>45987</v>
      </c>
      <c r="K1881" s="30">
        <f ca="1">LOOKUP(A1881,'QALS - Inspection Lot Record'!A:A,'QALS - Inspection Lot Record'!I:I)</f>
        <v>0.80201388888888892</v>
      </c>
      <c r="L1881" s="59">
        <f t="shared" ca="1" si="148"/>
        <v>45987</v>
      </c>
      <c r="M1881" s="30">
        <f t="shared" ca="1" si="149"/>
        <v>0.83307870370370374</v>
      </c>
      <c r="N1881" s="31"/>
      <c r="O1881" s="31">
        <v>24</v>
      </c>
      <c r="P1881" s="29">
        <v>23</v>
      </c>
      <c r="Q1881" s="29">
        <v>25</v>
      </c>
    </row>
    <row r="1882" spans="1:17" x14ac:dyDescent="0.35">
      <c r="A1882" s="26">
        <v>40000002736</v>
      </c>
      <c r="B1882" s="27">
        <v>1</v>
      </c>
      <c r="C1882" s="29" t="str">
        <f>LOOKUP(A1882,'QALS - Inspection Lot Record'!$A$2:$A$361,'QALS - Inspection Lot Record'!$O$2:$O$361)</f>
        <v>Ibuprofen Tablets (100 MG)</v>
      </c>
      <c r="D1882" s="27">
        <v>10</v>
      </c>
      <c r="E1882" s="26" t="s">
        <v>399</v>
      </c>
      <c r="F1882" s="29" t="str">
        <f>LOOKUP(A1882,'QALS - Inspection Lot Record'!A:A,'QALS - Inspection Lot Record'!G:G)</f>
        <v>GC197258</v>
      </c>
      <c r="G1882" s="59">
        <f ca="1">LOOKUP(A1882,'QALS - Inspection Lot Record'!A:A,'QALS - Inspection Lot Record'!E:E)</f>
        <v>45987</v>
      </c>
      <c r="H1882" s="34" t="str">
        <f t="shared" si="150"/>
        <v>R</v>
      </c>
      <c r="I1882" s="29" t="str">
        <f t="shared" si="146"/>
        <v>GC197258</v>
      </c>
      <c r="J1882" s="59">
        <f t="shared" ca="1" si="147"/>
        <v>45987</v>
      </c>
      <c r="K1882" s="30">
        <f ca="1">LOOKUP(A1882,'QALS - Inspection Lot Record'!A:A,'QALS - Inspection Lot Record'!I:I)</f>
        <v>0.11016203703703703</v>
      </c>
      <c r="L1882" s="59">
        <f t="shared" ca="1" si="148"/>
        <v>45987</v>
      </c>
      <c r="M1882" s="30">
        <f t="shared" ca="1" si="149"/>
        <v>0.14288194444444444</v>
      </c>
      <c r="N1882" s="31"/>
      <c r="O1882" s="31">
        <v>93.2</v>
      </c>
      <c r="P1882" s="29">
        <v>95</v>
      </c>
      <c r="Q1882" s="29">
        <v>102</v>
      </c>
    </row>
    <row r="1883" spans="1:17" x14ac:dyDescent="0.35">
      <c r="A1883" s="26">
        <v>40000002736</v>
      </c>
      <c r="B1883" s="27">
        <v>1</v>
      </c>
      <c r="C1883" s="29" t="str">
        <f>LOOKUP(A1883,'QALS - Inspection Lot Record'!$A$2:$A$361,'QALS - Inspection Lot Record'!$O$2:$O$361)</f>
        <v>Ibuprofen Tablets (100 MG)</v>
      </c>
      <c r="D1883" s="31">
        <v>20</v>
      </c>
      <c r="E1883" s="29" t="s">
        <v>400</v>
      </c>
      <c r="F1883" s="29" t="str">
        <f>LOOKUP(A1883,'QALS - Inspection Lot Record'!A:A,'QALS - Inspection Lot Record'!G:G)</f>
        <v>GC197258</v>
      </c>
      <c r="G1883" s="59">
        <f ca="1">LOOKUP(A1883,'QALS - Inspection Lot Record'!A:A,'QALS - Inspection Lot Record'!E:E)</f>
        <v>45987</v>
      </c>
      <c r="H1883" s="34" t="str">
        <f t="shared" si="150"/>
        <v>R</v>
      </c>
      <c r="I1883" s="29" t="str">
        <f t="shared" si="146"/>
        <v>GC197258</v>
      </c>
      <c r="J1883" s="59">
        <f t="shared" ca="1" si="147"/>
        <v>45987</v>
      </c>
      <c r="K1883" s="30">
        <f ca="1">LOOKUP(A1883,'QALS - Inspection Lot Record'!A:A,'QALS - Inspection Lot Record'!I:I)</f>
        <v>0.11016203703703703</v>
      </c>
      <c r="L1883" s="59">
        <f t="shared" ca="1" si="148"/>
        <v>45987</v>
      </c>
      <c r="M1883" s="30">
        <f t="shared" ca="1" si="149"/>
        <v>0.13199074074074074</v>
      </c>
      <c r="N1883" s="31"/>
      <c r="O1883" s="31">
        <v>1.6</v>
      </c>
      <c r="P1883" s="29">
        <v>3.5</v>
      </c>
      <c r="Q1883" s="29">
        <v>11</v>
      </c>
    </row>
    <row r="1884" spans="1:17" x14ac:dyDescent="0.35">
      <c r="A1884" s="26">
        <v>40000002736</v>
      </c>
      <c r="B1884" s="31">
        <v>1</v>
      </c>
      <c r="C1884" s="29" t="str">
        <f>LOOKUP(A1884,'QALS - Inspection Lot Record'!$A$2:$A$361,'QALS - Inspection Lot Record'!$O$2:$O$361)</f>
        <v>Ibuprofen Tablets (100 MG)</v>
      </c>
      <c r="D1884" s="31">
        <v>30</v>
      </c>
      <c r="E1884" s="29" t="s">
        <v>401</v>
      </c>
      <c r="F1884" s="29" t="str">
        <f>LOOKUP(A1884,'QALS - Inspection Lot Record'!A:A,'QALS - Inspection Lot Record'!G:G)</f>
        <v>GC197258</v>
      </c>
      <c r="G1884" s="59">
        <f ca="1">LOOKUP(A1884,'QALS - Inspection Lot Record'!A:A,'QALS - Inspection Lot Record'!E:E)</f>
        <v>45987</v>
      </c>
      <c r="H1884" s="34" t="str">
        <f t="shared" si="150"/>
        <v>A</v>
      </c>
      <c r="I1884" s="29" t="str">
        <f t="shared" si="146"/>
        <v>GC197258</v>
      </c>
      <c r="J1884" s="59">
        <f t="shared" ca="1" si="147"/>
        <v>45987</v>
      </c>
      <c r="K1884" s="30">
        <f ca="1">LOOKUP(A1884,'QALS - Inspection Lot Record'!A:A,'QALS - Inspection Lot Record'!I:I)</f>
        <v>0.11016203703703703</v>
      </c>
      <c r="L1884" s="59">
        <f t="shared" ca="1" si="148"/>
        <v>45987</v>
      </c>
      <c r="M1884" s="30">
        <f t="shared" ca="1" si="149"/>
        <v>0.13192129629629629</v>
      </c>
      <c r="N1884" s="11" t="s">
        <v>402</v>
      </c>
      <c r="O1884" s="31"/>
      <c r="P1884" s="29"/>
      <c r="Q1884" s="29"/>
    </row>
    <row r="1885" spans="1:17" x14ac:dyDescent="0.35">
      <c r="A1885" s="26">
        <v>40000002736</v>
      </c>
      <c r="B1885" s="31">
        <v>1</v>
      </c>
      <c r="C1885" s="29" t="str">
        <f>LOOKUP(A1885,'QALS - Inspection Lot Record'!$A$2:$A$361,'QALS - Inspection Lot Record'!$O$2:$O$361)</f>
        <v>Ibuprofen Tablets (100 MG)</v>
      </c>
      <c r="D1885" s="31">
        <v>40</v>
      </c>
      <c r="E1885" s="29" t="s">
        <v>403</v>
      </c>
      <c r="F1885" s="29" t="str">
        <f>LOOKUP(A1885,'QALS - Inspection Lot Record'!A:A,'QALS - Inspection Lot Record'!G:G)</f>
        <v>GC197258</v>
      </c>
      <c r="G1885" s="59">
        <f ca="1">LOOKUP(A1885,'QALS - Inspection Lot Record'!A:A,'QALS - Inspection Lot Record'!E:E)</f>
        <v>45987</v>
      </c>
      <c r="H1885" s="34" t="str">
        <f t="shared" si="150"/>
        <v>A</v>
      </c>
      <c r="I1885" s="29" t="str">
        <f t="shared" si="146"/>
        <v>GC197258</v>
      </c>
      <c r="J1885" s="59">
        <f t="shared" ca="1" si="147"/>
        <v>45987</v>
      </c>
      <c r="K1885" s="30">
        <f ca="1">LOOKUP(A1885,'QALS - Inspection Lot Record'!A:A,'QALS - Inspection Lot Record'!I:I)</f>
        <v>0.11016203703703703</v>
      </c>
      <c r="L1885" s="59">
        <f t="shared" ca="1" si="148"/>
        <v>45987</v>
      </c>
      <c r="M1885" s="30">
        <f t="shared" ca="1" si="149"/>
        <v>0.14539351851851851</v>
      </c>
      <c r="N1885" s="31"/>
      <c r="O1885" s="31">
        <v>0.5</v>
      </c>
      <c r="P1885" s="29">
        <v>0</v>
      </c>
      <c r="Q1885" s="29">
        <v>1</v>
      </c>
    </row>
    <row r="1886" spans="1:17" x14ac:dyDescent="0.35">
      <c r="A1886" s="26">
        <v>40000002736</v>
      </c>
      <c r="B1886" s="31">
        <v>1</v>
      </c>
      <c r="C1886" s="29" t="str">
        <f>LOOKUP(A1886,'QALS - Inspection Lot Record'!$A$2:$A$361,'QALS - Inspection Lot Record'!$O$2:$O$361)</f>
        <v>Ibuprofen Tablets (100 MG)</v>
      </c>
      <c r="D1886" s="31">
        <v>50</v>
      </c>
      <c r="E1886" s="29" t="s">
        <v>404</v>
      </c>
      <c r="F1886" s="29" t="str">
        <f>LOOKUP(A1886,'QALS - Inspection Lot Record'!A:A,'QALS - Inspection Lot Record'!G:G)</f>
        <v>GC197258</v>
      </c>
      <c r="G1886" s="59">
        <f ca="1">LOOKUP(A1886,'QALS - Inspection Lot Record'!A:A,'QALS - Inspection Lot Record'!E:E)</f>
        <v>45987</v>
      </c>
      <c r="H1886" s="34" t="str">
        <f t="shared" si="150"/>
        <v>A</v>
      </c>
      <c r="I1886" s="29" t="str">
        <f t="shared" si="146"/>
        <v>GC197258</v>
      </c>
      <c r="J1886" s="59">
        <f t="shared" ca="1" si="147"/>
        <v>45987</v>
      </c>
      <c r="K1886" s="30">
        <f ca="1">LOOKUP(A1886,'QALS - Inspection Lot Record'!A:A,'QALS - Inspection Lot Record'!I:I)</f>
        <v>0.11016203703703703</v>
      </c>
      <c r="L1886" s="59">
        <f t="shared" ca="1" si="148"/>
        <v>45987</v>
      </c>
      <c r="M1886" s="30">
        <f t="shared" ca="1" si="149"/>
        <v>0.14059027777777777</v>
      </c>
      <c r="N1886" s="31"/>
      <c r="O1886" s="31">
        <v>43.7</v>
      </c>
      <c r="P1886" s="29">
        <v>40</v>
      </c>
      <c r="Q1886" s="29">
        <v>60</v>
      </c>
    </row>
    <row r="1887" spans="1:17" x14ac:dyDescent="0.35">
      <c r="A1887" s="26">
        <v>40000002736</v>
      </c>
      <c r="B1887" s="31">
        <v>1</v>
      </c>
      <c r="C1887" s="29" t="str">
        <f>LOOKUP(A1887,'QALS - Inspection Lot Record'!$A$2:$A$361,'QALS - Inspection Lot Record'!$O$2:$O$361)</f>
        <v>Ibuprofen Tablets (100 MG)</v>
      </c>
      <c r="D1887" s="31">
        <v>60</v>
      </c>
      <c r="E1887" s="29" t="s">
        <v>405</v>
      </c>
      <c r="F1887" s="29" t="str">
        <f>LOOKUP(A1887,'QALS - Inspection Lot Record'!A:A,'QALS - Inspection Lot Record'!G:G)</f>
        <v>GC197258</v>
      </c>
      <c r="G1887" s="59">
        <f ca="1">LOOKUP(A1887,'QALS - Inspection Lot Record'!A:A,'QALS - Inspection Lot Record'!E:E)</f>
        <v>45987</v>
      </c>
      <c r="H1887" s="34" t="str">
        <f t="shared" si="150"/>
        <v>R</v>
      </c>
      <c r="I1887" s="29" t="str">
        <f t="shared" si="146"/>
        <v>GC197258</v>
      </c>
      <c r="J1887" s="59">
        <f t="shared" ca="1" si="147"/>
        <v>45987</v>
      </c>
      <c r="K1887" s="30">
        <f ca="1">LOOKUP(A1887,'QALS - Inspection Lot Record'!A:A,'QALS - Inspection Lot Record'!I:I)</f>
        <v>0.11016203703703703</v>
      </c>
      <c r="L1887" s="59">
        <f t="shared" ca="1" si="148"/>
        <v>45987</v>
      </c>
      <c r="M1887" s="30">
        <f t="shared" ca="1" si="149"/>
        <v>0.13322916666666665</v>
      </c>
      <c r="N1887" s="31"/>
      <c r="O1887" s="31">
        <v>68.3</v>
      </c>
      <c r="P1887" s="29">
        <v>70</v>
      </c>
      <c r="Q1887" s="29">
        <v>85</v>
      </c>
    </row>
    <row r="1888" spans="1:17" x14ac:dyDescent="0.35">
      <c r="A1888" s="26">
        <v>40000002736</v>
      </c>
      <c r="B1888" s="31">
        <v>1</v>
      </c>
      <c r="C1888" s="29" t="str">
        <f>LOOKUP(A1888,'QALS - Inspection Lot Record'!$A$2:$A$361,'QALS - Inspection Lot Record'!$O$2:$O$361)</f>
        <v>Ibuprofen Tablets (100 MG)</v>
      </c>
      <c r="D1888" s="31">
        <v>70</v>
      </c>
      <c r="E1888" s="29" t="s">
        <v>406</v>
      </c>
      <c r="F1888" s="29" t="str">
        <f>LOOKUP(A1888,'QALS - Inspection Lot Record'!A:A,'QALS - Inspection Lot Record'!G:G)</f>
        <v>GC197258</v>
      </c>
      <c r="G1888" s="59">
        <f ca="1">LOOKUP(A1888,'QALS - Inspection Lot Record'!A:A,'QALS - Inspection Lot Record'!E:E)</f>
        <v>45987</v>
      </c>
      <c r="H1888" s="34" t="str">
        <f t="shared" si="150"/>
        <v>A</v>
      </c>
      <c r="I1888" s="29" t="str">
        <f t="shared" si="146"/>
        <v>GC197258</v>
      </c>
      <c r="J1888" s="59">
        <f t="shared" ca="1" si="147"/>
        <v>45987</v>
      </c>
      <c r="K1888" s="30">
        <f ca="1">LOOKUP(A1888,'QALS - Inspection Lot Record'!A:A,'QALS - Inspection Lot Record'!I:I)</f>
        <v>0.11016203703703703</v>
      </c>
      <c r="L1888" s="59">
        <f t="shared" ca="1" si="148"/>
        <v>45987</v>
      </c>
      <c r="M1888" s="30">
        <f t="shared" ca="1" si="149"/>
        <v>0.14004629629629628</v>
      </c>
      <c r="N1888" s="31"/>
      <c r="O1888" s="31">
        <v>84.3</v>
      </c>
      <c r="P1888" s="29">
        <v>80</v>
      </c>
      <c r="Q1888" s="29">
        <v>90</v>
      </c>
    </row>
    <row r="1889" spans="1:17" x14ac:dyDescent="0.35">
      <c r="A1889" s="26">
        <v>40000002736</v>
      </c>
      <c r="B1889" s="31">
        <v>1</v>
      </c>
      <c r="C1889" s="29" t="str">
        <f>LOOKUP(A1889,'QALS - Inspection Lot Record'!$A$2:$A$361,'QALS - Inspection Lot Record'!$O$2:$O$361)</f>
        <v>Ibuprofen Tablets (100 MG)</v>
      </c>
      <c r="D1889" s="31">
        <v>80</v>
      </c>
      <c r="E1889" s="29" t="s">
        <v>407</v>
      </c>
      <c r="F1889" s="29" t="str">
        <f>LOOKUP(A1889,'QALS - Inspection Lot Record'!A:A,'QALS - Inspection Lot Record'!G:G)</f>
        <v>GC197258</v>
      </c>
      <c r="G1889" s="59">
        <f ca="1">LOOKUP(A1889,'QALS - Inspection Lot Record'!A:A,'QALS - Inspection Lot Record'!E:E)</f>
        <v>45987</v>
      </c>
      <c r="H1889" s="34" t="str">
        <f t="shared" si="150"/>
        <v>A</v>
      </c>
      <c r="I1889" s="29" t="str">
        <f t="shared" si="146"/>
        <v>GC197258</v>
      </c>
      <c r="J1889" s="59">
        <f t="shared" ca="1" si="147"/>
        <v>45987</v>
      </c>
      <c r="K1889" s="30">
        <f ca="1">LOOKUP(A1889,'QALS - Inspection Lot Record'!A:A,'QALS - Inspection Lot Record'!I:I)</f>
        <v>0.11016203703703703</v>
      </c>
      <c r="L1889" s="59">
        <f t="shared" ca="1" si="148"/>
        <v>45987</v>
      </c>
      <c r="M1889" s="30">
        <f t="shared" ca="1" si="149"/>
        <v>0.12795138888888888</v>
      </c>
      <c r="N1889" s="31"/>
      <c r="O1889" s="31">
        <v>24</v>
      </c>
      <c r="P1889" s="29">
        <v>23</v>
      </c>
      <c r="Q1889" s="29">
        <v>25</v>
      </c>
    </row>
    <row r="1890" spans="1:17" x14ac:dyDescent="0.35">
      <c r="A1890" s="26">
        <v>40000002737</v>
      </c>
      <c r="B1890" s="27">
        <v>1</v>
      </c>
      <c r="C1890" s="29" t="str">
        <f>LOOKUP(A1890,'QALS - Inspection Lot Record'!$A$2:$A$361,'QALS - Inspection Lot Record'!$O$2:$O$361)</f>
        <v>Metformin Tablets (500 MG)</v>
      </c>
      <c r="D1890" s="27">
        <v>10</v>
      </c>
      <c r="E1890" s="26" t="s">
        <v>399</v>
      </c>
      <c r="F1890" s="29" t="str">
        <f>LOOKUP(A1890,'QALS - Inspection Lot Record'!A:A,'QALS - Inspection Lot Record'!G:G)</f>
        <v>ZK384180</v>
      </c>
      <c r="G1890" s="59">
        <f ca="1">LOOKUP(A1890,'QALS - Inspection Lot Record'!A:A,'QALS - Inspection Lot Record'!E:E)</f>
        <v>45988</v>
      </c>
      <c r="H1890" s="34" t="str">
        <f t="shared" si="150"/>
        <v>A</v>
      </c>
      <c r="I1890" s="29" t="str">
        <f t="shared" si="146"/>
        <v>ZK384180</v>
      </c>
      <c r="J1890" s="59">
        <f t="shared" ca="1" si="147"/>
        <v>45988</v>
      </c>
      <c r="K1890" s="30">
        <f ca="1">LOOKUP(A1890,'QALS - Inspection Lot Record'!A:A,'QALS - Inspection Lot Record'!I:I)</f>
        <v>0.58333333333333337</v>
      </c>
      <c r="L1890" s="59">
        <f t="shared" ca="1" si="148"/>
        <v>45988</v>
      </c>
      <c r="M1890" s="30">
        <f t="shared" ca="1" si="149"/>
        <v>0.60464120370370378</v>
      </c>
      <c r="N1890" s="31"/>
      <c r="O1890" s="31">
        <v>100</v>
      </c>
      <c r="P1890" s="29">
        <v>95</v>
      </c>
      <c r="Q1890" s="29">
        <v>105</v>
      </c>
    </row>
    <row r="1891" spans="1:17" x14ac:dyDescent="0.35">
      <c r="A1891" s="26">
        <v>40000002737</v>
      </c>
      <c r="B1891" s="27">
        <v>1</v>
      </c>
      <c r="C1891" s="29" t="str">
        <f>LOOKUP(A1891,'QALS - Inspection Lot Record'!$A$2:$A$361,'QALS - Inspection Lot Record'!$O$2:$O$361)</f>
        <v>Metformin Tablets (500 MG)</v>
      </c>
      <c r="D1891" s="31">
        <v>20</v>
      </c>
      <c r="E1891" s="29" t="s">
        <v>400</v>
      </c>
      <c r="F1891" s="29" t="str">
        <f>LOOKUP(A1891,'QALS - Inspection Lot Record'!A:A,'QALS - Inspection Lot Record'!G:G)</f>
        <v>ZK384180</v>
      </c>
      <c r="G1891" s="59">
        <f ca="1">LOOKUP(A1891,'QALS - Inspection Lot Record'!A:A,'QALS - Inspection Lot Record'!E:E)</f>
        <v>45988</v>
      </c>
      <c r="H1891" s="34" t="str">
        <f t="shared" si="150"/>
        <v>A</v>
      </c>
      <c r="I1891" s="29" t="str">
        <f t="shared" si="146"/>
        <v>ZK384180</v>
      </c>
      <c r="J1891" s="59">
        <f t="shared" ca="1" si="147"/>
        <v>45988</v>
      </c>
      <c r="K1891" s="30">
        <f ca="1">LOOKUP(A1891,'QALS - Inspection Lot Record'!A:A,'QALS - Inspection Lot Record'!I:I)</f>
        <v>0.58333333333333337</v>
      </c>
      <c r="L1891" s="59">
        <f t="shared" ca="1" si="148"/>
        <v>45988</v>
      </c>
      <c r="M1891" s="30">
        <f t="shared" ca="1" si="149"/>
        <v>0.60921296296296301</v>
      </c>
      <c r="N1891" s="31"/>
      <c r="O1891" s="31">
        <v>7.25</v>
      </c>
      <c r="P1891" s="29">
        <v>3.5</v>
      </c>
      <c r="Q1891" s="29">
        <v>11</v>
      </c>
    </row>
    <row r="1892" spans="1:17" x14ac:dyDescent="0.35">
      <c r="A1892" s="26">
        <v>40000002737</v>
      </c>
      <c r="B1892" s="31">
        <v>1</v>
      </c>
      <c r="C1892" s="29" t="str">
        <f>LOOKUP(A1892,'QALS - Inspection Lot Record'!$A$2:$A$361,'QALS - Inspection Lot Record'!$O$2:$O$361)</f>
        <v>Metformin Tablets (500 MG)</v>
      </c>
      <c r="D1892" s="31">
        <v>30</v>
      </c>
      <c r="E1892" s="29" t="s">
        <v>401</v>
      </c>
      <c r="F1892" s="29" t="str">
        <f>LOOKUP(A1892,'QALS - Inspection Lot Record'!A:A,'QALS - Inspection Lot Record'!G:G)</f>
        <v>ZK384180</v>
      </c>
      <c r="G1892" s="59">
        <f ca="1">LOOKUP(A1892,'QALS - Inspection Lot Record'!A:A,'QALS - Inspection Lot Record'!E:E)</f>
        <v>45988</v>
      </c>
      <c r="H1892" s="34" t="str">
        <f t="shared" si="150"/>
        <v>A</v>
      </c>
      <c r="I1892" s="29" t="str">
        <f t="shared" si="146"/>
        <v>ZK384180</v>
      </c>
      <c r="J1892" s="59">
        <f t="shared" ca="1" si="147"/>
        <v>45988</v>
      </c>
      <c r="K1892" s="30">
        <f ca="1">LOOKUP(A1892,'QALS - Inspection Lot Record'!A:A,'QALS - Inspection Lot Record'!I:I)</f>
        <v>0.58333333333333337</v>
      </c>
      <c r="L1892" s="59">
        <f t="shared" ca="1" si="148"/>
        <v>45988</v>
      </c>
      <c r="M1892" s="30">
        <f t="shared" ca="1" si="149"/>
        <v>0.61864583333333334</v>
      </c>
      <c r="N1892" s="11" t="s">
        <v>402</v>
      </c>
      <c r="O1892" s="31"/>
      <c r="P1892" s="29"/>
      <c r="Q1892" s="29"/>
    </row>
    <row r="1893" spans="1:17" x14ac:dyDescent="0.35">
      <c r="A1893" s="26">
        <v>40000002737</v>
      </c>
      <c r="B1893" s="31">
        <v>1</v>
      </c>
      <c r="C1893" s="29" t="str">
        <f>LOOKUP(A1893,'QALS - Inspection Lot Record'!$A$2:$A$361,'QALS - Inspection Lot Record'!$O$2:$O$361)</f>
        <v>Metformin Tablets (500 MG)</v>
      </c>
      <c r="D1893" s="31">
        <v>40</v>
      </c>
      <c r="E1893" s="29" t="s">
        <v>403</v>
      </c>
      <c r="F1893" s="29" t="str">
        <f>LOOKUP(A1893,'QALS - Inspection Lot Record'!A:A,'QALS - Inspection Lot Record'!G:G)</f>
        <v>ZK384180</v>
      </c>
      <c r="G1893" s="59">
        <f ca="1">LOOKUP(A1893,'QALS - Inspection Lot Record'!A:A,'QALS - Inspection Lot Record'!E:E)</f>
        <v>45988</v>
      </c>
      <c r="H1893" s="34" t="str">
        <f t="shared" si="150"/>
        <v>A</v>
      </c>
      <c r="I1893" s="29" t="str">
        <f t="shared" si="146"/>
        <v>ZK384180</v>
      </c>
      <c r="J1893" s="59">
        <f t="shared" ca="1" si="147"/>
        <v>45988</v>
      </c>
      <c r="K1893" s="30">
        <f ca="1">LOOKUP(A1893,'QALS - Inspection Lot Record'!A:A,'QALS - Inspection Lot Record'!I:I)</f>
        <v>0.58333333333333337</v>
      </c>
      <c r="L1893" s="59">
        <f t="shared" ca="1" si="148"/>
        <v>45988</v>
      </c>
      <c r="M1893" s="30">
        <f t="shared" ca="1" si="149"/>
        <v>0.61746527777777782</v>
      </c>
      <c r="N1893" s="31"/>
      <c r="O1893" s="31">
        <v>0</v>
      </c>
      <c r="P1893" s="29">
        <v>0</v>
      </c>
      <c r="Q1893" s="29">
        <v>2</v>
      </c>
    </row>
    <row r="1894" spans="1:17" x14ac:dyDescent="0.35">
      <c r="A1894" s="26">
        <v>40000002737</v>
      </c>
      <c r="B1894" s="31">
        <v>1</v>
      </c>
      <c r="C1894" s="29" t="str">
        <f>LOOKUP(A1894,'QALS - Inspection Lot Record'!$A$2:$A$361,'QALS - Inspection Lot Record'!$O$2:$O$361)</f>
        <v>Metformin Tablets (500 MG)</v>
      </c>
      <c r="D1894" s="31">
        <v>50</v>
      </c>
      <c r="E1894" s="29" t="s">
        <v>404</v>
      </c>
      <c r="F1894" s="29" t="str">
        <f>LOOKUP(A1894,'QALS - Inspection Lot Record'!A:A,'QALS - Inspection Lot Record'!G:G)</f>
        <v>ZK384180</v>
      </c>
      <c r="G1894" s="59">
        <f ca="1">LOOKUP(A1894,'QALS - Inspection Lot Record'!A:A,'QALS - Inspection Lot Record'!E:E)</f>
        <v>45988</v>
      </c>
      <c r="H1894" s="34" t="str">
        <f t="shared" si="150"/>
        <v>A</v>
      </c>
      <c r="I1894" s="29" t="str">
        <f t="shared" si="146"/>
        <v>ZK384180</v>
      </c>
      <c r="J1894" s="59">
        <f t="shared" ca="1" si="147"/>
        <v>45988</v>
      </c>
      <c r="K1894" s="30">
        <f ca="1">LOOKUP(A1894,'QALS - Inspection Lot Record'!A:A,'QALS - Inspection Lot Record'!I:I)</f>
        <v>0.58333333333333337</v>
      </c>
      <c r="L1894" s="59">
        <f t="shared" ca="1" si="148"/>
        <v>45988</v>
      </c>
      <c r="M1894" s="30">
        <f t="shared" ca="1" si="149"/>
        <v>0.6083912037037037</v>
      </c>
      <c r="N1894" s="31"/>
      <c r="O1894" s="31">
        <v>50</v>
      </c>
      <c r="P1894" s="29">
        <v>40</v>
      </c>
      <c r="Q1894" s="29">
        <v>60</v>
      </c>
    </row>
    <row r="1895" spans="1:17" x14ac:dyDescent="0.35">
      <c r="A1895" s="26">
        <v>40000002737</v>
      </c>
      <c r="B1895" s="31">
        <v>1</v>
      </c>
      <c r="C1895" s="29" t="str">
        <f>LOOKUP(A1895,'QALS - Inspection Lot Record'!$A$2:$A$361,'QALS - Inspection Lot Record'!$O$2:$O$361)</f>
        <v>Metformin Tablets (500 MG)</v>
      </c>
      <c r="D1895" s="31">
        <v>60</v>
      </c>
      <c r="E1895" s="29" t="s">
        <v>405</v>
      </c>
      <c r="F1895" s="29" t="str">
        <f>LOOKUP(A1895,'QALS - Inspection Lot Record'!A:A,'QALS - Inspection Lot Record'!G:G)</f>
        <v>ZK384180</v>
      </c>
      <c r="G1895" s="59">
        <f ca="1">LOOKUP(A1895,'QALS - Inspection Lot Record'!A:A,'QALS - Inspection Lot Record'!E:E)</f>
        <v>45988</v>
      </c>
      <c r="H1895" s="34" t="str">
        <f t="shared" si="150"/>
        <v>A</v>
      </c>
      <c r="I1895" s="29" t="str">
        <f t="shared" si="146"/>
        <v>ZK384180</v>
      </c>
      <c r="J1895" s="59">
        <f t="shared" ca="1" si="147"/>
        <v>45988</v>
      </c>
      <c r="K1895" s="30">
        <f ca="1">LOOKUP(A1895,'QALS - Inspection Lot Record'!A:A,'QALS - Inspection Lot Record'!I:I)</f>
        <v>0.58333333333333337</v>
      </c>
      <c r="L1895" s="59">
        <f t="shared" ca="1" si="148"/>
        <v>45988</v>
      </c>
      <c r="M1895" s="30">
        <f t="shared" ca="1" si="149"/>
        <v>0.60890046296296296</v>
      </c>
      <c r="N1895" s="31"/>
      <c r="O1895" s="31">
        <v>77.5</v>
      </c>
      <c r="P1895" s="29">
        <v>70</v>
      </c>
      <c r="Q1895" s="29">
        <v>85</v>
      </c>
    </row>
    <row r="1896" spans="1:17" x14ac:dyDescent="0.35">
      <c r="A1896" s="26">
        <v>40000002737</v>
      </c>
      <c r="B1896" s="31">
        <v>1</v>
      </c>
      <c r="C1896" s="29" t="str">
        <f>LOOKUP(A1896,'QALS - Inspection Lot Record'!$A$2:$A$361,'QALS - Inspection Lot Record'!$O$2:$O$361)</f>
        <v>Metformin Tablets (500 MG)</v>
      </c>
      <c r="D1896" s="31">
        <v>70</v>
      </c>
      <c r="E1896" s="29" t="s">
        <v>406</v>
      </c>
      <c r="F1896" s="29" t="str">
        <f>LOOKUP(A1896,'QALS - Inspection Lot Record'!A:A,'QALS - Inspection Lot Record'!G:G)</f>
        <v>ZK384180</v>
      </c>
      <c r="G1896" s="59">
        <f ca="1">LOOKUP(A1896,'QALS - Inspection Lot Record'!A:A,'QALS - Inspection Lot Record'!E:E)</f>
        <v>45988</v>
      </c>
      <c r="H1896" s="34" t="str">
        <f t="shared" si="150"/>
        <v>A</v>
      </c>
      <c r="I1896" s="29" t="str">
        <f t="shared" si="146"/>
        <v>ZK384180</v>
      </c>
      <c r="J1896" s="59">
        <f t="shared" ca="1" si="147"/>
        <v>45988</v>
      </c>
      <c r="K1896" s="30">
        <f ca="1">LOOKUP(A1896,'QALS - Inspection Lot Record'!A:A,'QALS - Inspection Lot Record'!I:I)</f>
        <v>0.58333333333333337</v>
      </c>
      <c r="L1896" s="59">
        <f t="shared" ca="1" si="148"/>
        <v>45988</v>
      </c>
      <c r="M1896" s="30">
        <f t="shared" ca="1" si="149"/>
        <v>0.60704861111111119</v>
      </c>
      <c r="N1896" s="31"/>
      <c r="O1896" s="31">
        <v>85</v>
      </c>
      <c r="P1896" s="29">
        <v>80</v>
      </c>
      <c r="Q1896" s="29">
        <v>90</v>
      </c>
    </row>
    <row r="1897" spans="1:17" x14ac:dyDescent="0.35">
      <c r="A1897" s="26">
        <v>40000002737</v>
      </c>
      <c r="B1897" s="31">
        <v>1</v>
      </c>
      <c r="C1897" s="29" t="str">
        <f>LOOKUP(A1897,'QALS - Inspection Lot Record'!$A$2:$A$361,'QALS - Inspection Lot Record'!$O$2:$O$361)</f>
        <v>Metformin Tablets (500 MG)</v>
      </c>
      <c r="D1897" s="31">
        <v>80</v>
      </c>
      <c r="E1897" s="29" t="s">
        <v>407</v>
      </c>
      <c r="F1897" s="29" t="str">
        <f>LOOKUP(A1897,'QALS - Inspection Lot Record'!A:A,'QALS - Inspection Lot Record'!G:G)</f>
        <v>ZK384180</v>
      </c>
      <c r="G1897" s="59">
        <f ca="1">LOOKUP(A1897,'QALS - Inspection Lot Record'!A:A,'QALS - Inspection Lot Record'!E:E)</f>
        <v>45988</v>
      </c>
      <c r="H1897" s="34" t="str">
        <f t="shared" si="150"/>
        <v>A</v>
      </c>
      <c r="I1897" s="29" t="str">
        <f t="shared" si="146"/>
        <v>ZK384180</v>
      </c>
      <c r="J1897" s="59">
        <f t="shared" ca="1" si="147"/>
        <v>45988</v>
      </c>
      <c r="K1897" s="30">
        <f ca="1">LOOKUP(A1897,'QALS - Inspection Lot Record'!A:A,'QALS - Inspection Lot Record'!I:I)</f>
        <v>0.58333333333333337</v>
      </c>
      <c r="L1897" s="59">
        <f t="shared" ca="1" si="148"/>
        <v>45988</v>
      </c>
      <c r="M1897" s="30">
        <f t="shared" ca="1" si="149"/>
        <v>0.61840277777777786</v>
      </c>
      <c r="N1897" s="31"/>
      <c r="O1897" s="31">
        <v>25.5</v>
      </c>
      <c r="P1897" s="29">
        <v>23</v>
      </c>
      <c r="Q1897" s="29">
        <v>28</v>
      </c>
    </row>
    <row r="1898" spans="1:17" x14ac:dyDescent="0.35">
      <c r="A1898" s="26">
        <v>40000002738</v>
      </c>
      <c r="B1898" s="27">
        <v>1</v>
      </c>
      <c r="C1898" s="29" t="str">
        <f>LOOKUP(A1898,'QALS - Inspection Lot Record'!$A$2:$A$361,'QALS - Inspection Lot Record'!$O$2:$O$361)</f>
        <v>Metformin Tablets (200 MG)</v>
      </c>
      <c r="D1898" s="27">
        <v>10</v>
      </c>
      <c r="E1898" s="26" t="s">
        <v>399</v>
      </c>
      <c r="F1898" s="29" t="str">
        <f>LOOKUP(A1898,'QALS - Inspection Lot Record'!A:A,'QALS - Inspection Lot Record'!G:G)</f>
        <v>TG509538</v>
      </c>
      <c r="G1898" s="59">
        <f ca="1">LOOKUP(A1898,'QALS - Inspection Lot Record'!A:A,'QALS - Inspection Lot Record'!E:E)</f>
        <v>45988</v>
      </c>
      <c r="H1898" s="34" t="str">
        <f t="shared" si="150"/>
        <v>A</v>
      </c>
      <c r="I1898" s="29" t="str">
        <f t="shared" si="146"/>
        <v>TG509538</v>
      </c>
      <c r="J1898" s="59">
        <f t="shared" ca="1" si="147"/>
        <v>45988</v>
      </c>
      <c r="K1898" s="30">
        <f ca="1">LOOKUP(A1898,'QALS - Inspection Lot Record'!A:A,'QALS - Inspection Lot Record'!I:I)</f>
        <v>0.43537037037037035</v>
      </c>
      <c r="L1898" s="59">
        <f t="shared" ca="1" si="148"/>
        <v>45988</v>
      </c>
      <c r="M1898" s="30">
        <f t="shared" ca="1" si="149"/>
        <v>0.4561574074074074</v>
      </c>
      <c r="N1898" s="31"/>
      <c r="O1898" s="31">
        <v>99</v>
      </c>
      <c r="P1898" s="29">
        <v>95</v>
      </c>
      <c r="Q1898" s="29">
        <v>103</v>
      </c>
    </row>
    <row r="1899" spans="1:17" x14ac:dyDescent="0.35">
      <c r="A1899" s="26">
        <v>40000002738</v>
      </c>
      <c r="B1899" s="27">
        <v>1</v>
      </c>
      <c r="C1899" s="29" t="str">
        <f>LOOKUP(A1899,'QALS - Inspection Lot Record'!$A$2:$A$361,'QALS - Inspection Lot Record'!$O$2:$O$361)</f>
        <v>Metformin Tablets (200 MG)</v>
      </c>
      <c r="D1899" s="31">
        <v>20</v>
      </c>
      <c r="E1899" s="29" t="s">
        <v>400</v>
      </c>
      <c r="F1899" s="29" t="str">
        <f>LOOKUP(A1899,'QALS - Inspection Lot Record'!A:A,'QALS - Inspection Lot Record'!G:G)</f>
        <v>TG509538</v>
      </c>
      <c r="G1899" s="59">
        <f ca="1">LOOKUP(A1899,'QALS - Inspection Lot Record'!A:A,'QALS - Inspection Lot Record'!E:E)</f>
        <v>45988</v>
      </c>
      <c r="H1899" s="34" t="str">
        <f t="shared" si="150"/>
        <v>A</v>
      </c>
      <c r="I1899" s="29" t="str">
        <f t="shared" si="146"/>
        <v>TG509538</v>
      </c>
      <c r="J1899" s="59">
        <f t="shared" ca="1" si="147"/>
        <v>45988</v>
      </c>
      <c r="K1899" s="30">
        <f ca="1">LOOKUP(A1899,'QALS - Inspection Lot Record'!A:A,'QALS - Inspection Lot Record'!I:I)</f>
        <v>0.43537037037037035</v>
      </c>
      <c r="L1899" s="59">
        <f t="shared" ca="1" si="148"/>
        <v>45988</v>
      </c>
      <c r="M1899" s="30">
        <f t="shared" ca="1" si="149"/>
        <v>0.45319444444444446</v>
      </c>
      <c r="N1899" s="31"/>
      <c r="O1899" s="31">
        <v>7.75</v>
      </c>
      <c r="P1899" s="29">
        <v>6</v>
      </c>
      <c r="Q1899" s="29">
        <v>9.5</v>
      </c>
    </row>
    <row r="1900" spans="1:17" x14ac:dyDescent="0.35">
      <c r="A1900" s="26">
        <v>40000002738</v>
      </c>
      <c r="B1900" s="31">
        <v>1</v>
      </c>
      <c r="C1900" s="29" t="str">
        <f>LOOKUP(A1900,'QALS - Inspection Lot Record'!$A$2:$A$361,'QALS - Inspection Lot Record'!$O$2:$O$361)</f>
        <v>Metformin Tablets (200 MG)</v>
      </c>
      <c r="D1900" s="31">
        <v>30</v>
      </c>
      <c r="E1900" s="29" t="s">
        <v>401</v>
      </c>
      <c r="F1900" s="29" t="str">
        <f>LOOKUP(A1900,'QALS - Inspection Lot Record'!A:A,'QALS - Inspection Lot Record'!G:G)</f>
        <v>TG509538</v>
      </c>
      <c r="G1900" s="59">
        <f ca="1">LOOKUP(A1900,'QALS - Inspection Lot Record'!A:A,'QALS - Inspection Lot Record'!E:E)</f>
        <v>45988</v>
      </c>
      <c r="H1900" s="34" t="str">
        <f t="shared" si="150"/>
        <v>A</v>
      </c>
      <c r="I1900" s="29" t="str">
        <f t="shared" si="146"/>
        <v>TG509538</v>
      </c>
      <c r="J1900" s="59">
        <f t="shared" ca="1" si="147"/>
        <v>45988</v>
      </c>
      <c r="K1900" s="30">
        <f ca="1">LOOKUP(A1900,'QALS - Inspection Lot Record'!A:A,'QALS - Inspection Lot Record'!I:I)</f>
        <v>0.43537037037037035</v>
      </c>
      <c r="L1900" s="59">
        <f t="shared" ca="1" si="148"/>
        <v>45988</v>
      </c>
      <c r="M1900" s="30">
        <f t="shared" ca="1" si="149"/>
        <v>0.46130787037037035</v>
      </c>
      <c r="N1900" s="11" t="s">
        <v>402</v>
      </c>
      <c r="O1900" s="31"/>
      <c r="P1900" s="29"/>
      <c r="Q1900" s="29"/>
    </row>
    <row r="1901" spans="1:17" x14ac:dyDescent="0.35">
      <c r="A1901" s="26">
        <v>40000002738</v>
      </c>
      <c r="B1901" s="31">
        <v>1</v>
      </c>
      <c r="C1901" s="29" t="str">
        <f>LOOKUP(A1901,'QALS - Inspection Lot Record'!$A$2:$A$361,'QALS - Inspection Lot Record'!$O$2:$O$361)</f>
        <v>Metformin Tablets (200 MG)</v>
      </c>
      <c r="D1901" s="31">
        <v>40</v>
      </c>
      <c r="E1901" s="29" t="s">
        <v>403</v>
      </c>
      <c r="F1901" s="29" t="str">
        <f>LOOKUP(A1901,'QALS - Inspection Lot Record'!A:A,'QALS - Inspection Lot Record'!G:G)</f>
        <v>TG509538</v>
      </c>
      <c r="G1901" s="59">
        <f ca="1">LOOKUP(A1901,'QALS - Inspection Lot Record'!A:A,'QALS - Inspection Lot Record'!E:E)</f>
        <v>45988</v>
      </c>
      <c r="H1901" s="34" t="str">
        <f t="shared" si="150"/>
        <v>A</v>
      </c>
      <c r="I1901" s="29" t="str">
        <f t="shared" si="146"/>
        <v>TG509538</v>
      </c>
      <c r="J1901" s="59">
        <f t="shared" ca="1" si="147"/>
        <v>45988</v>
      </c>
      <c r="K1901" s="30">
        <f ca="1">LOOKUP(A1901,'QALS - Inspection Lot Record'!A:A,'QALS - Inspection Lot Record'!I:I)</f>
        <v>0.43537037037037035</v>
      </c>
      <c r="L1901" s="59">
        <f t="shared" ca="1" si="148"/>
        <v>45988</v>
      </c>
      <c r="M1901" s="30">
        <f t="shared" ca="1" si="149"/>
        <v>0.47030092592592593</v>
      </c>
      <c r="N1901" s="31"/>
      <c r="O1901" s="31">
        <v>0</v>
      </c>
      <c r="P1901" s="29">
        <v>0</v>
      </c>
      <c r="Q1901" s="29">
        <v>2</v>
      </c>
    </row>
    <row r="1902" spans="1:17" x14ac:dyDescent="0.35">
      <c r="A1902" s="26">
        <v>40000002738</v>
      </c>
      <c r="B1902" s="31">
        <v>1</v>
      </c>
      <c r="C1902" s="29" t="str">
        <f>LOOKUP(A1902,'QALS - Inspection Lot Record'!$A$2:$A$361,'QALS - Inspection Lot Record'!$O$2:$O$361)</f>
        <v>Metformin Tablets (200 MG)</v>
      </c>
      <c r="D1902" s="31">
        <v>50</v>
      </c>
      <c r="E1902" s="29" t="s">
        <v>404</v>
      </c>
      <c r="F1902" s="29" t="str">
        <f>LOOKUP(A1902,'QALS - Inspection Lot Record'!A:A,'QALS - Inspection Lot Record'!G:G)</f>
        <v>TG509538</v>
      </c>
      <c r="G1902" s="59">
        <f ca="1">LOOKUP(A1902,'QALS - Inspection Lot Record'!A:A,'QALS - Inspection Lot Record'!E:E)</f>
        <v>45988</v>
      </c>
      <c r="H1902" s="34" t="str">
        <f t="shared" si="150"/>
        <v>A</v>
      </c>
      <c r="I1902" s="29" t="str">
        <f t="shared" si="146"/>
        <v>TG509538</v>
      </c>
      <c r="J1902" s="59">
        <f t="shared" ca="1" si="147"/>
        <v>45988</v>
      </c>
      <c r="K1902" s="30">
        <f ca="1">LOOKUP(A1902,'QALS - Inspection Lot Record'!A:A,'QALS - Inspection Lot Record'!I:I)</f>
        <v>0.43537037037037035</v>
      </c>
      <c r="L1902" s="59">
        <f t="shared" ca="1" si="148"/>
        <v>45988</v>
      </c>
      <c r="M1902" s="30">
        <f t="shared" ca="1" si="149"/>
        <v>0.46274305555555556</v>
      </c>
      <c r="N1902" s="31"/>
      <c r="O1902" s="31">
        <v>50</v>
      </c>
      <c r="P1902" s="29">
        <v>40</v>
      </c>
      <c r="Q1902" s="29">
        <v>60</v>
      </c>
    </row>
    <row r="1903" spans="1:17" x14ac:dyDescent="0.35">
      <c r="A1903" s="26">
        <v>40000002738</v>
      </c>
      <c r="B1903" s="31">
        <v>1</v>
      </c>
      <c r="C1903" s="29" t="str">
        <f>LOOKUP(A1903,'QALS - Inspection Lot Record'!$A$2:$A$361,'QALS - Inspection Lot Record'!$O$2:$O$361)</f>
        <v>Metformin Tablets (200 MG)</v>
      </c>
      <c r="D1903" s="31">
        <v>60</v>
      </c>
      <c r="E1903" s="29" t="s">
        <v>405</v>
      </c>
      <c r="F1903" s="29" t="str">
        <f>LOOKUP(A1903,'QALS - Inspection Lot Record'!A:A,'QALS - Inspection Lot Record'!G:G)</f>
        <v>TG509538</v>
      </c>
      <c r="G1903" s="59">
        <f ca="1">LOOKUP(A1903,'QALS - Inspection Lot Record'!A:A,'QALS - Inspection Lot Record'!E:E)</f>
        <v>45988</v>
      </c>
      <c r="H1903" s="34" t="str">
        <f t="shared" si="150"/>
        <v>A</v>
      </c>
      <c r="I1903" s="29" t="str">
        <f t="shared" si="146"/>
        <v>TG509538</v>
      </c>
      <c r="J1903" s="59">
        <f t="shared" ca="1" si="147"/>
        <v>45988</v>
      </c>
      <c r="K1903" s="30">
        <f ca="1">LOOKUP(A1903,'QALS - Inspection Lot Record'!A:A,'QALS - Inspection Lot Record'!I:I)</f>
        <v>0.43537037037037035</v>
      </c>
      <c r="L1903" s="59">
        <f t="shared" ca="1" si="148"/>
        <v>45988</v>
      </c>
      <c r="M1903" s="30">
        <f t="shared" ca="1" si="149"/>
        <v>0.46465277777777775</v>
      </c>
      <c r="N1903" s="31"/>
      <c r="O1903" s="31">
        <v>77.5</v>
      </c>
      <c r="P1903" s="29">
        <v>70</v>
      </c>
      <c r="Q1903" s="29">
        <v>85</v>
      </c>
    </row>
    <row r="1904" spans="1:17" x14ac:dyDescent="0.35">
      <c r="A1904" s="26">
        <v>40000002738</v>
      </c>
      <c r="B1904" s="31">
        <v>1</v>
      </c>
      <c r="C1904" s="29" t="str">
        <f>LOOKUP(A1904,'QALS - Inspection Lot Record'!$A$2:$A$361,'QALS - Inspection Lot Record'!$O$2:$O$361)</f>
        <v>Metformin Tablets (200 MG)</v>
      </c>
      <c r="D1904" s="31">
        <v>70</v>
      </c>
      <c r="E1904" s="29" t="s">
        <v>406</v>
      </c>
      <c r="F1904" s="29" t="str">
        <f>LOOKUP(A1904,'QALS - Inspection Lot Record'!A:A,'QALS - Inspection Lot Record'!G:G)</f>
        <v>TG509538</v>
      </c>
      <c r="G1904" s="59">
        <f ca="1">LOOKUP(A1904,'QALS - Inspection Lot Record'!A:A,'QALS - Inspection Lot Record'!E:E)</f>
        <v>45988</v>
      </c>
      <c r="H1904" s="34" t="str">
        <f t="shared" si="150"/>
        <v>A</v>
      </c>
      <c r="I1904" s="29" t="str">
        <f t="shared" si="146"/>
        <v>TG509538</v>
      </c>
      <c r="J1904" s="59">
        <f t="shared" ca="1" si="147"/>
        <v>45988</v>
      </c>
      <c r="K1904" s="30">
        <f ca="1">LOOKUP(A1904,'QALS - Inspection Lot Record'!A:A,'QALS - Inspection Lot Record'!I:I)</f>
        <v>0.43537037037037035</v>
      </c>
      <c r="L1904" s="59">
        <f t="shared" ca="1" si="148"/>
        <v>45988</v>
      </c>
      <c r="M1904" s="30">
        <f t="shared" ca="1" si="149"/>
        <v>0.45677083333333329</v>
      </c>
      <c r="N1904" s="31"/>
      <c r="O1904" s="31">
        <v>85</v>
      </c>
      <c r="P1904" s="29">
        <v>80</v>
      </c>
      <c r="Q1904" s="29">
        <v>90</v>
      </c>
    </row>
    <row r="1905" spans="1:17" x14ac:dyDescent="0.35">
      <c r="A1905" s="26">
        <v>40000002738</v>
      </c>
      <c r="B1905" s="31">
        <v>1</v>
      </c>
      <c r="C1905" s="29" t="str">
        <f>LOOKUP(A1905,'QALS - Inspection Lot Record'!$A$2:$A$361,'QALS - Inspection Lot Record'!$O$2:$O$361)</f>
        <v>Metformin Tablets (200 MG)</v>
      </c>
      <c r="D1905" s="31">
        <v>80</v>
      </c>
      <c r="E1905" s="29" t="s">
        <v>407</v>
      </c>
      <c r="F1905" s="29" t="str">
        <f>LOOKUP(A1905,'QALS - Inspection Lot Record'!A:A,'QALS - Inspection Lot Record'!G:G)</f>
        <v>TG509538</v>
      </c>
      <c r="G1905" s="59">
        <f ca="1">LOOKUP(A1905,'QALS - Inspection Lot Record'!A:A,'QALS - Inspection Lot Record'!E:E)</f>
        <v>45988</v>
      </c>
      <c r="H1905" s="34" t="str">
        <f t="shared" si="150"/>
        <v>A</v>
      </c>
      <c r="I1905" s="29" t="str">
        <f t="shared" si="146"/>
        <v>TG509538</v>
      </c>
      <c r="J1905" s="59">
        <f t="shared" ca="1" si="147"/>
        <v>45988</v>
      </c>
      <c r="K1905" s="30">
        <f ca="1">LOOKUP(A1905,'QALS - Inspection Lot Record'!A:A,'QALS - Inspection Lot Record'!I:I)</f>
        <v>0.43537037037037035</v>
      </c>
      <c r="L1905" s="59">
        <f t="shared" ca="1" si="148"/>
        <v>45988</v>
      </c>
      <c r="M1905" s="30">
        <f t="shared" ca="1" si="149"/>
        <v>0.45590277777777777</v>
      </c>
      <c r="N1905" s="31"/>
      <c r="O1905" s="31">
        <v>25.5</v>
      </c>
      <c r="P1905" s="29">
        <v>23</v>
      </c>
      <c r="Q1905" s="29">
        <v>28</v>
      </c>
    </row>
    <row r="1906" spans="1:17" x14ac:dyDescent="0.35">
      <c r="A1906" s="26">
        <v>40000002739</v>
      </c>
      <c r="B1906" s="27">
        <v>1</v>
      </c>
      <c r="C1906" s="29" t="str">
        <f>LOOKUP(A1906,'QALS - Inspection Lot Record'!$A$2:$A$361,'QALS - Inspection Lot Record'!$O$2:$O$361)</f>
        <v>Metformin Tablets (500 MG)</v>
      </c>
      <c r="D1906" s="27">
        <v>10</v>
      </c>
      <c r="E1906" s="26" t="s">
        <v>399</v>
      </c>
      <c r="F1906" s="29" t="str">
        <f>LOOKUP(A1906,'QALS - Inspection Lot Record'!A:A,'QALS - Inspection Lot Record'!G:G)</f>
        <v>ZK384180</v>
      </c>
      <c r="G1906" s="59">
        <f ca="1">LOOKUP(A1906,'QALS - Inspection Lot Record'!A:A,'QALS - Inspection Lot Record'!E:E)</f>
        <v>45989</v>
      </c>
      <c r="H1906" s="34" t="str">
        <f t="shared" si="150"/>
        <v>A</v>
      </c>
      <c r="I1906" s="29" t="str">
        <f t="shared" si="146"/>
        <v>ZK384180</v>
      </c>
      <c r="J1906" s="59">
        <f t="shared" ca="1" si="147"/>
        <v>45989</v>
      </c>
      <c r="K1906" s="30">
        <f ca="1">LOOKUP(A1906,'QALS - Inspection Lot Record'!A:A,'QALS - Inspection Lot Record'!I:I)</f>
        <v>0.82848379629629632</v>
      </c>
      <c r="L1906" s="59">
        <f t="shared" ca="1" si="148"/>
        <v>45989</v>
      </c>
      <c r="M1906" s="30">
        <f t="shared" ca="1" si="149"/>
        <v>0.86131944444444442</v>
      </c>
      <c r="N1906" s="31"/>
      <c r="O1906" s="31">
        <v>100</v>
      </c>
      <c r="P1906" s="29">
        <v>95</v>
      </c>
      <c r="Q1906" s="29">
        <v>105</v>
      </c>
    </row>
    <row r="1907" spans="1:17" x14ac:dyDescent="0.35">
      <c r="A1907" s="26">
        <v>40000002739</v>
      </c>
      <c r="B1907" s="27">
        <v>1</v>
      </c>
      <c r="C1907" s="29" t="str">
        <f>LOOKUP(A1907,'QALS - Inspection Lot Record'!$A$2:$A$361,'QALS - Inspection Lot Record'!$O$2:$O$361)</f>
        <v>Metformin Tablets (500 MG)</v>
      </c>
      <c r="D1907" s="31">
        <v>20</v>
      </c>
      <c r="E1907" s="29" t="s">
        <v>400</v>
      </c>
      <c r="F1907" s="29" t="str">
        <f>LOOKUP(A1907,'QALS - Inspection Lot Record'!A:A,'QALS - Inspection Lot Record'!G:G)</f>
        <v>ZK384180</v>
      </c>
      <c r="G1907" s="59">
        <f ca="1">LOOKUP(A1907,'QALS - Inspection Lot Record'!A:A,'QALS - Inspection Lot Record'!E:E)</f>
        <v>45989</v>
      </c>
      <c r="H1907" s="34" t="str">
        <f t="shared" si="150"/>
        <v>R</v>
      </c>
      <c r="I1907" s="29" t="str">
        <f t="shared" si="146"/>
        <v>ZK384180</v>
      </c>
      <c r="J1907" s="59">
        <f t="shared" ca="1" si="147"/>
        <v>45989</v>
      </c>
      <c r="K1907" s="30">
        <f ca="1">LOOKUP(A1907,'QALS - Inspection Lot Record'!A:A,'QALS - Inspection Lot Record'!I:I)</f>
        <v>0.82848379629629632</v>
      </c>
      <c r="L1907" s="59">
        <f t="shared" ca="1" si="148"/>
        <v>45989</v>
      </c>
      <c r="M1907" s="30">
        <f t="shared" ca="1" si="149"/>
        <v>0.86017361111111112</v>
      </c>
      <c r="N1907" s="31"/>
      <c r="O1907" s="31">
        <v>1.6</v>
      </c>
      <c r="P1907" s="29">
        <v>3.5</v>
      </c>
      <c r="Q1907" s="29">
        <v>11</v>
      </c>
    </row>
    <row r="1908" spans="1:17" x14ac:dyDescent="0.35">
      <c r="A1908" s="26">
        <v>40000002739</v>
      </c>
      <c r="B1908" s="31">
        <v>1</v>
      </c>
      <c r="C1908" s="29" t="str">
        <f>LOOKUP(A1908,'QALS - Inspection Lot Record'!$A$2:$A$361,'QALS - Inspection Lot Record'!$O$2:$O$361)</f>
        <v>Metformin Tablets (500 MG)</v>
      </c>
      <c r="D1908" s="31">
        <v>30</v>
      </c>
      <c r="E1908" s="29" t="s">
        <v>401</v>
      </c>
      <c r="F1908" s="29" t="str">
        <f>LOOKUP(A1908,'QALS - Inspection Lot Record'!A:A,'QALS - Inspection Lot Record'!G:G)</f>
        <v>ZK384180</v>
      </c>
      <c r="G1908" s="59">
        <f ca="1">LOOKUP(A1908,'QALS - Inspection Lot Record'!A:A,'QALS - Inspection Lot Record'!E:E)</f>
        <v>45989</v>
      </c>
      <c r="H1908" s="34" t="str">
        <f t="shared" si="150"/>
        <v>A</v>
      </c>
      <c r="I1908" s="29" t="str">
        <f t="shared" si="146"/>
        <v>ZK384180</v>
      </c>
      <c r="J1908" s="59">
        <f t="shared" ca="1" si="147"/>
        <v>45989</v>
      </c>
      <c r="K1908" s="30">
        <f ca="1">LOOKUP(A1908,'QALS - Inspection Lot Record'!A:A,'QALS - Inspection Lot Record'!I:I)</f>
        <v>0.82848379629629632</v>
      </c>
      <c r="L1908" s="59">
        <f t="shared" ca="1" si="148"/>
        <v>45989</v>
      </c>
      <c r="M1908" s="30">
        <f t="shared" ca="1" si="149"/>
        <v>0.84760416666666671</v>
      </c>
      <c r="N1908" s="11" t="s">
        <v>402</v>
      </c>
      <c r="O1908" s="31"/>
      <c r="P1908" s="29"/>
      <c r="Q1908" s="29"/>
    </row>
    <row r="1909" spans="1:17" x14ac:dyDescent="0.35">
      <c r="A1909" s="26">
        <v>40000002739</v>
      </c>
      <c r="B1909" s="31">
        <v>1</v>
      </c>
      <c r="C1909" s="29" t="str">
        <f>LOOKUP(A1909,'QALS - Inspection Lot Record'!$A$2:$A$361,'QALS - Inspection Lot Record'!$O$2:$O$361)</f>
        <v>Metformin Tablets (500 MG)</v>
      </c>
      <c r="D1909" s="31">
        <v>40</v>
      </c>
      <c r="E1909" s="29" t="s">
        <v>403</v>
      </c>
      <c r="F1909" s="29" t="str">
        <f>LOOKUP(A1909,'QALS - Inspection Lot Record'!A:A,'QALS - Inspection Lot Record'!G:G)</f>
        <v>ZK384180</v>
      </c>
      <c r="G1909" s="59">
        <f ca="1">LOOKUP(A1909,'QALS - Inspection Lot Record'!A:A,'QALS - Inspection Lot Record'!E:E)</f>
        <v>45989</v>
      </c>
      <c r="H1909" s="34" t="str">
        <f t="shared" si="150"/>
        <v>A</v>
      </c>
      <c r="I1909" s="29" t="str">
        <f t="shared" si="146"/>
        <v>ZK384180</v>
      </c>
      <c r="J1909" s="59">
        <f t="shared" ca="1" si="147"/>
        <v>45989</v>
      </c>
      <c r="K1909" s="30">
        <f ca="1">LOOKUP(A1909,'QALS - Inspection Lot Record'!A:A,'QALS - Inspection Lot Record'!I:I)</f>
        <v>0.82848379629629632</v>
      </c>
      <c r="L1909" s="59">
        <f t="shared" ca="1" si="148"/>
        <v>45989</v>
      </c>
      <c r="M1909" s="30">
        <f t="shared" ca="1" si="149"/>
        <v>0.86332175925925925</v>
      </c>
      <c r="N1909" s="31"/>
      <c r="O1909" s="31">
        <v>0</v>
      </c>
      <c r="P1909" s="29">
        <v>0</v>
      </c>
      <c r="Q1909" s="29">
        <v>2</v>
      </c>
    </row>
    <row r="1910" spans="1:17" x14ac:dyDescent="0.35">
      <c r="A1910" s="26">
        <v>40000002739</v>
      </c>
      <c r="B1910" s="31">
        <v>1</v>
      </c>
      <c r="C1910" s="29" t="str">
        <f>LOOKUP(A1910,'QALS - Inspection Lot Record'!$A$2:$A$361,'QALS - Inspection Lot Record'!$O$2:$O$361)</f>
        <v>Metformin Tablets (500 MG)</v>
      </c>
      <c r="D1910" s="31">
        <v>50</v>
      </c>
      <c r="E1910" s="29" t="s">
        <v>404</v>
      </c>
      <c r="F1910" s="29" t="str">
        <f>LOOKUP(A1910,'QALS - Inspection Lot Record'!A:A,'QALS - Inspection Lot Record'!G:G)</f>
        <v>ZK384180</v>
      </c>
      <c r="G1910" s="59">
        <f ca="1">LOOKUP(A1910,'QALS - Inspection Lot Record'!A:A,'QALS - Inspection Lot Record'!E:E)</f>
        <v>45989</v>
      </c>
      <c r="H1910" s="34" t="str">
        <f t="shared" si="150"/>
        <v>A</v>
      </c>
      <c r="I1910" s="29" t="str">
        <f t="shared" si="146"/>
        <v>ZK384180</v>
      </c>
      <c r="J1910" s="59">
        <f t="shared" ca="1" si="147"/>
        <v>45989</v>
      </c>
      <c r="K1910" s="30">
        <f ca="1">LOOKUP(A1910,'QALS - Inspection Lot Record'!A:A,'QALS - Inspection Lot Record'!I:I)</f>
        <v>0.82848379629629632</v>
      </c>
      <c r="L1910" s="59">
        <f t="shared" ca="1" si="148"/>
        <v>45989</v>
      </c>
      <c r="M1910" s="30">
        <f t="shared" ca="1" si="149"/>
        <v>0.85542824074074075</v>
      </c>
      <c r="N1910" s="31"/>
      <c r="O1910" s="31">
        <v>50</v>
      </c>
      <c r="P1910" s="29">
        <v>40</v>
      </c>
      <c r="Q1910" s="29">
        <v>60</v>
      </c>
    </row>
    <row r="1911" spans="1:17" x14ac:dyDescent="0.35">
      <c r="A1911" s="26">
        <v>40000002739</v>
      </c>
      <c r="B1911" s="31">
        <v>1</v>
      </c>
      <c r="C1911" s="29" t="str">
        <f>LOOKUP(A1911,'QALS - Inspection Lot Record'!$A$2:$A$361,'QALS - Inspection Lot Record'!$O$2:$O$361)</f>
        <v>Metformin Tablets (500 MG)</v>
      </c>
      <c r="D1911" s="31">
        <v>60</v>
      </c>
      <c r="E1911" s="29" t="s">
        <v>405</v>
      </c>
      <c r="F1911" s="29" t="str">
        <f>LOOKUP(A1911,'QALS - Inspection Lot Record'!A:A,'QALS - Inspection Lot Record'!G:G)</f>
        <v>ZK384180</v>
      </c>
      <c r="G1911" s="59">
        <f ca="1">LOOKUP(A1911,'QALS - Inspection Lot Record'!A:A,'QALS - Inspection Lot Record'!E:E)</f>
        <v>45989</v>
      </c>
      <c r="H1911" s="34" t="str">
        <f t="shared" si="150"/>
        <v>A</v>
      </c>
      <c r="I1911" s="29" t="str">
        <f t="shared" si="146"/>
        <v>ZK384180</v>
      </c>
      <c r="J1911" s="59">
        <f t="shared" ca="1" si="147"/>
        <v>45989</v>
      </c>
      <c r="K1911" s="30">
        <f ca="1">LOOKUP(A1911,'QALS - Inspection Lot Record'!A:A,'QALS - Inspection Lot Record'!I:I)</f>
        <v>0.82848379629629632</v>
      </c>
      <c r="L1911" s="59">
        <f t="shared" ca="1" si="148"/>
        <v>45989</v>
      </c>
      <c r="M1911" s="30">
        <f t="shared" ca="1" si="149"/>
        <v>0.8479282407407408</v>
      </c>
      <c r="N1911" s="31"/>
      <c r="O1911" s="31">
        <v>77.5</v>
      </c>
      <c r="P1911" s="29">
        <v>70</v>
      </c>
      <c r="Q1911" s="29">
        <v>85</v>
      </c>
    </row>
    <row r="1912" spans="1:17" x14ac:dyDescent="0.35">
      <c r="A1912" s="26">
        <v>40000002739</v>
      </c>
      <c r="B1912" s="31">
        <v>1</v>
      </c>
      <c r="C1912" s="29" t="str">
        <f>LOOKUP(A1912,'QALS - Inspection Lot Record'!$A$2:$A$361,'QALS - Inspection Lot Record'!$O$2:$O$361)</f>
        <v>Metformin Tablets (500 MG)</v>
      </c>
      <c r="D1912" s="31">
        <v>70</v>
      </c>
      <c r="E1912" s="29" t="s">
        <v>406</v>
      </c>
      <c r="F1912" s="29" t="str">
        <f>LOOKUP(A1912,'QALS - Inspection Lot Record'!A:A,'QALS - Inspection Lot Record'!G:G)</f>
        <v>ZK384180</v>
      </c>
      <c r="G1912" s="59">
        <f ca="1">LOOKUP(A1912,'QALS - Inspection Lot Record'!A:A,'QALS - Inspection Lot Record'!E:E)</f>
        <v>45989</v>
      </c>
      <c r="H1912" s="34" t="str">
        <f t="shared" si="150"/>
        <v>A</v>
      </c>
      <c r="I1912" s="29" t="str">
        <f t="shared" si="146"/>
        <v>ZK384180</v>
      </c>
      <c r="J1912" s="59">
        <f t="shared" ca="1" si="147"/>
        <v>45989</v>
      </c>
      <c r="K1912" s="30">
        <f ca="1">LOOKUP(A1912,'QALS - Inspection Lot Record'!A:A,'QALS - Inspection Lot Record'!I:I)</f>
        <v>0.82848379629629632</v>
      </c>
      <c r="L1912" s="59">
        <f t="shared" ca="1" si="148"/>
        <v>45989</v>
      </c>
      <c r="M1912" s="30">
        <f t="shared" ca="1" si="149"/>
        <v>0.8475462962962963</v>
      </c>
      <c r="N1912" s="31"/>
      <c r="O1912" s="31">
        <v>85</v>
      </c>
      <c r="P1912" s="29">
        <v>80</v>
      </c>
      <c r="Q1912" s="29">
        <v>90</v>
      </c>
    </row>
    <row r="1913" spans="1:17" x14ac:dyDescent="0.35">
      <c r="A1913" s="26">
        <v>40000002739</v>
      </c>
      <c r="B1913" s="31">
        <v>1</v>
      </c>
      <c r="C1913" s="29" t="str">
        <f>LOOKUP(A1913,'QALS - Inspection Lot Record'!$A$2:$A$361,'QALS - Inspection Lot Record'!$O$2:$O$361)</f>
        <v>Metformin Tablets (500 MG)</v>
      </c>
      <c r="D1913" s="31">
        <v>80</v>
      </c>
      <c r="E1913" s="29" t="s">
        <v>407</v>
      </c>
      <c r="F1913" s="29" t="str">
        <f>LOOKUP(A1913,'QALS - Inspection Lot Record'!A:A,'QALS - Inspection Lot Record'!G:G)</f>
        <v>ZK384180</v>
      </c>
      <c r="G1913" s="59">
        <f ca="1">LOOKUP(A1913,'QALS - Inspection Lot Record'!A:A,'QALS - Inspection Lot Record'!E:E)</f>
        <v>45989</v>
      </c>
      <c r="H1913" s="34" t="str">
        <f t="shared" si="150"/>
        <v>A</v>
      </c>
      <c r="I1913" s="29" t="str">
        <f t="shared" si="146"/>
        <v>ZK384180</v>
      </c>
      <c r="J1913" s="59">
        <f t="shared" ca="1" si="147"/>
        <v>45989</v>
      </c>
      <c r="K1913" s="30">
        <f ca="1">LOOKUP(A1913,'QALS - Inspection Lot Record'!A:A,'QALS - Inspection Lot Record'!I:I)</f>
        <v>0.82848379629629632</v>
      </c>
      <c r="L1913" s="59">
        <f t="shared" ca="1" si="148"/>
        <v>45989</v>
      </c>
      <c r="M1913" s="30">
        <f t="shared" ca="1" si="149"/>
        <v>0.85790509259259262</v>
      </c>
      <c r="N1913" s="31"/>
      <c r="O1913" s="31">
        <v>25.5</v>
      </c>
      <c r="P1913" s="29">
        <v>23</v>
      </c>
      <c r="Q1913" s="29">
        <v>28</v>
      </c>
    </row>
    <row r="1914" spans="1:17" x14ac:dyDescent="0.35">
      <c r="A1914" s="26">
        <v>40000002740</v>
      </c>
      <c r="B1914" s="27">
        <v>1</v>
      </c>
      <c r="C1914" s="29" t="str">
        <f>LOOKUP(A1914,'QALS - Inspection Lot Record'!$A$2:$A$361,'QALS - Inspection Lot Record'!$O$2:$O$361)</f>
        <v>Aspirin Tablets (500 MG)</v>
      </c>
      <c r="D1914" s="27">
        <v>10</v>
      </c>
      <c r="E1914" s="26" t="s">
        <v>399</v>
      </c>
      <c r="F1914" s="29" t="str">
        <f>LOOKUP(A1914,'QALS - Inspection Lot Record'!A:A,'QALS - Inspection Lot Record'!G:G)</f>
        <v>GC197258</v>
      </c>
      <c r="G1914" s="59">
        <f ca="1">LOOKUP(A1914,'QALS - Inspection Lot Record'!A:A,'QALS - Inspection Lot Record'!E:E)</f>
        <v>45989</v>
      </c>
      <c r="H1914" s="34" t="str">
        <f t="shared" si="150"/>
        <v>A</v>
      </c>
      <c r="I1914" s="29" t="str">
        <f t="shared" si="146"/>
        <v>GC197258</v>
      </c>
      <c r="J1914" s="59">
        <f t="shared" ca="1" si="147"/>
        <v>45989</v>
      </c>
      <c r="K1914" s="30">
        <f ca="1">LOOKUP(A1914,'QALS - Inspection Lot Record'!A:A,'QALS - Inspection Lot Record'!I:I)</f>
        <v>0.31406250000000002</v>
      </c>
      <c r="L1914" s="59">
        <f t="shared" ca="1" si="148"/>
        <v>45989</v>
      </c>
      <c r="M1914" s="30">
        <f t="shared" ca="1" si="149"/>
        <v>0.34449074074074076</v>
      </c>
      <c r="N1914" s="31"/>
      <c r="O1914" s="31">
        <v>100</v>
      </c>
      <c r="P1914" s="29">
        <v>95</v>
      </c>
      <c r="Q1914" s="29">
        <v>105</v>
      </c>
    </row>
    <row r="1915" spans="1:17" x14ac:dyDescent="0.35">
      <c r="A1915" s="26">
        <v>40000002740</v>
      </c>
      <c r="B1915" s="27">
        <v>1</v>
      </c>
      <c r="C1915" s="29" t="str">
        <f>LOOKUP(A1915,'QALS - Inspection Lot Record'!$A$2:$A$361,'QALS - Inspection Lot Record'!$O$2:$O$361)</f>
        <v>Aspirin Tablets (500 MG)</v>
      </c>
      <c r="D1915" s="31">
        <v>20</v>
      </c>
      <c r="E1915" s="29" t="s">
        <v>400</v>
      </c>
      <c r="F1915" s="29" t="str">
        <f>LOOKUP(A1915,'QALS - Inspection Lot Record'!A:A,'QALS - Inspection Lot Record'!G:G)</f>
        <v>GC197258</v>
      </c>
      <c r="G1915" s="59">
        <f ca="1">LOOKUP(A1915,'QALS - Inspection Lot Record'!A:A,'QALS - Inspection Lot Record'!E:E)</f>
        <v>45989</v>
      </c>
      <c r="H1915" s="34" t="str">
        <f t="shared" si="150"/>
        <v>A</v>
      </c>
      <c r="I1915" s="29" t="str">
        <f t="shared" si="146"/>
        <v>GC197258</v>
      </c>
      <c r="J1915" s="59">
        <f t="shared" ca="1" si="147"/>
        <v>45989</v>
      </c>
      <c r="K1915" s="30">
        <f ca="1">LOOKUP(A1915,'QALS - Inspection Lot Record'!A:A,'QALS - Inspection Lot Record'!I:I)</f>
        <v>0.31406250000000002</v>
      </c>
      <c r="L1915" s="59">
        <f t="shared" ca="1" si="148"/>
        <v>45989</v>
      </c>
      <c r="M1915" s="30">
        <f t="shared" ca="1" si="149"/>
        <v>0.33915509259259263</v>
      </c>
      <c r="N1915" s="31"/>
      <c r="O1915" s="31">
        <v>7.25</v>
      </c>
      <c r="P1915" s="29">
        <v>3.5</v>
      </c>
      <c r="Q1915" s="29">
        <v>11</v>
      </c>
    </row>
    <row r="1916" spans="1:17" x14ac:dyDescent="0.35">
      <c r="A1916" s="26">
        <v>40000002740</v>
      </c>
      <c r="B1916" s="31">
        <v>1</v>
      </c>
      <c r="C1916" s="29" t="str">
        <f>LOOKUP(A1916,'QALS - Inspection Lot Record'!$A$2:$A$361,'QALS - Inspection Lot Record'!$O$2:$O$361)</f>
        <v>Aspirin Tablets (500 MG)</v>
      </c>
      <c r="D1916" s="31">
        <v>30</v>
      </c>
      <c r="E1916" s="29" t="s">
        <v>401</v>
      </c>
      <c r="F1916" s="29" t="str">
        <f>LOOKUP(A1916,'QALS - Inspection Lot Record'!A:A,'QALS - Inspection Lot Record'!G:G)</f>
        <v>GC197258</v>
      </c>
      <c r="G1916" s="59">
        <f ca="1">LOOKUP(A1916,'QALS - Inspection Lot Record'!A:A,'QALS - Inspection Lot Record'!E:E)</f>
        <v>45989</v>
      </c>
      <c r="H1916" s="34" t="str">
        <f t="shared" si="150"/>
        <v>A</v>
      </c>
      <c r="I1916" s="29" t="str">
        <f t="shared" si="146"/>
        <v>GC197258</v>
      </c>
      <c r="J1916" s="59">
        <f t="shared" ca="1" si="147"/>
        <v>45989</v>
      </c>
      <c r="K1916" s="30">
        <f ca="1">LOOKUP(A1916,'QALS - Inspection Lot Record'!A:A,'QALS - Inspection Lot Record'!I:I)</f>
        <v>0.31406250000000002</v>
      </c>
      <c r="L1916" s="59">
        <f t="shared" ca="1" si="148"/>
        <v>45989</v>
      </c>
      <c r="M1916" s="30">
        <f t="shared" ca="1" si="149"/>
        <v>0.34731481481481485</v>
      </c>
      <c r="N1916" s="11" t="s">
        <v>402</v>
      </c>
      <c r="O1916" s="31"/>
      <c r="P1916" s="29"/>
      <c r="Q1916" s="29"/>
    </row>
    <row r="1917" spans="1:17" x14ac:dyDescent="0.35">
      <c r="A1917" s="26">
        <v>40000002740</v>
      </c>
      <c r="B1917" s="31">
        <v>1</v>
      </c>
      <c r="C1917" s="29" t="str">
        <f>LOOKUP(A1917,'QALS - Inspection Lot Record'!$A$2:$A$361,'QALS - Inspection Lot Record'!$O$2:$O$361)</f>
        <v>Aspirin Tablets (500 MG)</v>
      </c>
      <c r="D1917" s="31">
        <v>40</v>
      </c>
      <c r="E1917" s="29" t="s">
        <v>403</v>
      </c>
      <c r="F1917" s="29" t="str">
        <f>LOOKUP(A1917,'QALS - Inspection Lot Record'!A:A,'QALS - Inspection Lot Record'!G:G)</f>
        <v>GC197258</v>
      </c>
      <c r="G1917" s="59">
        <f ca="1">LOOKUP(A1917,'QALS - Inspection Lot Record'!A:A,'QALS - Inspection Lot Record'!E:E)</f>
        <v>45989</v>
      </c>
      <c r="H1917" s="34" t="str">
        <f t="shared" si="150"/>
        <v>A</v>
      </c>
      <c r="I1917" s="29" t="str">
        <f t="shared" si="146"/>
        <v>GC197258</v>
      </c>
      <c r="J1917" s="59">
        <f t="shared" ca="1" si="147"/>
        <v>45989</v>
      </c>
      <c r="K1917" s="30">
        <f ca="1">LOOKUP(A1917,'QALS - Inspection Lot Record'!A:A,'QALS - Inspection Lot Record'!I:I)</f>
        <v>0.31406250000000002</v>
      </c>
      <c r="L1917" s="59">
        <f t="shared" ca="1" si="148"/>
        <v>45989</v>
      </c>
      <c r="M1917" s="30">
        <f t="shared" ca="1" si="149"/>
        <v>0.33736111111111111</v>
      </c>
      <c r="N1917" s="31"/>
      <c r="O1917" s="31">
        <v>0</v>
      </c>
      <c r="P1917" s="29">
        <v>0</v>
      </c>
      <c r="Q1917" s="29">
        <v>2.5</v>
      </c>
    </row>
    <row r="1918" spans="1:17" x14ac:dyDescent="0.35">
      <c r="A1918" s="26">
        <v>40000002740</v>
      </c>
      <c r="B1918" s="31">
        <v>1</v>
      </c>
      <c r="C1918" s="29" t="str">
        <f>LOOKUP(A1918,'QALS - Inspection Lot Record'!$A$2:$A$361,'QALS - Inspection Lot Record'!$O$2:$O$361)</f>
        <v>Aspirin Tablets (500 MG)</v>
      </c>
      <c r="D1918" s="31">
        <v>50</v>
      </c>
      <c r="E1918" s="29" t="s">
        <v>404</v>
      </c>
      <c r="F1918" s="29" t="str">
        <f>LOOKUP(A1918,'QALS - Inspection Lot Record'!A:A,'QALS - Inspection Lot Record'!G:G)</f>
        <v>GC197258</v>
      </c>
      <c r="G1918" s="59">
        <f ca="1">LOOKUP(A1918,'QALS - Inspection Lot Record'!A:A,'QALS - Inspection Lot Record'!E:E)</f>
        <v>45989</v>
      </c>
      <c r="H1918" s="34" t="str">
        <f t="shared" si="150"/>
        <v>A</v>
      </c>
      <c r="I1918" s="29" t="str">
        <f t="shared" si="146"/>
        <v>GC197258</v>
      </c>
      <c r="J1918" s="59">
        <f t="shared" ca="1" si="147"/>
        <v>45989</v>
      </c>
      <c r="K1918" s="30">
        <f ca="1">LOOKUP(A1918,'QALS - Inspection Lot Record'!A:A,'QALS - Inspection Lot Record'!I:I)</f>
        <v>0.31406250000000002</v>
      </c>
      <c r="L1918" s="59">
        <f t="shared" ca="1" si="148"/>
        <v>45989</v>
      </c>
      <c r="M1918" s="30">
        <f t="shared" ca="1" si="149"/>
        <v>0.34851851851851856</v>
      </c>
      <c r="N1918" s="31"/>
      <c r="O1918" s="31">
        <v>50</v>
      </c>
      <c r="P1918" s="29">
        <v>40</v>
      </c>
      <c r="Q1918" s="29">
        <v>60</v>
      </c>
    </row>
    <row r="1919" spans="1:17" x14ac:dyDescent="0.35">
      <c r="A1919" s="26">
        <v>40000002740</v>
      </c>
      <c r="B1919" s="31">
        <v>1</v>
      </c>
      <c r="C1919" s="29" t="str">
        <f>LOOKUP(A1919,'QALS - Inspection Lot Record'!$A$2:$A$361,'QALS - Inspection Lot Record'!$O$2:$O$361)</f>
        <v>Aspirin Tablets (500 MG)</v>
      </c>
      <c r="D1919" s="31">
        <v>60</v>
      </c>
      <c r="E1919" s="29" t="s">
        <v>405</v>
      </c>
      <c r="F1919" s="29" t="str">
        <f>LOOKUP(A1919,'QALS - Inspection Lot Record'!A:A,'QALS - Inspection Lot Record'!G:G)</f>
        <v>GC197258</v>
      </c>
      <c r="G1919" s="59">
        <f ca="1">LOOKUP(A1919,'QALS - Inspection Lot Record'!A:A,'QALS - Inspection Lot Record'!E:E)</f>
        <v>45989</v>
      </c>
      <c r="H1919" s="34" t="str">
        <f t="shared" si="150"/>
        <v>A</v>
      </c>
      <c r="I1919" s="29" t="str">
        <f t="shared" si="146"/>
        <v>GC197258</v>
      </c>
      <c r="J1919" s="59">
        <f t="shared" ca="1" si="147"/>
        <v>45989</v>
      </c>
      <c r="K1919" s="30">
        <f ca="1">LOOKUP(A1919,'QALS - Inspection Lot Record'!A:A,'QALS - Inspection Lot Record'!I:I)</f>
        <v>0.31406250000000002</v>
      </c>
      <c r="L1919" s="59">
        <f t="shared" ca="1" si="148"/>
        <v>45989</v>
      </c>
      <c r="M1919" s="30">
        <f t="shared" ca="1" si="149"/>
        <v>0.34446759259259263</v>
      </c>
      <c r="N1919" s="31"/>
      <c r="O1919" s="31">
        <v>77.5</v>
      </c>
      <c r="P1919" s="29">
        <v>70</v>
      </c>
      <c r="Q1919" s="29">
        <v>85</v>
      </c>
    </row>
    <row r="1920" spans="1:17" x14ac:dyDescent="0.35">
      <c r="A1920" s="26">
        <v>40000002740</v>
      </c>
      <c r="B1920" s="31">
        <v>1</v>
      </c>
      <c r="C1920" s="29" t="str">
        <f>LOOKUP(A1920,'QALS - Inspection Lot Record'!$A$2:$A$361,'QALS - Inspection Lot Record'!$O$2:$O$361)</f>
        <v>Aspirin Tablets (500 MG)</v>
      </c>
      <c r="D1920" s="31">
        <v>70</v>
      </c>
      <c r="E1920" s="29" t="s">
        <v>406</v>
      </c>
      <c r="F1920" s="29" t="str">
        <f>LOOKUP(A1920,'QALS - Inspection Lot Record'!A:A,'QALS - Inspection Lot Record'!G:G)</f>
        <v>GC197258</v>
      </c>
      <c r="G1920" s="59">
        <f ca="1">LOOKUP(A1920,'QALS - Inspection Lot Record'!A:A,'QALS - Inspection Lot Record'!E:E)</f>
        <v>45989</v>
      </c>
      <c r="H1920" s="34" t="str">
        <f t="shared" si="150"/>
        <v>A</v>
      </c>
      <c r="I1920" s="29" t="str">
        <f t="shared" si="146"/>
        <v>GC197258</v>
      </c>
      <c r="J1920" s="59">
        <f t="shared" ca="1" si="147"/>
        <v>45989</v>
      </c>
      <c r="K1920" s="30">
        <f ca="1">LOOKUP(A1920,'QALS - Inspection Lot Record'!A:A,'QALS - Inspection Lot Record'!I:I)</f>
        <v>0.31406250000000002</v>
      </c>
      <c r="L1920" s="59">
        <f t="shared" ca="1" si="148"/>
        <v>45989</v>
      </c>
      <c r="M1920" s="30">
        <f t="shared" ca="1" si="149"/>
        <v>0.34122685185185186</v>
      </c>
      <c r="N1920" s="31"/>
      <c r="O1920" s="31">
        <v>85</v>
      </c>
      <c r="P1920" s="29">
        <v>80</v>
      </c>
      <c r="Q1920" s="29">
        <v>90</v>
      </c>
    </row>
    <row r="1921" spans="1:17" x14ac:dyDescent="0.35">
      <c r="A1921" s="26">
        <v>40000002740</v>
      </c>
      <c r="B1921" s="31">
        <v>1</v>
      </c>
      <c r="C1921" s="29" t="str">
        <f>LOOKUP(A1921,'QALS - Inspection Lot Record'!$A$2:$A$361,'QALS - Inspection Lot Record'!$O$2:$O$361)</f>
        <v>Aspirin Tablets (500 MG)</v>
      </c>
      <c r="D1921" s="31">
        <v>80</v>
      </c>
      <c r="E1921" s="29" t="s">
        <v>407</v>
      </c>
      <c r="F1921" s="29" t="str">
        <f>LOOKUP(A1921,'QALS - Inspection Lot Record'!A:A,'QALS - Inspection Lot Record'!G:G)</f>
        <v>GC197258</v>
      </c>
      <c r="G1921" s="59">
        <f ca="1">LOOKUP(A1921,'QALS - Inspection Lot Record'!A:A,'QALS - Inspection Lot Record'!E:E)</f>
        <v>45989</v>
      </c>
      <c r="H1921" s="34" t="str">
        <f t="shared" si="150"/>
        <v>R</v>
      </c>
      <c r="I1921" s="29" t="str">
        <f t="shared" si="146"/>
        <v>GC197258</v>
      </c>
      <c r="J1921" s="59">
        <f t="shared" ca="1" si="147"/>
        <v>45989</v>
      </c>
      <c r="K1921" s="30">
        <f ca="1">LOOKUP(A1921,'QALS - Inspection Lot Record'!A:A,'QALS - Inspection Lot Record'!I:I)</f>
        <v>0.31406250000000002</v>
      </c>
      <c r="L1921" s="59">
        <f t="shared" ca="1" si="148"/>
        <v>45989</v>
      </c>
      <c r="M1921" s="30">
        <f t="shared" ca="1" si="149"/>
        <v>0.34780092592592593</v>
      </c>
      <c r="N1921" s="31"/>
      <c r="O1921" s="31">
        <v>21.9</v>
      </c>
      <c r="P1921" s="29">
        <v>23</v>
      </c>
      <c r="Q1921" s="29">
        <v>28</v>
      </c>
    </row>
    <row r="1922" spans="1:17" x14ac:dyDescent="0.35">
      <c r="A1922" s="26">
        <v>40000002741</v>
      </c>
      <c r="B1922" s="27">
        <v>1</v>
      </c>
      <c r="C1922" s="29" t="str">
        <f>LOOKUP(A1922,'QALS - Inspection Lot Record'!$A$2:$A$361,'QALS - Inspection Lot Record'!$O$2:$O$361)</f>
        <v>Ibuprofen Tablets (100 MG)</v>
      </c>
      <c r="D1922" s="27">
        <v>10</v>
      </c>
      <c r="E1922" s="26" t="s">
        <v>399</v>
      </c>
      <c r="F1922" s="29" t="str">
        <f>LOOKUP(A1922,'QALS - Inspection Lot Record'!A:A,'QALS - Inspection Lot Record'!G:G)</f>
        <v>ZK384180</v>
      </c>
      <c r="G1922" s="59">
        <f ca="1">LOOKUP(A1922,'QALS - Inspection Lot Record'!A:A,'QALS - Inspection Lot Record'!E:E)</f>
        <v>45990</v>
      </c>
      <c r="H1922" s="34" t="str">
        <f t="shared" si="150"/>
        <v>A</v>
      </c>
      <c r="I1922" s="29" t="str">
        <f t="shared" ref="I1922:I1985" si="151">F1922</f>
        <v>ZK384180</v>
      </c>
      <c r="J1922" s="59">
        <f t="shared" ref="J1922:J1985" ca="1" si="152">G1922</f>
        <v>45990</v>
      </c>
      <c r="K1922" s="30">
        <f ca="1">LOOKUP(A1922,'QALS - Inspection Lot Record'!A:A,'QALS - Inspection Lot Record'!I:I)</f>
        <v>0.71980324074074076</v>
      </c>
      <c r="L1922" s="59">
        <f t="shared" ref="L1922:L1985" ca="1" si="153">G1922</f>
        <v>45990</v>
      </c>
      <c r="M1922" s="30">
        <f t="shared" ref="M1922:M1985" ca="1" si="154">K1922+TIME(0,RANDBETWEEN(25,50),RANDBETWEEN(0,59))</f>
        <v>0.7511458333333334</v>
      </c>
      <c r="N1922" s="31"/>
      <c r="O1922" s="31">
        <v>97</v>
      </c>
      <c r="P1922" s="29">
        <v>95</v>
      </c>
      <c r="Q1922" s="29">
        <v>102</v>
      </c>
    </row>
    <row r="1923" spans="1:17" x14ac:dyDescent="0.35">
      <c r="A1923" s="26">
        <v>40000002741</v>
      </c>
      <c r="B1923" s="27">
        <v>1</v>
      </c>
      <c r="C1923" s="29" t="str">
        <f>LOOKUP(A1923,'QALS - Inspection Lot Record'!$A$2:$A$361,'QALS - Inspection Lot Record'!$O$2:$O$361)</f>
        <v>Ibuprofen Tablets (100 MG)</v>
      </c>
      <c r="D1923" s="31">
        <v>20</v>
      </c>
      <c r="E1923" s="29" t="s">
        <v>400</v>
      </c>
      <c r="F1923" s="29" t="str">
        <f>LOOKUP(A1923,'QALS - Inspection Lot Record'!A:A,'QALS - Inspection Lot Record'!G:G)</f>
        <v>ZK384180</v>
      </c>
      <c r="G1923" s="59">
        <f ca="1">LOOKUP(A1923,'QALS - Inspection Lot Record'!A:A,'QALS - Inspection Lot Record'!E:E)</f>
        <v>45990</v>
      </c>
      <c r="H1923" s="34" t="str">
        <f t="shared" si="150"/>
        <v>A</v>
      </c>
      <c r="I1923" s="29" t="str">
        <f t="shared" si="151"/>
        <v>ZK384180</v>
      </c>
      <c r="J1923" s="59">
        <f t="shared" ca="1" si="152"/>
        <v>45990</v>
      </c>
      <c r="K1923" s="30">
        <f ca="1">LOOKUP(A1923,'QALS - Inspection Lot Record'!A:A,'QALS - Inspection Lot Record'!I:I)</f>
        <v>0.71980324074074076</v>
      </c>
      <c r="L1923" s="59">
        <f t="shared" ca="1" si="153"/>
        <v>45990</v>
      </c>
      <c r="M1923" s="30">
        <f t="shared" ca="1" si="154"/>
        <v>0.743113425925926</v>
      </c>
      <c r="N1923" s="31"/>
      <c r="O1923" s="31">
        <v>4.3</v>
      </c>
      <c r="P1923" s="29">
        <v>3.5</v>
      </c>
      <c r="Q1923" s="29">
        <v>11</v>
      </c>
    </row>
    <row r="1924" spans="1:17" x14ac:dyDescent="0.35">
      <c r="A1924" s="26">
        <v>40000002741</v>
      </c>
      <c r="B1924" s="31">
        <v>1</v>
      </c>
      <c r="C1924" s="29" t="str">
        <f>LOOKUP(A1924,'QALS - Inspection Lot Record'!$A$2:$A$361,'QALS - Inspection Lot Record'!$O$2:$O$361)</f>
        <v>Ibuprofen Tablets (100 MG)</v>
      </c>
      <c r="D1924" s="31">
        <v>30</v>
      </c>
      <c r="E1924" s="29" t="s">
        <v>401</v>
      </c>
      <c r="F1924" s="29" t="str">
        <f>LOOKUP(A1924,'QALS - Inspection Lot Record'!A:A,'QALS - Inspection Lot Record'!G:G)</f>
        <v>ZK384180</v>
      </c>
      <c r="G1924" s="59">
        <f ca="1">LOOKUP(A1924,'QALS - Inspection Lot Record'!A:A,'QALS - Inspection Lot Record'!E:E)</f>
        <v>45990</v>
      </c>
      <c r="H1924" s="34" t="str">
        <f t="shared" si="150"/>
        <v>A</v>
      </c>
      <c r="I1924" s="29" t="str">
        <f t="shared" si="151"/>
        <v>ZK384180</v>
      </c>
      <c r="J1924" s="59">
        <f t="shared" ca="1" si="152"/>
        <v>45990</v>
      </c>
      <c r="K1924" s="30">
        <f ca="1">LOOKUP(A1924,'QALS - Inspection Lot Record'!A:A,'QALS - Inspection Lot Record'!I:I)</f>
        <v>0.71980324074074076</v>
      </c>
      <c r="L1924" s="59">
        <f t="shared" ca="1" si="153"/>
        <v>45990</v>
      </c>
      <c r="M1924" s="30">
        <f t="shared" ca="1" si="154"/>
        <v>0.74658564814814821</v>
      </c>
      <c r="N1924" s="11" t="s">
        <v>402</v>
      </c>
      <c r="O1924" s="31"/>
      <c r="P1924" s="29"/>
      <c r="Q1924" s="29"/>
    </row>
    <row r="1925" spans="1:17" x14ac:dyDescent="0.35">
      <c r="A1925" s="26">
        <v>40000002741</v>
      </c>
      <c r="B1925" s="31">
        <v>1</v>
      </c>
      <c r="C1925" s="29" t="str">
        <f>LOOKUP(A1925,'QALS - Inspection Lot Record'!$A$2:$A$361,'QALS - Inspection Lot Record'!$O$2:$O$361)</f>
        <v>Ibuprofen Tablets (100 MG)</v>
      </c>
      <c r="D1925" s="31">
        <v>40</v>
      </c>
      <c r="E1925" s="29" t="s">
        <v>403</v>
      </c>
      <c r="F1925" s="29" t="str">
        <f>LOOKUP(A1925,'QALS - Inspection Lot Record'!A:A,'QALS - Inspection Lot Record'!G:G)</f>
        <v>ZK384180</v>
      </c>
      <c r="G1925" s="59">
        <f ca="1">LOOKUP(A1925,'QALS - Inspection Lot Record'!A:A,'QALS - Inspection Lot Record'!E:E)</f>
        <v>45990</v>
      </c>
      <c r="H1925" s="34" t="str">
        <f t="shared" si="150"/>
        <v>A</v>
      </c>
      <c r="I1925" s="29" t="str">
        <f t="shared" si="151"/>
        <v>ZK384180</v>
      </c>
      <c r="J1925" s="59">
        <f t="shared" ca="1" si="152"/>
        <v>45990</v>
      </c>
      <c r="K1925" s="30">
        <f ca="1">LOOKUP(A1925,'QALS - Inspection Lot Record'!A:A,'QALS - Inspection Lot Record'!I:I)</f>
        <v>0.71980324074074076</v>
      </c>
      <c r="L1925" s="59">
        <f t="shared" ca="1" si="153"/>
        <v>45990</v>
      </c>
      <c r="M1925" s="30">
        <f t="shared" ca="1" si="154"/>
        <v>0.74326388888888895</v>
      </c>
      <c r="N1925" s="31"/>
      <c r="O1925" s="31">
        <v>0.5</v>
      </c>
      <c r="P1925" s="29">
        <v>0</v>
      </c>
      <c r="Q1925" s="29">
        <v>1</v>
      </c>
    </row>
    <row r="1926" spans="1:17" x14ac:dyDescent="0.35">
      <c r="A1926" s="26">
        <v>40000002741</v>
      </c>
      <c r="B1926" s="31">
        <v>1</v>
      </c>
      <c r="C1926" s="29" t="str">
        <f>LOOKUP(A1926,'QALS - Inspection Lot Record'!$A$2:$A$361,'QALS - Inspection Lot Record'!$O$2:$O$361)</f>
        <v>Ibuprofen Tablets (100 MG)</v>
      </c>
      <c r="D1926" s="31">
        <v>50</v>
      </c>
      <c r="E1926" s="29" t="s">
        <v>404</v>
      </c>
      <c r="F1926" s="29" t="str">
        <f>LOOKUP(A1926,'QALS - Inspection Lot Record'!A:A,'QALS - Inspection Lot Record'!G:G)</f>
        <v>ZK384180</v>
      </c>
      <c r="G1926" s="59">
        <f ca="1">LOOKUP(A1926,'QALS - Inspection Lot Record'!A:A,'QALS - Inspection Lot Record'!E:E)</f>
        <v>45990</v>
      </c>
      <c r="H1926" s="34" t="str">
        <f t="shared" si="150"/>
        <v>R</v>
      </c>
      <c r="I1926" s="29" t="str">
        <f t="shared" si="151"/>
        <v>ZK384180</v>
      </c>
      <c r="J1926" s="59">
        <f t="shared" ca="1" si="152"/>
        <v>45990</v>
      </c>
      <c r="K1926" s="30">
        <f ca="1">LOOKUP(A1926,'QALS - Inspection Lot Record'!A:A,'QALS - Inspection Lot Record'!I:I)</f>
        <v>0.71980324074074076</v>
      </c>
      <c r="L1926" s="59">
        <f t="shared" ca="1" si="153"/>
        <v>45990</v>
      </c>
      <c r="M1926" s="30">
        <f t="shared" ca="1" si="154"/>
        <v>0.74553240740740745</v>
      </c>
      <c r="N1926" s="31"/>
      <c r="O1926" s="31">
        <v>38.5</v>
      </c>
      <c r="P1926" s="29">
        <v>40</v>
      </c>
      <c r="Q1926" s="29">
        <v>60</v>
      </c>
    </row>
    <row r="1927" spans="1:17" x14ac:dyDescent="0.35">
      <c r="A1927" s="26">
        <v>40000002741</v>
      </c>
      <c r="B1927" s="31">
        <v>1</v>
      </c>
      <c r="C1927" s="29" t="str">
        <f>LOOKUP(A1927,'QALS - Inspection Lot Record'!$A$2:$A$361,'QALS - Inspection Lot Record'!$O$2:$O$361)</f>
        <v>Ibuprofen Tablets (100 MG)</v>
      </c>
      <c r="D1927" s="31">
        <v>60</v>
      </c>
      <c r="E1927" s="29" t="s">
        <v>405</v>
      </c>
      <c r="F1927" s="29" t="str">
        <f>LOOKUP(A1927,'QALS - Inspection Lot Record'!A:A,'QALS - Inspection Lot Record'!G:G)</f>
        <v>ZK384180</v>
      </c>
      <c r="G1927" s="59">
        <f ca="1">LOOKUP(A1927,'QALS - Inspection Lot Record'!A:A,'QALS - Inspection Lot Record'!E:E)</f>
        <v>45990</v>
      </c>
      <c r="H1927" s="34" t="str">
        <f t="shared" si="150"/>
        <v>A</v>
      </c>
      <c r="I1927" s="29" t="str">
        <f t="shared" si="151"/>
        <v>ZK384180</v>
      </c>
      <c r="J1927" s="59">
        <f t="shared" ca="1" si="152"/>
        <v>45990</v>
      </c>
      <c r="K1927" s="30">
        <f ca="1">LOOKUP(A1927,'QALS - Inspection Lot Record'!A:A,'QALS - Inspection Lot Record'!I:I)</f>
        <v>0.71980324074074076</v>
      </c>
      <c r="L1927" s="59">
        <f t="shared" ca="1" si="153"/>
        <v>45990</v>
      </c>
      <c r="M1927" s="30">
        <f t="shared" ca="1" si="154"/>
        <v>0.73719907407407415</v>
      </c>
      <c r="N1927" s="31"/>
      <c r="O1927" s="31">
        <v>73</v>
      </c>
      <c r="P1927" s="29">
        <v>70</v>
      </c>
      <c r="Q1927" s="29">
        <v>85</v>
      </c>
    </row>
    <row r="1928" spans="1:17" x14ac:dyDescent="0.35">
      <c r="A1928" s="26">
        <v>40000002741</v>
      </c>
      <c r="B1928" s="31">
        <v>1</v>
      </c>
      <c r="C1928" s="29" t="str">
        <f>LOOKUP(A1928,'QALS - Inspection Lot Record'!$A$2:$A$361,'QALS - Inspection Lot Record'!$O$2:$O$361)</f>
        <v>Ibuprofen Tablets (100 MG)</v>
      </c>
      <c r="D1928" s="31">
        <v>70</v>
      </c>
      <c r="E1928" s="29" t="s">
        <v>406</v>
      </c>
      <c r="F1928" s="29" t="str">
        <f>LOOKUP(A1928,'QALS - Inspection Lot Record'!A:A,'QALS - Inspection Lot Record'!G:G)</f>
        <v>ZK384180</v>
      </c>
      <c r="G1928" s="59">
        <f ca="1">LOOKUP(A1928,'QALS - Inspection Lot Record'!A:A,'QALS - Inspection Lot Record'!E:E)</f>
        <v>45990</v>
      </c>
      <c r="H1928" s="34" t="str">
        <f t="shared" si="150"/>
        <v>R</v>
      </c>
      <c r="I1928" s="29" t="str">
        <f t="shared" si="151"/>
        <v>ZK384180</v>
      </c>
      <c r="J1928" s="59">
        <f t="shared" ca="1" si="152"/>
        <v>45990</v>
      </c>
      <c r="K1928" s="30">
        <f ca="1">LOOKUP(A1928,'QALS - Inspection Lot Record'!A:A,'QALS - Inspection Lot Record'!I:I)</f>
        <v>0.71980324074074076</v>
      </c>
      <c r="L1928" s="59">
        <f t="shared" ca="1" si="153"/>
        <v>45990</v>
      </c>
      <c r="M1928" s="30">
        <f t="shared" ca="1" si="154"/>
        <v>0.75253472222222229</v>
      </c>
      <c r="N1928" s="31"/>
      <c r="O1928" s="31">
        <v>78.599999999999994</v>
      </c>
      <c r="P1928" s="29">
        <v>80</v>
      </c>
      <c r="Q1928" s="29">
        <v>90</v>
      </c>
    </row>
    <row r="1929" spans="1:17" x14ac:dyDescent="0.35">
      <c r="A1929" s="26">
        <v>40000002741</v>
      </c>
      <c r="B1929" s="31">
        <v>1</v>
      </c>
      <c r="C1929" s="29" t="str">
        <f>LOOKUP(A1929,'QALS - Inspection Lot Record'!$A$2:$A$361,'QALS - Inspection Lot Record'!$O$2:$O$361)</f>
        <v>Ibuprofen Tablets (100 MG)</v>
      </c>
      <c r="D1929" s="31">
        <v>80</v>
      </c>
      <c r="E1929" s="29" t="s">
        <v>407</v>
      </c>
      <c r="F1929" s="29" t="str">
        <f>LOOKUP(A1929,'QALS - Inspection Lot Record'!A:A,'QALS - Inspection Lot Record'!G:G)</f>
        <v>ZK384180</v>
      </c>
      <c r="G1929" s="59">
        <f ca="1">LOOKUP(A1929,'QALS - Inspection Lot Record'!A:A,'QALS - Inspection Lot Record'!E:E)</f>
        <v>45990</v>
      </c>
      <c r="H1929" s="34" t="str">
        <f t="shared" si="150"/>
        <v>A</v>
      </c>
      <c r="I1929" s="29" t="str">
        <f t="shared" si="151"/>
        <v>ZK384180</v>
      </c>
      <c r="J1929" s="59">
        <f t="shared" ca="1" si="152"/>
        <v>45990</v>
      </c>
      <c r="K1929" s="30">
        <f ca="1">LOOKUP(A1929,'QALS - Inspection Lot Record'!A:A,'QALS - Inspection Lot Record'!I:I)</f>
        <v>0.71980324074074076</v>
      </c>
      <c r="L1929" s="59">
        <f t="shared" ca="1" si="153"/>
        <v>45990</v>
      </c>
      <c r="M1929" s="30">
        <f t="shared" ca="1" si="154"/>
        <v>0.74493055555555554</v>
      </c>
      <c r="N1929" s="31"/>
      <c r="O1929" s="31">
        <v>24</v>
      </c>
      <c r="P1929" s="29">
        <v>23</v>
      </c>
      <c r="Q1929" s="29">
        <v>25</v>
      </c>
    </row>
    <row r="1930" spans="1:17" x14ac:dyDescent="0.35">
      <c r="A1930" s="26">
        <v>40000002742</v>
      </c>
      <c r="B1930" s="27">
        <v>1</v>
      </c>
      <c r="C1930" s="29" t="str">
        <f>LOOKUP(A1930,'QALS - Inspection Lot Record'!$A$2:$A$361,'QALS - Inspection Lot Record'!$O$2:$O$361)</f>
        <v>Metformin Tablets (100 MG)</v>
      </c>
      <c r="D1930" s="27">
        <v>10</v>
      </c>
      <c r="E1930" s="26" t="s">
        <v>399</v>
      </c>
      <c r="F1930" s="29" t="str">
        <f>LOOKUP(A1930,'QALS - Inspection Lot Record'!A:A,'QALS - Inspection Lot Record'!G:G)</f>
        <v>GC197258</v>
      </c>
      <c r="G1930" s="59">
        <f ca="1">LOOKUP(A1930,'QALS - Inspection Lot Record'!A:A,'QALS - Inspection Lot Record'!E:E)</f>
        <v>45990</v>
      </c>
      <c r="H1930" s="34" t="str">
        <f t="shared" ref="H1930:H1993" si="155">IF(AND(P1930&lt;=O1930,O1930&lt;=Q1930),"A","R")</f>
        <v>R</v>
      </c>
      <c r="I1930" s="29" t="str">
        <f t="shared" si="151"/>
        <v>GC197258</v>
      </c>
      <c r="J1930" s="59">
        <f t="shared" ca="1" si="152"/>
        <v>45990</v>
      </c>
      <c r="K1930" s="30">
        <f ca="1">LOOKUP(A1930,'QALS - Inspection Lot Record'!A:A,'QALS - Inspection Lot Record'!I:I)</f>
        <v>0.32378472222222221</v>
      </c>
      <c r="L1930" s="59">
        <f t="shared" ca="1" si="153"/>
        <v>45990</v>
      </c>
      <c r="M1930" s="30">
        <f t="shared" ca="1" si="154"/>
        <v>0.34394675925925927</v>
      </c>
      <c r="N1930" s="31"/>
      <c r="O1930" s="31">
        <v>94</v>
      </c>
      <c r="P1930" s="29">
        <v>95</v>
      </c>
      <c r="Q1930" s="29">
        <v>102</v>
      </c>
    </row>
    <row r="1931" spans="1:17" x14ac:dyDescent="0.35">
      <c r="A1931" s="26">
        <v>40000002742</v>
      </c>
      <c r="B1931" s="27">
        <v>1</v>
      </c>
      <c r="C1931" s="29" t="str">
        <f>LOOKUP(A1931,'QALS - Inspection Lot Record'!$A$2:$A$361,'QALS - Inspection Lot Record'!$O$2:$O$361)</f>
        <v>Metformin Tablets (100 MG)</v>
      </c>
      <c r="D1931" s="31">
        <v>20</v>
      </c>
      <c r="E1931" s="29" t="s">
        <v>400</v>
      </c>
      <c r="F1931" s="29" t="str">
        <f>LOOKUP(A1931,'QALS - Inspection Lot Record'!A:A,'QALS - Inspection Lot Record'!G:G)</f>
        <v>GC197258</v>
      </c>
      <c r="G1931" s="59">
        <f ca="1">LOOKUP(A1931,'QALS - Inspection Lot Record'!A:A,'QALS - Inspection Lot Record'!E:E)</f>
        <v>45990</v>
      </c>
      <c r="H1931" s="34" t="str">
        <f t="shared" si="155"/>
        <v>A</v>
      </c>
      <c r="I1931" s="29" t="str">
        <f t="shared" si="151"/>
        <v>GC197258</v>
      </c>
      <c r="J1931" s="59">
        <f t="shared" ca="1" si="152"/>
        <v>45990</v>
      </c>
      <c r="K1931" s="30">
        <f ca="1">LOOKUP(A1931,'QALS - Inspection Lot Record'!A:A,'QALS - Inspection Lot Record'!I:I)</f>
        <v>0.32378472222222221</v>
      </c>
      <c r="L1931" s="59">
        <f t="shared" ca="1" si="153"/>
        <v>45990</v>
      </c>
      <c r="M1931" s="30">
        <f t="shared" ca="1" si="154"/>
        <v>0.34145833333333331</v>
      </c>
      <c r="N1931" s="31"/>
      <c r="O1931" s="31">
        <v>3.8</v>
      </c>
      <c r="P1931" s="29">
        <v>3.5</v>
      </c>
      <c r="Q1931" s="29">
        <v>11</v>
      </c>
    </row>
    <row r="1932" spans="1:17" x14ac:dyDescent="0.35">
      <c r="A1932" s="26">
        <v>40000002742</v>
      </c>
      <c r="B1932" s="31">
        <v>1</v>
      </c>
      <c r="C1932" s="29" t="str">
        <f>LOOKUP(A1932,'QALS - Inspection Lot Record'!$A$2:$A$361,'QALS - Inspection Lot Record'!$O$2:$O$361)</f>
        <v>Metformin Tablets (100 MG)</v>
      </c>
      <c r="D1932" s="31">
        <v>30</v>
      </c>
      <c r="E1932" s="29" t="s">
        <v>401</v>
      </c>
      <c r="F1932" s="29" t="str">
        <f>LOOKUP(A1932,'QALS - Inspection Lot Record'!A:A,'QALS - Inspection Lot Record'!G:G)</f>
        <v>GC197258</v>
      </c>
      <c r="G1932" s="59">
        <f ca="1">LOOKUP(A1932,'QALS - Inspection Lot Record'!A:A,'QALS - Inspection Lot Record'!E:E)</f>
        <v>45990</v>
      </c>
      <c r="H1932" s="34" t="str">
        <f t="shared" si="155"/>
        <v>A</v>
      </c>
      <c r="I1932" s="29" t="str">
        <f t="shared" si="151"/>
        <v>GC197258</v>
      </c>
      <c r="J1932" s="59">
        <f t="shared" ca="1" si="152"/>
        <v>45990</v>
      </c>
      <c r="K1932" s="30">
        <f ca="1">LOOKUP(A1932,'QALS - Inspection Lot Record'!A:A,'QALS - Inspection Lot Record'!I:I)</f>
        <v>0.32378472222222221</v>
      </c>
      <c r="L1932" s="59">
        <f t="shared" ca="1" si="153"/>
        <v>45990</v>
      </c>
      <c r="M1932" s="30">
        <f t="shared" ca="1" si="154"/>
        <v>0.34547453703703701</v>
      </c>
      <c r="N1932" s="11" t="s">
        <v>402</v>
      </c>
      <c r="O1932" s="31"/>
      <c r="P1932" s="29"/>
      <c r="Q1932" s="29"/>
    </row>
    <row r="1933" spans="1:17" x14ac:dyDescent="0.35">
      <c r="A1933" s="26">
        <v>40000002742</v>
      </c>
      <c r="B1933" s="31">
        <v>1</v>
      </c>
      <c r="C1933" s="29" t="str">
        <f>LOOKUP(A1933,'QALS - Inspection Lot Record'!$A$2:$A$361,'QALS - Inspection Lot Record'!$O$2:$O$361)</f>
        <v>Metformin Tablets (100 MG)</v>
      </c>
      <c r="D1933" s="31">
        <v>40</v>
      </c>
      <c r="E1933" s="29" t="s">
        <v>403</v>
      </c>
      <c r="F1933" s="29" t="str">
        <f>LOOKUP(A1933,'QALS - Inspection Lot Record'!A:A,'QALS - Inspection Lot Record'!G:G)</f>
        <v>GC197258</v>
      </c>
      <c r="G1933" s="59">
        <f ca="1">LOOKUP(A1933,'QALS - Inspection Lot Record'!A:A,'QALS - Inspection Lot Record'!E:E)</f>
        <v>45990</v>
      </c>
      <c r="H1933" s="34" t="str">
        <f t="shared" si="155"/>
        <v>A</v>
      </c>
      <c r="I1933" s="29" t="str">
        <f t="shared" si="151"/>
        <v>GC197258</v>
      </c>
      <c r="J1933" s="59">
        <f t="shared" ca="1" si="152"/>
        <v>45990</v>
      </c>
      <c r="K1933" s="30">
        <f ca="1">LOOKUP(A1933,'QALS - Inspection Lot Record'!A:A,'QALS - Inspection Lot Record'!I:I)</f>
        <v>0.32378472222222221</v>
      </c>
      <c r="L1933" s="59">
        <f t="shared" ca="1" si="153"/>
        <v>45990</v>
      </c>
      <c r="M1933" s="30">
        <f t="shared" ca="1" si="154"/>
        <v>0.35767361111111112</v>
      </c>
      <c r="N1933" s="31"/>
      <c r="O1933" s="31">
        <v>0.5</v>
      </c>
      <c r="P1933" s="29">
        <v>0</v>
      </c>
      <c r="Q1933" s="29">
        <v>1</v>
      </c>
    </row>
    <row r="1934" spans="1:17" x14ac:dyDescent="0.35">
      <c r="A1934" s="26">
        <v>40000002742</v>
      </c>
      <c r="B1934" s="31">
        <v>1</v>
      </c>
      <c r="C1934" s="29" t="str">
        <f>LOOKUP(A1934,'QALS - Inspection Lot Record'!$A$2:$A$361,'QALS - Inspection Lot Record'!$O$2:$O$361)</f>
        <v>Metformin Tablets (100 MG)</v>
      </c>
      <c r="D1934" s="31">
        <v>50</v>
      </c>
      <c r="E1934" s="29" t="s">
        <v>404</v>
      </c>
      <c r="F1934" s="29" t="str">
        <f>LOOKUP(A1934,'QALS - Inspection Lot Record'!A:A,'QALS - Inspection Lot Record'!G:G)</f>
        <v>GC197258</v>
      </c>
      <c r="G1934" s="59">
        <f ca="1">LOOKUP(A1934,'QALS - Inspection Lot Record'!A:A,'QALS - Inspection Lot Record'!E:E)</f>
        <v>45990</v>
      </c>
      <c r="H1934" s="34" t="str">
        <f t="shared" si="155"/>
        <v>A</v>
      </c>
      <c r="I1934" s="29" t="str">
        <f t="shared" si="151"/>
        <v>GC197258</v>
      </c>
      <c r="J1934" s="59">
        <f t="shared" ca="1" si="152"/>
        <v>45990</v>
      </c>
      <c r="K1934" s="30">
        <f ca="1">LOOKUP(A1934,'QALS - Inspection Lot Record'!A:A,'QALS - Inspection Lot Record'!I:I)</f>
        <v>0.32378472222222221</v>
      </c>
      <c r="L1934" s="59">
        <f t="shared" ca="1" si="153"/>
        <v>45990</v>
      </c>
      <c r="M1934" s="30">
        <f t="shared" ca="1" si="154"/>
        <v>0.35376157407407405</v>
      </c>
      <c r="N1934" s="31"/>
      <c r="O1934" s="31">
        <v>45.2</v>
      </c>
      <c r="P1934" s="29">
        <v>40</v>
      </c>
      <c r="Q1934" s="29">
        <v>60</v>
      </c>
    </row>
    <row r="1935" spans="1:17" x14ac:dyDescent="0.35">
      <c r="A1935" s="26">
        <v>40000002742</v>
      </c>
      <c r="B1935" s="31">
        <v>1</v>
      </c>
      <c r="C1935" s="29" t="str">
        <f>LOOKUP(A1935,'QALS - Inspection Lot Record'!$A$2:$A$361,'QALS - Inspection Lot Record'!$O$2:$O$361)</f>
        <v>Metformin Tablets (100 MG)</v>
      </c>
      <c r="D1935" s="31">
        <v>60</v>
      </c>
      <c r="E1935" s="29" t="s">
        <v>405</v>
      </c>
      <c r="F1935" s="29" t="str">
        <f>LOOKUP(A1935,'QALS - Inspection Lot Record'!A:A,'QALS - Inspection Lot Record'!G:G)</f>
        <v>GC197258</v>
      </c>
      <c r="G1935" s="59">
        <f ca="1">LOOKUP(A1935,'QALS - Inspection Lot Record'!A:A,'QALS - Inspection Lot Record'!E:E)</f>
        <v>45990</v>
      </c>
      <c r="H1935" s="34" t="str">
        <f t="shared" si="155"/>
        <v>R</v>
      </c>
      <c r="I1935" s="29" t="str">
        <f t="shared" si="151"/>
        <v>GC197258</v>
      </c>
      <c r="J1935" s="59">
        <f t="shared" ca="1" si="152"/>
        <v>45990</v>
      </c>
      <c r="K1935" s="30">
        <f ca="1">LOOKUP(A1935,'QALS - Inspection Lot Record'!A:A,'QALS - Inspection Lot Record'!I:I)</f>
        <v>0.32378472222222221</v>
      </c>
      <c r="L1935" s="59">
        <f t="shared" ca="1" si="153"/>
        <v>45990</v>
      </c>
      <c r="M1935" s="30">
        <f t="shared" ca="1" si="154"/>
        <v>0.35811342592592593</v>
      </c>
      <c r="N1935" s="31"/>
      <c r="O1935" s="31">
        <v>68.2</v>
      </c>
      <c r="P1935" s="29">
        <v>70</v>
      </c>
      <c r="Q1935" s="29">
        <v>85</v>
      </c>
    </row>
    <row r="1936" spans="1:17" x14ac:dyDescent="0.35">
      <c r="A1936" s="26">
        <v>40000002742</v>
      </c>
      <c r="B1936" s="31">
        <v>1</v>
      </c>
      <c r="C1936" s="29" t="str">
        <f>LOOKUP(A1936,'QALS - Inspection Lot Record'!$A$2:$A$361,'QALS - Inspection Lot Record'!$O$2:$O$361)</f>
        <v>Metformin Tablets (100 MG)</v>
      </c>
      <c r="D1936" s="31">
        <v>70</v>
      </c>
      <c r="E1936" s="29" t="s">
        <v>406</v>
      </c>
      <c r="F1936" s="29" t="str">
        <f>LOOKUP(A1936,'QALS - Inspection Lot Record'!A:A,'QALS - Inspection Lot Record'!G:G)</f>
        <v>GC197258</v>
      </c>
      <c r="G1936" s="59">
        <f ca="1">LOOKUP(A1936,'QALS - Inspection Lot Record'!A:A,'QALS - Inspection Lot Record'!E:E)</f>
        <v>45990</v>
      </c>
      <c r="H1936" s="34" t="str">
        <f t="shared" si="155"/>
        <v>R</v>
      </c>
      <c r="I1936" s="29" t="str">
        <f t="shared" si="151"/>
        <v>GC197258</v>
      </c>
      <c r="J1936" s="59">
        <f t="shared" ca="1" si="152"/>
        <v>45990</v>
      </c>
      <c r="K1936" s="30">
        <f ca="1">LOOKUP(A1936,'QALS - Inspection Lot Record'!A:A,'QALS - Inspection Lot Record'!I:I)</f>
        <v>0.32378472222222221</v>
      </c>
      <c r="L1936" s="59">
        <f t="shared" ca="1" si="153"/>
        <v>45990</v>
      </c>
      <c r="M1936" s="30">
        <f t="shared" ca="1" si="154"/>
        <v>0.34472222222222221</v>
      </c>
      <c r="N1936" s="31"/>
      <c r="O1936" s="31">
        <v>78.5</v>
      </c>
      <c r="P1936" s="29">
        <v>80</v>
      </c>
      <c r="Q1936" s="29">
        <v>90</v>
      </c>
    </row>
    <row r="1937" spans="1:17" x14ac:dyDescent="0.35">
      <c r="A1937" s="26">
        <v>40000002742</v>
      </c>
      <c r="B1937" s="31">
        <v>1</v>
      </c>
      <c r="C1937" s="29" t="str">
        <f>LOOKUP(A1937,'QALS - Inspection Lot Record'!$A$2:$A$361,'QALS - Inspection Lot Record'!$O$2:$O$361)</f>
        <v>Metformin Tablets (100 MG)</v>
      </c>
      <c r="D1937" s="31">
        <v>80</v>
      </c>
      <c r="E1937" s="29" t="s">
        <v>407</v>
      </c>
      <c r="F1937" s="29" t="str">
        <f>LOOKUP(A1937,'QALS - Inspection Lot Record'!A:A,'QALS - Inspection Lot Record'!G:G)</f>
        <v>GC197258</v>
      </c>
      <c r="G1937" s="59">
        <f ca="1">LOOKUP(A1937,'QALS - Inspection Lot Record'!A:A,'QALS - Inspection Lot Record'!E:E)</f>
        <v>45990</v>
      </c>
      <c r="H1937" s="34" t="str">
        <f t="shared" si="155"/>
        <v>A</v>
      </c>
      <c r="I1937" s="29" t="str">
        <f t="shared" si="151"/>
        <v>GC197258</v>
      </c>
      <c r="J1937" s="59">
        <f t="shared" ca="1" si="152"/>
        <v>45990</v>
      </c>
      <c r="K1937" s="30">
        <f ca="1">LOOKUP(A1937,'QALS - Inspection Lot Record'!A:A,'QALS - Inspection Lot Record'!I:I)</f>
        <v>0.32378472222222221</v>
      </c>
      <c r="L1937" s="59">
        <f t="shared" ca="1" si="153"/>
        <v>45990</v>
      </c>
      <c r="M1937" s="30">
        <f t="shared" ca="1" si="154"/>
        <v>0.34387731481481482</v>
      </c>
      <c r="N1937" s="31"/>
      <c r="O1937" s="31">
        <v>24</v>
      </c>
      <c r="P1937" s="29">
        <v>23</v>
      </c>
      <c r="Q1937" s="29">
        <v>25</v>
      </c>
    </row>
    <row r="1938" spans="1:17" x14ac:dyDescent="0.35">
      <c r="A1938" s="26">
        <v>40000002743</v>
      </c>
      <c r="B1938" s="27">
        <v>1</v>
      </c>
      <c r="C1938" s="29" t="str">
        <f>LOOKUP(A1938,'QALS - Inspection Lot Record'!$A$2:$A$361,'QALS - Inspection Lot Record'!$O$2:$O$361)</f>
        <v>Metformin Tablets (200 MG)</v>
      </c>
      <c r="D1938" s="27">
        <v>10</v>
      </c>
      <c r="E1938" s="26" t="s">
        <v>399</v>
      </c>
      <c r="F1938" s="29" t="str">
        <f>LOOKUP(A1938,'QALS - Inspection Lot Record'!A:A,'QALS - Inspection Lot Record'!G:G)</f>
        <v>TP397880</v>
      </c>
      <c r="G1938" s="59">
        <f ca="1">LOOKUP(A1938,'QALS - Inspection Lot Record'!A:A,'QALS - Inspection Lot Record'!E:E)</f>
        <v>45991</v>
      </c>
      <c r="H1938" s="34" t="str">
        <f t="shared" si="155"/>
        <v>R</v>
      </c>
      <c r="I1938" s="29" t="str">
        <f t="shared" si="151"/>
        <v>TP397880</v>
      </c>
      <c r="J1938" s="59">
        <f t="shared" ca="1" si="152"/>
        <v>45991</v>
      </c>
      <c r="K1938" s="30">
        <f ca="1">LOOKUP(A1938,'QALS - Inspection Lot Record'!A:A,'QALS - Inspection Lot Record'!I:I)</f>
        <v>0.80314814814814817</v>
      </c>
      <c r="L1938" s="59">
        <f t="shared" ca="1" si="153"/>
        <v>45991</v>
      </c>
      <c r="M1938" s="30">
        <f t="shared" ca="1" si="154"/>
        <v>0.83266203703703701</v>
      </c>
      <c r="N1938" s="31"/>
      <c r="O1938" s="31">
        <v>93.2</v>
      </c>
      <c r="P1938" s="29">
        <v>95</v>
      </c>
      <c r="Q1938" s="29">
        <v>103</v>
      </c>
    </row>
    <row r="1939" spans="1:17" x14ac:dyDescent="0.35">
      <c r="A1939" s="26">
        <v>40000002743</v>
      </c>
      <c r="B1939" s="27">
        <v>1</v>
      </c>
      <c r="C1939" s="29" t="str">
        <f>LOOKUP(A1939,'QALS - Inspection Lot Record'!$A$2:$A$361,'QALS - Inspection Lot Record'!$O$2:$O$361)</f>
        <v>Metformin Tablets (200 MG)</v>
      </c>
      <c r="D1939" s="31">
        <v>20</v>
      </c>
      <c r="E1939" s="29" t="s">
        <v>400</v>
      </c>
      <c r="F1939" s="29" t="str">
        <f>LOOKUP(A1939,'QALS - Inspection Lot Record'!A:A,'QALS - Inspection Lot Record'!G:G)</f>
        <v>TP397880</v>
      </c>
      <c r="G1939" s="59">
        <f ca="1">LOOKUP(A1939,'QALS - Inspection Lot Record'!A:A,'QALS - Inspection Lot Record'!E:E)</f>
        <v>45991</v>
      </c>
      <c r="H1939" s="34" t="str">
        <f t="shared" si="155"/>
        <v>R</v>
      </c>
      <c r="I1939" s="29" t="str">
        <f t="shared" si="151"/>
        <v>TP397880</v>
      </c>
      <c r="J1939" s="59">
        <f t="shared" ca="1" si="152"/>
        <v>45991</v>
      </c>
      <c r="K1939" s="30">
        <f ca="1">LOOKUP(A1939,'QALS - Inspection Lot Record'!A:A,'QALS - Inspection Lot Record'!I:I)</f>
        <v>0.80314814814814817</v>
      </c>
      <c r="L1939" s="59">
        <f t="shared" ca="1" si="153"/>
        <v>45991</v>
      </c>
      <c r="M1939" s="30">
        <f t="shared" ca="1" si="154"/>
        <v>0.82981481481481478</v>
      </c>
      <c r="N1939" s="31"/>
      <c r="O1939" s="31">
        <v>5</v>
      </c>
      <c r="P1939" s="29">
        <v>6</v>
      </c>
      <c r="Q1939" s="29">
        <v>9.5</v>
      </c>
    </row>
    <row r="1940" spans="1:17" x14ac:dyDescent="0.35">
      <c r="A1940" s="26">
        <v>40000002743</v>
      </c>
      <c r="B1940" s="31">
        <v>1</v>
      </c>
      <c r="C1940" s="29" t="str">
        <f>LOOKUP(A1940,'QALS - Inspection Lot Record'!$A$2:$A$361,'QALS - Inspection Lot Record'!$O$2:$O$361)</f>
        <v>Metformin Tablets (200 MG)</v>
      </c>
      <c r="D1940" s="31">
        <v>30</v>
      </c>
      <c r="E1940" s="29" t="s">
        <v>401</v>
      </c>
      <c r="F1940" s="29" t="str">
        <f>LOOKUP(A1940,'QALS - Inspection Lot Record'!A:A,'QALS - Inspection Lot Record'!G:G)</f>
        <v>TP397880</v>
      </c>
      <c r="G1940" s="59">
        <f ca="1">LOOKUP(A1940,'QALS - Inspection Lot Record'!A:A,'QALS - Inspection Lot Record'!E:E)</f>
        <v>45991</v>
      </c>
      <c r="H1940" s="34" t="str">
        <f t="shared" si="155"/>
        <v>A</v>
      </c>
      <c r="I1940" s="29" t="str">
        <f t="shared" si="151"/>
        <v>TP397880</v>
      </c>
      <c r="J1940" s="59">
        <f t="shared" ca="1" si="152"/>
        <v>45991</v>
      </c>
      <c r="K1940" s="30">
        <f ca="1">LOOKUP(A1940,'QALS - Inspection Lot Record'!A:A,'QALS - Inspection Lot Record'!I:I)</f>
        <v>0.80314814814814817</v>
      </c>
      <c r="L1940" s="59">
        <f t="shared" ca="1" si="153"/>
        <v>45991</v>
      </c>
      <c r="M1940" s="30">
        <f t="shared" ca="1" si="154"/>
        <v>0.83733796296296292</v>
      </c>
      <c r="N1940" s="11" t="s">
        <v>402</v>
      </c>
      <c r="O1940" s="31"/>
      <c r="P1940" s="29"/>
      <c r="Q1940" s="29"/>
    </row>
    <row r="1941" spans="1:17" x14ac:dyDescent="0.35">
      <c r="A1941" s="26">
        <v>40000002743</v>
      </c>
      <c r="B1941" s="31">
        <v>1</v>
      </c>
      <c r="C1941" s="29" t="str">
        <f>LOOKUP(A1941,'QALS - Inspection Lot Record'!$A$2:$A$361,'QALS - Inspection Lot Record'!$O$2:$O$361)</f>
        <v>Metformin Tablets (200 MG)</v>
      </c>
      <c r="D1941" s="31">
        <v>40</v>
      </c>
      <c r="E1941" s="29" t="s">
        <v>403</v>
      </c>
      <c r="F1941" s="29" t="str">
        <f>LOOKUP(A1941,'QALS - Inspection Lot Record'!A:A,'QALS - Inspection Lot Record'!G:G)</f>
        <v>TP397880</v>
      </c>
      <c r="G1941" s="59">
        <f ca="1">LOOKUP(A1941,'QALS - Inspection Lot Record'!A:A,'QALS - Inspection Lot Record'!E:E)</f>
        <v>45991</v>
      </c>
      <c r="H1941" s="34" t="str">
        <f t="shared" si="155"/>
        <v>A</v>
      </c>
      <c r="I1941" s="29" t="str">
        <f t="shared" si="151"/>
        <v>TP397880</v>
      </c>
      <c r="J1941" s="59">
        <f t="shared" ca="1" si="152"/>
        <v>45991</v>
      </c>
      <c r="K1941" s="30">
        <f ca="1">LOOKUP(A1941,'QALS - Inspection Lot Record'!A:A,'QALS - Inspection Lot Record'!I:I)</f>
        <v>0.80314814814814817</v>
      </c>
      <c r="L1941" s="59">
        <f t="shared" ca="1" si="153"/>
        <v>45991</v>
      </c>
      <c r="M1941" s="30">
        <f t="shared" ca="1" si="154"/>
        <v>0.83226851851851857</v>
      </c>
      <c r="N1941" s="31"/>
      <c r="O1941" s="31">
        <v>0</v>
      </c>
      <c r="P1941" s="29">
        <v>0</v>
      </c>
      <c r="Q1941" s="29">
        <v>2</v>
      </c>
    </row>
    <row r="1942" spans="1:17" x14ac:dyDescent="0.35">
      <c r="A1942" s="26">
        <v>40000002743</v>
      </c>
      <c r="B1942" s="31">
        <v>1</v>
      </c>
      <c r="C1942" s="29" t="str">
        <f>LOOKUP(A1942,'QALS - Inspection Lot Record'!$A$2:$A$361,'QALS - Inspection Lot Record'!$O$2:$O$361)</f>
        <v>Metformin Tablets (200 MG)</v>
      </c>
      <c r="D1942" s="31">
        <v>50</v>
      </c>
      <c r="E1942" s="29" t="s">
        <v>404</v>
      </c>
      <c r="F1942" s="29" t="str">
        <f>LOOKUP(A1942,'QALS - Inspection Lot Record'!A:A,'QALS - Inspection Lot Record'!G:G)</f>
        <v>TP397880</v>
      </c>
      <c r="G1942" s="59">
        <f ca="1">LOOKUP(A1942,'QALS - Inspection Lot Record'!A:A,'QALS - Inspection Lot Record'!E:E)</f>
        <v>45991</v>
      </c>
      <c r="H1942" s="34" t="str">
        <f t="shared" si="155"/>
        <v>A</v>
      </c>
      <c r="I1942" s="29" t="str">
        <f t="shared" si="151"/>
        <v>TP397880</v>
      </c>
      <c r="J1942" s="59">
        <f t="shared" ca="1" si="152"/>
        <v>45991</v>
      </c>
      <c r="K1942" s="30">
        <f ca="1">LOOKUP(A1942,'QALS - Inspection Lot Record'!A:A,'QALS - Inspection Lot Record'!I:I)</f>
        <v>0.80314814814814817</v>
      </c>
      <c r="L1942" s="59">
        <f t="shared" ca="1" si="153"/>
        <v>45991</v>
      </c>
      <c r="M1942" s="30">
        <f t="shared" ca="1" si="154"/>
        <v>0.83422453703703703</v>
      </c>
      <c r="N1942" s="31"/>
      <c r="O1942" s="31">
        <v>50</v>
      </c>
      <c r="P1942" s="29">
        <v>40</v>
      </c>
      <c r="Q1942" s="29">
        <v>60</v>
      </c>
    </row>
    <row r="1943" spans="1:17" x14ac:dyDescent="0.35">
      <c r="A1943" s="26">
        <v>40000002743</v>
      </c>
      <c r="B1943" s="31">
        <v>1</v>
      </c>
      <c r="C1943" s="29" t="str">
        <f>LOOKUP(A1943,'QALS - Inspection Lot Record'!$A$2:$A$361,'QALS - Inspection Lot Record'!$O$2:$O$361)</f>
        <v>Metformin Tablets (200 MG)</v>
      </c>
      <c r="D1943" s="31">
        <v>60</v>
      </c>
      <c r="E1943" s="29" t="s">
        <v>405</v>
      </c>
      <c r="F1943" s="29" t="str">
        <f>LOOKUP(A1943,'QALS - Inspection Lot Record'!A:A,'QALS - Inspection Lot Record'!G:G)</f>
        <v>TP397880</v>
      </c>
      <c r="G1943" s="59">
        <f ca="1">LOOKUP(A1943,'QALS - Inspection Lot Record'!A:A,'QALS - Inspection Lot Record'!E:E)</f>
        <v>45991</v>
      </c>
      <c r="H1943" s="34" t="str">
        <f t="shared" si="155"/>
        <v>A</v>
      </c>
      <c r="I1943" s="29" t="str">
        <f t="shared" si="151"/>
        <v>TP397880</v>
      </c>
      <c r="J1943" s="59">
        <f t="shared" ca="1" si="152"/>
        <v>45991</v>
      </c>
      <c r="K1943" s="30">
        <f ca="1">LOOKUP(A1943,'QALS - Inspection Lot Record'!A:A,'QALS - Inspection Lot Record'!I:I)</f>
        <v>0.80314814814814817</v>
      </c>
      <c r="L1943" s="59">
        <f t="shared" ca="1" si="153"/>
        <v>45991</v>
      </c>
      <c r="M1943" s="30">
        <f t="shared" ca="1" si="154"/>
        <v>0.82701388888888894</v>
      </c>
      <c r="N1943" s="31"/>
      <c r="O1943" s="31">
        <v>77.5</v>
      </c>
      <c r="P1943" s="29">
        <v>70</v>
      </c>
      <c r="Q1943" s="29">
        <v>85</v>
      </c>
    </row>
    <row r="1944" spans="1:17" x14ac:dyDescent="0.35">
      <c r="A1944" s="26">
        <v>40000002743</v>
      </c>
      <c r="B1944" s="31">
        <v>1</v>
      </c>
      <c r="C1944" s="29" t="str">
        <f>LOOKUP(A1944,'QALS - Inspection Lot Record'!$A$2:$A$361,'QALS - Inspection Lot Record'!$O$2:$O$361)</f>
        <v>Metformin Tablets (200 MG)</v>
      </c>
      <c r="D1944" s="31">
        <v>70</v>
      </c>
      <c r="E1944" s="29" t="s">
        <v>406</v>
      </c>
      <c r="F1944" s="29" t="str">
        <f>LOOKUP(A1944,'QALS - Inspection Lot Record'!A:A,'QALS - Inspection Lot Record'!G:G)</f>
        <v>TP397880</v>
      </c>
      <c r="G1944" s="59">
        <f ca="1">LOOKUP(A1944,'QALS - Inspection Lot Record'!A:A,'QALS - Inspection Lot Record'!E:E)</f>
        <v>45991</v>
      </c>
      <c r="H1944" s="34" t="str">
        <f t="shared" si="155"/>
        <v>A</v>
      </c>
      <c r="I1944" s="29" t="str">
        <f t="shared" si="151"/>
        <v>TP397880</v>
      </c>
      <c r="J1944" s="59">
        <f t="shared" ca="1" si="152"/>
        <v>45991</v>
      </c>
      <c r="K1944" s="30">
        <f ca="1">LOOKUP(A1944,'QALS - Inspection Lot Record'!A:A,'QALS - Inspection Lot Record'!I:I)</f>
        <v>0.80314814814814817</v>
      </c>
      <c r="L1944" s="59">
        <f t="shared" ca="1" si="153"/>
        <v>45991</v>
      </c>
      <c r="M1944" s="30">
        <f t="shared" ca="1" si="154"/>
        <v>0.8338888888888889</v>
      </c>
      <c r="N1944" s="31"/>
      <c r="O1944" s="31">
        <v>85</v>
      </c>
      <c r="P1944" s="29">
        <v>80</v>
      </c>
      <c r="Q1944" s="29">
        <v>90</v>
      </c>
    </row>
    <row r="1945" spans="1:17" x14ac:dyDescent="0.35">
      <c r="A1945" s="26">
        <v>40000002743</v>
      </c>
      <c r="B1945" s="31">
        <v>1</v>
      </c>
      <c r="C1945" s="29" t="str">
        <f>LOOKUP(A1945,'QALS - Inspection Lot Record'!$A$2:$A$361,'QALS - Inspection Lot Record'!$O$2:$O$361)</f>
        <v>Metformin Tablets (200 MG)</v>
      </c>
      <c r="D1945" s="31">
        <v>80</v>
      </c>
      <c r="E1945" s="29" t="s">
        <v>407</v>
      </c>
      <c r="F1945" s="29" t="str">
        <f>LOOKUP(A1945,'QALS - Inspection Lot Record'!A:A,'QALS - Inspection Lot Record'!G:G)</f>
        <v>TP397880</v>
      </c>
      <c r="G1945" s="59">
        <f ca="1">LOOKUP(A1945,'QALS - Inspection Lot Record'!A:A,'QALS - Inspection Lot Record'!E:E)</f>
        <v>45991</v>
      </c>
      <c r="H1945" s="34" t="str">
        <f t="shared" si="155"/>
        <v>R</v>
      </c>
      <c r="I1945" s="29" t="str">
        <f t="shared" si="151"/>
        <v>TP397880</v>
      </c>
      <c r="J1945" s="59">
        <f t="shared" ca="1" si="152"/>
        <v>45991</v>
      </c>
      <c r="K1945" s="30">
        <f ca="1">LOOKUP(A1945,'QALS - Inspection Lot Record'!A:A,'QALS - Inspection Lot Record'!I:I)</f>
        <v>0.80314814814814817</v>
      </c>
      <c r="L1945" s="59">
        <f t="shared" ca="1" si="153"/>
        <v>45991</v>
      </c>
      <c r="M1945" s="30">
        <f t="shared" ca="1" si="154"/>
        <v>0.82289351851851855</v>
      </c>
      <c r="N1945" s="31"/>
      <c r="O1945" s="31">
        <v>21.6</v>
      </c>
      <c r="P1945" s="29">
        <v>23</v>
      </c>
      <c r="Q1945" s="29">
        <v>28</v>
      </c>
    </row>
    <row r="1946" spans="1:17" x14ac:dyDescent="0.35">
      <c r="A1946" s="26">
        <v>40000002744</v>
      </c>
      <c r="B1946" s="27">
        <v>1</v>
      </c>
      <c r="C1946" s="29" t="str">
        <f>LOOKUP(A1946,'QALS - Inspection Lot Record'!$A$2:$A$361,'QALS - Inspection Lot Record'!$O$2:$O$361)</f>
        <v>Metformin Tablets (500 MG)</v>
      </c>
      <c r="D1946" s="27">
        <v>10</v>
      </c>
      <c r="E1946" s="26" t="s">
        <v>399</v>
      </c>
      <c r="F1946" s="29" t="str">
        <f>LOOKUP(A1946,'QALS - Inspection Lot Record'!A:A,'QALS - Inspection Lot Record'!G:G)</f>
        <v>YA284176</v>
      </c>
      <c r="G1946" s="59">
        <f ca="1">LOOKUP(A1946,'QALS - Inspection Lot Record'!A:A,'QALS - Inspection Lot Record'!E:E)</f>
        <v>45991</v>
      </c>
      <c r="H1946" s="34" t="str">
        <f t="shared" si="155"/>
        <v>A</v>
      </c>
      <c r="I1946" s="29" t="str">
        <f t="shared" si="151"/>
        <v>YA284176</v>
      </c>
      <c r="J1946" s="59">
        <f t="shared" ca="1" si="152"/>
        <v>45991</v>
      </c>
      <c r="K1946" s="30">
        <f ca="1">LOOKUP(A1946,'QALS - Inspection Lot Record'!A:A,'QALS - Inspection Lot Record'!I:I)</f>
        <v>0.32582175925925927</v>
      </c>
      <c r="L1946" s="59">
        <f t="shared" ca="1" si="153"/>
        <v>45991</v>
      </c>
      <c r="M1946" s="30">
        <f t="shared" ca="1" si="154"/>
        <v>0.35901620370370368</v>
      </c>
      <c r="N1946" s="31"/>
      <c r="O1946" s="31">
        <v>100</v>
      </c>
      <c r="P1946" s="29">
        <v>95</v>
      </c>
      <c r="Q1946" s="29">
        <v>105</v>
      </c>
    </row>
    <row r="1947" spans="1:17" x14ac:dyDescent="0.35">
      <c r="A1947" s="26">
        <v>40000002744</v>
      </c>
      <c r="B1947" s="27">
        <v>1</v>
      </c>
      <c r="C1947" s="29" t="str">
        <f>LOOKUP(A1947,'QALS - Inspection Lot Record'!$A$2:$A$361,'QALS - Inspection Lot Record'!$O$2:$O$361)</f>
        <v>Metformin Tablets (500 MG)</v>
      </c>
      <c r="D1947" s="31">
        <v>20</v>
      </c>
      <c r="E1947" s="29" t="s">
        <v>400</v>
      </c>
      <c r="F1947" s="29" t="str">
        <f>LOOKUP(A1947,'QALS - Inspection Lot Record'!A:A,'QALS - Inspection Lot Record'!G:G)</f>
        <v>YA284176</v>
      </c>
      <c r="G1947" s="59">
        <f ca="1">LOOKUP(A1947,'QALS - Inspection Lot Record'!A:A,'QALS - Inspection Lot Record'!E:E)</f>
        <v>45991</v>
      </c>
      <c r="H1947" s="34" t="str">
        <f t="shared" si="155"/>
        <v>A</v>
      </c>
      <c r="I1947" s="29" t="str">
        <f t="shared" si="151"/>
        <v>YA284176</v>
      </c>
      <c r="J1947" s="59">
        <f t="shared" ca="1" si="152"/>
        <v>45991</v>
      </c>
      <c r="K1947" s="30">
        <f ca="1">LOOKUP(A1947,'QALS - Inspection Lot Record'!A:A,'QALS - Inspection Lot Record'!I:I)</f>
        <v>0.32582175925925927</v>
      </c>
      <c r="L1947" s="59">
        <f t="shared" ca="1" si="153"/>
        <v>45991</v>
      </c>
      <c r="M1947" s="30">
        <f t="shared" ca="1" si="154"/>
        <v>0.35791666666666666</v>
      </c>
      <c r="N1947" s="31"/>
      <c r="O1947" s="31">
        <v>7.25</v>
      </c>
      <c r="P1947" s="29">
        <v>3.5</v>
      </c>
      <c r="Q1947" s="29">
        <v>11</v>
      </c>
    </row>
    <row r="1948" spans="1:17" x14ac:dyDescent="0.35">
      <c r="A1948" s="26">
        <v>40000002744</v>
      </c>
      <c r="B1948" s="31">
        <v>1</v>
      </c>
      <c r="C1948" s="29" t="str">
        <f>LOOKUP(A1948,'QALS - Inspection Lot Record'!$A$2:$A$361,'QALS - Inspection Lot Record'!$O$2:$O$361)</f>
        <v>Metformin Tablets (500 MG)</v>
      </c>
      <c r="D1948" s="31">
        <v>30</v>
      </c>
      <c r="E1948" s="29" t="s">
        <v>401</v>
      </c>
      <c r="F1948" s="29" t="str">
        <f>LOOKUP(A1948,'QALS - Inspection Lot Record'!A:A,'QALS - Inspection Lot Record'!G:G)</f>
        <v>YA284176</v>
      </c>
      <c r="G1948" s="59">
        <f ca="1">LOOKUP(A1948,'QALS - Inspection Lot Record'!A:A,'QALS - Inspection Lot Record'!E:E)</f>
        <v>45991</v>
      </c>
      <c r="H1948" s="34" t="str">
        <f t="shared" si="155"/>
        <v>A</v>
      </c>
      <c r="I1948" s="29" t="str">
        <f t="shared" si="151"/>
        <v>YA284176</v>
      </c>
      <c r="J1948" s="59">
        <f t="shared" ca="1" si="152"/>
        <v>45991</v>
      </c>
      <c r="K1948" s="30">
        <f ca="1">LOOKUP(A1948,'QALS - Inspection Lot Record'!A:A,'QALS - Inspection Lot Record'!I:I)</f>
        <v>0.32582175925925927</v>
      </c>
      <c r="L1948" s="59">
        <f t="shared" ca="1" si="153"/>
        <v>45991</v>
      </c>
      <c r="M1948" s="30">
        <f t="shared" ca="1" si="154"/>
        <v>0.35846064814814815</v>
      </c>
      <c r="N1948" s="11" t="s">
        <v>402</v>
      </c>
      <c r="O1948" s="31"/>
      <c r="P1948" s="29"/>
      <c r="Q1948" s="29"/>
    </row>
    <row r="1949" spans="1:17" x14ac:dyDescent="0.35">
      <c r="A1949" s="26">
        <v>40000002744</v>
      </c>
      <c r="B1949" s="31">
        <v>1</v>
      </c>
      <c r="C1949" s="29" t="str">
        <f>LOOKUP(A1949,'QALS - Inspection Lot Record'!$A$2:$A$361,'QALS - Inspection Lot Record'!$O$2:$O$361)</f>
        <v>Metformin Tablets (500 MG)</v>
      </c>
      <c r="D1949" s="31">
        <v>40</v>
      </c>
      <c r="E1949" s="29" t="s">
        <v>403</v>
      </c>
      <c r="F1949" s="29" t="str">
        <f>LOOKUP(A1949,'QALS - Inspection Lot Record'!A:A,'QALS - Inspection Lot Record'!G:G)</f>
        <v>YA284176</v>
      </c>
      <c r="G1949" s="59">
        <f ca="1">LOOKUP(A1949,'QALS - Inspection Lot Record'!A:A,'QALS - Inspection Lot Record'!E:E)</f>
        <v>45991</v>
      </c>
      <c r="H1949" s="34" t="str">
        <f t="shared" si="155"/>
        <v>A</v>
      </c>
      <c r="I1949" s="29" t="str">
        <f t="shared" si="151"/>
        <v>YA284176</v>
      </c>
      <c r="J1949" s="59">
        <f t="shared" ca="1" si="152"/>
        <v>45991</v>
      </c>
      <c r="K1949" s="30">
        <f ca="1">LOOKUP(A1949,'QALS - Inspection Lot Record'!A:A,'QALS - Inspection Lot Record'!I:I)</f>
        <v>0.32582175925925927</v>
      </c>
      <c r="L1949" s="59">
        <f t="shared" ca="1" si="153"/>
        <v>45991</v>
      </c>
      <c r="M1949" s="30">
        <f t="shared" ca="1" si="154"/>
        <v>0.35218749999999999</v>
      </c>
      <c r="N1949" s="31"/>
      <c r="O1949" s="31">
        <v>1</v>
      </c>
      <c r="P1949" s="29">
        <v>0</v>
      </c>
      <c r="Q1949" s="29">
        <v>2</v>
      </c>
    </row>
    <row r="1950" spans="1:17" x14ac:dyDescent="0.35">
      <c r="A1950" s="26">
        <v>40000002744</v>
      </c>
      <c r="B1950" s="31">
        <v>1</v>
      </c>
      <c r="C1950" s="29" t="str">
        <f>LOOKUP(A1950,'QALS - Inspection Lot Record'!$A$2:$A$361,'QALS - Inspection Lot Record'!$O$2:$O$361)</f>
        <v>Metformin Tablets (500 MG)</v>
      </c>
      <c r="D1950" s="31">
        <v>50</v>
      </c>
      <c r="E1950" s="29" t="s">
        <v>404</v>
      </c>
      <c r="F1950" s="29" t="str">
        <f>LOOKUP(A1950,'QALS - Inspection Lot Record'!A:A,'QALS - Inspection Lot Record'!G:G)</f>
        <v>YA284176</v>
      </c>
      <c r="G1950" s="59">
        <f ca="1">LOOKUP(A1950,'QALS - Inspection Lot Record'!A:A,'QALS - Inspection Lot Record'!E:E)</f>
        <v>45991</v>
      </c>
      <c r="H1950" s="34" t="str">
        <f t="shared" si="155"/>
        <v>A</v>
      </c>
      <c r="I1950" s="29" t="str">
        <f t="shared" si="151"/>
        <v>YA284176</v>
      </c>
      <c r="J1950" s="59">
        <f t="shared" ca="1" si="152"/>
        <v>45991</v>
      </c>
      <c r="K1950" s="30">
        <f ca="1">LOOKUP(A1950,'QALS - Inspection Lot Record'!A:A,'QALS - Inspection Lot Record'!I:I)</f>
        <v>0.32582175925925927</v>
      </c>
      <c r="L1950" s="59">
        <f t="shared" ca="1" si="153"/>
        <v>45991</v>
      </c>
      <c r="M1950" s="30">
        <f t="shared" ca="1" si="154"/>
        <v>0.34502314814814816</v>
      </c>
      <c r="N1950" s="31"/>
      <c r="O1950" s="31">
        <v>50</v>
      </c>
      <c r="P1950" s="29">
        <v>40</v>
      </c>
      <c r="Q1950" s="29">
        <v>60</v>
      </c>
    </row>
    <row r="1951" spans="1:17" x14ac:dyDescent="0.35">
      <c r="A1951" s="26">
        <v>40000002744</v>
      </c>
      <c r="B1951" s="31">
        <v>1</v>
      </c>
      <c r="C1951" s="29" t="str">
        <f>LOOKUP(A1951,'QALS - Inspection Lot Record'!$A$2:$A$361,'QALS - Inspection Lot Record'!$O$2:$O$361)</f>
        <v>Metformin Tablets (500 MG)</v>
      </c>
      <c r="D1951" s="31">
        <v>60</v>
      </c>
      <c r="E1951" s="29" t="s">
        <v>405</v>
      </c>
      <c r="F1951" s="29" t="str">
        <f>LOOKUP(A1951,'QALS - Inspection Lot Record'!A:A,'QALS - Inspection Lot Record'!G:G)</f>
        <v>YA284176</v>
      </c>
      <c r="G1951" s="59">
        <f ca="1">LOOKUP(A1951,'QALS - Inspection Lot Record'!A:A,'QALS - Inspection Lot Record'!E:E)</f>
        <v>45991</v>
      </c>
      <c r="H1951" s="34" t="str">
        <f t="shared" si="155"/>
        <v>A</v>
      </c>
      <c r="I1951" s="29" t="str">
        <f t="shared" si="151"/>
        <v>YA284176</v>
      </c>
      <c r="J1951" s="59">
        <f t="shared" ca="1" si="152"/>
        <v>45991</v>
      </c>
      <c r="K1951" s="30">
        <f ca="1">LOOKUP(A1951,'QALS - Inspection Lot Record'!A:A,'QALS - Inspection Lot Record'!I:I)</f>
        <v>0.32582175925925927</v>
      </c>
      <c r="L1951" s="59">
        <f t="shared" ca="1" si="153"/>
        <v>45991</v>
      </c>
      <c r="M1951" s="30">
        <f t="shared" ca="1" si="154"/>
        <v>0.34482638888888889</v>
      </c>
      <c r="N1951" s="31"/>
      <c r="O1951" s="31">
        <v>77.5</v>
      </c>
      <c r="P1951" s="29">
        <v>70</v>
      </c>
      <c r="Q1951" s="29">
        <v>85</v>
      </c>
    </row>
    <row r="1952" spans="1:17" x14ac:dyDescent="0.35">
      <c r="A1952" s="26">
        <v>40000002744</v>
      </c>
      <c r="B1952" s="31">
        <v>1</v>
      </c>
      <c r="C1952" s="29" t="str">
        <f>LOOKUP(A1952,'QALS - Inspection Lot Record'!$A$2:$A$361,'QALS - Inspection Lot Record'!$O$2:$O$361)</f>
        <v>Metformin Tablets (500 MG)</v>
      </c>
      <c r="D1952" s="31">
        <v>70</v>
      </c>
      <c r="E1952" s="29" t="s">
        <v>406</v>
      </c>
      <c r="F1952" s="29" t="str">
        <f>LOOKUP(A1952,'QALS - Inspection Lot Record'!A:A,'QALS - Inspection Lot Record'!G:G)</f>
        <v>YA284176</v>
      </c>
      <c r="G1952" s="59">
        <f ca="1">LOOKUP(A1952,'QALS - Inspection Lot Record'!A:A,'QALS - Inspection Lot Record'!E:E)</f>
        <v>45991</v>
      </c>
      <c r="H1952" s="34" t="str">
        <f t="shared" si="155"/>
        <v>R</v>
      </c>
      <c r="I1952" s="29" t="str">
        <f t="shared" si="151"/>
        <v>YA284176</v>
      </c>
      <c r="J1952" s="59">
        <f t="shared" ca="1" si="152"/>
        <v>45991</v>
      </c>
      <c r="K1952" s="30">
        <f ca="1">LOOKUP(A1952,'QALS - Inspection Lot Record'!A:A,'QALS - Inspection Lot Record'!I:I)</f>
        <v>0.32582175925925927</v>
      </c>
      <c r="L1952" s="59">
        <f t="shared" ca="1" si="153"/>
        <v>45991</v>
      </c>
      <c r="M1952" s="30">
        <f t="shared" ca="1" si="154"/>
        <v>0.34487268518518521</v>
      </c>
      <c r="N1952" s="31"/>
      <c r="O1952" s="31">
        <v>78.7</v>
      </c>
      <c r="P1952" s="29">
        <v>80</v>
      </c>
      <c r="Q1952" s="29">
        <v>90</v>
      </c>
    </row>
    <row r="1953" spans="1:17" x14ac:dyDescent="0.35">
      <c r="A1953" s="26">
        <v>40000002744</v>
      </c>
      <c r="B1953" s="31">
        <v>1</v>
      </c>
      <c r="C1953" s="29" t="str">
        <f>LOOKUP(A1953,'QALS - Inspection Lot Record'!$A$2:$A$361,'QALS - Inspection Lot Record'!$O$2:$O$361)</f>
        <v>Metformin Tablets (500 MG)</v>
      </c>
      <c r="D1953" s="31">
        <v>80</v>
      </c>
      <c r="E1953" s="29" t="s">
        <v>407</v>
      </c>
      <c r="F1953" s="29" t="str">
        <f>LOOKUP(A1953,'QALS - Inspection Lot Record'!A:A,'QALS - Inspection Lot Record'!G:G)</f>
        <v>YA284176</v>
      </c>
      <c r="G1953" s="59">
        <f ca="1">LOOKUP(A1953,'QALS - Inspection Lot Record'!A:A,'QALS - Inspection Lot Record'!E:E)</f>
        <v>45991</v>
      </c>
      <c r="H1953" s="34" t="str">
        <f t="shared" si="155"/>
        <v>A</v>
      </c>
      <c r="I1953" s="29" t="str">
        <f t="shared" si="151"/>
        <v>YA284176</v>
      </c>
      <c r="J1953" s="59">
        <f t="shared" ca="1" si="152"/>
        <v>45991</v>
      </c>
      <c r="K1953" s="30">
        <f ca="1">LOOKUP(A1953,'QALS - Inspection Lot Record'!A:A,'QALS - Inspection Lot Record'!I:I)</f>
        <v>0.32582175925925927</v>
      </c>
      <c r="L1953" s="59">
        <f t="shared" ca="1" si="153"/>
        <v>45991</v>
      </c>
      <c r="M1953" s="30">
        <f t="shared" ca="1" si="154"/>
        <v>0.35572916666666665</v>
      </c>
      <c r="N1953" s="31"/>
      <c r="O1953" s="31">
        <v>25.5</v>
      </c>
      <c r="P1953" s="29">
        <v>23</v>
      </c>
      <c r="Q1953" s="29">
        <v>28</v>
      </c>
    </row>
    <row r="1954" spans="1:17" x14ac:dyDescent="0.35">
      <c r="A1954" s="26">
        <v>40000002745</v>
      </c>
      <c r="B1954" s="27">
        <v>1</v>
      </c>
      <c r="C1954" s="29" t="str">
        <f>LOOKUP(A1954,'QALS - Inspection Lot Record'!$A$2:$A$361,'QALS - Inspection Lot Record'!$O$2:$O$361)</f>
        <v>Metformin Tablets (100 MG)</v>
      </c>
      <c r="D1954" s="27">
        <v>10</v>
      </c>
      <c r="E1954" s="26" t="s">
        <v>399</v>
      </c>
      <c r="F1954" s="29" t="str">
        <f>LOOKUP(A1954,'QALS - Inspection Lot Record'!A:A,'QALS - Inspection Lot Record'!G:G)</f>
        <v>AB406550</v>
      </c>
      <c r="G1954" s="59">
        <f ca="1">LOOKUP(A1954,'QALS - Inspection Lot Record'!A:A,'QALS - Inspection Lot Record'!E:E)</f>
        <v>45992</v>
      </c>
      <c r="H1954" s="34" t="str">
        <f t="shared" si="155"/>
        <v>R</v>
      </c>
      <c r="I1954" s="29" t="str">
        <f t="shared" si="151"/>
        <v>AB406550</v>
      </c>
      <c r="J1954" s="59">
        <f t="shared" ca="1" si="152"/>
        <v>45992</v>
      </c>
      <c r="K1954" s="30">
        <f ca="1">LOOKUP(A1954,'QALS - Inspection Lot Record'!A:A,'QALS - Inspection Lot Record'!I:I)</f>
        <v>0.94912037037037034</v>
      </c>
      <c r="L1954" s="59">
        <f t="shared" ca="1" si="153"/>
        <v>45992</v>
      </c>
      <c r="M1954" s="30">
        <f t="shared" ca="1" si="154"/>
        <v>0.97187499999999993</v>
      </c>
      <c r="N1954" s="31"/>
      <c r="O1954" s="31">
        <v>93</v>
      </c>
      <c r="P1954" s="29">
        <v>95</v>
      </c>
      <c r="Q1954" s="29">
        <v>102</v>
      </c>
    </row>
    <row r="1955" spans="1:17" x14ac:dyDescent="0.35">
      <c r="A1955" s="26">
        <v>40000002745</v>
      </c>
      <c r="B1955" s="27">
        <v>1</v>
      </c>
      <c r="C1955" s="29" t="str">
        <f>LOOKUP(A1955,'QALS - Inspection Lot Record'!$A$2:$A$361,'QALS - Inspection Lot Record'!$O$2:$O$361)</f>
        <v>Metformin Tablets (100 MG)</v>
      </c>
      <c r="D1955" s="31">
        <v>20</v>
      </c>
      <c r="E1955" s="29" t="s">
        <v>400</v>
      </c>
      <c r="F1955" s="29" t="str">
        <f>LOOKUP(A1955,'QALS - Inspection Lot Record'!A:A,'QALS - Inspection Lot Record'!G:G)</f>
        <v>AB406550</v>
      </c>
      <c r="G1955" s="59">
        <f ca="1">LOOKUP(A1955,'QALS - Inspection Lot Record'!A:A,'QALS - Inspection Lot Record'!E:E)</f>
        <v>45992</v>
      </c>
      <c r="H1955" s="34" t="str">
        <f t="shared" si="155"/>
        <v>R</v>
      </c>
      <c r="I1955" s="29" t="str">
        <f t="shared" si="151"/>
        <v>AB406550</v>
      </c>
      <c r="J1955" s="59">
        <f t="shared" ca="1" si="152"/>
        <v>45992</v>
      </c>
      <c r="K1955" s="30">
        <f ca="1">LOOKUP(A1955,'QALS - Inspection Lot Record'!A:A,'QALS - Inspection Lot Record'!I:I)</f>
        <v>0.94912037037037034</v>
      </c>
      <c r="L1955" s="59">
        <f t="shared" ca="1" si="153"/>
        <v>45992</v>
      </c>
      <c r="M1955" s="30">
        <f t="shared" ca="1" si="154"/>
        <v>0.98021990740740739</v>
      </c>
      <c r="N1955" s="31"/>
      <c r="O1955" s="31">
        <v>1.9</v>
      </c>
      <c r="P1955" s="29">
        <v>3.5</v>
      </c>
      <c r="Q1955" s="29">
        <v>11</v>
      </c>
    </row>
    <row r="1956" spans="1:17" x14ac:dyDescent="0.35">
      <c r="A1956" s="26">
        <v>40000002745</v>
      </c>
      <c r="B1956" s="31">
        <v>1</v>
      </c>
      <c r="C1956" s="29" t="str">
        <f>LOOKUP(A1956,'QALS - Inspection Lot Record'!$A$2:$A$361,'QALS - Inspection Lot Record'!$O$2:$O$361)</f>
        <v>Metformin Tablets (100 MG)</v>
      </c>
      <c r="D1956" s="31">
        <v>30</v>
      </c>
      <c r="E1956" s="29" t="s">
        <v>401</v>
      </c>
      <c r="F1956" s="29" t="str">
        <f>LOOKUP(A1956,'QALS - Inspection Lot Record'!A:A,'QALS - Inspection Lot Record'!G:G)</f>
        <v>AB406550</v>
      </c>
      <c r="G1956" s="59">
        <f ca="1">LOOKUP(A1956,'QALS - Inspection Lot Record'!A:A,'QALS - Inspection Lot Record'!E:E)</f>
        <v>45992</v>
      </c>
      <c r="H1956" s="34" t="str">
        <f t="shared" si="155"/>
        <v>A</v>
      </c>
      <c r="I1956" s="29" t="str">
        <f t="shared" si="151"/>
        <v>AB406550</v>
      </c>
      <c r="J1956" s="59">
        <f t="shared" ca="1" si="152"/>
        <v>45992</v>
      </c>
      <c r="K1956" s="30">
        <f ca="1">LOOKUP(A1956,'QALS - Inspection Lot Record'!A:A,'QALS - Inspection Lot Record'!I:I)</f>
        <v>0.94912037037037034</v>
      </c>
      <c r="L1956" s="59">
        <f t="shared" ca="1" si="153"/>
        <v>45992</v>
      </c>
      <c r="M1956" s="30">
        <f t="shared" ca="1" si="154"/>
        <v>0.97042824074074074</v>
      </c>
      <c r="N1956" s="11" t="s">
        <v>402</v>
      </c>
      <c r="O1956" s="31"/>
      <c r="P1956" s="29"/>
      <c r="Q1956" s="29"/>
    </row>
    <row r="1957" spans="1:17" x14ac:dyDescent="0.35">
      <c r="A1957" s="26">
        <v>40000002745</v>
      </c>
      <c r="B1957" s="31">
        <v>1</v>
      </c>
      <c r="C1957" s="29" t="str">
        <f>LOOKUP(A1957,'QALS - Inspection Lot Record'!$A$2:$A$361,'QALS - Inspection Lot Record'!$O$2:$O$361)</f>
        <v>Metformin Tablets (100 MG)</v>
      </c>
      <c r="D1957" s="31">
        <v>40</v>
      </c>
      <c r="E1957" s="29" t="s">
        <v>403</v>
      </c>
      <c r="F1957" s="29" t="str">
        <f>LOOKUP(A1957,'QALS - Inspection Lot Record'!A:A,'QALS - Inspection Lot Record'!G:G)</f>
        <v>AB406550</v>
      </c>
      <c r="G1957" s="59">
        <f ca="1">LOOKUP(A1957,'QALS - Inspection Lot Record'!A:A,'QALS - Inspection Lot Record'!E:E)</f>
        <v>45992</v>
      </c>
      <c r="H1957" s="34" t="str">
        <f t="shared" si="155"/>
        <v>A</v>
      </c>
      <c r="I1957" s="29" t="str">
        <f t="shared" si="151"/>
        <v>AB406550</v>
      </c>
      <c r="J1957" s="59">
        <f t="shared" ca="1" si="152"/>
        <v>45992</v>
      </c>
      <c r="K1957" s="30">
        <f ca="1">LOOKUP(A1957,'QALS - Inspection Lot Record'!A:A,'QALS - Inspection Lot Record'!I:I)</f>
        <v>0.94912037037037034</v>
      </c>
      <c r="L1957" s="59">
        <f t="shared" ca="1" si="153"/>
        <v>45992</v>
      </c>
      <c r="M1957" s="30">
        <f t="shared" ca="1" si="154"/>
        <v>0.97074074074074068</v>
      </c>
      <c r="N1957" s="31"/>
      <c r="O1957" s="31">
        <v>0.5</v>
      </c>
      <c r="P1957" s="29">
        <v>0</v>
      </c>
      <c r="Q1957" s="29">
        <v>1</v>
      </c>
    </row>
    <row r="1958" spans="1:17" x14ac:dyDescent="0.35">
      <c r="A1958" s="26">
        <v>40000002745</v>
      </c>
      <c r="B1958" s="31">
        <v>1</v>
      </c>
      <c r="C1958" s="29" t="str">
        <f>LOOKUP(A1958,'QALS - Inspection Lot Record'!$A$2:$A$361,'QALS - Inspection Lot Record'!$O$2:$O$361)</f>
        <v>Metformin Tablets (100 MG)</v>
      </c>
      <c r="D1958" s="31">
        <v>50</v>
      </c>
      <c r="E1958" s="29" t="s">
        <v>404</v>
      </c>
      <c r="F1958" s="29" t="str">
        <f>LOOKUP(A1958,'QALS - Inspection Lot Record'!A:A,'QALS - Inspection Lot Record'!G:G)</f>
        <v>AB406550</v>
      </c>
      <c r="G1958" s="59">
        <f ca="1">LOOKUP(A1958,'QALS - Inspection Lot Record'!A:A,'QALS - Inspection Lot Record'!E:E)</f>
        <v>45992</v>
      </c>
      <c r="H1958" s="34" t="str">
        <f t="shared" si="155"/>
        <v>A</v>
      </c>
      <c r="I1958" s="29" t="str">
        <f t="shared" si="151"/>
        <v>AB406550</v>
      </c>
      <c r="J1958" s="59">
        <f t="shared" ca="1" si="152"/>
        <v>45992</v>
      </c>
      <c r="K1958" s="30">
        <f ca="1">LOOKUP(A1958,'QALS - Inspection Lot Record'!A:A,'QALS - Inspection Lot Record'!I:I)</f>
        <v>0.94912037037037034</v>
      </c>
      <c r="L1958" s="59">
        <f t="shared" ca="1" si="153"/>
        <v>45992</v>
      </c>
      <c r="M1958" s="30">
        <f t="shared" ca="1" si="154"/>
        <v>0.97956018518518517</v>
      </c>
      <c r="N1958" s="31"/>
      <c r="O1958" s="31">
        <v>43</v>
      </c>
      <c r="P1958" s="29">
        <v>40</v>
      </c>
      <c r="Q1958" s="29">
        <v>60</v>
      </c>
    </row>
    <row r="1959" spans="1:17" x14ac:dyDescent="0.35">
      <c r="A1959" s="26">
        <v>40000002745</v>
      </c>
      <c r="B1959" s="31">
        <v>1</v>
      </c>
      <c r="C1959" s="29" t="str">
        <f>LOOKUP(A1959,'QALS - Inspection Lot Record'!$A$2:$A$361,'QALS - Inspection Lot Record'!$O$2:$O$361)</f>
        <v>Metformin Tablets (100 MG)</v>
      </c>
      <c r="D1959" s="31">
        <v>60</v>
      </c>
      <c r="E1959" s="29" t="s">
        <v>405</v>
      </c>
      <c r="F1959" s="29" t="str">
        <f>LOOKUP(A1959,'QALS - Inspection Lot Record'!A:A,'QALS - Inspection Lot Record'!G:G)</f>
        <v>AB406550</v>
      </c>
      <c r="G1959" s="59">
        <f ca="1">LOOKUP(A1959,'QALS - Inspection Lot Record'!A:A,'QALS - Inspection Lot Record'!E:E)</f>
        <v>45992</v>
      </c>
      <c r="H1959" s="34" t="str">
        <f t="shared" si="155"/>
        <v>R</v>
      </c>
      <c r="I1959" s="29" t="str">
        <f t="shared" si="151"/>
        <v>AB406550</v>
      </c>
      <c r="J1959" s="59">
        <f t="shared" ca="1" si="152"/>
        <v>45992</v>
      </c>
      <c r="K1959" s="30">
        <f ca="1">LOOKUP(A1959,'QALS - Inspection Lot Record'!A:A,'QALS - Inspection Lot Record'!I:I)</f>
        <v>0.94912037037037034</v>
      </c>
      <c r="L1959" s="59">
        <f t="shared" ca="1" si="153"/>
        <v>45992</v>
      </c>
      <c r="M1959" s="30">
        <f t="shared" ca="1" si="154"/>
        <v>0.97266203703703702</v>
      </c>
      <c r="N1959" s="31"/>
      <c r="O1959" s="31">
        <v>68.599999999999994</v>
      </c>
      <c r="P1959" s="29">
        <v>70</v>
      </c>
      <c r="Q1959" s="29">
        <v>85</v>
      </c>
    </row>
    <row r="1960" spans="1:17" x14ac:dyDescent="0.35">
      <c r="A1960" s="26">
        <v>40000002745</v>
      </c>
      <c r="B1960" s="31">
        <v>1</v>
      </c>
      <c r="C1960" s="29" t="str">
        <f>LOOKUP(A1960,'QALS - Inspection Lot Record'!$A$2:$A$361,'QALS - Inspection Lot Record'!$O$2:$O$361)</f>
        <v>Metformin Tablets (100 MG)</v>
      </c>
      <c r="D1960" s="31">
        <v>70</v>
      </c>
      <c r="E1960" s="29" t="s">
        <v>406</v>
      </c>
      <c r="F1960" s="29" t="str">
        <f>LOOKUP(A1960,'QALS - Inspection Lot Record'!A:A,'QALS - Inspection Lot Record'!G:G)</f>
        <v>AB406550</v>
      </c>
      <c r="G1960" s="59">
        <f ca="1">LOOKUP(A1960,'QALS - Inspection Lot Record'!A:A,'QALS - Inspection Lot Record'!E:E)</f>
        <v>45992</v>
      </c>
      <c r="H1960" s="34" t="str">
        <f t="shared" si="155"/>
        <v>R</v>
      </c>
      <c r="I1960" s="29" t="str">
        <f t="shared" si="151"/>
        <v>AB406550</v>
      </c>
      <c r="J1960" s="59">
        <f t="shared" ca="1" si="152"/>
        <v>45992</v>
      </c>
      <c r="K1960" s="30">
        <f ca="1">LOOKUP(A1960,'QALS - Inspection Lot Record'!A:A,'QALS - Inspection Lot Record'!I:I)</f>
        <v>0.94912037037037034</v>
      </c>
      <c r="L1960" s="59">
        <f t="shared" ca="1" si="153"/>
        <v>45992</v>
      </c>
      <c r="M1960" s="30">
        <f t="shared" ca="1" si="154"/>
        <v>0.96822916666666659</v>
      </c>
      <c r="N1960" s="31"/>
      <c r="O1960" s="31">
        <v>78.3</v>
      </c>
      <c r="P1960" s="29">
        <v>80</v>
      </c>
      <c r="Q1960" s="29">
        <v>90</v>
      </c>
    </row>
    <row r="1961" spans="1:17" x14ac:dyDescent="0.35">
      <c r="A1961" s="26">
        <v>40000002745</v>
      </c>
      <c r="B1961" s="31">
        <v>1</v>
      </c>
      <c r="C1961" s="29" t="str">
        <f>LOOKUP(A1961,'QALS - Inspection Lot Record'!$A$2:$A$361,'QALS - Inspection Lot Record'!$O$2:$O$361)</f>
        <v>Metformin Tablets (100 MG)</v>
      </c>
      <c r="D1961" s="31">
        <v>80</v>
      </c>
      <c r="E1961" s="29" t="s">
        <v>407</v>
      </c>
      <c r="F1961" s="29" t="str">
        <f>LOOKUP(A1961,'QALS - Inspection Lot Record'!A:A,'QALS - Inspection Lot Record'!G:G)</f>
        <v>AB406550</v>
      </c>
      <c r="G1961" s="59">
        <f ca="1">LOOKUP(A1961,'QALS - Inspection Lot Record'!A:A,'QALS - Inspection Lot Record'!E:E)</f>
        <v>45992</v>
      </c>
      <c r="H1961" s="34" t="str">
        <f t="shared" si="155"/>
        <v>A</v>
      </c>
      <c r="I1961" s="29" t="str">
        <f t="shared" si="151"/>
        <v>AB406550</v>
      </c>
      <c r="J1961" s="59">
        <f t="shared" ca="1" si="152"/>
        <v>45992</v>
      </c>
      <c r="K1961" s="30">
        <f ca="1">LOOKUP(A1961,'QALS - Inspection Lot Record'!A:A,'QALS - Inspection Lot Record'!I:I)</f>
        <v>0.94912037037037034</v>
      </c>
      <c r="L1961" s="59">
        <f t="shared" ca="1" si="153"/>
        <v>45992</v>
      </c>
      <c r="M1961" s="30">
        <f t="shared" ca="1" si="154"/>
        <v>0.9826273148148148</v>
      </c>
      <c r="N1961" s="31"/>
      <c r="O1961" s="31">
        <v>24</v>
      </c>
      <c r="P1961" s="29">
        <v>23</v>
      </c>
      <c r="Q1961" s="29">
        <v>25</v>
      </c>
    </row>
    <row r="1962" spans="1:17" x14ac:dyDescent="0.35">
      <c r="A1962" s="26">
        <v>40000002746</v>
      </c>
      <c r="B1962" s="27">
        <v>1</v>
      </c>
      <c r="C1962" s="29" t="str">
        <f>LOOKUP(A1962,'QALS - Inspection Lot Record'!$A$2:$A$361,'QALS - Inspection Lot Record'!$O$2:$O$361)</f>
        <v>Ibuprofen Tablets (100 MG)</v>
      </c>
      <c r="D1962" s="27">
        <v>10</v>
      </c>
      <c r="E1962" s="26" t="s">
        <v>399</v>
      </c>
      <c r="F1962" s="29" t="str">
        <f>LOOKUP(A1962,'QALS - Inspection Lot Record'!A:A,'QALS - Inspection Lot Record'!G:G)</f>
        <v>GC197258</v>
      </c>
      <c r="G1962" s="59">
        <f ca="1">LOOKUP(A1962,'QALS - Inspection Lot Record'!A:A,'QALS - Inspection Lot Record'!E:E)</f>
        <v>45992</v>
      </c>
      <c r="H1962" s="34" t="str">
        <f t="shared" si="155"/>
        <v>A</v>
      </c>
      <c r="I1962" s="29" t="str">
        <f t="shared" si="151"/>
        <v>GC197258</v>
      </c>
      <c r="J1962" s="59">
        <f t="shared" ca="1" si="152"/>
        <v>45992</v>
      </c>
      <c r="K1962" s="30">
        <f ca="1">LOOKUP(A1962,'QALS - Inspection Lot Record'!A:A,'QALS - Inspection Lot Record'!I:I)</f>
        <v>0.28878472222222223</v>
      </c>
      <c r="L1962" s="59">
        <f t="shared" ca="1" si="153"/>
        <v>45992</v>
      </c>
      <c r="M1962" s="30">
        <f t="shared" ca="1" si="154"/>
        <v>0.31716435185185188</v>
      </c>
      <c r="N1962" s="31"/>
      <c r="O1962" s="31">
        <v>98</v>
      </c>
      <c r="P1962" s="29">
        <v>95</v>
      </c>
      <c r="Q1962" s="29">
        <v>102</v>
      </c>
    </row>
    <row r="1963" spans="1:17" x14ac:dyDescent="0.35">
      <c r="A1963" s="26">
        <v>40000002746</v>
      </c>
      <c r="B1963" s="27">
        <v>1</v>
      </c>
      <c r="C1963" s="29" t="str">
        <f>LOOKUP(A1963,'QALS - Inspection Lot Record'!$A$2:$A$361,'QALS - Inspection Lot Record'!$O$2:$O$361)</f>
        <v>Ibuprofen Tablets (100 MG)</v>
      </c>
      <c r="D1963" s="31">
        <v>20</v>
      </c>
      <c r="E1963" s="29" t="s">
        <v>400</v>
      </c>
      <c r="F1963" s="29" t="str">
        <f>LOOKUP(A1963,'QALS - Inspection Lot Record'!A:A,'QALS - Inspection Lot Record'!G:G)</f>
        <v>GC197258</v>
      </c>
      <c r="G1963" s="59">
        <f ca="1">LOOKUP(A1963,'QALS - Inspection Lot Record'!A:A,'QALS - Inspection Lot Record'!E:E)</f>
        <v>45992</v>
      </c>
      <c r="H1963" s="34" t="str">
        <f t="shared" si="155"/>
        <v>A</v>
      </c>
      <c r="I1963" s="29" t="str">
        <f t="shared" si="151"/>
        <v>GC197258</v>
      </c>
      <c r="J1963" s="59">
        <f t="shared" ca="1" si="152"/>
        <v>45992</v>
      </c>
      <c r="K1963" s="30">
        <f ca="1">LOOKUP(A1963,'QALS - Inspection Lot Record'!A:A,'QALS - Inspection Lot Record'!I:I)</f>
        <v>0.28878472222222223</v>
      </c>
      <c r="L1963" s="59">
        <f t="shared" ca="1" si="153"/>
        <v>45992</v>
      </c>
      <c r="M1963" s="30">
        <f t="shared" ca="1" si="154"/>
        <v>0.31189814814814815</v>
      </c>
      <c r="N1963" s="31"/>
      <c r="O1963" s="31">
        <v>4.5</v>
      </c>
      <c r="P1963" s="29">
        <v>3.5</v>
      </c>
      <c r="Q1963" s="29">
        <v>11</v>
      </c>
    </row>
    <row r="1964" spans="1:17" x14ac:dyDescent="0.35">
      <c r="A1964" s="26">
        <v>40000002746</v>
      </c>
      <c r="B1964" s="31">
        <v>1</v>
      </c>
      <c r="C1964" s="29" t="str">
        <f>LOOKUP(A1964,'QALS - Inspection Lot Record'!$A$2:$A$361,'QALS - Inspection Lot Record'!$O$2:$O$361)</f>
        <v>Ibuprofen Tablets (100 MG)</v>
      </c>
      <c r="D1964" s="31">
        <v>30</v>
      </c>
      <c r="E1964" s="29" t="s">
        <v>401</v>
      </c>
      <c r="F1964" s="29" t="str">
        <f>LOOKUP(A1964,'QALS - Inspection Lot Record'!A:A,'QALS - Inspection Lot Record'!G:G)</f>
        <v>GC197258</v>
      </c>
      <c r="G1964" s="59">
        <f ca="1">LOOKUP(A1964,'QALS - Inspection Lot Record'!A:A,'QALS - Inspection Lot Record'!E:E)</f>
        <v>45992</v>
      </c>
      <c r="H1964" s="34" t="str">
        <f t="shared" si="155"/>
        <v>A</v>
      </c>
      <c r="I1964" s="29" t="str">
        <f t="shared" si="151"/>
        <v>GC197258</v>
      </c>
      <c r="J1964" s="59">
        <f t="shared" ca="1" si="152"/>
        <v>45992</v>
      </c>
      <c r="K1964" s="30">
        <f ca="1">LOOKUP(A1964,'QALS - Inspection Lot Record'!A:A,'QALS - Inspection Lot Record'!I:I)</f>
        <v>0.28878472222222223</v>
      </c>
      <c r="L1964" s="59">
        <f t="shared" ca="1" si="153"/>
        <v>45992</v>
      </c>
      <c r="M1964" s="30">
        <f t="shared" ca="1" si="154"/>
        <v>0.31550925925925927</v>
      </c>
      <c r="N1964" s="11" t="s">
        <v>402</v>
      </c>
      <c r="O1964" s="31"/>
      <c r="P1964" s="29"/>
      <c r="Q1964" s="29"/>
    </row>
    <row r="1965" spans="1:17" x14ac:dyDescent="0.35">
      <c r="A1965" s="26">
        <v>40000002746</v>
      </c>
      <c r="B1965" s="31">
        <v>1</v>
      </c>
      <c r="C1965" s="29" t="str">
        <f>LOOKUP(A1965,'QALS - Inspection Lot Record'!$A$2:$A$361,'QALS - Inspection Lot Record'!$O$2:$O$361)</f>
        <v>Ibuprofen Tablets (100 MG)</v>
      </c>
      <c r="D1965" s="31">
        <v>40</v>
      </c>
      <c r="E1965" s="29" t="s">
        <v>403</v>
      </c>
      <c r="F1965" s="29" t="str">
        <f>LOOKUP(A1965,'QALS - Inspection Lot Record'!A:A,'QALS - Inspection Lot Record'!G:G)</f>
        <v>GC197258</v>
      </c>
      <c r="G1965" s="59">
        <f ca="1">LOOKUP(A1965,'QALS - Inspection Lot Record'!A:A,'QALS - Inspection Lot Record'!E:E)</f>
        <v>45992</v>
      </c>
      <c r="H1965" s="34" t="str">
        <f t="shared" si="155"/>
        <v>A</v>
      </c>
      <c r="I1965" s="29" t="str">
        <f t="shared" si="151"/>
        <v>GC197258</v>
      </c>
      <c r="J1965" s="59">
        <f t="shared" ca="1" si="152"/>
        <v>45992</v>
      </c>
      <c r="K1965" s="30">
        <f ca="1">LOOKUP(A1965,'QALS - Inspection Lot Record'!A:A,'QALS - Inspection Lot Record'!I:I)</f>
        <v>0.28878472222222223</v>
      </c>
      <c r="L1965" s="59">
        <f t="shared" ca="1" si="153"/>
        <v>45992</v>
      </c>
      <c r="M1965" s="30">
        <f t="shared" ca="1" si="154"/>
        <v>0.3134953703703704</v>
      </c>
      <c r="N1965" s="31"/>
      <c r="O1965" s="31">
        <v>0.5</v>
      </c>
      <c r="P1965" s="29">
        <v>0</v>
      </c>
      <c r="Q1965" s="29">
        <v>1</v>
      </c>
    </row>
    <row r="1966" spans="1:17" x14ac:dyDescent="0.35">
      <c r="A1966" s="26">
        <v>40000002746</v>
      </c>
      <c r="B1966" s="31">
        <v>1</v>
      </c>
      <c r="C1966" s="29" t="str">
        <f>LOOKUP(A1966,'QALS - Inspection Lot Record'!$A$2:$A$361,'QALS - Inspection Lot Record'!$O$2:$O$361)</f>
        <v>Ibuprofen Tablets (100 MG)</v>
      </c>
      <c r="D1966" s="31">
        <v>50</v>
      </c>
      <c r="E1966" s="29" t="s">
        <v>404</v>
      </c>
      <c r="F1966" s="29" t="str">
        <f>LOOKUP(A1966,'QALS - Inspection Lot Record'!A:A,'QALS - Inspection Lot Record'!G:G)</f>
        <v>GC197258</v>
      </c>
      <c r="G1966" s="59">
        <f ca="1">LOOKUP(A1966,'QALS - Inspection Lot Record'!A:A,'QALS - Inspection Lot Record'!E:E)</f>
        <v>45992</v>
      </c>
      <c r="H1966" s="34" t="str">
        <f t="shared" si="155"/>
        <v>A</v>
      </c>
      <c r="I1966" s="29" t="str">
        <f t="shared" si="151"/>
        <v>GC197258</v>
      </c>
      <c r="J1966" s="59">
        <f t="shared" ca="1" si="152"/>
        <v>45992</v>
      </c>
      <c r="K1966" s="30">
        <f ca="1">LOOKUP(A1966,'QALS - Inspection Lot Record'!A:A,'QALS - Inspection Lot Record'!I:I)</f>
        <v>0.28878472222222223</v>
      </c>
      <c r="L1966" s="59">
        <f t="shared" ca="1" si="153"/>
        <v>45992</v>
      </c>
      <c r="M1966" s="30">
        <f t="shared" ca="1" si="154"/>
        <v>0.31600694444444444</v>
      </c>
      <c r="N1966" s="31"/>
      <c r="O1966" s="31">
        <v>43.5</v>
      </c>
      <c r="P1966" s="29">
        <v>40</v>
      </c>
      <c r="Q1966" s="29">
        <v>60</v>
      </c>
    </row>
    <row r="1967" spans="1:17" x14ac:dyDescent="0.35">
      <c r="A1967" s="26">
        <v>40000002746</v>
      </c>
      <c r="B1967" s="31">
        <v>1</v>
      </c>
      <c r="C1967" s="29" t="str">
        <f>LOOKUP(A1967,'QALS - Inspection Lot Record'!$A$2:$A$361,'QALS - Inspection Lot Record'!$O$2:$O$361)</f>
        <v>Ibuprofen Tablets (100 MG)</v>
      </c>
      <c r="D1967" s="31">
        <v>60</v>
      </c>
      <c r="E1967" s="29" t="s">
        <v>405</v>
      </c>
      <c r="F1967" s="29" t="str">
        <f>LOOKUP(A1967,'QALS - Inspection Lot Record'!A:A,'QALS - Inspection Lot Record'!G:G)</f>
        <v>GC197258</v>
      </c>
      <c r="G1967" s="59">
        <f ca="1">LOOKUP(A1967,'QALS - Inspection Lot Record'!A:A,'QALS - Inspection Lot Record'!E:E)</f>
        <v>45992</v>
      </c>
      <c r="H1967" s="34" t="str">
        <f t="shared" si="155"/>
        <v>A</v>
      </c>
      <c r="I1967" s="29" t="str">
        <f t="shared" si="151"/>
        <v>GC197258</v>
      </c>
      <c r="J1967" s="59">
        <f t="shared" ca="1" si="152"/>
        <v>45992</v>
      </c>
      <c r="K1967" s="30">
        <f ca="1">LOOKUP(A1967,'QALS - Inspection Lot Record'!A:A,'QALS - Inspection Lot Record'!I:I)</f>
        <v>0.28878472222222223</v>
      </c>
      <c r="L1967" s="59">
        <f t="shared" ca="1" si="153"/>
        <v>45992</v>
      </c>
      <c r="M1967" s="30">
        <f t="shared" ca="1" si="154"/>
        <v>0.31458333333333333</v>
      </c>
      <c r="N1967" s="31"/>
      <c r="O1967" s="31">
        <v>73.2</v>
      </c>
      <c r="P1967" s="29">
        <v>70</v>
      </c>
      <c r="Q1967" s="29">
        <v>85</v>
      </c>
    </row>
    <row r="1968" spans="1:17" x14ac:dyDescent="0.35">
      <c r="A1968" s="26">
        <v>40000002746</v>
      </c>
      <c r="B1968" s="31">
        <v>1</v>
      </c>
      <c r="C1968" s="29" t="str">
        <f>LOOKUP(A1968,'QALS - Inspection Lot Record'!$A$2:$A$361,'QALS - Inspection Lot Record'!$O$2:$O$361)</f>
        <v>Ibuprofen Tablets (100 MG)</v>
      </c>
      <c r="D1968" s="31">
        <v>70</v>
      </c>
      <c r="E1968" s="29" t="s">
        <v>406</v>
      </c>
      <c r="F1968" s="29" t="str">
        <f>LOOKUP(A1968,'QALS - Inspection Lot Record'!A:A,'QALS - Inspection Lot Record'!G:G)</f>
        <v>GC197258</v>
      </c>
      <c r="G1968" s="59">
        <f ca="1">LOOKUP(A1968,'QALS - Inspection Lot Record'!A:A,'QALS - Inspection Lot Record'!E:E)</f>
        <v>45992</v>
      </c>
      <c r="H1968" s="34" t="str">
        <f t="shared" si="155"/>
        <v>R</v>
      </c>
      <c r="I1968" s="29" t="str">
        <f t="shared" si="151"/>
        <v>GC197258</v>
      </c>
      <c r="J1968" s="59">
        <f t="shared" ca="1" si="152"/>
        <v>45992</v>
      </c>
      <c r="K1968" s="30">
        <f ca="1">LOOKUP(A1968,'QALS - Inspection Lot Record'!A:A,'QALS - Inspection Lot Record'!I:I)</f>
        <v>0.28878472222222223</v>
      </c>
      <c r="L1968" s="59">
        <f t="shared" ca="1" si="153"/>
        <v>45992</v>
      </c>
      <c r="M1968" s="30">
        <f t="shared" ca="1" si="154"/>
        <v>0.31438657407407411</v>
      </c>
      <c r="N1968" s="31"/>
      <c r="O1968" s="31">
        <v>78.8</v>
      </c>
      <c r="P1968" s="29">
        <v>80</v>
      </c>
      <c r="Q1968" s="29">
        <v>90</v>
      </c>
    </row>
    <row r="1969" spans="1:17" x14ac:dyDescent="0.35">
      <c r="A1969" s="26">
        <v>40000002746</v>
      </c>
      <c r="B1969" s="31">
        <v>1</v>
      </c>
      <c r="C1969" s="29" t="str">
        <f>LOOKUP(A1969,'QALS - Inspection Lot Record'!$A$2:$A$361,'QALS - Inspection Lot Record'!$O$2:$O$361)</f>
        <v>Ibuprofen Tablets (100 MG)</v>
      </c>
      <c r="D1969" s="31">
        <v>80</v>
      </c>
      <c r="E1969" s="29" t="s">
        <v>407</v>
      </c>
      <c r="F1969" s="29" t="str">
        <f>LOOKUP(A1969,'QALS - Inspection Lot Record'!A:A,'QALS - Inspection Lot Record'!G:G)</f>
        <v>GC197258</v>
      </c>
      <c r="G1969" s="59">
        <f ca="1">LOOKUP(A1969,'QALS - Inspection Lot Record'!A:A,'QALS - Inspection Lot Record'!E:E)</f>
        <v>45992</v>
      </c>
      <c r="H1969" s="34" t="str">
        <f t="shared" si="155"/>
        <v>A</v>
      </c>
      <c r="I1969" s="29" t="str">
        <f t="shared" si="151"/>
        <v>GC197258</v>
      </c>
      <c r="J1969" s="59">
        <f t="shared" ca="1" si="152"/>
        <v>45992</v>
      </c>
      <c r="K1969" s="30">
        <f ca="1">LOOKUP(A1969,'QALS - Inspection Lot Record'!A:A,'QALS - Inspection Lot Record'!I:I)</f>
        <v>0.28878472222222223</v>
      </c>
      <c r="L1969" s="59">
        <f t="shared" ca="1" si="153"/>
        <v>45992</v>
      </c>
      <c r="M1969" s="30">
        <f t="shared" ca="1" si="154"/>
        <v>0.32140046296296299</v>
      </c>
      <c r="N1969" s="31"/>
      <c r="O1969" s="31">
        <v>24</v>
      </c>
      <c r="P1969" s="29">
        <v>23</v>
      </c>
      <c r="Q1969" s="29">
        <v>25</v>
      </c>
    </row>
    <row r="1970" spans="1:17" x14ac:dyDescent="0.35">
      <c r="A1970" s="26">
        <v>40000002747</v>
      </c>
      <c r="B1970" s="27">
        <v>1</v>
      </c>
      <c r="C1970" s="29" t="str">
        <f>LOOKUP(A1970,'QALS - Inspection Lot Record'!$A$2:$A$361,'QALS - Inspection Lot Record'!$O$2:$O$361)</f>
        <v>Aspirin Tablets (500 MG)</v>
      </c>
      <c r="D1970" s="27">
        <v>10</v>
      </c>
      <c r="E1970" s="26" t="s">
        <v>399</v>
      </c>
      <c r="F1970" s="29" t="str">
        <f>LOOKUP(A1970,'QALS - Inspection Lot Record'!A:A,'QALS - Inspection Lot Record'!G:G)</f>
        <v>AB406550</v>
      </c>
      <c r="G1970" s="59">
        <f ca="1">LOOKUP(A1970,'QALS - Inspection Lot Record'!A:A,'QALS - Inspection Lot Record'!E:E)</f>
        <v>45993</v>
      </c>
      <c r="H1970" s="34" t="str">
        <f t="shared" si="155"/>
        <v>R</v>
      </c>
      <c r="I1970" s="29" t="str">
        <f t="shared" si="151"/>
        <v>AB406550</v>
      </c>
      <c r="J1970" s="59">
        <f t="shared" ca="1" si="152"/>
        <v>45993</v>
      </c>
      <c r="K1970" s="30">
        <f ca="1">LOOKUP(A1970,'QALS - Inspection Lot Record'!A:A,'QALS - Inspection Lot Record'!I:I)</f>
        <v>0.55903935185185183</v>
      </c>
      <c r="L1970" s="59">
        <f t="shared" ca="1" si="153"/>
        <v>45993</v>
      </c>
      <c r="M1970" s="30">
        <f t="shared" ca="1" si="154"/>
        <v>0.583125</v>
      </c>
      <c r="N1970" s="31"/>
      <c r="O1970" s="31">
        <v>93.8</v>
      </c>
      <c r="P1970" s="29">
        <v>95</v>
      </c>
      <c r="Q1970" s="29">
        <v>105</v>
      </c>
    </row>
    <row r="1971" spans="1:17" x14ac:dyDescent="0.35">
      <c r="A1971" s="26">
        <v>40000002747</v>
      </c>
      <c r="B1971" s="27">
        <v>1</v>
      </c>
      <c r="C1971" s="29" t="str">
        <f>LOOKUP(A1971,'QALS - Inspection Lot Record'!$A$2:$A$361,'QALS - Inspection Lot Record'!$O$2:$O$361)</f>
        <v>Aspirin Tablets (500 MG)</v>
      </c>
      <c r="D1971" s="31">
        <v>20</v>
      </c>
      <c r="E1971" s="29" t="s">
        <v>400</v>
      </c>
      <c r="F1971" s="29" t="str">
        <f>LOOKUP(A1971,'QALS - Inspection Lot Record'!A:A,'QALS - Inspection Lot Record'!G:G)</f>
        <v>AB406550</v>
      </c>
      <c r="G1971" s="59">
        <f ca="1">LOOKUP(A1971,'QALS - Inspection Lot Record'!A:A,'QALS - Inspection Lot Record'!E:E)</f>
        <v>45993</v>
      </c>
      <c r="H1971" s="34" t="str">
        <f t="shared" si="155"/>
        <v>A</v>
      </c>
      <c r="I1971" s="29" t="str">
        <f t="shared" si="151"/>
        <v>AB406550</v>
      </c>
      <c r="J1971" s="59">
        <f t="shared" ca="1" si="152"/>
        <v>45993</v>
      </c>
      <c r="K1971" s="30">
        <f ca="1">LOOKUP(A1971,'QALS - Inspection Lot Record'!A:A,'QALS - Inspection Lot Record'!I:I)</f>
        <v>0.55903935185185183</v>
      </c>
      <c r="L1971" s="59">
        <f t="shared" ca="1" si="153"/>
        <v>45993</v>
      </c>
      <c r="M1971" s="30">
        <f t="shared" ca="1" si="154"/>
        <v>0.57969907407407406</v>
      </c>
      <c r="N1971" s="31"/>
      <c r="O1971" s="31">
        <v>7.25</v>
      </c>
      <c r="P1971" s="29">
        <v>3.5</v>
      </c>
      <c r="Q1971" s="29">
        <v>11</v>
      </c>
    </row>
    <row r="1972" spans="1:17" x14ac:dyDescent="0.35">
      <c r="A1972" s="26">
        <v>40000002747</v>
      </c>
      <c r="B1972" s="31">
        <v>1</v>
      </c>
      <c r="C1972" s="29" t="str">
        <f>LOOKUP(A1972,'QALS - Inspection Lot Record'!$A$2:$A$361,'QALS - Inspection Lot Record'!$O$2:$O$361)</f>
        <v>Aspirin Tablets (500 MG)</v>
      </c>
      <c r="D1972" s="31">
        <v>30</v>
      </c>
      <c r="E1972" s="29" t="s">
        <v>401</v>
      </c>
      <c r="F1972" s="29" t="str">
        <f>LOOKUP(A1972,'QALS - Inspection Lot Record'!A:A,'QALS - Inspection Lot Record'!G:G)</f>
        <v>AB406550</v>
      </c>
      <c r="G1972" s="59">
        <f ca="1">LOOKUP(A1972,'QALS - Inspection Lot Record'!A:A,'QALS - Inspection Lot Record'!E:E)</f>
        <v>45993</v>
      </c>
      <c r="H1972" s="34" t="str">
        <f t="shared" si="155"/>
        <v>A</v>
      </c>
      <c r="I1972" s="29" t="str">
        <f t="shared" si="151"/>
        <v>AB406550</v>
      </c>
      <c r="J1972" s="59">
        <f t="shared" ca="1" si="152"/>
        <v>45993</v>
      </c>
      <c r="K1972" s="30">
        <f ca="1">LOOKUP(A1972,'QALS - Inspection Lot Record'!A:A,'QALS - Inspection Lot Record'!I:I)</f>
        <v>0.55903935185185183</v>
      </c>
      <c r="L1972" s="59">
        <f t="shared" ca="1" si="153"/>
        <v>45993</v>
      </c>
      <c r="M1972" s="30">
        <f t="shared" ca="1" si="154"/>
        <v>0.58306712962962959</v>
      </c>
      <c r="N1972" s="11" t="s">
        <v>402</v>
      </c>
      <c r="O1972" s="31"/>
      <c r="P1972" s="29"/>
      <c r="Q1972" s="29"/>
    </row>
    <row r="1973" spans="1:17" x14ac:dyDescent="0.35">
      <c r="A1973" s="26">
        <v>40000002747</v>
      </c>
      <c r="B1973" s="31">
        <v>1</v>
      </c>
      <c r="C1973" s="29" t="str">
        <f>LOOKUP(A1973,'QALS - Inspection Lot Record'!$A$2:$A$361,'QALS - Inspection Lot Record'!$O$2:$O$361)</f>
        <v>Aspirin Tablets (500 MG)</v>
      </c>
      <c r="D1973" s="31">
        <v>40</v>
      </c>
      <c r="E1973" s="29" t="s">
        <v>403</v>
      </c>
      <c r="F1973" s="29" t="str">
        <f>LOOKUP(A1973,'QALS - Inspection Lot Record'!A:A,'QALS - Inspection Lot Record'!G:G)</f>
        <v>AB406550</v>
      </c>
      <c r="G1973" s="59">
        <f ca="1">LOOKUP(A1973,'QALS - Inspection Lot Record'!A:A,'QALS - Inspection Lot Record'!E:E)</f>
        <v>45993</v>
      </c>
      <c r="H1973" s="34" t="str">
        <f t="shared" si="155"/>
        <v>A</v>
      </c>
      <c r="I1973" s="29" t="str">
        <f t="shared" si="151"/>
        <v>AB406550</v>
      </c>
      <c r="J1973" s="59">
        <f t="shared" ca="1" si="152"/>
        <v>45993</v>
      </c>
      <c r="K1973" s="30">
        <f ca="1">LOOKUP(A1973,'QALS - Inspection Lot Record'!A:A,'QALS - Inspection Lot Record'!I:I)</f>
        <v>0.55903935185185183</v>
      </c>
      <c r="L1973" s="59">
        <f t="shared" ca="1" si="153"/>
        <v>45993</v>
      </c>
      <c r="M1973" s="30">
        <f t="shared" ca="1" si="154"/>
        <v>0.58243055555555556</v>
      </c>
      <c r="N1973" s="31"/>
      <c r="O1973" s="31">
        <v>0</v>
      </c>
      <c r="P1973" s="29">
        <v>0</v>
      </c>
      <c r="Q1973" s="29">
        <v>2.5</v>
      </c>
    </row>
    <row r="1974" spans="1:17" x14ac:dyDescent="0.35">
      <c r="A1974" s="26">
        <v>40000002747</v>
      </c>
      <c r="B1974" s="31">
        <v>1</v>
      </c>
      <c r="C1974" s="29" t="str">
        <f>LOOKUP(A1974,'QALS - Inspection Lot Record'!$A$2:$A$361,'QALS - Inspection Lot Record'!$O$2:$O$361)</f>
        <v>Aspirin Tablets (500 MG)</v>
      </c>
      <c r="D1974" s="31">
        <v>50</v>
      </c>
      <c r="E1974" s="29" t="s">
        <v>404</v>
      </c>
      <c r="F1974" s="29" t="str">
        <f>LOOKUP(A1974,'QALS - Inspection Lot Record'!A:A,'QALS - Inspection Lot Record'!G:G)</f>
        <v>AB406550</v>
      </c>
      <c r="G1974" s="59">
        <f ca="1">LOOKUP(A1974,'QALS - Inspection Lot Record'!A:A,'QALS - Inspection Lot Record'!E:E)</f>
        <v>45993</v>
      </c>
      <c r="H1974" s="34" t="str">
        <f t="shared" si="155"/>
        <v>A</v>
      </c>
      <c r="I1974" s="29" t="str">
        <f t="shared" si="151"/>
        <v>AB406550</v>
      </c>
      <c r="J1974" s="59">
        <f t="shared" ca="1" si="152"/>
        <v>45993</v>
      </c>
      <c r="K1974" s="30">
        <f ca="1">LOOKUP(A1974,'QALS - Inspection Lot Record'!A:A,'QALS - Inspection Lot Record'!I:I)</f>
        <v>0.55903935185185183</v>
      </c>
      <c r="L1974" s="59">
        <f t="shared" ca="1" si="153"/>
        <v>45993</v>
      </c>
      <c r="M1974" s="30">
        <f t="shared" ca="1" si="154"/>
        <v>0.58539351851851851</v>
      </c>
      <c r="N1974" s="31"/>
      <c r="O1974" s="31">
        <v>50</v>
      </c>
      <c r="P1974" s="29">
        <v>40</v>
      </c>
      <c r="Q1974" s="29">
        <v>60</v>
      </c>
    </row>
    <row r="1975" spans="1:17" x14ac:dyDescent="0.35">
      <c r="A1975" s="26">
        <v>40000002747</v>
      </c>
      <c r="B1975" s="31">
        <v>1</v>
      </c>
      <c r="C1975" s="29" t="str">
        <f>LOOKUP(A1975,'QALS - Inspection Lot Record'!$A$2:$A$361,'QALS - Inspection Lot Record'!$O$2:$O$361)</f>
        <v>Aspirin Tablets (500 MG)</v>
      </c>
      <c r="D1975" s="31">
        <v>60</v>
      </c>
      <c r="E1975" s="29" t="s">
        <v>405</v>
      </c>
      <c r="F1975" s="29" t="str">
        <f>LOOKUP(A1975,'QALS - Inspection Lot Record'!A:A,'QALS - Inspection Lot Record'!G:G)</f>
        <v>AB406550</v>
      </c>
      <c r="G1975" s="59">
        <f ca="1">LOOKUP(A1975,'QALS - Inspection Lot Record'!A:A,'QALS - Inspection Lot Record'!E:E)</f>
        <v>45993</v>
      </c>
      <c r="H1975" s="34" t="str">
        <f t="shared" si="155"/>
        <v>A</v>
      </c>
      <c r="I1975" s="29" t="str">
        <f t="shared" si="151"/>
        <v>AB406550</v>
      </c>
      <c r="J1975" s="59">
        <f t="shared" ca="1" si="152"/>
        <v>45993</v>
      </c>
      <c r="K1975" s="30">
        <f ca="1">LOOKUP(A1975,'QALS - Inspection Lot Record'!A:A,'QALS - Inspection Lot Record'!I:I)</f>
        <v>0.55903935185185183</v>
      </c>
      <c r="L1975" s="59">
        <f t="shared" ca="1" si="153"/>
        <v>45993</v>
      </c>
      <c r="M1975" s="30">
        <f t="shared" ca="1" si="154"/>
        <v>0.58412037037037035</v>
      </c>
      <c r="N1975" s="31"/>
      <c r="O1975" s="31">
        <v>77.5</v>
      </c>
      <c r="P1975" s="29">
        <v>70</v>
      </c>
      <c r="Q1975" s="29">
        <v>85</v>
      </c>
    </row>
    <row r="1976" spans="1:17" x14ac:dyDescent="0.35">
      <c r="A1976" s="26">
        <v>40000002747</v>
      </c>
      <c r="B1976" s="31">
        <v>1</v>
      </c>
      <c r="C1976" s="29" t="str">
        <f>LOOKUP(A1976,'QALS - Inspection Lot Record'!$A$2:$A$361,'QALS - Inspection Lot Record'!$O$2:$O$361)</f>
        <v>Aspirin Tablets (500 MG)</v>
      </c>
      <c r="D1976" s="31">
        <v>70</v>
      </c>
      <c r="E1976" s="29" t="s">
        <v>406</v>
      </c>
      <c r="F1976" s="29" t="str">
        <f>LOOKUP(A1976,'QALS - Inspection Lot Record'!A:A,'QALS - Inspection Lot Record'!G:G)</f>
        <v>AB406550</v>
      </c>
      <c r="G1976" s="59">
        <f ca="1">LOOKUP(A1976,'QALS - Inspection Lot Record'!A:A,'QALS - Inspection Lot Record'!E:E)</f>
        <v>45993</v>
      </c>
      <c r="H1976" s="34" t="str">
        <f t="shared" si="155"/>
        <v>A</v>
      </c>
      <c r="I1976" s="29" t="str">
        <f t="shared" si="151"/>
        <v>AB406550</v>
      </c>
      <c r="J1976" s="59">
        <f t="shared" ca="1" si="152"/>
        <v>45993</v>
      </c>
      <c r="K1976" s="30">
        <f ca="1">LOOKUP(A1976,'QALS - Inspection Lot Record'!A:A,'QALS - Inspection Lot Record'!I:I)</f>
        <v>0.55903935185185183</v>
      </c>
      <c r="L1976" s="59">
        <f t="shared" ca="1" si="153"/>
        <v>45993</v>
      </c>
      <c r="M1976" s="30">
        <f t="shared" ca="1" si="154"/>
        <v>0.58732638888888888</v>
      </c>
      <c r="N1976" s="31"/>
      <c r="O1976" s="31">
        <v>85</v>
      </c>
      <c r="P1976" s="29">
        <v>80</v>
      </c>
      <c r="Q1976" s="29">
        <v>90</v>
      </c>
    </row>
    <row r="1977" spans="1:17" x14ac:dyDescent="0.35">
      <c r="A1977" s="26">
        <v>40000002747</v>
      </c>
      <c r="B1977" s="31">
        <v>1</v>
      </c>
      <c r="C1977" s="29" t="str">
        <f>LOOKUP(A1977,'QALS - Inspection Lot Record'!$A$2:$A$361,'QALS - Inspection Lot Record'!$O$2:$O$361)</f>
        <v>Aspirin Tablets (500 MG)</v>
      </c>
      <c r="D1977" s="31">
        <v>80</v>
      </c>
      <c r="E1977" s="29" t="s">
        <v>407</v>
      </c>
      <c r="F1977" s="29" t="str">
        <f>LOOKUP(A1977,'QALS - Inspection Lot Record'!A:A,'QALS - Inspection Lot Record'!G:G)</f>
        <v>AB406550</v>
      </c>
      <c r="G1977" s="59">
        <f ca="1">LOOKUP(A1977,'QALS - Inspection Lot Record'!A:A,'QALS - Inspection Lot Record'!E:E)</f>
        <v>45993</v>
      </c>
      <c r="H1977" s="34" t="str">
        <f t="shared" si="155"/>
        <v>A</v>
      </c>
      <c r="I1977" s="29" t="str">
        <f t="shared" si="151"/>
        <v>AB406550</v>
      </c>
      <c r="J1977" s="59">
        <f t="shared" ca="1" si="152"/>
        <v>45993</v>
      </c>
      <c r="K1977" s="30">
        <f ca="1">LOOKUP(A1977,'QALS - Inspection Lot Record'!A:A,'QALS - Inspection Lot Record'!I:I)</f>
        <v>0.55903935185185183</v>
      </c>
      <c r="L1977" s="59">
        <f t="shared" ca="1" si="153"/>
        <v>45993</v>
      </c>
      <c r="M1977" s="30">
        <f t="shared" ca="1" si="154"/>
        <v>0.59293981481481484</v>
      </c>
      <c r="N1977" s="31"/>
      <c r="O1977" s="31">
        <v>25.5</v>
      </c>
      <c r="P1977" s="29">
        <v>23</v>
      </c>
      <c r="Q1977" s="29">
        <v>28</v>
      </c>
    </row>
    <row r="1978" spans="1:17" x14ac:dyDescent="0.35">
      <c r="A1978" s="26">
        <v>40000002748</v>
      </c>
      <c r="B1978" s="27">
        <v>1</v>
      </c>
      <c r="C1978" s="29" t="str">
        <f>LOOKUP(A1978,'QALS - Inspection Lot Record'!$A$2:$A$361,'QALS - Inspection Lot Record'!$O$2:$O$361)</f>
        <v>Aspirin Tablets (500 MG)</v>
      </c>
      <c r="D1978" s="27">
        <v>10</v>
      </c>
      <c r="E1978" s="26" t="s">
        <v>399</v>
      </c>
      <c r="F1978" s="29" t="str">
        <f>LOOKUP(A1978,'QALS - Inspection Lot Record'!A:A,'QALS - Inspection Lot Record'!G:G)</f>
        <v>GC197258</v>
      </c>
      <c r="G1978" s="59">
        <f ca="1">LOOKUP(A1978,'QALS - Inspection Lot Record'!A:A,'QALS - Inspection Lot Record'!E:E)</f>
        <v>45993</v>
      </c>
      <c r="H1978" s="34" t="str">
        <f t="shared" si="155"/>
        <v>A</v>
      </c>
      <c r="I1978" s="29" t="str">
        <f t="shared" si="151"/>
        <v>GC197258</v>
      </c>
      <c r="J1978" s="59">
        <f t="shared" ca="1" si="152"/>
        <v>45993</v>
      </c>
      <c r="K1978" s="30">
        <f ca="1">LOOKUP(A1978,'QALS - Inspection Lot Record'!A:A,'QALS - Inspection Lot Record'!I:I)</f>
        <v>0.39077546296296295</v>
      </c>
      <c r="L1978" s="59">
        <f t="shared" ca="1" si="153"/>
        <v>45993</v>
      </c>
      <c r="M1978" s="30">
        <f t="shared" ca="1" si="154"/>
        <v>0.42400462962962959</v>
      </c>
      <c r="N1978" s="31"/>
      <c r="O1978" s="31">
        <v>100</v>
      </c>
      <c r="P1978" s="29">
        <v>95</v>
      </c>
      <c r="Q1978" s="29">
        <v>105</v>
      </c>
    </row>
    <row r="1979" spans="1:17" x14ac:dyDescent="0.35">
      <c r="A1979" s="26">
        <v>40000002748</v>
      </c>
      <c r="B1979" s="27">
        <v>1</v>
      </c>
      <c r="C1979" s="29" t="str">
        <f>LOOKUP(A1979,'QALS - Inspection Lot Record'!$A$2:$A$361,'QALS - Inspection Lot Record'!$O$2:$O$361)</f>
        <v>Aspirin Tablets (500 MG)</v>
      </c>
      <c r="D1979" s="31">
        <v>20</v>
      </c>
      <c r="E1979" s="29" t="s">
        <v>400</v>
      </c>
      <c r="F1979" s="29" t="str">
        <f>LOOKUP(A1979,'QALS - Inspection Lot Record'!A:A,'QALS - Inspection Lot Record'!G:G)</f>
        <v>GC197258</v>
      </c>
      <c r="G1979" s="59">
        <f ca="1">LOOKUP(A1979,'QALS - Inspection Lot Record'!A:A,'QALS - Inspection Lot Record'!E:E)</f>
        <v>45993</v>
      </c>
      <c r="H1979" s="34" t="str">
        <f t="shared" si="155"/>
        <v>A</v>
      </c>
      <c r="I1979" s="29" t="str">
        <f t="shared" si="151"/>
        <v>GC197258</v>
      </c>
      <c r="J1979" s="59">
        <f t="shared" ca="1" si="152"/>
        <v>45993</v>
      </c>
      <c r="K1979" s="30">
        <f ca="1">LOOKUP(A1979,'QALS - Inspection Lot Record'!A:A,'QALS - Inspection Lot Record'!I:I)</f>
        <v>0.39077546296296295</v>
      </c>
      <c r="L1979" s="59">
        <f t="shared" ca="1" si="153"/>
        <v>45993</v>
      </c>
      <c r="M1979" s="30">
        <f t="shared" ca="1" si="154"/>
        <v>0.41065972222222219</v>
      </c>
      <c r="N1979" s="31"/>
      <c r="O1979" s="31">
        <v>7.25</v>
      </c>
      <c r="P1979" s="29">
        <v>3.5</v>
      </c>
      <c r="Q1979" s="29">
        <v>11</v>
      </c>
    </row>
    <row r="1980" spans="1:17" x14ac:dyDescent="0.35">
      <c r="A1980" s="26">
        <v>40000002748</v>
      </c>
      <c r="B1980" s="31">
        <v>1</v>
      </c>
      <c r="C1980" s="29" t="str">
        <f>LOOKUP(A1980,'QALS - Inspection Lot Record'!$A$2:$A$361,'QALS - Inspection Lot Record'!$O$2:$O$361)</f>
        <v>Aspirin Tablets (500 MG)</v>
      </c>
      <c r="D1980" s="31">
        <v>30</v>
      </c>
      <c r="E1980" s="29" t="s">
        <v>401</v>
      </c>
      <c r="F1980" s="29" t="str">
        <f>LOOKUP(A1980,'QALS - Inspection Lot Record'!A:A,'QALS - Inspection Lot Record'!G:G)</f>
        <v>GC197258</v>
      </c>
      <c r="G1980" s="59">
        <f ca="1">LOOKUP(A1980,'QALS - Inspection Lot Record'!A:A,'QALS - Inspection Lot Record'!E:E)</f>
        <v>45993</v>
      </c>
      <c r="H1980" s="34" t="str">
        <f t="shared" si="155"/>
        <v>A</v>
      </c>
      <c r="I1980" s="29" t="str">
        <f t="shared" si="151"/>
        <v>GC197258</v>
      </c>
      <c r="J1980" s="59">
        <f t="shared" ca="1" si="152"/>
        <v>45993</v>
      </c>
      <c r="K1980" s="30">
        <f ca="1">LOOKUP(A1980,'QALS - Inspection Lot Record'!A:A,'QALS - Inspection Lot Record'!I:I)</f>
        <v>0.39077546296296295</v>
      </c>
      <c r="L1980" s="59">
        <f t="shared" ca="1" si="153"/>
        <v>45993</v>
      </c>
      <c r="M1980" s="30">
        <f t="shared" ca="1" si="154"/>
        <v>0.41370370370370368</v>
      </c>
      <c r="N1980" s="11" t="s">
        <v>402</v>
      </c>
      <c r="O1980" s="31"/>
      <c r="P1980" s="29"/>
      <c r="Q1980" s="29"/>
    </row>
    <row r="1981" spans="1:17" x14ac:dyDescent="0.35">
      <c r="A1981" s="26">
        <v>40000002748</v>
      </c>
      <c r="B1981" s="31">
        <v>1</v>
      </c>
      <c r="C1981" s="29" t="str">
        <f>LOOKUP(A1981,'QALS - Inspection Lot Record'!$A$2:$A$361,'QALS - Inspection Lot Record'!$O$2:$O$361)</f>
        <v>Aspirin Tablets (500 MG)</v>
      </c>
      <c r="D1981" s="31">
        <v>40</v>
      </c>
      <c r="E1981" s="29" t="s">
        <v>403</v>
      </c>
      <c r="F1981" s="29" t="str">
        <f>LOOKUP(A1981,'QALS - Inspection Lot Record'!A:A,'QALS - Inspection Lot Record'!G:G)</f>
        <v>GC197258</v>
      </c>
      <c r="G1981" s="59">
        <f ca="1">LOOKUP(A1981,'QALS - Inspection Lot Record'!A:A,'QALS - Inspection Lot Record'!E:E)</f>
        <v>45993</v>
      </c>
      <c r="H1981" s="34" t="str">
        <f t="shared" si="155"/>
        <v>A</v>
      </c>
      <c r="I1981" s="29" t="str">
        <f t="shared" si="151"/>
        <v>GC197258</v>
      </c>
      <c r="J1981" s="59">
        <f t="shared" ca="1" si="152"/>
        <v>45993</v>
      </c>
      <c r="K1981" s="30">
        <f ca="1">LOOKUP(A1981,'QALS - Inspection Lot Record'!A:A,'QALS - Inspection Lot Record'!I:I)</f>
        <v>0.39077546296296295</v>
      </c>
      <c r="L1981" s="59">
        <f t="shared" ca="1" si="153"/>
        <v>45993</v>
      </c>
      <c r="M1981" s="30">
        <f t="shared" ca="1" si="154"/>
        <v>0.41795138888888889</v>
      </c>
      <c r="N1981" s="31"/>
      <c r="O1981" s="31">
        <v>0</v>
      </c>
      <c r="P1981" s="29">
        <v>0</v>
      </c>
      <c r="Q1981" s="29">
        <v>2.5</v>
      </c>
    </row>
    <row r="1982" spans="1:17" x14ac:dyDescent="0.35">
      <c r="A1982" s="26">
        <v>40000002748</v>
      </c>
      <c r="B1982" s="31">
        <v>1</v>
      </c>
      <c r="C1982" s="29" t="str">
        <f>LOOKUP(A1982,'QALS - Inspection Lot Record'!$A$2:$A$361,'QALS - Inspection Lot Record'!$O$2:$O$361)</f>
        <v>Aspirin Tablets (500 MG)</v>
      </c>
      <c r="D1982" s="31">
        <v>50</v>
      </c>
      <c r="E1982" s="29" t="s">
        <v>404</v>
      </c>
      <c r="F1982" s="29" t="str">
        <f>LOOKUP(A1982,'QALS - Inspection Lot Record'!A:A,'QALS - Inspection Lot Record'!G:G)</f>
        <v>GC197258</v>
      </c>
      <c r="G1982" s="59">
        <f ca="1">LOOKUP(A1982,'QALS - Inspection Lot Record'!A:A,'QALS - Inspection Lot Record'!E:E)</f>
        <v>45993</v>
      </c>
      <c r="H1982" s="34" t="str">
        <f t="shared" si="155"/>
        <v>R</v>
      </c>
      <c r="I1982" s="29" t="str">
        <f t="shared" si="151"/>
        <v>GC197258</v>
      </c>
      <c r="J1982" s="59">
        <f t="shared" ca="1" si="152"/>
        <v>45993</v>
      </c>
      <c r="K1982" s="30">
        <f ca="1">LOOKUP(A1982,'QALS - Inspection Lot Record'!A:A,'QALS - Inspection Lot Record'!I:I)</f>
        <v>0.39077546296296295</v>
      </c>
      <c r="L1982" s="59">
        <f t="shared" ca="1" si="153"/>
        <v>45993</v>
      </c>
      <c r="M1982" s="30">
        <f t="shared" ca="1" si="154"/>
        <v>0.41805555555555551</v>
      </c>
      <c r="N1982" s="31"/>
      <c r="O1982" s="31">
        <v>38.9</v>
      </c>
      <c r="P1982" s="29">
        <v>40</v>
      </c>
      <c r="Q1982" s="29">
        <v>60</v>
      </c>
    </row>
    <row r="1983" spans="1:17" x14ac:dyDescent="0.35">
      <c r="A1983" s="26">
        <v>40000002748</v>
      </c>
      <c r="B1983" s="31">
        <v>1</v>
      </c>
      <c r="C1983" s="29" t="str">
        <f>LOOKUP(A1983,'QALS - Inspection Lot Record'!$A$2:$A$361,'QALS - Inspection Lot Record'!$O$2:$O$361)</f>
        <v>Aspirin Tablets (500 MG)</v>
      </c>
      <c r="D1983" s="31">
        <v>60</v>
      </c>
      <c r="E1983" s="29" t="s">
        <v>405</v>
      </c>
      <c r="F1983" s="29" t="str">
        <f>LOOKUP(A1983,'QALS - Inspection Lot Record'!A:A,'QALS - Inspection Lot Record'!G:G)</f>
        <v>GC197258</v>
      </c>
      <c r="G1983" s="59">
        <f ca="1">LOOKUP(A1983,'QALS - Inspection Lot Record'!A:A,'QALS - Inspection Lot Record'!E:E)</f>
        <v>45993</v>
      </c>
      <c r="H1983" s="34" t="str">
        <f t="shared" si="155"/>
        <v>R</v>
      </c>
      <c r="I1983" s="29" t="str">
        <f t="shared" si="151"/>
        <v>GC197258</v>
      </c>
      <c r="J1983" s="59">
        <f t="shared" ca="1" si="152"/>
        <v>45993</v>
      </c>
      <c r="K1983" s="30">
        <f ca="1">LOOKUP(A1983,'QALS - Inspection Lot Record'!A:A,'QALS - Inspection Lot Record'!I:I)</f>
        <v>0.39077546296296295</v>
      </c>
      <c r="L1983" s="59">
        <f t="shared" ca="1" si="153"/>
        <v>45993</v>
      </c>
      <c r="M1983" s="30">
        <f t="shared" ca="1" si="154"/>
        <v>0.41729166666666667</v>
      </c>
      <c r="N1983" s="31"/>
      <c r="O1983" s="31">
        <v>68.5</v>
      </c>
      <c r="P1983" s="29">
        <v>70</v>
      </c>
      <c r="Q1983" s="29">
        <v>85</v>
      </c>
    </row>
    <row r="1984" spans="1:17" x14ac:dyDescent="0.35">
      <c r="A1984" s="26">
        <v>40000002748</v>
      </c>
      <c r="B1984" s="31">
        <v>1</v>
      </c>
      <c r="C1984" s="29" t="str">
        <f>LOOKUP(A1984,'QALS - Inspection Lot Record'!$A$2:$A$361,'QALS - Inspection Lot Record'!$O$2:$O$361)</f>
        <v>Aspirin Tablets (500 MG)</v>
      </c>
      <c r="D1984" s="31">
        <v>70</v>
      </c>
      <c r="E1984" s="29" t="s">
        <v>406</v>
      </c>
      <c r="F1984" s="29" t="str">
        <f>LOOKUP(A1984,'QALS - Inspection Lot Record'!A:A,'QALS - Inspection Lot Record'!G:G)</f>
        <v>GC197258</v>
      </c>
      <c r="G1984" s="59">
        <f ca="1">LOOKUP(A1984,'QALS - Inspection Lot Record'!A:A,'QALS - Inspection Lot Record'!E:E)</f>
        <v>45993</v>
      </c>
      <c r="H1984" s="34" t="str">
        <f t="shared" si="155"/>
        <v>A</v>
      </c>
      <c r="I1984" s="29" t="str">
        <f t="shared" si="151"/>
        <v>GC197258</v>
      </c>
      <c r="J1984" s="59">
        <f t="shared" ca="1" si="152"/>
        <v>45993</v>
      </c>
      <c r="K1984" s="30">
        <f ca="1">LOOKUP(A1984,'QALS - Inspection Lot Record'!A:A,'QALS - Inspection Lot Record'!I:I)</f>
        <v>0.39077546296296295</v>
      </c>
      <c r="L1984" s="59">
        <f t="shared" ca="1" si="153"/>
        <v>45993</v>
      </c>
      <c r="M1984" s="30">
        <f t="shared" ca="1" si="154"/>
        <v>0.40832175925925923</v>
      </c>
      <c r="N1984" s="31"/>
      <c r="O1984" s="31">
        <v>85</v>
      </c>
      <c r="P1984" s="29">
        <v>80</v>
      </c>
      <c r="Q1984" s="29">
        <v>90</v>
      </c>
    </row>
    <row r="1985" spans="1:17" x14ac:dyDescent="0.35">
      <c r="A1985" s="26">
        <v>40000002748</v>
      </c>
      <c r="B1985" s="31">
        <v>1</v>
      </c>
      <c r="C1985" s="29" t="str">
        <f>LOOKUP(A1985,'QALS - Inspection Lot Record'!$A$2:$A$361,'QALS - Inspection Lot Record'!$O$2:$O$361)</f>
        <v>Aspirin Tablets (500 MG)</v>
      </c>
      <c r="D1985" s="31">
        <v>80</v>
      </c>
      <c r="E1985" s="29" t="s">
        <v>407</v>
      </c>
      <c r="F1985" s="29" t="str">
        <f>LOOKUP(A1985,'QALS - Inspection Lot Record'!A:A,'QALS - Inspection Lot Record'!G:G)</f>
        <v>GC197258</v>
      </c>
      <c r="G1985" s="59">
        <f ca="1">LOOKUP(A1985,'QALS - Inspection Lot Record'!A:A,'QALS - Inspection Lot Record'!E:E)</f>
        <v>45993</v>
      </c>
      <c r="H1985" s="34" t="str">
        <f t="shared" si="155"/>
        <v>R</v>
      </c>
      <c r="I1985" s="29" t="str">
        <f t="shared" si="151"/>
        <v>GC197258</v>
      </c>
      <c r="J1985" s="59">
        <f t="shared" ca="1" si="152"/>
        <v>45993</v>
      </c>
      <c r="K1985" s="30">
        <f ca="1">LOOKUP(A1985,'QALS - Inspection Lot Record'!A:A,'QALS - Inspection Lot Record'!I:I)</f>
        <v>0.39077546296296295</v>
      </c>
      <c r="L1985" s="59">
        <f t="shared" ca="1" si="153"/>
        <v>45993</v>
      </c>
      <c r="M1985" s="30">
        <f t="shared" ca="1" si="154"/>
        <v>0.41210648148148149</v>
      </c>
      <c r="N1985" s="31"/>
      <c r="O1985" s="31">
        <v>21.3</v>
      </c>
      <c r="P1985" s="29">
        <v>23</v>
      </c>
      <c r="Q1985" s="29">
        <v>28</v>
      </c>
    </row>
    <row r="1986" spans="1:17" x14ac:dyDescent="0.35">
      <c r="A1986" s="26">
        <v>40000002749</v>
      </c>
      <c r="B1986" s="27">
        <v>1</v>
      </c>
      <c r="C1986" s="29" t="str">
        <f>LOOKUP(A1986,'QALS - Inspection Lot Record'!$A$2:$A$361,'QALS - Inspection Lot Record'!$O$2:$O$361)</f>
        <v>Aspirin Tablets (500 MG)</v>
      </c>
      <c r="D1986" s="27">
        <v>10</v>
      </c>
      <c r="E1986" s="26" t="s">
        <v>399</v>
      </c>
      <c r="F1986" s="29" t="str">
        <f>LOOKUP(A1986,'QALS - Inspection Lot Record'!A:A,'QALS - Inspection Lot Record'!G:G)</f>
        <v>ZK384180</v>
      </c>
      <c r="G1986" s="59">
        <f ca="1">LOOKUP(A1986,'QALS - Inspection Lot Record'!A:A,'QALS - Inspection Lot Record'!E:E)</f>
        <v>45994</v>
      </c>
      <c r="H1986" s="34" t="str">
        <f t="shared" si="155"/>
        <v>A</v>
      </c>
      <c r="I1986" s="29" t="str">
        <f t="shared" ref="I1986:I2049" si="156">F1986</f>
        <v>ZK384180</v>
      </c>
      <c r="J1986" s="59">
        <f t="shared" ref="J1986:J2049" ca="1" si="157">G1986</f>
        <v>45994</v>
      </c>
      <c r="K1986" s="30">
        <f ca="1">LOOKUP(A1986,'QALS - Inspection Lot Record'!A:A,'QALS - Inspection Lot Record'!I:I)</f>
        <v>0.86365740740740737</v>
      </c>
      <c r="L1986" s="59">
        <f t="shared" ref="L1986:L2049" ca="1" si="158">G1986</f>
        <v>45994</v>
      </c>
      <c r="M1986" s="30">
        <f t="shared" ref="M1986:M2049" ca="1" si="159">K1986+TIME(0,RANDBETWEEN(25,50),RANDBETWEEN(0,59))</f>
        <v>0.88466435185185177</v>
      </c>
      <c r="N1986" s="31"/>
      <c r="O1986" s="31">
        <v>100</v>
      </c>
      <c r="P1986" s="29">
        <v>95</v>
      </c>
      <c r="Q1986" s="29">
        <v>105</v>
      </c>
    </row>
    <row r="1987" spans="1:17" x14ac:dyDescent="0.35">
      <c r="A1987" s="26">
        <v>40000002749</v>
      </c>
      <c r="B1987" s="27">
        <v>1</v>
      </c>
      <c r="C1987" s="29" t="str">
        <f>LOOKUP(A1987,'QALS - Inspection Lot Record'!$A$2:$A$361,'QALS - Inspection Lot Record'!$O$2:$O$361)</f>
        <v>Aspirin Tablets (500 MG)</v>
      </c>
      <c r="D1987" s="31">
        <v>20</v>
      </c>
      <c r="E1987" s="29" t="s">
        <v>400</v>
      </c>
      <c r="F1987" s="29" t="str">
        <f>LOOKUP(A1987,'QALS - Inspection Lot Record'!A:A,'QALS - Inspection Lot Record'!G:G)</f>
        <v>ZK384180</v>
      </c>
      <c r="G1987" s="59">
        <f ca="1">LOOKUP(A1987,'QALS - Inspection Lot Record'!A:A,'QALS - Inspection Lot Record'!E:E)</f>
        <v>45994</v>
      </c>
      <c r="H1987" s="34" t="str">
        <f t="shared" si="155"/>
        <v>A</v>
      </c>
      <c r="I1987" s="29" t="str">
        <f t="shared" si="156"/>
        <v>ZK384180</v>
      </c>
      <c r="J1987" s="59">
        <f t="shared" ca="1" si="157"/>
        <v>45994</v>
      </c>
      <c r="K1987" s="30">
        <f ca="1">LOOKUP(A1987,'QALS - Inspection Lot Record'!A:A,'QALS - Inspection Lot Record'!I:I)</f>
        <v>0.86365740740740737</v>
      </c>
      <c r="L1987" s="59">
        <f t="shared" ca="1" si="158"/>
        <v>45994</v>
      </c>
      <c r="M1987" s="30">
        <f t="shared" ca="1" si="159"/>
        <v>0.89274305555555555</v>
      </c>
      <c r="N1987" s="31"/>
      <c r="O1987" s="31">
        <v>7.3</v>
      </c>
      <c r="P1987" s="29">
        <v>3.5</v>
      </c>
      <c r="Q1987" s="29">
        <v>11</v>
      </c>
    </row>
    <row r="1988" spans="1:17" x14ac:dyDescent="0.35">
      <c r="A1988" s="26">
        <v>40000002749</v>
      </c>
      <c r="B1988" s="31">
        <v>1</v>
      </c>
      <c r="C1988" s="29" t="str">
        <f>LOOKUP(A1988,'QALS - Inspection Lot Record'!$A$2:$A$361,'QALS - Inspection Lot Record'!$O$2:$O$361)</f>
        <v>Aspirin Tablets (500 MG)</v>
      </c>
      <c r="D1988" s="31">
        <v>30</v>
      </c>
      <c r="E1988" s="29" t="s">
        <v>401</v>
      </c>
      <c r="F1988" s="29" t="str">
        <f>LOOKUP(A1988,'QALS - Inspection Lot Record'!A:A,'QALS - Inspection Lot Record'!G:G)</f>
        <v>ZK384180</v>
      </c>
      <c r="G1988" s="59">
        <f ca="1">LOOKUP(A1988,'QALS - Inspection Lot Record'!A:A,'QALS - Inspection Lot Record'!E:E)</f>
        <v>45994</v>
      </c>
      <c r="H1988" s="34" t="str">
        <f t="shared" si="155"/>
        <v>A</v>
      </c>
      <c r="I1988" s="29" t="str">
        <f t="shared" si="156"/>
        <v>ZK384180</v>
      </c>
      <c r="J1988" s="59">
        <f t="shared" ca="1" si="157"/>
        <v>45994</v>
      </c>
      <c r="K1988" s="30">
        <f ca="1">LOOKUP(A1988,'QALS - Inspection Lot Record'!A:A,'QALS - Inspection Lot Record'!I:I)</f>
        <v>0.86365740740740737</v>
      </c>
      <c r="L1988" s="59">
        <f t="shared" ca="1" si="158"/>
        <v>45994</v>
      </c>
      <c r="M1988" s="30">
        <f t="shared" ca="1" si="159"/>
        <v>0.88555555555555554</v>
      </c>
      <c r="N1988" s="11" t="s">
        <v>402</v>
      </c>
      <c r="O1988" s="31"/>
      <c r="P1988" s="29"/>
      <c r="Q1988" s="29"/>
    </row>
    <row r="1989" spans="1:17" x14ac:dyDescent="0.35">
      <c r="A1989" s="26">
        <v>40000002749</v>
      </c>
      <c r="B1989" s="31">
        <v>1</v>
      </c>
      <c r="C1989" s="29" t="str">
        <f>LOOKUP(A1989,'QALS - Inspection Lot Record'!$A$2:$A$361,'QALS - Inspection Lot Record'!$O$2:$O$361)</f>
        <v>Aspirin Tablets (500 MG)</v>
      </c>
      <c r="D1989" s="31">
        <v>40</v>
      </c>
      <c r="E1989" s="29" t="s">
        <v>403</v>
      </c>
      <c r="F1989" s="29" t="str">
        <f>LOOKUP(A1989,'QALS - Inspection Lot Record'!A:A,'QALS - Inspection Lot Record'!G:G)</f>
        <v>ZK384180</v>
      </c>
      <c r="G1989" s="59">
        <f ca="1">LOOKUP(A1989,'QALS - Inspection Lot Record'!A:A,'QALS - Inspection Lot Record'!E:E)</f>
        <v>45994</v>
      </c>
      <c r="H1989" s="34" t="str">
        <f t="shared" si="155"/>
        <v>A</v>
      </c>
      <c r="I1989" s="29" t="str">
        <f t="shared" si="156"/>
        <v>ZK384180</v>
      </c>
      <c r="J1989" s="59">
        <f t="shared" ca="1" si="157"/>
        <v>45994</v>
      </c>
      <c r="K1989" s="30">
        <f ca="1">LOOKUP(A1989,'QALS - Inspection Lot Record'!A:A,'QALS - Inspection Lot Record'!I:I)</f>
        <v>0.86365740740740737</v>
      </c>
      <c r="L1989" s="59">
        <f t="shared" ca="1" si="158"/>
        <v>45994</v>
      </c>
      <c r="M1989" s="30">
        <f t="shared" ca="1" si="159"/>
        <v>0.88862268518518517</v>
      </c>
      <c r="N1989" s="31"/>
      <c r="O1989" s="31">
        <v>1.8</v>
      </c>
      <c r="P1989" s="29">
        <v>0</v>
      </c>
      <c r="Q1989" s="29">
        <v>2.5</v>
      </c>
    </row>
    <row r="1990" spans="1:17" x14ac:dyDescent="0.35">
      <c r="A1990" s="26">
        <v>40000002749</v>
      </c>
      <c r="B1990" s="31">
        <v>1</v>
      </c>
      <c r="C1990" s="29" t="str">
        <f>LOOKUP(A1990,'QALS - Inspection Lot Record'!$A$2:$A$361,'QALS - Inspection Lot Record'!$O$2:$O$361)</f>
        <v>Aspirin Tablets (500 MG)</v>
      </c>
      <c r="D1990" s="31">
        <v>50</v>
      </c>
      <c r="E1990" s="29" t="s">
        <v>404</v>
      </c>
      <c r="F1990" s="29" t="str">
        <f>LOOKUP(A1990,'QALS - Inspection Lot Record'!A:A,'QALS - Inspection Lot Record'!G:G)</f>
        <v>ZK384180</v>
      </c>
      <c r="G1990" s="59">
        <f ca="1">LOOKUP(A1990,'QALS - Inspection Lot Record'!A:A,'QALS - Inspection Lot Record'!E:E)</f>
        <v>45994</v>
      </c>
      <c r="H1990" s="34" t="str">
        <f t="shared" si="155"/>
        <v>A</v>
      </c>
      <c r="I1990" s="29" t="str">
        <f t="shared" si="156"/>
        <v>ZK384180</v>
      </c>
      <c r="J1990" s="59">
        <f t="shared" ca="1" si="157"/>
        <v>45994</v>
      </c>
      <c r="K1990" s="30">
        <f ca="1">LOOKUP(A1990,'QALS - Inspection Lot Record'!A:A,'QALS - Inspection Lot Record'!I:I)</f>
        <v>0.86365740740740737</v>
      </c>
      <c r="L1990" s="59">
        <f t="shared" ca="1" si="158"/>
        <v>45994</v>
      </c>
      <c r="M1990" s="30">
        <f t="shared" ca="1" si="159"/>
        <v>0.89348379629629626</v>
      </c>
      <c r="N1990" s="31"/>
      <c r="O1990" s="31">
        <v>41.7</v>
      </c>
      <c r="P1990" s="29">
        <v>40</v>
      </c>
      <c r="Q1990" s="29">
        <v>60</v>
      </c>
    </row>
    <row r="1991" spans="1:17" x14ac:dyDescent="0.35">
      <c r="A1991" s="26">
        <v>40000002749</v>
      </c>
      <c r="B1991" s="31">
        <v>1</v>
      </c>
      <c r="C1991" s="29" t="str">
        <f>LOOKUP(A1991,'QALS - Inspection Lot Record'!$A$2:$A$361,'QALS - Inspection Lot Record'!$O$2:$O$361)</f>
        <v>Aspirin Tablets (500 MG)</v>
      </c>
      <c r="D1991" s="31">
        <v>60</v>
      </c>
      <c r="E1991" s="29" t="s">
        <v>405</v>
      </c>
      <c r="F1991" s="29" t="str">
        <f>LOOKUP(A1991,'QALS - Inspection Lot Record'!A:A,'QALS - Inspection Lot Record'!G:G)</f>
        <v>ZK384180</v>
      </c>
      <c r="G1991" s="59">
        <f ca="1">LOOKUP(A1991,'QALS - Inspection Lot Record'!A:A,'QALS - Inspection Lot Record'!E:E)</f>
        <v>45994</v>
      </c>
      <c r="H1991" s="34" t="str">
        <f t="shared" si="155"/>
        <v>A</v>
      </c>
      <c r="I1991" s="29" t="str">
        <f t="shared" si="156"/>
        <v>ZK384180</v>
      </c>
      <c r="J1991" s="59">
        <f t="shared" ca="1" si="157"/>
        <v>45994</v>
      </c>
      <c r="K1991" s="30">
        <f ca="1">LOOKUP(A1991,'QALS - Inspection Lot Record'!A:A,'QALS - Inspection Lot Record'!I:I)</f>
        <v>0.86365740740740737</v>
      </c>
      <c r="L1991" s="59">
        <f t="shared" ca="1" si="158"/>
        <v>45994</v>
      </c>
      <c r="M1991" s="30">
        <f t="shared" ca="1" si="159"/>
        <v>0.88600694444444439</v>
      </c>
      <c r="N1991" s="31"/>
      <c r="O1991" s="31">
        <v>71.900000000000006</v>
      </c>
      <c r="P1991" s="29">
        <v>70</v>
      </c>
      <c r="Q1991" s="29">
        <v>85</v>
      </c>
    </row>
    <row r="1992" spans="1:17" x14ac:dyDescent="0.35">
      <c r="A1992" s="26">
        <v>40000002749</v>
      </c>
      <c r="B1992" s="31">
        <v>1</v>
      </c>
      <c r="C1992" s="29" t="str">
        <f>LOOKUP(A1992,'QALS - Inspection Lot Record'!$A$2:$A$361,'QALS - Inspection Lot Record'!$O$2:$O$361)</f>
        <v>Aspirin Tablets (500 MG)</v>
      </c>
      <c r="D1992" s="31">
        <v>70</v>
      </c>
      <c r="E1992" s="29" t="s">
        <v>406</v>
      </c>
      <c r="F1992" s="29" t="str">
        <f>LOOKUP(A1992,'QALS - Inspection Lot Record'!A:A,'QALS - Inspection Lot Record'!G:G)</f>
        <v>ZK384180</v>
      </c>
      <c r="G1992" s="59">
        <f ca="1">LOOKUP(A1992,'QALS - Inspection Lot Record'!A:A,'QALS - Inspection Lot Record'!E:E)</f>
        <v>45994</v>
      </c>
      <c r="H1992" s="34" t="str">
        <f t="shared" si="155"/>
        <v>A</v>
      </c>
      <c r="I1992" s="29" t="str">
        <f t="shared" si="156"/>
        <v>ZK384180</v>
      </c>
      <c r="J1992" s="59">
        <f t="shared" ca="1" si="157"/>
        <v>45994</v>
      </c>
      <c r="K1992" s="30">
        <f ca="1">LOOKUP(A1992,'QALS - Inspection Lot Record'!A:A,'QALS - Inspection Lot Record'!I:I)</f>
        <v>0.86365740740740737</v>
      </c>
      <c r="L1992" s="59">
        <f t="shared" ca="1" si="158"/>
        <v>45994</v>
      </c>
      <c r="M1992" s="30">
        <f t="shared" ca="1" si="159"/>
        <v>0.88269675925925928</v>
      </c>
      <c r="N1992" s="31"/>
      <c r="O1992" s="31">
        <v>81.400000000000006</v>
      </c>
      <c r="P1992" s="29">
        <v>80</v>
      </c>
      <c r="Q1992" s="29">
        <v>90</v>
      </c>
    </row>
    <row r="1993" spans="1:17" x14ac:dyDescent="0.35">
      <c r="A1993" s="26">
        <v>40000002749</v>
      </c>
      <c r="B1993" s="31">
        <v>1</v>
      </c>
      <c r="C1993" s="29" t="str">
        <f>LOOKUP(A1993,'QALS - Inspection Lot Record'!$A$2:$A$361,'QALS - Inspection Lot Record'!$O$2:$O$361)</f>
        <v>Aspirin Tablets (500 MG)</v>
      </c>
      <c r="D1993" s="31">
        <v>80</v>
      </c>
      <c r="E1993" s="29" t="s">
        <v>407</v>
      </c>
      <c r="F1993" s="29" t="str">
        <f>LOOKUP(A1993,'QALS - Inspection Lot Record'!A:A,'QALS - Inspection Lot Record'!G:G)</f>
        <v>ZK384180</v>
      </c>
      <c r="G1993" s="59">
        <f ca="1">LOOKUP(A1993,'QALS - Inspection Lot Record'!A:A,'QALS - Inspection Lot Record'!E:E)</f>
        <v>45994</v>
      </c>
      <c r="H1993" s="34" t="str">
        <f t="shared" si="155"/>
        <v>A</v>
      </c>
      <c r="I1993" s="29" t="str">
        <f t="shared" si="156"/>
        <v>ZK384180</v>
      </c>
      <c r="J1993" s="59">
        <f t="shared" ca="1" si="157"/>
        <v>45994</v>
      </c>
      <c r="K1993" s="30">
        <f ca="1">LOOKUP(A1993,'QALS - Inspection Lot Record'!A:A,'QALS - Inspection Lot Record'!I:I)</f>
        <v>0.86365740740740737</v>
      </c>
      <c r="L1993" s="59">
        <f t="shared" ca="1" si="158"/>
        <v>45994</v>
      </c>
      <c r="M1993" s="30">
        <f t="shared" ca="1" si="159"/>
        <v>0.89149305555555547</v>
      </c>
      <c r="N1993" s="31"/>
      <c r="O1993" s="31">
        <v>25.5</v>
      </c>
      <c r="P1993" s="29">
        <v>23</v>
      </c>
      <c r="Q1993" s="29">
        <v>28</v>
      </c>
    </row>
    <row r="1994" spans="1:17" x14ac:dyDescent="0.35">
      <c r="A1994" s="26">
        <v>40000002750</v>
      </c>
      <c r="B1994" s="27">
        <v>1</v>
      </c>
      <c r="C1994" s="29" t="str">
        <f>LOOKUP(A1994,'QALS - Inspection Lot Record'!$A$2:$A$361,'QALS - Inspection Lot Record'!$O$2:$O$361)</f>
        <v>Metformin Tablets (500 MG)</v>
      </c>
      <c r="D1994" s="27">
        <v>10</v>
      </c>
      <c r="E1994" s="26" t="s">
        <v>399</v>
      </c>
      <c r="F1994" s="29" t="str">
        <f>LOOKUP(A1994,'QALS - Inspection Lot Record'!A:A,'QALS - Inspection Lot Record'!G:G)</f>
        <v>GC197258</v>
      </c>
      <c r="G1994" s="59">
        <f ca="1">LOOKUP(A1994,'QALS - Inspection Lot Record'!A:A,'QALS - Inspection Lot Record'!E:E)</f>
        <v>45994</v>
      </c>
      <c r="H1994" s="34" t="str">
        <f t="shared" ref="H1994:H2057" si="160">IF(AND(P1994&lt;=O1994,O1994&lt;=Q1994),"A","R")</f>
        <v>A</v>
      </c>
      <c r="I1994" s="29" t="str">
        <f t="shared" si="156"/>
        <v>GC197258</v>
      </c>
      <c r="J1994" s="59">
        <f t="shared" ca="1" si="157"/>
        <v>45994</v>
      </c>
      <c r="K1994" s="30">
        <f ca="1">LOOKUP(A1994,'QALS - Inspection Lot Record'!A:A,'QALS - Inspection Lot Record'!I:I)</f>
        <v>0.32560185185185186</v>
      </c>
      <c r="L1994" s="59">
        <f t="shared" ca="1" si="158"/>
        <v>45994</v>
      </c>
      <c r="M1994" s="30">
        <f t="shared" ca="1" si="159"/>
        <v>0.3477662037037037</v>
      </c>
      <c r="N1994" s="31"/>
      <c r="O1994" s="31">
        <v>100</v>
      </c>
      <c r="P1994" s="29">
        <v>95</v>
      </c>
      <c r="Q1994" s="29">
        <v>105</v>
      </c>
    </row>
    <row r="1995" spans="1:17" x14ac:dyDescent="0.35">
      <c r="A1995" s="26">
        <v>40000002750</v>
      </c>
      <c r="B1995" s="27">
        <v>1</v>
      </c>
      <c r="C1995" s="29" t="str">
        <f>LOOKUP(A1995,'QALS - Inspection Lot Record'!$A$2:$A$361,'QALS - Inspection Lot Record'!$O$2:$O$361)</f>
        <v>Metformin Tablets (500 MG)</v>
      </c>
      <c r="D1995" s="31">
        <v>20</v>
      </c>
      <c r="E1995" s="29" t="s">
        <v>400</v>
      </c>
      <c r="F1995" s="29" t="str">
        <f>LOOKUP(A1995,'QALS - Inspection Lot Record'!A:A,'QALS - Inspection Lot Record'!G:G)</f>
        <v>GC197258</v>
      </c>
      <c r="G1995" s="59">
        <f ca="1">LOOKUP(A1995,'QALS - Inspection Lot Record'!A:A,'QALS - Inspection Lot Record'!E:E)</f>
        <v>45994</v>
      </c>
      <c r="H1995" s="34" t="str">
        <f t="shared" si="160"/>
        <v>A</v>
      </c>
      <c r="I1995" s="29" t="str">
        <f t="shared" si="156"/>
        <v>GC197258</v>
      </c>
      <c r="J1995" s="59">
        <f t="shared" ca="1" si="157"/>
        <v>45994</v>
      </c>
      <c r="K1995" s="30">
        <f ca="1">LOOKUP(A1995,'QALS - Inspection Lot Record'!A:A,'QALS - Inspection Lot Record'!I:I)</f>
        <v>0.32560185185185186</v>
      </c>
      <c r="L1995" s="59">
        <f t="shared" ca="1" si="158"/>
        <v>45994</v>
      </c>
      <c r="M1995" s="30">
        <f t="shared" ca="1" si="159"/>
        <v>0.3435300925925926</v>
      </c>
      <c r="N1995" s="31"/>
      <c r="O1995" s="31">
        <v>7.3</v>
      </c>
      <c r="P1995" s="29">
        <v>3.5</v>
      </c>
      <c r="Q1995" s="29">
        <v>11</v>
      </c>
    </row>
    <row r="1996" spans="1:17" x14ac:dyDescent="0.35">
      <c r="A1996" s="26">
        <v>40000002750</v>
      </c>
      <c r="B1996" s="31">
        <v>1</v>
      </c>
      <c r="C1996" s="29" t="str">
        <f>LOOKUP(A1996,'QALS - Inspection Lot Record'!$A$2:$A$361,'QALS - Inspection Lot Record'!$O$2:$O$361)</f>
        <v>Metformin Tablets (500 MG)</v>
      </c>
      <c r="D1996" s="31">
        <v>30</v>
      </c>
      <c r="E1996" s="29" t="s">
        <v>401</v>
      </c>
      <c r="F1996" s="29" t="str">
        <f>LOOKUP(A1996,'QALS - Inspection Lot Record'!A:A,'QALS - Inspection Lot Record'!G:G)</f>
        <v>GC197258</v>
      </c>
      <c r="G1996" s="59">
        <f ca="1">LOOKUP(A1996,'QALS - Inspection Lot Record'!A:A,'QALS - Inspection Lot Record'!E:E)</f>
        <v>45994</v>
      </c>
      <c r="H1996" s="34" t="str">
        <f t="shared" si="160"/>
        <v>A</v>
      </c>
      <c r="I1996" s="29" t="str">
        <f t="shared" si="156"/>
        <v>GC197258</v>
      </c>
      <c r="J1996" s="59">
        <f t="shared" ca="1" si="157"/>
        <v>45994</v>
      </c>
      <c r="K1996" s="30">
        <f ca="1">LOOKUP(A1996,'QALS - Inspection Lot Record'!A:A,'QALS - Inspection Lot Record'!I:I)</f>
        <v>0.32560185185185186</v>
      </c>
      <c r="L1996" s="59">
        <f t="shared" ca="1" si="158"/>
        <v>45994</v>
      </c>
      <c r="M1996" s="30">
        <f t="shared" ca="1" si="159"/>
        <v>0.35920138888888892</v>
      </c>
      <c r="N1996" s="11" t="s">
        <v>402</v>
      </c>
      <c r="O1996" s="31"/>
      <c r="P1996" s="29"/>
      <c r="Q1996" s="29"/>
    </row>
    <row r="1997" spans="1:17" x14ac:dyDescent="0.35">
      <c r="A1997" s="26">
        <v>40000002750</v>
      </c>
      <c r="B1997" s="31">
        <v>1</v>
      </c>
      <c r="C1997" s="29" t="str">
        <f>LOOKUP(A1997,'QALS - Inspection Lot Record'!$A$2:$A$361,'QALS - Inspection Lot Record'!$O$2:$O$361)</f>
        <v>Metformin Tablets (500 MG)</v>
      </c>
      <c r="D1997" s="31">
        <v>40</v>
      </c>
      <c r="E1997" s="29" t="s">
        <v>403</v>
      </c>
      <c r="F1997" s="29" t="str">
        <f>LOOKUP(A1997,'QALS - Inspection Lot Record'!A:A,'QALS - Inspection Lot Record'!G:G)</f>
        <v>GC197258</v>
      </c>
      <c r="G1997" s="59">
        <f ca="1">LOOKUP(A1997,'QALS - Inspection Lot Record'!A:A,'QALS - Inspection Lot Record'!E:E)</f>
        <v>45994</v>
      </c>
      <c r="H1997" s="34" t="str">
        <f t="shared" si="160"/>
        <v>A</v>
      </c>
      <c r="I1997" s="29" t="str">
        <f t="shared" si="156"/>
        <v>GC197258</v>
      </c>
      <c r="J1997" s="59">
        <f t="shared" ca="1" si="157"/>
        <v>45994</v>
      </c>
      <c r="K1997" s="30">
        <f ca="1">LOOKUP(A1997,'QALS - Inspection Lot Record'!A:A,'QALS - Inspection Lot Record'!I:I)</f>
        <v>0.32560185185185186</v>
      </c>
      <c r="L1997" s="59">
        <f t="shared" ca="1" si="158"/>
        <v>45994</v>
      </c>
      <c r="M1997" s="30">
        <f t="shared" ca="1" si="159"/>
        <v>0.3492824074074074</v>
      </c>
      <c r="N1997" s="31"/>
      <c r="O1997" s="31">
        <v>1.6</v>
      </c>
      <c r="P1997" s="29">
        <v>0</v>
      </c>
      <c r="Q1997" s="29">
        <v>2</v>
      </c>
    </row>
    <row r="1998" spans="1:17" x14ac:dyDescent="0.35">
      <c r="A1998" s="26">
        <v>40000002750</v>
      </c>
      <c r="B1998" s="31">
        <v>1</v>
      </c>
      <c r="C1998" s="29" t="str">
        <f>LOOKUP(A1998,'QALS - Inspection Lot Record'!$A$2:$A$361,'QALS - Inspection Lot Record'!$O$2:$O$361)</f>
        <v>Metformin Tablets (500 MG)</v>
      </c>
      <c r="D1998" s="31">
        <v>50</v>
      </c>
      <c r="E1998" s="29" t="s">
        <v>404</v>
      </c>
      <c r="F1998" s="29" t="str">
        <f>LOOKUP(A1998,'QALS - Inspection Lot Record'!A:A,'QALS - Inspection Lot Record'!G:G)</f>
        <v>GC197258</v>
      </c>
      <c r="G1998" s="59">
        <f ca="1">LOOKUP(A1998,'QALS - Inspection Lot Record'!A:A,'QALS - Inspection Lot Record'!E:E)</f>
        <v>45994</v>
      </c>
      <c r="H1998" s="34" t="str">
        <f t="shared" si="160"/>
        <v>A</v>
      </c>
      <c r="I1998" s="29" t="str">
        <f t="shared" si="156"/>
        <v>GC197258</v>
      </c>
      <c r="J1998" s="59">
        <f t="shared" ca="1" si="157"/>
        <v>45994</v>
      </c>
      <c r="K1998" s="30">
        <f ca="1">LOOKUP(A1998,'QALS - Inspection Lot Record'!A:A,'QALS - Inspection Lot Record'!I:I)</f>
        <v>0.32560185185185186</v>
      </c>
      <c r="L1998" s="59">
        <f t="shared" ca="1" si="158"/>
        <v>45994</v>
      </c>
      <c r="M1998" s="30">
        <f t="shared" ca="1" si="159"/>
        <v>0.35362268518518519</v>
      </c>
      <c r="N1998" s="31"/>
      <c r="O1998" s="31">
        <v>41.9</v>
      </c>
      <c r="P1998" s="29">
        <v>40</v>
      </c>
      <c r="Q1998" s="29">
        <v>60</v>
      </c>
    </row>
    <row r="1999" spans="1:17" x14ac:dyDescent="0.35">
      <c r="A1999" s="26">
        <v>40000002750</v>
      </c>
      <c r="B1999" s="31">
        <v>1</v>
      </c>
      <c r="C1999" s="29" t="str">
        <f>LOOKUP(A1999,'QALS - Inspection Lot Record'!$A$2:$A$361,'QALS - Inspection Lot Record'!$O$2:$O$361)</f>
        <v>Metformin Tablets (500 MG)</v>
      </c>
      <c r="D1999" s="31">
        <v>60</v>
      </c>
      <c r="E1999" s="29" t="s">
        <v>405</v>
      </c>
      <c r="F1999" s="29" t="str">
        <f>LOOKUP(A1999,'QALS - Inspection Lot Record'!A:A,'QALS - Inspection Lot Record'!G:G)</f>
        <v>GC197258</v>
      </c>
      <c r="G1999" s="59">
        <f ca="1">LOOKUP(A1999,'QALS - Inspection Lot Record'!A:A,'QALS - Inspection Lot Record'!E:E)</f>
        <v>45994</v>
      </c>
      <c r="H1999" s="34" t="str">
        <f t="shared" si="160"/>
        <v>A</v>
      </c>
      <c r="I1999" s="29" t="str">
        <f t="shared" si="156"/>
        <v>GC197258</v>
      </c>
      <c r="J1999" s="59">
        <f t="shared" ca="1" si="157"/>
        <v>45994</v>
      </c>
      <c r="K1999" s="30">
        <f ca="1">LOOKUP(A1999,'QALS - Inspection Lot Record'!A:A,'QALS - Inspection Lot Record'!I:I)</f>
        <v>0.32560185185185186</v>
      </c>
      <c r="L1999" s="59">
        <f t="shared" ca="1" si="158"/>
        <v>45994</v>
      </c>
      <c r="M1999" s="30">
        <f t="shared" ca="1" si="159"/>
        <v>0.3536111111111111</v>
      </c>
      <c r="N1999" s="31"/>
      <c r="O1999" s="31">
        <v>71.099999999999994</v>
      </c>
      <c r="P1999" s="29">
        <v>70</v>
      </c>
      <c r="Q1999" s="29">
        <v>85</v>
      </c>
    </row>
    <row r="2000" spans="1:17" x14ac:dyDescent="0.35">
      <c r="A2000" s="26">
        <v>40000002750</v>
      </c>
      <c r="B2000" s="31">
        <v>1</v>
      </c>
      <c r="C2000" s="29" t="str">
        <f>LOOKUP(A2000,'QALS - Inspection Lot Record'!$A$2:$A$361,'QALS - Inspection Lot Record'!$O$2:$O$361)</f>
        <v>Metformin Tablets (500 MG)</v>
      </c>
      <c r="D2000" s="31">
        <v>70</v>
      </c>
      <c r="E2000" s="29" t="s">
        <v>406</v>
      </c>
      <c r="F2000" s="29" t="str">
        <f>LOOKUP(A2000,'QALS - Inspection Lot Record'!A:A,'QALS - Inspection Lot Record'!G:G)</f>
        <v>GC197258</v>
      </c>
      <c r="G2000" s="59">
        <f ca="1">LOOKUP(A2000,'QALS - Inspection Lot Record'!A:A,'QALS - Inspection Lot Record'!E:E)</f>
        <v>45994</v>
      </c>
      <c r="H2000" s="34" t="str">
        <f t="shared" si="160"/>
        <v>A</v>
      </c>
      <c r="I2000" s="29" t="str">
        <f t="shared" si="156"/>
        <v>GC197258</v>
      </c>
      <c r="J2000" s="59">
        <f t="shared" ca="1" si="157"/>
        <v>45994</v>
      </c>
      <c r="K2000" s="30">
        <f ca="1">LOOKUP(A2000,'QALS - Inspection Lot Record'!A:A,'QALS - Inspection Lot Record'!I:I)</f>
        <v>0.32560185185185186</v>
      </c>
      <c r="L2000" s="59">
        <f t="shared" ca="1" si="158"/>
        <v>45994</v>
      </c>
      <c r="M2000" s="30">
        <f t="shared" ca="1" si="159"/>
        <v>0.35936342592592596</v>
      </c>
      <c r="N2000" s="31"/>
      <c r="O2000" s="31">
        <v>81.400000000000006</v>
      </c>
      <c r="P2000" s="29">
        <v>80</v>
      </c>
      <c r="Q2000" s="29">
        <v>90</v>
      </c>
    </row>
    <row r="2001" spans="1:17" x14ac:dyDescent="0.35">
      <c r="A2001" s="26">
        <v>40000002750</v>
      </c>
      <c r="B2001" s="31">
        <v>1</v>
      </c>
      <c r="C2001" s="29" t="str">
        <f>LOOKUP(A2001,'QALS - Inspection Lot Record'!$A$2:$A$361,'QALS - Inspection Lot Record'!$O$2:$O$361)</f>
        <v>Metformin Tablets (500 MG)</v>
      </c>
      <c r="D2001" s="31">
        <v>80</v>
      </c>
      <c r="E2001" s="29" t="s">
        <v>407</v>
      </c>
      <c r="F2001" s="29" t="str">
        <f>LOOKUP(A2001,'QALS - Inspection Lot Record'!A:A,'QALS - Inspection Lot Record'!G:G)</f>
        <v>GC197258</v>
      </c>
      <c r="G2001" s="59">
        <f ca="1">LOOKUP(A2001,'QALS - Inspection Lot Record'!A:A,'QALS - Inspection Lot Record'!E:E)</f>
        <v>45994</v>
      </c>
      <c r="H2001" s="34" t="str">
        <f t="shared" si="160"/>
        <v>A</v>
      </c>
      <c r="I2001" s="29" t="str">
        <f t="shared" si="156"/>
        <v>GC197258</v>
      </c>
      <c r="J2001" s="59">
        <f t="shared" ca="1" si="157"/>
        <v>45994</v>
      </c>
      <c r="K2001" s="30">
        <f ca="1">LOOKUP(A2001,'QALS - Inspection Lot Record'!A:A,'QALS - Inspection Lot Record'!I:I)</f>
        <v>0.32560185185185186</v>
      </c>
      <c r="L2001" s="59">
        <f t="shared" ca="1" si="158"/>
        <v>45994</v>
      </c>
      <c r="M2001" s="30">
        <f t="shared" ca="1" si="159"/>
        <v>0.35652777777777778</v>
      </c>
      <c r="N2001" s="31"/>
      <c r="O2001" s="31">
        <v>25.5</v>
      </c>
      <c r="P2001" s="29">
        <v>23</v>
      </c>
      <c r="Q2001" s="29">
        <v>28</v>
      </c>
    </row>
    <row r="2002" spans="1:17" x14ac:dyDescent="0.35">
      <c r="A2002" s="26">
        <v>40000002751</v>
      </c>
      <c r="B2002" s="27">
        <v>1</v>
      </c>
      <c r="C2002" s="29" t="str">
        <f>LOOKUP(A2002,'QALS - Inspection Lot Record'!$A$2:$A$361,'QALS - Inspection Lot Record'!$O$2:$O$361)</f>
        <v>Metformin Tablets (100 MG)</v>
      </c>
      <c r="D2002" s="27">
        <v>10</v>
      </c>
      <c r="E2002" s="26" t="s">
        <v>399</v>
      </c>
      <c r="F2002" s="29" t="str">
        <f>LOOKUP(A2002,'QALS - Inspection Lot Record'!A:A,'QALS - Inspection Lot Record'!G:G)</f>
        <v>TP397880</v>
      </c>
      <c r="G2002" s="59">
        <f ca="1">LOOKUP(A2002,'QALS - Inspection Lot Record'!A:A,'QALS - Inspection Lot Record'!E:E)</f>
        <v>45995</v>
      </c>
      <c r="H2002" s="34" t="str">
        <f t="shared" si="160"/>
        <v>A</v>
      </c>
      <c r="I2002" s="29" t="str">
        <f t="shared" si="156"/>
        <v>TP397880</v>
      </c>
      <c r="J2002" s="59">
        <f t="shared" ca="1" si="157"/>
        <v>45995</v>
      </c>
      <c r="K2002" s="30">
        <f ca="1">LOOKUP(A2002,'QALS - Inspection Lot Record'!A:A,'QALS - Inspection Lot Record'!I:I)</f>
        <v>0.8976736111111111</v>
      </c>
      <c r="L2002" s="59">
        <f t="shared" ca="1" si="158"/>
        <v>45995</v>
      </c>
      <c r="M2002" s="30">
        <f t="shared" ca="1" si="159"/>
        <v>0.91781250000000003</v>
      </c>
      <c r="N2002" s="31"/>
      <c r="O2002" s="31">
        <v>98.5</v>
      </c>
      <c r="P2002" s="29">
        <v>95</v>
      </c>
      <c r="Q2002" s="29">
        <v>102</v>
      </c>
    </row>
    <row r="2003" spans="1:17" x14ac:dyDescent="0.35">
      <c r="A2003" s="26">
        <v>40000002751</v>
      </c>
      <c r="B2003" s="27">
        <v>1</v>
      </c>
      <c r="C2003" s="29" t="str">
        <f>LOOKUP(A2003,'QALS - Inspection Lot Record'!$A$2:$A$361,'QALS - Inspection Lot Record'!$O$2:$O$361)</f>
        <v>Metformin Tablets (100 MG)</v>
      </c>
      <c r="D2003" s="31">
        <v>20</v>
      </c>
      <c r="E2003" s="29" t="s">
        <v>400</v>
      </c>
      <c r="F2003" s="29" t="str">
        <f>LOOKUP(A2003,'QALS - Inspection Lot Record'!A:A,'QALS - Inspection Lot Record'!G:G)</f>
        <v>TP397880</v>
      </c>
      <c r="G2003" s="59">
        <f ca="1">LOOKUP(A2003,'QALS - Inspection Lot Record'!A:A,'QALS - Inspection Lot Record'!E:E)</f>
        <v>45995</v>
      </c>
      <c r="H2003" s="34" t="str">
        <f t="shared" si="160"/>
        <v>R</v>
      </c>
      <c r="I2003" s="29" t="str">
        <f t="shared" si="156"/>
        <v>TP397880</v>
      </c>
      <c r="J2003" s="59">
        <f t="shared" ca="1" si="157"/>
        <v>45995</v>
      </c>
      <c r="K2003" s="30">
        <f ca="1">LOOKUP(A2003,'QALS - Inspection Lot Record'!A:A,'QALS - Inspection Lot Record'!I:I)</f>
        <v>0.8976736111111111</v>
      </c>
      <c r="L2003" s="59">
        <f t="shared" ca="1" si="158"/>
        <v>45995</v>
      </c>
      <c r="M2003" s="30">
        <f t="shared" ca="1" si="159"/>
        <v>0.92562500000000003</v>
      </c>
      <c r="N2003" s="31"/>
      <c r="O2003" s="31">
        <v>2.2999999999999998</v>
      </c>
      <c r="P2003" s="29">
        <v>3.5</v>
      </c>
      <c r="Q2003" s="29">
        <v>11</v>
      </c>
    </row>
    <row r="2004" spans="1:17" x14ac:dyDescent="0.35">
      <c r="A2004" s="26">
        <v>40000002751</v>
      </c>
      <c r="B2004" s="31">
        <v>1</v>
      </c>
      <c r="C2004" s="29" t="str">
        <f>LOOKUP(A2004,'QALS - Inspection Lot Record'!$A$2:$A$361,'QALS - Inspection Lot Record'!$O$2:$O$361)</f>
        <v>Metformin Tablets (100 MG)</v>
      </c>
      <c r="D2004" s="31">
        <v>30</v>
      </c>
      <c r="E2004" s="29" t="s">
        <v>401</v>
      </c>
      <c r="F2004" s="29" t="str">
        <f>LOOKUP(A2004,'QALS - Inspection Lot Record'!A:A,'QALS - Inspection Lot Record'!G:G)</f>
        <v>TP397880</v>
      </c>
      <c r="G2004" s="59">
        <f ca="1">LOOKUP(A2004,'QALS - Inspection Lot Record'!A:A,'QALS - Inspection Lot Record'!E:E)</f>
        <v>45995</v>
      </c>
      <c r="H2004" s="34" t="str">
        <f t="shared" si="160"/>
        <v>A</v>
      </c>
      <c r="I2004" s="29" t="str">
        <f t="shared" si="156"/>
        <v>TP397880</v>
      </c>
      <c r="J2004" s="59">
        <f t="shared" ca="1" si="157"/>
        <v>45995</v>
      </c>
      <c r="K2004" s="30">
        <f ca="1">LOOKUP(A2004,'QALS - Inspection Lot Record'!A:A,'QALS - Inspection Lot Record'!I:I)</f>
        <v>0.8976736111111111</v>
      </c>
      <c r="L2004" s="59">
        <f t="shared" ca="1" si="158"/>
        <v>45995</v>
      </c>
      <c r="M2004" s="30">
        <f t="shared" ca="1" si="159"/>
        <v>0.92694444444444446</v>
      </c>
      <c r="N2004" s="11" t="s">
        <v>402</v>
      </c>
      <c r="O2004" s="31"/>
      <c r="P2004" s="29"/>
      <c r="Q2004" s="29"/>
    </row>
    <row r="2005" spans="1:17" x14ac:dyDescent="0.35">
      <c r="A2005" s="26">
        <v>40000002751</v>
      </c>
      <c r="B2005" s="31">
        <v>1</v>
      </c>
      <c r="C2005" s="29" t="str">
        <f>LOOKUP(A2005,'QALS - Inspection Lot Record'!$A$2:$A$361,'QALS - Inspection Lot Record'!$O$2:$O$361)</f>
        <v>Metformin Tablets (100 MG)</v>
      </c>
      <c r="D2005" s="31">
        <v>40</v>
      </c>
      <c r="E2005" s="29" t="s">
        <v>403</v>
      </c>
      <c r="F2005" s="29" t="str">
        <f>LOOKUP(A2005,'QALS - Inspection Lot Record'!A:A,'QALS - Inspection Lot Record'!G:G)</f>
        <v>TP397880</v>
      </c>
      <c r="G2005" s="59">
        <f ca="1">LOOKUP(A2005,'QALS - Inspection Lot Record'!A:A,'QALS - Inspection Lot Record'!E:E)</f>
        <v>45995</v>
      </c>
      <c r="H2005" s="34" t="str">
        <f t="shared" si="160"/>
        <v>A</v>
      </c>
      <c r="I2005" s="29" t="str">
        <f t="shared" si="156"/>
        <v>TP397880</v>
      </c>
      <c r="J2005" s="59">
        <f t="shared" ca="1" si="157"/>
        <v>45995</v>
      </c>
      <c r="K2005" s="30">
        <f ca="1">LOOKUP(A2005,'QALS - Inspection Lot Record'!A:A,'QALS - Inspection Lot Record'!I:I)</f>
        <v>0.8976736111111111</v>
      </c>
      <c r="L2005" s="59">
        <f t="shared" ca="1" si="158"/>
        <v>45995</v>
      </c>
      <c r="M2005" s="30">
        <f t="shared" ca="1" si="159"/>
        <v>0.92398148148148151</v>
      </c>
      <c r="N2005" s="31"/>
      <c r="O2005" s="31">
        <v>0</v>
      </c>
      <c r="P2005" s="29">
        <v>0</v>
      </c>
      <c r="Q2005" s="29">
        <v>1</v>
      </c>
    </row>
    <row r="2006" spans="1:17" x14ac:dyDescent="0.35">
      <c r="A2006" s="26">
        <v>40000002751</v>
      </c>
      <c r="B2006" s="31">
        <v>1</v>
      </c>
      <c r="C2006" s="29" t="str">
        <f>LOOKUP(A2006,'QALS - Inspection Lot Record'!$A$2:$A$361,'QALS - Inspection Lot Record'!$O$2:$O$361)</f>
        <v>Metformin Tablets (100 MG)</v>
      </c>
      <c r="D2006" s="31">
        <v>50</v>
      </c>
      <c r="E2006" s="29" t="s">
        <v>404</v>
      </c>
      <c r="F2006" s="29" t="str">
        <f>LOOKUP(A2006,'QALS - Inspection Lot Record'!A:A,'QALS - Inspection Lot Record'!G:G)</f>
        <v>TP397880</v>
      </c>
      <c r="G2006" s="59">
        <f ca="1">LOOKUP(A2006,'QALS - Inspection Lot Record'!A:A,'QALS - Inspection Lot Record'!E:E)</f>
        <v>45995</v>
      </c>
      <c r="H2006" s="34" t="str">
        <f t="shared" si="160"/>
        <v>A</v>
      </c>
      <c r="I2006" s="29" t="str">
        <f t="shared" si="156"/>
        <v>TP397880</v>
      </c>
      <c r="J2006" s="59">
        <f t="shared" ca="1" si="157"/>
        <v>45995</v>
      </c>
      <c r="K2006" s="30">
        <f ca="1">LOOKUP(A2006,'QALS - Inspection Lot Record'!A:A,'QALS - Inspection Lot Record'!I:I)</f>
        <v>0.8976736111111111</v>
      </c>
      <c r="L2006" s="59">
        <f t="shared" ca="1" si="158"/>
        <v>45995</v>
      </c>
      <c r="M2006" s="30">
        <f t="shared" ca="1" si="159"/>
        <v>0.92418981481481477</v>
      </c>
      <c r="N2006" s="31"/>
      <c r="O2006" s="31">
        <v>46.3</v>
      </c>
      <c r="P2006" s="29">
        <v>40</v>
      </c>
      <c r="Q2006" s="29">
        <v>60</v>
      </c>
    </row>
    <row r="2007" spans="1:17" x14ac:dyDescent="0.35">
      <c r="A2007" s="26">
        <v>40000002751</v>
      </c>
      <c r="B2007" s="31">
        <v>1</v>
      </c>
      <c r="C2007" s="29" t="str">
        <f>LOOKUP(A2007,'QALS - Inspection Lot Record'!$A$2:$A$361,'QALS - Inspection Lot Record'!$O$2:$O$361)</f>
        <v>Metformin Tablets (100 MG)</v>
      </c>
      <c r="D2007" s="31">
        <v>60</v>
      </c>
      <c r="E2007" s="29" t="s">
        <v>405</v>
      </c>
      <c r="F2007" s="29" t="str">
        <f>LOOKUP(A2007,'QALS - Inspection Lot Record'!A:A,'QALS - Inspection Lot Record'!G:G)</f>
        <v>TP397880</v>
      </c>
      <c r="G2007" s="59">
        <f ca="1">LOOKUP(A2007,'QALS - Inspection Lot Record'!A:A,'QALS - Inspection Lot Record'!E:E)</f>
        <v>45995</v>
      </c>
      <c r="H2007" s="34" t="str">
        <f t="shared" si="160"/>
        <v>A</v>
      </c>
      <c r="I2007" s="29" t="str">
        <f t="shared" si="156"/>
        <v>TP397880</v>
      </c>
      <c r="J2007" s="59">
        <f t="shared" ca="1" si="157"/>
        <v>45995</v>
      </c>
      <c r="K2007" s="30">
        <f ca="1">LOOKUP(A2007,'QALS - Inspection Lot Record'!A:A,'QALS - Inspection Lot Record'!I:I)</f>
        <v>0.8976736111111111</v>
      </c>
      <c r="L2007" s="59">
        <f t="shared" ca="1" si="158"/>
        <v>45995</v>
      </c>
      <c r="M2007" s="30">
        <f t="shared" ca="1" si="159"/>
        <v>0.93252314814814818</v>
      </c>
      <c r="N2007" s="31"/>
      <c r="O2007" s="31">
        <v>72</v>
      </c>
      <c r="P2007" s="29">
        <v>70</v>
      </c>
      <c r="Q2007" s="29">
        <v>85</v>
      </c>
    </row>
    <row r="2008" spans="1:17" x14ac:dyDescent="0.35">
      <c r="A2008" s="26">
        <v>40000002751</v>
      </c>
      <c r="B2008" s="31">
        <v>1</v>
      </c>
      <c r="C2008" s="29" t="str">
        <f>LOOKUP(A2008,'QALS - Inspection Lot Record'!$A$2:$A$361,'QALS - Inspection Lot Record'!$O$2:$O$361)</f>
        <v>Metformin Tablets (100 MG)</v>
      </c>
      <c r="D2008" s="31">
        <v>70</v>
      </c>
      <c r="E2008" s="29" t="s">
        <v>406</v>
      </c>
      <c r="F2008" s="29" t="str">
        <f>LOOKUP(A2008,'QALS - Inspection Lot Record'!A:A,'QALS - Inspection Lot Record'!G:G)</f>
        <v>TP397880</v>
      </c>
      <c r="G2008" s="59">
        <f ca="1">LOOKUP(A2008,'QALS - Inspection Lot Record'!A:A,'QALS - Inspection Lot Record'!E:E)</f>
        <v>45995</v>
      </c>
      <c r="H2008" s="34" t="str">
        <f t="shared" si="160"/>
        <v>R</v>
      </c>
      <c r="I2008" s="29" t="str">
        <f t="shared" si="156"/>
        <v>TP397880</v>
      </c>
      <c r="J2008" s="59">
        <f t="shared" ca="1" si="157"/>
        <v>45995</v>
      </c>
      <c r="K2008" s="30">
        <f ca="1">LOOKUP(A2008,'QALS - Inspection Lot Record'!A:A,'QALS - Inspection Lot Record'!I:I)</f>
        <v>0.8976736111111111</v>
      </c>
      <c r="L2008" s="59">
        <f t="shared" ca="1" si="158"/>
        <v>45995</v>
      </c>
      <c r="M2008" s="30">
        <f t="shared" ca="1" si="159"/>
        <v>0.93018518518518523</v>
      </c>
      <c r="N2008" s="31"/>
      <c r="O2008" s="31">
        <v>78.400000000000006</v>
      </c>
      <c r="P2008" s="29">
        <v>80</v>
      </c>
      <c r="Q2008" s="29">
        <v>90</v>
      </c>
    </row>
    <row r="2009" spans="1:17" x14ac:dyDescent="0.35">
      <c r="A2009" s="26">
        <v>40000002751</v>
      </c>
      <c r="B2009" s="31">
        <v>1</v>
      </c>
      <c r="C2009" s="29" t="str">
        <f>LOOKUP(A2009,'QALS - Inspection Lot Record'!$A$2:$A$361,'QALS - Inspection Lot Record'!$O$2:$O$361)</f>
        <v>Metformin Tablets (100 MG)</v>
      </c>
      <c r="D2009" s="31">
        <v>80</v>
      </c>
      <c r="E2009" s="29" t="s">
        <v>407</v>
      </c>
      <c r="F2009" s="29" t="str">
        <f>LOOKUP(A2009,'QALS - Inspection Lot Record'!A:A,'QALS - Inspection Lot Record'!G:G)</f>
        <v>TP397880</v>
      </c>
      <c r="G2009" s="59">
        <f ca="1">LOOKUP(A2009,'QALS - Inspection Lot Record'!A:A,'QALS - Inspection Lot Record'!E:E)</f>
        <v>45995</v>
      </c>
      <c r="H2009" s="34" t="str">
        <f t="shared" si="160"/>
        <v>A</v>
      </c>
      <c r="I2009" s="29" t="str">
        <f t="shared" si="156"/>
        <v>TP397880</v>
      </c>
      <c r="J2009" s="59">
        <f t="shared" ca="1" si="157"/>
        <v>45995</v>
      </c>
      <c r="K2009" s="30">
        <f ca="1">LOOKUP(A2009,'QALS - Inspection Lot Record'!A:A,'QALS - Inspection Lot Record'!I:I)</f>
        <v>0.8976736111111111</v>
      </c>
      <c r="L2009" s="59">
        <f t="shared" ca="1" si="158"/>
        <v>45995</v>
      </c>
      <c r="M2009" s="30">
        <f t="shared" ca="1" si="159"/>
        <v>0.92193287037037042</v>
      </c>
      <c r="N2009" s="31"/>
      <c r="O2009" s="31">
        <v>24</v>
      </c>
      <c r="P2009" s="29">
        <v>23</v>
      </c>
      <c r="Q2009" s="29">
        <v>25</v>
      </c>
    </row>
    <row r="2010" spans="1:17" x14ac:dyDescent="0.35">
      <c r="A2010" s="26">
        <v>40000002752</v>
      </c>
      <c r="B2010" s="27">
        <v>1</v>
      </c>
      <c r="C2010" s="29" t="str">
        <f>LOOKUP(A2010,'QALS - Inspection Lot Record'!$A$2:$A$361,'QALS - Inspection Lot Record'!$O$2:$O$361)</f>
        <v>Aspirin Tablets (500 MG)</v>
      </c>
      <c r="D2010" s="27">
        <v>10</v>
      </c>
      <c r="E2010" s="26" t="s">
        <v>399</v>
      </c>
      <c r="F2010" s="29" t="str">
        <f>LOOKUP(A2010,'QALS - Inspection Lot Record'!A:A,'QALS - Inspection Lot Record'!G:G)</f>
        <v>TG509538</v>
      </c>
      <c r="G2010" s="59">
        <f ca="1">LOOKUP(A2010,'QALS - Inspection Lot Record'!A:A,'QALS - Inspection Lot Record'!E:E)</f>
        <v>45995</v>
      </c>
      <c r="H2010" s="34" t="str">
        <f t="shared" si="160"/>
        <v>A</v>
      </c>
      <c r="I2010" s="29" t="str">
        <f t="shared" si="156"/>
        <v>TG509538</v>
      </c>
      <c r="J2010" s="59">
        <f t="shared" ca="1" si="157"/>
        <v>45995</v>
      </c>
      <c r="K2010" s="30">
        <f ca="1">LOOKUP(A2010,'QALS - Inspection Lot Record'!A:A,'QALS - Inspection Lot Record'!I:I)</f>
        <v>0.43702546296296296</v>
      </c>
      <c r="L2010" s="59">
        <f t="shared" ca="1" si="158"/>
        <v>45995</v>
      </c>
      <c r="M2010" s="30">
        <f t="shared" ca="1" si="159"/>
        <v>0.47011574074074075</v>
      </c>
      <c r="N2010" s="31"/>
      <c r="O2010" s="31">
        <v>100</v>
      </c>
      <c r="P2010" s="29">
        <v>95</v>
      </c>
      <c r="Q2010" s="29">
        <v>105</v>
      </c>
    </row>
    <row r="2011" spans="1:17" x14ac:dyDescent="0.35">
      <c r="A2011" s="26">
        <v>40000002752</v>
      </c>
      <c r="B2011" s="27">
        <v>1</v>
      </c>
      <c r="C2011" s="29" t="str">
        <f>LOOKUP(A2011,'QALS - Inspection Lot Record'!$A$2:$A$361,'QALS - Inspection Lot Record'!$O$2:$O$361)</f>
        <v>Aspirin Tablets (500 MG)</v>
      </c>
      <c r="D2011" s="31">
        <v>20</v>
      </c>
      <c r="E2011" s="29" t="s">
        <v>400</v>
      </c>
      <c r="F2011" s="29" t="str">
        <f>LOOKUP(A2011,'QALS - Inspection Lot Record'!A:A,'QALS - Inspection Lot Record'!G:G)</f>
        <v>TG509538</v>
      </c>
      <c r="G2011" s="59">
        <f ca="1">LOOKUP(A2011,'QALS - Inspection Lot Record'!A:A,'QALS - Inspection Lot Record'!E:E)</f>
        <v>45995</v>
      </c>
      <c r="H2011" s="34" t="str">
        <f t="shared" si="160"/>
        <v>A</v>
      </c>
      <c r="I2011" s="29" t="str">
        <f t="shared" si="156"/>
        <v>TG509538</v>
      </c>
      <c r="J2011" s="59">
        <f t="shared" ca="1" si="157"/>
        <v>45995</v>
      </c>
      <c r="K2011" s="30">
        <f ca="1">LOOKUP(A2011,'QALS - Inspection Lot Record'!A:A,'QALS - Inspection Lot Record'!I:I)</f>
        <v>0.43702546296296296</v>
      </c>
      <c r="L2011" s="59">
        <f t="shared" ca="1" si="158"/>
        <v>45995</v>
      </c>
      <c r="M2011" s="30">
        <f t="shared" ca="1" si="159"/>
        <v>0.46150462962962963</v>
      </c>
      <c r="N2011" s="31"/>
      <c r="O2011" s="31">
        <v>7.25</v>
      </c>
      <c r="P2011" s="29">
        <v>3.5</v>
      </c>
      <c r="Q2011" s="29">
        <v>11</v>
      </c>
    </row>
    <row r="2012" spans="1:17" x14ac:dyDescent="0.35">
      <c r="A2012" s="26">
        <v>40000002752</v>
      </c>
      <c r="B2012" s="31">
        <v>1</v>
      </c>
      <c r="C2012" s="29" t="str">
        <f>LOOKUP(A2012,'QALS - Inspection Lot Record'!$A$2:$A$361,'QALS - Inspection Lot Record'!$O$2:$O$361)</f>
        <v>Aspirin Tablets (500 MG)</v>
      </c>
      <c r="D2012" s="31">
        <v>30</v>
      </c>
      <c r="E2012" s="29" t="s">
        <v>401</v>
      </c>
      <c r="F2012" s="29" t="str">
        <f>LOOKUP(A2012,'QALS - Inspection Lot Record'!A:A,'QALS - Inspection Lot Record'!G:G)</f>
        <v>TG509538</v>
      </c>
      <c r="G2012" s="59">
        <f ca="1">LOOKUP(A2012,'QALS - Inspection Lot Record'!A:A,'QALS - Inspection Lot Record'!E:E)</f>
        <v>45995</v>
      </c>
      <c r="H2012" s="34" t="str">
        <f t="shared" si="160"/>
        <v>A</v>
      </c>
      <c r="I2012" s="29" t="str">
        <f t="shared" si="156"/>
        <v>TG509538</v>
      </c>
      <c r="J2012" s="59">
        <f t="shared" ca="1" si="157"/>
        <v>45995</v>
      </c>
      <c r="K2012" s="30">
        <f ca="1">LOOKUP(A2012,'QALS - Inspection Lot Record'!A:A,'QALS - Inspection Lot Record'!I:I)</f>
        <v>0.43702546296296296</v>
      </c>
      <c r="L2012" s="59">
        <f t="shared" ca="1" si="158"/>
        <v>45995</v>
      </c>
      <c r="M2012" s="30">
        <f t="shared" ca="1" si="159"/>
        <v>0.46880787037037036</v>
      </c>
      <c r="N2012" s="11" t="s">
        <v>402</v>
      </c>
      <c r="O2012" s="31"/>
      <c r="P2012" s="29"/>
      <c r="Q2012" s="29"/>
    </row>
    <row r="2013" spans="1:17" x14ac:dyDescent="0.35">
      <c r="A2013" s="26">
        <v>40000002752</v>
      </c>
      <c r="B2013" s="31">
        <v>1</v>
      </c>
      <c r="C2013" s="29" t="str">
        <f>LOOKUP(A2013,'QALS - Inspection Lot Record'!$A$2:$A$361,'QALS - Inspection Lot Record'!$O$2:$O$361)</f>
        <v>Aspirin Tablets (500 MG)</v>
      </c>
      <c r="D2013" s="31">
        <v>40</v>
      </c>
      <c r="E2013" s="29" t="s">
        <v>403</v>
      </c>
      <c r="F2013" s="29" t="str">
        <f>LOOKUP(A2013,'QALS - Inspection Lot Record'!A:A,'QALS - Inspection Lot Record'!G:G)</f>
        <v>TG509538</v>
      </c>
      <c r="G2013" s="59">
        <f ca="1">LOOKUP(A2013,'QALS - Inspection Lot Record'!A:A,'QALS - Inspection Lot Record'!E:E)</f>
        <v>45995</v>
      </c>
      <c r="H2013" s="34" t="str">
        <f t="shared" si="160"/>
        <v>A</v>
      </c>
      <c r="I2013" s="29" t="str">
        <f t="shared" si="156"/>
        <v>TG509538</v>
      </c>
      <c r="J2013" s="59">
        <f t="shared" ca="1" si="157"/>
        <v>45995</v>
      </c>
      <c r="K2013" s="30">
        <f ca="1">LOOKUP(A2013,'QALS - Inspection Lot Record'!A:A,'QALS - Inspection Lot Record'!I:I)</f>
        <v>0.43702546296296296</v>
      </c>
      <c r="L2013" s="59">
        <f t="shared" ca="1" si="158"/>
        <v>45995</v>
      </c>
      <c r="M2013" s="30">
        <f t="shared" ca="1" si="159"/>
        <v>0.46057870370370368</v>
      </c>
      <c r="N2013" s="31"/>
      <c r="O2013" s="31">
        <v>0</v>
      </c>
      <c r="P2013" s="29">
        <v>0</v>
      </c>
      <c r="Q2013" s="29">
        <v>2.5</v>
      </c>
    </row>
    <row r="2014" spans="1:17" x14ac:dyDescent="0.35">
      <c r="A2014" s="26">
        <v>40000002752</v>
      </c>
      <c r="B2014" s="31">
        <v>1</v>
      </c>
      <c r="C2014" s="29" t="str">
        <f>LOOKUP(A2014,'QALS - Inspection Lot Record'!$A$2:$A$361,'QALS - Inspection Lot Record'!$O$2:$O$361)</f>
        <v>Aspirin Tablets (500 MG)</v>
      </c>
      <c r="D2014" s="31">
        <v>50</v>
      </c>
      <c r="E2014" s="29" t="s">
        <v>404</v>
      </c>
      <c r="F2014" s="29" t="str">
        <f>LOOKUP(A2014,'QALS - Inspection Lot Record'!A:A,'QALS - Inspection Lot Record'!G:G)</f>
        <v>TG509538</v>
      </c>
      <c r="G2014" s="59">
        <f ca="1">LOOKUP(A2014,'QALS - Inspection Lot Record'!A:A,'QALS - Inspection Lot Record'!E:E)</f>
        <v>45995</v>
      </c>
      <c r="H2014" s="34" t="str">
        <f t="shared" si="160"/>
        <v>A</v>
      </c>
      <c r="I2014" s="29" t="str">
        <f t="shared" si="156"/>
        <v>TG509538</v>
      </c>
      <c r="J2014" s="59">
        <f t="shared" ca="1" si="157"/>
        <v>45995</v>
      </c>
      <c r="K2014" s="30">
        <f ca="1">LOOKUP(A2014,'QALS - Inspection Lot Record'!A:A,'QALS - Inspection Lot Record'!I:I)</f>
        <v>0.43702546296296296</v>
      </c>
      <c r="L2014" s="59">
        <f t="shared" ca="1" si="158"/>
        <v>45995</v>
      </c>
      <c r="M2014" s="30">
        <f t="shared" ca="1" si="159"/>
        <v>0.46929398148148149</v>
      </c>
      <c r="N2014" s="31"/>
      <c r="O2014" s="31">
        <v>50</v>
      </c>
      <c r="P2014" s="29">
        <v>40</v>
      </c>
      <c r="Q2014" s="29">
        <v>60</v>
      </c>
    </row>
    <row r="2015" spans="1:17" x14ac:dyDescent="0.35">
      <c r="A2015" s="26">
        <v>40000002752</v>
      </c>
      <c r="B2015" s="31">
        <v>1</v>
      </c>
      <c r="C2015" s="29" t="str">
        <f>LOOKUP(A2015,'QALS - Inspection Lot Record'!$A$2:$A$361,'QALS - Inspection Lot Record'!$O$2:$O$361)</f>
        <v>Aspirin Tablets (500 MG)</v>
      </c>
      <c r="D2015" s="31">
        <v>60</v>
      </c>
      <c r="E2015" s="29" t="s">
        <v>405</v>
      </c>
      <c r="F2015" s="29" t="str">
        <f>LOOKUP(A2015,'QALS - Inspection Lot Record'!A:A,'QALS - Inspection Lot Record'!G:G)</f>
        <v>TG509538</v>
      </c>
      <c r="G2015" s="59">
        <f ca="1">LOOKUP(A2015,'QALS - Inspection Lot Record'!A:A,'QALS - Inspection Lot Record'!E:E)</f>
        <v>45995</v>
      </c>
      <c r="H2015" s="34" t="str">
        <f t="shared" si="160"/>
        <v>A</v>
      </c>
      <c r="I2015" s="29" t="str">
        <f t="shared" si="156"/>
        <v>TG509538</v>
      </c>
      <c r="J2015" s="59">
        <f t="shared" ca="1" si="157"/>
        <v>45995</v>
      </c>
      <c r="K2015" s="30">
        <f ca="1">LOOKUP(A2015,'QALS - Inspection Lot Record'!A:A,'QALS - Inspection Lot Record'!I:I)</f>
        <v>0.43702546296296296</v>
      </c>
      <c r="L2015" s="59">
        <f t="shared" ca="1" si="158"/>
        <v>45995</v>
      </c>
      <c r="M2015" s="30">
        <f t="shared" ca="1" si="159"/>
        <v>0.46626157407407409</v>
      </c>
      <c r="N2015" s="31"/>
      <c r="O2015" s="31">
        <v>77.5</v>
      </c>
      <c r="P2015" s="29">
        <v>70</v>
      </c>
      <c r="Q2015" s="29">
        <v>85</v>
      </c>
    </row>
    <row r="2016" spans="1:17" x14ac:dyDescent="0.35">
      <c r="A2016" s="26">
        <v>40000002752</v>
      </c>
      <c r="B2016" s="31">
        <v>1</v>
      </c>
      <c r="C2016" s="29" t="str">
        <f>LOOKUP(A2016,'QALS - Inspection Lot Record'!$A$2:$A$361,'QALS - Inspection Lot Record'!$O$2:$O$361)</f>
        <v>Aspirin Tablets (500 MG)</v>
      </c>
      <c r="D2016" s="31">
        <v>70</v>
      </c>
      <c r="E2016" s="29" t="s">
        <v>406</v>
      </c>
      <c r="F2016" s="29" t="str">
        <f>LOOKUP(A2016,'QALS - Inspection Lot Record'!A:A,'QALS - Inspection Lot Record'!G:G)</f>
        <v>TG509538</v>
      </c>
      <c r="G2016" s="59">
        <f ca="1">LOOKUP(A2016,'QALS - Inspection Lot Record'!A:A,'QALS - Inspection Lot Record'!E:E)</f>
        <v>45995</v>
      </c>
      <c r="H2016" s="34" t="str">
        <f t="shared" si="160"/>
        <v>A</v>
      </c>
      <c r="I2016" s="29" t="str">
        <f t="shared" si="156"/>
        <v>TG509538</v>
      </c>
      <c r="J2016" s="59">
        <f t="shared" ca="1" si="157"/>
        <v>45995</v>
      </c>
      <c r="K2016" s="30">
        <f ca="1">LOOKUP(A2016,'QALS - Inspection Lot Record'!A:A,'QALS - Inspection Lot Record'!I:I)</f>
        <v>0.43702546296296296</v>
      </c>
      <c r="L2016" s="59">
        <f t="shared" ca="1" si="158"/>
        <v>45995</v>
      </c>
      <c r="M2016" s="30">
        <f t="shared" ca="1" si="159"/>
        <v>0.46300925925925929</v>
      </c>
      <c r="N2016" s="31"/>
      <c r="O2016" s="31">
        <v>85</v>
      </c>
      <c r="P2016" s="29">
        <v>80</v>
      </c>
      <c r="Q2016" s="29">
        <v>90</v>
      </c>
    </row>
    <row r="2017" spans="1:17" x14ac:dyDescent="0.35">
      <c r="A2017" s="26">
        <v>40000002752</v>
      </c>
      <c r="B2017" s="31">
        <v>1</v>
      </c>
      <c r="C2017" s="29" t="str">
        <f>LOOKUP(A2017,'QALS - Inspection Lot Record'!$A$2:$A$361,'QALS - Inspection Lot Record'!$O$2:$O$361)</f>
        <v>Aspirin Tablets (500 MG)</v>
      </c>
      <c r="D2017" s="31">
        <v>80</v>
      </c>
      <c r="E2017" s="29" t="s">
        <v>407</v>
      </c>
      <c r="F2017" s="29" t="str">
        <f>LOOKUP(A2017,'QALS - Inspection Lot Record'!A:A,'QALS - Inspection Lot Record'!G:G)</f>
        <v>TG509538</v>
      </c>
      <c r="G2017" s="59">
        <f ca="1">LOOKUP(A2017,'QALS - Inspection Lot Record'!A:A,'QALS - Inspection Lot Record'!E:E)</f>
        <v>45995</v>
      </c>
      <c r="H2017" s="34" t="str">
        <f t="shared" si="160"/>
        <v>A</v>
      </c>
      <c r="I2017" s="29" t="str">
        <f t="shared" si="156"/>
        <v>TG509538</v>
      </c>
      <c r="J2017" s="59">
        <f t="shared" ca="1" si="157"/>
        <v>45995</v>
      </c>
      <c r="K2017" s="30">
        <f ca="1">LOOKUP(A2017,'QALS - Inspection Lot Record'!A:A,'QALS - Inspection Lot Record'!I:I)</f>
        <v>0.43702546296296296</v>
      </c>
      <c r="L2017" s="59">
        <f t="shared" ca="1" si="158"/>
        <v>45995</v>
      </c>
      <c r="M2017" s="30">
        <f t="shared" ca="1" si="159"/>
        <v>0.47025462962962961</v>
      </c>
      <c r="N2017" s="31"/>
      <c r="O2017" s="31">
        <v>25.5</v>
      </c>
      <c r="P2017" s="29">
        <v>23</v>
      </c>
      <c r="Q2017" s="29">
        <v>28</v>
      </c>
    </row>
    <row r="2018" spans="1:17" x14ac:dyDescent="0.35">
      <c r="A2018" s="26">
        <v>40000002753</v>
      </c>
      <c r="B2018" s="27">
        <v>1</v>
      </c>
      <c r="C2018" s="29" t="str">
        <f>LOOKUP(A2018,'QALS - Inspection Lot Record'!$A$2:$A$361,'QALS - Inspection Lot Record'!$O$2:$O$361)</f>
        <v>Metformin Tablets (200 MG)</v>
      </c>
      <c r="D2018" s="27">
        <v>10</v>
      </c>
      <c r="E2018" s="26" t="s">
        <v>399</v>
      </c>
      <c r="F2018" s="29" t="str">
        <f>LOOKUP(A2018,'QALS - Inspection Lot Record'!A:A,'QALS - Inspection Lot Record'!G:G)</f>
        <v>ZK384180</v>
      </c>
      <c r="G2018" s="59">
        <f ca="1">LOOKUP(A2018,'QALS - Inspection Lot Record'!A:A,'QALS - Inspection Lot Record'!E:E)</f>
        <v>45996</v>
      </c>
      <c r="H2018" s="34" t="str">
        <f t="shared" si="160"/>
        <v>R</v>
      </c>
      <c r="I2018" s="29" t="str">
        <f t="shared" si="156"/>
        <v>ZK384180</v>
      </c>
      <c r="J2018" s="59">
        <f t="shared" ca="1" si="157"/>
        <v>45996</v>
      </c>
      <c r="K2018" s="30">
        <f ca="1">LOOKUP(A2018,'QALS - Inspection Lot Record'!A:A,'QALS - Inspection Lot Record'!I:I)</f>
        <v>0.82469907407407406</v>
      </c>
      <c r="L2018" s="59">
        <f t="shared" ca="1" si="158"/>
        <v>45996</v>
      </c>
      <c r="M2018" s="30">
        <f t="shared" ca="1" si="159"/>
        <v>0.8542939814814815</v>
      </c>
      <c r="N2018" s="31"/>
      <c r="O2018" s="31">
        <v>93.5</v>
      </c>
      <c r="P2018" s="29">
        <v>95</v>
      </c>
      <c r="Q2018" s="29">
        <v>103</v>
      </c>
    </row>
    <row r="2019" spans="1:17" x14ac:dyDescent="0.35">
      <c r="A2019" s="26">
        <v>40000002753</v>
      </c>
      <c r="B2019" s="27">
        <v>1</v>
      </c>
      <c r="C2019" s="29" t="str">
        <f>LOOKUP(A2019,'QALS - Inspection Lot Record'!$A$2:$A$361,'QALS - Inspection Lot Record'!$O$2:$O$361)</f>
        <v>Metformin Tablets (200 MG)</v>
      </c>
      <c r="D2019" s="31">
        <v>20</v>
      </c>
      <c r="E2019" s="29" t="s">
        <v>400</v>
      </c>
      <c r="F2019" s="29" t="str">
        <f>LOOKUP(A2019,'QALS - Inspection Lot Record'!A:A,'QALS - Inspection Lot Record'!G:G)</f>
        <v>ZK384180</v>
      </c>
      <c r="G2019" s="59">
        <f ca="1">LOOKUP(A2019,'QALS - Inspection Lot Record'!A:A,'QALS - Inspection Lot Record'!E:E)</f>
        <v>45996</v>
      </c>
      <c r="H2019" s="34" t="str">
        <f t="shared" si="160"/>
        <v>A</v>
      </c>
      <c r="I2019" s="29" t="str">
        <f t="shared" si="156"/>
        <v>ZK384180</v>
      </c>
      <c r="J2019" s="59">
        <f t="shared" ca="1" si="157"/>
        <v>45996</v>
      </c>
      <c r="K2019" s="30">
        <f ca="1">LOOKUP(A2019,'QALS - Inspection Lot Record'!A:A,'QALS - Inspection Lot Record'!I:I)</f>
        <v>0.82469907407407406</v>
      </c>
      <c r="L2019" s="59">
        <f t="shared" ca="1" si="158"/>
        <v>45996</v>
      </c>
      <c r="M2019" s="30">
        <f t="shared" ca="1" si="159"/>
        <v>0.85038194444444448</v>
      </c>
      <c r="N2019" s="31"/>
      <c r="O2019" s="31">
        <v>7.8</v>
      </c>
      <c r="P2019" s="29">
        <v>6</v>
      </c>
      <c r="Q2019" s="29">
        <v>9.5</v>
      </c>
    </row>
    <row r="2020" spans="1:17" x14ac:dyDescent="0.35">
      <c r="A2020" s="26">
        <v>40000002753</v>
      </c>
      <c r="B2020" s="31">
        <v>1</v>
      </c>
      <c r="C2020" s="29" t="str">
        <f>LOOKUP(A2020,'QALS - Inspection Lot Record'!$A$2:$A$361,'QALS - Inspection Lot Record'!$O$2:$O$361)</f>
        <v>Metformin Tablets (200 MG)</v>
      </c>
      <c r="D2020" s="31">
        <v>30</v>
      </c>
      <c r="E2020" s="29" t="s">
        <v>401</v>
      </c>
      <c r="F2020" s="29" t="str">
        <f>LOOKUP(A2020,'QALS - Inspection Lot Record'!A:A,'QALS - Inspection Lot Record'!G:G)</f>
        <v>ZK384180</v>
      </c>
      <c r="G2020" s="59">
        <f ca="1">LOOKUP(A2020,'QALS - Inspection Lot Record'!A:A,'QALS - Inspection Lot Record'!E:E)</f>
        <v>45996</v>
      </c>
      <c r="H2020" s="34" t="str">
        <f t="shared" si="160"/>
        <v>A</v>
      </c>
      <c r="I2020" s="29" t="str">
        <f t="shared" si="156"/>
        <v>ZK384180</v>
      </c>
      <c r="J2020" s="59">
        <f t="shared" ca="1" si="157"/>
        <v>45996</v>
      </c>
      <c r="K2020" s="30">
        <f ca="1">LOOKUP(A2020,'QALS - Inspection Lot Record'!A:A,'QALS - Inspection Lot Record'!I:I)</f>
        <v>0.82469907407407406</v>
      </c>
      <c r="L2020" s="59">
        <f t="shared" ca="1" si="158"/>
        <v>45996</v>
      </c>
      <c r="M2020" s="30">
        <f t="shared" ca="1" si="159"/>
        <v>0.85064814814814815</v>
      </c>
      <c r="N2020" s="11" t="s">
        <v>402</v>
      </c>
      <c r="O2020" s="31"/>
      <c r="P2020" s="29"/>
      <c r="Q2020" s="29"/>
    </row>
    <row r="2021" spans="1:17" x14ac:dyDescent="0.35">
      <c r="A2021" s="26">
        <v>40000002753</v>
      </c>
      <c r="B2021" s="31">
        <v>1</v>
      </c>
      <c r="C2021" s="29" t="str">
        <f>LOOKUP(A2021,'QALS - Inspection Lot Record'!$A$2:$A$361,'QALS - Inspection Lot Record'!$O$2:$O$361)</f>
        <v>Metformin Tablets (200 MG)</v>
      </c>
      <c r="D2021" s="31">
        <v>40</v>
      </c>
      <c r="E2021" s="29" t="s">
        <v>403</v>
      </c>
      <c r="F2021" s="29" t="str">
        <f>LOOKUP(A2021,'QALS - Inspection Lot Record'!A:A,'QALS - Inspection Lot Record'!G:G)</f>
        <v>ZK384180</v>
      </c>
      <c r="G2021" s="59">
        <f ca="1">LOOKUP(A2021,'QALS - Inspection Lot Record'!A:A,'QALS - Inspection Lot Record'!E:E)</f>
        <v>45996</v>
      </c>
      <c r="H2021" s="34" t="str">
        <f t="shared" si="160"/>
        <v>A</v>
      </c>
      <c r="I2021" s="29" t="str">
        <f t="shared" si="156"/>
        <v>ZK384180</v>
      </c>
      <c r="J2021" s="59">
        <f t="shared" ca="1" si="157"/>
        <v>45996</v>
      </c>
      <c r="K2021" s="30">
        <f ca="1">LOOKUP(A2021,'QALS - Inspection Lot Record'!A:A,'QALS - Inspection Lot Record'!I:I)</f>
        <v>0.82469907407407406</v>
      </c>
      <c r="L2021" s="59">
        <f t="shared" ca="1" si="158"/>
        <v>45996</v>
      </c>
      <c r="M2021" s="30">
        <f t="shared" ca="1" si="159"/>
        <v>0.85895833333333327</v>
      </c>
      <c r="N2021" s="31"/>
      <c r="O2021" s="31">
        <v>1.6</v>
      </c>
      <c r="P2021" s="29">
        <v>0</v>
      </c>
      <c r="Q2021" s="29">
        <v>2</v>
      </c>
    </row>
    <row r="2022" spans="1:17" x14ac:dyDescent="0.35">
      <c r="A2022" s="26">
        <v>40000002753</v>
      </c>
      <c r="B2022" s="31">
        <v>1</v>
      </c>
      <c r="C2022" s="29" t="str">
        <f>LOOKUP(A2022,'QALS - Inspection Lot Record'!$A$2:$A$361,'QALS - Inspection Lot Record'!$O$2:$O$361)</f>
        <v>Metformin Tablets (200 MG)</v>
      </c>
      <c r="D2022" s="31">
        <v>50</v>
      </c>
      <c r="E2022" s="29" t="s">
        <v>404</v>
      </c>
      <c r="F2022" s="29" t="str">
        <f>LOOKUP(A2022,'QALS - Inspection Lot Record'!A:A,'QALS - Inspection Lot Record'!G:G)</f>
        <v>ZK384180</v>
      </c>
      <c r="G2022" s="59">
        <f ca="1">LOOKUP(A2022,'QALS - Inspection Lot Record'!A:A,'QALS - Inspection Lot Record'!E:E)</f>
        <v>45996</v>
      </c>
      <c r="H2022" s="34" t="str">
        <f t="shared" si="160"/>
        <v>A</v>
      </c>
      <c r="I2022" s="29" t="str">
        <f t="shared" si="156"/>
        <v>ZK384180</v>
      </c>
      <c r="J2022" s="59">
        <f t="shared" ca="1" si="157"/>
        <v>45996</v>
      </c>
      <c r="K2022" s="30">
        <f ca="1">LOOKUP(A2022,'QALS - Inspection Lot Record'!A:A,'QALS - Inspection Lot Record'!I:I)</f>
        <v>0.82469907407407406</v>
      </c>
      <c r="L2022" s="59">
        <f t="shared" ca="1" si="158"/>
        <v>45996</v>
      </c>
      <c r="M2022" s="30">
        <f t="shared" ca="1" si="159"/>
        <v>0.85004629629629624</v>
      </c>
      <c r="N2022" s="31"/>
      <c r="O2022" s="31">
        <v>41.3</v>
      </c>
      <c r="P2022" s="29">
        <v>40</v>
      </c>
      <c r="Q2022" s="29">
        <v>60</v>
      </c>
    </row>
    <row r="2023" spans="1:17" x14ac:dyDescent="0.35">
      <c r="A2023" s="26">
        <v>40000002753</v>
      </c>
      <c r="B2023" s="31">
        <v>1</v>
      </c>
      <c r="C2023" s="29" t="str">
        <f>LOOKUP(A2023,'QALS - Inspection Lot Record'!$A$2:$A$361,'QALS - Inspection Lot Record'!$O$2:$O$361)</f>
        <v>Metformin Tablets (200 MG)</v>
      </c>
      <c r="D2023" s="31">
        <v>60</v>
      </c>
      <c r="E2023" s="29" t="s">
        <v>405</v>
      </c>
      <c r="F2023" s="29" t="str">
        <f>LOOKUP(A2023,'QALS - Inspection Lot Record'!A:A,'QALS - Inspection Lot Record'!G:G)</f>
        <v>ZK384180</v>
      </c>
      <c r="G2023" s="59">
        <f ca="1">LOOKUP(A2023,'QALS - Inspection Lot Record'!A:A,'QALS - Inspection Lot Record'!E:E)</f>
        <v>45996</v>
      </c>
      <c r="H2023" s="34" t="str">
        <f t="shared" si="160"/>
        <v>A</v>
      </c>
      <c r="I2023" s="29" t="str">
        <f t="shared" si="156"/>
        <v>ZK384180</v>
      </c>
      <c r="J2023" s="59">
        <f t="shared" ca="1" si="157"/>
        <v>45996</v>
      </c>
      <c r="K2023" s="30">
        <f ca="1">LOOKUP(A2023,'QALS - Inspection Lot Record'!A:A,'QALS - Inspection Lot Record'!I:I)</f>
        <v>0.82469907407407406</v>
      </c>
      <c r="L2023" s="59">
        <f t="shared" ca="1" si="158"/>
        <v>45996</v>
      </c>
      <c r="M2023" s="30">
        <f t="shared" ca="1" si="159"/>
        <v>0.84695601851851854</v>
      </c>
      <c r="N2023" s="31"/>
      <c r="O2023" s="31">
        <v>71.2</v>
      </c>
      <c r="P2023" s="29">
        <v>70</v>
      </c>
      <c r="Q2023" s="29">
        <v>85</v>
      </c>
    </row>
    <row r="2024" spans="1:17" x14ac:dyDescent="0.35">
      <c r="A2024" s="26">
        <v>40000002753</v>
      </c>
      <c r="B2024" s="31">
        <v>1</v>
      </c>
      <c r="C2024" s="29" t="str">
        <f>LOOKUP(A2024,'QALS - Inspection Lot Record'!$A$2:$A$361,'QALS - Inspection Lot Record'!$O$2:$O$361)</f>
        <v>Metformin Tablets (200 MG)</v>
      </c>
      <c r="D2024" s="31">
        <v>70</v>
      </c>
      <c r="E2024" s="29" t="s">
        <v>406</v>
      </c>
      <c r="F2024" s="29" t="str">
        <f>LOOKUP(A2024,'QALS - Inspection Lot Record'!A:A,'QALS - Inspection Lot Record'!G:G)</f>
        <v>ZK384180</v>
      </c>
      <c r="G2024" s="59">
        <f ca="1">LOOKUP(A2024,'QALS - Inspection Lot Record'!A:A,'QALS - Inspection Lot Record'!E:E)</f>
        <v>45996</v>
      </c>
      <c r="H2024" s="34" t="str">
        <f t="shared" si="160"/>
        <v>A</v>
      </c>
      <c r="I2024" s="29" t="str">
        <f t="shared" si="156"/>
        <v>ZK384180</v>
      </c>
      <c r="J2024" s="59">
        <f t="shared" ca="1" si="157"/>
        <v>45996</v>
      </c>
      <c r="K2024" s="30">
        <f ca="1">LOOKUP(A2024,'QALS - Inspection Lot Record'!A:A,'QALS - Inspection Lot Record'!I:I)</f>
        <v>0.82469907407407406</v>
      </c>
      <c r="L2024" s="59">
        <f t="shared" ca="1" si="158"/>
        <v>45996</v>
      </c>
      <c r="M2024" s="30">
        <f t="shared" ca="1" si="159"/>
        <v>0.84670138888888891</v>
      </c>
      <c r="N2024" s="31"/>
      <c r="O2024" s="31">
        <v>81.099999999999994</v>
      </c>
      <c r="P2024" s="29">
        <v>80</v>
      </c>
      <c r="Q2024" s="29">
        <v>90</v>
      </c>
    </row>
    <row r="2025" spans="1:17" x14ac:dyDescent="0.35">
      <c r="A2025" s="26">
        <v>40000002753</v>
      </c>
      <c r="B2025" s="31">
        <v>1</v>
      </c>
      <c r="C2025" s="29" t="str">
        <f>LOOKUP(A2025,'QALS - Inspection Lot Record'!$A$2:$A$361,'QALS - Inspection Lot Record'!$O$2:$O$361)</f>
        <v>Metformin Tablets (200 MG)</v>
      </c>
      <c r="D2025" s="31">
        <v>80</v>
      </c>
      <c r="E2025" s="29" t="s">
        <v>407</v>
      </c>
      <c r="F2025" s="29" t="str">
        <f>LOOKUP(A2025,'QALS - Inspection Lot Record'!A:A,'QALS - Inspection Lot Record'!G:G)</f>
        <v>ZK384180</v>
      </c>
      <c r="G2025" s="59">
        <f ca="1">LOOKUP(A2025,'QALS - Inspection Lot Record'!A:A,'QALS - Inspection Lot Record'!E:E)</f>
        <v>45996</v>
      </c>
      <c r="H2025" s="34" t="str">
        <f t="shared" si="160"/>
        <v>A</v>
      </c>
      <c r="I2025" s="29" t="str">
        <f t="shared" si="156"/>
        <v>ZK384180</v>
      </c>
      <c r="J2025" s="59">
        <f t="shared" ca="1" si="157"/>
        <v>45996</v>
      </c>
      <c r="K2025" s="30">
        <f ca="1">LOOKUP(A2025,'QALS - Inspection Lot Record'!A:A,'QALS - Inspection Lot Record'!I:I)</f>
        <v>0.82469907407407406</v>
      </c>
      <c r="L2025" s="59">
        <f t="shared" ca="1" si="158"/>
        <v>45996</v>
      </c>
      <c r="M2025" s="30">
        <f t="shared" ca="1" si="159"/>
        <v>0.84734953703703697</v>
      </c>
      <c r="N2025" s="31"/>
      <c r="O2025" s="31">
        <v>25.5</v>
      </c>
      <c r="P2025" s="29">
        <v>23</v>
      </c>
      <c r="Q2025" s="29">
        <v>28</v>
      </c>
    </row>
    <row r="2026" spans="1:17" x14ac:dyDescent="0.35">
      <c r="A2026" s="26">
        <v>40000002754</v>
      </c>
      <c r="B2026" s="27">
        <v>1</v>
      </c>
      <c r="C2026" s="29" t="str">
        <f>LOOKUP(A2026,'QALS - Inspection Lot Record'!$A$2:$A$361,'QALS - Inspection Lot Record'!$O$2:$O$361)</f>
        <v>Metformin Tablets (100 MG)</v>
      </c>
      <c r="D2026" s="27">
        <v>10</v>
      </c>
      <c r="E2026" s="26" t="s">
        <v>399</v>
      </c>
      <c r="F2026" s="29" t="str">
        <f>LOOKUP(A2026,'QALS - Inspection Lot Record'!A:A,'QALS - Inspection Lot Record'!G:G)</f>
        <v>YA284176</v>
      </c>
      <c r="G2026" s="59">
        <f ca="1">LOOKUP(A2026,'QALS - Inspection Lot Record'!A:A,'QALS - Inspection Lot Record'!E:E)</f>
        <v>45996</v>
      </c>
      <c r="H2026" s="34" t="str">
        <f t="shared" si="160"/>
        <v>A</v>
      </c>
      <c r="I2026" s="29" t="str">
        <f t="shared" si="156"/>
        <v>YA284176</v>
      </c>
      <c r="J2026" s="59">
        <f t="shared" ca="1" si="157"/>
        <v>45996</v>
      </c>
      <c r="K2026" s="30">
        <f ca="1">LOOKUP(A2026,'QALS - Inspection Lot Record'!A:A,'QALS - Inspection Lot Record'!I:I)</f>
        <v>0.15765046296296295</v>
      </c>
      <c r="L2026" s="59">
        <f t="shared" ca="1" si="158"/>
        <v>45996</v>
      </c>
      <c r="M2026" s="30">
        <f t="shared" ca="1" si="159"/>
        <v>0.18983796296296296</v>
      </c>
      <c r="N2026" s="31"/>
      <c r="O2026" s="31">
        <v>98.5</v>
      </c>
      <c r="P2026" s="29">
        <v>95</v>
      </c>
      <c r="Q2026" s="29">
        <v>102</v>
      </c>
    </row>
    <row r="2027" spans="1:17" x14ac:dyDescent="0.35">
      <c r="A2027" s="26">
        <v>40000002754</v>
      </c>
      <c r="B2027" s="27">
        <v>1</v>
      </c>
      <c r="C2027" s="29" t="str">
        <f>LOOKUP(A2027,'QALS - Inspection Lot Record'!$A$2:$A$361,'QALS - Inspection Lot Record'!$O$2:$O$361)</f>
        <v>Metformin Tablets (100 MG)</v>
      </c>
      <c r="D2027" s="31">
        <v>20</v>
      </c>
      <c r="E2027" s="29" t="s">
        <v>400</v>
      </c>
      <c r="F2027" s="29" t="str">
        <f>LOOKUP(A2027,'QALS - Inspection Lot Record'!A:A,'QALS - Inspection Lot Record'!G:G)</f>
        <v>YA284176</v>
      </c>
      <c r="G2027" s="59">
        <f ca="1">LOOKUP(A2027,'QALS - Inspection Lot Record'!A:A,'QALS - Inspection Lot Record'!E:E)</f>
        <v>45996</v>
      </c>
      <c r="H2027" s="34" t="str">
        <f t="shared" si="160"/>
        <v>A</v>
      </c>
      <c r="I2027" s="29" t="str">
        <f t="shared" si="156"/>
        <v>YA284176</v>
      </c>
      <c r="J2027" s="59">
        <f t="shared" ca="1" si="157"/>
        <v>45996</v>
      </c>
      <c r="K2027" s="30">
        <f ca="1">LOOKUP(A2027,'QALS - Inspection Lot Record'!A:A,'QALS - Inspection Lot Record'!I:I)</f>
        <v>0.15765046296296295</v>
      </c>
      <c r="L2027" s="59">
        <f t="shared" ca="1" si="158"/>
        <v>45996</v>
      </c>
      <c r="M2027" s="30">
        <f t="shared" ca="1" si="159"/>
        <v>0.18961805555555555</v>
      </c>
      <c r="N2027" s="31"/>
      <c r="O2027" s="31">
        <v>7.3</v>
      </c>
      <c r="P2027" s="29">
        <v>3.5</v>
      </c>
      <c r="Q2027" s="29">
        <v>11</v>
      </c>
    </row>
    <row r="2028" spans="1:17" x14ac:dyDescent="0.35">
      <c r="A2028" s="26">
        <v>40000002754</v>
      </c>
      <c r="B2028" s="31">
        <v>1</v>
      </c>
      <c r="C2028" s="29" t="str">
        <f>LOOKUP(A2028,'QALS - Inspection Lot Record'!$A$2:$A$361,'QALS - Inspection Lot Record'!$O$2:$O$361)</f>
        <v>Metformin Tablets (100 MG)</v>
      </c>
      <c r="D2028" s="31">
        <v>30</v>
      </c>
      <c r="E2028" s="29" t="s">
        <v>401</v>
      </c>
      <c r="F2028" s="29" t="str">
        <f>LOOKUP(A2028,'QALS - Inspection Lot Record'!A:A,'QALS - Inspection Lot Record'!G:G)</f>
        <v>YA284176</v>
      </c>
      <c r="G2028" s="59">
        <f ca="1">LOOKUP(A2028,'QALS - Inspection Lot Record'!A:A,'QALS - Inspection Lot Record'!E:E)</f>
        <v>45996</v>
      </c>
      <c r="H2028" s="34" t="str">
        <f t="shared" si="160"/>
        <v>A</v>
      </c>
      <c r="I2028" s="29" t="str">
        <f t="shared" si="156"/>
        <v>YA284176</v>
      </c>
      <c r="J2028" s="59">
        <f t="shared" ca="1" si="157"/>
        <v>45996</v>
      </c>
      <c r="K2028" s="30">
        <f ca="1">LOOKUP(A2028,'QALS - Inspection Lot Record'!A:A,'QALS - Inspection Lot Record'!I:I)</f>
        <v>0.15765046296296295</v>
      </c>
      <c r="L2028" s="59">
        <f t="shared" ca="1" si="158"/>
        <v>45996</v>
      </c>
      <c r="M2028" s="30">
        <f t="shared" ca="1" si="159"/>
        <v>0.1890162037037037</v>
      </c>
      <c r="N2028" s="11" t="s">
        <v>402</v>
      </c>
      <c r="O2028" s="31"/>
      <c r="P2028" s="29"/>
      <c r="Q2028" s="29"/>
    </row>
    <row r="2029" spans="1:17" x14ac:dyDescent="0.35">
      <c r="A2029" s="26">
        <v>40000002754</v>
      </c>
      <c r="B2029" s="31">
        <v>1</v>
      </c>
      <c r="C2029" s="29" t="str">
        <f>LOOKUP(A2029,'QALS - Inspection Lot Record'!$A$2:$A$361,'QALS - Inspection Lot Record'!$O$2:$O$361)</f>
        <v>Metformin Tablets (100 MG)</v>
      </c>
      <c r="D2029" s="31">
        <v>40</v>
      </c>
      <c r="E2029" s="29" t="s">
        <v>403</v>
      </c>
      <c r="F2029" s="29" t="str">
        <f>LOOKUP(A2029,'QALS - Inspection Lot Record'!A:A,'QALS - Inspection Lot Record'!G:G)</f>
        <v>YA284176</v>
      </c>
      <c r="G2029" s="59">
        <f ca="1">LOOKUP(A2029,'QALS - Inspection Lot Record'!A:A,'QALS - Inspection Lot Record'!E:E)</f>
        <v>45996</v>
      </c>
      <c r="H2029" s="34" t="str">
        <f t="shared" si="160"/>
        <v>A</v>
      </c>
      <c r="I2029" s="29" t="str">
        <f t="shared" si="156"/>
        <v>YA284176</v>
      </c>
      <c r="J2029" s="59">
        <f t="shared" ca="1" si="157"/>
        <v>45996</v>
      </c>
      <c r="K2029" s="30">
        <f ca="1">LOOKUP(A2029,'QALS - Inspection Lot Record'!A:A,'QALS - Inspection Lot Record'!I:I)</f>
        <v>0.15765046296296295</v>
      </c>
      <c r="L2029" s="59">
        <f t="shared" ca="1" si="158"/>
        <v>45996</v>
      </c>
      <c r="M2029" s="30">
        <f t="shared" ca="1" si="159"/>
        <v>0.17893518518518517</v>
      </c>
      <c r="N2029" s="31"/>
      <c r="O2029" s="31">
        <v>0.5</v>
      </c>
      <c r="P2029" s="29">
        <v>0</v>
      </c>
      <c r="Q2029" s="29">
        <v>1</v>
      </c>
    </row>
    <row r="2030" spans="1:17" x14ac:dyDescent="0.35">
      <c r="A2030" s="26">
        <v>40000002754</v>
      </c>
      <c r="B2030" s="31">
        <v>1</v>
      </c>
      <c r="C2030" s="29" t="str">
        <f>LOOKUP(A2030,'QALS - Inspection Lot Record'!$A$2:$A$361,'QALS - Inspection Lot Record'!$O$2:$O$361)</f>
        <v>Metformin Tablets (100 MG)</v>
      </c>
      <c r="D2030" s="31">
        <v>50</v>
      </c>
      <c r="E2030" s="29" t="s">
        <v>404</v>
      </c>
      <c r="F2030" s="29" t="str">
        <f>LOOKUP(A2030,'QALS - Inspection Lot Record'!A:A,'QALS - Inspection Lot Record'!G:G)</f>
        <v>YA284176</v>
      </c>
      <c r="G2030" s="59">
        <f ca="1">LOOKUP(A2030,'QALS - Inspection Lot Record'!A:A,'QALS - Inspection Lot Record'!E:E)</f>
        <v>45996</v>
      </c>
      <c r="H2030" s="34" t="str">
        <f t="shared" si="160"/>
        <v>A</v>
      </c>
      <c r="I2030" s="29" t="str">
        <f t="shared" si="156"/>
        <v>YA284176</v>
      </c>
      <c r="J2030" s="59">
        <f t="shared" ca="1" si="157"/>
        <v>45996</v>
      </c>
      <c r="K2030" s="30">
        <f ca="1">LOOKUP(A2030,'QALS - Inspection Lot Record'!A:A,'QALS - Inspection Lot Record'!I:I)</f>
        <v>0.15765046296296295</v>
      </c>
      <c r="L2030" s="59">
        <f t="shared" ca="1" si="158"/>
        <v>45996</v>
      </c>
      <c r="M2030" s="30">
        <f t="shared" ca="1" si="159"/>
        <v>0.18938657407407405</v>
      </c>
      <c r="N2030" s="31"/>
      <c r="O2030" s="31">
        <v>41.1</v>
      </c>
      <c r="P2030" s="29">
        <v>40</v>
      </c>
      <c r="Q2030" s="29">
        <v>60</v>
      </c>
    </row>
    <row r="2031" spans="1:17" x14ac:dyDescent="0.35">
      <c r="A2031" s="26">
        <v>40000002754</v>
      </c>
      <c r="B2031" s="31">
        <v>1</v>
      </c>
      <c r="C2031" s="29" t="str">
        <f>LOOKUP(A2031,'QALS - Inspection Lot Record'!$A$2:$A$361,'QALS - Inspection Lot Record'!$O$2:$O$361)</f>
        <v>Metformin Tablets (100 MG)</v>
      </c>
      <c r="D2031" s="31">
        <v>60</v>
      </c>
      <c r="E2031" s="29" t="s">
        <v>405</v>
      </c>
      <c r="F2031" s="29" t="str">
        <f>LOOKUP(A2031,'QALS - Inspection Lot Record'!A:A,'QALS - Inspection Lot Record'!G:G)</f>
        <v>YA284176</v>
      </c>
      <c r="G2031" s="59">
        <f ca="1">LOOKUP(A2031,'QALS - Inspection Lot Record'!A:A,'QALS - Inspection Lot Record'!E:E)</f>
        <v>45996</v>
      </c>
      <c r="H2031" s="34" t="str">
        <f t="shared" si="160"/>
        <v>A</v>
      </c>
      <c r="I2031" s="29" t="str">
        <f t="shared" si="156"/>
        <v>YA284176</v>
      </c>
      <c r="J2031" s="59">
        <f t="shared" ca="1" si="157"/>
        <v>45996</v>
      </c>
      <c r="K2031" s="30">
        <f ca="1">LOOKUP(A2031,'QALS - Inspection Lot Record'!A:A,'QALS - Inspection Lot Record'!I:I)</f>
        <v>0.15765046296296295</v>
      </c>
      <c r="L2031" s="59">
        <f t="shared" ca="1" si="158"/>
        <v>45996</v>
      </c>
      <c r="M2031" s="30">
        <f t="shared" ca="1" si="159"/>
        <v>0.18584490740740739</v>
      </c>
      <c r="N2031" s="31"/>
      <c r="O2031" s="31">
        <v>71.599999999999994</v>
      </c>
      <c r="P2031" s="29">
        <v>70</v>
      </c>
      <c r="Q2031" s="29">
        <v>85</v>
      </c>
    </row>
    <row r="2032" spans="1:17" x14ac:dyDescent="0.35">
      <c r="A2032" s="26">
        <v>40000002754</v>
      </c>
      <c r="B2032" s="31">
        <v>1</v>
      </c>
      <c r="C2032" s="29" t="str">
        <f>LOOKUP(A2032,'QALS - Inspection Lot Record'!$A$2:$A$361,'QALS - Inspection Lot Record'!$O$2:$O$361)</f>
        <v>Metformin Tablets (100 MG)</v>
      </c>
      <c r="D2032" s="31">
        <v>70</v>
      </c>
      <c r="E2032" s="29" t="s">
        <v>406</v>
      </c>
      <c r="F2032" s="29" t="str">
        <f>LOOKUP(A2032,'QALS - Inspection Lot Record'!A:A,'QALS - Inspection Lot Record'!G:G)</f>
        <v>YA284176</v>
      </c>
      <c r="G2032" s="59">
        <f ca="1">LOOKUP(A2032,'QALS - Inspection Lot Record'!A:A,'QALS - Inspection Lot Record'!E:E)</f>
        <v>45996</v>
      </c>
      <c r="H2032" s="34" t="str">
        <f t="shared" si="160"/>
        <v>A</v>
      </c>
      <c r="I2032" s="29" t="str">
        <f t="shared" si="156"/>
        <v>YA284176</v>
      </c>
      <c r="J2032" s="59">
        <f t="shared" ca="1" si="157"/>
        <v>45996</v>
      </c>
      <c r="K2032" s="30">
        <f ca="1">LOOKUP(A2032,'QALS - Inspection Lot Record'!A:A,'QALS - Inspection Lot Record'!I:I)</f>
        <v>0.15765046296296295</v>
      </c>
      <c r="L2032" s="59">
        <f t="shared" ca="1" si="158"/>
        <v>45996</v>
      </c>
      <c r="M2032" s="30">
        <f t="shared" ca="1" si="159"/>
        <v>0.18908564814814813</v>
      </c>
      <c r="N2032" s="31"/>
      <c r="O2032" s="31">
        <v>81.099999999999994</v>
      </c>
      <c r="P2032" s="29">
        <v>80</v>
      </c>
      <c r="Q2032" s="29">
        <v>90</v>
      </c>
    </row>
    <row r="2033" spans="1:17" x14ac:dyDescent="0.35">
      <c r="A2033" s="26">
        <v>40000002754</v>
      </c>
      <c r="B2033" s="31">
        <v>1</v>
      </c>
      <c r="C2033" s="29" t="str">
        <f>LOOKUP(A2033,'QALS - Inspection Lot Record'!$A$2:$A$361,'QALS - Inspection Lot Record'!$O$2:$O$361)</f>
        <v>Metformin Tablets (100 MG)</v>
      </c>
      <c r="D2033" s="31">
        <v>80</v>
      </c>
      <c r="E2033" s="29" t="s">
        <v>407</v>
      </c>
      <c r="F2033" s="29" t="str">
        <f>LOOKUP(A2033,'QALS - Inspection Lot Record'!A:A,'QALS - Inspection Lot Record'!G:G)</f>
        <v>YA284176</v>
      </c>
      <c r="G2033" s="59">
        <f ca="1">LOOKUP(A2033,'QALS - Inspection Lot Record'!A:A,'QALS - Inspection Lot Record'!E:E)</f>
        <v>45996</v>
      </c>
      <c r="H2033" s="34" t="str">
        <f t="shared" si="160"/>
        <v>A</v>
      </c>
      <c r="I2033" s="29" t="str">
        <f t="shared" si="156"/>
        <v>YA284176</v>
      </c>
      <c r="J2033" s="59">
        <f t="shared" ca="1" si="157"/>
        <v>45996</v>
      </c>
      <c r="K2033" s="30">
        <f ca="1">LOOKUP(A2033,'QALS - Inspection Lot Record'!A:A,'QALS - Inspection Lot Record'!I:I)</f>
        <v>0.15765046296296295</v>
      </c>
      <c r="L2033" s="59">
        <f t="shared" ca="1" si="158"/>
        <v>45996</v>
      </c>
      <c r="M2033" s="30">
        <f t="shared" ca="1" si="159"/>
        <v>0.18811342592592592</v>
      </c>
      <c r="N2033" s="31"/>
      <c r="O2033" s="31">
        <v>24</v>
      </c>
      <c r="P2033" s="29">
        <v>23</v>
      </c>
      <c r="Q2033" s="29">
        <v>25</v>
      </c>
    </row>
    <row r="2034" spans="1:17" x14ac:dyDescent="0.35">
      <c r="A2034" s="26">
        <v>40000002755</v>
      </c>
      <c r="B2034" s="27">
        <v>1</v>
      </c>
      <c r="C2034" s="29" t="str">
        <f>LOOKUP(A2034,'QALS - Inspection Lot Record'!$A$2:$A$361,'QALS - Inspection Lot Record'!$O$2:$O$361)</f>
        <v>Metformin Tablets (500 MG)</v>
      </c>
      <c r="D2034" s="27">
        <v>10</v>
      </c>
      <c r="E2034" s="26" t="s">
        <v>399</v>
      </c>
      <c r="F2034" s="29" t="str">
        <f>LOOKUP(A2034,'QALS - Inspection Lot Record'!A:A,'QALS - Inspection Lot Record'!G:G)</f>
        <v>TP397880</v>
      </c>
      <c r="G2034" s="59">
        <f ca="1">LOOKUP(A2034,'QALS - Inspection Lot Record'!A:A,'QALS - Inspection Lot Record'!E:E)</f>
        <v>45997</v>
      </c>
      <c r="H2034" s="34" t="str">
        <f t="shared" si="160"/>
        <v>A</v>
      </c>
      <c r="I2034" s="29" t="str">
        <f t="shared" si="156"/>
        <v>TP397880</v>
      </c>
      <c r="J2034" s="59">
        <f t="shared" ca="1" si="157"/>
        <v>45997</v>
      </c>
      <c r="K2034" s="30">
        <f ca="1">LOOKUP(A2034,'QALS - Inspection Lot Record'!A:A,'QALS - Inspection Lot Record'!I:I)</f>
        <v>0.88421296296296292</v>
      </c>
      <c r="L2034" s="59">
        <f t="shared" ca="1" si="158"/>
        <v>45997</v>
      </c>
      <c r="M2034" s="30">
        <f t="shared" ca="1" si="159"/>
        <v>0.91797453703703702</v>
      </c>
      <c r="N2034" s="31"/>
      <c r="O2034" s="31">
        <v>100</v>
      </c>
      <c r="P2034" s="29">
        <v>95</v>
      </c>
      <c r="Q2034" s="29">
        <v>105</v>
      </c>
    </row>
    <row r="2035" spans="1:17" x14ac:dyDescent="0.35">
      <c r="A2035" s="26">
        <v>40000002755</v>
      </c>
      <c r="B2035" s="27">
        <v>1</v>
      </c>
      <c r="C2035" s="29" t="str">
        <f>LOOKUP(A2035,'QALS - Inspection Lot Record'!$A$2:$A$361,'QALS - Inspection Lot Record'!$O$2:$O$361)</f>
        <v>Metformin Tablets (500 MG)</v>
      </c>
      <c r="D2035" s="31">
        <v>20</v>
      </c>
      <c r="E2035" s="29" t="s">
        <v>400</v>
      </c>
      <c r="F2035" s="29" t="str">
        <f>LOOKUP(A2035,'QALS - Inspection Lot Record'!A:A,'QALS - Inspection Lot Record'!G:G)</f>
        <v>TP397880</v>
      </c>
      <c r="G2035" s="59">
        <f ca="1">LOOKUP(A2035,'QALS - Inspection Lot Record'!A:A,'QALS - Inspection Lot Record'!E:E)</f>
        <v>45997</v>
      </c>
      <c r="H2035" s="34" t="str">
        <f t="shared" si="160"/>
        <v>A</v>
      </c>
      <c r="I2035" s="29" t="str">
        <f t="shared" si="156"/>
        <v>TP397880</v>
      </c>
      <c r="J2035" s="59">
        <f t="shared" ca="1" si="157"/>
        <v>45997</v>
      </c>
      <c r="K2035" s="30">
        <f ca="1">LOOKUP(A2035,'QALS - Inspection Lot Record'!A:A,'QALS - Inspection Lot Record'!I:I)</f>
        <v>0.88421296296296292</v>
      </c>
      <c r="L2035" s="59">
        <f t="shared" ca="1" si="158"/>
        <v>45997</v>
      </c>
      <c r="M2035" s="30">
        <f t="shared" ca="1" si="159"/>
        <v>0.90489583333333334</v>
      </c>
      <c r="N2035" s="31"/>
      <c r="O2035" s="31">
        <v>7.25</v>
      </c>
      <c r="P2035" s="29">
        <v>3.5</v>
      </c>
      <c r="Q2035" s="29">
        <v>11</v>
      </c>
    </row>
    <row r="2036" spans="1:17" x14ac:dyDescent="0.35">
      <c r="A2036" s="26">
        <v>40000002755</v>
      </c>
      <c r="B2036" s="31">
        <v>1</v>
      </c>
      <c r="C2036" s="29" t="str">
        <f>LOOKUP(A2036,'QALS - Inspection Lot Record'!$A$2:$A$361,'QALS - Inspection Lot Record'!$O$2:$O$361)</f>
        <v>Metformin Tablets (500 MG)</v>
      </c>
      <c r="D2036" s="31">
        <v>30</v>
      </c>
      <c r="E2036" s="29" t="s">
        <v>401</v>
      </c>
      <c r="F2036" s="29" t="str">
        <f>LOOKUP(A2036,'QALS - Inspection Lot Record'!A:A,'QALS - Inspection Lot Record'!G:G)</f>
        <v>TP397880</v>
      </c>
      <c r="G2036" s="59">
        <f ca="1">LOOKUP(A2036,'QALS - Inspection Lot Record'!A:A,'QALS - Inspection Lot Record'!E:E)</f>
        <v>45997</v>
      </c>
      <c r="H2036" s="34" t="str">
        <f t="shared" si="160"/>
        <v>A</v>
      </c>
      <c r="I2036" s="29" t="str">
        <f t="shared" si="156"/>
        <v>TP397880</v>
      </c>
      <c r="J2036" s="59">
        <f t="shared" ca="1" si="157"/>
        <v>45997</v>
      </c>
      <c r="K2036" s="30">
        <f ca="1">LOOKUP(A2036,'QALS - Inspection Lot Record'!A:A,'QALS - Inspection Lot Record'!I:I)</f>
        <v>0.88421296296296292</v>
      </c>
      <c r="L2036" s="59">
        <f t="shared" ca="1" si="158"/>
        <v>45997</v>
      </c>
      <c r="M2036" s="30">
        <f t="shared" ca="1" si="159"/>
        <v>0.90687499999999999</v>
      </c>
      <c r="N2036" s="11" t="s">
        <v>402</v>
      </c>
      <c r="O2036" s="31"/>
      <c r="P2036" s="29"/>
      <c r="Q2036" s="29"/>
    </row>
    <row r="2037" spans="1:17" x14ac:dyDescent="0.35">
      <c r="A2037" s="26">
        <v>40000002755</v>
      </c>
      <c r="B2037" s="31">
        <v>1</v>
      </c>
      <c r="C2037" s="29" t="str">
        <f>LOOKUP(A2037,'QALS - Inspection Lot Record'!$A$2:$A$361,'QALS - Inspection Lot Record'!$O$2:$O$361)</f>
        <v>Metformin Tablets (500 MG)</v>
      </c>
      <c r="D2037" s="31">
        <v>40</v>
      </c>
      <c r="E2037" s="29" t="s">
        <v>403</v>
      </c>
      <c r="F2037" s="29" t="str">
        <f>LOOKUP(A2037,'QALS - Inspection Lot Record'!A:A,'QALS - Inspection Lot Record'!G:G)</f>
        <v>TP397880</v>
      </c>
      <c r="G2037" s="59">
        <f ca="1">LOOKUP(A2037,'QALS - Inspection Lot Record'!A:A,'QALS - Inspection Lot Record'!E:E)</f>
        <v>45997</v>
      </c>
      <c r="H2037" s="34" t="str">
        <f t="shared" si="160"/>
        <v>A</v>
      </c>
      <c r="I2037" s="29" t="str">
        <f t="shared" si="156"/>
        <v>TP397880</v>
      </c>
      <c r="J2037" s="59">
        <f t="shared" ca="1" si="157"/>
        <v>45997</v>
      </c>
      <c r="K2037" s="30">
        <f ca="1">LOOKUP(A2037,'QALS - Inspection Lot Record'!A:A,'QALS - Inspection Lot Record'!I:I)</f>
        <v>0.88421296296296292</v>
      </c>
      <c r="L2037" s="59">
        <f t="shared" ca="1" si="158"/>
        <v>45997</v>
      </c>
      <c r="M2037" s="30">
        <f t="shared" ca="1" si="159"/>
        <v>0.91922453703703699</v>
      </c>
      <c r="N2037" s="31"/>
      <c r="O2037" s="31">
        <v>0</v>
      </c>
      <c r="P2037" s="29">
        <v>0</v>
      </c>
      <c r="Q2037" s="29">
        <v>2</v>
      </c>
    </row>
    <row r="2038" spans="1:17" x14ac:dyDescent="0.35">
      <c r="A2038" s="26">
        <v>40000002755</v>
      </c>
      <c r="B2038" s="31">
        <v>1</v>
      </c>
      <c r="C2038" s="29" t="str">
        <f>LOOKUP(A2038,'QALS - Inspection Lot Record'!$A$2:$A$361,'QALS - Inspection Lot Record'!$O$2:$O$361)</f>
        <v>Metformin Tablets (500 MG)</v>
      </c>
      <c r="D2038" s="31">
        <v>50</v>
      </c>
      <c r="E2038" s="29" t="s">
        <v>404</v>
      </c>
      <c r="F2038" s="29" t="str">
        <f>LOOKUP(A2038,'QALS - Inspection Lot Record'!A:A,'QALS - Inspection Lot Record'!G:G)</f>
        <v>TP397880</v>
      </c>
      <c r="G2038" s="59">
        <f ca="1">LOOKUP(A2038,'QALS - Inspection Lot Record'!A:A,'QALS - Inspection Lot Record'!E:E)</f>
        <v>45997</v>
      </c>
      <c r="H2038" s="34" t="str">
        <f t="shared" si="160"/>
        <v>A</v>
      </c>
      <c r="I2038" s="29" t="str">
        <f t="shared" si="156"/>
        <v>TP397880</v>
      </c>
      <c r="J2038" s="59">
        <f t="shared" ca="1" si="157"/>
        <v>45997</v>
      </c>
      <c r="K2038" s="30">
        <f ca="1">LOOKUP(A2038,'QALS - Inspection Lot Record'!A:A,'QALS - Inspection Lot Record'!I:I)</f>
        <v>0.88421296296296292</v>
      </c>
      <c r="L2038" s="59">
        <f t="shared" ca="1" si="158"/>
        <v>45997</v>
      </c>
      <c r="M2038" s="30">
        <f t="shared" ca="1" si="159"/>
        <v>0.90575231481481477</v>
      </c>
      <c r="N2038" s="31"/>
      <c r="O2038" s="31">
        <v>50</v>
      </c>
      <c r="P2038" s="29">
        <v>40</v>
      </c>
      <c r="Q2038" s="29">
        <v>60</v>
      </c>
    </row>
    <row r="2039" spans="1:17" x14ac:dyDescent="0.35">
      <c r="A2039" s="26">
        <v>40000002755</v>
      </c>
      <c r="B2039" s="31">
        <v>1</v>
      </c>
      <c r="C2039" s="29" t="str">
        <f>LOOKUP(A2039,'QALS - Inspection Lot Record'!$A$2:$A$361,'QALS - Inspection Lot Record'!$O$2:$O$361)</f>
        <v>Metformin Tablets (500 MG)</v>
      </c>
      <c r="D2039" s="31">
        <v>60</v>
      </c>
      <c r="E2039" s="29" t="s">
        <v>405</v>
      </c>
      <c r="F2039" s="29" t="str">
        <f>LOOKUP(A2039,'QALS - Inspection Lot Record'!A:A,'QALS - Inspection Lot Record'!G:G)</f>
        <v>TP397880</v>
      </c>
      <c r="G2039" s="59">
        <f ca="1">LOOKUP(A2039,'QALS - Inspection Lot Record'!A:A,'QALS - Inspection Lot Record'!E:E)</f>
        <v>45997</v>
      </c>
      <c r="H2039" s="34" t="str">
        <f t="shared" si="160"/>
        <v>A</v>
      </c>
      <c r="I2039" s="29" t="str">
        <f t="shared" si="156"/>
        <v>TP397880</v>
      </c>
      <c r="J2039" s="59">
        <f t="shared" ca="1" si="157"/>
        <v>45997</v>
      </c>
      <c r="K2039" s="30">
        <f ca="1">LOOKUP(A2039,'QALS - Inspection Lot Record'!A:A,'QALS - Inspection Lot Record'!I:I)</f>
        <v>0.88421296296296292</v>
      </c>
      <c r="L2039" s="59">
        <f t="shared" ca="1" si="158"/>
        <v>45997</v>
      </c>
      <c r="M2039" s="30">
        <f t="shared" ca="1" si="159"/>
        <v>0.90189814814814806</v>
      </c>
      <c r="N2039" s="31"/>
      <c r="O2039" s="31">
        <v>77.5</v>
      </c>
      <c r="P2039" s="29">
        <v>70</v>
      </c>
      <c r="Q2039" s="29">
        <v>85</v>
      </c>
    </row>
    <row r="2040" spans="1:17" x14ac:dyDescent="0.35">
      <c r="A2040" s="26">
        <v>40000002755</v>
      </c>
      <c r="B2040" s="31">
        <v>1</v>
      </c>
      <c r="C2040" s="29" t="str">
        <f>LOOKUP(A2040,'QALS - Inspection Lot Record'!$A$2:$A$361,'QALS - Inspection Lot Record'!$O$2:$O$361)</f>
        <v>Metformin Tablets (500 MG)</v>
      </c>
      <c r="D2040" s="31">
        <v>70</v>
      </c>
      <c r="E2040" s="29" t="s">
        <v>406</v>
      </c>
      <c r="F2040" s="29" t="str">
        <f>LOOKUP(A2040,'QALS - Inspection Lot Record'!A:A,'QALS - Inspection Lot Record'!G:G)</f>
        <v>TP397880</v>
      </c>
      <c r="G2040" s="59">
        <f ca="1">LOOKUP(A2040,'QALS - Inspection Lot Record'!A:A,'QALS - Inspection Lot Record'!E:E)</f>
        <v>45997</v>
      </c>
      <c r="H2040" s="34" t="str">
        <f t="shared" si="160"/>
        <v>A</v>
      </c>
      <c r="I2040" s="29" t="str">
        <f t="shared" si="156"/>
        <v>TP397880</v>
      </c>
      <c r="J2040" s="59">
        <f t="shared" ca="1" si="157"/>
        <v>45997</v>
      </c>
      <c r="K2040" s="30">
        <f ca="1">LOOKUP(A2040,'QALS - Inspection Lot Record'!A:A,'QALS - Inspection Lot Record'!I:I)</f>
        <v>0.88421296296296292</v>
      </c>
      <c r="L2040" s="59">
        <f t="shared" ca="1" si="158"/>
        <v>45997</v>
      </c>
      <c r="M2040" s="30">
        <f t="shared" ca="1" si="159"/>
        <v>0.90236111111111106</v>
      </c>
      <c r="N2040" s="31"/>
      <c r="O2040" s="31">
        <v>85</v>
      </c>
      <c r="P2040" s="29">
        <v>80</v>
      </c>
      <c r="Q2040" s="29">
        <v>90</v>
      </c>
    </row>
    <row r="2041" spans="1:17" x14ac:dyDescent="0.35">
      <c r="A2041" s="26">
        <v>40000002755</v>
      </c>
      <c r="B2041" s="31">
        <v>1</v>
      </c>
      <c r="C2041" s="29" t="str">
        <f>LOOKUP(A2041,'QALS - Inspection Lot Record'!$A$2:$A$361,'QALS - Inspection Lot Record'!$O$2:$O$361)</f>
        <v>Metformin Tablets (500 MG)</v>
      </c>
      <c r="D2041" s="31">
        <v>80</v>
      </c>
      <c r="E2041" s="29" t="s">
        <v>407</v>
      </c>
      <c r="F2041" s="29" t="str">
        <f>LOOKUP(A2041,'QALS - Inspection Lot Record'!A:A,'QALS - Inspection Lot Record'!G:G)</f>
        <v>TP397880</v>
      </c>
      <c r="G2041" s="59">
        <f ca="1">LOOKUP(A2041,'QALS - Inspection Lot Record'!A:A,'QALS - Inspection Lot Record'!E:E)</f>
        <v>45997</v>
      </c>
      <c r="H2041" s="34" t="str">
        <f t="shared" si="160"/>
        <v>A</v>
      </c>
      <c r="I2041" s="29" t="str">
        <f t="shared" si="156"/>
        <v>TP397880</v>
      </c>
      <c r="J2041" s="59">
        <f t="shared" ca="1" si="157"/>
        <v>45997</v>
      </c>
      <c r="K2041" s="30">
        <f ca="1">LOOKUP(A2041,'QALS - Inspection Lot Record'!A:A,'QALS - Inspection Lot Record'!I:I)</f>
        <v>0.88421296296296292</v>
      </c>
      <c r="L2041" s="59">
        <f t="shared" ca="1" si="158"/>
        <v>45997</v>
      </c>
      <c r="M2041" s="30">
        <f t="shared" ca="1" si="159"/>
        <v>0.91696759259259253</v>
      </c>
      <c r="N2041" s="31"/>
      <c r="O2041" s="31">
        <v>25.5</v>
      </c>
      <c r="P2041" s="29">
        <v>23</v>
      </c>
      <c r="Q2041" s="29">
        <v>28</v>
      </c>
    </row>
    <row r="2042" spans="1:17" x14ac:dyDescent="0.35">
      <c r="A2042" s="26">
        <v>40000002756</v>
      </c>
      <c r="B2042" s="27">
        <v>1</v>
      </c>
      <c r="C2042" s="29" t="str">
        <f>LOOKUP(A2042,'QALS - Inspection Lot Record'!$A$2:$A$361,'QALS - Inspection Lot Record'!$O$2:$O$361)</f>
        <v>Aspirin Tablets (500 MG)</v>
      </c>
      <c r="D2042" s="27">
        <v>10</v>
      </c>
      <c r="E2042" s="26" t="s">
        <v>399</v>
      </c>
      <c r="F2042" s="29" t="str">
        <f>LOOKUP(A2042,'QALS - Inspection Lot Record'!A:A,'QALS - Inspection Lot Record'!G:G)</f>
        <v>YA284176</v>
      </c>
      <c r="G2042" s="59">
        <f ca="1">LOOKUP(A2042,'QALS - Inspection Lot Record'!A:A,'QALS - Inspection Lot Record'!E:E)</f>
        <v>45997</v>
      </c>
      <c r="H2042" s="34" t="str">
        <f t="shared" si="160"/>
        <v>A</v>
      </c>
      <c r="I2042" s="29" t="str">
        <f t="shared" si="156"/>
        <v>YA284176</v>
      </c>
      <c r="J2042" s="59">
        <f t="shared" ca="1" si="157"/>
        <v>45997</v>
      </c>
      <c r="K2042" s="30">
        <f ca="1">LOOKUP(A2042,'QALS - Inspection Lot Record'!A:A,'QALS - Inspection Lot Record'!I:I)</f>
        <v>0.28914351851851849</v>
      </c>
      <c r="L2042" s="59">
        <f t="shared" ca="1" si="158"/>
        <v>45997</v>
      </c>
      <c r="M2042" s="30">
        <f t="shared" ca="1" si="159"/>
        <v>0.3125</v>
      </c>
      <c r="N2042" s="31"/>
      <c r="O2042" s="31">
        <v>100</v>
      </c>
      <c r="P2042" s="29">
        <v>95</v>
      </c>
      <c r="Q2042" s="29">
        <v>105</v>
      </c>
    </row>
    <row r="2043" spans="1:17" x14ac:dyDescent="0.35">
      <c r="A2043" s="26">
        <v>40000002756</v>
      </c>
      <c r="B2043" s="27">
        <v>1</v>
      </c>
      <c r="C2043" s="29" t="str">
        <f>LOOKUP(A2043,'QALS - Inspection Lot Record'!$A$2:$A$361,'QALS - Inspection Lot Record'!$O$2:$O$361)</f>
        <v>Aspirin Tablets (500 MG)</v>
      </c>
      <c r="D2043" s="31">
        <v>20</v>
      </c>
      <c r="E2043" s="29" t="s">
        <v>400</v>
      </c>
      <c r="F2043" s="29" t="str">
        <f>LOOKUP(A2043,'QALS - Inspection Lot Record'!A:A,'QALS - Inspection Lot Record'!G:G)</f>
        <v>YA284176</v>
      </c>
      <c r="G2043" s="59">
        <f ca="1">LOOKUP(A2043,'QALS - Inspection Lot Record'!A:A,'QALS - Inspection Lot Record'!E:E)</f>
        <v>45997</v>
      </c>
      <c r="H2043" s="34" t="str">
        <f t="shared" si="160"/>
        <v>A</v>
      </c>
      <c r="I2043" s="29" t="str">
        <f t="shared" si="156"/>
        <v>YA284176</v>
      </c>
      <c r="J2043" s="59">
        <f t="shared" ca="1" si="157"/>
        <v>45997</v>
      </c>
      <c r="K2043" s="30">
        <f ca="1">LOOKUP(A2043,'QALS - Inspection Lot Record'!A:A,'QALS - Inspection Lot Record'!I:I)</f>
        <v>0.28914351851851849</v>
      </c>
      <c r="L2043" s="59">
        <f t="shared" ca="1" si="158"/>
        <v>45997</v>
      </c>
      <c r="M2043" s="30">
        <f t="shared" ca="1" si="159"/>
        <v>0.31545138888888885</v>
      </c>
      <c r="N2043" s="31"/>
      <c r="O2043" s="31">
        <v>7.25</v>
      </c>
      <c r="P2043" s="29">
        <v>3.5</v>
      </c>
      <c r="Q2043" s="29">
        <v>11</v>
      </c>
    </row>
    <row r="2044" spans="1:17" x14ac:dyDescent="0.35">
      <c r="A2044" s="26">
        <v>40000002756</v>
      </c>
      <c r="B2044" s="31">
        <v>1</v>
      </c>
      <c r="C2044" s="29" t="str">
        <f>LOOKUP(A2044,'QALS - Inspection Lot Record'!$A$2:$A$361,'QALS - Inspection Lot Record'!$O$2:$O$361)</f>
        <v>Aspirin Tablets (500 MG)</v>
      </c>
      <c r="D2044" s="31">
        <v>30</v>
      </c>
      <c r="E2044" s="29" t="s">
        <v>401</v>
      </c>
      <c r="F2044" s="29" t="str">
        <f>LOOKUP(A2044,'QALS - Inspection Lot Record'!A:A,'QALS - Inspection Lot Record'!G:G)</f>
        <v>YA284176</v>
      </c>
      <c r="G2044" s="59">
        <f ca="1">LOOKUP(A2044,'QALS - Inspection Lot Record'!A:A,'QALS - Inspection Lot Record'!E:E)</f>
        <v>45997</v>
      </c>
      <c r="H2044" s="34" t="str">
        <f t="shared" si="160"/>
        <v>A</v>
      </c>
      <c r="I2044" s="29" t="str">
        <f t="shared" si="156"/>
        <v>YA284176</v>
      </c>
      <c r="J2044" s="59">
        <f t="shared" ca="1" si="157"/>
        <v>45997</v>
      </c>
      <c r="K2044" s="30">
        <f ca="1">LOOKUP(A2044,'QALS - Inspection Lot Record'!A:A,'QALS - Inspection Lot Record'!I:I)</f>
        <v>0.28914351851851849</v>
      </c>
      <c r="L2044" s="59">
        <f t="shared" ca="1" si="158"/>
        <v>45997</v>
      </c>
      <c r="M2044" s="30">
        <f t="shared" ca="1" si="159"/>
        <v>0.31047453703703703</v>
      </c>
      <c r="N2044" s="11" t="s">
        <v>402</v>
      </c>
      <c r="O2044" s="31"/>
      <c r="P2044" s="29"/>
      <c r="Q2044" s="29"/>
    </row>
    <row r="2045" spans="1:17" x14ac:dyDescent="0.35">
      <c r="A2045" s="26">
        <v>40000002756</v>
      </c>
      <c r="B2045" s="31">
        <v>1</v>
      </c>
      <c r="C2045" s="29" t="str">
        <f>LOOKUP(A2045,'QALS - Inspection Lot Record'!$A$2:$A$361,'QALS - Inspection Lot Record'!$O$2:$O$361)</f>
        <v>Aspirin Tablets (500 MG)</v>
      </c>
      <c r="D2045" s="31">
        <v>40</v>
      </c>
      <c r="E2045" s="29" t="s">
        <v>403</v>
      </c>
      <c r="F2045" s="29" t="str">
        <f>LOOKUP(A2045,'QALS - Inspection Lot Record'!A:A,'QALS - Inspection Lot Record'!G:G)</f>
        <v>YA284176</v>
      </c>
      <c r="G2045" s="59">
        <f ca="1">LOOKUP(A2045,'QALS - Inspection Lot Record'!A:A,'QALS - Inspection Lot Record'!E:E)</f>
        <v>45997</v>
      </c>
      <c r="H2045" s="34" t="str">
        <f t="shared" si="160"/>
        <v>A</v>
      </c>
      <c r="I2045" s="29" t="str">
        <f t="shared" si="156"/>
        <v>YA284176</v>
      </c>
      <c r="J2045" s="59">
        <f t="shared" ca="1" si="157"/>
        <v>45997</v>
      </c>
      <c r="K2045" s="30">
        <f ca="1">LOOKUP(A2045,'QALS - Inspection Lot Record'!A:A,'QALS - Inspection Lot Record'!I:I)</f>
        <v>0.28914351851851849</v>
      </c>
      <c r="L2045" s="59">
        <f t="shared" ca="1" si="158"/>
        <v>45997</v>
      </c>
      <c r="M2045" s="30">
        <f t="shared" ca="1" si="159"/>
        <v>0.31087962962962962</v>
      </c>
      <c r="N2045" s="31"/>
      <c r="O2045" s="31">
        <v>0</v>
      </c>
      <c r="P2045" s="29">
        <v>0</v>
      </c>
      <c r="Q2045" s="29">
        <v>2.5</v>
      </c>
    </row>
    <row r="2046" spans="1:17" x14ac:dyDescent="0.35">
      <c r="A2046" s="26">
        <v>40000002756</v>
      </c>
      <c r="B2046" s="31">
        <v>1</v>
      </c>
      <c r="C2046" s="29" t="str">
        <f>LOOKUP(A2046,'QALS - Inspection Lot Record'!$A$2:$A$361,'QALS - Inspection Lot Record'!$O$2:$O$361)</f>
        <v>Aspirin Tablets (500 MG)</v>
      </c>
      <c r="D2046" s="31">
        <v>50</v>
      </c>
      <c r="E2046" s="29" t="s">
        <v>404</v>
      </c>
      <c r="F2046" s="29" t="str">
        <f>LOOKUP(A2046,'QALS - Inspection Lot Record'!A:A,'QALS - Inspection Lot Record'!G:G)</f>
        <v>YA284176</v>
      </c>
      <c r="G2046" s="59">
        <f ca="1">LOOKUP(A2046,'QALS - Inspection Lot Record'!A:A,'QALS - Inspection Lot Record'!E:E)</f>
        <v>45997</v>
      </c>
      <c r="H2046" s="34" t="str">
        <f t="shared" si="160"/>
        <v>A</v>
      </c>
      <c r="I2046" s="29" t="str">
        <f t="shared" si="156"/>
        <v>YA284176</v>
      </c>
      <c r="J2046" s="59">
        <f t="shared" ca="1" si="157"/>
        <v>45997</v>
      </c>
      <c r="K2046" s="30">
        <f ca="1">LOOKUP(A2046,'QALS - Inspection Lot Record'!A:A,'QALS - Inspection Lot Record'!I:I)</f>
        <v>0.28914351851851849</v>
      </c>
      <c r="L2046" s="59">
        <f t="shared" ca="1" si="158"/>
        <v>45997</v>
      </c>
      <c r="M2046" s="30">
        <f t="shared" ca="1" si="159"/>
        <v>0.30925925925925923</v>
      </c>
      <c r="N2046" s="31"/>
      <c r="O2046" s="31">
        <v>50</v>
      </c>
      <c r="P2046" s="29">
        <v>40</v>
      </c>
      <c r="Q2046" s="29">
        <v>60</v>
      </c>
    </row>
    <row r="2047" spans="1:17" x14ac:dyDescent="0.35">
      <c r="A2047" s="26">
        <v>40000002756</v>
      </c>
      <c r="B2047" s="31">
        <v>1</v>
      </c>
      <c r="C2047" s="29" t="str">
        <f>LOOKUP(A2047,'QALS - Inspection Lot Record'!$A$2:$A$361,'QALS - Inspection Lot Record'!$O$2:$O$361)</f>
        <v>Aspirin Tablets (500 MG)</v>
      </c>
      <c r="D2047" s="31">
        <v>60</v>
      </c>
      <c r="E2047" s="29" t="s">
        <v>405</v>
      </c>
      <c r="F2047" s="29" t="str">
        <f>LOOKUP(A2047,'QALS - Inspection Lot Record'!A:A,'QALS - Inspection Lot Record'!G:G)</f>
        <v>YA284176</v>
      </c>
      <c r="G2047" s="59">
        <f ca="1">LOOKUP(A2047,'QALS - Inspection Lot Record'!A:A,'QALS - Inspection Lot Record'!E:E)</f>
        <v>45997</v>
      </c>
      <c r="H2047" s="34" t="str">
        <f t="shared" si="160"/>
        <v>A</v>
      </c>
      <c r="I2047" s="29" t="str">
        <f t="shared" si="156"/>
        <v>YA284176</v>
      </c>
      <c r="J2047" s="59">
        <f t="shared" ca="1" si="157"/>
        <v>45997</v>
      </c>
      <c r="K2047" s="30">
        <f ca="1">LOOKUP(A2047,'QALS - Inspection Lot Record'!A:A,'QALS - Inspection Lot Record'!I:I)</f>
        <v>0.28914351851851849</v>
      </c>
      <c r="L2047" s="59">
        <f t="shared" ca="1" si="158"/>
        <v>45997</v>
      </c>
      <c r="M2047" s="30">
        <f t="shared" ca="1" si="159"/>
        <v>0.30680555555555555</v>
      </c>
      <c r="N2047" s="31"/>
      <c r="O2047" s="31">
        <v>77.5</v>
      </c>
      <c r="P2047" s="29">
        <v>70</v>
      </c>
      <c r="Q2047" s="29">
        <v>85</v>
      </c>
    </row>
    <row r="2048" spans="1:17" x14ac:dyDescent="0.35">
      <c r="A2048" s="26">
        <v>40000002756</v>
      </c>
      <c r="B2048" s="31">
        <v>1</v>
      </c>
      <c r="C2048" s="29" t="str">
        <f>LOOKUP(A2048,'QALS - Inspection Lot Record'!$A$2:$A$361,'QALS - Inspection Lot Record'!$O$2:$O$361)</f>
        <v>Aspirin Tablets (500 MG)</v>
      </c>
      <c r="D2048" s="31">
        <v>70</v>
      </c>
      <c r="E2048" s="29" t="s">
        <v>406</v>
      </c>
      <c r="F2048" s="29" t="str">
        <f>LOOKUP(A2048,'QALS - Inspection Lot Record'!A:A,'QALS - Inspection Lot Record'!G:G)</f>
        <v>YA284176</v>
      </c>
      <c r="G2048" s="59">
        <f ca="1">LOOKUP(A2048,'QALS - Inspection Lot Record'!A:A,'QALS - Inspection Lot Record'!E:E)</f>
        <v>45997</v>
      </c>
      <c r="H2048" s="34" t="str">
        <f t="shared" si="160"/>
        <v>A</v>
      </c>
      <c r="I2048" s="29" t="str">
        <f t="shared" si="156"/>
        <v>YA284176</v>
      </c>
      <c r="J2048" s="59">
        <f t="shared" ca="1" si="157"/>
        <v>45997</v>
      </c>
      <c r="K2048" s="30">
        <f ca="1">LOOKUP(A2048,'QALS - Inspection Lot Record'!A:A,'QALS - Inspection Lot Record'!I:I)</f>
        <v>0.28914351851851849</v>
      </c>
      <c r="L2048" s="59">
        <f t="shared" ca="1" si="158"/>
        <v>45997</v>
      </c>
      <c r="M2048" s="30">
        <f t="shared" ca="1" si="159"/>
        <v>0.31174768518518514</v>
      </c>
      <c r="N2048" s="31"/>
      <c r="O2048" s="31">
        <v>85</v>
      </c>
      <c r="P2048" s="29">
        <v>80</v>
      </c>
      <c r="Q2048" s="29">
        <v>90</v>
      </c>
    </row>
    <row r="2049" spans="1:17" x14ac:dyDescent="0.35">
      <c r="A2049" s="26">
        <v>40000002756</v>
      </c>
      <c r="B2049" s="31">
        <v>1</v>
      </c>
      <c r="C2049" s="29" t="str">
        <f>LOOKUP(A2049,'QALS - Inspection Lot Record'!$A$2:$A$361,'QALS - Inspection Lot Record'!$O$2:$O$361)</f>
        <v>Aspirin Tablets (500 MG)</v>
      </c>
      <c r="D2049" s="31">
        <v>80</v>
      </c>
      <c r="E2049" s="29" t="s">
        <v>407</v>
      </c>
      <c r="F2049" s="29" t="str">
        <f>LOOKUP(A2049,'QALS - Inspection Lot Record'!A:A,'QALS - Inspection Lot Record'!G:G)</f>
        <v>YA284176</v>
      </c>
      <c r="G2049" s="59">
        <f ca="1">LOOKUP(A2049,'QALS - Inspection Lot Record'!A:A,'QALS - Inspection Lot Record'!E:E)</f>
        <v>45997</v>
      </c>
      <c r="H2049" s="34" t="str">
        <f t="shared" si="160"/>
        <v>A</v>
      </c>
      <c r="I2049" s="29" t="str">
        <f t="shared" si="156"/>
        <v>YA284176</v>
      </c>
      <c r="J2049" s="59">
        <f t="shared" ca="1" si="157"/>
        <v>45997</v>
      </c>
      <c r="K2049" s="30">
        <f ca="1">LOOKUP(A2049,'QALS - Inspection Lot Record'!A:A,'QALS - Inspection Lot Record'!I:I)</f>
        <v>0.28914351851851849</v>
      </c>
      <c r="L2049" s="59">
        <f t="shared" ca="1" si="158"/>
        <v>45997</v>
      </c>
      <c r="M2049" s="30">
        <f t="shared" ca="1" si="159"/>
        <v>0.31041666666666662</v>
      </c>
      <c r="N2049" s="31"/>
      <c r="O2049" s="31">
        <v>25.5</v>
      </c>
      <c r="P2049" s="29">
        <v>23</v>
      </c>
      <c r="Q2049" s="29">
        <v>28</v>
      </c>
    </row>
    <row r="2050" spans="1:17" x14ac:dyDescent="0.35">
      <c r="A2050" s="26">
        <v>40000002757</v>
      </c>
      <c r="B2050" s="27">
        <v>1</v>
      </c>
      <c r="C2050" s="29" t="str">
        <f>LOOKUP(A2050,'QALS - Inspection Lot Record'!$A$2:$A$361,'QALS - Inspection Lot Record'!$O$2:$O$361)</f>
        <v>Ibuprofen Tablets (100 MG)</v>
      </c>
      <c r="D2050" s="27">
        <v>10</v>
      </c>
      <c r="E2050" s="26" t="s">
        <v>399</v>
      </c>
      <c r="F2050" s="29" t="str">
        <f>LOOKUP(A2050,'QALS - Inspection Lot Record'!A:A,'QALS - Inspection Lot Record'!G:G)</f>
        <v>AB406550</v>
      </c>
      <c r="G2050" s="59">
        <f ca="1">LOOKUP(A2050,'QALS - Inspection Lot Record'!A:A,'QALS - Inspection Lot Record'!E:E)</f>
        <v>45998</v>
      </c>
      <c r="H2050" s="34" t="str">
        <f t="shared" si="160"/>
        <v>R</v>
      </c>
      <c r="I2050" s="29" t="str">
        <f t="shared" ref="I2050:I2113" si="161">F2050</f>
        <v>AB406550</v>
      </c>
      <c r="J2050" s="59">
        <f t="shared" ref="J2050:J2113" ca="1" si="162">G2050</f>
        <v>45998</v>
      </c>
      <c r="K2050" s="30">
        <f ca="1">LOOKUP(A2050,'QALS - Inspection Lot Record'!A:A,'QALS - Inspection Lot Record'!I:I)</f>
        <v>0.55094907407407412</v>
      </c>
      <c r="L2050" s="59">
        <f t="shared" ref="L2050:L2113" ca="1" si="163">G2050</f>
        <v>45998</v>
      </c>
      <c r="M2050" s="30">
        <f t="shared" ref="M2050:M2113" ca="1" si="164">K2050+TIME(0,RANDBETWEEN(25,50),RANDBETWEEN(0,59))</f>
        <v>0.57967592592592598</v>
      </c>
      <c r="N2050" s="31"/>
      <c r="O2050" s="31">
        <v>93.8</v>
      </c>
      <c r="P2050" s="29">
        <v>95</v>
      </c>
      <c r="Q2050" s="29">
        <v>102</v>
      </c>
    </row>
    <row r="2051" spans="1:17" x14ac:dyDescent="0.35">
      <c r="A2051" s="26">
        <v>40000002757</v>
      </c>
      <c r="B2051" s="27">
        <v>1</v>
      </c>
      <c r="C2051" s="29" t="str">
        <f>LOOKUP(A2051,'QALS - Inspection Lot Record'!$A$2:$A$361,'QALS - Inspection Lot Record'!$O$2:$O$361)</f>
        <v>Ibuprofen Tablets (100 MG)</v>
      </c>
      <c r="D2051" s="31">
        <v>20</v>
      </c>
      <c r="E2051" s="29" t="s">
        <v>400</v>
      </c>
      <c r="F2051" s="29" t="str">
        <f>LOOKUP(A2051,'QALS - Inspection Lot Record'!A:A,'QALS - Inspection Lot Record'!G:G)</f>
        <v>AB406550</v>
      </c>
      <c r="G2051" s="59">
        <f ca="1">LOOKUP(A2051,'QALS - Inspection Lot Record'!A:A,'QALS - Inspection Lot Record'!E:E)</f>
        <v>45998</v>
      </c>
      <c r="H2051" s="34" t="str">
        <f t="shared" si="160"/>
        <v>A</v>
      </c>
      <c r="I2051" s="29" t="str">
        <f t="shared" si="161"/>
        <v>AB406550</v>
      </c>
      <c r="J2051" s="59">
        <f t="shared" ca="1" si="162"/>
        <v>45998</v>
      </c>
      <c r="K2051" s="30">
        <f ca="1">LOOKUP(A2051,'QALS - Inspection Lot Record'!A:A,'QALS - Inspection Lot Record'!I:I)</f>
        <v>0.55094907407407412</v>
      </c>
      <c r="L2051" s="59">
        <f t="shared" ca="1" si="163"/>
        <v>45998</v>
      </c>
      <c r="M2051" s="30">
        <f t="shared" ca="1" si="164"/>
        <v>0.5709953703703704</v>
      </c>
      <c r="N2051" s="31"/>
      <c r="O2051" s="31">
        <v>7.3</v>
      </c>
      <c r="P2051" s="29">
        <v>3.5</v>
      </c>
      <c r="Q2051" s="29">
        <v>11</v>
      </c>
    </row>
    <row r="2052" spans="1:17" x14ac:dyDescent="0.35">
      <c r="A2052" s="26">
        <v>40000002757</v>
      </c>
      <c r="B2052" s="31">
        <v>1</v>
      </c>
      <c r="C2052" s="29" t="str">
        <f>LOOKUP(A2052,'QALS - Inspection Lot Record'!$A$2:$A$361,'QALS - Inspection Lot Record'!$O$2:$O$361)</f>
        <v>Ibuprofen Tablets (100 MG)</v>
      </c>
      <c r="D2052" s="31">
        <v>30</v>
      </c>
      <c r="E2052" s="29" t="s">
        <v>401</v>
      </c>
      <c r="F2052" s="29" t="str">
        <f>LOOKUP(A2052,'QALS - Inspection Lot Record'!A:A,'QALS - Inspection Lot Record'!G:G)</f>
        <v>AB406550</v>
      </c>
      <c r="G2052" s="59">
        <f ca="1">LOOKUP(A2052,'QALS - Inspection Lot Record'!A:A,'QALS - Inspection Lot Record'!E:E)</f>
        <v>45998</v>
      </c>
      <c r="H2052" s="34" t="str">
        <f t="shared" si="160"/>
        <v>A</v>
      </c>
      <c r="I2052" s="29" t="str">
        <f t="shared" si="161"/>
        <v>AB406550</v>
      </c>
      <c r="J2052" s="59">
        <f t="shared" ca="1" si="162"/>
        <v>45998</v>
      </c>
      <c r="K2052" s="30">
        <f ca="1">LOOKUP(A2052,'QALS - Inspection Lot Record'!A:A,'QALS - Inspection Lot Record'!I:I)</f>
        <v>0.55094907407407412</v>
      </c>
      <c r="L2052" s="59">
        <f t="shared" ca="1" si="163"/>
        <v>45998</v>
      </c>
      <c r="M2052" s="30">
        <f t="shared" ca="1" si="164"/>
        <v>0.57819444444444446</v>
      </c>
      <c r="N2052" s="11" t="s">
        <v>402</v>
      </c>
      <c r="O2052" s="31"/>
      <c r="P2052" s="29"/>
      <c r="Q2052" s="29"/>
    </row>
    <row r="2053" spans="1:17" x14ac:dyDescent="0.35">
      <c r="A2053" s="26">
        <v>40000002757</v>
      </c>
      <c r="B2053" s="31">
        <v>1</v>
      </c>
      <c r="C2053" s="29" t="str">
        <f>LOOKUP(A2053,'QALS - Inspection Lot Record'!$A$2:$A$361,'QALS - Inspection Lot Record'!$O$2:$O$361)</f>
        <v>Ibuprofen Tablets (100 MG)</v>
      </c>
      <c r="D2053" s="31">
        <v>40</v>
      </c>
      <c r="E2053" s="29" t="s">
        <v>403</v>
      </c>
      <c r="F2053" s="29" t="str">
        <f>LOOKUP(A2053,'QALS - Inspection Lot Record'!A:A,'QALS - Inspection Lot Record'!G:G)</f>
        <v>AB406550</v>
      </c>
      <c r="G2053" s="59">
        <f ca="1">LOOKUP(A2053,'QALS - Inspection Lot Record'!A:A,'QALS - Inspection Lot Record'!E:E)</f>
        <v>45998</v>
      </c>
      <c r="H2053" s="34" t="str">
        <f t="shared" si="160"/>
        <v>A</v>
      </c>
      <c r="I2053" s="29" t="str">
        <f t="shared" si="161"/>
        <v>AB406550</v>
      </c>
      <c r="J2053" s="59">
        <f t="shared" ca="1" si="162"/>
        <v>45998</v>
      </c>
      <c r="K2053" s="30">
        <f ca="1">LOOKUP(A2053,'QALS - Inspection Lot Record'!A:A,'QALS - Inspection Lot Record'!I:I)</f>
        <v>0.55094907407407412</v>
      </c>
      <c r="L2053" s="59">
        <f t="shared" ca="1" si="163"/>
        <v>45998</v>
      </c>
      <c r="M2053" s="30">
        <f t="shared" ca="1" si="164"/>
        <v>0.58587962962962969</v>
      </c>
      <c r="N2053" s="31"/>
      <c r="O2053" s="31">
        <v>0.5</v>
      </c>
      <c r="P2053" s="29">
        <v>0</v>
      </c>
      <c r="Q2053" s="29">
        <v>1</v>
      </c>
    </row>
    <row r="2054" spans="1:17" x14ac:dyDescent="0.35">
      <c r="A2054" s="26">
        <v>40000002757</v>
      </c>
      <c r="B2054" s="31">
        <v>1</v>
      </c>
      <c r="C2054" s="29" t="str">
        <f>LOOKUP(A2054,'QALS - Inspection Lot Record'!$A$2:$A$361,'QALS - Inspection Lot Record'!$O$2:$O$361)</f>
        <v>Ibuprofen Tablets (100 MG)</v>
      </c>
      <c r="D2054" s="31">
        <v>50</v>
      </c>
      <c r="E2054" s="29" t="s">
        <v>404</v>
      </c>
      <c r="F2054" s="29" t="str">
        <f>LOOKUP(A2054,'QALS - Inspection Lot Record'!A:A,'QALS - Inspection Lot Record'!G:G)</f>
        <v>AB406550</v>
      </c>
      <c r="G2054" s="59">
        <f ca="1">LOOKUP(A2054,'QALS - Inspection Lot Record'!A:A,'QALS - Inspection Lot Record'!E:E)</f>
        <v>45998</v>
      </c>
      <c r="H2054" s="34" t="str">
        <f t="shared" si="160"/>
        <v>A</v>
      </c>
      <c r="I2054" s="29" t="str">
        <f t="shared" si="161"/>
        <v>AB406550</v>
      </c>
      <c r="J2054" s="59">
        <f t="shared" ca="1" si="162"/>
        <v>45998</v>
      </c>
      <c r="K2054" s="30">
        <f ca="1">LOOKUP(A2054,'QALS - Inspection Lot Record'!A:A,'QALS - Inspection Lot Record'!I:I)</f>
        <v>0.55094907407407412</v>
      </c>
      <c r="L2054" s="59">
        <f t="shared" ca="1" si="163"/>
        <v>45998</v>
      </c>
      <c r="M2054" s="30">
        <f t="shared" ca="1" si="164"/>
        <v>0.57349537037037046</v>
      </c>
      <c r="N2054" s="31"/>
      <c r="O2054" s="31">
        <v>41.8</v>
      </c>
      <c r="P2054" s="29">
        <v>40</v>
      </c>
      <c r="Q2054" s="29">
        <v>60</v>
      </c>
    </row>
    <row r="2055" spans="1:17" x14ac:dyDescent="0.35">
      <c r="A2055" s="26">
        <v>40000002757</v>
      </c>
      <c r="B2055" s="31">
        <v>1</v>
      </c>
      <c r="C2055" s="29" t="str">
        <f>LOOKUP(A2055,'QALS - Inspection Lot Record'!$A$2:$A$361,'QALS - Inspection Lot Record'!$O$2:$O$361)</f>
        <v>Ibuprofen Tablets (100 MG)</v>
      </c>
      <c r="D2055" s="31">
        <v>60</v>
      </c>
      <c r="E2055" s="29" t="s">
        <v>405</v>
      </c>
      <c r="F2055" s="29" t="str">
        <f>LOOKUP(A2055,'QALS - Inspection Lot Record'!A:A,'QALS - Inspection Lot Record'!G:G)</f>
        <v>AB406550</v>
      </c>
      <c r="G2055" s="59">
        <f ca="1">LOOKUP(A2055,'QALS - Inspection Lot Record'!A:A,'QALS - Inspection Lot Record'!E:E)</f>
        <v>45998</v>
      </c>
      <c r="H2055" s="34" t="str">
        <f t="shared" si="160"/>
        <v>A</v>
      </c>
      <c r="I2055" s="29" t="str">
        <f t="shared" si="161"/>
        <v>AB406550</v>
      </c>
      <c r="J2055" s="59">
        <f t="shared" ca="1" si="162"/>
        <v>45998</v>
      </c>
      <c r="K2055" s="30">
        <f ca="1">LOOKUP(A2055,'QALS - Inspection Lot Record'!A:A,'QALS - Inspection Lot Record'!I:I)</f>
        <v>0.55094907407407412</v>
      </c>
      <c r="L2055" s="59">
        <f t="shared" ca="1" si="163"/>
        <v>45998</v>
      </c>
      <c r="M2055" s="30">
        <f t="shared" ca="1" si="164"/>
        <v>0.5717592592592593</v>
      </c>
      <c r="N2055" s="31"/>
      <c r="O2055" s="31">
        <v>71.099999999999994</v>
      </c>
      <c r="P2055" s="29">
        <v>70</v>
      </c>
      <c r="Q2055" s="29">
        <v>85</v>
      </c>
    </row>
    <row r="2056" spans="1:17" x14ac:dyDescent="0.35">
      <c r="A2056" s="26">
        <v>40000002757</v>
      </c>
      <c r="B2056" s="31">
        <v>1</v>
      </c>
      <c r="C2056" s="29" t="str">
        <f>LOOKUP(A2056,'QALS - Inspection Lot Record'!$A$2:$A$361,'QALS - Inspection Lot Record'!$O$2:$O$361)</f>
        <v>Ibuprofen Tablets (100 MG)</v>
      </c>
      <c r="D2056" s="31">
        <v>70</v>
      </c>
      <c r="E2056" s="29" t="s">
        <v>406</v>
      </c>
      <c r="F2056" s="29" t="str">
        <f>LOOKUP(A2056,'QALS - Inspection Lot Record'!A:A,'QALS - Inspection Lot Record'!G:G)</f>
        <v>AB406550</v>
      </c>
      <c r="G2056" s="59">
        <f ca="1">LOOKUP(A2056,'QALS - Inspection Lot Record'!A:A,'QALS - Inspection Lot Record'!E:E)</f>
        <v>45998</v>
      </c>
      <c r="H2056" s="34" t="str">
        <f t="shared" si="160"/>
        <v>A</v>
      </c>
      <c r="I2056" s="29" t="str">
        <f t="shared" si="161"/>
        <v>AB406550</v>
      </c>
      <c r="J2056" s="59">
        <f t="shared" ca="1" si="162"/>
        <v>45998</v>
      </c>
      <c r="K2056" s="30">
        <f ca="1">LOOKUP(A2056,'QALS - Inspection Lot Record'!A:A,'QALS - Inspection Lot Record'!I:I)</f>
        <v>0.55094907407407412</v>
      </c>
      <c r="L2056" s="59">
        <f t="shared" ca="1" si="163"/>
        <v>45998</v>
      </c>
      <c r="M2056" s="30">
        <f t="shared" ca="1" si="164"/>
        <v>0.58356481481481481</v>
      </c>
      <c r="N2056" s="31"/>
      <c r="O2056" s="31">
        <v>81.099999999999994</v>
      </c>
      <c r="P2056" s="29">
        <v>80</v>
      </c>
      <c r="Q2056" s="29">
        <v>90</v>
      </c>
    </row>
    <row r="2057" spans="1:17" x14ac:dyDescent="0.35">
      <c r="A2057" s="26">
        <v>40000002757</v>
      </c>
      <c r="B2057" s="31">
        <v>1</v>
      </c>
      <c r="C2057" s="29" t="str">
        <f>LOOKUP(A2057,'QALS - Inspection Lot Record'!$A$2:$A$361,'QALS - Inspection Lot Record'!$O$2:$O$361)</f>
        <v>Ibuprofen Tablets (100 MG)</v>
      </c>
      <c r="D2057" s="31">
        <v>80</v>
      </c>
      <c r="E2057" s="29" t="s">
        <v>407</v>
      </c>
      <c r="F2057" s="29" t="str">
        <f>LOOKUP(A2057,'QALS - Inspection Lot Record'!A:A,'QALS - Inspection Lot Record'!G:G)</f>
        <v>AB406550</v>
      </c>
      <c r="G2057" s="59">
        <f ca="1">LOOKUP(A2057,'QALS - Inspection Lot Record'!A:A,'QALS - Inspection Lot Record'!E:E)</f>
        <v>45998</v>
      </c>
      <c r="H2057" s="34" t="str">
        <f t="shared" si="160"/>
        <v>A</v>
      </c>
      <c r="I2057" s="29" t="str">
        <f t="shared" si="161"/>
        <v>AB406550</v>
      </c>
      <c r="J2057" s="59">
        <f t="shared" ca="1" si="162"/>
        <v>45998</v>
      </c>
      <c r="K2057" s="30">
        <f ca="1">LOOKUP(A2057,'QALS - Inspection Lot Record'!A:A,'QALS - Inspection Lot Record'!I:I)</f>
        <v>0.55094907407407412</v>
      </c>
      <c r="L2057" s="59">
        <f t="shared" ca="1" si="163"/>
        <v>45998</v>
      </c>
      <c r="M2057" s="30">
        <f t="shared" ca="1" si="164"/>
        <v>0.58170138888888889</v>
      </c>
      <c r="N2057" s="31"/>
      <c r="O2057" s="31">
        <v>24</v>
      </c>
      <c r="P2057" s="29">
        <v>23</v>
      </c>
      <c r="Q2057" s="29">
        <v>25</v>
      </c>
    </row>
    <row r="2058" spans="1:17" x14ac:dyDescent="0.35">
      <c r="A2058" s="26">
        <v>40000002758</v>
      </c>
      <c r="B2058" s="27">
        <v>1</v>
      </c>
      <c r="C2058" s="29" t="str">
        <f>LOOKUP(A2058,'QALS - Inspection Lot Record'!$A$2:$A$361,'QALS - Inspection Lot Record'!$O$2:$O$361)</f>
        <v>Metformin Tablets (500 MG)</v>
      </c>
      <c r="D2058" s="27">
        <v>10</v>
      </c>
      <c r="E2058" s="26" t="s">
        <v>399</v>
      </c>
      <c r="F2058" s="29" t="str">
        <f>LOOKUP(A2058,'QALS - Inspection Lot Record'!A:A,'QALS - Inspection Lot Record'!G:G)</f>
        <v>TG509538</v>
      </c>
      <c r="G2058" s="59">
        <f ca="1">LOOKUP(A2058,'QALS - Inspection Lot Record'!A:A,'QALS - Inspection Lot Record'!E:E)</f>
        <v>45998</v>
      </c>
      <c r="H2058" s="34" t="str">
        <f t="shared" ref="H2058:H2121" si="165">IF(AND(P2058&lt;=O2058,O2058&lt;=Q2058),"A","R")</f>
        <v>R</v>
      </c>
      <c r="I2058" s="29" t="str">
        <f t="shared" si="161"/>
        <v>TG509538</v>
      </c>
      <c r="J2058" s="59">
        <f t="shared" ca="1" si="162"/>
        <v>45998</v>
      </c>
      <c r="K2058" s="30">
        <f ca="1">LOOKUP(A2058,'QALS - Inspection Lot Record'!A:A,'QALS - Inspection Lot Record'!I:I)</f>
        <v>0.34641203703703705</v>
      </c>
      <c r="L2058" s="59">
        <f t="shared" ca="1" si="163"/>
        <v>45998</v>
      </c>
      <c r="M2058" s="30">
        <f t="shared" ca="1" si="164"/>
        <v>0.37850694444444444</v>
      </c>
      <c r="N2058" s="31"/>
      <c r="O2058" s="31">
        <v>93.6</v>
      </c>
      <c r="P2058" s="29">
        <v>95</v>
      </c>
      <c r="Q2058" s="29">
        <v>105</v>
      </c>
    </row>
    <row r="2059" spans="1:17" x14ac:dyDescent="0.35">
      <c r="A2059" s="26">
        <v>40000002758</v>
      </c>
      <c r="B2059" s="27">
        <v>1</v>
      </c>
      <c r="C2059" s="29" t="str">
        <f>LOOKUP(A2059,'QALS - Inspection Lot Record'!$A$2:$A$361,'QALS - Inspection Lot Record'!$O$2:$O$361)</f>
        <v>Metformin Tablets (500 MG)</v>
      </c>
      <c r="D2059" s="31">
        <v>20</v>
      </c>
      <c r="E2059" s="29" t="s">
        <v>400</v>
      </c>
      <c r="F2059" s="29" t="str">
        <f>LOOKUP(A2059,'QALS - Inspection Lot Record'!A:A,'QALS - Inspection Lot Record'!G:G)</f>
        <v>TG509538</v>
      </c>
      <c r="G2059" s="59">
        <f ca="1">LOOKUP(A2059,'QALS - Inspection Lot Record'!A:A,'QALS - Inspection Lot Record'!E:E)</f>
        <v>45998</v>
      </c>
      <c r="H2059" s="34" t="str">
        <f t="shared" si="165"/>
        <v>A</v>
      </c>
      <c r="I2059" s="29" t="str">
        <f t="shared" si="161"/>
        <v>TG509538</v>
      </c>
      <c r="J2059" s="59">
        <f t="shared" ca="1" si="162"/>
        <v>45998</v>
      </c>
      <c r="K2059" s="30">
        <f ca="1">LOOKUP(A2059,'QALS - Inspection Lot Record'!A:A,'QALS - Inspection Lot Record'!I:I)</f>
        <v>0.34641203703703705</v>
      </c>
      <c r="L2059" s="59">
        <f t="shared" ca="1" si="163"/>
        <v>45998</v>
      </c>
      <c r="M2059" s="30">
        <f t="shared" ca="1" si="164"/>
        <v>0.37284722222222222</v>
      </c>
      <c r="N2059" s="31"/>
      <c r="O2059" s="31">
        <v>7.3</v>
      </c>
      <c r="P2059" s="29">
        <v>3.5</v>
      </c>
      <c r="Q2059" s="29">
        <v>11</v>
      </c>
    </row>
    <row r="2060" spans="1:17" x14ac:dyDescent="0.35">
      <c r="A2060" s="26">
        <v>40000002758</v>
      </c>
      <c r="B2060" s="31">
        <v>1</v>
      </c>
      <c r="C2060" s="29" t="str">
        <f>LOOKUP(A2060,'QALS - Inspection Lot Record'!$A$2:$A$361,'QALS - Inspection Lot Record'!$O$2:$O$361)</f>
        <v>Metformin Tablets (500 MG)</v>
      </c>
      <c r="D2060" s="31">
        <v>30</v>
      </c>
      <c r="E2060" s="29" t="s">
        <v>401</v>
      </c>
      <c r="F2060" s="29" t="str">
        <f>LOOKUP(A2060,'QALS - Inspection Lot Record'!A:A,'QALS - Inspection Lot Record'!G:G)</f>
        <v>TG509538</v>
      </c>
      <c r="G2060" s="59">
        <f ca="1">LOOKUP(A2060,'QALS - Inspection Lot Record'!A:A,'QALS - Inspection Lot Record'!E:E)</f>
        <v>45998</v>
      </c>
      <c r="H2060" s="34" t="str">
        <f t="shared" si="165"/>
        <v>A</v>
      </c>
      <c r="I2060" s="29" t="str">
        <f t="shared" si="161"/>
        <v>TG509538</v>
      </c>
      <c r="J2060" s="59">
        <f t="shared" ca="1" si="162"/>
        <v>45998</v>
      </c>
      <c r="K2060" s="30">
        <f ca="1">LOOKUP(A2060,'QALS - Inspection Lot Record'!A:A,'QALS - Inspection Lot Record'!I:I)</f>
        <v>0.34641203703703705</v>
      </c>
      <c r="L2060" s="59">
        <f t="shared" ca="1" si="163"/>
        <v>45998</v>
      </c>
      <c r="M2060" s="30">
        <f t="shared" ca="1" si="164"/>
        <v>0.37276620370370372</v>
      </c>
      <c r="N2060" s="11" t="s">
        <v>402</v>
      </c>
      <c r="O2060" s="31"/>
      <c r="P2060" s="29"/>
      <c r="Q2060" s="29"/>
    </row>
    <row r="2061" spans="1:17" x14ac:dyDescent="0.35">
      <c r="A2061" s="26">
        <v>40000002758</v>
      </c>
      <c r="B2061" s="31">
        <v>1</v>
      </c>
      <c r="C2061" s="29" t="str">
        <f>LOOKUP(A2061,'QALS - Inspection Lot Record'!$A$2:$A$361,'QALS - Inspection Lot Record'!$O$2:$O$361)</f>
        <v>Metformin Tablets (500 MG)</v>
      </c>
      <c r="D2061" s="31">
        <v>40</v>
      </c>
      <c r="E2061" s="29" t="s">
        <v>403</v>
      </c>
      <c r="F2061" s="29" t="str">
        <f>LOOKUP(A2061,'QALS - Inspection Lot Record'!A:A,'QALS - Inspection Lot Record'!G:G)</f>
        <v>TG509538</v>
      </c>
      <c r="G2061" s="59">
        <f ca="1">LOOKUP(A2061,'QALS - Inspection Lot Record'!A:A,'QALS - Inspection Lot Record'!E:E)</f>
        <v>45998</v>
      </c>
      <c r="H2061" s="34" t="str">
        <f t="shared" si="165"/>
        <v>A</v>
      </c>
      <c r="I2061" s="29" t="str">
        <f t="shared" si="161"/>
        <v>TG509538</v>
      </c>
      <c r="J2061" s="59">
        <f t="shared" ca="1" si="162"/>
        <v>45998</v>
      </c>
      <c r="K2061" s="30">
        <f ca="1">LOOKUP(A2061,'QALS - Inspection Lot Record'!A:A,'QALS - Inspection Lot Record'!I:I)</f>
        <v>0.34641203703703705</v>
      </c>
      <c r="L2061" s="59">
        <f t="shared" ca="1" si="163"/>
        <v>45998</v>
      </c>
      <c r="M2061" s="30">
        <f t="shared" ca="1" si="164"/>
        <v>0.37682870370370369</v>
      </c>
      <c r="N2061" s="31"/>
      <c r="O2061" s="31">
        <v>1.6</v>
      </c>
      <c r="P2061" s="29">
        <v>0</v>
      </c>
      <c r="Q2061" s="29">
        <v>2</v>
      </c>
    </row>
    <row r="2062" spans="1:17" x14ac:dyDescent="0.35">
      <c r="A2062" s="26">
        <v>40000002758</v>
      </c>
      <c r="B2062" s="31">
        <v>1</v>
      </c>
      <c r="C2062" s="29" t="str">
        <f>LOOKUP(A2062,'QALS - Inspection Lot Record'!$A$2:$A$361,'QALS - Inspection Lot Record'!$O$2:$O$361)</f>
        <v>Metformin Tablets (500 MG)</v>
      </c>
      <c r="D2062" s="31">
        <v>50</v>
      </c>
      <c r="E2062" s="29" t="s">
        <v>404</v>
      </c>
      <c r="F2062" s="29" t="str">
        <f>LOOKUP(A2062,'QALS - Inspection Lot Record'!A:A,'QALS - Inspection Lot Record'!G:G)</f>
        <v>TG509538</v>
      </c>
      <c r="G2062" s="59">
        <f ca="1">LOOKUP(A2062,'QALS - Inspection Lot Record'!A:A,'QALS - Inspection Lot Record'!E:E)</f>
        <v>45998</v>
      </c>
      <c r="H2062" s="34" t="str">
        <f t="shared" si="165"/>
        <v>A</v>
      </c>
      <c r="I2062" s="29" t="str">
        <f t="shared" si="161"/>
        <v>TG509538</v>
      </c>
      <c r="J2062" s="59">
        <f t="shared" ca="1" si="162"/>
        <v>45998</v>
      </c>
      <c r="K2062" s="30">
        <f ca="1">LOOKUP(A2062,'QALS - Inspection Lot Record'!A:A,'QALS - Inspection Lot Record'!I:I)</f>
        <v>0.34641203703703705</v>
      </c>
      <c r="L2062" s="59">
        <f t="shared" ca="1" si="163"/>
        <v>45998</v>
      </c>
      <c r="M2062" s="30">
        <f t="shared" ca="1" si="164"/>
        <v>0.37677083333333333</v>
      </c>
      <c r="N2062" s="31"/>
      <c r="O2062" s="31">
        <v>41.7</v>
      </c>
      <c r="P2062" s="29">
        <v>40</v>
      </c>
      <c r="Q2062" s="29">
        <v>60</v>
      </c>
    </row>
    <row r="2063" spans="1:17" x14ac:dyDescent="0.35">
      <c r="A2063" s="26">
        <v>40000002758</v>
      </c>
      <c r="B2063" s="31">
        <v>1</v>
      </c>
      <c r="C2063" s="29" t="str">
        <f>LOOKUP(A2063,'QALS - Inspection Lot Record'!$A$2:$A$361,'QALS - Inspection Lot Record'!$O$2:$O$361)</f>
        <v>Metformin Tablets (500 MG)</v>
      </c>
      <c r="D2063" s="31">
        <v>60</v>
      </c>
      <c r="E2063" s="29" t="s">
        <v>405</v>
      </c>
      <c r="F2063" s="29" t="str">
        <f>LOOKUP(A2063,'QALS - Inspection Lot Record'!A:A,'QALS - Inspection Lot Record'!G:G)</f>
        <v>TG509538</v>
      </c>
      <c r="G2063" s="59">
        <f ca="1">LOOKUP(A2063,'QALS - Inspection Lot Record'!A:A,'QALS - Inspection Lot Record'!E:E)</f>
        <v>45998</v>
      </c>
      <c r="H2063" s="34" t="str">
        <f t="shared" si="165"/>
        <v>A</v>
      </c>
      <c r="I2063" s="29" t="str">
        <f t="shared" si="161"/>
        <v>TG509538</v>
      </c>
      <c r="J2063" s="59">
        <f t="shared" ca="1" si="162"/>
        <v>45998</v>
      </c>
      <c r="K2063" s="30">
        <f ca="1">LOOKUP(A2063,'QALS - Inspection Lot Record'!A:A,'QALS - Inspection Lot Record'!I:I)</f>
        <v>0.34641203703703705</v>
      </c>
      <c r="L2063" s="59">
        <f t="shared" ca="1" si="163"/>
        <v>45998</v>
      </c>
      <c r="M2063" s="30">
        <f t="shared" ca="1" si="164"/>
        <v>0.36569444444444443</v>
      </c>
      <c r="N2063" s="31"/>
      <c r="O2063" s="31">
        <v>71.8</v>
      </c>
      <c r="P2063" s="29">
        <v>70</v>
      </c>
      <c r="Q2063" s="29">
        <v>85</v>
      </c>
    </row>
    <row r="2064" spans="1:17" x14ac:dyDescent="0.35">
      <c r="A2064" s="26">
        <v>40000002758</v>
      </c>
      <c r="B2064" s="31">
        <v>1</v>
      </c>
      <c r="C2064" s="29" t="str">
        <f>LOOKUP(A2064,'QALS - Inspection Lot Record'!$A$2:$A$361,'QALS - Inspection Lot Record'!$O$2:$O$361)</f>
        <v>Metformin Tablets (500 MG)</v>
      </c>
      <c r="D2064" s="31">
        <v>70</v>
      </c>
      <c r="E2064" s="29" t="s">
        <v>406</v>
      </c>
      <c r="F2064" s="29" t="str">
        <f>LOOKUP(A2064,'QALS - Inspection Lot Record'!A:A,'QALS - Inspection Lot Record'!G:G)</f>
        <v>TG509538</v>
      </c>
      <c r="G2064" s="59">
        <f ca="1">LOOKUP(A2064,'QALS - Inspection Lot Record'!A:A,'QALS - Inspection Lot Record'!E:E)</f>
        <v>45998</v>
      </c>
      <c r="H2064" s="34" t="str">
        <f t="shared" si="165"/>
        <v>A</v>
      </c>
      <c r="I2064" s="29" t="str">
        <f t="shared" si="161"/>
        <v>TG509538</v>
      </c>
      <c r="J2064" s="59">
        <f t="shared" ca="1" si="162"/>
        <v>45998</v>
      </c>
      <c r="K2064" s="30">
        <f ca="1">LOOKUP(A2064,'QALS - Inspection Lot Record'!A:A,'QALS - Inspection Lot Record'!I:I)</f>
        <v>0.34641203703703705</v>
      </c>
      <c r="L2064" s="59">
        <f t="shared" ca="1" si="163"/>
        <v>45998</v>
      </c>
      <c r="M2064" s="30">
        <f t="shared" ca="1" si="164"/>
        <v>0.37857638888888889</v>
      </c>
      <c r="N2064" s="31"/>
      <c r="O2064" s="31">
        <v>81.2</v>
      </c>
      <c r="P2064" s="29">
        <v>80</v>
      </c>
      <c r="Q2064" s="29">
        <v>90</v>
      </c>
    </row>
    <row r="2065" spans="1:17" x14ac:dyDescent="0.35">
      <c r="A2065" s="26">
        <v>40000002758</v>
      </c>
      <c r="B2065" s="31">
        <v>1</v>
      </c>
      <c r="C2065" s="29" t="str">
        <f>LOOKUP(A2065,'QALS - Inspection Lot Record'!$A$2:$A$361,'QALS - Inspection Lot Record'!$O$2:$O$361)</f>
        <v>Metformin Tablets (500 MG)</v>
      </c>
      <c r="D2065" s="31">
        <v>80</v>
      </c>
      <c r="E2065" s="29" t="s">
        <v>407</v>
      </c>
      <c r="F2065" s="29" t="str">
        <f>LOOKUP(A2065,'QALS - Inspection Lot Record'!A:A,'QALS - Inspection Lot Record'!G:G)</f>
        <v>TG509538</v>
      </c>
      <c r="G2065" s="59">
        <f ca="1">LOOKUP(A2065,'QALS - Inspection Lot Record'!A:A,'QALS - Inspection Lot Record'!E:E)</f>
        <v>45998</v>
      </c>
      <c r="H2065" s="34" t="str">
        <f t="shared" si="165"/>
        <v>A</v>
      </c>
      <c r="I2065" s="29" t="str">
        <f t="shared" si="161"/>
        <v>TG509538</v>
      </c>
      <c r="J2065" s="59">
        <f t="shared" ca="1" si="162"/>
        <v>45998</v>
      </c>
      <c r="K2065" s="30">
        <f ca="1">LOOKUP(A2065,'QALS - Inspection Lot Record'!A:A,'QALS - Inspection Lot Record'!I:I)</f>
        <v>0.34641203703703705</v>
      </c>
      <c r="L2065" s="59">
        <f t="shared" ca="1" si="163"/>
        <v>45998</v>
      </c>
      <c r="M2065" s="30">
        <f t="shared" ca="1" si="164"/>
        <v>0.38181712962962966</v>
      </c>
      <c r="N2065" s="31"/>
      <c r="O2065" s="31">
        <v>25.5</v>
      </c>
      <c r="P2065" s="29">
        <v>23</v>
      </c>
      <c r="Q2065" s="29">
        <v>28</v>
      </c>
    </row>
    <row r="2066" spans="1:17" x14ac:dyDescent="0.35">
      <c r="A2066" s="26">
        <v>40000002759</v>
      </c>
      <c r="B2066" s="27">
        <v>1</v>
      </c>
      <c r="C2066" s="29" t="str">
        <f>LOOKUP(A2066,'QALS - Inspection Lot Record'!$A$2:$A$361,'QALS - Inspection Lot Record'!$O$2:$O$361)</f>
        <v>Metformin Tablets (500 MG)</v>
      </c>
      <c r="D2066" s="27">
        <v>10</v>
      </c>
      <c r="E2066" s="26" t="s">
        <v>399</v>
      </c>
      <c r="F2066" s="29" t="str">
        <f>LOOKUP(A2066,'QALS - Inspection Lot Record'!A:A,'QALS - Inspection Lot Record'!G:G)</f>
        <v>AB406550</v>
      </c>
      <c r="G2066" s="59">
        <f ca="1">LOOKUP(A2066,'QALS - Inspection Lot Record'!A:A,'QALS - Inspection Lot Record'!E:E)</f>
        <v>45999</v>
      </c>
      <c r="H2066" s="34" t="str">
        <f t="shared" si="165"/>
        <v>R</v>
      </c>
      <c r="I2066" s="29" t="str">
        <f t="shared" si="161"/>
        <v>AB406550</v>
      </c>
      <c r="J2066" s="59">
        <f t="shared" ca="1" si="162"/>
        <v>45999</v>
      </c>
      <c r="K2066" s="30">
        <f ca="1">LOOKUP(A2066,'QALS - Inspection Lot Record'!A:A,'QALS - Inspection Lot Record'!I:I)</f>
        <v>0.57579861111111108</v>
      </c>
      <c r="L2066" s="59">
        <f t="shared" ca="1" si="163"/>
        <v>45999</v>
      </c>
      <c r="M2066" s="30">
        <f t="shared" ca="1" si="164"/>
        <v>0.6068634259259259</v>
      </c>
      <c r="N2066" s="31"/>
      <c r="O2066" s="31">
        <v>93</v>
      </c>
      <c r="P2066" s="29">
        <v>95</v>
      </c>
      <c r="Q2066" s="29">
        <v>105</v>
      </c>
    </row>
    <row r="2067" spans="1:17" x14ac:dyDescent="0.35">
      <c r="A2067" s="26">
        <v>40000002759</v>
      </c>
      <c r="B2067" s="27">
        <v>1</v>
      </c>
      <c r="C2067" s="29" t="str">
        <f>LOOKUP(A2067,'QALS - Inspection Lot Record'!$A$2:$A$361,'QALS - Inspection Lot Record'!$O$2:$O$361)</f>
        <v>Metformin Tablets (500 MG)</v>
      </c>
      <c r="D2067" s="31">
        <v>20</v>
      </c>
      <c r="E2067" s="29" t="s">
        <v>400</v>
      </c>
      <c r="F2067" s="29" t="str">
        <f>LOOKUP(A2067,'QALS - Inspection Lot Record'!A:A,'QALS - Inspection Lot Record'!G:G)</f>
        <v>AB406550</v>
      </c>
      <c r="G2067" s="59">
        <f ca="1">LOOKUP(A2067,'QALS - Inspection Lot Record'!A:A,'QALS - Inspection Lot Record'!E:E)</f>
        <v>45999</v>
      </c>
      <c r="H2067" s="34" t="str">
        <f t="shared" si="165"/>
        <v>R</v>
      </c>
      <c r="I2067" s="29" t="str">
        <f t="shared" si="161"/>
        <v>AB406550</v>
      </c>
      <c r="J2067" s="59">
        <f t="shared" ca="1" si="162"/>
        <v>45999</v>
      </c>
      <c r="K2067" s="30">
        <f ca="1">LOOKUP(A2067,'QALS - Inspection Lot Record'!A:A,'QALS - Inspection Lot Record'!I:I)</f>
        <v>0.57579861111111108</v>
      </c>
      <c r="L2067" s="59">
        <f t="shared" ca="1" si="163"/>
        <v>45999</v>
      </c>
      <c r="M2067" s="30">
        <f t="shared" ca="1" si="164"/>
        <v>0.60350694444444442</v>
      </c>
      <c r="N2067" s="31"/>
      <c r="O2067" s="31">
        <v>1.9</v>
      </c>
      <c r="P2067" s="29">
        <v>3.5</v>
      </c>
      <c r="Q2067" s="29">
        <v>11</v>
      </c>
    </row>
    <row r="2068" spans="1:17" x14ac:dyDescent="0.35">
      <c r="A2068" s="26">
        <v>40000002759</v>
      </c>
      <c r="B2068" s="31">
        <v>1</v>
      </c>
      <c r="C2068" s="29" t="str">
        <f>LOOKUP(A2068,'QALS - Inspection Lot Record'!$A$2:$A$361,'QALS - Inspection Lot Record'!$O$2:$O$361)</f>
        <v>Metformin Tablets (500 MG)</v>
      </c>
      <c r="D2068" s="31">
        <v>30</v>
      </c>
      <c r="E2068" s="29" t="s">
        <v>401</v>
      </c>
      <c r="F2068" s="29" t="str">
        <f>LOOKUP(A2068,'QALS - Inspection Lot Record'!A:A,'QALS - Inspection Lot Record'!G:G)</f>
        <v>AB406550</v>
      </c>
      <c r="G2068" s="59">
        <f ca="1">LOOKUP(A2068,'QALS - Inspection Lot Record'!A:A,'QALS - Inspection Lot Record'!E:E)</f>
        <v>45999</v>
      </c>
      <c r="H2068" s="34" t="str">
        <f t="shared" si="165"/>
        <v>A</v>
      </c>
      <c r="I2068" s="29" t="str">
        <f t="shared" si="161"/>
        <v>AB406550</v>
      </c>
      <c r="J2068" s="59">
        <f t="shared" ca="1" si="162"/>
        <v>45999</v>
      </c>
      <c r="K2068" s="30">
        <f ca="1">LOOKUP(A2068,'QALS - Inspection Lot Record'!A:A,'QALS - Inspection Lot Record'!I:I)</f>
        <v>0.57579861111111108</v>
      </c>
      <c r="L2068" s="59">
        <f t="shared" ca="1" si="163"/>
        <v>45999</v>
      </c>
      <c r="M2068" s="30">
        <f t="shared" ca="1" si="164"/>
        <v>0.60554398148148147</v>
      </c>
      <c r="N2068" s="11" t="s">
        <v>402</v>
      </c>
      <c r="O2068" s="31"/>
      <c r="P2068" s="29"/>
      <c r="Q2068" s="29"/>
    </row>
    <row r="2069" spans="1:17" x14ac:dyDescent="0.35">
      <c r="A2069" s="26">
        <v>40000002759</v>
      </c>
      <c r="B2069" s="31">
        <v>1</v>
      </c>
      <c r="C2069" s="29" t="str">
        <f>LOOKUP(A2069,'QALS - Inspection Lot Record'!$A$2:$A$361,'QALS - Inspection Lot Record'!$O$2:$O$361)</f>
        <v>Metformin Tablets (500 MG)</v>
      </c>
      <c r="D2069" s="31">
        <v>40</v>
      </c>
      <c r="E2069" s="29" t="s">
        <v>403</v>
      </c>
      <c r="F2069" s="29" t="str">
        <f>LOOKUP(A2069,'QALS - Inspection Lot Record'!A:A,'QALS - Inspection Lot Record'!G:G)</f>
        <v>AB406550</v>
      </c>
      <c r="G2069" s="59">
        <f ca="1">LOOKUP(A2069,'QALS - Inspection Lot Record'!A:A,'QALS - Inspection Lot Record'!E:E)</f>
        <v>45999</v>
      </c>
      <c r="H2069" s="34" t="str">
        <f t="shared" si="165"/>
        <v>A</v>
      </c>
      <c r="I2069" s="29" t="str">
        <f t="shared" si="161"/>
        <v>AB406550</v>
      </c>
      <c r="J2069" s="59">
        <f t="shared" ca="1" si="162"/>
        <v>45999</v>
      </c>
      <c r="K2069" s="30">
        <f ca="1">LOOKUP(A2069,'QALS - Inspection Lot Record'!A:A,'QALS - Inspection Lot Record'!I:I)</f>
        <v>0.57579861111111108</v>
      </c>
      <c r="L2069" s="59">
        <f t="shared" ca="1" si="163"/>
        <v>45999</v>
      </c>
      <c r="M2069" s="30">
        <f t="shared" ca="1" si="164"/>
        <v>0.59491898148148148</v>
      </c>
      <c r="N2069" s="31"/>
      <c r="O2069" s="31">
        <v>0</v>
      </c>
      <c r="P2069" s="29">
        <v>0</v>
      </c>
      <c r="Q2069" s="29">
        <v>2</v>
      </c>
    </row>
    <row r="2070" spans="1:17" x14ac:dyDescent="0.35">
      <c r="A2070" s="26">
        <v>40000002759</v>
      </c>
      <c r="B2070" s="31">
        <v>1</v>
      </c>
      <c r="C2070" s="29" t="str">
        <f>LOOKUP(A2070,'QALS - Inspection Lot Record'!$A$2:$A$361,'QALS - Inspection Lot Record'!$O$2:$O$361)</f>
        <v>Metformin Tablets (500 MG)</v>
      </c>
      <c r="D2070" s="31">
        <v>50</v>
      </c>
      <c r="E2070" s="29" t="s">
        <v>404</v>
      </c>
      <c r="F2070" s="29" t="str">
        <f>LOOKUP(A2070,'QALS - Inspection Lot Record'!A:A,'QALS - Inspection Lot Record'!G:G)</f>
        <v>AB406550</v>
      </c>
      <c r="G2070" s="59">
        <f ca="1">LOOKUP(A2070,'QALS - Inspection Lot Record'!A:A,'QALS - Inspection Lot Record'!E:E)</f>
        <v>45999</v>
      </c>
      <c r="H2070" s="34" t="str">
        <f t="shared" si="165"/>
        <v>A</v>
      </c>
      <c r="I2070" s="29" t="str">
        <f t="shared" si="161"/>
        <v>AB406550</v>
      </c>
      <c r="J2070" s="59">
        <f t="shared" ca="1" si="162"/>
        <v>45999</v>
      </c>
      <c r="K2070" s="30">
        <f ca="1">LOOKUP(A2070,'QALS - Inspection Lot Record'!A:A,'QALS - Inspection Lot Record'!I:I)</f>
        <v>0.57579861111111108</v>
      </c>
      <c r="L2070" s="59">
        <f t="shared" ca="1" si="163"/>
        <v>45999</v>
      </c>
      <c r="M2070" s="30">
        <f t="shared" ca="1" si="164"/>
        <v>0.60180555555555548</v>
      </c>
      <c r="N2070" s="31"/>
      <c r="O2070" s="31">
        <v>50</v>
      </c>
      <c r="P2070" s="29">
        <v>40</v>
      </c>
      <c r="Q2070" s="29">
        <v>60</v>
      </c>
    </row>
    <row r="2071" spans="1:17" x14ac:dyDescent="0.35">
      <c r="A2071" s="26">
        <v>40000002759</v>
      </c>
      <c r="B2071" s="31">
        <v>1</v>
      </c>
      <c r="C2071" s="29" t="str">
        <f>LOOKUP(A2071,'QALS - Inspection Lot Record'!$A$2:$A$361,'QALS - Inspection Lot Record'!$O$2:$O$361)</f>
        <v>Metformin Tablets (500 MG)</v>
      </c>
      <c r="D2071" s="31">
        <v>60</v>
      </c>
      <c r="E2071" s="29" t="s">
        <v>405</v>
      </c>
      <c r="F2071" s="29" t="str">
        <f>LOOKUP(A2071,'QALS - Inspection Lot Record'!A:A,'QALS - Inspection Lot Record'!G:G)</f>
        <v>AB406550</v>
      </c>
      <c r="G2071" s="59">
        <f ca="1">LOOKUP(A2071,'QALS - Inspection Lot Record'!A:A,'QALS - Inspection Lot Record'!E:E)</f>
        <v>45999</v>
      </c>
      <c r="H2071" s="34" t="str">
        <f t="shared" si="165"/>
        <v>A</v>
      </c>
      <c r="I2071" s="29" t="str">
        <f t="shared" si="161"/>
        <v>AB406550</v>
      </c>
      <c r="J2071" s="59">
        <f t="shared" ca="1" si="162"/>
        <v>45999</v>
      </c>
      <c r="K2071" s="30">
        <f ca="1">LOOKUP(A2071,'QALS - Inspection Lot Record'!A:A,'QALS - Inspection Lot Record'!I:I)</f>
        <v>0.57579861111111108</v>
      </c>
      <c r="L2071" s="59">
        <f t="shared" ca="1" si="163"/>
        <v>45999</v>
      </c>
      <c r="M2071" s="30">
        <f t="shared" ca="1" si="164"/>
        <v>0.59406249999999994</v>
      </c>
      <c r="N2071" s="31"/>
      <c r="O2071" s="31">
        <v>77.5</v>
      </c>
      <c r="P2071" s="29">
        <v>70</v>
      </c>
      <c r="Q2071" s="29">
        <v>85</v>
      </c>
    </row>
    <row r="2072" spans="1:17" x14ac:dyDescent="0.35">
      <c r="A2072" s="26">
        <v>40000002759</v>
      </c>
      <c r="B2072" s="31">
        <v>1</v>
      </c>
      <c r="C2072" s="29" t="str">
        <f>LOOKUP(A2072,'QALS - Inspection Lot Record'!$A$2:$A$361,'QALS - Inspection Lot Record'!$O$2:$O$361)</f>
        <v>Metformin Tablets (500 MG)</v>
      </c>
      <c r="D2072" s="31">
        <v>70</v>
      </c>
      <c r="E2072" s="29" t="s">
        <v>406</v>
      </c>
      <c r="F2072" s="29" t="str">
        <f>LOOKUP(A2072,'QALS - Inspection Lot Record'!A:A,'QALS - Inspection Lot Record'!G:G)</f>
        <v>AB406550</v>
      </c>
      <c r="G2072" s="59">
        <f ca="1">LOOKUP(A2072,'QALS - Inspection Lot Record'!A:A,'QALS - Inspection Lot Record'!E:E)</f>
        <v>45999</v>
      </c>
      <c r="H2072" s="34" t="str">
        <f t="shared" si="165"/>
        <v>A</v>
      </c>
      <c r="I2072" s="29" t="str">
        <f t="shared" si="161"/>
        <v>AB406550</v>
      </c>
      <c r="J2072" s="59">
        <f t="shared" ca="1" si="162"/>
        <v>45999</v>
      </c>
      <c r="K2072" s="30">
        <f ca="1">LOOKUP(A2072,'QALS - Inspection Lot Record'!A:A,'QALS - Inspection Lot Record'!I:I)</f>
        <v>0.57579861111111108</v>
      </c>
      <c r="L2072" s="59">
        <f t="shared" ca="1" si="163"/>
        <v>45999</v>
      </c>
      <c r="M2072" s="30">
        <f t="shared" ca="1" si="164"/>
        <v>0.61116898148148147</v>
      </c>
      <c r="N2072" s="31"/>
      <c r="O2072" s="31">
        <v>85</v>
      </c>
      <c r="P2072" s="29">
        <v>80</v>
      </c>
      <c r="Q2072" s="29">
        <v>90</v>
      </c>
    </row>
    <row r="2073" spans="1:17" x14ac:dyDescent="0.35">
      <c r="A2073" s="26">
        <v>40000002759</v>
      </c>
      <c r="B2073" s="31">
        <v>1</v>
      </c>
      <c r="C2073" s="29" t="str">
        <f>LOOKUP(A2073,'QALS - Inspection Lot Record'!$A$2:$A$361,'QALS - Inspection Lot Record'!$O$2:$O$361)</f>
        <v>Metformin Tablets (500 MG)</v>
      </c>
      <c r="D2073" s="31">
        <v>80</v>
      </c>
      <c r="E2073" s="29" t="s">
        <v>407</v>
      </c>
      <c r="F2073" s="29" t="str">
        <f>LOOKUP(A2073,'QALS - Inspection Lot Record'!A:A,'QALS - Inspection Lot Record'!G:G)</f>
        <v>AB406550</v>
      </c>
      <c r="G2073" s="59">
        <f ca="1">LOOKUP(A2073,'QALS - Inspection Lot Record'!A:A,'QALS - Inspection Lot Record'!E:E)</f>
        <v>45999</v>
      </c>
      <c r="H2073" s="34" t="str">
        <f t="shared" si="165"/>
        <v>A</v>
      </c>
      <c r="I2073" s="29" t="str">
        <f t="shared" si="161"/>
        <v>AB406550</v>
      </c>
      <c r="J2073" s="59">
        <f t="shared" ca="1" si="162"/>
        <v>45999</v>
      </c>
      <c r="K2073" s="30">
        <f ca="1">LOOKUP(A2073,'QALS - Inspection Lot Record'!A:A,'QALS - Inspection Lot Record'!I:I)</f>
        <v>0.57579861111111108</v>
      </c>
      <c r="L2073" s="59">
        <f t="shared" ca="1" si="163"/>
        <v>45999</v>
      </c>
      <c r="M2073" s="30">
        <f t="shared" ca="1" si="164"/>
        <v>0.60913194444444441</v>
      </c>
      <c r="N2073" s="31"/>
      <c r="O2073" s="31">
        <v>25.5</v>
      </c>
      <c r="P2073" s="29">
        <v>23</v>
      </c>
      <c r="Q2073" s="29">
        <v>28</v>
      </c>
    </row>
    <row r="2074" spans="1:17" x14ac:dyDescent="0.35">
      <c r="A2074" s="26">
        <v>40000002760</v>
      </c>
      <c r="B2074" s="27">
        <v>1</v>
      </c>
      <c r="C2074" s="29" t="str">
        <f>LOOKUP(A2074,'QALS - Inspection Lot Record'!$A$2:$A$361,'QALS - Inspection Lot Record'!$O$2:$O$361)</f>
        <v>Ibuprofen Tablets (100 MG)</v>
      </c>
      <c r="D2074" s="27">
        <v>10</v>
      </c>
      <c r="E2074" s="26" t="s">
        <v>399</v>
      </c>
      <c r="F2074" s="29" t="str">
        <f>LOOKUP(A2074,'QALS - Inspection Lot Record'!A:A,'QALS - Inspection Lot Record'!G:G)</f>
        <v>TG509538</v>
      </c>
      <c r="G2074" s="59">
        <f ca="1">LOOKUP(A2074,'QALS - Inspection Lot Record'!A:A,'QALS - Inspection Lot Record'!E:E)</f>
        <v>45999</v>
      </c>
      <c r="H2074" s="34" t="str">
        <f t="shared" si="165"/>
        <v>A</v>
      </c>
      <c r="I2074" s="29" t="str">
        <f t="shared" si="161"/>
        <v>TG509538</v>
      </c>
      <c r="J2074" s="59">
        <f t="shared" ca="1" si="162"/>
        <v>45999</v>
      </c>
      <c r="K2074" s="30">
        <f ca="1">LOOKUP(A2074,'QALS - Inspection Lot Record'!A:A,'QALS - Inspection Lot Record'!I:I)</f>
        <v>7.7638888888888882E-2</v>
      </c>
      <c r="L2074" s="59">
        <f t="shared" ca="1" si="163"/>
        <v>45999</v>
      </c>
      <c r="M2074" s="30">
        <f t="shared" ca="1" si="164"/>
        <v>0.10395833333333332</v>
      </c>
      <c r="N2074" s="31"/>
      <c r="O2074" s="31">
        <v>98.5</v>
      </c>
      <c r="P2074" s="29">
        <v>95</v>
      </c>
      <c r="Q2074" s="29">
        <v>102</v>
      </c>
    </row>
    <row r="2075" spans="1:17" x14ac:dyDescent="0.35">
      <c r="A2075" s="26">
        <v>40000002760</v>
      </c>
      <c r="B2075" s="27">
        <v>1</v>
      </c>
      <c r="C2075" s="29" t="str">
        <f>LOOKUP(A2075,'QALS - Inspection Lot Record'!$A$2:$A$361,'QALS - Inspection Lot Record'!$O$2:$O$361)</f>
        <v>Ibuprofen Tablets (100 MG)</v>
      </c>
      <c r="D2075" s="31">
        <v>20</v>
      </c>
      <c r="E2075" s="29" t="s">
        <v>400</v>
      </c>
      <c r="F2075" s="29" t="str">
        <f>LOOKUP(A2075,'QALS - Inspection Lot Record'!A:A,'QALS - Inspection Lot Record'!G:G)</f>
        <v>TG509538</v>
      </c>
      <c r="G2075" s="59">
        <f ca="1">LOOKUP(A2075,'QALS - Inspection Lot Record'!A:A,'QALS - Inspection Lot Record'!E:E)</f>
        <v>45999</v>
      </c>
      <c r="H2075" s="34" t="str">
        <f t="shared" si="165"/>
        <v>A</v>
      </c>
      <c r="I2075" s="29" t="str">
        <f t="shared" si="161"/>
        <v>TG509538</v>
      </c>
      <c r="J2075" s="59">
        <f t="shared" ca="1" si="162"/>
        <v>45999</v>
      </c>
      <c r="K2075" s="30">
        <f ca="1">LOOKUP(A2075,'QALS - Inspection Lot Record'!A:A,'QALS - Inspection Lot Record'!I:I)</f>
        <v>7.7638888888888882E-2</v>
      </c>
      <c r="L2075" s="59">
        <f t="shared" ca="1" si="163"/>
        <v>45999</v>
      </c>
      <c r="M2075" s="30">
        <f t="shared" ca="1" si="164"/>
        <v>0.10185185185185185</v>
      </c>
      <c r="N2075" s="31"/>
      <c r="O2075" s="31">
        <v>7.25</v>
      </c>
      <c r="P2075" s="29">
        <v>3.5</v>
      </c>
      <c r="Q2075" s="29">
        <v>11</v>
      </c>
    </row>
    <row r="2076" spans="1:17" x14ac:dyDescent="0.35">
      <c r="A2076" s="26">
        <v>40000002760</v>
      </c>
      <c r="B2076" s="31">
        <v>1</v>
      </c>
      <c r="C2076" s="29" t="str">
        <f>LOOKUP(A2076,'QALS - Inspection Lot Record'!$A$2:$A$361,'QALS - Inspection Lot Record'!$O$2:$O$361)</f>
        <v>Ibuprofen Tablets (100 MG)</v>
      </c>
      <c r="D2076" s="31">
        <v>30</v>
      </c>
      <c r="E2076" s="29" t="s">
        <v>401</v>
      </c>
      <c r="F2076" s="29" t="str">
        <f>LOOKUP(A2076,'QALS - Inspection Lot Record'!A:A,'QALS - Inspection Lot Record'!G:G)</f>
        <v>TG509538</v>
      </c>
      <c r="G2076" s="59">
        <f ca="1">LOOKUP(A2076,'QALS - Inspection Lot Record'!A:A,'QALS - Inspection Lot Record'!E:E)</f>
        <v>45999</v>
      </c>
      <c r="H2076" s="34" t="str">
        <f t="shared" si="165"/>
        <v>A</v>
      </c>
      <c r="I2076" s="29" t="str">
        <f t="shared" si="161"/>
        <v>TG509538</v>
      </c>
      <c r="J2076" s="59">
        <f t="shared" ca="1" si="162"/>
        <v>45999</v>
      </c>
      <c r="K2076" s="30">
        <f ca="1">LOOKUP(A2076,'QALS - Inspection Lot Record'!A:A,'QALS - Inspection Lot Record'!I:I)</f>
        <v>7.7638888888888882E-2</v>
      </c>
      <c r="L2076" s="59">
        <f t="shared" ca="1" si="163"/>
        <v>45999</v>
      </c>
      <c r="M2076" s="30">
        <f t="shared" ca="1" si="164"/>
        <v>0.10528935185185184</v>
      </c>
      <c r="N2076" s="11" t="s">
        <v>402</v>
      </c>
      <c r="O2076" s="31"/>
      <c r="P2076" s="29"/>
      <c r="Q2076" s="29"/>
    </row>
    <row r="2077" spans="1:17" x14ac:dyDescent="0.35">
      <c r="A2077" s="26">
        <v>40000002760</v>
      </c>
      <c r="B2077" s="31">
        <v>1</v>
      </c>
      <c r="C2077" s="29" t="str">
        <f>LOOKUP(A2077,'QALS - Inspection Lot Record'!$A$2:$A$361,'QALS - Inspection Lot Record'!$O$2:$O$361)</f>
        <v>Ibuprofen Tablets (100 MG)</v>
      </c>
      <c r="D2077" s="31">
        <v>40</v>
      </c>
      <c r="E2077" s="29" t="s">
        <v>403</v>
      </c>
      <c r="F2077" s="29" t="str">
        <f>LOOKUP(A2077,'QALS - Inspection Lot Record'!A:A,'QALS - Inspection Lot Record'!G:G)</f>
        <v>TG509538</v>
      </c>
      <c r="G2077" s="59">
        <f ca="1">LOOKUP(A2077,'QALS - Inspection Lot Record'!A:A,'QALS - Inspection Lot Record'!E:E)</f>
        <v>45999</v>
      </c>
      <c r="H2077" s="34" t="str">
        <f t="shared" si="165"/>
        <v>A</v>
      </c>
      <c r="I2077" s="29" t="str">
        <f t="shared" si="161"/>
        <v>TG509538</v>
      </c>
      <c r="J2077" s="59">
        <f t="shared" ca="1" si="162"/>
        <v>45999</v>
      </c>
      <c r="K2077" s="30">
        <f ca="1">LOOKUP(A2077,'QALS - Inspection Lot Record'!A:A,'QALS - Inspection Lot Record'!I:I)</f>
        <v>7.7638888888888882E-2</v>
      </c>
      <c r="L2077" s="59">
        <f t="shared" ca="1" si="163"/>
        <v>45999</v>
      </c>
      <c r="M2077" s="30">
        <f t="shared" ca="1" si="164"/>
        <v>0.10072916666666666</v>
      </c>
      <c r="N2077" s="31"/>
      <c r="O2077" s="31">
        <v>0</v>
      </c>
      <c r="P2077" s="29">
        <v>0</v>
      </c>
      <c r="Q2077" s="29">
        <v>1</v>
      </c>
    </row>
    <row r="2078" spans="1:17" x14ac:dyDescent="0.35">
      <c r="A2078" s="26">
        <v>40000002760</v>
      </c>
      <c r="B2078" s="31">
        <v>1</v>
      </c>
      <c r="C2078" s="29" t="str">
        <f>LOOKUP(A2078,'QALS - Inspection Lot Record'!$A$2:$A$361,'QALS - Inspection Lot Record'!$O$2:$O$361)</f>
        <v>Ibuprofen Tablets (100 MG)</v>
      </c>
      <c r="D2078" s="31">
        <v>50</v>
      </c>
      <c r="E2078" s="29" t="s">
        <v>404</v>
      </c>
      <c r="F2078" s="29" t="str">
        <f>LOOKUP(A2078,'QALS - Inspection Lot Record'!A:A,'QALS - Inspection Lot Record'!G:G)</f>
        <v>TG509538</v>
      </c>
      <c r="G2078" s="59">
        <f ca="1">LOOKUP(A2078,'QALS - Inspection Lot Record'!A:A,'QALS - Inspection Lot Record'!E:E)</f>
        <v>45999</v>
      </c>
      <c r="H2078" s="34" t="str">
        <f t="shared" si="165"/>
        <v>A</v>
      </c>
      <c r="I2078" s="29" t="str">
        <f t="shared" si="161"/>
        <v>TG509538</v>
      </c>
      <c r="J2078" s="59">
        <f t="shared" ca="1" si="162"/>
        <v>45999</v>
      </c>
      <c r="K2078" s="30">
        <f ca="1">LOOKUP(A2078,'QALS - Inspection Lot Record'!A:A,'QALS - Inspection Lot Record'!I:I)</f>
        <v>7.7638888888888882E-2</v>
      </c>
      <c r="L2078" s="59">
        <f t="shared" ca="1" si="163"/>
        <v>45999</v>
      </c>
      <c r="M2078" s="30">
        <f t="shared" ca="1" si="164"/>
        <v>0.10841435185185185</v>
      </c>
      <c r="N2078" s="31"/>
      <c r="O2078" s="31">
        <v>50</v>
      </c>
      <c r="P2078" s="29">
        <v>40</v>
      </c>
      <c r="Q2078" s="29">
        <v>60</v>
      </c>
    </row>
    <row r="2079" spans="1:17" x14ac:dyDescent="0.35">
      <c r="A2079" s="26">
        <v>40000002760</v>
      </c>
      <c r="B2079" s="31">
        <v>1</v>
      </c>
      <c r="C2079" s="29" t="str">
        <f>LOOKUP(A2079,'QALS - Inspection Lot Record'!$A$2:$A$361,'QALS - Inspection Lot Record'!$O$2:$O$361)</f>
        <v>Ibuprofen Tablets (100 MG)</v>
      </c>
      <c r="D2079" s="31">
        <v>60</v>
      </c>
      <c r="E2079" s="29" t="s">
        <v>405</v>
      </c>
      <c r="F2079" s="29" t="str">
        <f>LOOKUP(A2079,'QALS - Inspection Lot Record'!A:A,'QALS - Inspection Lot Record'!G:G)</f>
        <v>TG509538</v>
      </c>
      <c r="G2079" s="59">
        <f ca="1">LOOKUP(A2079,'QALS - Inspection Lot Record'!A:A,'QALS - Inspection Lot Record'!E:E)</f>
        <v>45999</v>
      </c>
      <c r="H2079" s="34" t="str">
        <f t="shared" si="165"/>
        <v>A</v>
      </c>
      <c r="I2079" s="29" t="str">
        <f t="shared" si="161"/>
        <v>TG509538</v>
      </c>
      <c r="J2079" s="59">
        <f t="shared" ca="1" si="162"/>
        <v>45999</v>
      </c>
      <c r="K2079" s="30">
        <f ca="1">LOOKUP(A2079,'QALS - Inspection Lot Record'!A:A,'QALS - Inspection Lot Record'!I:I)</f>
        <v>7.7638888888888882E-2</v>
      </c>
      <c r="L2079" s="59">
        <f t="shared" ca="1" si="163"/>
        <v>45999</v>
      </c>
      <c r="M2079" s="30">
        <f t="shared" ca="1" si="164"/>
        <v>0.10335648148148148</v>
      </c>
      <c r="N2079" s="31"/>
      <c r="O2079" s="31">
        <v>77.5</v>
      </c>
      <c r="P2079" s="29">
        <v>70</v>
      </c>
      <c r="Q2079" s="29">
        <v>85</v>
      </c>
    </row>
    <row r="2080" spans="1:17" x14ac:dyDescent="0.35">
      <c r="A2080" s="26">
        <v>40000002760</v>
      </c>
      <c r="B2080" s="31">
        <v>1</v>
      </c>
      <c r="C2080" s="29" t="str">
        <f>LOOKUP(A2080,'QALS - Inspection Lot Record'!$A$2:$A$361,'QALS - Inspection Lot Record'!$O$2:$O$361)</f>
        <v>Ibuprofen Tablets (100 MG)</v>
      </c>
      <c r="D2080" s="31">
        <v>70</v>
      </c>
      <c r="E2080" s="29" t="s">
        <v>406</v>
      </c>
      <c r="F2080" s="29" t="str">
        <f>LOOKUP(A2080,'QALS - Inspection Lot Record'!A:A,'QALS - Inspection Lot Record'!G:G)</f>
        <v>TG509538</v>
      </c>
      <c r="G2080" s="59">
        <f ca="1">LOOKUP(A2080,'QALS - Inspection Lot Record'!A:A,'QALS - Inspection Lot Record'!E:E)</f>
        <v>45999</v>
      </c>
      <c r="H2080" s="34" t="str">
        <f t="shared" si="165"/>
        <v>A</v>
      </c>
      <c r="I2080" s="29" t="str">
        <f t="shared" si="161"/>
        <v>TG509538</v>
      </c>
      <c r="J2080" s="59">
        <f t="shared" ca="1" si="162"/>
        <v>45999</v>
      </c>
      <c r="K2080" s="30">
        <f ca="1">LOOKUP(A2080,'QALS - Inspection Lot Record'!A:A,'QALS - Inspection Lot Record'!I:I)</f>
        <v>7.7638888888888882E-2</v>
      </c>
      <c r="L2080" s="59">
        <f t="shared" ca="1" si="163"/>
        <v>45999</v>
      </c>
      <c r="M2080" s="30">
        <f t="shared" ca="1" si="164"/>
        <v>0.10216435185185185</v>
      </c>
      <c r="N2080" s="31"/>
      <c r="O2080" s="31">
        <v>85</v>
      </c>
      <c r="P2080" s="29">
        <v>80</v>
      </c>
      <c r="Q2080" s="29">
        <v>90</v>
      </c>
    </row>
    <row r="2081" spans="1:17" x14ac:dyDescent="0.35">
      <c r="A2081" s="26">
        <v>40000002760</v>
      </c>
      <c r="B2081" s="31">
        <v>1</v>
      </c>
      <c r="C2081" s="29" t="str">
        <f>LOOKUP(A2081,'QALS - Inspection Lot Record'!$A$2:$A$361,'QALS - Inspection Lot Record'!$O$2:$O$361)</f>
        <v>Ibuprofen Tablets (100 MG)</v>
      </c>
      <c r="D2081" s="31">
        <v>80</v>
      </c>
      <c r="E2081" s="29" t="s">
        <v>407</v>
      </c>
      <c r="F2081" s="29" t="str">
        <f>LOOKUP(A2081,'QALS - Inspection Lot Record'!A:A,'QALS - Inspection Lot Record'!G:G)</f>
        <v>TG509538</v>
      </c>
      <c r="G2081" s="59">
        <f ca="1">LOOKUP(A2081,'QALS - Inspection Lot Record'!A:A,'QALS - Inspection Lot Record'!E:E)</f>
        <v>45999</v>
      </c>
      <c r="H2081" s="34" t="str">
        <f t="shared" si="165"/>
        <v>R</v>
      </c>
      <c r="I2081" s="29" t="str">
        <f t="shared" si="161"/>
        <v>TG509538</v>
      </c>
      <c r="J2081" s="59">
        <f t="shared" ca="1" si="162"/>
        <v>45999</v>
      </c>
      <c r="K2081" s="30">
        <f ca="1">LOOKUP(A2081,'QALS - Inspection Lot Record'!A:A,'QALS - Inspection Lot Record'!I:I)</f>
        <v>7.7638888888888882E-2</v>
      </c>
      <c r="L2081" s="59">
        <f t="shared" ca="1" si="163"/>
        <v>45999</v>
      </c>
      <c r="M2081" s="30">
        <f t="shared" ca="1" si="164"/>
        <v>0.10035879629629629</v>
      </c>
      <c r="N2081" s="31"/>
      <c r="O2081" s="31">
        <v>21.2</v>
      </c>
      <c r="P2081" s="29">
        <v>23</v>
      </c>
      <c r="Q2081" s="29">
        <v>25</v>
      </c>
    </row>
    <row r="2082" spans="1:17" x14ac:dyDescent="0.35">
      <c r="A2082" s="26">
        <v>40000002761</v>
      </c>
      <c r="B2082" s="27">
        <v>1</v>
      </c>
      <c r="C2082" s="29" t="str">
        <f>LOOKUP(A2082,'QALS - Inspection Lot Record'!$A$2:$A$361,'QALS - Inspection Lot Record'!$O$2:$O$361)</f>
        <v>Aspirin Tablets (500 MG)</v>
      </c>
      <c r="D2082" s="27">
        <v>10</v>
      </c>
      <c r="E2082" s="26" t="s">
        <v>399</v>
      </c>
      <c r="F2082" s="29" t="str">
        <f>LOOKUP(A2082,'QALS - Inspection Lot Record'!A:A,'QALS - Inspection Lot Record'!G:G)</f>
        <v>AB406550</v>
      </c>
      <c r="G2082" s="59">
        <f ca="1">LOOKUP(A2082,'QALS - Inspection Lot Record'!A:A,'QALS - Inspection Lot Record'!E:E)</f>
        <v>46000</v>
      </c>
      <c r="H2082" s="34" t="str">
        <f t="shared" si="165"/>
        <v>A</v>
      </c>
      <c r="I2082" s="29" t="str">
        <f t="shared" si="161"/>
        <v>AB406550</v>
      </c>
      <c r="J2082" s="59">
        <f t="shared" ca="1" si="162"/>
        <v>46000</v>
      </c>
      <c r="K2082" s="30">
        <f ca="1">LOOKUP(A2082,'QALS - Inspection Lot Record'!A:A,'QALS - Inspection Lot Record'!I:I)</f>
        <v>0.55664351851851857</v>
      </c>
      <c r="L2082" s="59">
        <f t="shared" ca="1" si="163"/>
        <v>46000</v>
      </c>
      <c r="M2082" s="30">
        <f t="shared" ca="1" si="164"/>
        <v>0.57430555555555562</v>
      </c>
      <c r="N2082" s="31"/>
      <c r="O2082" s="31">
        <v>100</v>
      </c>
      <c r="P2082" s="29">
        <v>95</v>
      </c>
      <c r="Q2082" s="29">
        <v>105</v>
      </c>
    </row>
    <row r="2083" spans="1:17" x14ac:dyDescent="0.35">
      <c r="A2083" s="26">
        <v>40000002761</v>
      </c>
      <c r="B2083" s="27">
        <v>1</v>
      </c>
      <c r="C2083" s="29" t="str">
        <f>LOOKUP(A2083,'QALS - Inspection Lot Record'!$A$2:$A$361,'QALS - Inspection Lot Record'!$O$2:$O$361)</f>
        <v>Aspirin Tablets (500 MG)</v>
      </c>
      <c r="D2083" s="31">
        <v>20</v>
      </c>
      <c r="E2083" s="29" t="s">
        <v>400</v>
      </c>
      <c r="F2083" s="29" t="str">
        <f>LOOKUP(A2083,'QALS - Inspection Lot Record'!A:A,'QALS - Inspection Lot Record'!G:G)</f>
        <v>AB406550</v>
      </c>
      <c r="G2083" s="59">
        <f ca="1">LOOKUP(A2083,'QALS - Inspection Lot Record'!A:A,'QALS - Inspection Lot Record'!E:E)</f>
        <v>46000</v>
      </c>
      <c r="H2083" s="34" t="str">
        <f t="shared" si="165"/>
        <v>A</v>
      </c>
      <c r="I2083" s="29" t="str">
        <f t="shared" si="161"/>
        <v>AB406550</v>
      </c>
      <c r="J2083" s="59">
        <f t="shared" ca="1" si="162"/>
        <v>46000</v>
      </c>
      <c r="K2083" s="30">
        <f ca="1">LOOKUP(A2083,'QALS - Inspection Lot Record'!A:A,'QALS - Inspection Lot Record'!I:I)</f>
        <v>0.55664351851851857</v>
      </c>
      <c r="L2083" s="59">
        <f t="shared" ca="1" si="163"/>
        <v>46000</v>
      </c>
      <c r="M2083" s="30">
        <f t="shared" ca="1" si="164"/>
        <v>0.58853009259259259</v>
      </c>
      <c r="N2083" s="31"/>
      <c r="O2083" s="31">
        <v>7.3</v>
      </c>
      <c r="P2083" s="29">
        <v>3.5</v>
      </c>
      <c r="Q2083" s="29">
        <v>11</v>
      </c>
    </row>
    <row r="2084" spans="1:17" x14ac:dyDescent="0.35">
      <c r="A2084" s="26">
        <v>40000002761</v>
      </c>
      <c r="B2084" s="31">
        <v>1</v>
      </c>
      <c r="C2084" s="29" t="str">
        <f>LOOKUP(A2084,'QALS - Inspection Lot Record'!$A$2:$A$361,'QALS - Inspection Lot Record'!$O$2:$O$361)</f>
        <v>Aspirin Tablets (500 MG)</v>
      </c>
      <c r="D2084" s="31">
        <v>30</v>
      </c>
      <c r="E2084" s="29" t="s">
        <v>401</v>
      </c>
      <c r="F2084" s="29" t="str">
        <f>LOOKUP(A2084,'QALS - Inspection Lot Record'!A:A,'QALS - Inspection Lot Record'!G:G)</f>
        <v>AB406550</v>
      </c>
      <c r="G2084" s="59">
        <f ca="1">LOOKUP(A2084,'QALS - Inspection Lot Record'!A:A,'QALS - Inspection Lot Record'!E:E)</f>
        <v>46000</v>
      </c>
      <c r="H2084" s="34" t="str">
        <f t="shared" si="165"/>
        <v>A</v>
      </c>
      <c r="I2084" s="29" t="str">
        <f t="shared" si="161"/>
        <v>AB406550</v>
      </c>
      <c r="J2084" s="59">
        <f t="shared" ca="1" si="162"/>
        <v>46000</v>
      </c>
      <c r="K2084" s="30">
        <f ca="1">LOOKUP(A2084,'QALS - Inspection Lot Record'!A:A,'QALS - Inspection Lot Record'!I:I)</f>
        <v>0.55664351851851857</v>
      </c>
      <c r="L2084" s="59">
        <f t="shared" ca="1" si="163"/>
        <v>46000</v>
      </c>
      <c r="M2084" s="30">
        <f t="shared" ca="1" si="164"/>
        <v>0.58327546296296306</v>
      </c>
      <c r="N2084" s="11" t="s">
        <v>402</v>
      </c>
      <c r="O2084" s="31"/>
      <c r="P2084" s="29"/>
      <c r="Q2084" s="29"/>
    </row>
    <row r="2085" spans="1:17" x14ac:dyDescent="0.35">
      <c r="A2085" s="26">
        <v>40000002761</v>
      </c>
      <c r="B2085" s="31">
        <v>1</v>
      </c>
      <c r="C2085" s="29" t="str">
        <f>LOOKUP(A2085,'QALS - Inspection Lot Record'!$A$2:$A$361,'QALS - Inspection Lot Record'!$O$2:$O$361)</f>
        <v>Aspirin Tablets (500 MG)</v>
      </c>
      <c r="D2085" s="31">
        <v>40</v>
      </c>
      <c r="E2085" s="29" t="s">
        <v>403</v>
      </c>
      <c r="F2085" s="29" t="str">
        <f>LOOKUP(A2085,'QALS - Inspection Lot Record'!A:A,'QALS - Inspection Lot Record'!G:G)</f>
        <v>AB406550</v>
      </c>
      <c r="G2085" s="59">
        <f ca="1">LOOKUP(A2085,'QALS - Inspection Lot Record'!A:A,'QALS - Inspection Lot Record'!E:E)</f>
        <v>46000</v>
      </c>
      <c r="H2085" s="34" t="str">
        <f t="shared" si="165"/>
        <v>A</v>
      </c>
      <c r="I2085" s="29" t="str">
        <f t="shared" si="161"/>
        <v>AB406550</v>
      </c>
      <c r="J2085" s="59">
        <f t="shared" ca="1" si="162"/>
        <v>46000</v>
      </c>
      <c r="K2085" s="30">
        <f ca="1">LOOKUP(A2085,'QALS - Inspection Lot Record'!A:A,'QALS - Inspection Lot Record'!I:I)</f>
        <v>0.55664351851851857</v>
      </c>
      <c r="L2085" s="59">
        <f t="shared" ca="1" si="163"/>
        <v>46000</v>
      </c>
      <c r="M2085" s="30">
        <f t="shared" ca="1" si="164"/>
        <v>0.5863194444444445</v>
      </c>
      <c r="N2085" s="31"/>
      <c r="O2085" s="31">
        <v>1.8</v>
      </c>
      <c r="P2085" s="29">
        <v>0</v>
      </c>
      <c r="Q2085" s="29">
        <v>2.5</v>
      </c>
    </row>
    <row r="2086" spans="1:17" x14ac:dyDescent="0.35">
      <c r="A2086" s="26">
        <v>40000002761</v>
      </c>
      <c r="B2086" s="31">
        <v>1</v>
      </c>
      <c r="C2086" s="29" t="str">
        <f>LOOKUP(A2086,'QALS - Inspection Lot Record'!$A$2:$A$361,'QALS - Inspection Lot Record'!$O$2:$O$361)</f>
        <v>Aspirin Tablets (500 MG)</v>
      </c>
      <c r="D2086" s="31">
        <v>50</v>
      </c>
      <c r="E2086" s="29" t="s">
        <v>404</v>
      </c>
      <c r="F2086" s="29" t="str">
        <f>LOOKUP(A2086,'QALS - Inspection Lot Record'!A:A,'QALS - Inspection Lot Record'!G:G)</f>
        <v>AB406550</v>
      </c>
      <c r="G2086" s="59">
        <f ca="1">LOOKUP(A2086,'QALS - Inspection Lot Record'!A:A,'QALS - Inspection Lot Record'!E:E)</f>
        <v>46000</v>
      </c>
      <c r="H2086" s="34" t="str">
        <f t="shared" si="165"/>
        <v>A</v>
      </c>
      <c r="I2086" s="29" t="str">
        <f t="shared" si="161"/>
        <v>AB406550</v>
      </c>
      <c r="J2086" s="59">
        <f t="shared" ca="1" si="162"/>
        <v>46000</v>
      </c>
      <c r="K2086" s="30">
        <f ca="1">LOOKUP(A2086,'QALS - Inspection Lot Record'!A:A,'QALS - Inspection Lot Record'!I:I)</f>
        <v>0.55664351851851857</v>
      </c>
      <c r="L2086" s="59">
        <f t="shared" ca="1" si="163"/>
        <v>46000</v>
      </c>
      <c r="M2086" s="30">
        <f t="shared" ca="1" si="164"/>
        <v>0.57518518518518524</v>
      </c>
      <c r="N2086" s="31"/>
      <c r="O2086" s="31">
        <v>41.3</v>
      </c>
      <c r="P2086" s="29">
        <v>40</v>
      </c>
      <c r="Q2086" s="29">
        <v>60</v>
      </c>
    </row>
    <row r="2087" spans="1:17" x14ac:dyDescent="0.35">
      <c r="A2087" s="26">
        <v>40000002761</v>
      </c>
      <c r="B2087" s="31">
        <v>1</v>
      </c>
      <c r="C2087" s="29" t="str">
        <f>LOOKUP(A2087,'QALS - Inspection Lot Record'!$A$2:$A$361,'QALS - Inspection Lot Record'!$O$2:$O$361)</f>
        <v>Aspirin Tablets (500 MG)</v>
      </c>
      <c r="D2087" s="31">
        <v>60</v>
      </c>
      <c r="E2087" s="29" t="s">
        <v>405</v>
      </c>
      <c r="F2087" s="29" t="str">
        <f>LOOKUP(A2087,'QALS - Inspection Lot Record'!A:A,'QALS - Inspection Lot Record'!G:G)</f>
        <v>AB406550</v>
      </c>
      <c r="G2087" s="59">
        <f ca="1">LOOKUP(A2087,'QALS - Inspection Lot Record'!A:A,'QALS - Inspection Lot Record'!E:E)</f>
        <v>46000</v>
      </c>
      <c r="H2087" s="34" t="str">
        <f t="shared" si="165"/>
        <v>A</v>
      </c>
      <c r="I2087" s="29" t="str">
        <f t="shared" si="161"/>
        <v>AB406550</v>
      </c>
      <c r="J2087" s="59">
        <f t="shared" ca="1" si="162"/>
        <v>46000</v>
      </c>
      <c r="K2087" s="30">
        <f ca="1">LOOKUP(A2087,'QALS - Inspection Lot Record'!A:A,'QALS - Inspection Lot Record'!I:I)</f>
        <v>0.55664351851851857</v>
      </c>
      <c r="L2087" s="59">
        <f t="shared" ca="1" si="163"/>
        <v>46000</v>
      </c>
      <c r="M2087" s="30">
        <f t="shared" ca="1" si="164"/>
        <v>0.59000000000000008</v>
      </c>
      <c r="N2087" s="31"/>
      <c r="O2087" s="31">
        <v>71.3</v>
      </c>
      <c r="P2087" s="29">
        <v>70</v>
      </c>
      <c r="Q2087" s="29">
        <v>85</v>
      </c>
    </row>
    <row r="2088" spans="1:17" x14ac:dyDescent="0.35">
      <c r="A2088" s="26">
        <v>40000002761</v>
      </c>
      <c r="B2088" s="31">
        <v>1</v>
      </c>
      <c r="C2088" s="29" t="str">
        <f>LOOKUP(A2088,'QALS - Inspection Lot Record'!$A$2:$A$361,'QALS - Inspection Lot Record'!$O$2:$O$361)</f>
        <v>Aspirin Tablets (500 MG)</v>
      </c>
      <c r="D2088" s="31">
        <v>70</v>
      </c>
      <c r="E2088" s="29" t="s">
        <v>406</v>
      </c>
      <c r="F2088" s="29" t="str">
        <f>LOOKUP(A2088,'QALS - Inspection Lot Record'!A:A,'QALS - Inspection Lot Record'!G:G)</f>
        <v>AB406550</v>
      </c>
      <c r="G2088" s="59">
        <f ca="1">LOOKUP(A2088,'QALS - Inspection Lot Record'!A:A,'QALS - Inspection Lot Record'!E:E)</f>
        <v>46000</v>
      </c>
      <c r="H2088" s="34" t="str">
        <f t="shared" si="165"/>
        <v>A</v>
      </c>
      <c r="I2088" s="29" t="str">
        <f t="shared" si="161"/>
        <v>AB406550</v>
      </c>
      <c r="J2088" s="59">
        <f t="shared" ca="1" si="162"/>
        <v>46000</v>
      </c>
      <c r="K2088" s="30">
        <f ca="1">LOOKUP(A2088,'QALS - Inspection Lot Record'!A:A,'QALS - Inspection Lot Record'!I:I)</f>
        <v>0.55664351851851857</v>
      </c>
      <c r="L2088" s="59">
        <f t="shared" ca="1" si="163"/>
        <v>46000</v>
      </c>
      <c r="M2088" s="30">
        <f t="shared" ca="1" si="164"/>
        <v>0.58011574074074079</v>
      </c>
      <c r="N2088" s="31"/>
      <c r="O2088" s="31">
        <v>81.3</v>
      </c>
      <c r="P2088" s="29">
        <v>80</v>
      </c>
      <c r="Q2088" s="29">
        <v>90</v>
      </c>
    </row>
    <row r="2089" spans="1:17" x14ac:dyDescent="0.35">
      <c r="A2089" s="26">
        <v>40000002761</v>
      </c>
      <c r="B2089" s="31">
        <v>1</v>
      </c>
      <c r="C2089" s="29" t="str">
        <f>LOOKUP(A2089,'QALS - Inspection Lot Record'!$A$2:$A$361,'QALS - Inspection Lot Record'!$O$2:$O$361)</f>
        <v>Aspirin Tablets (500 MG)</v>
      </c>
      <c r="D2089" s="31">
        <v>80</v>
      </c>
      <c r="E2089" s="29" t="s">
        <v>407</v>
      </c>
      <c r="F2089" s="29" t="str">
        <f>LOOKUP(A2089,'QALS - Inspection Lot Record'!A:A,'QALS - Inspection Lot Record'!G:G)</f>
        <v>AB406550</v>
      </c>
      <c r="G2089" s="59">
        <f ca="1">LOOKUP(A2089,'QALS - Inspection Lot Record'!A:A,'QALS - Inspection Lot Record'!E:E)</f>
        <v>46000</v>
      </c>
      <c r="H2089" s="34" t="str">
        <f t="shared" si="165"/>
        <v>A</v>
      </c>
      <c r="I2089" s="29" t="str">
        <f t="shared" si="161"/>
        <v>AB406550</v>
      </c>
      <c r="J2089" s="59">
        <f t="shared" ca="1" si="162"/>
        <v>46000</v>
      </c>
      <c r="K2089" s="30">
        <f ca="1">LOOKUP(A2089,'QALS - Inspection Lot Record'!A:A,'QALS - Inspection Lot Record'!I:I)</f>
        <v>0.55664351851851857</v>
      </c>
      <c r="L2089" s="59">
        <f t="shared" ca="1" si="163"/>
        <v>46000</v>
      </c>
      <c r="M2089" s="30">
        <f t="shared" ca="1" si="164"/>
        <v>0.58212962962962966</v>
      </c>
      <c r="N2089" s="31"/>
      <c r="O2089" s="31">
        <v>25.5</v>
      </c>
      <c r="P2089" s="29">
        <v>23</v>
      </c>
      <c r="Q2089" s="29">
        <v>28</v>
      </c>
    </row>
    <row r="2090" spans="1:17" x14ac:dyDescent="0.35">
      <c r="A2090" s="26">
        <v>40000002762</v>
      </c>
      <c r="B2090" s="27">
        <v>1</v>
      </c>
      <c r="C2090" s="29" t="str">
        <f>LOOKUP(A2090,'QALS - Inspection Lot Record'!$A$2:$A$361,'QALS - Inspection Lot Record'!$O$2:$O$361)</f>
        <v>Metformin Tablets (500 MG)</v>
      </c>
      <c r="D2090" s="27">
        <v>10</v>
      </c>
      <c r="E2090" s="26" t="s">
        <v>399</v>
      </c>
      <c r="F2090" s="29" t="str">
        <f>LOOKUP(A2090,'QALS - Inspection Lot Record'!A:A,'QALS - Inspection Lot Record'!G:G)</f>
        <v>YA284176</v>
      </c>
      <c r="G2090" s="59">
        <f ca="1">LOOKUP(A2090,'QALS - Inspection Lot Record'!A:A,'QALS - Inspection Lot Record'!E:E)</f>
        <v>46000</v>
      </c>
      <c r="H2090" s="34" t="str">
        <f t="shared" si="165"/>
        <v>A</v>
      </c>
      <c r="I2090" s="29" t="str">
        <f t="shared" si="161"/>
        <v>YA284176</v>
      </c>
      <c r="J2090" s="59">
        <f t="shared" ca="1" si="162"/>
        <v>46000</v>
      </c>
      <c r="K2090" s="30">
        <f ca="1">LOOKUP(A2090,'QALS - Inspection Lot Record'!A:A,'QALS - Inspection Lot Record'!I:I)</f>
        <v>0.40697916666666667</v>
      </c>
      <c r="L2090" s="59">
        <f t="shared" ca="1" si="163"/>
        <v>46000</v>
      </c>
      <c r="M2090" s="30">
        <f t="shared" ca="1" si="164"/>
        <v>0.42638888888888887</v>
      </c>
      <c r="N2090" s="31"/>
      <c r="O2090" s="31">
        <v>100</v>
      </c>
      <c r="P2090" s="29">
        <v>95</v>
      </c>
      <c r="Q2090" s="29">
        <v>105</v>
      </c>
    </row>
    <row r="2091" spans="1:17" x14ac:dyDescent="0.35">
      <c r="A2091" s="26">
        <v>40000002762</v>
      </c>
      <c r="B2091" s="27">
        <v>1</v>
      </c>
      <c r="C2091" s="29" t="str">
        <f>LOOKUP(A2091,'QALS - Inspection Lot Record'!$A$2:$A$361,'QALS - Inspection Lot Record'!$O$2:$O$361)</f>
        <v>Metformin Tablets (500 MG)</v>
      </c>
      <c r="D2091" s="31">
        <v>20</v>
      </c>
      <c r="E2091" s="29" t="s">
        <v>400</v>
      </c>
      <c r="F2091" s="29" t="str">
        <f>LOOKUP(A2091,'QALS - Inspection Lot Record'!A:A,'QALS - Inspection Lot Record'!G:G)</f>
        <v>YA284176</v>
      </c>
      <c r="G2091" s="59">
        <f ca="1">LOOKUP(A2091,'QALS - Inspection Lot Record'!A:A,'QALS - Inspection Lot Record'!E:E)</f>
        <v>46000</v>
      </c>
      <c r="H2091" s="34" t="str">
        <f t="shared" si="165"/>
        <v>A</v>
      </c>
      <c r="I2091" s="29" t="str">
        <f t="shared" si="161"/>
        <v>YA284176</v>
      </c>
      <c r="J2091" s="59">
        <f t="shared" ca="1" si="162"/>
        <v>46000</v>
      </c>
      <c r="K2091" s="30">
        <f ca="1">LOOKUP(A2091,'QALS - Inspection Lot Record'!A:A,'QALS - Inspection Lot Record'!I:I)</f>
        <v>0.40697916666666667</v>
      </c>
      <c r="L2091" s="59">
        <f t="shared" ca="1" si="163"/>
        <v>46000</v>
      </c>
      <c r="M2091" s="30">
        <f t="shared" ca="1" si="164"/>
        <v>0.4259722222222222</v>
      </c>
      <c r="N2091" s="31"/>
      <c r="O2091" s="31">
        <v>7.3</v>
      </c>
      <c r="P2091" s="29">
        <v>3.5</v>
      </c>
      <c r="Q2091" s="29">
        <v>11</v>
      </c>
    </row>
    <row r="2092" spans="1:17" x14ac:dyDescent="0.35">
      <c r="A2092" s="26">
        <v>40000002762</v>
      </c>
      <c r="B2092" s="31">
        <v>1</v>
      </c>
      <c r="C2092" s="29" t="str">
        <f>LOOKUP(A2092,'QALS - Inspection Lot Record'!$A$2:$A$361,'QALS - Inspection Lot Record'!$O$2:$O$361)</f>
        <v>Metformin Tablets (500 MG)</v>
      </c>
      <c r="D2092" s="31">
        <v>30</v>
      </c>
      <c r="E2092" s="29" t="s">
        <v>401</v>
      </c>
      <c r="F2092" s="29" t="str">
        <f>LOOKUP(A2092,'QALS - Inspection Lot Record'!A:A,'QALS - Inspection Lot Record'!G:G)</f>
        <v>YA284176</v>
      </c>
      <c r="G2092" s="59">
        <f ca="1">LOOKUP(A2092,'QALS - Inspection Lot Record'!A:A,'QALS - Inspection Lot Record'!E:E)</f>
        <v>46000</v>
      </c>
      <c r="H2092" s="34" t="str">
        <f t="shared" si="165"/>
        <v>A</v>
      </c>
      <c r="I2092" s="29" t="str">
        <f t="shared" si="161"/>
        <v>YA284176</v>
      </c>
      <c r="J2092" s="59">
        <f t="shared" ca="1" si="162"/>
        <v>46000</v>
      </c>
      <c r="K2092" s="30">
        <f ca="1">LOOKUP(A2092,'QALS - Inspection Lot Record'!A:A,'QALS - Inspection Lot Record'!I:I)</f>
        <v>0.40697916666666667</v>
      </c>
      <c r="L2092" s="59">
        <f t="shared" ca="1" si="163"/>
        <v>46000</v>
      </c>
      <c r="M2092" s="30">
        <f t="shared" ca="1" si="164"/>
        <v>0.43960648148148151</v>
      </c>
      <c r="N2092" s="11" t="s">
        <v>402</v>
      </c>
      <c r="O2092" s="31"/>
      <c r="P2092" s="29"/>
      <c r="Q2092" s="29"/>
    </row>
    <row r="2093" spans="1:17" x14ac:dyDescent="0.35">
      <c r="A2093" s="26">
        <v>40000002762</v>
      </c>
      <c r="B2093" s="31">
        <v>1</v>
      </c>
      <c r="C2093" s="29" t="str">
        <f>LOOKUP(A2093,'QALS - Inspection Lot Record'!$A$2:$A$361,'QALS - Inspection Lot Record'!$O$2:$O$361)</f>
        <v>Metformin Tablets (500 MG)</v>
      </c>
      <c r="D2093" s="31">
        <v>40</v>
      </c>
      <c r="E2093" s="29" t="s">
        <v>403</v>
      </c>
      <c r="F2093" s="29" t="str">
        <f>LOOKUP(A2093,'QALS - Inspection Lot Record'!A:A,'QALS - Inspection Lot Record'!G:G)</f>
        <v>YA284176</v>
      </c>
      <c r="G2093" s="59">
        <f ca="1">LOOKUP(A2093,'QALS - Inspection Lot Record'!A:A,'QALS - Inspection Lot Record'!E:E)</f>
        <v>46000</v>
      </c>
      <c r="H2093" s="34" t="str">
        <f t="shared" si="165"/>
        <v>A</v>
      </c>
      <c r="I2093" s="29" t="str">
        <f t="shared" si="161"/>
        <v>YA284176</v>
      </c>
      <c r="J2093" s="59">
        <f t="shared" ca="1" si="162"/>
        <v>46000</v>
      </c>
      <c r="K2093" s="30">
        <f ca="1">LOOKUP(A2093,'QALS - Inspection Lot Record'!A:A,'QALS - Inspection Lot Record'!I:I)</f>
        <v>0.40697916666666667</v>
      </c>
      <c r="L2093" s="59">
        <f t="shared" ca="1" si="163"/>
        <v>46000</v>
      </c>
      <c r="M2093" s="30">
        <f t="shared" ca="1" si="164"/>
        <v>0.44188657407407406</v>
      </c>
      <c r="N2093" s="31"/>
      <c r="O2093" s="31">
        <v>1.6</v>
      </c>
      <c r="P2093" s="29">
        <v>0</v>
      </c>
      <c r="Q2093" s="29">
        <v>2</v>
      </c>
    </row>
    <row r="2094" spans="1:17" x14ac:dyDescent="0.35">
      <c r="A2094" s="26">
        <v>40000002762</v>
      </c>
      <c r="B2094" s="31">
        <v>1</v>
      </c>
      <c r="C2094" s="29" t="str">
        <f>LOOKUP(A2094,'QALS - Inspection Lot Record'!$A$2:$A$361,'QALS - Inspection Lot Record'!$O$2:$O$361)</f>
        <v>Metformin Tablets (500 MG)</v>
      </c>
      <c r="D2094" s="31">
        <v>50</v>
      </c>
      <c r="E2094" s="29" t="s">
        <v>404</v>
      </c>
      <c r="F2094" s="29" t="str">
        <f>LOOKUP(A2094,'QALS - Inspection Lot Record'!A:A,'QALS - Inspection Lot Record'!G:G)</f>
        <v>YA284176</v>
      </c>
      <c r="G2094" s="59">
        <f ca="1">LOOKUP(A2094,'QALS - Inspection Lot Record'!A:A,'QALS - Inspection Lot Record'!E:E)</f>
        <v>46000</v>
      </c>
      <c r="H2094" s="34" t="str">
        <f t="shared" si="165"/>
        <v>A</v>
      </c>
      <c r="I2094" s="29" t="str">
        <f t="shared" si="161"/>
        <v>YA284176</v>
      </c>
      <c r="J2094" s="59">
        <f t="shared" ca="1" si="162"/>
        <v>46000</v>
      </c>
      <c r="K2094" s="30">
        <f ca="1">LOOKUP(A2094,'QALS - Inspection Lot Record'!A:A,'QALS - Inspection Lot Record'!I:I)</f>
        <v>0.40697916666666667</v>
      </c>
      <c r="L2094" s="59">
        <f t="shared" ca="1" si="163"/>
        <v>46000</v>
      </c>
      <c r="M2094" s="30">
        <f t="shared" ca="1" si="164"/>
        <v>0.44131944444444443</v>
      </c>
      <c r="N2094" s="31"/>
      <c r="O2094" s="31">
        <v>41.2</v>
      </c>
      <c r="P2094" s="29">
        <v>40</v>
      </c>
      <c r="Q2094" s="29">
        <v>60</v>
      </c>
    </row>
    <row r="2095" spans="1:17" x14ac:dyDescent="0.35">
      <c r="A2095" s="26">
        <v>40000002762</v>
      </c>
      <c r="B2095" s="31">
        <v>1</v>
      </c>
      <c r="C2095" s="29" t="str">
        <f>LOOKUP(A2095,'QALS - Inspection Lot Record'!$A$2:$A$361,'QALS - Inspection Lot Record'!$O$2:$O$361)</f>
        <v>Metformin Tablets (500 MG)</v>
      </c>
      <c r="D2095" s="31">
        <v>60</v>
      </c>
      <c r="E2095" s="29" t="s">
        <v>405</v>
      </c>
      <c r="F2095" s="29" t="str">
        <f>LOOKUP(A2095,'QALS - Inspection Lot Record'!A:A,'QALS - Inspection Lot Record'!G:G)</f>
        <v>YA284176</v>
      </c>
      <c r="G2095" s="59">
        <f ca="1">LOOKUP(A2095,'QALS - Inspection Lot Record'!A:A,'QALS - Inspection Lot Record'!E:E)</f>
        <v>46000</v>
      </c>
      <c r="H2095" s="34" t="str">
        <f t="shared" si="165"/>
        <v>A</v>
      </c>
      <c r="I2095" s="29" t="str">
        <f t="shared" si="161"/>
        <v>YA284176</v>
      </c>
      <c r="J2095" s="59">
        <f t="shared" ca="1" si="162"/>
        <v>46000</v>
      </c>
      <c r="K2095" s="30">
        <f ca="1">LOOKUP(A2095,'QALS - Inspection Lot Record'!A:A,'QALS - Inspection Lot Record'!I:I)</f>
        <v>0.40697916666666667</v>
      </c>
      <c r="L2095" s="59">
        <f t="shared" ca="1" si="163"/>
        <v>46000</v>
      </c>
      <c r="M2095" s="30">
        <f t="shared" ca="1" si="164"/>
        <v>0.43944444444444447</v>
      </c>
      <c r="N2095" s="31"/>
      <c r="O2095" s="31">
        <v>72</v>
      </c>
      <c r="P2095" s="29">
        <v>70</v>
      </c>
      <c r="Q2095" s="29">
        <v>85</v>
      </c>
    </row>
    <row r="2096" spans="1:17" x14ac:dyDescent="0.35">
      <c r="A2096" s="26">
        <v>40000002762</v>
      </c>
      <c r="B2096" s="31">
        <v>1</v>
      </c>
      <c r="C2096" s="29" t="str">
        <f>LOOKUP(A2096,'QALS - Inspection Lot Record'!$A$2:$A$361,'QALS - Inspection Lot Record'!$O$2:$O$361)</f>
        <v>Metformin Tablets (500 MG)</v>
      </c>
      <c r="D2096" s="31">
        <v>70</v>
      </c>
      <c r="E2096" s="29" t="s">
        <v>406</v>
      </c>
      <c r="F2096" s="29" t="str">
        <f>LOOKUP(A2096,'QALS - Inspection Lot Record'!A:A,'QALS - Inspection Lot Record'!G:G)</f>
        <v>YA284176</v>
      </c>
      <c r="G2096" s="59">
        <f ca="1">LOOKUP(A2096,'QALS - Inspection Lot Record'!A:A,'QALS - Inspection Lot Record'!E:E)</f>
        <v>46000</v>
      </c>
      <c r="H2096" s="34" t="str">
        <f t="shared" si="165"/>
        <v>A</v>
      </c>
      <c r="I2096" s="29" t="str">
        <f t="shared" si="161"/>
        <v>YA284176</v>
      </c>
      <c r="J2096" s="59">
        <f t="shared" ca="1" si="162"/>
        <v>46000</v>
      </c>
      <c r="K2096" s="30">
        <f ca="1">LOOKUP(A2096,'QALS - Inspection Lot Record'!A:A,'QALS - Inspection Lot Record'!I:I)</f>
        <v>0.40697916666666667</v>
      </c>
      <c r="L2096" s="59">
        <f t="shared" ca="1" si="163"/>
        <v>46000</v>
      </c>
      <c r="M2096" s="30">
        <f t="shared" ca="1" si="164"/>
        <v>0.42533564814814817</v>
      </c>
      <c r="N2096" s="31"/>
      <c r="O2096" s="31">
        <v>81.7</v>
      </c>
      <c r="P2096" s="29">
        <v>80</v>
      </c>
      <c r="Q2096" s="29">
        <v>90</v>
      </c>
    </row>
    <row r="2097" spans="1:17" x14ac:dyDescent="0.35">
      <c r="A2097" s="26">
        <v>40000002762</v>
      </c>
      <c r="B2097" s="31">
        <v>1</v>
      </c>
      <c r="C2097" s="29" t="str">
        <f>LOOKUP(A2097,'QALS - Inspection Lot Record'!$A$2:$A$361,'QALS - Inspection Lot Record'!$O$2:$O$361)</f>
        <v>Metformin Tablets (500 MG)</v>
      </c>
      <c r="D2097" s="31">
        <v>80</v>
      </c>
      <c r="E2097" s="29" t="s">
        <v>407</v>
      </c>
      <c r="F2097" s="29" t="str">
        <f>LOOKUP(A2097,'QALS - Inspection Lot Record'!A:A,'QALS - Inspection Lot Record'!G:G)</f>
        <v>YA284176</v>
      </c>
      <c r="G2097" s="59">
        <f ca="1">LOOKUP(A2097,'QALS - Inspection Lot Record'!A:A,'QALS - Inspection Lot Record'!E:E)</f>
        <v>46000</v>
      </c>
      <c r="H2097" s="34" t="str">
        <f t="shared" si="165"/>
        <v>A</v>
      </c>
      <c r="I2097" s="29" t="str">
        <f t="shared" si="161"/>
        <v>YA284176</v>
      </c>
      <c r="J2097" s="59">
        <f t="shared" ca="1" si="162"/>
        <v>46000</v>
      </c>
      <c r="K2097" s="30">
        <f ca="1">LOOKUP(A2097,'QALS - Inspection Lot Record'!A:A,'QALS - Inspection Lot Record'!I:I)</f>
        <v>0.40697916666666667</v>
      </c>
      <c r="L2097" s="59">
        <f t="shared" ca="1" si="163"/>
        <v>46000</v>
      </c>
      <c r="M2097" s="30">
        <f t="shared" ca="1" si="164"/>
        <v>0.42711805555555554</v>
      </c>
      <c r="N2097" s="31"/>
      <c r="O2097" s="31">
        <v>25.5</v>
      </c>
      <c r="P2097" s="29">
        <v>23</v>
      </c>
      <c r="Q2097" s="29">
        <v>28</v>
      </c>
    </row>
    <row r="2098" spans="1:17" x14ac:dyDescent="0.35">
      <c r="A2098" s="26">
        <v>40000002763</v>
      </c>
      <c r="B2098" s="27">
        <v>1</v>
      </c>
      <c r="C2098" s="29" t="str">
        <f>LOOKUP(A2098,'QALS - Inspection Lot Record'!$A$2:$A$361,'QALS - Inspection Lot Record'!$O$2:$O$361)</f>
        <v>Ibuprofen Tablets (100 MG)</v>
      </c>
      <c r="D2098" s="27">
        <v>10</v>
      </c>
      <c r="E2098" s="26" t="s">
        <v>399</v>
      </c>
      <c r="F2098" s="29" t="str">
        <f>LOOKUP(A2098,'QALS - Inspection Lot Record'!A:A,'QALS - Inspection Lot Record'!G:G)</f>
        <v>ZK384180</v>
      </c>
      <c r="G2098" s="59">
        <f ca="1">LOOKUP(A2098,'QALS - Inspection Lot Record'!A:A,'QALS - Inspection Lot Record'!E:E)</f>
        <v>46001</v>
      </c>
      <c r="H2098" s="34" t="str">
        <f t="shared" si="165"/>
        <v>A</v>
      </c>
      <c r="I2098" s="29" t="str">
        <f t="shared" si="161"/>
        <v>ZK384180</v>
      </c>
      <c r="J2098" s="59">
        <f t="shared" ca="1" si="162"/>
        <v>46001</v>
      </c>
      <c r="K2098" s="30">
        <f ca="1">LOOKUP(A2098,'QALS - Inspection Lot Record'!A:A,'QALS - Inspection Lot Record'!I:I)</f>
        <v>0.67873842592592593</v>
      </c>
      <c r="L2098" s="59">
        <f t="shared" ca="1" si="163"/>
        <v>46001</v>
      </c>
      <c r="M2098" s="30">
        <f t="shared" ca="1" si="164"/>
        <v>0.7101157407407408</v>
      </c>
      <c r="N2098" s="31"/>
      <c r="O2098" s="31">
        <v>98.5</v>
      </c>
      <c r="P2098" s="29">
        <v>95</v>
      </c>
      <c r="Q2098" s="29">
        <v>102</v>
      </c>
    </row>
    <row r="2099" spans="1:17" x14ac:dyDescent="0.35">
      <c r="A2099" s="26">
        <v>40000002763</v>
      </c>
      <c r="B2099" s="27">
        <v>1</v>
      </c>
      <c r="C2099" s="29" t="str">
        <f>LOOKUP(A2099,'QALS - Inspection Lot Record'!$A$2:$A$361,'QALS - Inspection Lot Record'!$O$2:$O$361)</f>
        <v>Ibuprofen Tablets (100 MG)</v>
      </c>
      <c r="D2099" s="31">
        <v>20</v>
      </c>
      <c r="E2099" s="29" t="s">
        <v>400</v>
      </c>
      <c r="F2099" s="29" t="str">
        <f>LOOKUP(A2099,'QALS - Inspection Lot Record'!A:A,'QALS - Inspection Lot Record'!G:G)</f>
        <v>ZK384180</v>
      </c>
      <c r="G2099" s="59">
        <f ca="1">LOOKUP(A2099,'QALS - Inspection Lot Record'!A:A,'QALS - Inspection Lot Record'!E:E)</f>
        <v>46001</v>
      </c>
      <c r="H2099" s="34" t="str">
        <f t="shared" si="165"/>
        <v>A</v>
      </c>
      <c r="I2099" s="29" t="str">
        <f t="shared" si="161"/>
        <v>ZK384180</v>
      </c>
      <c r="J2099" s="59">
        <f t="shared" ca="1" si="162"/>
        <v>46001</v>
      </c>
      <c r="K2099" s="30">
        <f ca="1">LOOKUP(A2099,'QALS - Inspection Lot Record'!A:A,'QALS - Inspection Lot Record'!I:I)</f>
        <v>0.67873842592592593</v>
      </c>
      <c r="L2099" s="59">
        <f t="shared" ca="1" si="163"/>
        <v>46001</v>
      </c>
      <c r="M2099" s="30">
        <f t="shared" ca="1" si="164"/>
        <v>0.7084259259259259</v>
      </c>
      <c r="N2099" s="31"/>
      <c r="O2099" s="31">
        <v>7.25</v>
      </c>
      <c r="P2099" s="29">
        <v>3.5</v>
      </c>
      <c r="Q2099" s="29">
        <v>11</v>
      </c>
    </row>
    <row r="2100" spans="1:17" x14ac:dyDescent="0.35">
      <c r="A2100" s="26">
        <v>40000002763</v>
      </c>
      <c r="B2100" s="31">
        <v>1</v>
      </c>
      <c r="C2100" s="29" t="str">
        <f>LOOKUP(A2100,'QALS - Inspection Lot Record'!$A$2:$A$361,'QALS - Inspection Lot Record'!$O$2:$O$361)</f>
        <v>Ibuprofen Tablets (100 MG)</v>
      </c>
      <c r="D2100" s="31">
        <v>30</v>
      </c>
      <c r="E2100" s="29" t="s">
        <v>401</v>
      </c>
      <c r="F2100" s="29" t="str">
        <f>LOOKUP(A2100,'QALS - Inspection Lot Record'!A:A,'QALS - Inspection Lot Record'!G:G)</f>
        <v>ZK384180</v>
      </c>
      <c r="G2100" s="59">
        <f ca="1">LOOKUP(A2100,'QALS - Inspection Lot Record'!A:A,'QALS - Inspection Lot Record'!E:E)</f>
        <v>46001</v>
      </c>
      <c r="H2100" s="34" t="str">
        <f t="shared" si="165"/>
        <v>A</v>
      </c>
      <c r="I2100" s="29" t="str">
        <f t="shared" si="161"/>
        <v>ZK384180</v>
      </c>
      <c r="J2100" s="59">
        <f t="shared" ca="1" si="162"/>
        <v>46001</v>
      </c>
      <c r="K2100" s="30">
        <f ca="1">LOOKUP(A2100,'QALS - Inspection Lot Record'!A:A,'QALS - Inspection Lot Record'!I:I)</f>
        <v>0.67873842592592593</v>
      </c>
      <c r="L2100" s="59">
        <f t="shared" ca="1" si="163"/>
        <v>46001</v>
      </c>
      <c r="M2100" s="30">
        <f t="shared" ca="1" si="164"/>
        <v>0.71055555555555561</v>
      </c>
      <c r="N2100" s="11" t="s">
        <v>402</v>
      </c>
      <c r="O2100" s="31"/>
      <c r="P2100" s="29"/>
      <c r="Q2100" s="29"/>
    </row>
    <row r="2101" spans="1:17" x14ac:dyDescent="0.35">
      <c r="A2101" s="26">
        <v>40000002763</v>
      </c>
      <c r="B2101" s="31">
        <v>1</v>
      </c>
      <c r="C2101" s="29" t="str">
        <f>LOOKUP(A2101,'QALS - Inspection Lot Record'!$A$2:$A$361,'QALS - Inspection Lot Record'!$O$2:$O$361)</f>
        <v>Ibuprofen Tablets (100 MG)</v>
      </c>
      <c r="D2101" s="31">
        <v>40</v>
      </c>
      <c r="E2101" s="29" t="s">
        <v>403</v>
      </c>
      <c r="F2101" s="29" t="str">
        <f>LOOKUP(A2101,'QALS - Inspection Lot Record'!A:A,'QALS - Inspection Lot Record'!G:G)</f>
        <v>ZK384180</v>
      </c>
      <c r="G2101" s="59">
        <f ca="1">LOOKUP(A2101,'QALS - Inspection Lot Record'!A:A,'QALS - Inspection Lot Record'!E:E)</f>
        <v>46001</v>
      </c>
      <c r="H2101" s="34" t="str">
        <f t="shared" si="165"/>
        <v>A</v>
      </c>
      <c r="I2101" s="29" t="str">
        <f t="shared" si="161"/>
        <v>ZK384180</v>
      </c>
      <c r="J2101" s="59">
        <f t="shared" ca="1" si="162"/>
        <v>46001</v>
      </c>
      <c r="K2101" s="30">
        <f ca="1">LOOKUP(A2101,'QALS - Inspection Lot Record'!A:A,'QALS - Inspection Lot Record'!I:I)</f>
        <v>0.67873842592592593</v>
      </c>
      <c r="L2101" s="59">
        <f t="shared" ca="1" si="163"/>
        <v>46001</v>
      </c>
      <c r="M2101" s="30">
        <f t="shared" ca="1" si="164"/>
        <v>0.70576388888888886</v>
      </c>
      <c r="N2101" s="31"/>
      <c r="O2101" s="31">
        <v>0</v>
      </c>
      <c r="P2101" s="29">
        <v>0</v>
      </c>
      <c r="Q2101" s="29">
        <v>1</v>
      </c>
    </row>
    <row r="2102" spans="1:17" x14ac:dyDescent="0.35">
      <c r="A2102" s="26">
        <v>40000002763</v>
      </c>
      <c r="B2102" s="31">
        <v>1</v>
      </c>
      <c r="C2102" s="29" t="str">
        <f>LOOKUP(A2102,'QALS - Inspection Lot Record'!$A$2:$A$361,'QALS - Inspection Lot Record'!$O$2:$O$361)</f>
        <v>Ibuprofen Tablets (100 MG)</v>
      </c>
      <c r="D2102" s="31">
        <v>50</v>
      </c>
      <c r="E2102" s="29" t="s">
        <v>404</v>
      </c>
      <c r="F2102" s="29" t="str">
        <f>LOOKUP(A2102,'QALS - Inspection Lot Record'!A:A,'QALS - Inspection Lot Record'!G:G)</f>
        <v>ZK384180</v>
      </c>
      <c r="G2102" s="59">
        <f ca="1">LOOKUP(A2102,'QALS - Inspection Lot Record'!A:A,'QALS - Inspection Lot Record'!E:E)</f>
        <v>46001</v>
      </c>
      <c r="H2102" s="34" t="str">
        <f t="shared" si="165"/>
        <v>A</v>
      </c>
      <c r="I2102" s="29" t="str">
        <f t="shared" si="161"/>
        <v>ZK384180</v>
      </c>
      <c r="J2102" s="59">
        <f t="shared" ca="1" si="162"/>
        <v>46001</v>
      </c>
      <c r="K2102" s="30">
        <f ca="1">LOOKUP(A2102,'QALS - Inspection Lot Record'!A:A,'QALS - Inspection Lot Record'!I:I)</f>
        <v>0.67873842592592593</v>
      </c>
      <c r="L2102" s="59">
        <f t="shared" ca="1" si="163"/>
        <v>46001</v>
      </c>
      <c r="M2102" s="30">
        <f t="shared" ca="1" si="164"/>
        <v>0.70947916666666666</v>
      </c>
      <c r="N2102" s="31"/>
      <c r="O2102" s="31">
        <v>50</v>
      </c>
      <c r="P2102" s="29">
        <v>40</v>
      </c>
      <c r="Q2102" s="29">
        <v>60</v>
      </c>
    </row>
    <row r="2103" spans="1:17" x14ac:dyDescent="0.35">
      <c r="A2103" s="26">
        <v>40000002763</v>
      </c>
      <c r="B2103" s="31">
        <v>1</v>
      </c>
      <c r="C2103" s="29" t="str">
        <f>LOOKUP(A2103,'QALS - Inspection Lot Record'!$A$2:$A$361,'QALS - Inspection Lot Record'!$O$2:$O$361)</f>
        <v>Ibuprofen Tablets (100 MG)</v>
      </c>
      <c r="D2103" s="31">
        <v>60</v>
      </c>
      <c r="E2103" s="29" t="s">
        <v>405</v>
      </c>
      <c r="F2103" s="29" t="str">
        <f>LOOKUP(A2103,'QALS - Inspection Lot Record'!A:A,'QALS - Inspection Lot Record'!G:G)</f>
        <v>ZK384180</v>
      </c>
      <c r="G2103" s="59">
        <f ca="1">LOOKUP(A2103,'QALS - Inspection Lot Record'!A:A,'QALS - Inspection Lot Record'!E:E)</f>
        <v>46001</v>
      </c>
      <c r="H2103" s="34" t="str">
        <f t="shared" si="165"/>
        <v>A</v>
      </c>
      <c r="I2103" s="29" t="str">
        <f t="shared" si="161"/>
        <v>ZK384180</v>
      </c>
      <c r="J2103" s="59">
        <f t="shared" ca="1" si="162"/>
        <v>46001</v>
      </c>
      <c r="K2103" s="30">
        <f ca="1">LOOKUP(A2103,'QALS - Inspection Lot Record'!A:A,'QALS - Inspection Lot Record'!I:I)</f>
        <v>0.67873842592592593</v>
      </c>
      <c r="L2103" s="59">
        <f t="shared" ca="1" si="163"/>
        <v>46001</v>
      </c>
      <c r="M2103" s="30">
        <f t="shared" ca="1" si="164"/>
        <v>0.71229166666666666</v>
      </c>
      <c r="N2103" s="31"/>
      <c r="O2103" s="31">
        <v>77.5</v>
      </c>
      <c r="P2103" s="29">
        <v>70</v>
      </c>
      <c r="Q2103" s="29">
        <v>85</v>
      </c>
    </row>
    <row r="2104" spans="1:17" x14ac:dyDescent="0.35">
      <c r="A2104" s="26">
        <v>40000002763</v>
      </c>
      <c r="B2104" s="31">
        <v>1</v>
      </c>
      <c r="C2104" s="29" t="str">
        <f>LOOKUP(A2104,'QALS - Inspection Lot Record'!$A$2:$A$361,'QALS - Inspection Lot Record'!$O$2:$O$361)</f>
        <v>Ibuprofen Tablets (100 MG)</v>
      </c>
      <c r="D2104" s="31">
        <v>70</v>
      </c>
      <c r="E2104" s="29" t="s">
        <v>406</v>
      </c>
      <c r="F2104" s="29" t="str">
        <f>LOOKUP(A2104,'QALS - Inspection Lot Record'!A:A,'QALS - Inspection Lot Record'!G:G)</f>
        <v>ZK384180</v>
      </c>
      <c r="G2104" s="59">
        <f ca="1">LOOKUP(A2104,'QALS - Inspection Lot Record'!A:A,'QALS - Inspection Lot Record'!E:E)</f>
        <v>46001</v>
      </c>
      <c r="H2104" s="34" t="str">
        <f t="shared" si="165"/>
        <v>A</v>
      </c>
      <c r="I2104" s="29" t="str">
        <f t="shared" si="161"/>
        <v>ZK384180</v>
      </c>
      <c r="J2104" s="59">
        <f t="shared" ca="1" si="162"/>
        <v>46001</v>
      </c>
      <c r="K2104" s="30">
        <f ca="1">LOOKUP(A2104,'QALS - Inspection Lot Record'!A:A,'QALS - Inspection Lot Record'!I:I)</f>
        <v>0.67873842592592593</v>
      </c>
      <c r="L2104" s="59">
        <f t="shared" ca="1" si="163"/>
        <v>46001</v>
      </c>
      <c r="M2104" s="30">
        <f t="shared" ca="1" si="164"/>
        <v>0.7066203703703704</v>
      </c>
      <c r="N2104" s="31"/>
      <c r="O2104" s="31">
        <v>85</v>
      </c>
      <c r="P2104" s="29">
        <v>80</v>
      </c>
      <c r="Q2104" s="29">
        <v>90</v>
      </c>
    </row>
    <row r="2105" spans="1:17" x14ac:dyDescent="0.35">
      <c r="A2105" s="26">
        <v>40000002763</v>
      </c>
      <c r="B2105" s="31">
        <v>1</v>
      </c>
      <c r="C2105" s="29" t="str">
        <f>LOOKUP(A2105,'QALS - Inspection Lot Record'!$A$2:$A$361,'QALS - Inspection Lot Record'!$O$2:$O$361)</f>
        <v>Ibuprofen Tablets (100 MG)</v>
      </c>
      <c r="D2105" s="31">
        <v>80</v>
      </c>
      <c r="E2105" s="29" t="s">
        <v>407</v>
      </c>
      <c r="F2105" s="29" t="str">
        <f>LOOKUP(A2105,'QALS - Inspection Lot Record'!A:A,'QALS - Inspection Lot Record'!G:G)</f>
        <v>ZK384180</v>
      </c>
      <c r="G2105" s="59">
        <f ca="1">LOOKUP(A2105,'QALS - Inspection Lot Record'!A:A,'QALS - Inspection Lot Record'!E:E)</f>
        <v>46001</v>
      </c>
      <c r="H2105" s="34" t="str">
        <f t="shared" si="165"/>
        <v>A</v>
      </c>
      <c r="I2105" s="29" t="str">
        <f t="shared" si="161"/>
        <v>ZK384180</v>
      </c>
      <c r="J2105" s="59">
        <f t="shared" ca="1" si="162"/>
        <v>46001</v>
      </c>
      <c r="K2105" s="30">
        <f ca="1">LOOKUP(A2105,'QALS - Inspection Lot Record'!A:A,'QALS - Inspection Lot Record'!I:I)</f>
        <v>0.67873842592592593</v>
      </c>
      <c r="L2105" s="59">
        <f t="shared" ca="1" si="163"/>
        <v>46001</v>
      </c>
      <c r="M2105" s="30">
        <f t="shared" ca="1" si="164"/>
        <v>0.70729166666666665</v>
      </c>
      <c r="N2105" s="31"/>
      <c r="O2105" s="31">
        <v>24</v>
      </c>
      <c r="P2105" s="29">
        <v>23</v>
      </c>
      <c r="Q2105" s="29">
        <v>25</v>
      </c>
    </row>
    <row r="2106" spans="1:17" x14ac:dyDescent="0.35">
      <c r="A2106" s="26">
        <v>40000002764</v>
      </c>
      <c r="B2106" s="27">
        <v>1</v>
      </c>
      <c r="C2106" s="29" t="str">
        <f>LOOKUP(A2106,'QALS - Inspection Lot Record'!$A$2:$A$361,'QALS - Inspection Lot Record'!$O$2:$O$361)</f>
        <v>Aspirin Tablets (500 MG)</v>
      </c>
      <c r="D2106" s="27">
        <v>10</v>
      </c>
      <c r="E2106" s="26" t="s">
        <v>399</v>
      </c>
      <c r="F2106" s="29" t="str">
        <f>LOOKUP(A2106,'QALS - Inspection Lot Record'!A:A,'QALS - Inspection Lot Record'!G:G)</f>
        <v>TG509538</v>
      </c>
      <c r="G2106" s="59">
        <f ca="1">LOOKUP(A2106,'QALS - Inspection Lot Record'!A:A,'QALS - Inspection Lot Record'!E:E)</f>
        <v>46001</v>
      </c>
      <c r="H2106" s="34" t="str">
        <f t="shared" si="165"/>
        <v>A</v>
      </c>
      <c r="I2106" s="29" t="str">
        <f t="shared" si="161"/>
        <v>TG509538</v>
      </c>
      <c r="J2106" s="59">
        <f t="shared" ca="1" si="162"/>
        <v>46001</v>
      </c>
      <c r="K2106" s="30">
        <f ca="1">LOOKUP(A2106,'QALS - Inspection Lot Record'!A:A,'QALS - Inspection Lot Record'!I:I)</f>
        <v>2.7025462962962963E-2</v>
      </c>
      <c r="L2106" s="59">
        <f t="shared" ca="1" si="163"/>
        <v>46001</v>
      </c>
      <c r="M2106" s="30">
        <f t="shared" ca="1" si="164"/>
        <v>5.230324074074074E-2</v>
      </c>
      <c r="N2106" s="31"/>
      <c r="O2106" s="31">
        <v>100</v>
      </c>
      <c r="P2106" s="29">
        <v>95</v>
      </c>
      <c r="Q2106" s="29">
        <v>105</v>
      </c>
    </row>
    <row r="2107" spans="1:17" x14ac:dyDescent="0.35">
      <c r="A2107" s="26">
        <v>40000002764</v>
      </c>
      <c r="B2107" s="27">
        <v>1</v>
      </c>
      <c r="C2107" s="29" t="str">
        <f>LOOKUP(A2107,'QALS - Inspection Lot Record'!$A$2:$A$361,'QALS - Inspection Lot Record'!$O$2:$O$361)</f>
        <v>Aspirin Tablets (500 MG)</v>
      </c>
      <c r="D2107" s="31">
        <v>20</v>
      </c>
      <c r="E2107" s="29" t="s">
        <v>400</v>
      </c>
      <c r="F2107" s="29" t="str">
        <f>LOOKUP(A2107,'QALS - Inspection Lot Record'!A:A,'QALS - Inspection Lot Record'!G:G)</f>
        <v>TG509538</v>
      </c>
      <c r="G2107" s="59">
        <f ca="1">LOOKUP(A2107,'QALS - Inspection Lot Record'!A:A,'QALS - Inspection Lot Record'!E:E)</f>
        <v>46001</v>
      </c>
      <c r="H2107" s="34" t="str">
        <f t="shared" si="165"/>
        <v>A</v>
      </c>
      <c r="I2107" s="29" t="str">
        <f t="shared" si="161"/>
        <v>TG509538</v>
      </c>
      <c r="J2107" s="59">
        <f t="shared" ca="1" si="162"/>
        <v>46001</v>
      </c>
      <c r="K2107" s="30">
        <f ca="1">LOOKUP(A2107,'QALS - Inspection Lot Record'!A:A,'QALS - Inspection Lot Record'!I:I)</f>
        <v>2.7025462962962963E-2</v>
      </c>
      <c r="L2107" s="59">
        <f t="shared" ca="1" si="163"/>
        <v>46001</v>
      </c>
      <c r="M2107" s="30">
        <f t="shared" ca="1" si="164"/>
        <v>4.6412037037037036E-2</v>
      </c>
      <c r="N2107" s="31"/>
      <c r="O2107" s="31">
        <v>7.25</v>
      </c>
      <c r="P2107" s="29">
        <v>3.5</v>
      </c>
      <c r="Q2107" s="29">
        <v>11</v>
      </c>
    </row>
    <row r="2108" spans="1:17" x14ac:dyDescent="0.35">
      <c r="A2108" s="26">
        <v>40000002764</v>
      </c>
      <c r="B2108" s="31">
        <v>1</v>
      </c>
      <c r="C2108" s="29" t="str">
        <f>LOOKUP(A2108,'QALS - Inspection Lot Record'!$A$2:$A$361,'QALS - Inspection Lot Record'!$O$2:$O$361)</f>
        <v>Aspirin Tablets (500 MG)</v>
      </c>
      <c r="D2108" s="31">
        <v>30</v>
      </c>
      <c r="E2108" s="29" t="s">
        <v>401</v>
      </c>
      <c r="F2108" s="29" t="str">
        <f>LOOKUP(A2108,'QALS - Inspection Lot Record'!A:A,'QALS - Inspection Lot Record'!G:G)</f>
        <v>TG509538</v>
      </c>
      <c r="G2108" s="59">
        <f ca="1">LOOKUP(A2108,'QALS - Inspection Lot Record'!A:A,'QALS - Inspection Lot Record'!E:E)</f>
        <v>46001</v>
      </c>
      <c r="H2108" s="34" t="str">
        <f t="shared" si="165"/>
        <v>A</v>
      </c>
      <c r="I2108" s="29" t="str">
        <f t="shared" si="161"/>
        <v>TG509538</v>
      </c>
      <c r="J2108" s="59">
        <f t="shared" ca="1" si="162"/>
        <v>46001</v>
      </c>
      <c r="K2108" s="30">
        <f ca="1">LOOKUP(A2108,'QALS - Inspection Lot Record'!A:A,'QALS - Inspection Lot Record'!I:I)</f>
        <v>2.7025462962962963E-2</v>
      </c>
      <c r="L2108" s="59">
        <f t="shared" ca="1" si="163"/>
        <v>46001</v>
      </c>
      <c r="M2108" s="30">
        <f t="shared" ca="1" si="164"/>
        <v>4.6203703703703705E-2</v>
      </c>
      <c r="N2108" s="11" t="s">
        <v>402</v>
      </c>
      <c r="O2108" s="31"/>
      <c r="P2108" s="29"/>
      <c r="Q2108" s="29"/>
    </row>
    <row r="2109" spans="1:17" x14ac:dyDescent="0.35">
      <c r="A2109" s="26">
        <v>40000002764</v>
      </c>
      <c r="B2109" s="31">
        <v>1</v>
      </c>
      <c r="C2109" s="29" t="str">
        <f>LOOKUP(A2109,'QALS - Inspection Lot Record'!$A$2:$A$361,'QALS - Inspection Lot Record'!$O$2:$O$361)</f>
        <v>Aspirin Tablets (500 MG)</v>
      </c>
      <c r="D2109" s="31">
        <v>40</v>
      </c>
      <c r="E2109" s="29" t="s">
        <v>403</v>
      </c>
      <c r="F2109" s="29" t="str">
        <f>LOOKUP(A2109,'QALS - Inspection Lot Record'!A:A,'QALS - Inspection Lot Record'!G:G)</f>
        <v>TG509538</v>
      </c>
      <c r="G2109" s="59">
        <f ca="1">LOOKUP(A2109,'QALS - Inspection Lot Record'!A:A,'QALS - Inspection Lot Record'!E:E)</f>
        <v>46001</v>
      </c>
      <c r="H2109" s="34" t="str">
        <f t="shared" si="165"/>
        <v>A</v>
      </c>
      <c r="I2109" s="29" t="str">
        <f t="shared" si="161"/>
        <v>TG509538</v>
      </c>
      <c r="J2109" s="59">
        <f t="shared" ca="1" si="162"/>
        <v>46001</v>
      </c>
      <c r="K2109" s="30">
        <f ca="1">LOOKUP(A2109,'QALS - Inspection Lot Record'!A:A,'QALS - Inspection Lot Record'!I:I)</f>
        <v>2.7025462962962963E-2</v>
      </c>
      <c r="L2109" s="59">
        <f t="shared" ca="1" si="163"/>
        <v>46001</v>
      </c>
      <c r="M2109" s="30">
        <f t="shared" ca="1" si="164"/>
        <v>4.5208333333333336E-2</v>
      </c>
      <c r="N2109" s="31"/>
      <c r="O2109" s="31">
        <v>0</v>
      </c>
      <c r="P2109" s="29">
        <v>0</v>
      </c>
      <c r="Q2109" s="29">
        <v>2.5</v>
      </c>
    </row>
    <row r="2110" spans="1:17" x14ac:dyDescent="0.35">
      <c r="A2110" s="26">
        <v>40000002764</v>
      </c>
      <c r="B2110" s="31">
        <v>1</v>
      </c>
      <c r="C2110" s="29" t="str">
        <f>LOOKUP(A2110,'QALS - Inspection Lot Record'!$A$2:$A$361,'QALS - Inspection Lot Record'!$O$2:$O$361)</f>
        <v>Aspirin Tablets (500 MG)</v>
      </c>
      <c r="D2110" s="31">
        <v>50</v>
      </c>
      <c r="E2110" s="29" t="s">
        <v>404</v>
      </c>
      <c r="F2110" s="29" t="str">
        <f>LOOKUP(A2110,'QALS - Inspection Lot Record'!A:A,'QALS - Inspection Lot Record'!G:G)</f>
        <v>TG509538</v>
      </c>
      <c r="G2110" s="59">
        <f ca="1">LOOKUP(A2110,'QALS - Inspection Lot Record'!A:A,'QALS - Inspection Lot Record'!E:E)</f>
        <v>46001</v>
      </c>
      <c r="H2110" s="34" t="str">
        <f t="shared" si="165"/>
        <v>R</v>
      </c>
      <c r="I2110" s="29" t="str">
        <f t="shared" si="161"/>
        <v>TG509538</v>
      </c>
      <c r="J2110" s="59">
        <f t="shared" ca="1" si="162"/>
        <v>46001</v>
      </c>
      <c r="K2110" s="30">
        <f ca="1">LOOKUP(A2110,'QALS - Inspection Lot Record'!A:A,'QALS - Inspection Lot Record'!I:I)</f>
        <v>2.7025462962962963E-2</v>
      </c>
      <c r="L2110" s="59">
        <f t="shared" ca="1" si="163"/>
        <v>46001</v>
      </c>
      <c r="M2110" s="30">
        <f t="shared" ca="1" si="164"/>
        <v>5.7650462962962959E-2</v>
      </c>
      <c r="N2110" s="31"/>
      <c r="O2110" s="31">
        <v>39</v>
      </c>
      <c r="P2110" s="29">
        <v>40</v>
      </c>
      <c r="Q2110" s="29">
        <v>60</v>
      </c>
    </row>
    <row r="2111" spans="1:17" x14ac:dyDescent="0.35">
      <c r="A2111" s="26">
        <v>40000002764</v>
      </c>
      <c r="B2111" s="31">
        <v>1</v>
      </c>
      <c r="C2111" s="29" t="str">
        <f>LOOKUP(A2111,'QALS - Inspection Lot Record'!$A$2:$A$361,'QALS - Inspection Lot Record'!$O$2:$O$361)</f>
        <v>Aspirin Tablets (500 MG)</v>
      </c>
      <c r="D2111" s="31">
        <v>60</v>
      </c>
      <c r="E2111" s="29" t="s">
        <v>405</v>
      </c>
      <c r="F2111" s="29" t="str">
        <f>LOOKUP(A2111,'QALS - Inspection Lot Record'!A:A,'QALS - Inspection Lot Record'!G:G)</f>
        <v>TG509538</v>
      </c>
      <c r="G2111" s="59">
        <f ca="1">LOOKUP(A2111,'QALS - Inspection Lot Record'!A:A,'QALS - Inspection Lot Record'!E:E)</f>
        <v>46001</v>
      </c>
      <c r="H2111" s="34" t="str">
        <f t="shared" si="165"/>
        <v>A</v>
      </c>
      <c r="I2111" s="29" t="str">
        <f t="shared" si="161"/>
        <v>TG509538</v>
      </c>
      <c r="J2111" s="59">
        <f t="shared" ca="1" si="162"/>
        <v>46001</v>
      </c>
      <c r="K2111" s="30">
        <f ca="1">LOOKUP(A2111,'QALS - Inspection Lot Record'!A:A,'QALS - Inspection Lot Record'!I:I)</f>
        <v>2.7025462962962963E-2</v>
      </c>
      <c r="L2111" s="59">
        <f t="shared" ca="1" si="163"/>
        <v>46001</v>
      </c>
      <c r="M2111" s="30">
        <f t="shared" ca="1" si="164"/>
        <v>5.9791666666666674E-2</v>
      </c>
      <c r="N2111" s="31"/>
      <c r="O2111" s="31">
        <v>77.5</v>
      </c>
      <c r="P2111" s="29">
        <v>70</v>
      </c>
      <c r="Q2111" s="29">
        <v>85</v>
      </c>
    </row>
    <row r="2112" spans="1:17" x14ac:dyDescent="0.35">
      <c r="A2112" s="26">
        <v>40000002764</v>
      </c>
      <c r="B2112" s="31">
        <v>1</v>
      </c>
      <c r="C2112" s="29" t="str">
        <f>LOOKUP(A2112,'QALS - Inspection Lot Record'!$A$2:$A$361,'QALS - Inspection Lot Record'!$O$2:$O$361)</f>
        <v>Aspirin Tablets (500 MG)</v>
      </c>
      <c r="D2112" s="31">
        <v>70</v>
      </c>
      <c r="E2112" s="29" t="s">
        <v>406</v>
      </c>
      <c r="F2112" s="29" t="str">
        <f>LOOKUP(A2112,'QALS - Inspection Lot Record'!A:A,'QALS - Inspection Lot Record'!G:G)</f>
        <v>TG509538</v>
      </c>
      <c r="G2112" s="59">
        <f ca="1">LOOKUP(A2112,'QALS - Inspection Lot Record'!A:A,'QALS - Inspection Lot Record'!E:E)</f>
        <v>46001</v>
      </c>
      <c r="H2112" s="34" t="str">
        <f t="shared" si="165"/>
        <v>A</v>
      </c>
      <c r="I2112" s="29" t="str">
        <f t="shared" si="161"/>
        <v>TG509538</v>
      </c>
      <c r="J2112" s="59">
        <f t="shared" ca="1" si="162"/>
        <v>46001</v>
      </c>
      <c r="K2112" s="30">
        <f ca="1">LOOKUP(A2112,'QALS - Inspection Lot Record'!A:A,'QALS - Inspection Lot Record'!I:I)</f>
        <v>2.7025462962962963E-2</v>
      </c>
      <c r="L2112" s="59">
        <f t="shared" ca="1" si="163"/>
        <v>46001</v>
      </c>
      <c r="M2112" s="30">
        <f t="shared" ca="1" si="164"/>
        <v>5.6979166666666664E-2</v>
      </c>
      <c r="N2112" s="31"/>
      <c r="O2112" s="31">
        <v>85</v>
      </c>
      <c r="P2112" s="29">
        <v>80</v>
      </c>
      <c r="Q2112" s="29">
        <v>90</v>
      </c>
    </row>
    <row r="2113" spans="1:17" x14ac:dyDescent="0.35">
      <c r="A2113" s="26">
        <v>40000002764</v>
      </c>
      <c r="B2113" s="31">
        <v>1</v>
      </c>
      <c r="C2113" s="29" t="str">
        <f>LOOKUP(A2113,'QALS - Inspection Lot Record'!$A$2:$A$361,'QALS - Inspection Lot Record'!$O$2:$O$361)</f>
        <v>Aspirin Tablets (500 MG)</v>
      </c>
      <c r="D2113" s="31">
        <v>80</v>
      </c>
      <c r="E2113" s="29" t="s">
        <v>407</v>
      </c>
      <c r="F2113" s="29" t="str">
        <f>LOOKUP(A2113,'QALS - Inspection Lot Record'!A:A,'QALS - Inspection Lot Record'!G:G)</f>
        <v>TG509538</v>
      </c>
      <c r="G2113" s="59">
        <f ca="1">LOOKUP(A2113,'QALS - Inspection Lot Record'!A:A,'QALS - Inspection Lot Record'!E:E)</f>
        <v>46001</v>
      </c>
      <c r="H2113" s="34" t="str">
        <f t="shared" si="165"/>
        <v>R</v>
      </c>
      <c r="I2113" s="29" t="str">
        <f t="shared" si="161"/>
        <v>TG509538</v>
      </c>
      <c r="J2113" s="59">
        <f t="shared" ca="1" si="162"/>
        <v>46001</v>
      </c>
      <c r="K2113" s="30">
        <f ca="1">LOOKUP(A2113,'QALS - Inspection Lot Record'!A:A,'QALS - Inspection Lot Record'!I:I)</f>
        <v>2.7025462962962963E-2</v>
      </c>
      <c r="L2113" s="59">
        <f t="shared" ca="1" si="163"/>
        <v>46001</v>
      </c>
      <c r="M2113" s="30">
        <f t="shared" ca="1" si="164"/>
        <v>5.5648148148148148E-2</v>
      </c>
      <c r="N2113" s="31"/>
      <c r="O2113" s="31">
        <v>21.9</v>
      </c>
      <c r="P2113" s="29">
        <v>23</v>
      </c>
      <c r="Q2113" s="29">
        <v>28</v>
      </c>
    </row>
    <row r="2114" spans="1:17" x14ac:dyDescent="0.35">
      <c r="A2114" s="26">
        <v>40000002765</v>
      </c>
      <c r="B2114" s="27">
        <v>1</v>
      </c>
      <c r="C2114" s="29" t="str">
        <f>LOOKUP(A2114,'QALS - Inspection Lot Record'!$A$2:$A$361,'QALS - Inspection Lot Record'!$O$2:$O$361)</f>
        <v>Metformin Tablets (200 MG)</v>
      </c>
      <c r="D2114" s="27">
        <v>10</v>
      </c>
      <c r="E2114" s="26" t="s">
        <v>399</v>
      </c>
      <c r="F2114" s="29" t="str">
        <f>LOOKUP(A2114,'QALS - Inspection Lot Record'!A:A,'QALS - Inspection Lot Record'!G:G)</f>
        <v>AB406550</v>
      </c>
      <c r="G2114" s="59">
        <f ca="1">LOOKUP(A2114,'QALS - Inspection Lot Record'!A:A,'QALS - Inspection Lot Record'!E:E)</f>
        <v>46002</v>
      </c>
      <c r="H2114" s="34" t="str">
        <f t="shared" si="165"/>
        <v>A</v>
      </c>
      <c r="I2114" s="29" t="str">
        <f t="shared" ref="I2114:I2177" si="166">F2114</f>
        <v>AB406550</v>
      </c>
      <c r="J2114" s="59">
        <f t="shared" ref="J2114:J2177" ca="1" si="167">G2114</f>
        <v>46002</v>
      </c>
      <c r="K2114" s="30">
        <f ca="1">LOOKUP(A2114,'QALS - Inspection Lot Record'!A:A,'QALS - Inspection Lot Record'!I:I)</f>
        <v>0.59207175925925926</v>
      </c>
      <c r="L2114" s="59">
        <f t="shared" ref="L2114:L2177" ca="1" si="168">G2114</f>
        <v>46002</v>
      </c>
      <c r="M2114" s="30">
        <f t="shared" ref="M2114:M2177" ca="1" si="169">K2114+TIME(0,RANDBETWEEN(25,50),RANDBETWEEN(0,59))</f>
        <v>0.61714120370370373</v>
      </c>
      <c r="N2114" s="31"/>
      <c r="O2114" s="31">
        <v>99</v>
      </c>
      <c r="P2114" s="29">
        <v>95</v>
      </c>
      <c r="Q2114" s="29">
        <v>103</v>
      </c>
    </row>
    <row r="2115" spans="1:17" x14ac:dyDescent="0.35">
      <c r="A2115" s="26">
        <v>40000002765</v>
      </c>
      <c r="B2115" s="27">
        <v>1</v>
      </c>
      <c r="C2115" s="29" t="str">
        <f>LOOKUP(A2115,'QALS - Inspection Lot Record'!$A$2:$A$361,'QALS - Inspection Lot Record'!$O$2:$O$361)</f>
        <v>Metformin Tablets (200 MG)</v>
      </c>
      <c r="D2115" s="31">
        <v>20</v>
      </c>
      <c r="E2115" s="29" t="s">
        <v>400</v>
      </c>
      <c r="F2115" s="29" t="str">
        <f>LOOKUP(A2115,'QALS - Inspection Lot Record'!A:A,'QALS - Inspection Lot Record'!G:G)</f>
        <v>AB406550</v>
      </c>
      <c r="G2115" s="59">
        <f ca="1">LOOKUP(A2115,'QALS - Inspection Lot Record'!A:A,'QALS - Inspection Lot Record'!E:E)</f>
        <v>46002</v>
      </c>
      <c r="H2115" s="34" t="str">
        <f t="shared" si="165"/>
        <v>A</v>
      </c>
      <c r="I2115" s="29" t="str">
        <f t="shared" si="166"/>
        <v>AB406550</v>
      </c>
      <c r="J2115" s="59">
        <f t="shared" ca="1" si="167"/>
        <v>46002</v>
      </c>
      <c r="K2115" s="30">
        <f ca="1">LOOKUP(A2115,'QALS - Inspection Lot Record'!A:A,'QALS - Inspection Lot Record'!I:I)</f>
        <v>0.59207175925925926</v>
      </c>
      <c r="L2115" s="59">
        <f t="shared" ca="1" si="168"/>
        <v>46002</v>
      </c>
      <c r="M2115" s="30">
        <f t="shared" ca="1" si="169"/>
        <v>0.62715277777777778</v>
      </c>
      <c r="N2115" s="31"/>
      <c r="O2115" s="31">
        <v>7.8</v>
      </c>
      <c r="P2115" s="29">
        <v>6</v>
      </c>
      <c r="Q2115" s="29">
        <v>9.5</v>
      </c>
    </row>
    <row r="2116" spans="1:17" x14ac:dyDescent="0.35">
      <c r="A2116" s="26">
        <v>40000002765</v>
      </c>
      <c r="B2116" s="31">
        <v>1</v>
      </c>
      <c r="C2116" s="29" t="str">
        <f>LOOKUP(A2116,'QALS - Inspection Lot Record'!$A$2:$A$361,'QALS - Inspection Lot Record'!$O$2:$O$361)</f>
        <v>Metformin Tablets (200 MG)</v>
      </c>
      <c r="D2116" s="31">
        <v>30</v>
      </c>
      <c r="E2116" s="29" t="s">
        <v>401</v>
      </c>
      <c r="F2116" s="29" t="str">
        <f>LOOKUP(A2116,'QALS - Inspection Lot Record'!A:A,'QALS - Inspection Lot Record'!G:G)</f>
        <v>AB406550</v>
      </c>
      <c r="G2116" s="59">
        <f ca="1">LOOKUP(A2116,'QALS - Inspection Lot Record'!A:A,'QALS - Inspection Lot Record'!E:E)</f>
        <v>46002</v>
      </c>
      <c r="H2116" s="34" t="str">
        <f t="shared" si="165"/>
        <v>A</v>
      </c>
      <c r="I2116" s="29" t="str">
        <f t="shared" si="166"/>
        <v>AB406550</v>
      </c>
      <c r="J2116" s="59">
        <f t="shared" ca="1" si="167"/>
        <v>46002</v>
      </c>
      <c r="K2116" s="30">
        <f ca="1">LOOKUP(A2116,'QALS - Inspection Lot Record'!A:A,'QALS - Inspection Lot Record'!I:I)</f>
        <v>0.59207175925925926</v>
      </c>
      <c r="L2116" s="59">
        <f t="shared" ca="1" si="168"/>
        <v>46002</v>
      </c>
      <c r="M2116" s="30">
        <f t="shared" ca="1" si="169"/>
        <v>0.61972222222222217</v>
      </c>
      <c r="N2116" s="11" t="s">
        <v>402</v>
      </c>
      <c r="O2116" s="31"/>
      <c r="P2116" s="29"/>
      <c r="Q2116" s="29"/>
    </row>
    <row r="2117" spans="1:17" x14ac:dyDescent="0.35">
      <c r="A2117" s="26">
        <v>40000002765</v>
      </c>
      <c r="B2117" s="31">
        <v>1</v>
      </c>
      <c r="C2117" s="29" t="str">
        <f>LOOKUP(A2117,'QALS - Inspection Lot Record'!$A$2:$A$361,'QALS - Inspection Lot Record'!$O$2:$O$361)</f>
        <v>Metformin Tablets (200 MG)</v>
      </c>
      <c r="D2117" s="31">
        <v>40</v>
      </c>
      <c r="E2117" s="29" t="s">
        <v>403</v>
      </c>
      <c r="F2117" s="29" t="str">
        <f>LOOKUP(A2117,'QALS - Inspection Lot Record'!A:A,'QALS - Inspection Lot Record'!G:G)</f>
        <v>AB406550</v>
      </c>
      <c r="G2117" s="59">
        <f ca="1">LOOKUP(A2117,'QALS - Inspection Lot Record'!A:A,'QALS - Inspection Lot Record'!E:E)</f>
        <v>46002</v>
      </c>
      <c r="H2117" s="34" t="str">
        <f t="shared" si="165"/>
        <v>A</v>
      </c>
      <c r="I2117" s="29" t="str">
        <f t="shared" si="166"/>
        <v>AB406550</v>
      </c>
      <c r="J2117" s="59">
        <f t="shared" ca="1" si="167"/>
        <v>46002</v>
      </c>
      <c r="K2117" s="30">
        <f ca="1">LOOKUP(A2117,'QALS - Inspection Lot Record'!A:A,'QALS - Inspection Lot Record'!I:I)</f>
        <v>0.59207175925925926</v>
      </c>
      <c r="L2117" s="59">
        <f t="shared" ca="1" si="168"/>
        <v>46002</v>
      </c>
      <c r="M2117" s="30">
        <f t="shared" ca="1" si="169"/>
        <v>0.61443287037037031</v>
      </c>
      <c r="N2117" s="31"/>
      <c r="O2117" s="31">
        <v>1.6</v>
      </c>
      <c r="P2117" s="29">
        <v>0</v>
      </c>
      <c r="Q2117" s="29">
        <v>2</v>
      </c>
    </row>
    <row r="2118" spans="1:17" x14ac:dyDescent="0.35">
      <c r="A2118" s="26">
        <v>40000002765</v>
      </c>
      <c r="B2118" s="31">
        <v>1</v>
      </c>
      <c r="C2118" s="29" t="str">
        <f>LOOKUP(A2118,'QALS - Inspection Lot Record'!$A$2:$A$361,'QALS - Inspection Lot Record'!$O$2:$O$361)</f>
        <v>Metformin Tablets (200 MG)</v>
      </c>
      <c r="D2118" s="31">
        <v>50</v>
      </c>
      <c r="E2118" s="29" t="s">
        <v>404</v>
      </c>
      <c r="F2118" s="29" t="str">
        <f>LOOKUP(A2118,'QALS - Inspection Lot Record'!A:A,'QALS - Inspection Lot Record'!G:G)</f>
        <v>AB406550</v>
      </c>
      <c r="G2118" s="59">
        <f ca="1">LOOKUP(A2118,'QALS - Inspection Lot Record'!A:A,'QALS - Inspection Lot Record'!E:E)</f>
        <v>46002</v>
      </c>
      <c r="H2118" s="34" t="str">
        <f t="shared" si="165"/>
        <v>A</v>
      </c>
      <c r="I2118" s="29" t="str">
        <f t="shared" si="166"/>
        <v>AB406550</v>
      </c>
      <c r="J2118" s="59">
        <f t="shared" ca="1" si="167"/>
        <v>46002</v>
      </c>
      <c r="K2118" s="30">
        <f ca="1">LOOKUP(A2118,'QALS - Inspection Lot Record'!A:A,'QALS - Inspection Lot Record'!I:I)</f>
        <v>0.59207175925925926</v>
      </c>
      <c r="L2118" s="59">
        <f t="shared" ca="1" si="168"/>
        <v>46002</v>
      </c>
      <c r="M2118" s="30">
        <f t="shared" ca="1" si="169"/>
        <v>0.61807870370370366</v>
      </c>
      <c r="N2118" s="31"/>
      <c r="O2118" s="31">
        <v>41</v>
      </c>
      <c r="P2118" s="29">
        <v>40</v>
      </c>
      <c r="Q2118" s="29">
        <v>60</v>
      </c>
    </row>
    <row r="2119" spans="1:17" x14ac:dyDescent="0.35">
      <c r="A2119" s="26">
        <v>40000002765</v>
      </c>
      <c r="B2119" s="31">
        <v>1</v>
      </c>
      <c r="C2119" s="29" t="str">
        <f>LOOKUP(A2119,'QALS - Inspection Lot Record'!$A$2:$A$361,'QALS - Inspection Lot Record'!$O$2:$O$361)</f>
        <v>Metformin Tablets (200 MG)</v>
      </c>
      <c r="D2119" s="31">
        <v>60</v>
      </c>
      <c r="E2119" s="29" t="s">
        <v>405</v>
      </c>
      <c r="F2119" s="29" t="str">
        <f>LOOKUP(A2119,'QALS - Inspection Lot Record'!A:A,'QALS - Inspection Lot Record'!G:G)</f>
        <v>AB406550</v>
      </c>
      <c r="G2119" s="59">
        <f ca="1">LOOKUP(A2119,'QALS - Inspection Lot Record'!A:A,'QALS - Inspection Lot Record'!E:E)</f>
        <v>46002</v>
      </c>
      <c r="H2119" s="34" t="str">
        <f t="shared" si="165"/>
        <v>A</v>
      </c>
      <c r="I2119" s="29" t="str">
        <f t="shared" si="166"/>
        <v>AB406550</v>
      </c>
      <c r="J2119" s="59">
        <f t="shared" ca="1" si="167"/>
        <v>46002</v>
      </c>
      <c r="K2119" s="30">
        <f ca="1">LOOKUP(A2119,'QALS - Inspection Lot Record'!A:A,'QALS - Inspection Lot Record'!I:I)</f>
        <v>0.59207175925925926</v>
      </c>
      <c r="L2119" s="59">
        <f t="shared" ca="1" si="168"/>
        <v>46002</v>
      </c>
      <c r="M2119" s="30">
        <f t="shared" ca="1" si="169"/>
        <v>0.60952546296296295</v>
      </c>
      <c r="N2119" s="31"/>
      <c r="O2119" s="31">
        <v>72</v>
      </c>
      <c r="P2119" s="29">
        <v>70</v>
      </c>
      <c r="Q2119" s="29">
        <v>85</v>
      </c>
    </row>
    <row r="2120" spans="1:17" x14ac:dyDescent="0.35">
      <c r="A2120" s="26">
        <v>40000002765</v>
      </c>
      <c r="B2120" s="31">
        <v>1</v>
      </c>
      <c r="C2120" s="29" t="str">
        <f>LOOKUP(A2120,'QALS - Inspection Lot Record'!$A$2:$A$361,'QALS - Inspection Lot Record'!$O$2:$O$361)</f>
        <v>Metformin Tablets (200 MG)</v>
      </c>
      <c r="D2120" s="31">
        <v>70</v>
      </c>
      <c r="E2120" s="29" t="s">
        <v>406</v>
      </c>
      <c r="F2120" s="29" t="str">
        <f>LOOKUP(A2120,'QALS - Inspection Lot Record'!A:A,'QALS - Inspection Lot Record'!G:G)</f>
        <v>AB406550</v>
      </c>
      <c r="G2120" s="59">
        <f ca="1">LOOKUP(A2120,'QALS - Inspection Lot Record'!A:A,'QALS - Inspection Lot Record'!E:E)</f>
        <v>46002</v>
      </c>
      <c r="H2120" s="34" t="str">
        <f t="shared" si="165"/>
        <v>A</v>
      </c>
      <c r="I2120" s="29" t="str">
        <f t="shared" si="166"/>
        <v>AB406550</v>
      </c>
      <c r="J2120" s="59">
        <f t="shared" ca="1" si="167"/>
        <v>46002</v>
      </c>
      <c r="K2120" s="30">
        <f ca="1">LOOKUP(A2120,'QALS - Inspection Lot Record'!A:A,'QALS - Inspection Lot Record'!I:I)</f>
        <v>0.59207175925925926</v>
      </c>
      <c r="L2120" s="59">
        <f t="shared" ca="1" si="168"/>
        <v>46002</v>
      </c>
      <c r="M2120" s="30">
        <f t="shared" ca="1" si="169"/>
        <v>0.62429398148148152</v>
      </c>
      <c r="N2120" s="31"/>
      <c r="O2120" s="31">
        <v>81.7</v>
      </c>
      <c r="P2120" s="29">
        <v>80</v>
      </c>
      <c r="Q2120" s="29">
        <v>90</v>
      </c>
    </row>
    <row r="2121" spans="1:17" x14ac:dyDescent="0.35">
      <c r="A2121" s="26">
        <v>40000002765</v>
      </c>
      <c r="B2121" s="31">
        <v>1</v>
      </c>
      <c r="C2121" s="29" t="str">
        <f>LOOKUP(A2121,'QALS - Inspection Lot Record'!$A$2:$A$361,'QALS - Inspection Lot Record'!$O$2:$O$361)</f>
        <v>Metformin Tablets (200 MG)</v>
      </c>
      <c r="D2121" s="31">
        <v>80</v>
      </c>
      <c r="E2121" s="29" t="s">
        <v>407</v>
      </c>
      <c r="F2121" s="29" t="str">
        <f>LOOKUP(A2121,'QALS - Inspection Lot Record'!A:A,'QALS - Inspection Lot Record'!G:G)</f>
        <v>AB406550</v>
      </c>
      <c r="G2121" s="59">
        <f ca="1">LOOKUP(A2121,'QALS - Inspection Lot Record'!A:A,'QALS - Inspection Lot Record'!E:E)</f>
        <v>46002</v>
      </c>
      <c r="H2121" s="34" t="str">
        <f t="shared" si="165"/>
        <v>A</v>
      </c>
      <c r="I2121" s="29" t="str">
        <f t="shared" si="166"/>
        <v>AB406550</v>
      </c>
      <c r="J2121" s="59">
        <f t="shared" ca="1" si="167"/>
        <v>46002</v>
      </c>
      <c r="K2121" s="30">
        <f ca="1">LOOKUP(A2121,'QALS - Inspection Lot Record'!A:A,'QALS - Inspection Lot Record'!I:I)</f>
        <v>0.59207175925925926</v>
      </c>
      <c r="L2121" s="59">
        <f t="shared" ca="1" si="168"/>
        <v>46002</v>
      </c>
      <c r="M2121" s="30">
        <f t="shared" ca="1" si="169"/>
        <v>0.62287037037037041</v>
      </c>
      <c r="N2121" s="31"/>
      <c r="O2121" s="31">
        <v>25.5</v>
      </c>
      <c r="P2121" s="29">
        <v>23</v>
      </c>
      <c r="Q2121" s="29">
        <v>28</v>
      </c>
    </row>
    <row r="2122" spans="1:17" x14ac:dyDescent="0.35">
      <c r="A2122" s="26">
        <v>40000002766</v>
      </c>
      <c r="B2122" s="27">
        <v>1</v>
      </c>
      <c r="C2122" s="29" t="str">
        <f>LOOKUP(A2122,'QALS - Inspection Lot Record'!$A$2:$A$361,'QALS - Inspection Lot Record'!$O$2:$O$361)</f>
        <v>Metformin Tablets (500 MG)</v>
      </c>
      <c r="D2122" s="27">
        <v>10</v>
      </c>
      <c r="E2122" s="26" t="s">
        <v>399</v>
      </c>
      <c r="F2122" s="29" t="str">
        <f>LOOKUP(A2122,'QALS - Inspection Lot Record'!A:A,'QALS - Inspection Lot Record'!G:G)</f>
        <v>GC197258</v>
      </c>
      <c r="G2122" s="59">
        <f ca="1">LOOKUP(A2122,'QALS - Inspection Lot Record'!A:A,'QALS - Inspection Lot Record'!E:E)</f>
        <v>46002</v>
      </c>
      <c r="H2122" s="34" t="str">
        <f t="shared" ref="H2122:H2185" si="170">IF(AND(P2122&lt;=O2122,O2122&lt;=Q2122),"A","R")</f>
        <v>A</v>
      </c>
      <c r="I2122" s="29" t="str">
        <f t="shared" si="166"/>
        <v>GC197258</v>
      </c>
      <c r="J2122" s="59">
        <f t="shared" ca="1" si="167"/>
        <v>46002</v>
      </c>
      <c r="K2122" s="30">
        <f ca="1">LOOKUP(A2122,'QALS - Inspection Lot Record'!A:A,'QALS - Inspection Lot Record'!I:I)</f>
        <v>0.43283564814814812</v>
      </c>
      <c r="L2122" s="59">
        <f t="shared" ca="1" si="168"/>
        <v>46002</v>
      </c>
      <c r="M2122" s="30">
        <f t="shared" ca="1" si="169"/>
        <v>0.46319444444444441</v>
      </c>
      <c r="N2122" s="31"/>
      <c r="O2122" s="31">
        <v>100</v>
      </c>
      <c r="P2122" s="29">
        <v>95</v>
      </c>
      <c r="Q2122" s="29">
        <v>105</v>
      </c>
    </row>
    <row r="2123" spans="1:17" x14ac:dyDescent="0.35">
      <c r="A2123" s="26">
        <v>40000002766</v>
      </c>
      <c r="B2123" s="27">
        <v>1</v>
      </c>
      <c r="C2123" s="29" t="str">
        <f>LOOKUP(A2123,'QALS - Inspection Lot Record'!$A$2:$A$361,'QALS - Inspection Lot Record'!$O$2:$O$361)</f>
        <v>Metformin Tablets (500 MG)</v>
      </c>
      <c r="D2123" s="31">
        <v>20</v>
      </c>
      <c r="E2123" s="29" t="s">
        <v>400</v>
      </c>
      <c r="F2123" s="29" t="str">
        <f>LOOKUP(A2123,'QALS - Inspection Lot Record'!A:A,'QALS - Inspection Lot Record'!G:G)</f>
        <v>GC197258</v>
      </c>
      <c r="G2123" s="59">
        <f ca="1">LOOKUP(A2123,'QALS - Inspection Lot Record'!A:A,'QALS - Inspection Lot Record'!E:E)</f>
        <v>46002</v>
      </c>
      <c r="H2123" s="34" t="str">
        <f t="shared" si="170"/>
        <v>A</v>
      </c>
      <c r="I2123" s="29" t="str">
        <f t="shared" si="166"/>
        <v>GC197258</v>
      </c>
      <c r="J2123" s="59">
        <f t="shared" ca="1" si="167"/>
        <v>46002</v>
      </c>
      <c r="K2123" s="30">
        <f ca="1">LOOKUP(A2123,'QALS - Inspection Lot Record'!A:A,'QALS - Inspection Lot Record'!I:I)</f>
        <v>0.43283564814814812</v>
      </c>
      <c r="L2123" s="59">
        <f t="shared" ca="1" si="168"/>
        <v>46002</v>
      </c>
      <c r="M2123" s="30">
        <f t="shared" ca="1" si="169"/>
        <v>0.45871527777777776</v>
      </c>
      <c r="N2123" s="31"/>
      <c r="O2123" s="31">
        <v>7.3</v>
      </c>
      <c r="P2123" s="29">
        <v>3.5</v>
      </c>
      <c r="Q2123" s="29">
        <v>11</v>
      </c>
    </row>
    <row r="2124" spans="1:17" x14ac:dyDescent="0.35">
      <c r="A2124" s="26">
        <v>40000002766</v>
      </c>
      <c r="B2124" s="31">
        <v>1</v>
      </c>
      <c r="C2124" s="29" t="str">
        <f>LOOKUP(A2124,'QALS - Inspection Lot Record'!$A$2:$A$361,'QALS - Inspection Lot Record'!$O$2:$O$361)</f>
        <v>Metformin Tablets (500 MG)</v>
      </c>
      <c r="D2124" s="31">
        <v>30</v>
      </c>
      <c r="E2124" s="29" t="s">
        <v>401</v>
      </c>
      <c r="F2124" s="29" t="str">
        <f>LOOKUP(A2124,'QALS - Inspection Lot Record'!A:A,'QALS - Inspection Lot Record'!G:G)</f>
        <v>GC197258</v>
      </c>
      <c r="G2124" s="59">
        <f ca="1">LOOKUP(A2124,'QALS - Inspection Lot Record'!A:A,'QALS - Inspection Lot Record'!E:E)</f>
        <v>46002</v>
      </c>
      <c r="H2124" s="34" t="str">
        <f t="shared" si="170"/>
        <v>A</v>
      </c>
      <c r="I2124" s="29" t="str">
        <f t="shared" si="166"/>
        <v>GC197258</v>
      </c>
      <c r="J2124" s="59">
        <f t="shared" ca="1" si="167"/>
        <v>46002</v>
      </c>
      <c r="K2124" s="30">
        <f ca="1">LOOKUP(A2124,'QALS - Inspection Lot Record'!A:A,'QALS - Inspection Lot Record'!I:I)</f>
        <v>0.43283564814814812</v>
      </c>
      <c r="L2124" s="59">
        <f t="shared" ca="1" si="168"/>
        <v>46002</v>
      </c>
      <c r="M2124" s="30">
        <f t="shared" ca="1" si="169"/>
        <v>0.46471064814814811</v>
      </c>
      <c r="N2124" s="11" t="s">
        <v>402</v>
      </c>
      <c r="O2124" s="31"/>
      <c r="P2124" s="29"/>
      <c r="Q2124" s="29"/>
    </row>
    <row r="2125" spans="1:17" x14ac:dyDescent="0.35">
      <c r="A2125" s="26">
        <v>40000002766</v>
      </c>
      <c r="B2125" s="31">
        <v>1</v>
      </c>
      <c r="C2125" s="29" t="str">
        <f>LOOKUP(A2125,'QALS - Inspection Lot Record'!$A$2:$A$361,'QALS - Inspection Lot Record'!$O$2:$O$361)</f>
        <v>Metformin Tablets (500 MG)</v>
      </c>
      <c r="D2125" s="31">
        <v>40</v>
      </c>
      <c r="E2125" s="29" t="s">
        <v>403</v>
      </c>
      <c r="F2125" s="29" t="str">
        <f>LOOKUP(A2125,'QALS - Inspection Lot Record'!A:A,'QALS - Inspection Lot Record'!G:G)</f>
        <v>GC197258</v>
      </c>
      <c r="G2125" s="59">
        <f ca="1">LOOKUP(A2125,'QALS - Inspection Lot Record'!A:A,'QALS - Inspection Lot Record'!E:E)</f>
        <v>46002</v>
      </c>
      <c r="H2125" s="34" t="str">
        <f t="shared" si="170"/>
        <v>A</v>
      </c>
      <c r="I2125" s="29" t="str">
        <f t="shared" si="166"/>
        <v>GC197258</v>
      </c>
      <c r="J2125" s="59">
        <f t="shared" ca="1" si="167"/>
        <v>46002</v>
      </c>
      <c r="K2125" s="30">
        <f ca="1">LOOKUP(A2125,'QALS - Inspection Lot Record'!A:A,'QALS - Inspection Lot Record'!I:I)</f>
        <v>0.43283564814814812</v>
      </c>
      <c r="L2125" s="59">
        <f t="shared" ca="1" si="168"/>
        <v>46002</v>
      </c>
      <c r="M2125" s="30">
        <f t="shared" ca="1" si="169"/>
        <v>0.4572106481481481</v>
      </c>
      <c r="N2125" s="31"/>
      <c r="O2125" s="31">
        <v>1.6</v>
      </c>
      <c r="P2125" s="29">
        <v>0</v>
      </c>
      <c r="Q2125" s="29">
        <v>2</v>
      </c>
    </row>
    <row r="2126" spans="1:17" x14ac:dyDescent="0.35">
      <c r="A2126" s="26">
        <v>40000002766</v>
      </c>
      <c r="B2126" s="31">
        <v>1</v>
      </c>
      <c r="C2126" s="29" t="str">
        <f>LOOKUP(A2126,'QALS - Inspection Lot Record'!$A$2:$A$361,'QALS - Inspection Lot Record'!$O$2:$O$361)</f>
        <v>Metformin Tablets (500 MG)</v>
      </c>
      <c r="D2126" s="31">
        <v>50</v>
      </c>
      <c r="E2126" s="29" t="s">
        <v>404</v>
      </c>
      <c r="F2126" s="29" t="str">
        <f>LOOKUP(A2126,'QALS - Inspection Lot Record'!A:A,'QALS - Inspection Lot Record'!G:G)</f>
        <v>GC197258</v>
      </c>
      <c r="G2126" s="59">
        <f ca="1">LOOKUP(A2126,'QALS - Inspection Lot Record'!A:A,'QALS - Inspection Lot Record'!E:E)</f>
        <v>46002</v>
      </c>
      <c r="H2126" s="34" t="str">
        <f t="shared" si="170"/>
        <v>A</v>
      </c>
      <c r="I2126" s="29" t="str">
        <f t="shared" si="166"/>
        <v>GC197258</v>
      </c>
      <c r="J2126" s="59">
        <f t="shared" ca="1" si="167"/>
        <v>46002</v>
      </c>
      <c r="K2126" s="30">
        <f ca="1">LOOKUP(A2126,'QALS - Inspection Lot Record'!A:A,'QALS - Inspection Lot Record'!I:I)</f>
        <v>0.43283564814814812</v>
      </c>
      <c r="L2126" s="59">
        <f t="shared" ca="1" si="168"/>
        <v>46002</v>
      </c>
      <c r="M2126" s="30">
        <f t="shared" ca="1" si="169"/>
        <v>0.46098379629629627</v>
      </c>
      <c r="N2126" s="31"/>
      <c r="O2126" s="31">
        <v>41.9</v>
      </c>
      <c r="P2126" s="29">
        <v>40</v>
      </c>
      <c r="Q2126" s="29">
        <v>60</v>
      </c>
    </row>
    <row r="2127" spans="1:17" x14ac:dyDescent="0.35">
      <c r="A2127" s="26">
        <v>40000002766</v>
      </c>
      <c r="B2127" s="31">
        <v>1</v>
      </c>
      <c r="C2127" s="29" t="str">
        <f>LOOKUP(A2127,'QALS - Inspection Lot Record'!$A$2:$A$361,'QALS - Inspection Lot Record'!$O$2:$O$361)</f>
        <v>Metformin Tablets (500 MG)</v>
      </c>
      <c r="D2127" s="31">
        <v>60</v>
      </c>
      <c r="E2127" s="29" t="s">
        <v>405</v>
      </c>
      <c r="F2127" s="29" t="str">
        <f>LOOKUP(A2127,'QALS - Inspection Lot Record'!A:A,'QALS - Inspection Lot Record'!G:G)</f>
        <v>GC197258</v>
      </c>
      <c r="G2127" s="59">
        <f ca="1">LOOKUP(A2127,'QALS - Inspection Lot Record'!A:A,'QALS - Inspection Lot Record'!E:E)</f>
        <v>46002</v>
      </c>
      <c r="H2127" s="34" t="str">
        <f t="shared" si="170"/>
        <v>A</v>
      </c>
      <c r="I2127" s="29" t="str">
        <f t="shared" si="166"/>
        <v>GC197258</v>
      </c>
      <c r="J2127" s="59">
        <f t="shared" ca="1" si="167"/>
        <v>46002</v>
      </c>
      <c r="K2127" s="30">
        <f ca="1">LOOKUP(A2127,'QALS - Inspection Lot Record'!A:A,'QALS - Inspection Lot Record'!I:I)</f>
        <v>0.43283564814814812</v>
      </c>
      <c r="L2127" s="59">
        <f t="shared" ca="1" si="168"/>
        <v>46002</v>
      </c>
      <c r="M2127" s="30">
        <f t="shared" ca="1" si="169"/>
        <v>0.45077546296296295</v>
      </c>
      <c r="N2127" s="31"/>
      <c r="O2127" s="31">
        <v>71.5</v>
      </c>
      <c r="P2127" s="29">
        <v>70</v>
      </c>
      <c r="Q2127" s="29">
        <v>85</v>
      </c>
    </row>
    <row r="2128" spans="1:17" x14ac:dyDescent="0.35">
      <c r="A2128" s="26">
        <v>40000002766</v>
      </c>
      <c r="B2128" s="31">
        <v>1</v>
      </c>
      <c r="C2128" s="29" t="str">
        <f>LOOKUP(A2128,'QALS - Inspection Lot Record'!$A$2:$A$361,'QALS - Inspection Lot Record'!$O$2:$O$361)</f>
        <v>Metformin Tablets (500 MG)</v>
      </c>
      <c r="D2128" s="31">
        <v>70</v>
      </c>
      <c r="E2128" s="29" t="s">
        <v>406</v>
      </c>
      <c r="F2128" s="29" t="str">
        <f>LOOKUP(A2128,'QALS - Inspection Lot Record'!A:A,'QALS - Inspection Lot Record'!G:G)</f>
        <v>GC197258</v>
      </c>
      <c r="G2128" s="59">
        <f ca="1">LOOKUP(A2128,'QALS - Inspection Lot Record'!A:A,'QALS - Inspection Lot Record'!E:E)</f>
        <v>46002</v>
      </c>
      <c r="H2128" s="34" t="str">
        <f t="shared" si="170"/>
        <v>A</v>
      </c>
      <c r="I2128" s="29" t="str">
        <f t="shared" si="166"/>
        <v>GC197258</v>
      </c>
      <c r="J2128" s="59">
        <f t="shared" ca="1" si="167"/>
        <v>46002</v>
      </c>
      <c r="K2128" s="30">
        <f ca="1">LOOKUP(A2128,'QALS - Inspection Lot Record'!A:A,'QALS - Inspection Lot Record'!I:I)</f>
        <v>0.43283564814814812</v>
      </c>
      <c r="L2128" s="59">
        <f t="shared" ca="1" si="168"/>
        <v>46002</v>
      </c>
      <c r="M2128" s="30">
        <f t="shared" ca="1" si="169"/>
        <v>0.46249999999999997</v>
      </c>
      <c r="N2128" s="31"/>
      <c r="O2128" s="31">
        <v>81.400000000000006</v>
      </c>
      <c r="P2128" s="29">
        <v>80</v>
      </c>
      <c r="Q2128" s="29">
        <v>90</v>
      </c>
    </row>
    <row r="2129" spans="1:17" x14ac:dyDescent="0.35">
      <c r="A2129" s="26">
        <v>40000002766</v>
      </c>
      <c r="B2129" s="31">
        <v>1</v>
      </c>
      <c r="C2129" s="29" t="str">
        <f>LOOKUP(A2129,'QALS - Inspection Lot Record'!$A$2:$A$361,'QALS - Inspection Lot Record'!$O$2:$O$361)</f>
        <v>Metformin Tablets (500 MG)</v>
      </c>
      <c r="D2129" s="31">
        <v>80</v>
      </c>
      <c r="E2129" s="29" t="s">
        <v>407</v>
      </c>
      <c r="F2129" s="29" t="str">
        <f>LOOKUP(A2129,'QALS - Inspection Lot Record'!A:A,'QALS - Inspection Lot Record'!G:G)</f>
        <v>GC197258</v>
      </c>
      <c r="G2129" s="59">
        <f ca="1">LOOKUP(A2129,'QALS - Inspection Lot Record'!A:A,'QALS - Inspection Lot Record'!E:E)</f>
        <v>46002</v>
      </c>
      <c r="H2129" s="34" t="str">
        <f t="shared" si="170"/>
        <v>A</v>
      </c>
      <c r="I2129" s="29" t="str">
        <f t="shared" si="166"/>
        <v>GC197258</v>
      </c>
      <c r="J2129" s="59">
        <f t="shared" ca="1" si="167"/>
        <v>46002</v>
      </c>
      <c r="K2129" s="30">
        <f ca="1">LOOKUP(A2129,'QALS - Inspection Lot Record'!A:A,'QALS - Inspection Lot Record'!I:I)</f>
        <v>0.43283564814814812</v>
      </c>
      <c r="L2129" s="59">
        <f t="shared" ca="1" si="168"/>
        <v>46002</v>
      </c>
      <c r="M2129" s="30">
        <f t="shared" ca="1" si="169"/>
        <v>0.46799768518518514</v>
      </c>
      <c r="N2129" s="31"/>
      <c r="O2129" s="31">
        <v>25.5</v>
      </c>
      <c r="P2129" s="29">
        <v>23</v>
      </c>
      <c r="Q2129" s="29">
        <v>28</v>
      </c>
    </row>
    <row r="2130" spans="1:17" x14ac:dyDescent="0.35">
      <c r="A2130" s="26">
        <v>40000002767</v>
      </c>
      <c r="B2130" s="27">
        <v>1</v>
      </c>
      <c r="C2130" s="29" t="str">
        <f>LOOKUP(A2130,'QALS - Inspection Lot Record'!$A$2:$A$361,'QALS - Inspection Lot Record'!$O$2:$O$361)</f>
        <v>Metformin Tablets (200 MG)</v>
      </c>
      <c r="D2130" s="27">
        <v>10</v>
      </c>
      <c r="E2130" s="26" t="s">
        <v>399</v>
      </c>
      <c r="F2130" s="29" t="str">
        <f>LOOKUP(A2130,'QALS - Inspection Lot Record'!A:A,'QALS - Inspection Lot Record'!G:G)</f>
        <v>ZK384180</v>
      </c>
      <c r="G2130" s="59">
        <f ca="1">LOOKUP(A2130,'QALS - Inspection Lot Record'!A:A,'QALS - Inspection Lot Record'!E:E)</f>
        <v>46003</v>
      </c>
      <c r="H2130" s="34" t="str">
        <f t="shared" si="170"/>
        <v>A</v>
      </c>
      <c r="I2130" s="29" t="str">
        <f t="shared" si="166"/>
        <v>ZK384180</v>
      </c>
      <c r="J2130" s="59">
        <f t="shared" ca="1" si="167"/>
        <v>46003</v>
      </c>
      <c r="K2130" s="30">
        <f ca="1">LOOKUP(A2130,'QALS - Inspection Lot Record'!A:A,'QALS - Inspection Lot Record'!I:I)</f>
        <v>0.92913194444444447</v>
      </c>
      <c r="L2130" s="59">
        <f t="shared" ca="1" si="168"/>
        <v>46003</v>
      </c>
      <c r="M2130" s="30">
        <f t="shared" ca="1" si="169"/>
        <v>0.94923611111111117</v>
      </c>
      <c r="N2130" s="31"/>
      <c r="O2130" s="31">
        <v>99</v>
      </c>
      <c r="P2130" s="29">
        <v>95</v>
      </c>
      <c r="Q2130" s="29">
        <v>103</v>
      </c>
    </row>
    <row r="2131" spans="1:17" x14ac:dyDescent="0.35">
      <c r="A2131" s="26">
        <v>40000002767</v>
      </c>
      <c r="B2131" s="27">
        <v>1</v>
      </c>
      <c r="C2131" s="29" t="str">
        <f>LOOKUP(A2131,'QALS - Inspection Lot Record'!$A$2:$A$361,'QALS - Inspection Lot Record'!$O$2:$O$361)</f>
        <v>Metformin Tablets (200 MG)</v>
      </c>
      <c r="D2131" s="31">
        <v>20</v>
      </c>
      <c r="E2131" s="29" t="s">
        <v>400</v>
      </c>
      <c r="F2131" s="29" t="str">
        <f>LOOKUP(A2131,'QALS - Inspection Lot Record'!A:A,'QALS - Inspection Lot Record'!G:G)</f>
        <v>ZK384180</v>
      </c>
      <c r="G2131" s="59">
        <f ca="1">LOOKUP(A2131,'QALS - Inspection Lot Record'!A:A,'QALS - Inspection Lot Record'!E:E)</f>
        <v>46003</v>
      </c>
      <c r="H2131" s="34" t="str">
        <f t="shared" si="170"/>
        <v>A</v>
      </c>
      <c r="I2131" s="29" t="str">
        <f t="shared" si="166"/>
        <v>ZK384180</v>
      </c>
      <c r="J2131" s="59">
        <f t="shared" ca="1" si="167"/>
        <v>46003</v>
      </c>
      <c r="K2131" s="30">
        <f ca="1">LOOKUP(A2131,'QALS - Inspection Lot Record'!A:A,'QALS - Inspection Lot Record'!I:I)</f>
        <v>0.92913194444444447</v>
      </c>
      <c r="L2131" s="59">
        <f t="shared" ca="1" si="168"/>
        <v>46003</v>
      </c>
      <c r="M2131" s="30">
        <f t="shared" ca="1" si="169"/>
        <v>0.95262731481481489</v>
      </c>
      <c r="N2131" s="31"/>
      <c r="O2131" s="31">
        <v>7.75</v>
      </c>
      <c r="P2131" s="29">
        <v>6</v>
      </c>
      <c r="Q2131" s="29">
        <v>9.5</v>
      </c>
    </row>
    <row r="2132" spans="1:17" x14ac:dyDescent="0.35">
      <c r="A2132" s="26">
        <v>40000002767</v>
      </c>
      <c r="B2132" s="31">
        <v>1</v>
      </c>
      <c r="C2132" s="29" t="str">
        <f>LOOKUP(A2132,'QALS - Inspection Lot Record'!$A$2:$A$361,'QALS - Inspection Lot Record'!$O$2:$O$361)</f>
        <v>Metformin Tablets (200 MG)</v>
      </c>
      <c r="D2132" s="31">
        <v>30</v>
      </c>
      <c r="E2132" s="29" t="s">
        <v>401</v>
      </c>
      <c r="F2132" s="29" t="str">
        <f>LOOKUP(A2132,'QALS - Inspection Lot Record'!A:A,'QALS - Inspection Lot Record'!G:G)</f>
        <v>ZK384180</v>
      </c>
      <c r="G2132" s="59">
        <f ca="1">LOOKUP(A2132,'QALS - Inspection Lot Record'!A:A,'QALS - Inspection Lot Record'!E:E)</f>
        <v>46003</v>
      </c>
      <c r="H2132" s="34" t="str">
        <f t="shared" si="170"/>
        <v>A</v>
      </c>
      <c r="I2132" s="29" t="str">
        <f t="shared" si="166"/>
        <v>ZK384180</v>
      </c>
      <c r="J2132" s="59">
        <f t="shared" ca="1" si="167"/>
        <v>46003</v>
      </c>
      <c r="K2132" s="30">
        <f ca="1">LOOKUP(A2132,'QALS - Inspection Lot Record'!A:A,'QALS - Inspection Lot Record'!I:I)</f>
        <v>0.92913194444444447</v>
      </c>
      <c r="L2132" s="59">
        <f t="shared" ca="1" si="168"/>
        <v>46003</v>
      </c>
      <c r="M2132" s="30">
        <f t="shared" ca="1" si="169"/>
        <v>0.95413194444444449</v>
      </c>
      <c r="N2132" s="11" t="s">
        <v>402</v>
      </c>
      <c r="O2132" s="31"/>
      <c r="P2132" s="29"/>
      <c r="Q2132" s="29"/>
    </row>
    <row r="2133" spans="1:17" x14ac:dyDescent="0.35">
      <c r="A2133" s="26">
        <v>40000002767</v>
      </c>
      <c r="B2133" s="31">
        <v>1</v>
      </c>
      <c r="C2133" s="29" t="str">
        <f>LOOKUP(A2133,'QALS - Inspection Lot Record'!$A$2:$A$361,'QALS - Inspection Lot Record'!$O$2:$O$361)</f>
        <v>Metformin Tablets (200 MG)</v>
      </c>
      <c r="D2133" s="31">
        <v>40</v>
      </c>
      <c r="E2133" s="29" t="s">
        <v>403</v>
      </c>
      <c r="F2133" s="29" t="str">
        <f>LOOKUP(A2133,'QALS - Inspection Lot Record'!A:A,'QALS - Inspection Lot Record'!G:G)</f>
        <v>ZK384180</v>
      </c>
      <c r="G2133" s="59">
        <f ca="1">LOOKUP(A2133,'QALS - Inspection Lot Record'!A:A,'QALS - Inspection Lot Record'!E:E)</f>
        <v>46003</v>
      </c>
      <c r="H2133" s="34" t="str">
        <f t="shared" si="170"/>
        <v>A</v>
      </c>
      <c r="I2133" s="29" t="str">
        <f t="shared" si="166"/>
        <v>ZK384180</v>
      </c>
      <c r="J2133" s="59">
        <f t="shared" ca="1" si="167"/>
        <v>46003</v>
      </c>
      <c r="K2133" s="30">
        <f ca="1">LOOKUP(A2133,'QALS - Inspection Lot Record'!A:A,'QALS - Inspection Lot Record'!I:I)</f>
        <v>0.92913194444444447</v>
      </c>
      <c r="L2133" s="59">
        <f t="shared" ca="1" si="168"/>
        <v>46003</v>
      </c>
      <c r="M2133" s="30">
        <f t="shared" ca="1" si="169"/>
        <v>0.9523611111111111</v>
      </c>
      <c r="N2133" s="31"/>
      <c r="O2133" s="31">
        <v>1</v>
      </c>
      <c r="P2133" s="29">
        <v>0</v>
      </c>
      <c r="Q2133" s="29">
        <v>2</v>
      </c>
    </row>
    <row r="2134" spans="1:17" x14ac:dyDescent="0.35">
      <c r="A2134" s="26">
        <v>40000002767</v>
      </c>
      <c r="B2134" s="31">
        <v>1</v>
      </c>
      <c r="C2134" s="29" t="str">
        <f>LOOKUP(A2134,'QALS - Inspection Lot Record'!$A$2:$A$361,'QALS - Inspection Lot Record'!$O$2:$O$361)</f>
        <v>Metformin Tablets (200 MG)</v>
      </c>
      <c r="D2134" s="31">
        <v>50</v>
      </c>
      <c r="E2134" s="29" t="s">
        <v>404</v>
      </c>
      <c r="F2134" s="29" t="str">
        <f>LOOKUP(A2134,'QALS - Inspection Lot Record'!A:A,'QALS - Inspection Lot Record'!G:G)</f>
        <v>ZK384180</v>
      </c>
      <c r="G2134" s="59">
        <f ca="1">LOOKUP(A2134,'QALS - Inspection Lot Record'!A:A,'QALS - Inspection Lot Record'!E:E)</f>
        <v>46003</v>
      </c>
      <c r="H2134" s="34" t="str">
        <f t="shared" si="170"/>
        <v>A</v>
      </c>
      <c r="I2134" s="29" t="str">
        <f t="shared" si="166"/>
        <v>ZK384180</v>
      </c>
      <c r="J2134" s="59">
        <f t="shared" ca="1" si="167"/>
        <v>46003</v>
      </c>
      <c r="K2134" s="30">
        <f ca="1">LOOKUP(A2134,'QALS - Inspection Lot Record'!A:A,'QALS - Inspection Lot Record'!I:I)</f>
        <v>0.92913194444444447</v>
      </c>
      <c r="L2134" s="59">
        <f t="shared" ca="1" si="168"/>
        <v>46003</v>
      </c>
      <c r="M2134" s="30">
        <f t="shared" ca="1" si="169"/>
        <v>0.95048611111111114</v>
      </c>
      <c r="N2134" s="31"/>
      <c r="O2134" s="31">
        <v>50</v>
      </c>
      <c r="P2134" s="29">
        <v>40</v>
      </c>
      <c r="Q2134" s="29">
        <v>60</v>
      </c>
    </row>
    <row r="2135" spans="1:17" x14ac:dyDescent="0.35">
      <c r="A2135" s="26">
        <v>40000002767</v>
      </c>
      <c r="B2135" s="31">
        <v>1</v>
      </c>
      <c r="C2135" s="29" t="str">
        <f>LOOKUP(A2135,'QALS - Inspection Lot Record'!$A$2:$A$361,'QALS - Inspection Lot Record'!$O$2:$O$361)</f>
        <v>Metformin Tablets (200 MG)</v>
      </c>
      <c r="D2135" s="31">
        <v>60</v>
      </c>
      <c r="E2135" s="29" t="s">
        <v>405</v>
      </c>
      <c r="F2135" s="29" t="str">
        <f>LOOKUP(A2135,'QALS - Inspection Lot Record'!A:A,'QALS - Inspection Lot Record'!G:G)</f>
        <v>ZK384180</v>
      </c>
      <c r="G2135" s="59">
        <f ca="1">LOOKUP(A2135,'QALS - Inspection Lot Record'!A:A,'QALS - Inspection Lot Record'!E:E)</f>
        <v>46003</v>
      </c>
      <c r="H2135" s="34" t="str">
        <f t="shared" si="170"/>
        <v>R</v>
      </c>
      <c r="I2135" s="29" t="str">
        <f t="shared" si="166"/>
        <v>ZK384180</v>
      </c>
      <c r="J2135" s="59">
        <f t="shared" ca="1" si="167"/>
        <v>46003</v>
      </c>
      <c r="K2135" s="30">
        <f ca="1">LOOKUP(A2135,'QALS - Inspection Lot Record'!A:A,'QALS - Inspection Lot Record'!I:I)</f>
        <v>0.92913194444444447</v>
      </c>
      <c r="L2135" s="59">
        <f t="shared" ca="1" si="168"/>
        <v>46003</v>
      </c>
      <c r="M2135" s="30">
        <f t="shared" ca="1" si="169"/>
        <v>0.95336805555555559</v>
      </c>
      <c r="N2135" s="31"/>
      <c r="O2135" s="31">
        <v>68.599999999999994</v>
      </c>
      <c r="P2135" s="29">
        <v>70</v>
      </c>
      <c r="Q2135" s="29">
        <v>85</v>
      </c>
    </row>
    <row r="2136" spans="1:17" x14ac:dyDescent="0.35">
      <c r="A2136" s="26">
        <v>40000002767</v>
      </c>
      <c r="B2136" s="31">
        <v>1</v>
      </c>
      <c r="C2136" s="29" t="str">
        <f>LOOKUP(A2136,'QALS - Inspection Lot Record'!$A$2:$A$361,'QALS - Inspection Lot Record'!$O$2:$O$361)</f>
        <v>Metformin Tablets (200 MG)</v>
      </c>
      <c r="D2136" s="31">
        <v>70</v>
      </c>
      <c r="E2136" s="29" t="s">
        <v>406</v>
      </c>
      <c r="F2136" s="29" t="str">
        <f>LOOKUP(A2136,'QALS - Inspection Lot Record'!A:A,'QALS - Inspection Lot Record'!G:G)</f>
        <v>ZK384180</v>
      </c>
      <c r="G2136" s="59">
        <f ca="1">LOOKUP(A2136,'QALS - Inspection Lot Record'!A:A,'QALS - Inspection Lot Record'!E:E)</f>
        <v>46003</v>
      </c>
      <c r="H2136" s="34" t="str">
        <f t="shared" si="170"/>
        <v>A</v>
      </c>
      <c r="I2136" s="29" t="str">
        <f t="shared" si="166"/>
        <v>ZK384180</v>
      </c>
      <c r="J2136" s="59">
        <f t="shared" ca="1" si="167"/>
        <v>46003</v>
      </c>
      <c r="K2136" s="30">
        <f ca="1">LOOKUP(A2136,'QALS - Inspection Lot Record'!A:A,'QALS - Inspection Lot Record'!I:I)</f>
        <v>0.92913194444444447</v>
      </c>
      <c r="L2136" s="59">
        <f t="shared" ca="1" si="168"/>
        <v>46003</v>
      </c>
      <c r="M2136" s="30">
        <f t="shared" ca="1" si="169"/>
        <v>0.96335648148148145</v>
      </c>
      <c r="N2136" s="31"/>
      <c r="O2136" s="31">
        <v>85</v>
      </c>
      <c r="P2136" s="29">
        <v>80</v>
      </c>
      <c r="Q2136" s="29">
        <v>90</v>
      </c>
    </row>
    <row r="2137" spans="1:17" x14ac:dyDescent="0.35">
      <c r="A2137" s="26">
        <v>40000002767</v>
      </c>
      <c r="B2137" s="31">
        <v>1</v>
      </c>
      <c r="C2137" s="29" t="str">
        <f>LOOKUP(A2137,'QALS - Inspection Lot Record'!$A$2:$A$361,'QALS - Inspection Lot Record'!$O$2:$O$361)</f>
        <v>Metformin Tablets (200 MG)</v>
      </c>
      <c r="D2137" s="31">
        <v>80</v>
      </c>
      <c r="E2137" s="29" t="s">
        <v>407</v>
      </c>
      <c r="F2137" s="29" t="str">
        <f>LOOKUP(A2137,'QALS - Inspection Lot Record'!A:A,'QALS - Inspection Lot Record'!G:G)</f>
        <v>ZK384180</v>
      </c>
      <c r="G2137" s="59">
        <f ca="1">LOOKUP(A2137,'QALS - Inspection Lot Record'!A:A,'QALS - Inspection Lot Record'!E:E)</f>
        <v>46003</v>
      </c>
      <c r="H2137" s="34" t="str">
        <f t="shared" si="170"/>
        <v>A</v>
      </c>
      <c r="I2137" s="29" t="str">
        <f t="shared" si="166"/>
        <v>ZK384180</v>
      </c>
      <c r="J2137" s="59">
        <f t="shared" ca="1" si="167"/>
        <v>46003</v>
      </c>
      <c r="K2137" s="30">
        <f ca="1">LOOKUP(A2137,'QALS - Inspection Lot Record'!A:A,'QALS - Inspection Lot Record'!I:I)</f>
        <v>0.92913194444444447</v>
      </c>
      <c r="L2137" s="59">
        <f t="shared" ca="1" si="168"/>
        <v>46003</v>
      </c>
      <c r="M2137" s="30">
        <f t="shared" ca="1" si="169"/>
        <v>0.96181712962962962</v>
      </c>
      <c r="N2137" s="31"/>
      <c r="O2137" s="31">
        <v>25.5</v>
      </c>
      <c r="P2137" s="29">
        <v>23</v>
      </c>
      <c r="Q2137" s="29">
        <v>28</v>
      </c>
    </row>
    <row r="2138" spans="1:17" x14ac:dyDescent="0.35">
      <c r="A2138" s="26">
        <v>40000002768</v>
      </c>
      <c r="B2138" s="27">
        <v>1</v>
      </c>
      <c r="C2138" s="29" t="str">
        <f>LOOKUP(A2138,'QALS - Inspection Lot Record'!$A$2:$A$361,'QALS - Inspection Lot Record'!$O$2:$O$361)</f>
        <v>Metformin Tablets (100 MG)</v>
      </c>
      <c r="D2138" s="27">
        <v>10</v>
      </c>
      <c r="E2138" s="26" t="s">
        <v>399</v>
      </c>
      <c r="F2138" s="29" t="str">
        <f>LOOKUP(A2138,'QALS - Inspection Lot Record'!A:A,'QALS - Inspection Lot Record'!G:G)</f>
        <v>YA284176</v>
      </c>
      <c r="G2138" s="59">
        <f ca="1">LOOKUP(A2138,'QALS - Inspection Lot Record'!A:A,'QALS - Inspection Lot Record'!E:E)</f>
        <v>46003</v>
      </c>
      <c r="H2138" s="34" t="str">
        <f t="shared" si="170"/>
        <v>A</v>
      </c>
      <c r="I2138" s="29" t="str">
        <f t="shared" si="166"/>
        <v>YA284176</v>
      </c>
      <c r="J2138" s="59">
        <f t="shared" ca="1" si="167"/>
        <v>46003</v>
      </c>
      <c r="K2138" s="30">
        <f ca="1">LOOKUP(A2138,'QALS - Inspection Lot Record'!A:A,'QALS - Inspection Lot Record'!I:I)</f>
        <v>0.18587962962962962</v>
      </c>
      <c r="L2138" s="59">
        <f t="shared" ca="1" si="168"/>
        <v>46003</v>
      </c>
      <c r="M2138" s="30">
        <f t="shared" ca="1" si="169"/>
        <v>0.21416666666666664</v>
      </c>
      <c r="N2138" s="31"/>
      <c r="O2138" s="31">
        <v>98.5</v>
      </c>
      <c r="P2138" s="29">
        <v>95</v>
      </c>
      <c r="Q2138" s="29">
        <v>102</v>
      </c>
    </row>
    <row r="2139" spans="1:17" x14ac:dyDescent="0.35">
      <c r="A2139" s="26">
        <v>40000002768</v>
      </c>
      <c r="B2139" s="27">
        <v>1</v>
      </c>
      <c r="C2139" s="29" t="str">
        <f>LOOKUP(A2139,'QALS - Inspection Lot Record'!$A$2:$A$361,'QALS - Inspection Lot Record'!$O$2:$O$361)</f>
        <v>Metformin Tablets (100 MG)</v>
      </c>
      <c r="D2139" s="31">
        <v>20</v>
      </c>
      <c r="E2139" s="29" t="s">
        <v>400</v>
      </c>
      <c r="F2139" s="29" t="str">
        <f>LOOKUP(A2139,'QALS - Inspection Lot Record'!A:A,'QALS - Inspection Lot Record'!G:G)</f>
        <v>YA284176</v>
      </c>
      <c r="G2139" s="59">
        <f ca="1">LOOKUP(A2139,'QALS - Inspection Lot Record'!A:A,'QALS - Inspection Lot Record'!E:E)</f>
        <v>46003</v>
      </c>
      <c r="H2139" s="34" t="str">
        <f t="shared" si="170"/>
        <v>A</v>
      </c>
      <c r="I2139" s="29" t="str">
        <f t="shared" si="166"/>
        <v>YA284176</v>
      </c>
      <c r="J2139" s="59">
        <f t="shared" ca="1" si="167"/>
        <v>46003</v>
      </c>
      <c r="K2139" s="30">
        <f ca="1">LOOKUP(A2139,'QALS - Inspection Lot Record'!A:A,'QALS - Inspection Lot Record'!I:I)</f>
        <v>0.18587962962962962</v>
      </c>
      <c r="L2139" s="59">
        <f t="shared" ca="1" si="168"/>
        <v>46003</v>
      </c>
      <c r="M2139" s="30">
        <f t="shared" ca="1" si="169"/>
        <v>0.21574074074074073</v>
      </c>
      <c r="N2139" s="31"/>
      <c r="O2139" s="31">
        <v>7.25</v>
      </c>
      <c r="P2139" s="29">
        <v>3.5</v>
      </c>
      <c r="Q2139" s="29">
        <v>11</v>
      </c>
    </row>
    <row r="2140" spans="1:17" x14ac:dyDescent="0.35">
      <c r="A2140" s="26">
        <v>40000002768</v>
      </c>
      <c r="B2140" s="31">
        <v>1</v>
      </c>
      <c r="C2140" s="29" t="str">
        <f>LOOKUP(A2140,'QALS - Inspection Lot Record'!$A$2:$A$361,'QALS - Inspection Lot Record'!$O$2:$O$361)</f>
        <v>Metformin Tablets (100 MG)</v>
      </c>
      <c r="D2140" s="31">
        <v>30</v>
      </c>
      <c r="E2140" s="29" t="s">
        <v>401</v>
      </c>
      <c r="F2140" s="29" t="str">
        <f>LOOKUP(A2140,'QALS - Inspection Lot Record'!A:A,'QALS - Inspection Lot Record'!G:G)</f>
        <v>YA284176</v>
      </c>
      <c r="G2140" s="59">
        <f ca="1">LOOKUP(A2140,'QALS - Inspection Lot Record'!A:A,'QALS - Inspection Lot Record'!E:E)</f>
        <v>46003</v>
      </c>
      <c r="H2140" s="34" t="str">
        <f t="shared" si="170"/>
        <v>A</v>
      </c>
      <c r="I2140" s="29" t="str">
        <f t="shared" si="166"/>
        <v>YA284176</v>
      </c>
      <c r="J2140" s="59">
        <f t="shared" ca="1" si="167"/>
        <v>46003</v>
      </c>
      <c r="K2140" s="30">
        <f ca="1">LOOKUP(A2140,'QALS - Inspection Lot Record'!A:A,'QALS - Inspection Lot Record'!I:I)</f>
        <v>0.18587962962962962</v>
      </c>
      <c r="L2140" s="59">
        <f t="shared" ca="1" si="168"/>
        <v>46003</v>
      </c>
      <c r="M2140" s="30">
        <f t="shared" ca="1" si="169"/>
        <v>0.20993055555555554</v>
      </c>
      <c r="N2140" s="11" t="s">
        <v>402</v>
      </c>
      <c r="O2140" s="31"/>
      <c r="P2140" s="29"/>
      <c r="Q2140" s="29"/>
    </row>
    <row r="2141" spans="1:17" x14ac:dyDescent="0.35">
      <c r="A2141" s="26">
        <v>40000002768</v>
      </c>
      <c r="B2141" s="31">
        <v>1</v>
      </c>
      <c r="C2141" s="29" t="str">
        <f>LOOKUP(A2141,'QALS - Inspection Lot Record'!$A$2:$A$361,'QALS - Inspection Lot Record'!$O$2:$O$361)</f>
        <v>Metformin Tablets (100 MG)</v>
      </c>
      <c r="D2141" s="31">
        <v>40</v>
      </c>
      <c r="E2141" s="29" t="s">
        <v>403</v>
      </c>
      <c r="F2141" s="29" t="str">
        <f>LOOKUP(A2141,'QALS - Inspection Lot Record'!A:A,'QALS - Inspection Lot Record'!G:G)</f>
        <v>YA284176</v>
      </c>
      <c r="G2141" s="59">
        <f ca="1">LOOKUP(A2141,'QALS - Inspection Lot Record'!A:A,'QALS - Inspection Lot Record'!E:E)</f>
        <v>46003</v>
      </c>
      <c r="H2141" s="34" t="str">
        <f t="shared" si="170"/>
        <v>A</v>
      </c>
      <c r="I2141" s="29" t="str">
        <f t="shared" si="166"/>
        <v>YA284176</v>
      </c>
      <c r="J2141" s="59">
        <f t="shared" ca="1" si="167"/>
        <v>46003</v>
      </c>
      <c r="K2141" s="30">
        <f ca="1">LOOKUP(A2141,'QALS - Inspection Lot Record'!A:A,'QALS - Inspection Lot Record'!I:I)</f>
        <v>0.18587962962962962</v>
      </c>
      <c r="L2141" s="59">
        <f t="shared" ca="1" si="168"/>
        <v>46003</v>
      </c>
      <c r="M2141" s="30">
        <f t="shared" ca="1" si="169"/>
        <v>0.21918981481481481</v>
      </c>
      <c r="N2141" s="31"/>
      <c r="O2141" s="31">
        <v>0</v>
      </c>
      <c r="P2141" s="29">
        <v>0</v>
      </c>
      <c r="Q2141" s="29">
        <v>1</v>
      </c>
    </row>
    <row r="2142" spans="1:17" x14ac:dyDescent="0.35">
      <c r="A2142" s="26">
        <v>40000002768</v>
      </c>
      <c r="B2142" s="31">
        <v>1</v>
      </c>
      <c r="C2142" s="29" t="str">
        <f>LOOKUP(A2142,'QALS - Inspection Lot Record'!$A$2:$A$361,'QALS - Inspection Lot Record'!$O$2:$O$361)</f>
        <v>Metformin Tablets (100 MG)</v>
      </c>
      <c r="D2142" s="31">
        <v>50</v>
      </c>
      <c r="E2142" s="29" t="s">
        <v>404</v>
      </c>
      <c r="F2142" s="29" t="str">
        <f>LOOKUP(A2142,'QALS - Inspection Lot Record'!A:A,'QALS - Inspection Lot Record'!G:G)</f>
        <v>YA284176</v>
      </c>
      <c r="G2142" s="59">
        <f ca="1">LOOKUP(A2142,'QALS - Inspection Lot Record'!A:A,'QALS - Inspection Lot Record'!E:E)</f>
        <v>46003</v>
      </c>
      <c r="H2142" s="34" t="str">
        <f t="shared" si="170"/>
        <v>A</v>
      </c>
      <c r="I2142" s="29" t="str">
        <f t="shared" si="166"/>
        <v>YA284176</v>
      </c>
      <c r="J2142" s="59">
        <f t="shared" ca="1" si="167"/>
        <v>46003</v>
      </c>
      <c r="K2142" s="30">
        <f ca="1">LOOKUP(A2142,'QALS - Inspection Lot Record'!A:A,'QALS - Inspection Lot Record'!I:I)</f>
        <v>0.18587962962962962</v>
      </c>
      <c r="L2142" s="59">
        <f t="shared" ca="1" si="168"/>
        <v>46003</v>
      </c>
      <c r="M2142" s="30">
        <f t="shared" ca="1" si="169"/>
        <v>0.20378472222222221</v>
      </c>
      <c r="N2142" s="31"/>
      <c r="O2142" s="31">
        <v>50</v>
      </c>
      <c r="P2142" s="29">
        <v>40</v>
      </c>
      <c r="Q2142" s="29">
        <v>60</v>
      </c>
    </row>
    <row r="2143" spans="1:17" x14ac:dyDescent="0.35">
      <c r="A2143" s="26">
        <v>40000002768</v>
      </c>
      <c r="B2143" s="31">
        <v>1</v>
      </c>
      <c r="C2143" s="29" t="str">
        <f>LOOKUP(A2143,'QALS - Inspection Lot Record'!$A$2:$A$361,'QALS - Inspection Lot Record'!$O$2:$O$361)</f>
        <v>Metformin Tablets (100 MG)</v>
      </c>
      <c r="D2143" s="31">
        <v>60</v>
      </c>
      <c r="E2143" s="29" t="s">
        <v>405</v>
      </c>
      <c r="F2143" s="29" t="str">
        <f>LOOKUP(A2143,'QALS - Inspection Lot Record'!A:A,'QALS - Inspection Lot Record'!G:G)</f>
        <v>YA284176</v>
      </c>
      <c r="G2143" s="59">
        <f ca="1">LOOKUP(A2143,'QALS - Inspection Lot Record'!A:A,'QALS - Inspection Lot Record'!E:E)</f>
        <v>46003</v>
      </c>
      <c r="H2143" s="34" t="str">
        <f t="shared" si="170"/>
        <v>A</v>
      </c>
      <c r="I2143" s="29" t="str">
        <f t="shared" si="166"/>
        <v>YA284176</v>
      </c>
      <c r="J2143" s="59">
        <f t="shared" ca="1" si="167"/>
        <v>46003</v>
      </c>
      <c r="K2143" s="30">
        <f ca="1">LOOKUP(A2143,'QALS - Inspection Lot Record'!A:A,'QALS - Inspection Lot Record'!I:I)</f>
        <v>0.18587962962962962</v>
      </c>
      <c r="L2143" s="59">
        <f t="shared" ca="1" si="168"/>
        <v>46003</v>
      </c>
      <c r="M2143" s="30">
        <f t="shared" ca="1" si="169"/>
        <v>0.20513888888888887</v>
      </c>
      <c r="N2143" s="31"/>
      <c r="O2143" s="31">
        <v>77.5</v>
      </c>
      <c r="P2143" s="29">
        <v>70</v>
      </c>
      <c r="Q2143" s="29">
        <v>85</v>
      </c>
    </row>
    <row r="2144" spans="1:17" x14ac:dyDescent="0.35">
      <c r="A2144" s="26">
        <v>40000002768</v>
      </c>
      <c r="B2144" s="31">
        <v>1</v>
      </c>
      <c r="C2144" s="29" t="str">
        <f>LOOKUP(A2144,'QALS - Inspection Lot Record'!$A$2:$A$361,'QALS - Inspection Lot Record'!$O$2:$O$361)</f>
        <v>Metformin Tablets (100 MG)</v>
      </c>
      <c r="D2144" s="31">
        <v>70</v>
      </c>
      <c r="E2144" s="29" t="s">
        <v>406</v>
      </c>
      <c r="F2144" s="29" t="str">
        <f>LOOKUP(A2144,'QALS - Inspection Lot Record'!A:A,'QALS - Inspection Lot Record'!G:G)</f>
        <v>YA284176</v>
      </c>
      <c r="G2144" s="59">
        <f ca="1">LOOKUP(A2144,'QALS - Inspection Lot Record'!A:A,'QALS - Inspection Lot Record'!E:E)</f>
        <v>46003</v>
      </c>
      <c r="H2144" s="34" t="str">
        <f t="shared" si="170"/>
        <v>A</v>
      </c>
      <c r="I2144" s="29" t="str">
        <f t="shared" si="166"/>
        <v>YA284176</v>
      </c>
      <c r="J2144" s="59">
        <f t="shared" ca="1" si="167"/>
        <v>46003</v>
      </c>
      <c r="K2144" s="30">
        <f ca="1">LOOKUP(A2144,'QALS - Inspection Lot Record'!A:A,'QALS - Inspection Lot Record'!I:I)</f>
        <v>0.18587962962962962</v>
      </c>
      <c r="L2144" s="59">
        <f t="shared" ca="1" si="168"/>
        <v>46003</v>
      </c>
      <c r="M2144" s="30">
        <f t="shared" ca="1" si="169"/>
        <v>0.20567129629629627</v>
      </c>
      <c r="N2144" s="31"/>
      <c r="O2144" s="31">
        <v>85</v>
      </c>
      <c r="P2144" s="29">
        <v>80</v>
      </c>
      <c r="Q2144" s="29">
        <v>90</v>
      </c>
    </row>
    <row r="2145" spans="1:17" x14ac:dyDescent="0.35">
      <c r="A2145" s="26">
        <v>40000002768</v>
      </c>
      <c r="B2145" s="31">
        <v>1</v>
      </c>
      <c r="C2145" s="29" t="str">
        <f>LOOKUP(A2145,'QALS - Inspection Lot Record'!$A$2:$A$361,'QALS - Inspection Lot Record'!$O$2:$O$361)</f>
        <v>Metformin Tablets (100 MG)</v>
      </c>
      <c r="D2145" s="31">
        <v>80</v>
      </c>
      <c r="E2145" s="29" t="s">
        <v>407</v>
      </c>
      <c r="F2145" s="29" t="str">
        <f>LOOKUP(A2145,'QALS - Inspection Lot Record'!A:A,'QALS - Inspection Lot Record'!G:G)</f>
        <v>YA284176</v>
      </c>
      <c r="G2145" s="59">
        <f ca="1">LOOKUP(A2145,'QALS - Inspection Lot Record'!A:A,'QALS - Inspection Lot Record'!E:E)</f>
        <v>46003</v>
      </c>
      <c r="H2145" s="34" t="str">
        <f t="shared" si="170"/>
        <v>A</v>
      </c>
      <c r="I2145" s="29" t="str">
        <f t="shared" si="166"/>
        <v>YA284176</v>
      </c>
      <c r="J2145" s="59">
        <f t="shared" ca="1" si="167"/>
        <v>46003</v>
      </c>
      <c r="K2145" s="30">
        <f ca="1">LOOKUP(A2145,'QALS - Inspection Lot Record'!A:A,'QALS - Inspection Lot Record'!I:I)</f>
        <v>0.18587962962962962</v>
      </c>
      <c r="L2145" s="59">
        <f t="shared" ca="1" si="168"/>
        <v>46003</v>
      </c>
      <c r="M2145" s="30">
        <f t="shared" ca="1" si="169"/>
        <v>0.2142361111111111</v>
      </c>
      <c r="N2145" s="31"/>
      <c r="O2145" s="31">
        <v>24</v>
      </c>
      <c r="P2145" s="29">
        <v>23</v>
      </c>
      <c r="Q2145" s="29">
        <v>25</v>
      </c>
    </row>
    <row r="2146" spans="1:17" x14ac:dyDescent="0.35">
      <c r="A2146" s="26">
        <v>40000002769</v>
      </c>
      <c r="B2146" s="27">
        <v>1</v>
      </c>
      <c r="C2146" s="29" t="str">
        <f>LOOKUP(A2146,'QALS - Inspection Lot Record'!$A$2:$A$361,'QALS - Inspection Lot Record'!$O$2:$O$361)</f>
        <v>Ibuprofen Tablets (100 MG)</v>
      </c>
      <c r="D2146" s="27">
        <v>10</v>
      </c>
      <c r="E2146" s="26" t="s">
        <v>399</v>
      </c>
      <c r="F2146" s="29" t="str">
        <f>LOOKUP(A2146,'QALS - Inspection Lot Record'!A:A,'QALS - Inspection Lot Record'!G:G)</f>
        <v>AB406550</v>
      </c>
      <c r="G2146" s="59">
        <f ca="1">LOOKUP(A2146,'QALS - Inspection Lot Record'!A:A,'QALS - Inspection Lot Record'!E:E)</f>
        <v>46004</v>
      </c>
      <c r="H2146" s="34" t="str">
        <f t="shared" si="170"/>
        <v>A</v>
      </c>
      <c r="I2146" s="29" t="str">
        <f t="shared" si="166"/>
        <v>AB406550</v>
      </c>
      <c r="J2146" s="59">
        <f t="shared" ca="1" si="167"/>
        <v>46004</v>
      </c>
      <c r="K2146" s="30">
        <f ca="1">LOOKUP(A2146,'QALS - Inspection Lot Record'!A:A,'QALS - Inspection Lot Record'!I:I)</f>
        <v>0.87149305555555556</v>
      </c>
      <c r="L2146" s="59">
        <f t="shared" ca="1" si="168"/>
        <v>46004</v>
      </c>
      <c r="M2146" s="30">
        <f t="shared" ca="1" si="169"/>
        <v>0.88982638888888888</v>
      </c>
      <c r="N2146" s="31"/>
      <c r="O2146" s="31">
        <v>98.5</v>
      </c>
      <c r="P2146" s="29">
        <v>95</v>
      </c>
      <c r="Q2146" s="29">
        <v>102</v>
      </c>
    </row>
    <row r="2147" spans="1:17" x14ac:dyDescent="0.35">
      <c r="A2147" s="26">
        <v>40000002769</v>
      </c>
      <c r="B2147" s="27">
        <v>1</v>
      </c>
      <c r="C2147" s="29" t="str">
        <f>LOOKUP(A2147,'QALS - Inspection Lot Record'!$A$2:$A$361,'QALS - Inspection Lot Record'!$O$2:$O$361)</f>
        <v>Ibuprofen Tablets (100 MG)</v>
      </c>
      <c r="D2147" s="31">
        <v>20</v>
      </c>
      <c r="E2147" s="29" t="s">
        <v>400</v>
      </c>
      <c r="F2147" s="29" t="str">
        <f>LOOKUP(A2147,'QALS - Inspection Lot Record'!A:A,'QALS - Inspection Lot Record'!G:G)</f>
        <v>AB406550</v>
      </c>
      <c r="G2147" s="59">
        <f ca="1">LOOKUP(A2147,'QALS - Inspection Lot Record'!A:A,'QALS - Inspection Lot Record'!E:E)</f>
        <v>46004</v>
      </c>
      <c r="H2147" s="34" t="str">
        <f t="shared" si="170"/>
        <v>A</v>
      </c>
      <c r="I2147" s="29" t="str">
        <f t="shared" si="166"/>
        <v>AB406550</v>
      </c>
      <c r="J2147" s="59">
        <f t="shared" ca="1" si="167"/>
        <v>46004</v>
      </c>
      <c r="K2147" s="30">
        <f ca="1">LOOKUP(A2147,'QALS - Inspection Lot Record'!A:A,'QALS - Inspection Lot Record'!I:I)</f>
        <v>0.87149305555555556</v>
      </c>
      <c r="L2147" s="59">
        <f t="shared" ca="1" si="168"/>
        <v>46004</v>
      </c>
      <c r="M2147" s="30">
        <f t="shared" ca="1" si="169"/>
        <v>0.90222222222222226</v>
      </c>
      <c r="N2147" s="31"/>
      <c r="O2147" s="31">
        <v>7.25</v>
      </c>
      <c r="P2147" s="29">
        <v>3.5</v>
      </c>
      <c r="Q2147" s="29">
        <v>11</v>
      </c>
    </row>
    <row r="2148" spans="1:17" x14ac:dyDescent="0.35">
      <c r="A2148" s="26">
        <v>40000002769</v>
      </c>
      <c r="B2148" s="31">
        <v>1</v>
      </c>
      <c r="C2148" s="29" t="str">
        <f>LOOKUP(A2148,'QALS - Inspection Lot Record'!$A$2:$A$361,'QALS - Inspection Lot Record'!$O$2:$O$361)</f>
        <v>Ibuprofen Tablets (100 MG)</v>
      </c>
      <c r="D2148" s="31">
        <v>30</v>
      </c>
      <c r="E2148" s="29" t="s">
        <v>401</v>
      </c>
      <c r="F2148" s="29" t="str">
        <f>LOOKUP(A2148,'QALS - Inspection Lot Record'!A:A,'QALS - Inspection Lot Record'!G:G)</f>
        <v>AB406550</v>
      </c>
      <c r="G2148" s="59">
        <f ca="1">LOOKUP(A2148,'QALS - Inspection Lot Record'!A:A,'QALS - Inspection Lot Record'!E:E)</f>
        <v>46004</v>
      </c>
      <c r="H2148" s="34" t="str">
        <f t="shared" si="170"/>
        <v>A</v>
      </c>
      <c r="I2148" s="29" t="str">
        <f t="shared" si="166"/>
        <v>AB406550</v>
      </c>
      <c r="J2148" s="59">
        <f t="shared" ca="1" si="167"/>
        <v>46004</v>
      </c>
      <c r="K2148" s="30">
        <f ca="1">LOOKUP(A2148,'QALS - Inspection Lot Record'!A:A,'QALS - Inspection Lot Record'!I:I)</f>
        <v>0.87149305555555556</v>
      </c>
      <c r="L2148" s="59">
        <f t="shared" ca="1" si="168"/>
        <v>46004</v>
      </c>
      <c r="M2148" s="30">
        <f t="shared" ca="1" si="169"/>
        <v>0.90261574074074069</v>
      </c>
      <c r="N2148" s="11" t="s">
        <v>402</v>
      </c>
      <c r="O2148" s="31"/>
      <c r="P2148" s="29"/>
      <c r="Q2148" s="29"/>
    </row>
    <row r="2149" spans="1:17" x14ac:dyDescent="0.35">
      <c r="A2149" s="26">
        <v>40000002769</v>
      </c>
      <c r="B2149" s="31">
        <v>1</v>
      </c>
      <c r="C2149" s="29" t="str">
        <f>LOOKUP(A2149,'QALS - Inspection Lot Record'!$A$2:$A$361,'QALS - Inspection Lot Record'!$O$2:$O$361)</f>
        <v>Ibuprofen Tablets (100 MG)</v>
      </c>
      <c r="D2149" s="31">
        <v>40</v>
      </c>
      <c r="E2149" s="29" t="s">
        <v>403</v>
      </c>
      <c r="F2149" s="29" t="str">
        <f>LOOKUP(A2149,'QALS - Inspection Lot Record'!A:A,'QALS - Inspection Lot Record'!G:G)</f>
        <v>AB406550</v>
      </c>
      <c r="G2149" s="59">
        <f ca="1">LOOKUP(A2149,'QALS - Inspection Lot Record'!A:A,'QALS - Inspection Lot Record'!E:E)</f>
        <v>46004</v>
      </c>
      <c r="H2149" s="34" t="str">
        <f t="shared" si="170"/>
        <v>A</v>
      </c>
      <c r="I2149" s="29" t="str">
        <f t="shared" si="166"/>
        <v>AB406550</v>
      </c>
      <c r="J2149" s="59">
        <f t="shared" ca="1" si="167"/>
        <v>46004</v>
      </c>
      <c r="K2149" s="30">
        <f ca="1">LOOKUP(A2149,'QALS - Inspection Lot Record'!A:A,'QALS - Inspection Lot Record'!I:I)</f>
        <v>0.87149305555555556</v>
      </c>
      <c r="L2149" s="59">
        <f t="shared" ca="1" si="168"/>
        <v>46004</v>
      </c>
      <c r="M2149" s="30">
        <f t="shared" ca="1" si="169"/>
        <v>0.89734953703703701</v>
      </c>
      <c r="N2149" s="31"/>
      <c r="O2149" s="31">
        <v>0</v>
      </c>
      <c r="P2149" s="29">
        <v>0</v>
      </c>
      <c r="Q2149" s="29">
        <v>1</v>
      </c>
    </row>
    <row r="2150" spans="1:17" x14ac:dyDescent="0.35">
      <c r="A2150" s="26">
        <v>40000002769</v>
      </c>
      <c r="B2150" s="31">
        <v>1</v>
      </c>
      <c r="C2150" s="29" t="str">
        <f>LOOKUP(A2150,'QALS - Inspection Lot Record'!$A$2:$A$361,'QALS - Inspection Lot Record'!$O$2:$O$361)</f>
        <v>Ibuprofen Tablets (100 MG)</v>
      </c>
      <c r="D2150" s="31">
        <v>50</v>
      </c>
      <c r="E2150" s="29" t="s">
        <v>404</v>
      </c>
      <c r="F2150" s="29" t="str">
        <f>LOOKUP(A2150,'QALS - Inspection Lot Record'!A:A,'QALS - Inspection Lot Record'!G:G)</f>
        <v>AB406550</v>
      </c>
      <c r="G2150" s="59">
        <f ca="1">LOOKUP(A2150,'QALS - Inspection Lot Record'!A:A,'QALS - Inspection Lot Record'!E:E)</f>
        <v>46004</v>
      </c>
      <c r="H2150" s="34" t="str">
        <f t="shared" si="170"/>
        <v>A</v>
      </c>
      <c r="I2150" s="29" t="str">
        <f t="shared" si="166"/>
        <v>AB406550</v>
      </c>
      <c r="J2150" s="59">
        <f t="shared" ca="1" si="167"/>
        <v>46004</v>
      </c>
      <c r="K2150" s="30">
        <f ca="1">LOOKUP(A2150,'QALS - Inspection Lot Record'!A:A,'QALS - Inspection Lot Record'!I:I)</f>
        <v>0.87149305555555556</v>
      </c>
      <c r="L2150" s="59">
        <f t="shared" ca="1" si="168"/>
        <v>46004</v>
      </c>
      <c r="M2150" s="30">
        <f t="shared" ca="1" si="169"/>
        <v>0.90295138888888893</v>
      </c>
      <c r="N2150" s="31"/>
      <c r="O2150" s="31">
        <v>50</v>
      </c>
      <c r="P2150" s="29">
        <v>40</v>
      </c>
      <c r="Q2150" s="29">
        <v>60</v>
      </c>
    </row>
    <row r="2151" spans="1:17" x14ac:dyDescent="0.35">
      <c r="A2151" s="26">
        <v>40000002769</v>
      </c>
      <c r="B2151" s="31">
        <v>1</v>
      </c>
      <c r="C2151" s="29" t="str">
        <f>LOOKUP(A2151,'QALS - Inspection Lot Record'!$A$2:$A$361,'QALS - Inspection Lot Record'!$O$2:$O$361)</f>
        <v>Ibuprofen Tablets (100 MG)</v>
      </c>
      <c r="D2151" s="31">
        <v>60</v>
      </c>
      <c r="E2151" s="29" t="s">
        <v>405</v>
      </c>
      <c r="F2151" s="29" t="str">
        <f>LOOKUP(A2151,'QALS - Inspection Lot Record'!A:A,'QALS - Inspection Lot Record'!G:G)</f>
        <v>AB406550</v>
      </c>
      <c r="G2151" s="59">
        <f ca="1">LOOKUP(A2151,'QALS - Inspection Lot Record'!A:A,'QALS - Inspection Lot Record'!E:E)</f>
        <v>46004</v>
      </c>
      <c r="H2151" s="34" t="str">
        <f t="shared" si="170"/>
        <v>A</v>
      </c>
      <c r="I2151" s="29" t="str">
        <f t="shared" si="166"/>
        <v>AB406550</v>
      </c>
      <c r="J2151" s="59">
        <f t="shared" ca="1" si="167"/>
        <v>46004</v>
      </c>
      <c r="K2151" s="30">
        <f ca="1">LOOKUP(A2151,'QALS - Inspection Lot Record'!A:A,'QALS - Inspection Lot Record'!I:I)</f>
        <v>0.87149305555555556</v>
      </c>
      <c r="L2151" s="59">
        <f t="shared" ca="1" si="168"/>
        <v>46004</v>
      </c>
      <c r="M2151" s="30">
        <f t="shared" ca="1" si="169"/>
        <v>0.89888888888888885</v>
      </c>
      <c r="N2151" s="31"/>
      <c r="O2151" s="31">
        <v>77.5</v>
      </c>
      <c r="P2151" s="29">
        <v>70</v>
      </c>
      <c r="Q2151" s="29">
        <v>85</v>
      </c>
    </row>
    <row r="2152" spans="1:17" x14ac:dyDescent="0.35">
      <c r="A2152" s="26">
        <v>40000002769</v>
      </c>
      <c r="B2152" s="31">
        <v>1</v>
      </c>
      <c r="C2152" s="29" t="str">
        <f>LOOKUP(A2152,'QALS - Inspection Lot Record'!$A$2:$A$361,'QALS - Inspection Lot Record'!$O$2:$O$361)</f>
        <v>Ibuprofen Tablets (100 MG)</v>
      </c>
      <c r="D2152" s="31">
        <v>70</v>
      </c>
      <c r="E2152" s="29" t="s">
        <v>406</v>
      </c>
      <c r="F2152" s="29" t="str">
        <f>LOOKUP(A2152,'QALS - Inspection Lot Record'!A:A,'QALS - Inspection Lot Record'!G:G)</f>
        <v>AB406550</v>
      </c>
      <c r="G2152" s="59">
        <f ca="1">LOOKUP(A2152,'QALS - Inspection Lot Record'!A:A,'QALS - Inspection Lot Record'!E:E)</f>
        <v>46004</v>
      </c>
      <c r="H2152" s="34" t="str">
        <f t="shared" si="170"/>
        <v>A</v>
      </c>
      <c r="I2152" s="29" t="str">
        <f t="shared" si="166"/>
        <v>AB406550</v>
      </c>
      <c r="J2152" s="59">
        <f t="shared" ca="1" si="167"/>
        <v>46004</v>
      </c>
      <c r="K2152" s="30">
        <f ca="1">LOOKUP(A2152,'QALS - Inspection Lot Record'!A:A,'QALS - Inspection Lot Record'!I:I)</f>
        <v>0.87149305555555556</v>
      </c>
      <c r="L2152" s="59">
        <f t="shared" ca="1" si="168"/>
        <v>46004</v>
      </c>
      <c r="M2152" s="30">
        <f t="shared" ca="1" si="169"/>
        <v>0.89465277777777774</v>
      </c>
      <c r="N2152" s="31"/>
      <c r="O2152" s="31">
        <v>85</v>
      </c>
      <c r="P2152" s="29">
        <v>80</v>
      </c>
      <c r="Q2152" s="29">
        <v>90</v>
      </c>
    </row>
    <row r="2153" spans="1:17" x14ac:dyDescent="0.35">
      <c r="A2153" s="26">
        <v>40000002769</v>
      </c>
      <c r="B2153" s="31">
        <v>1</v>
      </c>
      <c r="C2153" s="29" t="str">
        <f>LOOKUP(A2153,'QALS - Inspection Lot Record'!$A$2:$A$361,'QALS - Inspection Lot Record'!$O$2:$O$361)</f>
        <v>Ibuprofen Tablets (100 MG)</v>
      </c>
      <c r="D2153" s="31">
        <v>80</v>
      </c>
      <c r="E2153" s="29" t="s">
        <v>407</v>
      </c>
      <c r="F2153" s="29" t="str">
        <f>LOOKUP(A2153,'QALS - Inspection Lot Record'!A:A,'QALS - Inspection Lot Record'!G:G)</f>
        <v>AB406550</v>
      </c>
      <c r="G2153" s="59">
        <f ca="1">LOOKUP(A2153,'QALS - Inspection Lot Record'!A:A,'QALS - Inspection Lot Record'!E:E)</f>
        <v>46004</v>
      </c>
      <c r="H2153" s="34" t="str">
        <f t="shared" si="170"/>
        <v>A</v>
      </c>
      <c r="I2153" s="29" t="str">
        <f t="shared" si="166"/>
        <v>AB406550</v>
      </c>
      <c r="J2153" s="59">
        <f t="shared" ca="1" si="167"/>
        <v>46004</v>
      </c>
      <c r="K2153" s="30">
        <f ca="1">LOOKUP(A2153,'QALS - Inspection Lot Record'!A:A,'QALS - Inspection Lot Record'!I:I)</f>
        <v>0.87149305555555556</v>
      </c>
      <c r="L2153" s="59">
        <f t="shared" ca="1" si="168"/>
        <v>46004</v>
      </c>
      <c r="M2153" s="30">
        <f t="shared" ca="1" si="169"/>
        <v>0.89604166666666663</v>
      </c>
      <c r="N2153" s="31"/>
      <c r="O2153" s="31">
        <v>24</v>
      </c>
      <c r="P2153" s="29">
        <v>23</v>
      </c>
      <c r="Q2153" s="29">
        <v>25</v>
      </c>
    </row>
    <row r="2154" spans="1:17" x14ac:dyDescent="0.35">
      <c r="A2154" s="26">
        <v>40000002770</v>
      </c>
      <c r="B2154" s="27">
        <v>1</v>
      </c>
      <c r="C2154" s="29" t="str">
        <f>LOOKUP(A2154,'QALS - Inspection Lot Record'!$A$2:$A$361,'QALS - Inspection Lot Record'!$O$2:$O$361)</f>
        <v>Metformin Tablets (200 MG)</v>
      </c>
      <c r="D2154" s="27">
        <v>10</v>
      </c>
      <c r="E2154" s="26" t="s">
        <v>399</v>
      </c>
      <c r="F2154" s="29" t="str">
        <f>LOOKUP(A2154,'QALS - Inspection Lot Record'!A:A,'QALS - Inspection Lot Record'!G:G)</f>
        <v>GC197258</v>
      </c>
      <c r="G2154" s="59">
        <f ca="1">LOOKUP(A2154,'QALS - Inspection Lot Record'!A:A,'QALS - Inspection Lot Record'!E:E)</f>
        <v>46004</v>
      </c>
      <c r="H2154" s="34" t="str">
        <f t="shared" si="170"/>
        <v>A</v>
      </c>
      <c r="I2154" s="29" t="str">
        <f t="shared" si="166"/>
        <v>GC197258</v>
      </c>
      <c r="J2154" s="59">
        <f t="shared" ca="1" si="167"/>
        <v>46004</v>
      </c>
      <c r="K2154" s="30">
        <f ca="1">LOOKUP(A2154,'QALS - Inspection Lot Record'!A:A,'QALS - Inspection Lot Record'!I:I)</f>
        <v>0.36984953703703705</v>
      </c>
      <c r="L2154" s="59">
        <f t="shared" ca="1" si="168"/>
        <v>46004</v>
      </c>
      <c r="M2154" s="30">
        <f t="shared" ca="1" si="169"/>
        <v>0.39405092592592594</v>
      </c>
      <c r="N2154" s="31"/>
      <c r="O2154" s="31">
        <v>99</v>
      </c>
      <c r="P2154" s="29">
        <v>95</v>
      </c>
      <c r="Q2154" s="29">
        <v>103</v>
      </c>
    </row>
    <row r="2155" spans="1:17" x14ac:dyDescent="0.35">
      <c r="A2155" s="26">
        <v>40000002770</v>
      </c>
      <c r="B2155" s="27">
        <v>1</v>
      </c>
      <c r="C2155" s="29" t="str">
        <f>LOOKUP(A2155,'QALS - Inspection Lot Record'!$A$2:$A$361,'QALS - Inspection Lot Record'!$O$2:$O$361)</f>
        <v>Metformin Tablets (200 MG)</v>
      </c>
      <c r="D2155" s="31">
        <v>20</v>
      </c>
      <c r="E2155" s="29" t="s">
        <v>400</v>
      </c>
      <c r="F2155" s="29" t="str">
        <f>LOOKUP(A2155,'QALS - Inspection Lot Record'!A:A,'QALS - Inspection Lot Record'!G:G)</f>
        <v>GC197258</v>
      </c>
      <c r="G2155" s="59">
        <f ca="1">LOOKUP(A2155,'QALS - Inspection Lot Record'!A:A,'QALS - Inspection Lot Record'!E:E)</f>
        <v>46004</v>
      </c>
      <c r="H2155" s="34" t="str">
        <f t="shared" si="170"/>
        <v>A</v>
      </c>
      <c r="I2155" s="29" t="str">
        <f t="shared" si="166"/>
        <v>GC197258</v>
      </c>
      <c r="J2155" s="59">
        <f t="shared" ca="1" si="167"/>
        <v>46004</v>
      </c>
      <c r="K2155" s="30">
        <f ca="1">LOOKUP(A2155,'QALS - Inspection Lot Record'!A:A,'QALS - Inspection Lot Record'!I:I)</f>
        <v>0.36984953703703705</v>
      </c>
      <c r="L2155" s="59">
        <f t="shared" ca="1" si="168"/>
        <v>46004</v>
      </c>
      <c r="M2155" s="30">
        <f t="shared" ca="1" si="169"/>
        <v>0.40505787037037039</v>
      </c>
      <c r="N2155" s="31"/>
      <c r="O2155" s="31">
        <v>7.75</v>
      </c>
      <c r="P2155" s="29">
        <v>6</v>
      </c>
      <c r="Q2155" s="29">
        <v>9.5</v>
      </c>
    </row>
    <row r="2156" spans="1:17" x14ac:dyDescent="0.35">
      <c r="A2156" s="26">
        <v>40000002770</v>
      </c>
      <c r="B2156" s="31">
        <v>1</v>
      </c>
      <c r="C2156" s="29" t="str">
        <f>LOOKUP(A2156,'QALS - Inspection Lot Record'!$A$2:$A$361,'QALS - Inspection Lot Record'!$O$2:$O$361)</f>
        <v>Metformin Tablets (200 MG)</v>
      </c>
      <c r="D2156" s="31">
        <v>30</v>
      </c>
      <c r="E2156" s="29" t="s">
        <v>401</v>
      </c>
      <c r="F2156" s="29" t="str">
        <f>LOOKUP(A2156,'QALS - Inspection Lot Record'!A:A,'QALS - Inspection Lot Record'!G:G)</f>
        <v>GC197258</v>
      </c>
      <c r="G2156" s="59">
        <f ca="1">LOOKUP(A2156,'QALS - Inspection Lot Record'!A:A,'QALS - Inspection Lot Record'!E:E)</f>
        <v>46004</v>
      </c>
      <c r="H2156" s="34" t="str">
        <f t="shared" si="170"/>
        <v>A</v>
      </c>
      <c r="I2156" s="29" t="str">
        <f t="shared" si="166"/>
        <v>GC197258</v>
      </c>
      <c r="J2156" s="59">
        <f t="shared" ca="1" si="167"/>
        <v>46004</v>
      </c>
      <c r="K2156" s="30">
        <f ca="1">LOOKUP(A2156,'QALS - Inspection Lot Record'!A:A,'QALS - Inspection Lot Record'!I:I)</f>
        <v>0.36984953703703705</v>
      </c>
      <c r="L2156" s="59">
        <f t="shared" ca="1" si="168"/>
        <v>46004</v>
      </c>
      <c r="M2156" s="30">
        <f t="shared" ca="1" si="169"/>
        <v>0.39238425925925929</v>
      </c>
      <c r="N2156" s="11" t="s">
        <v>402</v>
      </c>
      <c r="O2156" s="31"/>
      <c r="P2156" s="29"/>
      <c r="Q2156" s="29"/>
    </row>
    <row r="2157" spans="1:17" x14ac:dyDescent="0.35">
      <c r="A2157" s="26">
        <v>40000002770</v>
      </c>
      <c r="B2157" s="31">
        <v>1</v>
      </c>
      <c r="C2157" s="29" t="str">
        <f>LOOKUP(A2157,'QALS - Inspection Lot Record'!$A$2:$A$361,'QALS - Inspection Lot Record'!$O$2:$O$361)</f>
        <v>Metformin Tablets (200 MG)</v>
      </c>
      <c r="D2157" s="31">
        <v>40</v>
      </c>
      <c r="E2157" s="29" t="s">
        <v>403</v>
      </c>
      <c r="F2157" s="29" t="str">
        <f>LOOKUP(A2157,'QALS - Inspection Lot Record'!A:A,'QALS - Inspection Lot Record'!G:G)</f>
        <v>GC197258</v>
      </c>
      <c r="G2157" s="59">
        <f ca="1">LOOKUP(A2157,'QALS - Inspection Lot Record'!A:A,'QALS - Inspection Lot Record'!E:E)</f>
        <v>46004</v>
      </c>
      <c r="H2157" s="34" t="str">
        <f t="shared" si="170"/>
        <v>A</v>
      </c>
      <c r="I2157" s="29" t="str">
        <f t="shared" si="166"/>
        <v>GC197258</v>
      </c>
      <c r="J2157" s="59">
        <f t="shared" ca="1" si="167"/>
        <v>46004</v>
      </c>
      <c r="K2157" s="30">
        <f ca="1">LOOKUP(A2157,'QALS - Inspection Lot Record'!A:A,'QALS - Inspection Lot Record'!I:I)</f>
        <v>0.36984953703703705</v>
      </c>
      <c r="L2157" s="59">
        <f t="shared" ca="1" si="168"/>
        <v>46004</v>
      </c>
      <c r="M2157" s="30">
        <f t="shared" ca="1" si="169"/>
        <v>0.40489583333333334</v>
      </c>
      <c r="N2157" s="31"/>
      <c r="O2157" s="31">
        <v>1</v>
      </c>
      <c r="P2157" s="29">
        <v>0</v>
      </c>
      <c r="Q2157" s="29">
        <v>2</v>
      </c>
    </row>
    <row r="2158" spans="1:17" x14ac:dyDescent="0.35">
      <c r="A2158" s="26">
        <v>40000002770</v>
      </c>
      <c r="B2158" s="31">
        <v>1</v>
      </c>
      <c r="C2158" s="29" t="str">
        <f>LOOKUP(A2158,'QALS - Inspection Lot Record'!$A$2:$A$361,'QALS - Inspection Lot Record'!$O$2:$O$361)</f>
        <v>Metformin Tablets (200 MG)</v>
      </c>
      <c r="D2158" s="31">
        <v>50</v>
      </c>
      <c r="E2158" s="29" t="s">
        <v>404</v>
      </c>
      <c r="F2158" s="29" t="str">
        <f>LOOKUP(A2158,'QALS - Inspection Lot Record'!A:A,'QALS - Inspection Lot Record'!G:G)</f>
        <v>GC197258</v>
      </c>
      <c r="G2158" s="59">
        <f ca="1">LOOKUP(A2158,'QALS - Inspection Lot Record'!A:A,'QALS - Inspection Lot Record'!E:E)</f>
        <v>46004</v>
      </c>
      <c r="H2158" s="34" t="str">
        <f t="shared" si="170"/>
        <v>A</v>
      </c>
      <c r="I2158" s="29" t="str">
        <f t="shared" si="166"/>
        <v>GC197258</v>
      </c>
      <c r="J2158" s="59">
        <f t="shared" ca="1" si="167"/>
        <v>46004</v>
      </c>
      <c r="K2158" s="30">
        <f ca="1">LOOKUP(A2158,'QALS - Inspection Lot Record'!A:A,'QALS - Inspection Lot Record'!I:I)</f>
        <v>0.36984953703703705</v>
      </c>
      <c r="L2158" s="59">
        <f t="shared" ca="1" si="168"/>
        <v>46004</v>
      </c>
      <c r="M2158" s="30">
        <f t="shared" ca="1" si="169"/>
        <v>0.39840277777777777</v>
      </c>
      <c r="N2158" s="31"/>
      <c r="O2158" s="31">
        <v>50</v>
      </c>
      <c r="P2158" s="29">
        <v>40</v>
      </c>
      <c r="Q2158" s="29">
        <v>60</v>
      </c>
    </row>
    <row r="2159" spans="1:17" x14ac:dyDescent="0.35">
      <c r="A2159" s="26">
        <v>40000002770</v>
      </c>
      <c r="B2159" s="31">
        <v>1</v>
      </c>
      <c r="C2159" s="29" t="str">
        <f>LOOKUP(A2159,'QALS - Inspection Lot Record'!$A$2:$A$361,'QALS - Inspection Lot Record'!$O$2:$O$361)</f>
        <v>Metformin Tablets (200 MG)</v>
      </c>
      <c r="D2159" s="31">
        <v>60</v>
      </c>
      <c r="E2159" s="29" t="s">
        <v>405</v>
      </c>
      <c r="F2159" s="29" t="str">
        <f>LOOKUP(A2159,'QALS - Inspection Lot Record'!A:A,'QALS - Inspection Lot Record'!G:G)</f>
        <v>GC197258</v>
      </c>
      <c r="G2159" s="59">
        <f ca="1">LOOKUP(A2159,'QALS - Inspection Lot Record'!A:A,'QALS - Inspection Lot Record'!E:E)</f>
        <v>46004</v>
      </c>
      <c r="H2159" s="34" t="str">
        <f t="shared" si="170"/>
        <v>A</v>
      </c>
      <c r="I2159" s="29" t="str">
        <f t="shared" si="166"/>
        <v>GC197258</v>
      </c>
      <c r="J2159" s="59">
        <f t="shared" ca="1" si="167"/>
        <v>46004</v>
      </c>
      <c r="K2159" s="30">
        <f ca="1">LOOKUP(A2159,'QALS - Inspection Lot Record'!A:A,'QALS - Inspection Lot Record'!I:I)</f>
        <v>0.36984953703703705</v>
      </c>
      <c r="L2159" s="59">
        <f t="shared" ca="1" si="168"/>
        <v>46004</v>
      </c>
      <c r="M2159" s="30">
        <f t="shared" ca="1" si="169"/>
        <v>0.39403935185185185</v>
      </c>
      <c r="N2159" s="31"/>
      <c r="O2159" s="31">
        <v>77.5</v>
      </c>
      <c r="P2159" s="29">
        <v>70</v>
      </c>
      <c r="Q2159" s="29">
        <v>85</v>
      </c>
    </row>
    <row r="2160" spans="1:17" x14ac:dyDescent="0.35">
      <c r="A2160" s="26">
        <v>40000002770</v>
      </c>
      <c r="B2160" s="31">
        <v>1</v>
      </c>
      <c r="C2160" s="29" t="str">
        <f>LOOKUP(A2160,'QALS - Inspection Lot Record'!$A$2:$A$361,'QALS - Inspection Lot Record'!$O$2:$O$361)</f>
        <v>Metformin Tablets (200 MG)</v>
      </c>
      <c r="D2160" s="31">
        <v>70</v>
      </c>
      <c r="E2160" s="29" t="s">
        <v>406</v>
      </c>
      <c r="F2160" s="29" t="str">
        <f>LOOKUP(A2160,'QALS - Inspection Lot Record'!A:A,'QALS - Inspection Lot Record'!G:G)</f>
        <v>GC197258</v>
      </c>
      <c r="G2160" s="59">
        <f ca="1">LOOKUP(A2160,'QALS - Inspection Lot Record'!A:A,'QALS - Inspection Lot Record'!E:E)</f>
        <v>46004</v>
      </c>
      <c r="H2160" s="34" t="str">
        <f t="shared" si="170"/>
        <v>A</v>
      </c>
      <c r="I2160" s="29" t="str">
        <f t="shared" si="166"/>
        <v>GC197258</v>
      </c>
      <c r="J2160" s="59">
        <f t="shared" ca="1" si="167"/>
        <v>46004</v>
      </c>
      <c r="K2160" s="30">
        <f ca="1">LOOKUP(A2160,'QALS - Inspection Lot Record'!A:A,'QALS - Inspection Lot Record'!I:I)</f>
        <v>0.36984953703703705</v>
      </c>
      <c r="L2160" s="59">
        <f t="shared" ca="1" si="168"/>
        <v>46004</v>
      </c>
      <c r="M2160" s="30">
        <f t="shared" ca="1" si="169"/>
        <v>0.39006944444444447</v>
      </c>
      <c r="N2160" s="31"/>
      <c r="O2160" s="31">
        <v>85</v>
      </c>
      <c r="P2160" s="29">
        <v>80</v>
      </c>
      <c r="Q2160" s="29">
        <v>90</v>
      </c>
    </row>
    <row r="2161" spans="1:17" x14ac:dyDescent="0.35">
      <c r="A2161" s="26">
        <v>40000002770</v>
      </c>
      <c r="B2161" s="31">
        <v>1</v>
      </c>
      <c r="C2161" s="29" t="str">
        <f>LOOKUP(A2161,'QALS - Inspection Lot Record'!$A$2:$A$361,'QALS - Inspection Lot Record'!$O$2:$O$361)</f>
        <v>Metformin Tablets (200 MG)</v>
      </c>
      <c r="D2161" s="31">
        <v>80</v>
      </c>
      <c r="E2161" s="29" t="s">
        <v>407</v>
      </c>
      <c r="F2161" s="29" t="str">
        <f>LOOKUP(A2161,'QALS - Inspection Lot Record'!A:A,'QALS - Inspection Lot Record'!G:G)</f>
        <v>GC197258</v>
      </c>
      <c r="G2161" s="59">
        <f ca="1">LOOKUP(A2161,'QALS - Inspection Lot Record'!A:A,'QALS - Inspection Lot Record'!E:E)</f>
        <v>46004</v>
      </c>
      <c r="H2161" s="34" t="str">
        <f t="shared" si="170"/>
        <v>A</v>
      </c>
      <c r="I2161" s="29" t="str">
        <f t="shared" si="166"/>
        <v>GC197258</v>
      </c>
      <c r="J2161" s="59">
        <f t="shared" ca="1" si="167"/>
        <v>46004</v>
      </c>
      <c r="K2161" s="30">
        <f ca="1">LOOKUP(A2161,'QALS - Inspection Lot Record'!A:A,'QALS - Inspection Lot Record'!I:I)</f>
        <v>0.36984953703703705</v>
      </c>
      <c r="L2161" s="59">
        <f t="shared" ca="1" si="168"/>
        <v>46004</v>
      </c>
      <c r="M2161" s="30">
        <f t="shared" ca="1" si="169"/>
        <v>0.38763888888888892</v>
      </c>
      <c r="N2161" s="31"/>
      <c r="O2161" s="31">
        <v>25.5</v>
      </c>
      <c r="P2161" s="29">
        <v>23</v>
      </c>
      <c r="Q2161" s="29">
        <v>28</v>
      </c>
    </row>
    <row r="2162" spans="1:17" x14ac:dyDescent="0.35">
      <c r="A2162" s="26">
        <v>40000002771</v>
      </c>
      <c r="B2162" s="27">
        <v>1</v>
      </c>
      <c r="C2162" s="29" t="str">
        <f>LOOKUP(A2162,'QALS - Inspection Lot Record'!$A$2:$A$361,'QALS - Inspection Lot Record'!$O$2:$O$361)</f>
        <v>Metformin Tablets (200 MG)</v>
      </c>
      <c r="D2162" s="27">
        <v>10</v>
      </c>
      <c r="E2162" s="26" t="s">
        <v>399</v>
      </c>
      <c r="F2162" s="29" t="str">
        <f>LOOKUP(A2162,'QALS - Inspection Lot Record'!A:A,'QALS - Inspection Lot Record'!G:G)</f>
        <v>AB406550</v>
      </c>
      <c r="G2162" s="59">
        <f ca="1">LOOKUP(A2162,'QALS - Inspection Lot Record'!A:A,'QALS - Inspection Lot Record'!E:E)</f>
        <v>46005</v>
      </c>
      <c r="H2162" s="34" t="str">
        <f t="shared" si="170"/>
        <v>A</v>
      </c>
      <c r="I2162" s="29" t="str">
        <f t="shared" si="166"/>
        <v>AB406550</v>
      </c>
      <c r="J2162" s="59">
        <f t="shared" ca="1" si="167"/>
        <v>46005</v>
      </c>
      <c r="K2162" s="30">
        <f ca="1">LOOKUP(A2162,'QALS - Inspection Lot Record'!A:A,'QALS - Inspection Lot Record'!I:I)</f>
        <v>0.88444444444444448</v>
      </c>
      <c r="L2162" s="59">
        <f t="shared" ca="1" si="168"/>
        <v>46005</v>
      </c>
      <c r="M2162" s="30">
        <f t="shared" ca="1" si="169"/>
        <v>0.90750000000000008</v>
      </c>
      <c r="N2162" s="31"/>
      <c r="O2162" s="31">
        <v>99</v>
      </c>
      <c r="P2162" s="29">
        <v>95</v>
      </c>
      <c r="Q2162" s="29">
        <v>103</v>
      </c>
    </row>
    <row r="2163" spans="1:17" x14ac:dyDescent="0.35">
      <c r="A2163" s="26">
        <v>40000002771</v>
      </c>
      <c r="B2163" s="27">
        <v>1</v>
      </c>
      <c r="C2163" s="29" t="str">
        <f>LOOKUP(A2163,'QALS - Inspection Lot Record'!$A$2:$A$361,'QALS - Inspection Lot Record'!$O$2:$O$361)</f>
        <v>Metformin Tablets (200 MG)</v>
      </c>
      <c r="D2163" s="31">
        <v>20</v>
      </c>
      <c r="E2163" s="29" t="s">
        <v>400</v>
      </c>
      <c r="F2163" s="29" t="str">
        <f>LOOKUP(A2163,'QALS - Inspection Lot Record'!A:A,'QALS - Inspection Lot Record'!G:G)</f>
        <v>AB406550</v>
      </c>
      <c r="G2163" s="59">
        <f ca="1">LOOKUP(A2163,'QALS - Inspection Lot Record'!A:A,'QALS - Inspection Lot Record'!E:E)</f>
        <v>46005</v>
      </c>
      <c r="H2163" s="34" t="str">
        <f t="shared" si="170"/>
        <v>A</v>
      </c>
      <c r="I2163" s="29" t="str">
        <f t="shared" si="166"/>
        <v>AB406550</v>
      </c>
      <c r="J2163" s="59">
        <f t="shared" ca="1" si="167"/>
        <v>46005</v>
      </c>
      <c r="K2163" s="30">
        <f ca="1">LOOKUP(A2163,'QALS - Inspection Lot Record'!A:A,'QALS - Inspection Lot Record'!I:I)</f>
        <v>0.88444444444444448</v>
      </c>
      <c r="L2163" s="59">
        <f t="shared" ca="1" si="168"/>
        <v>46005</v>
      </c>
      <c r="M2163" s="30">
        <f t="shared" ca="1" si="169"/>
        <v>0.91615740740740748</v>
      </c>
      <c r="N2163" s="31"/>
      <c r="O2163" s="31">
        <v>7.75</v>
      </c>
      <c r="P2163" s="29">
        <v>6</v>
      </c>
      <c r="Q2163" s="29">
        <v>9.5</v>
      </c>
    </row>
    <row r="2164" spans="1:17" x14ac:dyDescent="0.35">
      <c r="A2164" s="26">
        <v>40000002771</v>
      </c>
      <c r="B2164" s="31">
        <v>1</v>
      </c>
      <c r="C2164" s="29" t="str">
        <f>LOOKUP(A2164,'QALS - Inspection Lot Record'!$A$2:$A$361,'QALS - Inspection Lot Record'!$O$2:$O$361)</f>
        <v>Metformin Tablets (200 MG)</v>
      </c>
      <c r="D2164" s="31">
        <v>30</v>
      </c>
      <c r="E2164" s="29" t="s">
        <v>401</v>
      </c>
      <c r="F2164" s="29" t="str">
        <f>LOOKUP(A2164,'QALS - Inspection Lot Record'!A:A,'QALS - Inspection Lot Record'!G:G)</f>
        <v>AB406550</v>
      </c>
      <c r="G2164" s="59">
        <f ca="1">LOOKUP(A2164,'QALS - Inspection Lot Record'!A:A,'QALS - Inspection Lot Record'!E:E)</f>
        <v>46005</v>
      </c>
      <c r="H2164" s="34" t="str">
        <f t="shared" si="170"/>
        <v>A</v>
      </c>
      <c r="I2164" s="29" t="str">
        <f t="shared" si="166"/>
        <v>AB406550</v>
      </c>
      <c r="J2164" s="59">
        <f t="shared" ca="1" si="167"/>
        <v>46005</v>
      </c>
      <c r="K2164" s="30">
        <f ca="1">LOOKUP(A2164,'QALS - Inspection Lot Record'!A:A,'QALS - Inspection Lot Record'!I:I)</f>
        <v>0.88444444444444448</v>
      </c>
      <c r="L2164" s="59">
        <f t="shared" ca="1" si="168"/>
        <v>46005</v>
      </c>
      <c r="M2164" s="30">
        <f t="shared" ca="1" si="169"/>
        <v>0.90253472222222231</v>
      </c>
      <c r="N2164" s="11" t="s">
        <v>402</v>
      </c>
      <c r="O2164" s="31"/>
      <c r="P2164" s="29"/>
      <c r="Q2164" s="29"/>
    </row>
    <row r="2165" spans="1:17" x14ac:dyDescent="0.35">
      <c r="A2165" s="26">
        <v>40000002771</v>
      </c>
      <c r="B2165" s="31">
        <v>1</v>
      </c>
      <c r="C2165" s="29" t="str">
        <f>LOOKUP(A2165,'QALS - Inspection Lot Record'!$A$2:$A$361,'QALS - Inspection Lot Record'!$O$2:$O$361)</f>
        <v>Metformin Tablets (200 MG)</v>
      </c>
      <c r="D2165" s="31">
        <v>40</v>
      </c>
      <c r="E2165" s="29" t="s">
        <v>403</v>
      </c>
      <c r="F2165" s="29" t="str">
        <f>LOOKUP(A2165,'QALS - Inspection Lot Record'!A:A,'QALS - Inspection Lot Record'!G:G)</f>
        <v>AB406550</v>
      </c>
      <c r="G2165" s="59">
        <f ca="1">LOOKUP(A2165,'QALS - Inspection Lot Record'!A:A,'QALS - Inspection Lot Record'!E:E)</f>
        <v>46005</v>
      </c>
      <c r="H2165" s="34" t="str">
        <f t="shared" si="170"/>
        <v>A</v>
      </c>
      <c r="I2165" s="29" t="str">
        <f t="shared" si="166"/>
        <v>AB406550</v>
      </c>
      <c r="J2165" s="59">
        <f t="shared" ca="1" si="167"/>
        <v>46005</v>
      </c>
      <c r="K2165" s="30">
        <f ca="1">LOOKUP(A2165,'QALS - Inspection Lot Record'!A:A,'QALS - Inspection Lot Record'!I:I)</f>
        <v>0.88444444444444448</v>
      </c>
      <c r="L2165" s="59">
        <f t="shared" ca="1" si="168"/>
        <v>46005</v>
      </c>
      <c r="M2165" s="30">
        <f t="shared" ca="1" si="169"/>
        <v>0.91473379629629636</v>
      </c>
      <c r="N2165" s="31"/>
      <c r="O2165" s="31">
        <v>0</v>
      </c>
      <c r="P2165" s="29">
        <v>0</v>
      </c>
      <c r="Q2165" s="29">
        <v>2</v>
      </c>
    </row>
    <row r="2166" spans="1:17" x14ac:dyDescent="0.35">
      <c r="A2166" s="26">
        <v>40000002771</v>
      </c>
      <c r="B2166" s="31">
        <v>1</v>
      </c>
      <c r="C2166" s="29" t="str">
        <f>LOOKUP(A2166,'QALS - Inspection Lot Record'!$A$2:$A$361,'QALS - Inspection Lot Record'!$O$2:$O$361)</f>
        <v>Metformin Tablets (200 MG)</v>
      </c>
      <c r="D2166" s="31">
        <v>50</v>
      </c>
      <c r="E2166" s="29" t="s">
        <v>404</v>
      </c>
      <c r="F2166" s="29" t="str">
        <f>LOOKUP(A2166,'QALS - Inspection Lot Record'!A:A,'QALS - Inspection Lot Record'!G:G)</f>
        <v>AB406550</v>
      </c>
      <c r="G2166" s="59">
        <f ca="1">LOOKUP(A2166,'QALS - Inspection Lot Record'!A:A,'QALS - Inspection Lot Record'!E:E)</f>
        <v>46005</v>
      </c>
      <c r="H2166" s="34" t="str">
        <f t="shared" si="170"/>
        <v>A</v>
      </c>
      <c r="I2166" s="29" t="str">
        <f t="shared" si="166"/>
        <v>AB406550</v>
      </c>
      <c r="J2166" s="59">
        <f t="shared" ca="1" si="167"/>
        <v>46005</v>
      </c>
      <c r="K2166" s="30">
        <f ca="1">LOOKUP(A2166,'QALS - Inspection Lot Record'!A:A,'QALS - Inspection Lot Record'!I:I)</f>
        <v>0.88444444444444448</v>
      </c>
      <c r="L2166" s="59">
        <f t="shared" ca="1" si="168"/>
        <v>46005</v>
      </c>
      <c r="M2166" s="30">
        <f t="shared" ca="1" si="169"/>
        <v>0.91591435185185188</v>
      </c>
      <c r="N2166" s="31"/>
      <c r="O2166" s="31">
        <v>50</v>
      </c>
      <c r="P2166" s="29">
        <v>40</v>
      </c>
      <c r="Q2166" s="29">
        <v>60</v>
      </c>
    </row>
    <row r="2167" spans="1:17" x14ac:dyDescent="0.35">
      <c r="A2167" s="26">
        <v>40000002771</v>
      </c>
      <c r="B2167" s="31">
        <v>1</v>
      </c>
      <c r="C2167" s="29" t="str">
        <f>LOOKUP(A2167,'QALS - Inspection Lot Record'!$A$2:$A$361,'QALS - Inspection Lot Record'!$O$2:$O$361)</f>
        <v>Metformin Tablets (200 MG)</v>
      </c>
      <c r="D2167" s="31">
        <v>60</v>
      </c>
      <c r="E2167" s="29" t="s">
        <v>405</v>
      </c>
      <c r="F2167" s="29" t="str">
        <f>LOOKUP(A2167,'QALS - Inspection Lot Record'!A:A,'QALS - Inspection Lot Record'!G:G)</f>
        <v>AB406550</v>
      </c>
      <c r="G2167" s="59">
        <f ca="1">LOOKUP(A2167,'QALS - Inspection Lot Record'!A:A,'QALS - Inspection Lot Record'!E:E)</f>
        <v>46005</v>
      </c>
      <c r="H2167" s="34" t="str">
        <f t="shared" si="170"/>
        <v>A</v>
      </c>
      <c r="I2167" s="29" t="str">
        <f t="shared" si="166"/>
        <v>AB406550</v>
      </c>
      <c r="J2167" s="59">
        <f t="shared" ca="1" si="167"/>
        <v>46005</v>
      </c>
      <c r="K2167" s="30">
        <f ca="1">LOOKUP(A2167,'QALS - Inspection Lot Record'!A:A,'QALS - Inspection Lot Record'!I:I)</f>
        <v>0.88444444444444448</v>
      </c>
      <c r="L2167" s="59">
        <f t="shared" ca="1" si="168"/>
        <v>46005</v>
      </c>
      <c r="M2167" s="30">
        <f t="shared" ca="1" si="169"/>
        <v>0.91175925925925927</v>
      </c>
      <c r="N2167" s="31"/>
      <c r="O2167" s="31">
        <v>77.5</v>
      </c>
      <c r="P2167" s="29">
        <v>70</v>
      </c>
      <c r="Q2167" s="29">
        <v>85</v>
      </c>
    </row>
    <row r="2168" spans="1:17" x14ac:dyDescent="0.35">
      <c r="A2168" s="26">
        <v>40000002771</v>
      </c>
      <c r="B2168" s="31">
        <v>1</v>
      </c>
      <c r="C2168" s="29" t="str">
        <f>LOOKUP(A2168,'QALS - Inspection Lot Record'!$A$2:$A$361,'QALS - Inspection Lot Record'!$O$2:$O$361)</f>
        <v>Metformin Tablets (200 MG)</v>
      </c>
      <c r="D2168" s="31">
        <v>70</v>
      </c>
      <c r="E2168" s="29" t="s">
        <v>406</v>
      </c>
      <c r="F2168" s="29" t="str">
        <f>LOOKUP(A2168,'QALS - Inspection Lot Record'!A:A,'QALS - Inspection Lot Record'!G:G)</f>
        <v>AB406550</v>
      </c>
      <c r="G2168" s="59">
        <f ca="1">LOOKUP(A2168,'QALS - Inspection Lot Record'!A:A,'QALS - Inspection Lot Record'!E:E)</f>
        <v>46005</v>
      </c>
      <c r="H2168" s="34" t="str">
        <f t="shared" si="170"/>
        <v>A</v>
      </c>
      <c r="I2168" s="29" t="str">
        <f t="shared" si="166"/>
        <v>AB406550</v>
      </c>
      <c r="J2168" s="59">
        <f t="shared" ca="1" si="167"/>
        <v>46005</v>
      </c>
      <c r="K2168" s="30">
        <f ca="1">LOOKUP(A2168,'QALS - Inspection Lot Record'!A:A,'QALS - Inspection Lot Record'!I:I)</f>
        <v>0.88444444444444448</v>
      </c>
      <c r="L2168" s="59">
        <f t="shared" ca="1" si="168"/>
        <v>46005</v>
      </c>
      <c r="M2168" s="30">
        <f t="shared" ca="1" si="169"/>
        <v>0.91761574074074082</v>
      </c>
      <c r="N2168" s="31"/>
      <c r="O2168" s="31">
        <v>85</v>
      </c>
      <c r="P2168" s="29">
        <v>80</v>
      </c>
      <c r="Q2168" s="29">
        <v>90</v>
      </c>
    </row>
    <row r="2169" spans="1:17" x14ac:dyDescent="0.35">
      <c r="A2169" s="26">
        <v>40000002771</v>
      </c>
      <c r="B2169" s="31">
        <v>1</v>
      </c>
      <c r="C2169" s="29" t="str">
        <f>LOOKUP(A2169,'QALS - Inspection Lot Record'!$A$2:$A$361,'QALS - Inspection Lot Record'!$O$2:$O$361)</f>
        <v>Metformin Tablets (200 MG)</v>
      </c>
      <c r="D2169" s="31">
        <v>80</v>
      </c>
      <c r="E2169" s="29" t="s">
        <v>407</v>
      </c>
      <c r="F2169" s="29" t="str">
        <f>LOOKUP(A2169,'QALS - Inspection Lot Record'!A:A,'QALS - Inspection Lot Record'!G:G)</f>
        <v>AB406550</v>
      </c>
      <c r="G2169" s="59">
        <f ca="1">LOOKUP(A2169,'QALS - Inspection Lot Record'!A:A,'QALS - Inspection Lot Record'!E:E)</f>
        <v>46005</v>
      </c>
      <c r="H2169" s="34" t="str">
        <f t="shared" si="170"/>
        <v>A</v>
      </c>
      <c r="I2169" s="29" t="str">
        <f t="shared" si="166"/>
        <v>AB406550</v>
      </c>
      <c r="J2169" s="59">
        <f t="shared" ca="1" si="167"/>
        <v>46005</v>
      </c>
      <c r="K2169" s="30">
        <f ca="1">LOOKUP(A2169,'QALS - Inspection Lot Record'!A:A,'QALS - Inspection Lot Record'!I:I)</f>
        <v>0.88444444444444448</v>
      </c>
      <c r="L2169" s="59">
        <f t="shared" ca="1" si="168"/>
        <v>46005</v>
      </c>
      <c r="M2169" s="30">
        <f t="shared" ca="1" si="169"/>
        <v>0.90973379629629636</v>
      </c>
      <c r="N2169" s="31"/>
      <c r="O2169" s="31">
        <v>25.5</v>
      </c>
      <c r="P2169" s="29">
        <v>23</v>
      </c>
      <c r="Q2169" s="29">
        <v>28</v>
      </c>
    </row>
    <row r="2170" spans="1:17" x14ac:dyDescent="0.35">
      <c r="A2170" s="26">
        <v>40000002772</v>
      </c>
      <c r="B2170" s="27">
        <v>1</v>
      </c>
      <c r="C2170" s="29" t="str">
        <f>LOOKUP(A2170,'QALS - Inspection Lot Record'!$A$2:$A$361,'QALS - Inspection Lot Record'!$O$2:$O$361)</f>
        <v>Ibuprofen Tablets (100 MG)</v>
      </c>
      <c r="D2170" s="27">
        <v>10</v>
      </c>
      <c r="E2170" s="26" t="s">
        <v>399</v>
      </c>
      <c r="F2170" s="29" t="str">
        <f>LOOKUP(A2170,'QALS - Inspection Lot Record'!A:A,'QALS - Inspection Lot Record'!G:G)</f>
        <v>GC197258</v>
      </c>
      <c r="G2170" s="59">
        <f ca="1">LOOKUP(A2170,'QALS - Inspection Lot Record'!A:A,'QALS - Inspection Lot Record'!E:E)</f>
        <v>46005</v>
      </c>
      <c r="H2170" s="34" t="str">
        <f t="shared" si="170"/>
        <v>A</v>
      </c>
      <c r="I2170" s="29" t="str">
        <f t="shared" si="166"/>
        <v>GC197258</v>
      </c>
      <c r="J2170" s="59">
        <f t="shared" ca="1" si="167"/>
        <v>46005</v>
      </c>
      <c r="K2170" s="30">
        <f ca="1">LOOKUP(A2170,'QALS - Inspection Lot Record'!A:A,'QALS - Inspection Lot Record'!I:I)</f>
        <v>0.3999537037037037</v>
      </c>
      <c r="L2170" s="59">
        <f t="shared" ca="1" si="168"/>
        <v>46005</v>
      </c>
      <c r="M2170" s="30">
        <f t="shared" ca="1" si="169"/>
        <v>0.42175925925925928</v>
      </c>
      <c r="N2170" s="31"/>
      <c r="O2170" s="31">
        <v>98.5</v>
      </c>
      <c r="P2170" s="29">
        <v>95</v>
      </c>
      <c r="Q2170" s="29">
        <v>102</v>
      </c>
    </row>
    <row r="2171" spans="1:17" x14ac:dyDescent="0.35">
      <c r="A2171" s="26">
        <v>40000002772</v>
      </c>
      <c r="B2171" s="27">
        <v>1</v>
      </c>
      <c r="C2171" s="29" t="str">
        <f>LOOKUP(A2171,'QALS - Inspection Lot Record'!$A$2:$A$361,'QALS - Inspection Lot Record'!$O$2:$O$361)</f>
        <v>Ibuprofen Tablets (100 MG)</v>
      </c>
      <c r="D2171" s="31">
        <v>20</v>
      </c>
      <c r="E2171" s="29" t="s">
        <v>400</v>
      </c>
      <c r="F2171" s="29" t="str">
        <f>LOOKUP(A2171,'QALS - Inspection Lot Record'!A:A,'QALS - Inspection Lot Record'!G:G)</f>
        <v>GC197258</v>
      </c>
      <c r="G2171" s="59">
        <f ca="1">LOOKUP(A2171,'QALS - Inspection Lot Record'!A:A,'QALS - Inspection Lot Record'!E:E)</f>
        <v>46005</v>
      </c>
      <c r="H2171" s="34" t="str">
        <f t="shared" si="170"/>
        <v>A</v>
      </c>
      <c r="I2171" s="29" t="str">
        <f t="shared" si="166"/>
        <v>GC197258</v>
      </c>
      <c r="J2171" s="59">
        <f t="shared" ca="1" si="167"/>
        <v>46005</v>
      </c>
      <c r="K2171" s="30">
        <f ca="1">LOOKUP(A2171,'QALS - Inspection Lot Record'!A:A,'QALS - Inspection Lot Record'!I:I)</f>
        <v>0.3999537037037037</v>
      </c>
      <c r="L2171" s="59">
        <f t="shared" ca="1" si="168"/>
        <v>46005</v>
      </c>
      <c r="M2171" s="30">
        <f t="shared" ca="1" si="169"/>
        <v>0.42332175925925924</v>
      </c>
      <c r="N2171" s="31"/>
      <c r="O2171" s="31">
        <v>7.25</v>
      </c>
      <c r="P2171" s="29">
        <v>3.5</v>
      </c>
      <c r="Q2171" s="29">
        <v>11</v>
      </c>
    </row>
    <row r="2172" spans="1:17" x14ac:dyDescent="0.35">
      <c r="A2172" s="26">
        <v>40000002772</v>
      </c>
      <c r="B2172" s="31">
        <v>1</v>
      </c>
      <c r="C2172" s="29" t="str">
        <f>LOOKUP(A2172,'QALS - Inspection Lot Record'!$A$2:$A$361,'QALS - Inspection Lot Record'!$O$2:$O$361)</f>
        <v>Ibuprofen Tablets (100 MG)</v>
      </c>
      <c r="D2172" s="31">
        <v>30</v>
      </c>
      <c r="E2172" s="29" t="s">
        <v>401</v>
      </c>
      <c r="F2172" s="29" t="str">
        <f>LOOKUP(A2172,'QALS - Inspection Lot Record'!A:A,'QALS - Inspection Lot Record'!G:G)</f>
        <v>GC197258</v>
      </c>
      <c r="G2172" s="59">
        <f ca="1">LOOKUP(A2172,'QALS - Inspection Lot Record'!A:A,'QALS - Inspection Lot Record'!E:E)</f>
        <v>46005</v>
      </c>
      <c r="H2172" s="34" t="str">
        <f t="shared" si="170"/>
        <v>A</v>
      </c>
      <c r="I2172" s="29" t="str">
        <f t="shared" si="166"/>
        <v>GC197258</v>
      </c>
      <c r="J2172" s="59">
        <f t="shared" ca="1" si="167"/>
        <v>46005</v>
      </c>
      <c r="K2172" s="30">
        <f ca="1">LOOKUP(A2172,'QALS - Inspection Lot Record'!A:A,'QALS - Inspection Lot Record'!I:I)</f>
        <v>0.3999537037037037</v>
      </c>
      <c r="L2172" s="59">
        <f t="shared" ca="1" si="168"/>
        <v>46005</v>
      </c>
      <c r="M2172" s="30">
        <f t="shared" ca="1" si="169"/>
        <v>0.42887731481481484</v>
      </c>
      <c r="N2172" s="11" t="s">
        <v>402</v>
      </c>
      <c r="O2172" s="31"/>
      <c r="P2172" s="29"/>
      <c r="Q2172" s="29"/>
    </row>
    <row r="2173" spans="1:17" x14ac:dyDescent="0.35">
      <c r="A2173" s="26">
        <v>40000002772</v>
      </c>
      <c r="B2173" s="31">
        <v>1</v>
      </c>
      <c r="C2173" s="29" t="str">
        <f>LOOKUP(A2173,'QALS - Inspection Lot Record'!$A$2:$A$361,'QALS - Inspection Lot Record'!$O$2:$O$361)</f>
        <v>Ibuprofen Tablets (100 MG)</v>
      </c>
      <c r="D2173" s="31">
        <v>40</v>
      </c>
      <c r="E2173" s="29" t="s">
        <v>403</v>
      </c>
      <c r="F2173" s="29" t="str">
        <f>LOOKUP(A2173,'QALS - Inspection Lot Record'!A:A,'QALS - Inspection Lot Record'!G:G)</f>
        <v>GC197258</v>
      </c>
      <c r="G2173" s="59">
        <f ca="1">LOOKUP(A2173,'QALS - Inspection Lot Record'!A:A,'QALS - Inspection Lot Record'!E:E)</f>
        <v>46005</v>
      </c>
      <c r="H2173" s="34" t="str">
        <f t="shared" si="170"/>
        <v>A</v>
      </c>
      <c r="I2173" s="29" t="str">
        <f t="shared" si="166"/>
        <v>GC197258</v>
      </c>
      <c r="J2173" s="59">
        <f t="shared" ca="1" si="167"/>
        <v>46005</v>
      </c>
      <c r="K2173" s="30">
        <f ca="1">LOOKUP(A2173,'QALS - Inspection Lot Record'!A:A,'QALS - Inspection Lot Record'!I:I)</f>
        <v>0.3999537037037037</v>
      </c>
      <c r="L2173" s="59">
        <f t="shared" ca="1" si="168"/>
        <v>46005</v>
      </c>
      <c r="M2173" s="30">
        <f t="shared" ca="1" si="169"/>
        <v>0.43342592592592594</v>
      </c>
      <c r="N2173" s="31"/>
      <c r="O2173" s="31">
        <v>0</v>
      </c>
      <c r="P2173" s="29">
        <v>0</v>
      </c>
      <c r="Q2173" s="29">
        <v>1</v>
      </c>
    </row>
    <row r="2174" spans="1:17" x14ac:dyDescent="0.35">
      <c r="A2174" s="26">
        <v>40000002772</v>
      </c>
      <c r="B2174" s="31">
        <v>1</v>
      </c>
      <c r="C2174" s="29" t="str">
        <f>LOOKUP(A2174,'QALS - Inspection Lot Record'!$A$2:$A$361,'QALS - Inspection Lot Record'!$O$2:$O$361)</f>
        <v>Ibuprofen Tablets (100 MG)</v>
      </c>
      <c r="D2174" s="31">
        <v>50</v>
      </c>
      <c r="E2174" s="29" t="s">
        <v>404</v>
      </c>
      <c r="F2174" s="29" t="str">
        <f>LOOKUP(A2174,'QALS - Inspection Lot Record'!A:A,'QALS - Inspection Lot Record'!G:G)</f>
        <v>GC197258</v>
      </c>
      <c r="G2174" s="59">
        <f ca="1">LOOKUP(A2174,'QALS - Inspection Lot Record'!A:A,'QALS - Inspection Lot Record'!E:E)</f>
        <v>46005</v>
      </c>
      <c r="H2174" s="34" t="str">
        <f t="shared" si="170"/>
        <v>A</v>
      </c>
      <c r="I2174" s="29" t="str">
        <f t="shared" si="166"/>
        <v>GC197258</v>
      </c>
      <c r="J2174" s="59">
        <f t="shared" ca="1" si="167"/>
        <v>46005</v>
      </c>
      <c r="K2174" s="30">
        <f ca="1">LOOKUP(A2174,'QALS - Inspection Lot Record'!A:A,'QALS - Inspection Lot Record'!I:I)</f>
        <v>0.3999537037037037</v>
      </c>
      <c r="L2174" s="59">
        <f t="shared" ca="1" si="168"/>
        <v>46005</v>
      </c>
      <c r="M2174" s="30">
        <f t="shared" ca="1" si="169"/>
        <v>0.43380787037037039</v>
      </c>
      <c r="N2174" s="31"/>
      <c r="O2174" s="31">
        <v>50</v>
      </c>
      <c r="P2174" s="29">
        <v>40</v>
      </c>
      <c r="Q2174" s="29">
        <v>60</v>
      </c>
    </row>
    <row r="2175" spans="1:17" x14ac:dyDescent="0.35">
      <c r="A2175" s="26">
        <v>40000002772</v>
      </c>
      <c r="B2175" s="31">
        <v>1</v>
      </c>
      <c r="C2175" s="29" t="str">
        <f>LOOKUP(A2175,'QALS - Inspection Lot Record'!$A$2:$A$361,'QALS - Inspection Lot Record'!$O$2:$O$361)</f>
        <v>Ibuprofen Tablets (100 MG)</v>
      </c>
      <c r="D2175" s="31">
        <v>60</v>
      </c>
      <c r="E2175" s="29" t="s">
        <v>405</v>
      </c>
      <c r="F2175" s="29" t="str">
        <f>LOOKUP(A2175,'QALS - Inspection Lot Record'!A:A,'QALS - Inspection Lot Record'!G:G)</f>
        <v>GC197258</v>
      </c>
      <c r="G2175" s="59">
        <f ca="1">LOOKUP(A2175,'QALS - Inspection Lot Record'!A:A,'QALS - Inspection Lot Record'!E:E)</f>
        <v>46005</v>
      </c>
      <c r="H2175" s="34" t="str">
        <f t="shared" si="170"/>
        <v>A</v>
      </c>
      <c r="I2175" s="29" t="str">
        <f t="shared" si="166"/>
        <v>GC197258</v>
      </c>
      <c r="J2175" s="59">
        <f t="shared" ca="1" si="167"/>
        <v>46005</v>
      </c>
      <c r="K2175" s="30">
        <f ca="1">LOOKUP(A2175,'QALS - Inspection Lot Record'!A:A,'QALS - Inspection Lot Record'!I:I)</f>
        <v>0.3999537037037037</v>
      </c>
      <c r="L2175" s="59">
        <f t="shared" ca="1" si="168"/>
        <v>46005</v>
      </c>
      <c r="M2175" s="30">
        <f t="shared" ca="1" si="169"/>
        <v>0.42674768518518519</v>
      </c>
      <c r="N2175" s="31"/>
      <c r="O2175" s="31">
        <v>77.5</v>
      </c>
      <c r="P2175" s="29">
        <v>70</v>
      </c>
      <c r="Q2175" s="29">
        <v>85</v>
      </c>
    </row>
    <row r="2176" spans="1:17" x14ac:dyDescent="0.35">
      <c r="A2176" s="26">
        <v>40000002772</v>
      </c>
      <c r="B2176" s="31">
        <v>1</v>
      </c>
      <c r="C2176" s="29" t="str">
        <f>LOOKUP(A2176,'QALS - Inspection Lot Record'!$A$2:$A$361,'QALS - Inspection Lot Record'!$O$2:$O$361)</f>
        <v>Ibuprofen Tablets (100 MG)</v>
      </c>
      <c r="D2176" s="31">
        <v>70</v>
      </c>
      <c r="E2176" s="29" t="s">
        <v>406</v>
      </c>
      <c r="F2176" s="29" t="str">
        <f>LOOKUP(A2176,'QALS - Inspection Lot Record'!A:A,'QALS - Inspection Lot Record'!G:G)</f>
        <v>GC197258</v>
      </c>
      <c r="G2176" s="59">
        <f ca="1">LOOKUP(A2176,'QALS - Inspection Lot Record'!A:A,'QALS - Inspection Lot Record'!E:E)</f>
        <v>46005</v>
      </c>
      <c r="H2176" s="34" t="str">
        <f t="shared" si="170"/>
        <v>R</v>
      </c>
      <c r="I2176" s="29" t="str">
        <f t="shared" si="166"/>
        <v>GC197258</v>
      </c>
      <c r="J2176" s="59">
        <f t="shared" ca="1" si="167"/>
        <v>46005</v>
      </c>
      <c r="K2176" s="30">
        <f ca="1">LOOKUP(A2176,'QALS - Inspection Lot Record'!A:A,'QALS - Inspection Lot Record'!I:I)</f>
        <v>0.3999537037037037</v>
      </c>
      <c r="L2176" s="59">
        <f t="shared" ca="1" si="168"/>
        <v>46005</v>
      </c>
      <c r="M2176" s="30">
        <f t="shared" ca="1" si="169"/>
        <v>0.4231597222222222</v>
      </c>
      <c r="N2176" s="31"/>
      <c r="O2176" s="31">
        <v>78.8</v>
      </c>
      <c r="P2176" s="29">
        <v>80</v>
      </c>
      <c r="Q2176" s="29">
        <v>90</v>
      </c>
    </row>
    <row r="2177" spans="1:17" x14ac:dyDescent="0.35">
      <c r="A2177" s="26">
        <v>40000002772</v>
      </c>
      <c r="B2177" s="31">
        <v>1</v>
      </c>
      <c r="C2177" s="29" t="str">
        <f>LOOKUP(A2177,'QALS - Inspection Lot Record'!$A$2:$A$361,'QALS - Inspection Lot Record'!$O$2:$O$361)</f>
        <v>Ibuprofen Tablets (100 MG)</v>
      </c>
      <c r="D2177" s="31">
        <v>80</v>
      </c>
      <c r="E2177" s="29" t="s">
        <v>407</v>
      </c>
      <c r="F2177" s="29" t="str">
        <f>LOOKUP(A2177,'QALS - Inspection Lot Record'!A:A,'QALS - Inspection Lot Record'!G:G)</f>
        <v>GC197258</v>
      </c>
      <c r="G2177" s="59">
        <f ca="1">LOOKUP(A2177,'QALS - Inspection Lot Record'!A:A,'QALS - Inspection Lot Record'!E:E)</f>
        <v>46005</v>
      </c>
      <c r="H2177" s="34" t="str">
        <f t="shared" si="170"/>
        <v>R</v>
      </c>
      <c r="I2177" s="29" t="str">
        <f t="shared" si="166"/>
        <v>GC197258</v>
      </c>
      <c r="J2177" s="59">
        <f t="shared" ca="1" si="167"/>
        <v>46005</v>
      </c>
      <c r="K2177" s="30">
        <f ca="1">LOOKUP(A2177,'QALS - Inspection Lot Record'!A:A,'QALS - Inspection Lot Record'!I:I)</f>
        <v>0.3999537037037037</v>
      </c>
      <c r="L2177" s="59">
        <f t="shared" ca="1" si="168"/>
        <v>46005</v>
      </c>
      <c r="M2177" s="30">
        <f t="shared" ca="1" si="169"/>
        <v>0.4211111111111111</v>
      </c>
      <c r="N2177" s="31"/>
      <c r="O2177" s="31">
        <v>21.1</v>
      </c>
      <c r="P2177" s="29">
        <v>23</v>
      </c>
      <c r="Q2177" s="29">
        <v>25</v>
      </c>
    </row>
    <row r="2178" spans="1:17" x14ac:dyDescent="0.35">
      <c r="A2178" s="26">
        <v>40000002773</v>
      </c>
      <c r="B2178" s="27">
        <v>1</v>
      </c>
      <c r="C2178" s="29" t="str">
        <f>LOOKUP(A2178,'QALS - Inspection Lot Record'!$A$2:$A$361,'QALS - Inspection Lot Record'!$O$2:$O$361)</f>
        <v>Ibuprofen Tablets (100 MG)</v>
      </c>
      <c r="D2178" s="27">
        <v>10</v>
      </c>
      <c r="E2178" s="26" t="s">
        <v>399</v>
      </c>
      <c r="F2178" s="29" t="str">
        <f>LOOKUP(A2178,'QALS - Inspection Lot Record'!A:A,'QALS - Inspection Lot Record'!G:G)</f>
        <v>TP397880</v>
      </c>
      <c r="G2178" s="59">
        <f ca="1">LOOKUP(A2178,'QALS - Inspection Lot Record'!A:A,'QALS - Inspection Lot Record'!E:E)</f>
        <v>46006</v>
      </c>
      <c r="H2178" s="34" t="str">
        <f t="shared" si="170"/>
        <v>A</v>
      </c>
      <c r="I2178" s="29" t="str">
        <f t="shared" ref="I2178:I2241" si="171">F2178</f>
        <v>TP397880</v>
      </c>
      <c r="J2178" s="59">
        <f t="shared" ref="J2178:J2241" ca="1" si="172">G2178</f>
        <v>46006</v>
      </c>
      <c r="K2178" s="30">
        <f ca="1">LOOKUP(A2178,'QALS - Inspection Lot Record'!A:A,'QALS - Inspection Lot Record'!I:I)</f>
        <v>0.90746527777777775</v>
      </c>
      <c r="L2178" s="59">
        <f t="shared" ref="L2178:L2241" ca="1" si="173">G2178</f>
        <v>46006</v>
      </c>
      <c r="M2178" s="30">
        <f t="shared" ref="M2178:M2241" ca="1" si="174">K2178+TIME(0,RANDBETWEEN(25,50),RANDBETWEEN(0,59))</f>
        <v>0.94035879629629626</v>
      </c>
      <c r="N2178" s="31"/>
      <c r="O2178" s="31">
        <v>98.5</v>
      </c>
      <c r="P2178" s="29">
        <v>95</v>
      </c>
      <c r="Q2178" s="29">
        <v>102</v>
      </c>
    </row>
    <row r="2179" spans="1:17" x14ac:dyDescent="0.35">
      <c r="A2179" s="26">
        <v>40000002773</v>
      </c>
      <c r="B2179" s="27">
        <v>1</v>
      </c>
      <c r="C2179" s="29" t="str">
        <f>LOOKUP(A2179,'QALS - Inspection Lot Record'!$A$2:$A$361,'QALS - Inspection Lot Record'!$O$2:$O$361)</f>
        <v>Ibuprofen Tablets (100 MG)</v>
      </c>
      <c r="D2179" s="31">
        <v>20</v>
      </c>
      <c r="E2179" s="29" t="s">
        <v>400</v>
      </c>
      <c r="F2179" s="29" t="str">
        <f>LOOKUP(A2179,'QALS - Inspection Lot Record'!A:A,'QALS - Inspection Lot Record'!G:G)</f>
        <v>TP397880</v>
      </c>
      <c r="G2179" s="59">
        <f ca="1">LOOKUP(A2179,'QALS - Inspection Lot Record'!A:A,'QALS - Inspection Lot Record'!E:E)</f>
        <v>46006</v>
      </c>
      <c r="H2179" s="34" t="str">
        <f t="shared" si="170"/>
        <v>A</v>
      </c>
      <c r="I2179" s="29" t="str">
        <f t="shared" si="171"/>
        <v>TP397880</v>
      </c>
      <c r="J2179" s="59">
        <f t="shared" ca="1" si="172"/>
        <v>46006</v>
      </c>
      <c r="K2179" s="30">
        <f ca="1">LOOKUP(A2179,'QALS - Inspection Lot Record'!A:A,'QALS - Inspection Lot Record'!I:I)</f>
        <v>0.90746527777777775</v>
      </c>
      <c r="L2179" s="59">
        <f t="shared" ca="1" si="173"/>
        <v>46006</v>
      </c>
      <c r="M2179" s="30">
        <f t="shared" ca="1" si="174"/>
        <v>0.93479166666666669</v>
      </c>
      <c r="N2179" s="31"/>
      <c r="O2179" s="31">
        <v>7.25</v>
      </c>
      <c r="P2179" s="29">
        <v>3.5</v>
      </c>
      <c r="Q2179" s="29">
        <v>11</v>
      </c>
    </row>
    <row r="2180" spans="1:17" x14ac:dyDescent="0.35">
      <c r="A2180" s="26">
        <v>40000002773</v>
      </c>
      <c r="B2180" s="31">
        <v>1</v>
      </c>
      <c r="C2180" s="29" t="str">
        <f>LOOKUP(A2180,'QALS - Inspection Lot Record'!$A$2:$A$361,'QALS - Inspection Lot Record'!$O$2:$O$361)</f>
        <v>Ibuprofen Tablets (100 MG)</v>
      </c>
      <c r="D2180" s="31">
        <v>30</v>
      </c>
      <c r="E2180" s="29" t="s">
        <v>401</v>
      </c>
      <c r="F2180" s="29" t="str">
        <f>LOOKUP(A2180,'QALS - Inspection Lot Record'!A:A,'QALS - Inspection Lot Record'!G:G)</f>
        <v>TP397880</v>
      </c>
      <c r="G2180" s="59">
        <f ca="1">LOOKUP(A2180,'QALS - Inspection Lot Record'!A:A,'QALS - Inspection Lot Record'!E:E)</f>
        <v>46006</v>
      </c>
      <c r="H2180" s="34" t="str">
        <f t="shared" si="170"/>
        <v>A</v>
      </c>
      <c r="I2180" s="29" t="str">
        <f t="shared" si="171"/>
        <v>TP397880</v>
      </c>
      <c r="J2180" s="59">
        <f t="shared" ca="1" si="172"/>
        <v>46006</v>
      </c>
      <c r="K2180" s="30">
        <f ca="1">LOOKUP(A2180,'QALS - Inspection Lot Record'!A:A,'QALS - Inspection Lot Record'!I:I)</f>
        <v>0.90746527777777775</v>
      </c>
      <c r="L2180" s="59">
        <f t="shared" ca="1" si="173"/>
        <v>46006</v>
      </c>
      <c r="M2180" s="30">
        <f t="shared" ca="1" si="174"/>
        <v>0.93973379629629628</v>
      </c>
      <c r="N2180" s="11" t="s">
        <v>402</v>
      </c>
      <c r="O2180" s="31"/>
      <c r="P2180" s="29"/>
      <c r="Q2180" s="29"/>
    </row>
    <row r="2181" spans="1:17" x14ac:dyDescent="0.35">
      <c r="A2181" s="26">
        <v>40000002773</v>
      </c>
      <c r="B2181" s="31">
        <v>1</v>
      </c>
      <c r="C2181" s="29" t="str">
        <f>LOOKUP(A2181,'QALS - Inspection Lot Record'!$A$2:$A$361,'QALS - Inspection Lot Record'!$O$2:$O$361)</f>
        <v>Ibuprofen Tablets (100 MG)</v>
      </c>
      <c r="D2181" s="31">
        <v>40</v>
      </c>
      <c r="E2181" s="29" t="s">
        <v>403</v>
      </c>
      <c r="F2181" s="29" t="str">
        <f>LOOKUP(A2181,'QALS - Inspection Lot Record'!A:A,'QALS - Inspection Lot Record'!G:G)</f>
        <v>TP397880</v>
      </c>
      <c r="G2181" s="59">
        <f ca="1">LOOKUP(A2181,'QALS - Inspection Lot Record'!A:A,'QALS - Inspection Lot Record'!E:E)</f>
        <v>46006</v>
      </c>
      <c r="H2181" s="34" t="str">
        <f t="shared" si="170"/>
        <v>A</v>
      </c>
      <c r="I2181" s="29" t="str">
        <f t="shared" si="171"/>
        <v>TP397880</v>
      </c>
      <c r="J2181" s="59">
        <f t="shared" ca="1" si="172"/>
        <v>46006</v>
      </c>
      <c r="K2181" s="30">
        <f ca="1">LOOKUP(A2181,'QALS - Inspection Lot Record'!A:A,'QALS - Inspection Lot Record'!I:I)</f>
        <v>0.90746527777777775</v>
      </c>
      <c r="L2181" s="59">
        <f t="shared" ca="1" si="173"/>
        <v>46006</v>
      </c>
      <c r="M2181" s="30">
        <f t="shared" ca="1" si="174"/>
        <v>0.93697916666666659</v>
      </c>
      <c r="N2181" s="31"/>
      <c r="O2181" s="31">
        <v>0</v>
      </c>
      <c r="P2181" s="29">
        <v>0</v>
      </c>
      <c r="Q2181" s="29">
        <v>1</v>
      </c>
    </row>
    <row r="2182" spans="1:17" x14ac:dyDescent="0.35">
      <c r="A2182" s="26">
        <v>40000002773</v>
      </c>
      <c r="B2182" s="31">
        <v>1</v>
      </c>
      <c r="C2182" s="29" t="str">
        <f>LOOKUP(A2182,'QALS - Inspection Lot Record'!$A$2:$A$361,'QALS - Inspection Lot Record'!$O$2:$O$361)</f>
        <v>Ibuprofen Tablets (100 MG)</v>
      </c>
      <c r="D2182" s="31">
        <v>50</v>
      </c>
      <c r="E2182" s="29" t="s">
        <v>404</v>
      </c>
      <c r="F2182" s="29" t="str">
        <f>LOOKUP(A2182,'QALS - Inspection Lot Record'!A:A,'QALS - Inspection Lot Record'!G:G)</f>
        <v>TP397880</v>
      </c>
      <c r="G2182" s="59">
        <f ca="1">LOOKUP(A2182,'QALS - Inspection Lot Record'!A:A,'QALS - Inspection Lot Record'!E:E)</f>
        <v>46006</v>
      </c>
      <c r="H2182" s="34" t="str">
        <f t="shared" si="170"/>
        <v>A</v>
      </c>
      <c r="I2182" s="29" t="str">
        <f t="shared" si="171"/>
        <v>TP397880</v>
      </c>
      <c r="J2182" s="59">
        <f t="shared" ca="1" si="172"/>
        <v>46006</v>
      </c>
      <c r="K2182" s="30">
        <f ca="1">LOOKUP(A2182,'QALS - Inspection Lot Record'!A:A,'QALS - Inspection Lot Record'!I:I)</f>
        <v>0.90746527777777775</v>
      </c>
      <c r="L2182" s="59">
        <f t="shared" ca="1" si="173"/>
        <v>46006</v>
      </c>
      <c r="M2182" s="30">
        <f t="shared" ca="1" si="174"/>
        <v>0.9428009259259259</v>
      </c>
      <c r="N2182" s="31"/>
      <c r="O2182" s="31">
        <v>50</v>
      </c>
      <c r="P2182" s="29">
        <v>40</v>
      </c>
      <c r="Q2182" s="29">
        <v>60</v>
      </c>
    </row>
    <row r="2183" spans="1:17" x14ac:dyDescent="0.35">
      <c r="A2183" s="26">
        <v>40000002773</v>
      </c>
      <c r="B2183" s="31">
        <v>1</v>
      </c>
      <c r="C2183" s="29" t="str">
        <f>LOOKUP(A2183,'QALS - Inspection Lot Record'!$A$2:$A$361,'QALS - Inspection Lot Record'!$O$2:$O$361)</f>
        <v>Ibuprofen Tablets (100 MG)</v>
      </c>
      <c r="D2183" s="31">
        <v>60</v>
      </c>
      <c r="E2183" s="29" t="s">
        <v>405</v>
      </c>
      <c r="F2183" s="29" t="str">
        <f>LOOKUP(A2183,'QALS - Inspection Lot Record'!A:A,'QALS - Inspection Lot Record'!G:G)</f>
        <v>TP397880</v>
      </c>
      <c r="G2183" s="59">
        <f ca="1">LOOKUP(A2183,'QALS - Inspection Lot Record'!A:A,'QALS - Inspection Lot Record'!E:E)</f>
        <v>46006</v>
      </c>
      <c r="H2183" s="34" t="str">
        <f t="shared" si="170"/>
        <v>R</v>
      </c>
      <c r="I2183" s="29" t="str">
        <f t="shared" si="171"/>
        <v>TP397880</v>
      </c>
      <c r="J2183" s="59">
        <f t="shared" ca="1" si="172"/>
        <v>46006</v>
      </c>
      <c r="K2183" s="30">
        <f ca="1">LOOKUP(A2183,'QALS - Inspection Lot Record'!A:A,'QALS - Inspection Lot Record'!I:I)</f>
        <v>0.90746527777777775</v>
      </c>
      <c r="L2183" s="59">
        <f t="shared" ca="1" si="173"/>
        <v>46006</v>
      </c>
      <c r="M2183" s="30">
        <f t="shared" ca="1" si="174"/>
        <v>0.9381018518518518</v>
      </c>
      <c r="N2183" s="31"/>
      <c r="O2183" s="31">
        <v>68.599999999999994</v>
      </c>
      <c r="P2183" s="29">
        <v>70</v>
      </c>
      <c r="Q2183" s="29">
        <v>85</v>
      </c>
    </row>
    <row r="2184" spans="1:17" x14ac:dyDescent="0.35">
      <c r="A2184" s="26">
        <v>40000002773</v>
      </c>
      <c r="B2184" s="31">
        <v>1</v>
      </c>
      <c r="C2184" s="29" t="str">
        <f>LOOKUP(A2184,'QALS - Inspection Lot Record'!$A$2:$A$361,'QALS - Inspection Lot Record'!$O$2:$O$361)</f>
        <v>Ibuprofen Tablets (100 MG)</v>
      </c>
      <c r="D2184" s="31">
        <v>70</v>
      </c>
      <c r="E2184" s="29" t="s">
        <v>406</v>
      </c>
      <c r="F2184" s="29" t="str">
        <f>LOOKUP(A2184,'QALS - Inspection Lot Record'!A:A,'QALS - Inspection Lot Record'!G:G)</f>
        <v>TP397880</v>
      </c>
      <c r="G2184" s="59">
        <f ca="1">LOOKUP(A2184,'QALS - Inspection Lot Record'!A:A,'QALS - Inspection Lot Record'!E:E)</f>
        <v>46006</v>
      </c>
      <c r="H2184" s="34" t="str">
        <f t="shared" si="170"/>
        <v>A</v>
      </c>
      <c r="I2184" s="29" t="str">
        <f t="shared" si="171"/>
        <v>TP397880</v>
      </c>
      <c r="J2184" s="59">
        <f t="shared" ca="1" si="172"/>
        <v>46006</v>
      </c>
      <c r="K2184" s="30">
        <f ca="1">LOOKUP(A2184,'QALS - Inspection Lot Record'!A:A,'QALS - Inspection Lot Record'!I:I)</f>
        <v>0.90746527777777775</v>
      </c>
      <c r="L2184" s="59">
        <f t="shared" ca="1" si="173"/>
        <v>46006</v>
      </c>
      <c r="M2184" s="30">
        <f t="shared" ca="1" si="174"/>
        <v>0.93717592592592591</v>
      </c>
      <c r="N2184" s="31"/>
      <c r="O2184" s="31">
        <v>85</v>
      </c>
      <c r="P2184" s="29">
        <v>80</v>
      </c>
      <c r="Q2184" s="29">
        <v>90</v>
      </c>
    </row>
    <row r="2185" spans="1:17" x14ac:dyDescent="0.35">
      <c r="A2185" s="26">
        <v>40000002773</v>
      </c>
      <c r="B2185" s="31">
        <v>1</v>
      </c>
      <c r="C2185" s="29" t="str">
        <f>LOOKUP(A2185,'QALS - Inspection Lot Record'!$A$2:$A$361,'QALS - Inspection Lot Record'!$O$2:$O$361)</f>
        <v>Ibuprofen Tablets (100 MG)</v>
      </c>
      <c r="D2185" s="31">
        <v>80</v>
      </c>
      <c r="E2185" s="29" t="s">
        <v>407</v>
      </c>
      <c r="F2185" s="29" t="str">
        <f>LOOKUP(A2185,'QALS - Inspection Lot Record'!A:A,'QALS - Inspection Lot Record'!G:G)</f>
        <v>TP397880</v>
      </c>
      <c r="G2185" s="59">
        <f ca="1">LOOKUP(A2185,'QALS - Inspection Lot Record'!A:A,'QALS - Inspection Lot Record'!E:E)</f>
        <v>46006</v>
      </c>
      <c r="H2185" s="34" t="str">
        <f t="shared" si="170"/>
        <v>A</v>
      </c>
      <c r="I2185" s="29" t="str">
        <f t="shared" si="171"/>
        <v>TP397880</v>
      </c>
      <c r="J2185" s="59">
        <f t="shared" ca="1" si="172"/>
        <v>46006</v>
      </c>
      <c r="K2185" s="30">
        <f ca="1">LOOKUP(A2185,'QALS - Inspection Lot Record'!A:A,'QALS - Inspection Lot Record'!I:I)</f>
        <v>0.90746527777777775</v>
      </c>
      <c r="L2185" s="59">
        <f t="shared" ca="1" si="173"/>
        <v>46006</v>
      </c>
      <c r="M2185" s="30">
        <f t="shared" ca="1" si="174"/>
        <v>0.93237268518518512</v>
      </c>
      <c r="N2185" s="31"/>
      <c r="O2185" s="31">
        <v>24</v>
      </c>
      <c r="P2185" s="29">
        <v>23</v>
      </c>
      <c r="Q2185" s="29">
        <v>25</v>
      </c>
    </row>
    <row r="2186" spans="1:17" x14ac:dyDescent="0.35">
      <c r="A2186" s="26">
        <v>40000002774</v>
      </c>
      <c r="B2186" s="27">
        <v>1</v>
      </c>
      <c r="C2186" s="29" t="str">
        <f>LOOKUP(A2186,'QALS - Inspection Lot Record'!$A$2:$A$361,'QALS - Inspection Lot Record'!$O$2:$O$361)</f>
        <v>Metformin Tablets (100 MG)</v>
      </c>
      <c r="D2186" s="27">
        <v>10</v>
      </c>
      <c r="E2186" s="26" t="s">
        <v>399</v>
      </c>
      <c r="F2186" s="29" t="str">
        <f>LOOKUP(A2186,'QALS - Inspection Lot Record'!A:A,'QALS - Inspection Lot Record'!G:G)</f>
        <v>TG509538</v>
      </c>
      <c r="G2186" s="59">
        <f ca="1">LOOKUP(A2186,'QALS - Inspection Lot Record'!A:A,'QALS - Inspection Lot Record'!E:E)</f>
        <v>46006</v>
      </c>
      <c r="H2186" s="34" t="str">
        <f t="shared" ref="H2186:H2249" si="175">IF(AND(P2186&lt;=O2186,O2186&lt;=Q2186),"A","R")</f>
        <v>A</v>
      </c>
      <c r="I2186" s="29" t="str">
        <f t="shared" si="171"/>
        <v>TG509538</v>
      </c>
      <c r="J2186" s="59">
        <f t="shared" ca="1" si="172"/>
        <v>46006</v>
      </c>
      <c r="K2186" s="30">
        <f ca="1">LOOKUP(A2186,'QALS - Inspection Lot Record'!A:A,'QALS - Inspection Lot Record'!I:I)</f>
        <v>0.4228587962962963</v>
      </c>
      <c r="L2186" s="59">
        <f t="shared" ca="1" si="173"/>
        <v>46006</v>
      </c>
      <c r="M2186" s="30">
        <f t="shared" ca="1" si="174"/>
        <v>0.45498842592592592</v>
      </c>
      <c r="N2186" s="31"/>
      <c r="O2186" s="31">
        <v>98.5</v>
      </c>
      <c r="P2186" s="29">
        <v>95</v>
      </c>
      <c r="Q2186" s="29">
        <v>102</v>
      </c>
    </row>
    <row r="2187" spans="1:17" x14ac:dyDescent="0.35">
      <c r="A2187" s="26">
        <v>40000002774</v>
      </c>
      <c r="B2187" s="27">
        <v>1</v>
      </c>
      <c r="C2187" s="29" t="str">
        <f>LOOKUP(A2187,'QALS - Inspection Lot Record'!$A$2:$A$361,'QALS - Inspection Lot Record'!$O$2:$O$361)</f>
        <v>Metformin Tablets (100 MG)</v>
      </c>
      <c r="D2187" s="31">
        <v>20</v>
      </c>
      <c r="E2187" s="29" t="s">
        <v>400</v>
      </c>
      <c r="F2187" s="29" t="str">
        <f>LOOKUP(A2187,'QALS - Inspection Lot Record'!A:A,'QALS - Inspection Lot Record'!G:G)</f>
        <v>TG509538</v>
      </c>
      <c r="G2187" s="59">
        <f ca="1">LOOKUP(A2187,'QALS - Inspection Lot Record'!A:A,'QALS - Inspection Lot Record'!E:E)</f>
        <v>46006</v>
      </c>
      <c r="H2187" s="34" t="str">
        <f t="shared" si="175"/>
        <v>A</v>
      </c>
      <c r="I2187" s="29" t="str">
        <f t="shared" si="171"/>
        <v>TG509538</v>
      </c>
      <c r="J2187" s="59">
        <f t="shared" ca="1" si="172"/>
        <v>46006</v>
      </c>
      <c r="K2187" s="30">
        <f ca="1">LOOKUP(A2187,'QALS - Inspection Lot Record'!A:A,'QALS - Inspection Lot Record'!I:I)</f>
        <v>0.4228587962962963</v>
      </c>
      <c r="L2187" s="59">
        <f t="shared" ca="1" si="173"/>
        <v>46006</v>
      </c>
      <c r="M2187" s="30">
        <f t="shared" ca="1" si="174"/>
        <v>0.45616898148148149</v>
      </c>
      <c r="N2187" s="31"/>
      <c r="O2187" s="31">
        <v>7.25</v>
      </c>
      <c r="P2187" s="29">
        <v>3.5</v>
      </c>
      <c r="Q2187" s="29">
        <v>11</v>
      </c>
    </row>
    <row r="2188" spans="1:17" x14ac:dyDescent="0.35">
      <c r="A2188" s="26">
        <v>40000002774</v>
      </c>
      <c r="B2188" s="31">
        <v>1</v>
      </c>
      <c r="C2188" s="29" t="str">
        <f>LOOKUP(A2188,'QALS - Inspection Lot Record'!$A$2:$A$361,'QALS - Inspection Lot Record'!$O$2:$O$361)</f>
        <v>Metformin Tablets (100 MG)</v>
      </c>
      <c r="D2188" s="31">
        <v>30</v>
      </c>
      <c r="E2188" s="29" t="s">
        <v>401</v>
      </c>
      <c r="F2188" s="29" t="str">
        <f>LOOKUP(A2188,'QALS - Inspection Lot Record'!A:A,'QALS - Inspection Lot Record'!G:G)</f>
        <v>TG509538</v>
      </c>
      <c r="G2188" s="59">
        <f ca="1">LOOKUP(A2188,'QALS - Inspection Lot Record'!A:A,'QALS - Inspection Lot Record'!E:E)</f>
        <v>46006</v>
      </c>
      <c r="H2188" s="34" t="str">
        <f t="shared" si="175"/>
        <v>A</v>
      </c>
      <c r="I2188" s="29" t="str">
        <f t="shared" si="171"/>
        <v>TG509538</v>
      </c>
      <c r="J2188" s="59">
        <f t="shared" ca="1" si="172"/>
        <v>46006</v>
      </c>
      <c r="K2188" s="30">
        <f ca="1">LOOKUP(A2188,'QALS - Inspection Lot Record'!A:A,'QALS - Inspection Lot Record'!I:I)</f>
        <v>0.4228587962962963</v>
      </c>
      <c r="L2188" s="59">
        <f t="shared" ca="1" si="173"/>
        <v>46006</v>
      </c>
      <c r="M2188" s="30">
        <f t="shared" ca="1" si="174"/>
        <v>0.4503240740740741</v>
      </c>
      <c r="N2188" s="11" t="s">
        <v>402</v>
      </c>
      <c r="O2188" s="31"/>
      <c r="P2188" s="29"/>
      <c r="Q2188" s="29"/>
    </row>
    <row r="2189" spans="1:17" x14ac:dyDescent="0.35">
      <c r="A2189" s="26">
        <v>40000002774</v>
      </c>
      <c r="B2189" s="31">
        <v>1</v>
      </c>
      <c r="C2189" s="29" t="str">
        <f>LOOKUP(A2189,'QALS - Inspection Lot Record'!$A$2:$A$361,'QALS - Inspection Lot Record'!$O$2:$O$361)</f>
        <v>Metformin Tablets (100 MG)</v>
      </c>
      <c r="D2189" s="31">
        <v>40</v>
      </c>
      <c r="E2189" s="29" t="s">
        <v>403</v>
      </c>
      <c r="F2189" s="29" t="str">
        <f>LOOKUP(A2189,'QALS - Inspection Lot Record'!A:A,'QALS - Inspection Lot Record'!G:G)</f>
        <v>TG509538</v>
      </c>
      <c r="G2189" s="59">
        <f ca="1">LOOKUP(A2189,'QALS - Inspection Lot Record'!A:A,'QALS - Inspection Lot Record'!E:E)</f>
        <v>46006</v>
      </c>
      <c r="H2189" s="34" t="str">
        <f t="shared" si="175"/>
        <v>A</v>
      </c>
      <c r="I2189" s="29" t="str">
        <f t="shared" si="171"/>
        <v>TG509538</v>
      </c>
      <c r="J2189" s="59">
        <f t="shared" ca="1" si="172"/>
        <v>46006</v>
      </c>
      <c r="K2189" s="30">
        <f ca="1">LOOKUP(A2189,'QALS - Inspection Lot Record'!A:A,'QALS - Inspection Lot Record'!I:I)</f>
        <v>0.4228587962962963</v>
      </c>
      <c r="L2189" s="59">
        <f t="shared" ca="1" si="173"/>
        <v>46006</v>
      </c>
      <c r="M2189" s="30">
        <f t="shared" ca="1" si="174"/>
        <v>0.44559027777777777</v>
      </c>
      <c r="N2189" s="31"/>
      <c r="O2189" s="31">
        <v>0</v>
      </c>
      <c r="P2189" s="29">
        <v>0</v>
      </c>
      <c r="Q2189" s="29">
        <v>1</v>
      </c>
    </row>
    <row r="2190" spans="1:17" x14ac:dyDescent="0.35">
      <c r="A2190" s="26">
        <v>40000002774</v>
      </c>
      <c r="B2190" s="31">
        <v>1</v>
      </c>
      <c r="C2190" s="29" t="str">
        <f>LOOKUP(A2190,'QALS - Inspection Lot Record'!$A$2:$A$361,'QALS - Inspection Lot Record'!$O$2:$O$361)</f>
        <v>Metformin Tablets (100 MG)</v>
      </c>
      <c r="D2190" s="31">
        <v>50</v>
      </c>
      <c r="E2190" s="29" t="s">
        <v>404</v>
      </c>
      <c r="F2190" s="29" t="str">
        <f>LOOKUP(A2190,'QALS - Inspection Lot Record'!A:A,'QALS - Inspection Lot Record'!G:G)</f>
        <v>TG509538</v>
      </c>
      <c r="G2190" s="59">
        <f ca="1">LOOKUP(A2190,'QALS - Inspection Lot Record'!A:A,'QALS - Inspection Lot Record'!E:E)</f>
        <v>46006</v>
      </c>
      <c r="H2190" s="34" t="str">
        <f t="shared" si="175"/>
        <v>A</v>
      </c>
      <c r="I2190" s="29" t="str">
        <f t="shared" si="171"/>
        <v>TG509538</v>
      </c>
      <c r="J2190" s="59">
        <f t="shared" ca="1" si="172"/>
        <v>46006</v>
      </c>
      <c r="K2190" s="30">
        <f ca="1">LOOKUP(A2190,'QALS - Inspection Lot Record'!A:A,'QALS - Inspection Lot Record'!I:I)</f>
        <v>0.4228587962962963</v>
      </c>
      <c r="L2190" s="59">
        <f t="shared" ca="1" si="173"/>
        <v>46006</v>
      </c>
      <c r="M2190" s="30">
        <f t="shared" ca="1" si="174"/>
        <v>0.45516203703703706</v>
      </c>
      <c r="N2190" s="31"/>
      <c r="O2190" s="31">
        <v>50</v>
      </c>
      <c r="P2190" s="29">
        <v>40</v>
      </c>
      <c r="Q2190" s="29">
        <v>60</v>
      </c>
    </row>
    <row r="2191" spans="1:17" x14ac:dyDescent="0.35">
      <c r="A2191" s="26">
        <v>40000002774</v>
      </c>
      <c r="B2191" s="31">
        <v>1</v>
      </c>
      <c r="C2191" s="29" t="str">
        <f>LOOKUP(A2191,'QALS - Inspection Lot Record'!$A$2:$A$361,'QALS - Inspection Lot Record'!$O$2:$O$361)</f>
        <v>Metformin Tablets (100 MG)</v>
      </c>
      <c r="D2191" s="31">
        <v>60</v>
      </c>
      <c r="E2191" s="29" t="s">
        <v>405</v>
      </c>
      <c r="F2191" s="29" t="str">
        <f>LOOKUP(A2191,'QALS - Inspection Lot Record'!A:A,'QALS - Inspection Lot Record'!G:G)</f>
        <v>TG509538</v>
      </c>
      <c r="G2191" s="59">
        <f ca="1">LOOKUP(A2191,'QALS - Inspection Lot Record'!A:A,'QALS - Inspection Lot Record'!E:E)</f>
        <v>46006</v>
      </c>
      <c r="H2191" s="34" t="str">
        <f t="shared" si="175"/>
        <v>A</v>
      </c>
      <c r="I2191" s="29" t="str">
        <f t="shared" si="171"/>
        <v>TG509538</v>
      </c>
      <c r="J2191" s="59">
        <f t="shared" ca="1" si="172"/>
        <v>46006</v>
      </c>
      <c r="K2191" s="30">
        <f ca="1">LOOKUP(A2191,'QALS - Inspection Lot Record'!A:A,'QALS - Inspection Lot Record'!I:I)</f>
        <v>0.4228587962962963</v>
      </c>
      <c r="L2191" s="59">
        <f t="shared" ca="1" si="173"/>
        <v>46006</v>
      </c>
      <c r="M2191" s="30">
        <f t="shared" ca="1" si="174"/>
        <v>0.45824074074074073</v>
      </c>
      <c r="N2191" s="31"/>
      <c r="O2191" s="31">
        <v>77.5</v>
      </c>
      <c r="P2191" s="29">
        <v>70</v>
      </c>
      <c r="Q2191" s="29">
        <v>85</v>
      </c>
    </row>
    <row r="2192" spans="1:17" x14ac:dyDescent="0.35">
      <c r="A2192" s="26">
        <v>40000002774</v>
      </c>
      <c r="B2192" s="31">
        <v>1</v>
      </c>
      <c r="C2192" s="29" t="str">
        <f>LOOKUP(A2192,'QALS - Inspection Lot Record'!$A$2:$A$361,'QALS - Inspection Lot Record'!$O$2:$O$361)</f>
        <v>Metformin Tablets (100 MG)</v>
      </c>
      <c r="D2192" s="31">
        <v>70</v>
      </c>
      <c r="E2192" s="29" t="s">
        <v>406</v>
      </c>
      <c r="F2192" s="29" t="str">
        <f>LOOKUP(A2192,'QALS - Inspection Lot Record'!A:A,'QALS - Inspection Lot Record'!G:G)</f>
        <v>TG509538</v>
      </c>
      <c r="G2192" s="59">
        <f ca="1">LOOKUP(A2192,'QALS - Inspection Lot Record'!A:A,'QALS - Inspection Lot Record'!E:E)</f>
        <v>46006</v>
      </c>
      <c r="H2192" s="34" t="str">
        <f t="shared" si="175"/>
        <v>A</v>
      </c>
      <c r="I2192" s="29" t="str">
        <f t="shared" si="171"/>
        <v>TG509538</v>
      </c>
      <c r="J2192" s="59">
        <f t="shared" ca="1" si="172"/>
        <v>46006</v>
      </c>
      <c r="K2192" s="30">
        <f ca="1">LOOKUP(A2192,'QALS - Inspection Lot Record'!A:A,'QALS - Inspection Lot Record'!I:I)</f>
        <v>0.4228587962962963</v>
      </c>
      <c r="L2192" s="59">
        <f t="shared" ca="1" si="173"/>
        <v>46006</v>
      </c>
      <c r="M2192" s="30">
        <f t="shared" ca="1" si="174"/>
        <v>0.44901620370370371</v>
      </c>
      <c r="N2192" s="31"/>
      <c r="O2192" s="31">
        <v>85</v>
      </c>
      <c r="P2192" s="29">
        <v>80</v>
      </c>
      <c r="Q2192" s="29">
        <v>90</v>
      </c>
    </row>
    <row r="2193" spans="1:17" x14ac:dyDescent="0.35">
      <c r="A2193" s="26">
        <v>40000002774</v>
      </c>
      <c r="B2193" s="31">
        <v>1</v>
      </c>
      <c r="C2193" s="29" t="str">
        <f>LOOKUP(A2193,'QALS - Inspection Lot Record'!$A$2:$A$361,'QALS - Inspection Lot Record'!$O$2:$O$361)</f>
        <v>Metformin Tablets (100 MG)</v>
      </c>
      <c r="D2193" s="31">
        <v>80</v>
      </c>
      <c r="E2193" s="29" t="s">
        <v>407</v>
      </c>
      <c r="F2193" s="29" t="str">
        <f>LOOKUP(A2193,'QALS - Inspection Lot Record'!A:A,'QALS - Inspection Lot Record'!G:G)</f>
        <v>TG509538</v>
      </c>
      <c r="G2193" s="59">
        <f ca="1">LOOKUP(A2193,'QALS - Inspection Lot Record'!A:A,'QALS - Inspection Lot Record'!E:E)</f>
        <v>46006</v>
      </c>
      <c r="H2193" s="34" t="str">
        <f t="shared" si="175"/>
        <v>A</v>
      </c>
      <c r="I2193" s="29" t="str">
        <f t="shared" si="171"/>
        <v>TG509538</v>
      </c>
      <c r="J2193" s="59">
        <f t="shared" ca="1" si="172"/>
        <v>46006</v>
      </c>
      <c r="K2193" s="30">
        <f ca="1">LOOKUP(A2193,'QALS - Inspection Lot Record'!A:A,'QALS - Inspection Lot Record'!I:I)</f>
        <v>0.4228587962962963</v>
      </c>
      <c r="L2193" s="59">
        <f t="shared" ca="1" si="173"/>
        <v>46006</v>
      </c>
      <c r="M2193" s="30">
        <f t="shared" ca="1" si="174"/>
        <v>0.45556712962962964</v>
      </c>
      <c r="N2193" s="31"/>
      <c r="O2193" s="31">
        <v>24</v>
      </c>
      <c r="P2193" s="29">
        <v>23</v>
      </c>
      <c r="Q2193" s="29">
        <v>25</v>
      </c>
    </row>
    <row r="2194" spans="1:17" x14ac:dyDescent="0.35">
      <c r="A2194" s="26">
        <v>40000002775</v>
      </c>
      <c r="B2194" s="27">
        <v>1</v>
      </c>
      <c r="C2194" s="29" t="str">
        <f>LOOKUP(A2194,'QALS - Inspection Lot Record'!$A$2:$A$361,'QALS - Inspection Lot Record'!$O$2:$O$361)</f>
        <v>Metformin Tablets (500 MG)</v>
      </c>
      <c r="D2194" s="27">
        <v>10</v>
      </c>
      <c r="E2194" s="26" t="s">
        <v>399</v>
      </c>
      <c r="F2194" s="29" t="str">
        <f>LOOKUP(A2194,'QALS - Inspection Lot Record'!A:A,'QALS - Inspection Lot Record'!G:G)</f>
        <v>TP397880</v>
      </c>
      <c r="G2194" s="59">
        <f ca="1">LOOKUP(A2194,'QALS - Inspection Lot Record'!A:A,'QALS - Inspection Lot Record'!E:E)</f>
        <v>46007</v>
      </c>
      <c r="H2194" s="34" t="str">
        <f t="shared" si="175"/>
        <v>A</v>
      </c>
      <c r="I2194" s="29" t="str">
        <f t="shared" si="171"/>
        <v>TP397880</v>
      </c>
      <c r="J2194" s="59">
        <f t="shared" ca="1" si="172"/>
        <v>46007</v>
      </c>
      <c r="K2194" s="30">
        <f ca="1">LOOKUP(A2194,'QALS - Inspection Lot Record'!A:A,'QALS - Inspection Lot Record'!I:I)</f>
        <v>0.85468750000000004</v>
      </c>
      <c r="L2194" s="59">
        <f t="shared" ca="1" si="173"/>
        <v>46007</v>
      </c>
      <c r="M2194" s="30">
        <f t="shared" ca="1" si="174"/>
        <v>0.87709490740740748</v>
      </c>
      <c r="N2194" s="31"/>
      <c r="O2194" s="31">
        <v>100</v>
      </c>
      <c r="P2194" s="29">
        <v>95</v>
      </c>
      <c r="Q2194" s="29">
        <v>105</v>
      </c>
    </row>
    <row r="2195" spans="1:17" x14ac:dyDescent="0.35">
      <c r="A2195" s="26">
        <v>40000002775</v>
      </c>
      <c r="B2195" s="27">
        <v>1</v>
      </c>
      <c r="C2195" s="29" t="str">
        <f>LOOKUP(A2195,'QALS - Inspection Lot Record'!$A$2:$A$361,'QALS - Inspection Lot Record'!$O$2:$O$361)</f>
        <v>Metformin Tablets (500 MG)</v>
      </c>
      <c r="D2195" s="31">
        <v>20</v>
      </c>
      <c r="E2195" s="29" t="s">
        <v>400</v>
      </c>
      <c r="F2195" s="29" t="str">
        <f>LOOKUP(A2195,'QALS - Inspection Lot Record'!A:A,'QALS - Inspection Lot Record'!G:G)</f>
        <v>TP397880</v>
      </c>
      <c r="G2195" s="59">
        <f ca="1">LOOKUP(A2195,'QALS - Inspection Lot Record'!A:A,'QALS - Inspection Lot Record'!E:E)</f>
        <v>46007</v>
      </c>
      <c r="H2195" s="34" t="str">
        <f t="shared" si="175"/>
        <v>A</v>
      </c>
      <c r="I2195" s="29" t="str">
        <f t="shared" si="171"/>
        <v>TP397880</v>
      </c>
      <c r="J2195" s="59">
        <f t="shared" ca="1" si="172"/>
        <v>46007</v>
      </c>
      <c r="K2195" s="30">
        <f ca="1">LOOKUP(A2195,'QALS - Inspection Lot Record'!A:A,'QALS - Inspection Lot Record'!I:I)</f>
        <v>0.85468750000000004</v>
      </c>
      <c r="L2195" s="59">
        <f t="shared" ca="1" si="173"/>
        <v>46007</v>
      </c>
      <c r="M2195" s="30">
        <f t="shared" ca="1" si="174"/>
        <v>0.88709490740740748</v>
      </c>
      <c r="N2195" s="31"/>
      <c r="O2195" s="31">
        <v>7.25</v>
      </c>
      <c r="P2195" s="29">
        <v>3.5</v>
      </c>
      <c r="Q2195" s="29">
        <v>11</v>
      </c>
    </row>
    <row r="2196" spans="1:17" x14ac:dyDescent="0.35">
      <c r="A2196" s="26">
        <v>40000002775</v>
      </c>
      <c r="B2196" s="31">
        <v>1</v>
      </c>
      <c r="C2196" s="29" t="str">
        <f>LOOKUP(A2196,'QALS - Inspection Lot Record'!$A$2:$A$361,'QALS - Inspection Lot Record'!$O$2:$O$361)</f>
        <v>Metformin Tablets (500 MG)</v>
      </c>
      <c r="D2196" s="31">
        <v>30</v>
      </c>
      <c r="E2196" s="29" t="s">
        <v>401</v>
      </c>
      <c r="F2196" s="29" t="str">
        <f>LOOKUP(A2196,'QALS - Inspection Lot Record'!A:A,'QALS - Inspection Lot Record'!G:G)</f>
        <v>TP397880</v>
      </c>
      <c r="G2196" s="59">
        <f ca="1">LOOKUP(A2196,'QALS - Inspection Lot Record'!A:A,'QALS - Inspection Lot Record'!E:E)</f>
        <v>46007</v>
      </c>
      <c r="H2196" s="34" t="str">
        <f t="shared" si="175"/>
        <v>A</v>
      </c>
      <c r="I2196" s="29" t="str">
        <f t="shared" si="171"/>
        <v>TP397880</v>
      </c>
      <c r="J2196" s="59">
        <f t="shared" ca="1" si="172"/>
        <v>46007</v>
      </c>
      <c r="K2196" s="30">
        <f ca="1">LOOKUP(A2196,'QALS - Inspection Lot Record'!A:A,'QALS - Inspection Lot Record'!I:I)</f>
        <v>0.85468750000000004</v>
      </c>
      <c r="L2196" s="59">
        <f t="shared" ca="1" si="173"/>
        <v>46007</v>
      </c>
      <c r="M2196" s="30">
        <f t="shared" ca="1" si="174"/>
        <v>0.88473379629629634</v>
      </c>
      <c r="N2196" s="11" t="s">
        <v>402</v>
      </c>
      <c r="O2196" s="31"/>
      <c r="P2196" s="29"/>
      <c r="Q2196" s="29"/>
    </row>
    <row r="2197" spans="1:17" x14ac:dyDescent="0.35">
      <c r="A2197" s="26">
        <v>40000002775</v>
      </c>
      <c r="B2197" s="31">
        <v>1</v>
      </c>
      <c r="C2197" s="29" t="str">
        <f>LOOKUP(A2197,'QALS - Inspection Lot Record'!$A$2:$A$361,'QALS - Inspection Lot Record'!$O$2:$O$361)</f>
        <v>Metformin Tablets (500 MG)</v>
      </c>
      <c r="D2197" s="31">
        <v>40</v>
      </c>
      <c r="E2197" s="29" t="s">
        <v>403</v>
      </c>
      <c r="F2197" s="29" t="str">
        <f>LOOKUP(A2197,'QALS - Inspection Lot Record'!A:A,'QALS - Inspection Lot Record'!G:G)</f>
        <v>TP397880</v>
      </c>
      <c r="G2197" s="59">
        <f ca="1">LOOKUP(A2197,'QALS - Inspection Lot Record'!A:A,'QALS - Inspection Lot Record'!E:E)</f>
        <v>46007</v>
      </c>
      <c r="H2197" s="34" t="str">
        <f t="shared" si="175"/>
        <v>A</v>
      </c>
      <c r="I2197" s="29" t="str">
        <f t="shared" si="171"/>
        <v>TP397880</v>
      </c>
      <c r="J2197" s="59">
        <f t="shared" ca="1" si="172"/>
        <v>46007</v>
      </c>
      <c r="K2197" s="30">
        <f ca="1">LOOKUP(A2197,'QALS - Inspection Lot Record'!A:A,'QALS - Inspection Lot Record'!I:I)</f>
        <v>0.85468750000000004</v>
      </c>
      <c r="L2197" s="59">
        <f t="shared" ca="1" si="173"/>
        <v>46007</v>
      </c>
      <c r="M2197" s="30">
        <f t="shared" ca="1" si="174"/>
        <v>0.88619212962962968</v>
      </c>
      <c r="N2197" s="31"/>
      <c r="O2197" s="31">
        <v>0</v>
      </c>
      <c r="P2197" s="29">
        <v>0</v>
      </c>
      <c r="Q2197" s="29">
        <v>2</v>
      </c>
    </row>
    <row r="2198" spans="1:17" x14ac:dyDescent="0.35">
      <c r="A2198" s="26">
        <v>40000002775</v>
      </c>
      <c r="B2198" s="31">
        <v>1</v>
      </c>
      <c r="C2198" s="29" t="str">
        <f>LOOKUP(A2198,'QALS - Inspection Lot Record'!$A$2:$A$361,'QALS - Inspection Lot Record'!$O$2:$O$361)</f>
        <v>Metformin Tablets (500 MG)</v>
      </c>
      <c r="D2198" s="31">
        <v>50</v>
      </c>
      <c r="E2198" s="29" t="s">
        <v>404</v>
      </c>
      <c r="F2198" s="29" t="str">
        <f>LOOKUP(A2198,'QALS - Inspection Lot Record'!A:A,'QALS - Inspection Lot Record'!G:G)</f>
        <v>TP397880</v>
      </c>
      <c r="G2198" s="59">
        <f ca="1">LOOKUP(A2198,'QALS - Inspection Lot Record'!A:A,'QALS - Inspection Lot Record'!E:E)</f>
        <v>46007</v>
      </c>
      <c r="H2198" s="34" t="str">
        <f t="shared" si="175"/>
        <v>A</v>
      </c>
      <c r="I2198" s="29" t="str">
        <f t="shared" si="171"/>
        <v>TP397880</v>
      </c>
      <c r="J2198" s="59">
        <f t="shared" ca="1" si="172"/>
        <v>46007</v>
      </c>
      <c r="K2198" s="30">
        <f ca="1">LOOKUP(A2198,'QALS - Inspection Lot Record'!A:A,'QALS - Inspection Lot Record'!I:I)</f>
        <v>0.85468750000000004</v>
      </c>
      <c r="L2198" s="59">
        <f t="shared" ca="1" si="173"/>
        <v>46007</v>
      </c>
      <c r="M2198" s="30">
        <f t="shared" ca="1" si="174"/>
        <v>0.87664351851851852</v>
      </c>
      <c r="N2198" s="31"/>
      <c r="O2198" s="31">
        <v>50</v>
      </c>
      <c r="P2198" s="29">
        <v>40</v>
      </c>
      <c r="Q2198" s="29">
        <v>60</v>
      </c>
    </row>
    <row r="2199" spans="1:17" x14ac:dyDescent="0.35">
      <c r="A2199" s="26">
        <v>40000002775</v>
      </c>
      <c r="B2199" s="31">
        <v>1</v>
      </c>
      <c r="C2199" s="29" t="str">
        <f>LOOKUP(A2199,'QALS - Inspection Lot Record'!$A$2:$A$361,'QALS - Inspection Lot Record'!$O$2:$O$361)</f>
        <v>Metformin Tablets (500 MG)</v>
      </c>
      <c r="D2199" s="31">
        <v>60</v>
      </c>
      <c r="E2199" s="29" t="s">
        <v>405</v>
      </c>
      <c r="F2199" s="29" t="str">
        <f>LOOKUP(A2199,'QALS - Inspection Lot Record'!A:A,'QALS - Inspection Lot Record'!G:G)</f>
        <v>TP397880</v>
      </c>
      <c r="G2199" s="59">
        <f ca="1">LOOKUP(A2199,'QALS - Inspection Lot Record'!A:A,'QALS - Inspection Lot Record'!E:E)</f>
        <v>46007</v>
      </c>
      <c r="H2199" s="34" t="str">
        <f t="shared" si="175"/>
        <v>A</v>
      </c>
      <c r="I2199" s="29" t="str">
        <f t="shared" si="171"/>
        <v>TP397880</v>
      </c>
      <c r="J2199" s="59">
        <f t="shared" ca="1" si="172"/>
        <v>46007</v>
      </c>
      <c r="K2199" s="30">
        <f ca="1">LOOKUP(A2199,'QALS - Inspection Lot Record'!A:A,'QALS - Inspection Lot Record'!I:I)</f>
        <v>0.85468750000000004</v>
      </c>
      <c r="L2199" s="59">
        <f t="shared" ca="1" si="173"/>
        <v>46007</v>
      </c>
      <c r="M2199" s="30">
        <f t="shared" ca="1" si="174"/>
        <v>0.87298611111111113</v>
      </c>
      <c r="N2199" s="31"/>
      <c r="O2199" s="31">
        <v>71.7</v>
      </c>
      <c r="P2199" s="29">
        <v>70</v>
      </c>
      <c r="Q2199" s="29">
        <v>85</v>
      </c>
    </row>
    <row r="2200" spans="1:17" x14ac:dyDescent="0.35">
      <c r="A2200" s="26">
        <v>40000002775</v>
      </c>
      <c r="B2200" s="31">
        <v>1</v>
      </c>
      <c r="C2200" s="29" t="str">
        <f>LOOKUP(A2200,'QALS - Inspection Lot Record'!$A$2:$A$361,'QALS - Inspection Lot Record'!$O$2:$O$361)</f>
        <v>Metformin Tablets (500 MG)</v>
      </c>
      <c r="D2200" s="31">
        <v>70</v>
      </c>
      <c r="E2200" s="29" t="s">
        <v>406</v>
      </c>
      <c r="F2200" s="29" t="str">
        <f>LOOKUP(A2200,'QALS - Inspection Lot Record'!A:A,'QALS - Inspection Lot Record'!G:G)</f>
        <v>TP397880</v>
      </c>
      <c r="G2200" s="59">
        <f ca="1">LOOKUP(A2200,'QALS - Inspection Lot Record'!A:A,'QALS - Inspection Lot Record'!E:E)</f>
        <v>46007</v>
      </c>
      <c r="H2200" s="34" t="str">
        <f t="shared" si="175"/>
        <v>A</v>
      </c>
      <c r="I2200" s="29" t="str">
        <f t="shared" si="171"/>
        <v>TP397880</v>
      </c>
      <c r="J2200" s="59">
        <f t="shared" ca="1" si="172"/>
        <v>46007</v>
      </c>
      <c r="K2200" s="30">
        <f ca="1">LOOKUP(A2200,'QALS - Inspection Lot Record'!A:A,'QALS - Inspection Lot Record'!I:I)</f>
        <v>0.85468750000000004</v>
      </c>
      <c r="L2200" s="59">
        <f t="shared" ca="1" si="173"/>
        <v>46007</v>
      </c>
      <c r="M2200" s="30">
        <f t="shared" ca="1" si="174"/>
        <v>0.88440972222222225</v>
      </c>
      <c r="N2200" s="31"/>
      <c r="O2200" s="31">
        <v>85</v>
      </c>
      <c r="P2200" s="29">
        <v>80</v>
      </c>
      <c r="Q2200" s="29">
        <v>90</v>
      </c>
    </row>
    <row r="2201" spans="1:17" x14ac:dyDescent="0.35">
      <c r="A2201" s="26">
        <v>40000002775</v>
      </c>
      <c r="B2201" s="31">
        <v>1</v>
      </c>
      <c r="C2201" s="29" t="str">
        <f>LOOKUP(A2201,'QALS - Inspection Lot Record'!$A$2:$A$361,'QALS - Inspection Lot Record'!$O$2:$O$361)</f>
        <v>Metformin Tablets (500 MG)</v>
      </c>
      <c r="D2201" s="31">
        <v>80</v>
      </c>
      <c r="E2201" s="29" t="s">
        <v>407</v>
      </c>
      <c r="F2201" s="29" t="str">
        <f>LOOKUP(A2201,'QALS - Inspection Lot Record'!A:A,'QALS - Inspection Lot Record'!G:G)</f>
        <v>TP397880</v>
      </c>
      <c r="G2201" s="59">
        <f ca="1">LOOKUP(A2201,'QALS - Inspection Lot Record'!A:A,'QALS - Inspection Lot Record'!E:E)</f>
        <v>46007</v>
      </c>
      <c r="H2201" s="34" t="str">
        <f t="shared" si="175"/>
        <v>A</v>
      </c>
      <c r="I2201" s="29" t="str">
        <f t="shared" si="171"/>
        <v>TP397880</v>
      </c>
      <c r="J2201" s="59">
        <f t="shared" ca="1" si="172"/>
        <v>46007</v>
      </c>
      <c r="K2201" s="30">
        <f ca="1">LOOKUP(A2201,'QALS - Inspection Lot Record'!A:A,'QALS - Inspection Lot Record'!I:I)</f>
        <v>0.85468750000000004</v>
      </c>
      <c r="L2201" s="59">
        <f t="shared" ca="1" si="173"/>
        <v>46007</v>
      </c>
      <c r="M2201" s="30">
        <f t="shared" ca="1" si="174"/>
        <v>0.8825115740740741</v>
      </c>
      <c r="N2201" s="31"/>
      <c r="O2201" s="31">
        <v>25.5</v>
      </c>
      <c r="P2201" s="29">
        <v>23</v>
      </c>
      <c r="Q2201" s="29">
        <v>28</v>
      </c>
    </row>
    <row r="2202" spans="1:17" x14ac:dyDescent="0.35">
      <c r="A2202" s="26">
        <v>40000002776</v>
      </c>
      <c r="B2202" s="27">
        <v>1</v>
      </c>
      <c r="C2202" s="29" t="str">
        <f>LOOKUP(A2202,'QALS - Inspection Lot Record'!$A$2:$A$361,'QALS - Inspection Lot Record'!$O$2:$O$361)</f>
        <v>Metformin Tablets (100 MG)</v>
      </c>
      <c r="D2202" s="27">
        <v>10</v>
      </c>
      <c r="E2202" s="26" t="s">
        <v>399</v>
      </c>
      <c r="F2202" s="29" t="str">
        <f>LOOKUP(A2202,'QALS - Inspection Lot Record'!A:A,'QALS - Inspection Lot Record'!G:G)</f>
        <v>GC197258</v>
      </c>
      <c r="G2202" s="59">
        <f ca="1">LOOKUP(A2202,'QALS - Inspection Lot Record'!A:A,'QALS - Inspection Lot Record'!E:E)</f>
        <v>46007</v>
      </c>
      <c r="H2202" s="34" t="str">
        <f t="shared" si="175"/>
        <v>A</v>
      </c>
      <c r="I2202" s="29" t="str">
        <f t="shared" si="171"/>
        <v>GC197258</v>
      </c>
      <c r="J2202" s="59">
        <f t="shared" ca="1" si="172"/>
        <v>46007</v>
      </c>
      <c r="K2202" s="30">
        <f ca="1">LOOKUP(A2202,'QALS - Inspection Lot Record'!A:A,'QALS - Inspection Lot Record'!I:I)</f>
        <v>4.7106481481481478E-2</v>
      </c>
      <c r="L2202" s="59">
        <f t="shared" ca="1" si="173"/>
        <v>46007</v>
      </c>
      <c r="M2202" s="30">
        <f t="shared" ca="1" si="174"/>
        <v>7.4317129629629622E-2</v>
      </c>
      <c r="N2202" s="31"/>
      <c r="O2202" s="31">
        <v>98.5</v>
      </c>
      <c r="P2202" s="29">
        <v>95</v>
      </c>
      <c r="Q2202" s="29">
        <v>102</v>
      </c>
    </row>
    <row r="2203" spans="1:17" x14ac:dyDescent="0.35">
      <c r="A2203" s="26">
        <v>40000002776</v>
      </c>
      <c r="B2203" s="27">
        <v>1</v>
      </c>
      <c r="C2203" s="29" t="str">
        <f>LOOKUP(A2203,'QALS - Inspection Lot Record'!$A$2:$A$361,'QALS - Inspection Lot Record'!$O$2:$O$361)</f>
        <v>Metformin Tablets (100 MG)</v>
      </c>
      <c r="D2203" s="31">
        <v>20</v>
      </c>
      <c r="E2203" s="29" t="s">
        <v>400</v>
      </c>
      <c r="F2203" s="29" t="str">
        <f>LOOKUP(A2203,'QALS - Inspection Lot Record'!A:A,'QALS - Inspection Lot Record'!G:G)</f>
        <v>GC197258</v>
      </c>
      <c r="G2203" s="59">
        <f ca="1">LOOKUP(A2203,'QALS - Inspection Lot Record'!A:A,'QALS - Inspection Lot Record'!E:E)</f>
        <v>46007</v>
      </c>
      <c r="H2203" s="34" t="str">
        <f t="shared" si="175"/>
        <v>A</v>
      </c>
      <c r="I2203" s="29" t="str">
        <f t="shared" si="171"/>
        <v>GC197258</v>
      </c>
      <c r="J2203" s="59">
        <f t="shared" ca="1" si="172"/>
        <v>46007</v>
      </c>
      <c r="K2203" s="30">
        <f ca="1">LOOKUP(A2203,'QALS - Inspection Lot Record'!A:A,'QALS - Inspection Lot Record'!I:I)</f>
        <v>4.7106481481481478E-2</v>
      </c>
      <c r="L2203" s="59">
        <f t="shared" ca="1" si="173"/>
        <v>46007</v>
      </c>
      <c r="M2203" s="30">
        <f t="shared" ca="1" si="174"/>
        <v>7.1527777777777773E-2</v>
      </c>
      <c r="N2203" s="31"/>
      <c r="O2203" s="31">
        <v>7.25</v>
      </c>
      <c r="P2203" s="29">
        <v>3.5</v>
      </c>
      <c r="Q2203" s="29">
        <v>11</v>
      </c>
    </row>
    <row r="2204" spans="1:17" x14ac:dyDescent="0.35">
      <c r="A2204" s="26">
        <v>40000002776</v>
      </c>
      <c r="B2204" s="31">
        <v>1</v>
      </c>
      <c r="C2204" s="29" t="str">
        <f>LOOKUP(A2204,'QALS - Inspection Lot Record'!$A$2:$A$361,'QALS - Inspection Lot Record'!$O$2:$O$361)</f>
        <v>Metformin Tablets (100 MG)</v>
      </c>
      <c r="D2204" s="31">
        <v>30</v>
      </c>
      <c r="E2204" s="29" t="s">
        <v>401</v>
      </c>
      <c r="F2204" s="29" t="str">
        <f>LOOKUP(A2204,'QALS - Inspection Lot Record'!A:A,'QALS - Inspection Lot Record'!G:G)</f>
        <v>GC197258</v>
      </c>
      <c r="G2204" s="59">
        <f ca="1">LOOKUP(A2204,'QALS - Inspection Lot Record'!A:A,'QALS - Inspection Lot Record'!E:E)</f>
        <v>46007</v>
      </c>
      <c r="H2204" s="34" t="str">
        <f t="shared" si="175"/>
        <v>A</v>
      </c>
      <c r="I2204" s="29" t="str">
        <f t="shared" si="171"/>
        <v>GC197258</v>
      </c>
      <c r="J2204" s="59">
        <f t="shared" ca="1" si="172"/>
        <v>46007</v>
      </c>
      <c r="K2204" s="30">
        <f ca="1">LOOKUP(A2204,'QALS - Inspection Lot Record'!A:A,'QALS - Inspection Lot Record'!I:I)</f>
        <v>4.7106481481481478E-2</v>
      </c>
      <c r="L2204" s="59">
        <f t="shared" ca="1" si="173"/>
        <v>46007</v>
      </c>
      <c r="M2204" s="30">
        <f t="shared" ca="1" si="174"/>
        <v>7.1284722222222222E-2</v>
      </c>
      <c r="N2204" s="11" t="s">
        <v>402</v>
      </c>
      <c r="O2204" s="31"/>
      <c r="P2204" s="29"/>
      <c r="Q2204" s="29"/>
    </row>
    <row r="2205" spans="1:17" x14ac:dyDescent="0.35">
      <c r="A2205" s="26">
        <v>40000002776</v>
      </c>
      <c r="B2205" s="31">
        <v>1</v>
      </c>
      <c r="C2205" s="29" t="str">
        <f>LOOKUP(A2205,'QALS - Inspection Lot Record'!$A$2:$A$361,'QALS - Inspection Lot Record'!$O$2:$O$361)</f>
        <v>Metformin Tablets (100 MG)</v>
      </c>
      <c r="D2205" s="31">
        <v>40</v>
      </c>
      <c r="E2205" s="29" t="s">
        <v>403</v>
      </c>
      <c r="F2205" s="29" t="str">
        <f>LOOKUP(A2205,'QALS - Inspection Lot Record'!A:A,'QALS - Inspection Lot Record'!G:G)</f>
        <v>GC197258</v>
      </c>
      <c r="G2205" s="59">
        <f ca="1">LOOKUP(A2205,'QALS - Inspection Lot Record'!A:A,'QALS - Inspection Lot Record'!E:E)</f>
        <v>46007</v>
      </c>
      <c r="H2205" s="34" t="str">
        <f t="shared" si="175"/>
        <v>A</v>
      </c>
      <c r="I2205" s="29" t="str">
        <f t="shared" si="171"/>
        <v>GC197258</v>
      </c>
      <c r="J2205" s="59">
        <f t="shared" ca="1" si="172"/>
        <v>46007</v>
      </c>
      <c r="K2205" s="30">
        <f ca="1">LOOKUP(A2205,'QALS - Inspection Lot Record'!A:A,'QALS - Inspection Lot Record'!I:I)</f>
        <v>4.7106481481481478E-2</v>
      </c>
      <c r="L2205" s="59">
        <f t="shared" ca="1" si="173"/>
        <v>46007</v>
      </c>
      <c r="M2205" s="30">
        <f t="shared" ca="1" si="174"/>
        <v>7.6712962962962955E-2</v>
      </c>
      <c r="N2205" s="31"/>
      <c r="O2205" s="31">
        <v>0</v>
      </c>
      <c r="P2205" s="29">
        <v>0</v>
      </c>
      <c r="Q2205" s="29">
        <v>1</v>
      </c>
    </row>
    <row r="2206" spans="1:17" x14ac:dyDescent="0.35">
      <c r="A2206" s="26">
        <v>40000002776</v>
      </c>
      <c r="B2206" s="31">
        <v>1</v>
      </c>
      <c r="C2206" s="29" t="str">
        <f>LOOKUP(A2206,'QALS - Inspection Lot Record'!$A$2:$A$361,'QALS - Inspection Lot Record'!$O$2:$O$361)</f>
        <v>Metformin Tablets (100 MG)</v>
      </c>
      <c r="D2206" s="31">
        <v>50</v>
      </c>
      <c r="E2206" s="29" t="s">
        <v>404</v>
      </c>
      <c r="F2206" s="29" t="str">
        <f>LOOKUP(A2206,'QALS - Inspection Lot Record'!A:A,'QALS - Inspection Lot Record'!G:G)</f>
        <v>GC197258</v>
      </c>
      <c r="G2206" s="59">
        <f ca="1">LOOKUP(A2206,'QALS - Inspection Lot Record'!A:A,'QALS - Inspection Lot Record'!E:E)</f>
        <v>46007</v>
      </c>
      <c r="H2206" s="34" t="str">
        <f t="shared" si="175"/>
        <v>A</v>
      </c>
      <c r="I2206" s="29" t="str">
        <f t="shared" si="171"/>
        <v>GC197258</v>
      </c>
      <c r="J2206" s="59">
        <f t="shared" ca="1" si="172"/>
        <v>46007</v>
      </c>
      <c r="K2206" s="30">
        <f ca="1">LOOKUP(A2206,'QALS - Inspection Lot Record'!A:A,'QALS - Inspection Lot Record'!I:I)</f>
        <v>4.7106481481481478E-2</v>
      </c>
      <c r="L2206" s="59">
        <f t="shared" ca="1" si="173"/>
        <v>46007</v>
      </c>
      <c r="M2206" s="30">
        <f t="shared" ca="1" si="174"/>
        <v>6.6203703703703709E-2</v>
      </c>
      <c r="N2206" s="31"/>
      <c r="O2206" s="31">
        <v>50</v>
      </c>
      <c r="P2206" s="29">
        <v>40</v>
      </c>
      <c r="Q2206" s="29">
        <v>60</v>
      </c>
    </row>
    <row r="2207" spans="1:17" x14ac:dyDescent="0.35">
      <c r="A2207" s="26">
        <v>40000002776</v>
      </c>
      <c r="B2207" s="31">
        <v>1</v>
      </c>
      <c r="C2207" s="29" t="str">
        <f>LOOKUP(A2207,'QALS - Inspection Lot Record'!$A$2:$A$361,'QALS - Inspection Lot Record'!$O$2:$O$361)</f>
        <v>Metformin Tablets (100 MG)</v>
      </c>
      <c r="D2207" s="31">
        <v>60</v>
      </c>
      <c r="E2207" s="29" t="s">
        <v>405</v>
      </c>
      <c r="F2207" s="29" t="str">
        <f>LOOKUP(A2207,'QALS - Inspection Lot Record'!A:A,'QALS - Inspection Lot Record'!G:G)</f>
        <v>GC197258</v>
      </c>
      <c r="G2207" s="59">
        <f ca="1">LOOKUP(A2207,'QALS - Inspection Lot Record'!A:A,'QALS - Inspection Lot Record'!E:E)</f>
        <v>46007</v>
      </c>
      <c r="H2207" s="34" t="str">
        <f t="shared" si="175"/>
        <v>A</v>
      </c>
      <c r="I2207" s="29" t="str">
        <f t="shared" si="171"/>
        <v>GC197258</v>
      </c>
      <c r="J2207" s="59">
        <f t="shared" ca="1" si="172"/>
        <v>46007</v>
      </c>
      <c r="K2207" s="30">
        <f ca="1">LOOKUP(A2207,'QALS - Inspection Lot Record'!A:A,'QALS - Inspection Lot Record'!I:I)</f>
        <v>4.7106481481481478E-2</v>
      </c>
      <c r="L2207" s="59">
        <f t="shared" ca="1" si="173"/>
        <v>46007</v>
      </c>
      <c r="M2207" s="30">
        <f t="shared" ca="1" si="174"/>
        <v>7.3414351851851856E-2</v>
      </c>
      <c r="N2207" s="31"/>
      <c r="O2207" s="31">
        <v>77.5</v>
      </c>
      <c r="P2207" s="29">
        <v>70</v>
      </c>
      <c r="Q2207" s="29">
        <v>85</v>
      </c>
    </row>
    <row r="2208" spans="1:17" x14ac:dyDescent="0.35">
      <c r="A2208" s="26">
        <v>40000002776</v>
      </c>
      <c r="B2208" s="31">
        <v>1</v>
      </c>
      <c r="C2208" s="29" t="str">
        <f>LOOKUP(A2208,'QALS - Inspection Lot Record'!$A$2:$A$361,'QALS - Inspection Lot Record'!$O$2:$O$361)</f>
        <v>Metformin Tablets (100 MG)</v>
      </c>
      <c r="D2208" s="31">
        <v>70</v>
      </c>
      <c r="E2208" s="29" t="s">
        <v>406</v>
      </c>
      <c r="F2208" s="29" t="str">
        <f>LOOKUP(A2208,'QALS - Inspection Lot Record'!A:A,'QALS - Inspection Lot Record'!G:G)</f>
        <v>GC197258</v>
      </c>
      <c r="G2208" s="59">
        <f ca="1">LOOKUP(A2208,'QALS - Inspection Lot Record'!A:A,'QALS - Inspection Lot Record'!E:E)</f>
        <v>46007</v>
      </c>
      <c r="H2208" s="34" t="str">
        <f t="shared" si="175"/>
        <v>A</v>
      </c>
      <c r="I2208" s="29" t="str">
        <f t="shared" si="171"/>
        <v>GC197258</v>
      </c>
      <c r="J2208" s="59">
        <f t="shared" ca="1" si="172"/>
        <v>46007</v>
      </c>
      <c r="K2208" s="30">
        <f ca="1">LOOKUP(A2208,'QALS - Inspection Lot Record'!A:A,'QALS - Inspection Lot Record'!I:I)</f>
        <v>4.7106481481481478E-2</v>
      </c>
      <c r="L2208" s="59">
        <f t="shared" ca="1" si="173"/>
        <v>46007</v>
      </c>
      <c r="M2208" s="30">
        <f t="shared" ca="1" si="174"/>
        <v>6.5601851851851856E-2</v>
      </c>
      <c r="N2208" s="31"/>
      <c r="O2208" s="31">
        <v>81.900000000000006</v>
      </c>
      <c r="P2208" s="29">
        <v>80</v>
      </c>
      <c r="Q2208" s="29">
        <v>90</v>
      </c>
    </row>
    <row r="2209" spans="1:17" x14ac:dyDescent="0.35">
      <c r="A2209" s="26">
        <v>40000002776</v>
      </c>
      <c r="B2209" s="31">
        <v>1</v>
      </c>
      <c r="C2209" s="29" t="str">
        <f>LOOKUP(A2209,'QALS - Inspection Lot Record'!$A$2:$A$361,'QALS - Inspection Lot Record'!$O$2:$O$361)</f>
        <v>Metformin Tablets (100 MG)</v>
      </c>
      <c r="D2209" s="31">
        <v>80</v>
      </c>
      <c r="E2209" s="29" t="s">
        <v>407</v>
      </c>
      <c r="F2209" s="29" t="str">
        <f>LOOKUP(A2209,'QALS - Inspection Lot Record'!A:A,'QALS - Inspection Lot Record'!G:G)</f>
        <v>GC197258</v>
      </c>
      <c r="G2209" s="59">
        <f ca="1">LOOKUP(A2209,'QALS - Inspection Lot Record'!A:A,'QALS - Inspection Lot Record'!E:E)</f>
        <v>46007</v>
      </c>
      <c r="H2209" s="34" t="str">
        <f t="shared" si="175"/>
        <v>A</v>
      </c>
      <c r="I2209" s="29" t="str">
        <f t="shared" si="171"/>
        <v>GC197258</v>
      </c>
      <c r="J2209" s="59">
        <f t="shared" ca="1" si="172"/>
        <v>46007</v>
      </c>
      <c r="K2209" s="30">
        <f ca="1">LOOKUP(A2209,'QALS - Inspection Lot Record'!A:A,'QALS - Inspection Lot Record'!I:I)</f>
        <v>4.7106481481481478E-2</v>
      </c>
      <c r="L2209" s="59">
        <f t="shared" ca="1" si="173"/>
        <v>46007</v>
      </c>
      <c r="M2209" s="30">
        <f t="shared" ca="1" si="174"/>
        <v>7.2476851851851848E-2</v>
      </c>
      <c r="N2209" s="31"/>
      <c r="O2209" s="31">
        <v>24</v>
      </c>
      <c r="P2209" s="29">
        <v>23</v>
      </c>
      <c r="Q2209" s="29">
        <v>25</v>
      </c>
    </row>
    <row r="2210" spans="1:17" x14ac:dyDescent="0.35">
      <c r="A2210" s="26">
        <v>40000002777</v>
      </c>
      <c r="B2210" s="27">
        <v>1</v>
      </c>
      <c r="C2210" s="29" t="str">
        <f>LOOKUP(A2210,'QALS - Inspection Lot Record'!$A$2:$A$361,'QALS - Inspection Lot Record'!$O$2:$O$361)</f>
        <v>Metformin Tablets (100 MG)</v>
      </c>
      <c r="D2210" s="27">
        <v>10</v>
      </c>
      <c r="E2210" s="26" t="s">
        <v>399</v>
      </c>
      <c r="F2210" s="29" t="str">
        <f>LOOKUP(A2210,'QALS - Inspection Lot Record'!A:A,'QALS - Inspection Lot Record'!G:G)</f>
        <v>TP397880</v>
      </c>
      <c r="G2210" s="59">
        <f ca="1">LOOKUP(A2210,'QALS - Inspection Lot Record'!A:A,'QALS - Inspection Lot Record'!E:E)</f>
        <v>46008</v>
      </c>
      <c r="H2210" s="34" t="str">
        <f t="shared" si="175"/>
        <v>A</v>
      </c>
      <c r="I2210" s="29" t="str">
        <f t="shared" si="171"/>
        <v>TP397880</v>
      </c>
      <c r="J2210" s="59">
        <f t="shared" ca="1" si="172"/>
        <v>46008</v>
      </c>
      <c r="K2210" s="30">
        <f ca="1">LOOKUP(A2210,'QALS - Inspection Lot Record'!A:A,'QALS - Inspection Lot Record'!I:I)</f>
        <v>0.73440972222222223</v>
      </c>
      <c r="L2210" s="59">
        <f t="shared" ca="1" si="173"/>
        <v>46008</v>
      </c>
      <c r="M2210" s="30">
        <f t="shared" ca="1" si="174"/>
        <v>0.75386574074074075</v>
      </c>
      <c r="N2210" s="31"/>
      <c r="O2210" s="31">
        <v>98.5</v>
      </c>
      <c r="P2210" s="29">
        <v>95</v>
      </c>
      <c r="Q2210" s="29">
        <v>102</v>
      </c>
    </row>
    <row r="2211" spans="1:17" x14ac:dyDescent="0.35">
      <c r="A2211" s="26">
        <v>40000002777</v>
      </c>
      <c r="B2211" s="27">
        <v>1</v>
      </c>
      <c r="C2211" s="29" t="str">
        <f>LOOKUP(A2211,'QALS - Inspection Lot Record'!$A$2:$A$361,'QALS - Inspection Lot Record'!$O$2:$O$361)</f>
        <v>Metformin Tablets (100 MG)</v>
      </c>
      <c r="D2211" s="31">
        <v>20</v>
      </c>
      <c r="E2211" s="29" t="s">
        <v>400</v>
      </c>
      <c r="F2211" s="29" t="str">
        <f>LOOKUP(A2211,'QALS - Inspection Lot Record'!A:A,'QALS - Inspection Lot Record'!G:G)</f>
        <v>TP397880</v>
      </c>
      <c r="G2211" s="59">
        <f ca="1">LOOKUP(A2211,'QALS - Inspection Lot Record'!A:A,'QALS - Inspection Lot Record'!E:E)</f>
        <v>46008</v>
      </c>
      <c r="H2211" s="34" t="str">
        <f t="shared" si="175"/>
        <v>A</v>
      </c>
      <c r="I2211" s="29" t="str">
        <f t="shared" si="171"/>
        <v>TP397880</v>
      </c>
      <c r="J2211" s="59">
        <f t="shared" ca="1" si="172"/>
        <v>46008</v>
      </c>
      <c r="K2211" s="30">
        <f ca="1">LOOKUP(A2211,'QALS - Inspection Lot Record'!A:A,'QALS - Inspection Lot Record'!I:I)</f>
        <v>0.73440972222222223</v>
      </c>
      <c r="L2211" s="59">
        <f t="shared" ca="1" si="173"/>
        <v>46008</v>
      </c>
      <c r="M2211" s="30">
        <f t="shared" ca="1" si="174"/>
        <v>0.75815972222222228</v>
      </c>
      <c r="N2211" s="31"/>
      <c r="O2211" s="31">
        <v>7.25</v>
      </c>
      <c r="P2211" s="29">
        <v>3.5</v>
      </c>
      <c r="Q2211" s="29">
        <v>11</v>
      </c>
    </row>
    <row r="2212" spans="1:17" x14ac:dyDescent="0.35">
      <c r="A2212" s="26">
        <v>40000002777</v>
      </c>
      <c r="B2212" s="31">
        <v>1</v>
      </c>
      <c r="C2212" s="29" t="str">
        <f>LOOKUP(A2212,'QALS - Inspection Lot Record'!$A$2:$A$361,'QALS - Inspection Lot Record'!$O$2:$O$361)</f>
        <v>Metformin Tablets (100 MG)</v>
      </c>
      <c r="D2212" s="31">
        <v>30</v>
      </c>
      <c r="E2212" s="29" t="s">
        <v>401</v>
      </c>
      <c r="F2212" s="29" t="str">
        <f>LOOKUP(A2212,'QALS - Inspection Lot Record'!A:A,'QALS - Inspection Lot Record'!G:G)</f>
        <v>TP397880</v>
      </c>
      <c r="G2212" s="59">
        <f ca="1">LOOKUP(A2212,'QALS - Inspection Lot Record'!A:A,'QALS - Inspection Lot Record'!E:E)</f>
        <v>46008</v>
      </c>
      <c r="H2212" s="34" t="str">
        <f t="shared" si="175"/>
        <v>A</v>
      </c>
      <c r="I2212" s="29" t="str">
        <f t="shared" si="171"/>
        <v>TP397880</v>
      </c>
      <c r="J2212" s="59">
        <f t="shared" ca="1" si="172"/>
        <v>46008</v>
      </c>
      <c r="K2212" s="30">
        <f ca="1">LOOKUP(A2212,'QALS - Inspection Lot Record'!A:A,'QALS - Inspection Lot Record'!I:I)</f>
        <v>0.73440972222222223</v>
      </c>
      <c r="L2212" s="59">
        <f t="shared" ca="1" si="173"/>
        <v>46008</v>
      </c>
      <c r="M2212" s="30">
        <f t="shared" ca="1" si="174"/>
        <v>0.76709490740740738</v>
      </c>
      <c r="N2212" s="11" t="s">
        <v>402</v>
      </c>
      <c r="O2212" s="31"/>
      <c r="P2212" s="29"/>
      <c r="Q2212" s="29"/>
    </row>
    <row r="2213" spans="1:17" x14ac:dyDescent="0.35">
      <c r="A2213" s="26">
        <v>40000002777</v>
      </c>
      <c r="B2213" s="31">
        <v>1</v>
      </c>
      <c r="C2213" s="29" t="str">
        <f>LOOKUP(A2213,'QALS - Inspection Lot Record'!$A$2:$A$361,'QALS - Inspection Lot Record'!$O$2:$O$361)</f>
        <v>Metformin Tablets (100 MG)</v>
      </c>
      <c r="D2213" s="31">
        <v>40</v>
      </c>
      <c r="E2213" s="29" t="s">
        <v>403</v>
      </c>
      <c r="F2213" s="29" t="str">
        <f>LOOKUP(A2213,'QALS - Inspection Lot Record'!A:A,'QALS - Inspection Lot Record'!G:G)</f>
        <v>TP397880</v>
      </c>
      <c r="G2213" s="59">
        <f ca="1">LOOKUP(A2213,'QALS - Inspection Lot Record'!A:A,'QALS - Inspection Lot Record'!E:E)</f>
        <v>46008</v>
      </c>
      <c r="H2213" s="34" t="str">
        <f t="shared" si="175"/>
        <v>A</v>
      </c>
      <c r="I2213" s="29" t="str">
        <f t="shared" si="171"/>
        <v>TP397880</v>
      </c>
      <c r="J2213" s="59">
        <f t="shared" ca="1" si="172"/>
        <v>46008</v>
      </c>
      <c r="K2213" s="30">
        <f ca="1">LOOKUP(A2213,'QALS - Inspection Lot Record'!A:A,'QALS - Inspection Lot Record'!I:I)</f>
        <v>0.73440972222222223</v>
      </c>
      <c r="L2213" s="59">
        <f t="shared" ca="1" si="173"/>
        <v>46008</v>
      </c>
      <c r="M2213" s="30">
        <f t="shared" ca="1" si="174"/>
        <v>0.7612268518518519</v>
      </c>
      <c r="N2213" s="31"/>
      <c r="O2213" s="31">
        <v>0.5</v>
      </c>
      <c r="P2213" s="29">
        <v>0</v>
      </c>
      <c r="Q2213" s="29">
        <v>1</v>
      </c>
    </row>
    <row r="2214" spans="1:17" x14ac:dyDescent="0.35">
      <c r="A2214" s="26">
        <v>40000002777</v>
      </c>
      <c r="B2214" s="31">
        <v>1</v>
      </c>
      <c r="C2214" s="29" t="str">
        <f>LOOKUP(A2214,'QALS - Inspection Lot Record'!$A$2:$A$361,'QALS - Inspection Lot Record'!$O$2:$O$361)</f>
        <v>Metformin Tablets (100 MG)</v>
      </c>
      <c r="D2214" s="31">
        <v>50</v>
      </c>
      <c r="E2214" s="29" t="s">
        <v>404</v>
      </c>
      <c r="F2214" s="29" t="str">
        <f>LOOKUP(A2214,'QALS - Inspection Lot Record'!A:A,'QALS - Inspection Lot Record'!G:G)</f>
        <v>TP397880</v>
      </c>
      <c r="G2214" s="59">
        <f ca="1">LOOKUP(A2214,'QALS - Inspection Lot Record'!A:A,'QALS - Inspection Lot Record'!E:E)</f>
        <v>46008</v>
      </c>
      <c r="H2214" s="34" t="str">
        <f t="shared" si="175"/>
        <v>R</v>
      </c>
      <c r="I2214" s="29" t="str">
        <f t="shared" si="171"/>
        <v>TP397880</v>
      </c>
      <c r="J2214" s="59">
        <f t="shared" ca="1" si="172"/>
        <v>46008</v>
      </c>
      <c r="K2214" s="30">
        <f ca="1">LOOKUP(A2214,'QALS - Inspection Lot Record'!A:A,'QALS - Inspection Lot Record'!I:I)</f>
        <v>0.73440972222222223</v>
      </c>
      <c r="L2214" s="59">
        <f t="shared" ca="1" si="173"/>
        <v>46008</v>
      </c>
      <c r="M2214" s="30">
        <f t="shared" ca="1" si="174"/>
        <v>0.75569444444444445</v>
      </c>
      <c r="N2214" s="31"/>
      <c r="O2214" s="31">
        <v>38.9</v>
      </c>
      <c r="P2214" s="29">
        <v>40</v>
      </c>
      <c r="Q2214" s="29">
        <v>60</v>
      </c>
    </row>
    <row r="2215" spans="1:17" x14ac:dyDescent="0.35">
      <c r="A2215" s="26">
        <v>40000002777</v>
      </c>
      <c r="B2215" s="31">
        <v>1</v>
      </c>
      <c r="C2215" s="29" t="str">
        <f>LOOKUP(A2215,'QALS - Inspection Lot Record'!$A$2:$A$361,'QALS - Inspection Lot Record'!$O$2:$O$361)</f>
        <v>Metformin Tablets (100 MG)</v>
      </c>
      <c r="D2215" s="31">
        <v>60</v>
      </c>
      <c r="E2215" s="29" t="s">
        <v>405</v>
      </c>
      <c r="F2215" s="29" t="str">
        <f>LOOKUP(A2215,'QALS - Inspection Lot Record'!A:A,'QALS - Inspection Lot Record'!G:G)</f>
        <v>TP397880</v>
      </c>
      <c r="G2215" s="59">
        <f ca="1">LOOKUP(A2215,'QALS - Inspection Lot Record'!A:A,'QALS - Inspection Lot Record'!E:E)</f>
        <v>46008</v>
      </c>
      <c r="H2215" s="34" t="str">
        <f t="shared" si="175"/>
        <v>A</v>
      </c>
      <c r="I2215" s="29" t="str">
        <f t="shared" si="171"/>
        <v>TP397880</v>
      </c>
      <c r="J2215" s="59">
        <f t="shared" ca="1" si="172"/>
        <v>46008</v>
      </c>
      <c r="K2215" s="30">
        <f ca="1">LOOKUP(A2215,'QALS - Inspection Lot Record'!A:A,'QALS - Inspection Lot Record'!I:I)</f>
        <v>0.73440972222222223</v>
      </c>
      <c r="L2215" s="59">
        <f t="shared" ca="1" si="173"/>
        <v>46008</v>
      </c>
      <c r="M2215" s="30">
        <f t="shared" ca="1" si="174"/>
        <v>0.76262731481481483</v>
      </c>
      <c r="N2215" s="31"/>
      <c r="O2215" s="31">
        <v>74.8</v>
      </c>
      <c r="P2215" s="29">
        <v>70</v>
      </c>
      <c r="Q2215" s="29">
        <v>85</v>
      </c>
    </row>
    <row r="2216" spans="1:17" x14ac:dyDescent="0.35">
      <c r="A2216" s="26">
        <v>40000002777</v>
      </c>
      <c r="B2216" s="31">
        <v>1</v>
      </c>
      <c r="C2216" s="29" t="str">
        <f>LOOKUP(A2216,'QALS - Inspection Lot Record'!$A$2:$A$361,'QALS - Inspection Lot Record'!$O$2:$O$361)</f>
        <v>Metformin Tablets (100 MG)</v>
      </c>
      <c r="D2216" s="31">
        <v>70</v>
      </c>
      <c r="E2216" s="29" t="s">
        <v>406</v>
      </c>
      <c r="F2216" s="29" t="str">
        <f>LOOKUP(A2216,'QALS - Inspection Lot Record'!A:A,'QALS - Inspection Lot Record'!G:G)</f>
        <v>TP397880</v>
      </c>
      <c r="G2216" s="59">
        <f ca="1">LOOKUP(A2216,'QALS - Inspection Lot Record'!A:A,'QALS - Inspection Lot Record'!E:E)</f>
        <v>46008</v>
      </c>
      <c r="H2216" s="34" t="str">
        <f t="shared" si="175"/>
        <v>A</v>
      </c>
      <c r="I2216" s="29" t="str">
        <f t="shared" si="171"/>
        <v>TP397880</v>
      </c>
      <c r="J2216" s="59">
        <f t="shared" ca="1" si="172"/>
        <v>46008</v>
      </c>
      <c r="K2216" s="30">
        <f ca="1">LOOKUP(A2216,'QALS - Inspection Lot Record'!A:A,'QALS - Inspection Lot Record'!I:I)</f>
        <v>0.73440972222222223</v>
      </c>
      <c r="L2216" s="59">
        <f t="shared" ca="1" si="173"/>
        <v>46008</v>
      </c>
      <c r="M2216" s="30">
        <f t="shared" ca="1" si="174"/>
        <v>0.76539351851851856</v>
      </c>
      <c r="N2216" s="31"/>
      <c r="O2216" s="31">
        <v>84.3</v>
      </c>
      <c r="P2216" s="29">
        <v>80</v>
      </c>
      <c r="Q2216" s="29">
        <v>90</v>
      </c>
    </row>
    <row r="2217" spans="1:17" x14ac:dyDescent="0.35">
      <c r="A2217" s="26">
        <v>40000002777</v>
      </c>
      <c r="B2217" s="31">
        <v>1</v>
      </c>
      <c r="C2217" s="29" t="str">
        <f>LOOKUP(A2217,'QALS - Inspection Lot Record'!$A$2:$A$361,'QALS - Inspection Lot Record'!$O$2:$O$361)</f>
        <v>Metformin Tablets (100 MG)</v>
      </c>
      <c r="D2217" s="31">
        <v>80</v>
      </c>
      <c r="E2217" s="29" t="s">
        <v>407</v>
      </c>
      <c r="F2217" s="29" t="str">
        <f>LOOKUP(A2217,'QALS - Inspection Lot Record'!A:A,'QALS - Inspection Lot Record'!G:G)</f>
        <v>TP397880</v>
      </c>
      <c r="G2217" s="59">
        <f ca="1">LOOKUP(A2217,'QALS - Inspection Lot Record'!A:A,'QALS - Inspection Lot Record'!E:E)</f>
        <v>46008</v>
      </c>
      <c r="H2217" s="34" t="str">
        <f t="shared" si="175"/>
        <v>R</v>
      </c>
      <c r="I2217" s="29" t="str">
        <f t="shared" si="171"/>
        <v>TP397880</v>
      </c>
      <c r="J2217" s="59">
        <f t="shared" ca="1" si="172"/>
        <v>46008</v>
      </c>
      <c r="K2217" s="30">
        <f ca="1">LOOKUP(A2217,'QALS - Inspection Lot Record'!A:A,'QALS - Inspection Lot Record'!I:I)</f>
        <v>0.73440972222222223</v>
      </c>
      <c r="L2217" s="59">
        <f t="shared" ca="1" si="173"/>
        <v>46008</v>
      </c>
      <c r="M2217" s="30">
        <f t="shared" ca="1" si="174"/>
        <v>0.75792824074074072</v>
      </c>
      <c r="N2217" s="31"/>
      <c r="O2217" s="31">
        <v>21.8</v>
      </c>
      <c r="P2217" s="29">
        <v>23</v>
      </c>
      <c r="Q2217" s="29">
        <v>25</v>
      </c>
    </row>
    <row r="2218" spans="1:17" x14ac:dyDescent="0.35">
      <c r="A2218" s="26">
        <v>40000002778</v>
      </c>
      <c r="B2218" s="27">
        <v>1</v>
      </c>
      <c r="C2218" s="29" t="str">
        <f>LOOKUP(A2218,'QALS - Inspection Lot Record'!$A$2:$A$361,'QALS - Inspection Lot Record'!$O$2:$O$361)</f>
        <v>Metformin Tablets (500 MG)</v>
      </c>
      <c r="D2218" s="27">
        <v>10</v>
      </c>
      <c r="E2218" s="26" t="s">
        <v>399</v>
      </c>
      <c r="F2218" s="29" t="str">
        <f>LOOKUP(A2218,'QALS - Inspection Lot Record'!A:A,'QALS - Inspection Lot Record'!G:G)</f>
        <v>TG509538</v>
      </c>
      <c r="G2218" s="59">
        <f ca="1">LOOKUP(A2218,'QALS - Inspection Lot Record'!A:A,'QALS - Inspection Lot Record'!E:E)</f>
        <v>46008</v>
      </c>
      <c r="H2218" s="34" t="str">
        <f t="shared" si="175"/>
        <v>A</v>
      </c>
      <c r="I2218" s="29" t="str">
        <f t="shared" si="171"/>
        <v>TG509538</v>
      </c>
      <c r="J2218" s="59">
        <f t="shared" ca="1" si="172"/>
        <v>46008</v>
      </c>
      <c r="K2218" s="30">
        <f ca="1">LOOKUP(A2218,'QALS - Inspection Lot Record'!A:A,'QALS - Inspection Lot Record'!I:I)</f>
        <v>0.41315972222222225</v>
      </c>
      <c r="L2218" s="59">
        <f t="shared" ca="1" si="173"/>
        <v>46008</v>
      </c>
      <c r="M2218" s="30">
        <f t="shared" ca="1" si="174"/>
        <v>0.43950231481481483</v>
      </c>
      <c r="N2218" s="31"/>
      <c r="O2218" s="31">
        <v>100</v>
      </c>
      <c r="P2218" s="29">
        <v>95</v>
      </c>
      <c r="Q2218" s="29">
        <v>105</v>
      </c>
    </row>
    <row r="2219" spans="1:17" x14ac:dyDescent="0.35">
      <c r="A2219" s="26">
        <v>40000002778</v>
      </c>
      <c r="B2219" s="27">
        <v>1</v>
      </c>
      <c r="C2219" s="29" t="str">
        <f>LOOKUP(A2219,'QALS - Inspection Lot Record'!$A$2:$A$361,'QALS - Inspection Lot Record'!$O$2:$O$361)</f>
        <v>Metformin Tablets (500 MG)</v>
      </c>
      <c r="D2219" s="31">
        <v>20</v>
      </c>
      <c r="E2219" s="29" t="s">
        <v>400</v>
      </c>
      <c r="F2219" s="29" t="str">
        <f>LOOKUP(A2219,'QALS - Inspection Lot Record'!A:A,'QALS - Inspection Lot Record'!G:G)</f>
        <v>TG509538</v>
      </c>
      <c r="G2219" s="59">
        <f ca="1">LOOKUP(A2219,'QALS - Inspection Lot Record'!A:A,'QALS - Inspection Lot Record'!E:E)</f>
        <v>46008</v>
      </c>
      <c r="H2219" s="34" t="str">
        <f t="shared" si="175"/>
        <v>R</v>
      </c>
      <c r="I2219" s="29" t="str">
        <f t="shared" si="171"/>
        <v>TG509538</v>
      </c>
      <c r="J2219" s="59">
        <f t="shared" ca="1" si="172"/>
        <v>46008</v>
      </c>
      <c r="K2219" s="30">
        <f ca="1">LOOKUP(A2219,'QALS - Inspection Lot Record'!A:A,'QALS - Inspection Lot Record'!I:I)</f>
        <v>0.41315972222222225</v>
      </c>
      <c r="L2219" s="59">
        <f t="shared" ca="1" si="173"/>
        <v>46008</v>
      </c>
      <c r="M2219" s="30">
        <f t="shared" ca="1" si="174"/>
        <v>0.44119212962962967</v>
      </c>
      <c r="N2219" s="31"/>
      <c r="O2219" s="31">
        <v>2</v>
      </c>
      <c r="P2219" s="29">
        <v>3.5</v>
      </c>
      <c r="Q2219" s="29">
        <v>11</v>
      </c>
    </row>
    <row r="2220" spans="1:17" x14ac:dyDescent="0.35">
      <c r="A2220" s="26">
        <v>40000002778</v>
      </c>
      <c r="B2220" s="31">
        <v>1</v>
      </c>
      <c r="C2220" s="29" t="str">
        <f>LOOKUP(A2220,'QALS - Inspection Lot Record'!$A$2:$A$361,'QALS - Inspection Lot Record'!$O$2:$O$361)</f>
        <v>Metformin Tablets (500 MG)</v>
      </c>
      <c r="D2220" s="31">
        <v>30</v>
      </c>
      <c r="E2220" s="29" t="s">
        <v>401</v>
      </c>
      <c r="F2220" s="29" t="str">
        <f>LOOKUP(A2220,'QALS - Inspection Lot Record'!A:A,'QALS - Inspection Lot Record'!G:G)</f>
        <v>TG509538</v>
      </c>
      <c r="G2220" s="59">
        <f ca="1">LOOKUP(A2220,'QALS - Inspection Lot Record'!A:A,'QALS - Inspection Lot Record'!E:E)</f>
        <v>46008</v>
      </c>
      <c r="H2220" s="34" t="str">
        <f t="shared" si="175"/>
        <v>A</v>
      </c>
      <c r="I2220" s="29" t="str">
        <f t="shared" si="171"/>
        <v>TG509538</v>
      </c>
      <c r="J2220" s="59">
        <f t="shared" ca="1" si="172"/>
        <v>46008</v>
      </c>
      <c r="K2220" s="30">
        <f ca="1">LOOKUP(A2220,'QALS - Inspection Lot Record'!A:A,'QALS - Inspection Lot Record'!I:I)</f>
        <v>0.41315972222222225</v>
      </c>
      <c r="L2220" s="59">
        <f t="shared" ca="1" si="173"/>
        <v>46008</v>
      </c>
      <c r="M2220" s="30">
        <f t="shared" ca="1" si="174"/>
        <v>0.43150462962962965</v>
      </c>
      <c r="N2220" s="11" t="s">
        <v>402</v>
      </c>
      <c r="O2220" s="31"/>
      <c r="P2220" s="29"/>
      <c r="Q2220" s="29"/>
    </row>
    <row r="2221" spans="1:17" x14ac:dyDescent="0.35">
      <c r="A2221" s="26">
        <v>40000002778</v>
      </c>
      <c r="B2221" s="31">
        <v>1</v>
      </c>
      <c r="C2221" s="29" t="str">
        <f>LOOKUP(A2221,'QALS - Inspection Lot Record'!$A$2:$A$361,'QALS - Inspection Lot Record'!$O$2:$O$361)</f>
        <v>Metformin Tablets (500 MG)</v>
      </c>
      <c r="D2221" s="31">
        <v>40</v>
      </c>
      <c r="E2221" s="29" t="s">
        <v>403</v>
      </c>
      <c r="F2221" s="29" t="str">
        <f>LOOKUP(A2221,'QALS - Inspection Lot Record'!A:A,'QALS - Inspection Lot Record'!G:G)</f>
        <v>TG509538</v>
      </c>
      <c r="G2221" s="59">
        <f ca="1">LOOKUP(A2221,'QALS - Inspection Lot Record'!A:A,'QALS - Inspection Lot Record'!E:E)</f>
        <v>46008</v>
      </c>
      <c r="H2221" s="34" t="str">
        <f t="shared" si="175"/>
        <v>A</v>
      </c>
      <c r="I2221" s="29" t="str">
        <f t="shared" si="171"/>
        <v>TG509538</v>
      </c>
      <c r="J2221" s="59">
        <f t="shared" ca="1" si="172"/>
        <v>46008</v>
      </c>
      <c r="K2221" s="30">
        <f ca="1">LOOKUP(A2221,'QALS - Inspection Lot Record'!A:A,'QALS - Inspection Lot Record'!I:I)</f>
        <v>0.41315972222222225</v>
      </c>
      <c r="L2221" s="59">
        <f t="shared" ca="1" si="173"/>
        <v>46008</v>
      </c>
      <c r="M2221" s="30">
        <f t="shared" ca="1" si="174"/>
        <v>0.44487268518518519</v>
      </c>
      <c r="N2221" s="31"/>
      <c r="O2221" s="31">
        <v>1.6</v>
      </c>
      <c r="P2221" s="29">
        <v>0</v>
      </c>
      <c r="Q2221" s="29">
        <v>2</v>
      </c>
    </row>
    <row r="2222" spans="1:17" x14ac:dyDescent="0.35">
      <c r="A2222" s="26">
        <v>40000002778</v>
      </c>
      <c r="B2222" s="31">
        <v>1</v>
      </c>
      <c r="C2222" s="29" t="str">
        <f>LOOKUP(A2222,'QALS - Inspection Lot Record'!$A$2:$A$361,'QALS - Inspection Lot Record'!$O$2:$O$361)</f>
        <v>Metformin Tablets (500 MG)</v>
      </c>
      <c r="D2222" s="31">
        <v>50</v>
      </c>
      <c r="E2222" s="29" t="s">
        <v>404</v>
      </c>
      <c r="F2222" s="29" t="str">
        <f>LOOKUP(A2222,'QALS - Inspection Lot Record'!A:A,'QALS - Inspection Lot Record'!G:G)</f>
        <v>TG509538</v>
      </c>
      <c r="G2222" s="59">
        <f ca="1">LOOKUP(A2222,'QALS - Inspection Lot Record'!A:A,'QALS - Inspection Lot Record'!E:E)</f>
        <v>46008</v>
      </c>
      <c r="H2222" s="34" t="str">
        <f t="shared" si="175"/>
        <v>A</v>
      </c>
      <c r="I2222" s="29" t="str">
        <f t="shared" si="171"/>
        <v>TG509538</v>
      </c>
      <c r="J2222" s="59">
        <f t="shared" ca="1" si="172"/>
        <v>46008</v>
      </c>
      <c r="K2222" s="30">
        <f ca="1">LOOKUP(A2222,'QALS - Inspection Lot Record'!A:A,'QALS - Inspection Lot Record'!I:I)</f>
        <v>0.41315972222222225</v>
      </c>
      <c r="L2222" s="59">
        <f t="shared" ca="1" si="173"/>
        <v>46008</v>
      </c>
      <c r="M2222" s="30">
        <f t="shared" ca="1" si="174"/>
        <v>0.43988425925925928</v>
      </c>
      <c r="N2222" s="31"/>
      <c r="O2222" s="31">
        <v>43.8</v>
      </c>
      <c r="P2222" s="29">
        <v>40</v>
      </c>
      <c r="Q2222" s="29">
        <v>60</v>
      </c>
    </row>
    <row r="2223" spans="1:17" x14ac:dyDescent="0.35">
      <c r="A2223" s="26">
        <v>40000002778</v>
      </c>
      <c r="B2223" s="31">
        <v>1</v>
      </c>
      <c r="C2223" s="29" t="str">
        <f>LOOKUP(A2223,'QALS - Inspection Lot Record'!$A$2:$A$361,'QALS - Inspection Lot Record'!$O$2:$O$361)</f>
        <v>Metformin Tablets (500 MG)</v>
      </c>
      <c r="D2223" s="31">
        <v>60</v>
      </c>
      <c r="E2223" s="29" t="s">
        <v>405</v>
      </c>
      <c r="F2223" s="29" t="str">
        <f>LOOKUP(A2223,'QALS - Inspection Lot Record'!A:A,'QALS - Inspection Lot Record'!G:G)</f>
        <v>TG509538</v>
      </c>
      <c r="G2223" s="59">
        <f ca="1">LOOKUP(A2223,'QALS - Inspection Lot Record'!A:A,'QALS - Inspection Lot Record'!E:E)</f>
        <v>46008</v>
      </c>
      <c r="H2223" s="34" t="str">
        <f t="shared" si="175"/>
        <v>R</v>
      </c>
      <c r="I2223" s="29" t="str">
        <f t="shared" si="171"/>
        <v>TG509538</v>
      </c>
      <c r="J2223" s="59">
        <f t="shared" ca="1" si="172"/>
        <v>46008</v>
      </c>
      <c r="K2223" s="30">
        <f ca="1">LOOKUP(A2223,'QALS - Inspection Lot Record'!A:A,'QALS - Inspection Lot Record'!I:I)</f>
        <v>0.41315972222222225</v>
      </c>
      <c r="L2223" s="59">
        <f t="shared" ca="1" si="173"/>
        <v>46008</v>
      </c>
      <c r="M2223" s="30">
        <f t="shared" ca="1" si="174"/>
        <v>0.44120370370370371</v>
      </c>
      <c r="N2223" s="31"/>
      <c r="O2223" s="31">
        <v>69</v>
      </c>
      <c r="P2223" s="29">
        <v>70</v>
      </c>
      <c r="Q2223" s="29">
        <v>85</v>
      </c>
    </row>
    <row r="2224" spans="1:17" x14ac:dyDescent="0.35">
      <c r="A2224" s="26">
        <v>40000002778</v>
      </c>
      <c r="B2224" s="31">
        <v>1</v>
      </c>
      <c r="C2224" s="29" t="str">
        <f>LOOKUP(A2224,'QALS - Inspection Lot Record'!$A$2:$A$361,'QALS - Inspection Lot Record'!$O$2:$O$361)</f>
        <v>Metformin Tablets (500 MG)</v>
      </c>
      <c r="D2224" s="31">
        <v>70</v>
      </c>
      <c r="E2224" s="29" t="s">
        <v>406</v>
      </c>
      <c r="F2224" s="29" t="str">
        <f>LOOKUP(A2224,'QALS - Inspection Lot Record'!A:A,'QALS - Inspection Lot Record'!G:G)</f>
        <v>TG509538</v>
      </c>
      <c r="G2224" s="59">
        <f ca="1">LOOKUP(A2224,'QALS - Inspection Lot Record'!A:A,'QALS - Inspection Lot Record'!E:E)</f>
        <v>46008</v>
      </c>
      <c r="H2224" s="34" t="str">
        <f t="shared" si="175"/>
        <v>A</v>
      </c>
      <c r="I2224" s="29" t="str">
        <f t="shared" si="171"/>
        <v>TG509538</v>
      </c>
      <c r="J2224" s="59">
        <f t="shared" ca="1" si="172"/>
        <v>46008</v>
      </c>
      <c r="K2224" s="30">
        <f ca="1">LOOKUP(A2224,'QALS - Inspection Lot Record'!A:A,'QALS - Inspection Lot Record'!I:I)</f>
        <v>0.41315972222222225</v>
      </c>
      <c r="L2224" s="59">
        <f t="shared" ca="1" si="173"/>
        <v>46008</v>
      </c>
      <c r="M2224" s="30">
        <f t="shared" ca="1" si="174"/>
        <v>0.44454861111111116</v>
      </c>
      <c r="N2224" s="31"/>
      <c r="O2224" s="31">
        <v>84.7</v>
      </c>
      <c r="P2224" s="29">
        <v>80</v>
      </c>
      <c r="Q2224" s="29">
        <v>90</v>
      </c>
    </row>
    <row r="2225" spans="1:17" x14ac:dyDescent="0.35">
      <c r="A2225" s="26">
        <v>40000002778</v>
      </c>
      <c r="B2225" s="31">
        <v>1</v>
      </c>
      <c r="C2225" s="29" t="str">
        <f>LOOKUP(A2225,'QALS - Inspection Lot Record'!$A$2:$A$361,'QALS - Inspection Lot Record'!$O$2:$O$361)</f>
        <v>Metformin Tablets (500 MG)</v>
      </c>
      <c r="D2225" s="31">
        <v>80</v>
      </c>
      <c r="E2225" s="29" t="s">
        <v>407</v>
      </c>
      <c r="F2225" s="29" t="str">
        <f>LOOKUP(A2225,'QALS - Inspection Lot Record'!A:A,'QALS - Inspection Lot Record'!G:G)</f>
        <v>TG509538</v>
      </c>
      <c r="G2225" s="59">
        <f ca="1">LOOKUP(A2225,'QALS - Inspection Lot Record'!A:A,'QALS - Inspection Lot Record'!E:E)</f>
        <v>46008</v>
      </c>
      <c r="H2225" s="34" t="str">
        <f t="shared" si="175"/>
        <v>R</v>
      </c>
      <c r="I2225" s="29" t="str">
        <f t="shared" si="171"/>
        <v>TG509538</v>
      </c>
      <c r="J2225" s="59">
        <f t="shared" ca="1" si="172"/>
        <v>46008</v>
      </c>
      <c r="K2225" s="30">
        <f ca="1">LOOKUP(A2225,'QALS - Inspection Lot Record'!A:A,'QALS - Inspection Lot Record'!I:I)</f>
        <v>0.41315972222222225</v>
      </c>
      <c r="L2225" s="59">
        <f t="shared" ca="1" si="173"/>
        <v>46008</v>
      </c>
      <c r="M2225" s="30">
        <f t="shared" ca="1" si="174"/>
        <v>0.44043981481481487</v>
      </c>
      <c r="N2225" s="31"/>
      <c r="O2225" s="31">
        <v>21.1</v>
      </c>
      <c r="P2225" s="29">
        <v>23</v>
      </c>
      <c r="Q2225" s="29">
        <v>28</v>
      </c>
    </row>
    <row r="2226" spans="1:17" x14ac:dyDescent="0.35">
      <c r="A2226" s="26">
        <v>40000002779</v>
      </c>
      <c r="B2226" s="27">
        <v>1</v>
      </c>
      <c r="C2226" s="29" t="str">
        <f>LOOKUP(A2226,'QALS - Inspection Lot Record'!$A$2:$A$361,'QALS - Inspection Lot Record'!$O$2:$O$361)</f>
        <v>Aspirin Tablets (500 MG)</v>
      </c>
      <c r="D2226" s="27">
        <v>10</v>
      </c>
      <c r="E2226" s="26" t="s">
        <v>399</v>
      </c>
      <c r="F2226" s="29" t="str">
        <f>LOOKUP(A2226,'QALS - Inspection Lot Record'!A:A,'QALS - Inspection Lot Record'!G:G)</f>
        <v>ZK384180</v>
      </c>
      <c r="G2226" s="59">
        <f ca="1">LOOKUP(A2226,'QALS - Inspection Lot Record'!A:A,'QALS - Inspection Lot Record'!E:E)</f>
        <v>46009</v>
      </c>
      <c r="H2226" s="34" t="str">
        <f t="shared" si="175"/>
        <v>A</v>
      </c>
      <c r="I2226" s="29" t="str">
        <f t="shared" si="171"/>
        <v>ZK384180</v>
      </c>
      <c r="J2226" s="59">
        <f t="shared" ca="1" si="172"/>
        <v>46009</v>
      </c>
      <c r="K2226" s="30">
        <f ca="1">LOOKUP(A2226,'QALS - Inspection Lot Record'!A:A,'QALS - Inspection Lot Record'!I:I)</f>
        <v>0.76325231481481481</v>
      </c>
      <c r="L2226" s="59">
        <f t="shared" ca="1" si="173"/>
        <v>46009</v>
      </c>
      <c r="M2226" s="30">
        <f t="shared" ca="1" si="174"/>
        <v>0.7960532407407408</v>
      </c>
      <c r="N2226" s="31"/>
      <c r="O2226" s="31">
        <v>100</v>
      </c>
      <c r="P2226" s="29">
        <v>95</v>
      </c>
      <c r="Q2226" s="29">
        <v>105</v>
      </c>
    </row>
    <row r="2227" spans="1:17" x14ac:dyDescent="0.35">
      <c r="A2227" s="26">
        <v>40000002779</v>
      </c>
      <c r="B2227" s="27">
        <v>1</v>
      </c>
      <c r="C2227" s="29" t="str">
        <f>LOOKUP(A2227,'QALS - Inspection Lot Record'!$A$2:$A$361,'QALS - Inspection Lot Record'!$O$2:$O$361)</f>
        <v>Aspirin Tablets (500 MG)</v>
      </c>
      <c r="D2227" s="31">
        <v>20</v>
      </c>
      <c r="E2227" s="29" t="s">
        <v>400</v>
      </c>
      <c r="F2227" s="29" t="str">
        <f>LOOKUP(A2227,'QALS - Inspection Lot Record'!A:A,'QALS - Inspection Lot Record'!G:G)</f>
        <v>ZK384180</v>
      </c>
      <c r="G2227" s="59">
        <f ca="1">LOOKUP(A2227,'QALS - Inspection Lot Record'!A:A,'QALS - Inspection Lot Record'!E:E)</f>
        <v>46009</v>
      </c>
      <c r="H2227" s="34" t="str">
        <f t="shared" si="175"/>
        <v>A</v>
      </c>
      <c r="I2227" s="29" t="str">
        <f t="shared" si="171"/>
        <v>ZK384180</v>
      </c>
      <c r="J2227" s="59">
        <f t="shared" ca="1" si="172"/>
        <v>46009</v>
      </c>
      <c r="K2227" s="30">
        <f ca="1">LOOKUP(A2227,'QALS - Inspection Lot Record'!A:A,'QALS - Inspection Lot Record'!I:I)</f>
        <v>0.76325231481481481</v>
      </c>
      <c r="L2227" s="59">
        <f t="shared" ca="1" si="173"/>
        <v>46009</v>
      </c>
      <c r="M2227" s="30">
        <f t="shared" ca="1" si="174"/>
        <v>0.79716435185185186</v>
      </c>
      <c r="N2227" s="31"/>
      <c r="O2227" s="31">
        <v>7.25</v>
      </c>
      <c r="P2227" s="29">
        <v>3.5</v>
      </c>
      <c r="Q2227" s="29">
        <v>11</v>
      </c>
    </row>
    <row r="2228" spans="1:17" x14ac:dyDescent="0.35">
      <c r="A2228" s="26">
        <v>40000002779</v>
      </c>
      <c r="B2228" s="31">
        <v>1</v>
      </c>
      <c r="C2228" s="29" t="str">
        <f>LOOKUP(A2228,'QALS - Inspection Lot Record'!$A$2:$A$361,'QALS - Inspection Lot Record'!$O$2:$O$361)</f>
        <v>Aspirin Tablets (500 MG)</v>
      </c>
      <c r="D2228" s="31">
        <v>30</v>
      </c>
      <c r="E2228" s="29" t="s">
        <v>401</v>
      </c>
      <c r="F2228" s="29" t="str">
        <f>LOOKUP(A2228,'QALS - Inspection Lot Record'!A:A,'QALS - Inspection Lot Record'!G:G)</f>
        <v>ZK384180</v>
      </c>
      <c r="G2228" s="59">
        <f ca="1">LOOKUP(A2228,'QALS - Inspection Lot Record'!A:A,'QALS - Inspection Lot Record'!E:E)</f>
        <v>46009</v>
      </c>
      <c r="H2228" s="34" t="str">
        <f t="shared" si="175"/>
        <v>A</v>
      </c>
      <c r="I2228" s="29" t="str">
        <f t="shared" si="171"/>
        <v>ZK384180</v>
      </c>
      <c r="J2228" s="59">
        <f t="shared" ca="1" si="172"/>
        <v>46009</v>
      </c>
      <c r="K2228" s="30">
        <f ca="1">LOOKUP(A2228,'QALS - Inspection Lot Record'!A:A,'QALS - Inspection Lot Record'!I:I)</f>
        <v>0.76325231481481481</v>
      </c>
      <c r="L2228" s="59">
        <f t="shared" ca="1" si="173"/>
        <v>46009</v>
      </c>
      <c r="M2228" s="30">
        <f t="shared" ca="1" si="174"/>
        <v>0.78716435185185185</v>
      </c>
      <c r="N2228" s="11" t="s">
        <v>402</v>
      </c>
      <c r="O2228" s="31"/>
      <c r="P2228" s="29"/>
      <c r="Q2228" s="29"/>
    </row>
    <row r="2229" spans="1:17" x14ac:dyDescent="0.35">
      <c r="A2229" s="26">
        <v>40000002779</v>
      </c>
      <c r="B2229" s="31">
        <v>1</v>
      </c>
      <c r="C2229" s="29" t="str">
        <f>LOOKUP(A2229,'QALS - Inspection Lot Record'!$A$2:$A$361,'QALS - Inspection Lot Record'!$O$2:$O$361)</f>
        <v>Aspirin Tablets (500 MG)</v>
      </c>
      <c r="D2229" s="31">
        <v>40</v>
      </c>
      <c r="E2229" s="29" t="s">
        <v>403</v>
      </c>
      <c r="F2229" s="29" t="str">
        <f>LOOKUP(A2229,'QALS - Inspection Lot Record'!A:A,'QALS - Inspection Lot Record'!G:G)</f>
        <v>ZK384180</v>
      </c>
      <c r="G2229" s="59">
        <f ca="1">LOOKUP(A2229,'QALS - Inspection Lot Record'!A:A,'QALS - Inspection Lot Record'!E:E)</f>
        <v>46009</v>
      </c>
      <c r="H2229" s="34" t="str">
        <f t="shared" si="175"/>
        <v>A</v>
      </c>
      <c r="I2229" s="29" t="str">
        <f t="shared" si="171"/>
        <v>ZK384180</v>
      </c>
      <c r="J2229" s="59">
        <f t="shared" ca="1" si="172"/>
        <v>46009</v>
      </c>
      <c r="K2229" s="30">
        <f ca="1">LOOKUP(A2229,'QALS - Inspection Lot Record'!A:A,'QALS - Inspection Lot Record'!I:I)</f>
        <v>0.76325231481481481</v>
      </c>
      <c r="L2229" s="59">
        <f t="shared" ca="1" si="173"/>
        <v>46009</v>
      </c>
      <c r="M2229" s="30">
        <f t="shared" ca="1" si="174"/>
        <v>0.79825231481481485</v>
      </c>
      <c r="N2229" s="31"/>
      <c r="O2229" s="31">
        <v>0</v>
      </c>
      <c r="P2229" s="29">
        <v>0</v>
      </c>
      <c r="Q2229" s="29">
        <v>2.5</v>
      </c>
    </row>
    <row r="2230" spans="1:17" x14ac:dyDescent="0.35">
      <c r="A2230" s="26">
        <v>40000002779</v>
      </c>
      <c r="B2230" s="31">
        <v>1</v>
      </c>
      <c r="C2230" s="29" t="str">
        <f>LOOKUP(A2230,'QALS - Inspection Lot Record'!$A$2:$A$361,'QALS - Inspection Lot Record'!$O$2:$O$361)</f>
        <v>Aspirin Tablets (500 MG)</v>
      </c>
      <c r="D2230" s="31">
        <v>50</v>
      </c>
      <c r="E2230" s="29" t="s">
        <v>404</v>
      </c>
      <c r="F2230" s="29" t="str">
        <f>LOOKUP(A2230,'QALS - Inspection Lot Record'!A:A,'QALS - Inspection Lot Record'!G:G)</f>
        <v>ZK384180</v>
      </c>
      <c r="G2230" s="59">
        <f ca="1">LOOKUP(A2230,'QALS - Inspection Lot Record'!A:A,'QALS - Inspection Lot Record'!E:E)</f>
        <v>46009</v>
      </c>
      <c r="H2230" s="34" t="str">
        <f t="shared" si="175"/>
        <v>A</v>
      </c>
      <c r="I2230" s="29" t="str">
        <f t="shared" si="171"/>
        <v>ZK384180</v>
      </c>
      <c r="J2230" s="59">
        <f t="shared" ca="1" si="172"/>
        <v>46009</v>
      </c>
      <c r="K2230" s="30">
        <f ca="1">LOOKUP(A2230,'QALS - Inspection Lot Record'!A:A,'QALS - Inspection Lot Record'!I:I)</f>
        <v>0.76325231481481481</v>
      </c>
      <c r="L2230" s="59">
        <f t="shared" ca="1" si="173"/>
        <v>46009</v>
      </c>
      <c r="M2230" s="30">
        <f t="shared" ca="1" si="174"/>
        <v>0.78098379629629633</v>
      </c>
      <c r="N2230" s="31"/>
      <c r="O2230" s="31">
        <v>50</v>
      </c>
      <c r="P2230" s="29">
        <v>40</v>
      </c>
      <c r="Q2230" s="29">
        <v>60</v>
      </c>
    </row>
    <row r="2231" spans="1:17" x14ac:dyDescent="0.35">
      <c r="A2231" s="26">
        <v>40000002779</v>
      </c>
      <c r="B2231" s="31">
        <v>1</v>
      </c>
      <c r="C2231" s="29" t="str">
        <f>LOOKUP(A2231,'QALS - Inspection Lot Record'!$A$2:$A$361,'QALS - Inspection Lot Record'!$O$2:$O$361)</f>
        <v>Aspirin Tablets (500 MG)</v>
      </c>
      <c r="D2231" s="31">
        <v>60</v>
      </c>
      <c r="E2231" s="29" t="s">
        <v>405</v>
      </c>
      <c r="F2231" s="29" t="str">
        <f>LOOKUP(A2231,'QALS - Inspection Lot Record'!A:A,'QALS - Inspection Lot Record'!G:G)</f>
        <v>ZK384180</v>
      </c>
      <c r="G2231" s="59">
        <f ca="1">LOOKUP(A2231,'QALS - Inspection Lot Record'!A:A,'QALS - Inspection Lot Record'!E:E)</f>
        <v>46009</v>
      </c>
      <c r="H2231" s="34" t="str">
        <f t="shared" si="175"/>
        <v>A</v>
      </c>
      <c r="I2231" s="29" t="str">
        <f t="shared" si="171"/>
        <v>ZK384180</v>
      </c>
      <c r="J2231" s="59">
        <f t="shared" ca="1" si="172"/>
        <v>46009</v>
      </c>
      <c r="K2231" s="30">
        <f ca="1">LOOKUP(A2231,'QALS - Inspection Lot Record'!A:A,'QALS - Inspection Lot Record'!I:I)</f>
        <v>0.76325231481481481</v>
      </c>
      <c r="L2231" s="59">
        <f t="shared" ca="1" si="173"/>
        <v>46009</v>
      </c>
      <c r="M2231" s="30">
        <f t="shared" ca="1" si="174"/>
        <v>0.78336805555555555</v>
      </c>
      <c r="N2231" s="31"/>
      <c r="O2231" s="31">
        <v>71.5</v>
      </c>
      <c r="P2231" s="29">
        <v>70</v>
      </c>
      <c r="Q2231" s="29">
        <v>85</v>
      </c>
    </row>
    <row r="2232" spans="1:17" x14ac:dyDescent="0.35">
      <c r="A2232" s="26">
        <v>40000002779</v>
      </c>
      <c r="B2232" s="31">
        <v>1</v>
      </c>
      <c r="C2232" s="29" t="str">
        <f>LOOKUP(A2232,'QALS - Inspection Lot Record'!$A$2:$A$361,'QALS - Inspection Lot Record'!$O$2:$O$361)</f>
        <v>Aspirin Tablets (500 MG)</v>
      </c>
      <c r="D2232" s="31">
        <v>70</v>
      </c>
      <c r="E2232" s="29" t="s">
        <v>406</v>
      </c>
      <c r="F2232" s="29" t="str">
        <f>LOOKUP(A2232,'QALS - Inspection Lot Record'!A:A,'QALS - Inspection Lot Record'!G:G)</f>
        <v>ZK384180</v>
      </c>
      <c r="G2232" s="59">
        <f ca="1">LOOKUP(A2232,'QALS - Inspection Lot Record'!A:A,'QALS - Inspection Lot Record'!E:E)</f>
        <v>46009</v>
      </c>
      <c r="H2232" s="34" t="str">
        <f t="shared" si="175"/>
        <v>A</v>
      </c>
      <c r="I2232" s="29" t="str">
        <f t="shared" si="171"/>
        <v>ZK384180</v>
      </c>
      <c r="J2232" s="59">
        <f t="shared" ca="1" si="172"/>
        <v>46009</v>
      </c>
      <c r="K2232" s="30">
        <f ca="1">LOOKUP(A2232,'QALS - Inspection Lot Record'!A:A,'QALS - Inspection Lot Record'!I:I)</f>
        <v>0.76325231481481481</v>
      </c>
      <c r="L2232" s="59">
        <f t="shared" ca="1" si="173"/>
        <v>46009</v>
      </c>
      <c r="M2232" s="30">
        <f t="shared" ca="1" si="174"/>
        <v>0.79252314814814817</v>
      </c>
      <c r="N2232" s="31"/>
      <c r="O2232" s="31">
        <v>81.099999999999994</v>
      </c>
      <c r="P2232" s="29">
        <v>80</v>
      </c>
      <c r="Q2232" s="29">
        <v>90</v>
      </c>
    </row>
    <row r="2233" spans="1:17" x14ac:dyDescent="0.35">
      <c r="A2233" s="26">
        <v>40000002779</v>
      </c>
      <c r="B2233" s="31">
        <v>1</v>
      </c>
      <c r="C2233" s="29" t="str">
        <f>LOOKUP(A2233,'QALS - Inspection Lot Record'!$A$2:$A$361,'QALS - Inspection Lot Record'!$O$2:$O$361)</f>
        <v>Aspirin Tablets (500 MG)</v>
      </c>
      <c r="D2233" s="31">
        <v>80</v>
      </c>
      <c r="E2233" s="29" t="s">
        <v>407</v>
      </c>
      <c r="F2233" s="29" t="str">
        <f>LOOKUP(A2233,'QALS - Inspection Lot Record'!A:A,'QALS - Inspection Lot Record'!G:G)</f>
        <v>ZK384180</v>
      </c>
      <c r="G2233" s="59">
        <f ca="1">LOOKUP(A2233,'QALS - Inspection Lot Record'!A:A,'QALS - Inspection Lot Record'!E:E)</f>
        <v>46009</v>
      </c>
      <c r="H2233" s="34" t="str">
        <f t="shared" si="175"/>
        <v>A</v>
      </c>
      <c r="I2233" s="29" t="str">
        <f t="shared" si="171"/>
        <v>ZK384180</v>
      </c>
      <c r="J2233" s="59">
        <f t="shared" ca="1" si="172"/>
        <v>46009</v>
      </c>
      <c r="K2233" s="30">
        <f ca="1">LOOKUP(A2233,'QALS - Inspection Lot Record'!A:A,'QALS - Inspection Lot Record'!I:I)</f>
        <v>0.76325231481481481</v>
      </c>
      <c r="L2233" s="59">
        <f t="shared" ca="1" si="173"/>
        <v>46009</v>
      </c>
      <c r="M2233" s="30">
        <f t="shared" ca="1" si="174"/>
        <v>0.791412037037037</v>
      </c>
      <c r="N2233" s="31"/>
      <c r="O2233" s="31">
        <v>25.5</v>
      </c>
      <c r="P2233" s="29">
        <v>23</v>
      </c>
      <c r="Q2233" s="29">
        <v>28</v>
      </c>
    </row>
    <row r="2234" spans="1:17" x14ac:dyDescent="0.35">
      <c r="A2234" s="26">
        <v>40000002780</v>
      </c>
      <c r="B2234" s="27">
        <v>1</v>
      </c>
      <c r="C2234" s="29" t="str">
        <f>LOOKUP(A2234,'QALS - Inspection Lot Record'!$A$2:$A$361,'QALS - Inspection Lot Record'!$O$2:$O$361)</f>
        <v>Ibuprofen Tablets (100 MG)</v>
      </c>
      <c r="D2234" s="27">
        <v>10</v>
      </c>
      <c r="E2234" s="26" t="s">
        <v>399</v>
      </c>
      <c r="F2234" s="29" t="str">
        <f>LOOKUP(A2234,'QALS - Inspection Lot Record'!A:A,'QALS - Inspection Lot Record'!G:G)</f>
        <v>TG509538</v>
      </c>
      <c r="G2234" s="59">
        <f ca="1">LOOKUP(A2234,'QALS - Inspection Lot Record'!A:A,'QALS - Inspection Lot Record'!E:E)</f>
        <v>46009</v>
      </c>
      <c r="H2234" s="34" t="str">
        <f t="shared" si="175"/>
        <v>A</v>
      </c>
      <c r="I2234" s="29" t="str">
        <f t="shared" si="171"/>
        <v>TG509538</v>
      </c>
      <c r="J2234" s="59">
        <f t="shared" ca="1" si="172"/>
        <v>46009</v>
      </c>
      <c r="K2234" s="30">
        <f ca="1">LOOKUP(A2234,'QALS - Inspection Lot Record'!A:A,'QALS - Inspection Lot Record'!I:I)</f>
        <v>0.11028935185185185</v>
      </c>
      <c r="L2234" s="59">
        <f t="shared" ca="1" si="173"/>
        <v>46009</v>
      </c>
      <c r="M2234" s="30">
        <f t="shared" ca="1" si="174"/>
        <v>0.13219907407407408</v>
      </c>
      <c r="N2234" s="31"/>
      <c r="O2234" s="31">
        <v>98.5</v>
      </c>
      <c r="P2234" s="29">
        <v>95</v>
      </c>
      <c r="Q2234" s="29">
        <v>102</v>
      </c>
    </row>
    <row r="2235" spans="1:17" x14ac:dyDescent="0.35">
      <c r="A2235" s="26">
        <v>40000002780</v>
      </c>
      <c r="B2235" s="27">
        <v>1</v>
      </c>
      <c r="C2235" s="29" t="str">
        <f>LOOKUP(A2235,'QALS - Inspection Lot Record'!$A$2:$A$361,'QALS - Inspection Lot Record'!$O$2:$O$361)</f>
        <v>Ibuprofen Tablets (100 MG)</v>
      </c>
      <c r="D2235" s="31">
        <v>20</v>
      </c>
      <c r="E2235" s="29" t="s">
        <v>400</v>
      </c>
      <c r="F2235" s="29" t="str">
        <f>LOOKUP(A2235,'QALS - Inspection Lot Record'!A:A,'QALS - Inspection Lot Record'!G:G)</f>
        <v>TG509538</v>
      </c>
      <c r="G2235" s="59">
        <f ca="1">LOOKUP(A2235,'QALS - Inspection Lot Record'!A:A,'QALS - Inspection Lot Record'!E:E)</f>
        <v>46009</v>
      </c>
      <c r="H2235" s="34" t="str">
        <f t="shared" si="175"/>
        <v>A</v>
      </c>
      <c r="I2235" s="29" t="str">
        <f t="shared" si="171"/>
        <v>TG509538</v>
      </c>
      <c r="J2235" s="59">
        <f t="shared" ca="1" si="172"/>
        <v>46009</v>
      </c>
      <c r="K2235" s="30">
        <f ca="1">LOOKUP(A2235,'QALS - Inspection Lot Record'!A:A,'QALS - Inspection Lot Record'!I:I)</f>
        <v>0.11028935185185185</v>
      </c>
      <c r="L2235" s="59">
        <f t="shared" ca="1" si="173"/>
        <v>46009</v>
      </c>
      <c r="M2235" s="30">
        <f t="shared" ca="1" si="174"/>
        <v>0.13651620370370371</v>
      </c>
      <c r="N2235" s="31"/>
      <c r="O2235" s="31">
        <v>7.25</v>
      </c>
      <c r="P2235" s="29">
        <v>3.5</v>
      </c>
      <c r="Q2235" s="29">
        <v>11</v>
      </c>
    </row>
    <row r="2236" spans="1:17" x14ac:dyDescent="0.35">
      <c r="A2236" s="26">
        <v>40000002780</v>
      </c>
      <c r="B2236" s="31">
        <v>1</v>
      </c>
      <c r="C2236" s="29" t="str">
        <f>LOOKUP(A2236,'QALS - Inspection Lot Record'!$A$2:$A$361,'QALS - Inspection Lot Record'!$O$2:$O$361)</f>
        <v>Ibuprofen Tablets (100 MG)</v>
      </c>
      <c r="D2236" s="31">
        <v>30</v>
      </c>
      <c r="E2236" s="29" t="s">
        <v>401</v>
      </c>
      <c r="F2236" s="29" t="str">
        <f>LOOKUP(A2236,'QALS - Inspection Lot Record'!A:A,'QALS - Inspection Lot Record'!G:G)</f>
        <v>TG509538</v>
      </c>
      <c r="G2236" s="59">
        <f ca="1">LOOKUP(A2236,'QALS - Inspection Lot Record'!A:A,'QALS - Inspection Lot Record'!E:E)</f>
        <v>46009</v>
      </c>
      <c r="H2236" s="34" t="str">
        <f t="shared" si="175"/>
        <v>A</v>
      </c>
      <c r="I2236" s="29" t="str">
        <f t="shared" si="171"/>
        <v>TG509538</v>
      </c>
      <c r="J2236" s="59">
        <f t="shared" ca="1" si="172"/>
        <v>46009</v>
      </c>
      <c r="K2236" s="30">
        <f ca="1">LOOKUP(A2236,'QALS - Inspection Lot Record'!A:A,'QALS - Inspection Lot Record'!I:I)</f>
        <v>0.11028935185185185</v>
      </c>
      <c r="L2236" s="59">
        <f t="shared" ca="1" si="173"/>
        <v>46009</v>
      </c>
      <c r="M2236" s="30">
        <f t="shared" ca="1" si="174"/>
        <v>0.13385416666666666</v>
      </c>
      <c r="N2236" s="11" t="s">
        <v>402</v>
      </c>
      <c r="O2236" s="31"/>
      <c r="P2236" s="29"/>
      <c r="Q2236" s="29"/>
    </row>
    <row r="2237" spans="1:17" x14ac:dyDescent="0.35">
      <c r="A2237" s="26">
        <v>40000002780</v>
      </c>
      <c r="B2237" s="31">
        <v>1</v>
      </c>
      <c r="C2237" s="29" t="str">
        <f>LOOKUP(A2237,'QALS - Inspection Lot Record'!$A$2:$A$361,'QALS - Inspection Lot Record'!$O$2:$O$361)</f>
        <v>Ibuprofen Tablets (100 MG)</v>
      </c>
      <c r="D2237" s="31">
        <v>40</v>
      </c>
      <c r="E2237" s="29" t="s">
        <v>403</v>
      </c>
      <c r="F2237" s="29" t="str">
        <f>LOOKUP(A2237,'QALS - Inspection Lot Record'!A:A,'QALS - Inspection Lot Record'!G:G)</f>
        <v>TG509538</v>
      </c>
      <c r="G2237" s="59">
        <f ca="1">LOOKUP(A2237,'QALS - Inspection Lot Record'!A:A,'QALS - Inspection Lot Record'!E:E)</f>
        <v>46009</v>
      </c>
      <c r="H2237" s="34" t="str">
        <f t="shared" si="175"/>
        <v>A</v>
      </c>
      <c r="I2237" s="29" t="str">
        <f t="shared" si="171"/>
        <v>TG509538</v>
      </c>
      <c r="J2237" s="59">
        <f t="shared" ca="1" si="172"/>
        <v>46009</v>
      </c>
      <c r="K2237" s="30">
        <f ca="1">LOOKUP(A2237,'QALS - Inspection Lot Record'!A:A,'QALS - Inspection Lot Record'!I:I)</f>
        <v>0.11028935185185185</v>
      </c>
      <c r="L2237" s="59">
        <f t="shared" ca="1" si="173"/>
        <v>46009</v>
      </c>
      <c r="M2237" s="30">
        <f t="shared" ca="1" si="174"/>
        <v>0.13821759259259259</v>
      </c>
      <c r="N2237" s="31"/>
      <c r="O2237" s="31">
        <v>0</v>
      </c>
      <c r="P2237" s="29">
        <v>0</v>
      </c>
      <c r="Q2237" s="29">
        <v>1</v>
      </c>
    </row>
    <row r="2238" spans="1:17" x14ac:dyDescent="0.35">
      <c r="A2238" s="26">
        <v>40000002780</v>
      </c>
      <c r="B2238" s="31">
        <v>1</v>
      </c>
      <c r="C2238" s="29" t="str">
        <f>LOOKUP(A2238,'QALS - Inspection Lot Record'!$A$2:$A$361,'QALS - Inspection Lot Record'!$O$2:$O$361)</f>
        <v>Ibuprofen Tablets (100 MG)</v>
      </c>
      <c r="D2238" s="31">
        <v>50</v>
      </c>
      <c r="E2238" s="29" t="s">
        <v>404</v>
      </c>
      <c r="F2238" s="29" t="str">
        <f>LOOKUP(A2238,'QALS - Inspection Lot Record'!A:A,'QALS - Inspection Lot Record'!G:G)</f>
        <v>TG509538</v>
      </c>
      <c r="G2238" s="59">
        <f ca="1">LOOKUP(A2238,'QALS - Inspection Lot Record'!A:A,'QALS - Inspection Lot Record'!E:E)</f>
        <v>46009</v>
      </c>
      <c r="H2238" s="34" t="str">
        <f t="shared" si="175"/>
        <v>A</v>
      </c>
      <c r="I2238" s="29" t="str">
        <f t="shared" si="171"/>
        <v>TG509538</v>
      </c>
      <c r="J2238" s="59">
        <f t="shared" ca="1" si="172"/>
        <v>46009</v>
      </c>
      <c r="K2238" s="30">
        <f ca="1">LOOKUP(A2238,'QALS - Inspection Lot Record'!A:A,'QALS - Inspection Lot Record'!I:I)</f>
        <v>0.11028935185185185</v>
      </c>
      <c r="L2238" s="59">
        <f t="shared" ca="1" si="173"/>
        <v>46009</v>
      </c>
      <c r="M2238" s="30">
        <f t="shared" ca="1" si="174"/>
        <v>0.14432870370370371</v>
      </c>
      <c r="N2238" s="31"/>
      <c r="O2238" s="31">
        <v>50</v>
      </c>
      <c r="P2238" s="29">
        <v>40</v>
      </c>
      <c r="Q2238" s="29">
        <v>60</v>
      </c>
    </row>
    <row r="2239" spans="1:17" x14ac:dyDescent="0.35">
      <c r="A2239" s="26">
        <v>40000002780</v>
      </c>
      <c r="B2239" s="31">
        <v>1</v>
      </c>
      <c r="C2239" s="29" t="str">
        <f>LOOKUP(A2239,'QALS - Inspection Lot Record'!$A$2:$A$361,'QALS - Inspection Lot Record'!$O$2:$O$361)</f>
        <v>Ibuprofen Tablets (100 MG)</v>
      </c>
      <c r="D2239" s="31">
        <v>60</v>
      </c>
      <c r="E2239" s="29" t="s">
        <v>405</v>
      </c>
      <c r="F2239" s="29" t="str">
        <f>LOOKUP(A2239,'QALS - Inspection Lot Record'!A:A,'QALS - Inspection Lot Record'!G:G)</f>
        <v>TG509538</v>
      </c>
      <c r="G2239" s="59">
        <f ca="1">LOOKUP(A2239,'QALS - Inspection Lot Record'!A:A,'QALS - Inspection Lot Record'!E:E)</f>
        <v>46009</v>
      </c>
      <c r="H2239" s="34" t="str">
        <f t="shared" si="175"/>
        <v>A</v>
      </c>
      <c r="I2239" s="29" t="str">
        <f t="shared" si="171"/>
        <v>TG509538</v>
      </c>
      <c r="J2239" s="59">
        <f t="shared" ca="1" si="172"/>
        <v>46009</v>
      </c>
      <c r="K2239" s="30">
        <f ca="1">LOOKUP(A2239,'QALS - Inspection Lot Record'!A:A,'QALS - Inspection Lot Record'!I:I)</f>
        <v>0.11028935185185185</v>
      </c>
      <c r="L2239" s="59">
        <f t="shared" ca="1" si="173"/>
        <v>46009</v>
      </c>
      <c r="M2239" s="30">
        <f t="shared" ca="1" si="174"/>
        <v>0.14092592592592593</v>
      </c>
      <c r="N2239" s="31"/>
      <c r="O2239" s="31">
        <v>77.5</v>
      </c>
      <c r="P2239" s="29">
        <v>70</v>
      </c>
      <c r="Q2239" s="29">
        <v>85</v>
      </c>
    </row>
    <row r="2240" spans="1:17" x14ac:dyDescent="0.35">
      <c r="A2240" s="26">
        <v>40000002780</v>
      </c>
      <c r="B2240" s="31">
        <v>1</v>
      </c>
      <c r="C2240" s="29" t="str">
        <f>LOOKUP(A2240,'QALS - Inspection Lot Record'!$A$2:$A$361,'QALS - Inspection Lot Record'!$O$2:$O$361)</f>
        <v>Ibuprofen Tablets (100 MG)</v>
      </c>
      <c r="D2240" s="31">
        <v>70</v>
      </c>
      <c r="E2240" s="29" t="s">
        <v>406</v>
      </c>
      <c r="F2240" s="29" t="str">
        <f>LOOKUP(A2240,'QALS - Inspection Lot Record'!A:A,'QALS - Inspection Lot Record'!G:G)</f>
        <v>TG509538</v>
      </c>
      <c r="G2240" s="59">
        <f ca="1">LOOKUP(A2240,'QALS - Inspection Lot Record'!A:A,'QALS - Inspection Lot Record'!E:E)</f>
        <v>46009</v>
      </c>
      <c r="H2240" s="34" t="str">
        <f t="shared" si="175"/>
        <v>A</v>
      </c>
      <c r="I2240" s="29" t="str">
        <f t="shared" si="171"/>
        <v>TG509538</v>
      </c>
      <c r="J2240" s="59">
        <f t="shared" ca="1" si="172"/>
        <v>46009</v>
      </c>
      <c r="K2240" s="30">
        <f ca="1">LOOKUP(A2240,'QALS - Inspection Lot Record'!A:A,'QALS - Inspection Lot Record'!I:I)</f>
        <v>0.11028935185185185</v>
      </c>
      <c r="L2240" s="59">
        <f t="shared" ca="1" si="173"/>
        <v>46009</v>
      </c>
      <c r="M2240" s="30">
        <f t="shared" ca="1" si="174"/>
        <v>0.13643518518518519</v>
      </c>
      <c r="N2240" s="31"/>
      <c r="O2240" s="31">
        <v>85</v>
      </c>
      <c r="P2240" s="29">
        <v>80</v>
      </c>
      <c r="Q2240" s="29">
        <v>90</v>
      </c>
    </row>
    <row r="2241" spans="1:17" x14ac:dyDescent="0.35">
      <c r="A2241" s="26">
        <v>40000002780</v>
      </c>
      <c r="B2241" s="31">
        <v>1</v>
      </c>
      <c r="C2241" s="29" t="str">
        <f>LOOKUP(A2241,'QALS - Inspection Lot Record'!$A$2:$A$361,'QALS - Inspection Lot Record'!$O$2:$O$361)</f>
        <v>Ibuprofen Tablets (100 MG)</v>
      </c>
      <c r="D2241" s="31">
        <v>80</v>
      </c>
      <c r="E2241" s="29" t="s">
        <v>407</v>
      </c>
      <c r="F2241" s="29" t="str">
        <f>LOOKUP(A2241,'QALS - Inspection Lot Record'!A:A,'QALS - Inspection Lot Record'!G:G)</f>
        <v>TG509538</v>
      </c>
      <c r="G2241" s="59">
        <f ca="1">LOOKUP(A2241,'QALS - Inspection Lot Record'!A:A,'QALS - Inspection Lot Record'!E:E)</f>
        <v>46009</v>
      </c>
      <c r="H2241" s="34" t="str">
        <f t="shared" si="175"/>
        <v>A</v>
      </c>
      <c r="I2241" s="29" t="str">
        <f t="shared" si="171"/>
        <v>TG509538</v>
      </c>
      <c r="J2241" s="59">
        <f t="shared" ca="1" si="172"/>
        <v>46009</v>
      </c>
      <c r="K2241" s="30">
        <f ca="1">LOOKUP(A2241,'QALS - Inspection Lot Record'!A:A,'QALS - Inspection Lot Record'!I:I)</f>
        <v>0.11028935185185185</v>
      </c>
      <c r="L2241" s="59">
        <f t="shared" ca="1" si="173"/>
        <v>46009</v>
      </c>
      <c r="M2241" s="30">
        <f t="shared" ca="1" si="174"/>
        <v>0.1383912037037037</v>
      </c>
      <c r="N2241" s="31"/>
      <c r="O2241" s="31">
        <v>24</v>
      </c>
      <c r="P2241" s="29">
        <v>23</v>
      </c>
      <c r="Q2241" s="29">
        <v>25</v>
      </c>
    </row>
    <row r="2242" spans="1:17" x14ac:dyDescent="0.35">
      <c r="A2242" s="26">
        <v>40000002781</v>
      </c>
      <c r="B2242" s="27">
        <v>1</v>
      </c>
      <c r="C2242" s="29" t="str">
        <f>LOOKUP(A2242,'QALS - Inspection Lot Record'!$A$2:$A$361,'QALS - Inspection Lot Record'!$O$2:$O$361)</f>
        <v>Aspirin Tablets (500 MG)</v>
      </c>
      <c r="D2242" s="27">
        <v>10</v>
      </c>
      <c r="E2242" s="26" t="s">
        <v>399</v>
      </c>
      <c r="F2242" s="29" t="str">
        <f>LOOKUP(A2242,'QALS - Inspection Lot Record'!A:A,'QALS - Inspection Lot Record'!G:G)</f>
        <v>AB406550</v>
      </c>
      <c r="G2242" s="59">
        <f ca="1">LOOKUP(A2242,'QALS - Inspection Lot Record'!A:A,'QALS - Inspection Lot Record'!E:E)</f>
        <v>46010</v>
      </c>
      <c r="H2242" s="34" t="str">
        <f t="shared" si="175"/>
        <v>R</v>
      </c>
      <c r="I2242" s="29" t="str">
        <f t="shared" ref="I2242:I2305" si="176">F2242</f>
        <v>AB406550</v>
      </c>
      <c r="J2242" s="59">
        <f t="shared" ref="J2242:J2305" ca="1" si="177">G2242</f>
        <v>46010</v>
      </c>
      <c r="K2242" s="30">
        <f ca="1">LOOKUP(A2242,'QALS - Inspection Lot Record'!A:A,'QALS - Inspection Lot Record'!I:I)</f>
        <v>0.75311342592592589</v>
      </c>
      <c r="L2242" s="59">
        <f t="shared" ref="L2242:L2305" ca="1" si="178">G2242</f>
        <v>46010</v>
      </c>
      <c r="M2242" s="30">
        <f t="shared" ref="M2242:M2305" ca="1" si="179">K2242+TIME(0,RANDBETWEEN(25,50),RANDBETWEEN(0,59))</f>
        <v>0.77716435185185184</v>
      </c>
      <c r="N2242" s="31"/>
      <c r="O2242" s="31">
        <v>93.9</v>
      </c>
      <c r="P2242" s="29">
        <v>95</v>
      </c>
      <c r="Q2242" s="29">
        <v>105</v>
      </c>
    </row>
    <row r="2243" spans="1:17" x14ac:dyDescent="0.35">
      <c r="A2243" s="26">
        <v>40000002781</v>
      </c>
      <c r="B2243" s="27">
        <v>1</v>
      </c>
      <c r="C2243" s="29" t="str">
        <f>LOOKUP(A2243,'QALS - Inspection Lot Record'!$A$2:$A$361,'QALS - Inspection Lot Record'!$O$2:$O$361)</f>
        <v>Aspirin Tablets (500 MG)</v>
      </c>
      <c r="D2243" s="31">
        <v>20</v>
      </c>
      <c r="E2243" s="29" t="s">
        <v>400</v>
      </c>
      <c r="F2243" s="29" t="str">
        <f>LOOKUP(A2243,'QALS - Inspection Lot Record'!A:A,'QALS - Inspection Lot Record'!G:G)</f>
        <v>AB406550</v>
      </c>
      <c r="G2243" s="59">
        <f ca="1">LOOKUP(A2243,'QALS - Inspection Lot Record'!A:A,'QALS - Inspection Lot Record'!E:E)</f>
        <v>46010</v>
      </c>
      <c r="H2243" s="34" t="str">
        <f t="shared" si="175"/>
        <v>A</v>
      </c>
      <c r="I2243" s="29" t="str">
        <f t="shared" si="176"/>
        <v>AB406550</v>
      </c>
      <c r="J2243" s="59">
        <f t="shared" ca="1" si="177"/>
        <v>46010</v>
      </c>
      <c r="K2243" s="30">
        <f ca="1">LOOKUP(A2243,'QALS - Inspection Lot Record'!A:A,'QALS - Inspection Lot Record'!I:I)</f>
        <v>0.75311342592592589</v>
      </c>
      <c r="L2243" s="59">
        <f t="shared" ca="1" si="178"/>
        <v>46010</v>
      </c>
      <c r="M2243" s="30">
        <f t="shared" ca="1" si="179"/>
        <v>0.78054398148148141</v>
      </c>
      <c r="N2243" s="31"/>
      <c r="O2243" s="31">
        <v>4.2</v>
      </c>
      <c r="P2243" s="29">
        <v>3.5</v>
      </c>
      <c r="Q2243" s="29">
        <v>11</v>
      </c>
    </row>
    <row r="2244" spans="1:17" x14ac:dyDescent="0.35">
      <c r="A2244" s="26">
        <v>40000002781</v>
      </c>
      <c r="B2244" s="31">
        <v>1</v>
      </c>
      <c r="C2244" s="29" t="str">
        <f>LOOKUP(A2244,'QALS - Inspection Lot Record'!$A$2:$A$361,'QALS - Inspection Lot Record'!$O$2:$O$361)</f>
        <v>Aspirin Tablets (500 MG)</v>
      </c>
      <c r="D2244" s="31">
        <v>30</v>
      </c>
      <c r="E2244" s="29" t="s">
        <v>401</v>
      </c>
      <c r="F2244" s="29" t="str">
        <f>LOOKUP(A2244,'QALS - Inspection Lot Record'!A:A,'QALS - Inspection Lot Record'!G:G)</f>
        <v>AB406550</v>
      </c>
      <c r="G2244" s="59">
        <f ca="1">LOOKUP(A2244,'QALS - Inspection Lot Record'!A:A,'QALS - Inspection Lot Record'!E:E)</f>
        <v>46010</v>
      </c>
      <c r="H2244" s="34" t="str">
        <f t="shared" si="175"/>
        <v>A</v>
      </c>
      <c r="I2244" s="29" t="str">
        <f t="shared" si="176"/>
        <v>AB406550</v>
      </c>
      <c r="J2244" s="59">
        <f t="shared" ca="1" si="177"/>
        <v>46010</v>
      </c>
      <c r="K2244" s="30">
        <f ca="1">LOOKUP(A2244,'QALS - Inspection Lot Record'!A:A,'QALS - Inspection Lot Record'!I:I)</f>
        <v>0.75311342592592589</v>
      </c>
      <c r="L2244" s="59">
        <f t="shared" ca="1" si="178"/>
        <v>46010</v>
      </c>
      <c r="M2244" s="30">
        <f t="shared" ca="1" si="179"/>
        <v>0.78471064814814806</v>
      </c>
      <c r="N2244" s="11" t="s">
        <v>402</v>
      </c>
      <c r="O2244" s="31"/>
      <c r="P2244" s="29"/>
      <c r="Q2244" s="29"/>
    </row>
    <row r="2245" spans="1:17" x14ac:dyDescent="0.35">
      <c r="A2245" s="26">
        <v>40000002781</v>
      </c>
      <c r="B2245" s="31">
        <v>1</v>
      </c>
      <c r="C2245" s="29" t="str">
        <f>LOOKUP(A2245,'QALS - Inspection Lot Record'!$A$2:$A$361,'QALS - Inspection Lot Record'!$O$2:$O$361)</f>
        <v>Aspirin Tablets (500 MG)</v>
      </c>
      <c r="D2245" s="31">
        <v>40</v>
      </c>
      <c r="E2245" s="29" t="s">
        <v>403</v>
      </c>
      <c r="F2245" s="29" t="str">
        <f>LOOKUP(A2245,'QALS - Inspection Lot Record'!A:A,'QALS - Inspection Lot Record'!G:G)</f>
        <v>AB406550</v>
      </c>
      <c r="G2245" s="59">
        <f ca="1">LOOKUP(A2245,'QALS - Inspection Lot Record'!A:A,'QALS - Inspection Lot Record'!E:E)</f>
        <v>46010</v>
      </c>
      <c r="H2245" s="34" t="str">
        <f t="shared" si="175"/>
        <v>A</v>
      </c>
      <c r="I2245" s="29" t="str">
        <f t="shared" si="176"/>
        <v>AB406550</v>
      </c>
      <c r="J2245" s="59">
        <f t="shared" ca="1" si="177"/>
        <v>46010</v>
      </c>
      <c r="K2245" s="30">
        <f ca="1">LOOKUP(A2245,'QALS - Inspection Lot Record'!A:A,'QALS - Inspection Lot Record'!I:I)</f>
        <v>0.75311342592592589</v>
      </c>
      <c r="L2245" s="59">
        <f t="shared" ca="1" si="178"/>
        <v>46010</v>
      </c>
      <c r="M2245" s="30">
        <f t="shared" ca="1" si="179"/>
        <v>0.77137731481481475</v>
      </c>
      <c r="N2245" s="31"/>
      <c r="O2245" s="31">
        <v>1.8</v>
      </c>
      <c r="P2245" s="29">
        <v>0</v>
      </c>
      <c r="Q2245" s="29">
        <v>2.5</v>
      </c>
    </row>
    <row r="2246" spans="1:17" x14ac:dyDescent="0.35">
      <c r="A2246" s="26">
        <v>40000002781</v>
      </c>
      <c r="B2246" s="31">
        <v>1</v>
      </c>
      <c r="C2246" s="29" t="str">
        <f>LOOKUP(A2246,'QALS - Inspection Lot Record'!$A$2:$A$361,'QALS - Inspection Lot Record'!$O$2:$O$361)</f>
        <v>Aspirin Tablets (500 MG)</v>
      </c>
      <c r="D2246" s="31">
        <v>50</v>
      </c>
      <c r="E2246" s="29" t="s">
        <v>404</v>
      </c>
      <c r="F2246" s="29" t="str">
        <f>LOOKUP(A2246,'QALS - Inspection Lot Record'!A:A,'QALS - Inspection Lot Record'!G:G)</f>
        <v>AB406550</v>
      </c>
      <c r="G2246" s="59">
        <f ca="1">LOOKUP(A2246,'QALS - Inspection Lot Record'!A:A,'QALS - Inspection Lot Record'!E:E)</f>
        <v>46010</v>
      </c>
      <c r="H2246" s="34" t="str">
        <f t="shared" si="175"/>
        <v>A</v>
      </c>
      <c r="I2246" s="29" t="str">
        <f t="shared" si="176"/>
        <v>AB406550</v>
      </c>
      <c r="J2246" s="59">
        <f t="shared" ca="1" si="177"/>
        <v>46010</v>
      </c>
      <c r="K2246" s="30">
        <f ca="1">LOOKUP(A2246,'QALS - Inspection Lot Record'!A:A,'QALS - Inspection Lot Record'!I:I)</f>
        <v>0.75311342592592589</v>
      </c>
      <c r="L2246" s="59">
        <f t="shared" ca="1" si="178"/>
        <v>46010</v>
      </c>
      <c r="M2246" s="30">
        <f t="shared" ca="1" si="179"/>
        <v>0.78035879629629623</v>
      </c>
      <c r="N2246" s="31"/>
      <c r="O2246" s="31">
        <v>43.2</v>
      </c>
      <c r="P2246" s="29">
        <v>40</v>
      </c>
      <c r="Q2246" s="29">
        <v>60</v>
      </c>
    </row>
    <row r="2247" spans="1:17" x14ac:dyDescent="0.35">
      <c r="A2247" s="26">
        <v>40000002781</v>
      </c>
      <c r="B2247" s="31">
        <v>1</v>
      </c>
      <c r="C2247" s="29" t="str">
        <f>LOOKUP(A2247,'QALS - Inspection Lot Record'!$A$2:$A$361,'QALS - Inspection Lot Record'!$O$2:$O$361)</f>
        <v>Aspirin Tablets (500 MG)</v>
      </c>
      <c r="D2247" s="31">
        <v>60</v>
      </c>
      <c r="E2247" s="29" t="s">
        <v>405</v>
      </c>
      <c r="F2247" s="29" t="str">
        <f>LOOKUP(A2247,'QALS - Inspection Lot Record'!A:A,'QALS - Inspection Lot Record'!G:G)</f>
        <v>AB406550</v>
      </c>
      <c r="G2247" s="59">
        <f ca="1">LOOKUP(A2247,'QALS - Inspection Lot Record'!A:A,'QALS - Inspection Lot Record'!E:E)</f>
        <v>46010</v>
      </c>
      <c r="H2247" s="34" t="str">
        <f t="shared" si="175"/>
        <v>R</v>
      </c>
      <c r="I2247" s="29" t="str">
        <f t="shared" si="176"/>
        <v>AB406550</v>
      </c>
      <c r="J2247" s="59">
        <f t="shared" ca="1" si="177"/>
        <v>46010</v>
      </c>
      <c r="K2247" s="30">
        <f ca="1">LOOKUP(A2247,'QALS - Inspection Lot Record'!A:A,'QALS - Inspection Lot Record'!I:I)</f>
        <v>0.75311342592592589</v>
      </c>
      <c r="L2247" s="59">
        <f t="shared" ca="1" si="178"/>
        <v>46010</v>
      </c>
      <c r="M2247" s="30">
        <f t="shared" ca="1" si="179"/>
        <v>0.77686342592592594</v>
      </c>
      <c r="N2247" s="31"/>
      <c r="O2247" s="31">
        <v>68.3</v>
      </c>
      <c r="P2247" s="29">
        <v>70</v>
      </c>
      <c r="Q2247" s="29">
        <v>85</v>
      </c>
    </row>
    <row r="2248" spans="1:17" x14ac:dyDescent="0.35">
      <c r="A2248" s="26">
        <v>40000002781</v>
      </c>
      <c r="B2248" s="31">
        <v>1</v>
      </c>
      <c r="C2248" s="29" t="str">
        <f>LOOKUP(A2248,'QALS - Inspection Lot Record'!$A$2:$A$361,'QALS - Inspection Lot Record'!$O$2:$O$361)</f>
        <v>Aspirin Tablets (500 MG)</v>
      </c>
      <c r="D2248" s="31">
        <v>70</v>
      </c>
      <c r="E2248" s="29" t="s">
        <v>406</v>
      </c>
      <c r="F2248" s="29" t="str">
        <f>LOOKUP(A2248,'QALS - Inspection Lot Record'!A:A,'QALS - Inspection Lot Record'!G:G)</f>
        <v>AB406550</v>
      </c>
      <c r="G2248" s="59">
        <f ca="1">LOOKUP(A2248,'QALS - Inspection Lot Record'!A:A,'QALS - Inspection Lot Record'!E:E)</f>
        <v>46010</v>
      </c>
      <c r="H2248" s="34" t="str">
        <f t="shared" si="175"/>
        <v>A</v>
      </c>
      <c r="I2248" s="29" t="str">
        <f t="shared" si="176"/>
        <v>AB406550</v>
      </c>
      <c r="J2248" s="59">
        <f t="shared" ca="1" si="177"/>
        <v>46010</v>
      </c>
      <c r="K2248" s="30">
        <f ca="1">LOOKUP(A2248,'QALS - Inspection Lot Record'!A:A,'QALS - Inspection Lot Record'!I:I)</f>
        <v>0.75311342592592589</v>
      </c>
      <c r="L2248" s="59">
        <f t="shared" ca="1" si="178"/>
        <v>46010</v>
      </c>
      <c r="M2248" s="30">
        <f t="shared" ca="1" si="179"/>
        <v>0.78052083333333333</v>
      </c>
      <c r="N2248" s="31"/>
      <c r="O2248" s="31">
        <v>84.3</v>
      </c>
      <c r="P2248" s="29">
        <v>80</v>
      </c>
      <c r="Q2248" s="29">
        <v>90</v>
      </c>
    </row>
    <row r="2249" spans="1:17" x14ac:dyDescent="0.35">
      <c r="A2249" s="26">
        <v>40000002781</v>
      </c>
      <c r="B2249" s="31">
        <v>1</v>
      </c>
      <c r="C2249" s="29" t="str">
        <f>LOOKUP(A2249,'QALS - Inspection Lot Record'!$A$2:$A$361,'QALS - Inspection Lot Record'!$O$2:$O$361)</f>
        <v>Aspirin Tablets (500 MG)</v>
      </c>
      <c r="D2249" s="31">
        <v>80</v>
      </c>
      <c r="E2249" s="29" t="s">
        <v>407</v>
      </c>
      <c r="F2249" s="29" t="str">
        <f>LOOKUP(A2249,'QALS - Inspection Lot Record'!A:A,'QALS - Inspection Lot Record'!G:G)</f>
        <v>AB406550</v>
      </c>
      <c r="G2249" s="59">
        <f ca="1">LOOKUP(A2249,'QALS - Inspection Lot Record'!A:A,'QALS - Inspection Lot Record'!E:E)</f>
        <v>46010</v>
      </c>
      <c r="H2249" s="34" t="str">
        <f t="shared" si="175"/>
        <v>R</v>
      </c>
      <c r="I2249" s="29" t="str">
        <f t="shared" si="176"/>
        <v>AB406550</v>
      </c>
      <c r="J2249" s="59">
        <f t="shared" ca="1" si="177"/>
        <v>46010</v>
      </c>
      <c r="K2249" s="30">
        <f ca="1">LOOKUP(A2249,'QALS - Inspection Lot Record'!A:A,'QALS - Inspection Lot Record'!I:I)</f>
        <v>0.75311342592592589</v>
      </c>
      <c r="L2249" s="59">
        <f t="shared" ca="1" si="178"/>
        <v>46010</v>
      </c>
      <c r="M2249" s="30">
        <f t="shared" ca="1" si="179"/>
        <v>0.7745023148148148</v>
      </c>
      <c r="N2249" s="31"/>
      <c r="O2249" s="31">
        <v>21</v>
      </c>
      <c r="P2249" s="29">
        <v>23</v>
      </c>
      <c r="Q2249" s="29">
        <v>28</v>
      </c>
    </row>
    <row r="2250" spans="1:17" x14ac:dyDescent="0.35">
      <c r="A2250" s="26">
        <v>40000002782</v>
      </c>
      <c r="B2250" s="27">
        <v>1</v>
      </c>
      <c r="C2250" s="29" t="str">
        <f>LOOKUP(A2250,'QALS - Inspection Lot Record'!$A$2:$A$361,'QALS - Inspection Lot Record'!$O$2:$O$361)</f>
        <v>Metformin Tablets (500 MG)</v>
      </c>
      <c r="D2250" s="27">
        <v>10</v>
      </c>
      <c r="E2250" s="26" t="s">
        <v>399</v>
      </c>
      <c r="F2250" s="29" t="str">
        <f>LOOKUP(A2250,'QALS - Inspection Lot Record'!A:A,'QALS - Inspection Lot Record'!G:G)</f>
        <v>YA284176</v>
      </c>
      <c r="G2250" s="59">
        <f ca="1">LOOKUP(A2250,'QALS - Inspection Lot Record'!A:A,'QALS - Inspection Lot Record'!E:E)</f>
        <v>46010</v>
      </c>
      <c r="H2250" s="34" t="str">
        <f t="shared" ref="H2250:H2313" si="180">IF(AND(P2250&lt;=O2250,O2250&lt;=Q2250),"A","R")</f>
        <v>A</v>
      </c>
      <c r="I2250" s="29" t="str">
        <f t="shared" si="176"/>
        <v>YA284176</v>
      </c>
      <c r="J2250" s="59">
        <f t="shared" ca="1" si="177"/>
        <v>46010</v>
      </c>
      <c r="K2250" s="30">
        <f ca="1">LOOKUP(A2250,'QALS - Inspection Lot Record'!A:A,'QALS - Inspection Lot Record'!I:I)</f>
        <v>6.3773148148148148E-3</v>
      </c>
      <c r="L2250" s="59">
        <f t="shared" ca="1" si="178"/>
        <v>46010</v>
      </c>
      <c r="M2250" s="30">
        <f t="shared" ca="1" si="179"/>
        <v>2.8009259259259258E-2</v>
      </c>
      <c r="N2250" s="31"/>
      <c r="O2250" s="31">
        <v>100</v>
      </c>
      <c r="P2250" s="29">
        <v>95</v>
      </c>
      <c r="Q2250" s="29">
        <v>105</v>
      </c>
    </row>
    <row r="2251" spans="1:17" x14ac:dyDescent="0.35">
      <c r="A2251" s="26">
        <v>40000002782</v>
      </c>
      <c r="B2251" s="27">
        <v>1</v>
      </c>
      <c r="C2251" s="29" t="str">
        <f>LOOKUP(A2251,'QALS - Inspection Lot Record'!$A$2:$A$361,'QALS - Inspection Lot Record'!$O$2:$O$361)</f>
        <v>Metformin Tablets (500 MG)</v>
      </c>
      <c r="D2251" s="31">
        <v>20</v>
      </c>
      <c r="E2251" s="29" t="s">
        <v>400</v>
      </c>
      <c r="F2251" s="29" t="str">
        <f>LOOKUP(A2251,'QALS - Inspection Lot Record'!A:A,'QALS - Inspection Lot Record'!G:G)</f>
        <v>YA284176</v>
      </c>
      <c r="G2251" s="59">
        <f ca="1">LOOKUP(A2251,'QALS - Inspection Lot Record'!A:A,'QALS - Inspection Lot Record'!E:E)</f>
        <v>46010</v>
      </c>
      <c r="H2251" s="34" t="str">
        <f t="shared" si="180"/>
        <v>R</v>
      </c>
      <c r="I2251" s="29" t="str">
        <f t="shared" si="176"/>
        <v>YA284176</v>
      </c>
      <c r="J2251" s="59">
        <f t="shared" ca="1" si="177"/>
        <v>46010</v>
      </c>
      <c r="K2251" s="30">
        <f ca="1">LOOKUP(A2251,'QALS - Inspection Lot Record'!A:A,'QALS - Inspection Lot Record'!I:I)</f>
        <v>6.3773148148148148E-3</v>
      </c>
      <c r="L2251" s="59">
        <f t="shared" ca="1" si="178"/>
        <v>46010</v>
      </c>
      <c r="M2251" s="30">
        <f t="shared" ca="1" si="179"/>
        <v>2.6597222222222223E-2</v>
      </c>
      <c r="N2251" s="31"/>
      <c r="O2251" s="31">
        <v>2</v>
      </c>
      <c r="P2251" s="29">
        <v>3.5</v>
      </c>
      <c r="Q2251" s="29">
        <v>11</v>
      </c>
    </row>
    <row r="2252" spans="1:17" x14ac:dyDescent="0.35">
      <c r="A2252" s="26">
        <v>40000002782</v>
      </c>
      <c r="B2252" s="31">
        <v>1</v>
      </c>
      <c r="C2252" s="29" t="str">
        <f>LOOKUP(A2252,'QALS - Inspection Lot Record'!$A$2:$A$361,'QALS - Inspection Lot Record'!$O$2:$O$361)</f>
        <v>Metformin Tablets (500 MG)</v>
      </c>
      <c r="D2252" s="31">
        <v>30</v>
      </c>
      <c r="E2252" s="29" t="s">
        <v>401</v>
      </c>
      <c r="F2252" s="29" t="str">
        <f>LOOKUP(A2252,'QALS - Inspection Lot Record'!A:A,'QALS - Inspection Lot Record'!G:G)</f>
        <v>YA284176</v>
      </c>
      <c r="G2252" s="59">
        <f ca="1">LOOKUP(A2252,'QALS - Inspection Lot Record'!A:A,'QALS - Inspection Lot Record'!E:E)</f>
        <v>46010</v>
      </c>
      <c r="H2252" s="34" t="str">
        <f t="shared" si="180"/>
        <v>A</v>
      </c>
      <c r="I2252" s="29" t="str">
        <f t="shared" si="176"/>
        <v>YA284176</v>
      </c>
      <c r="J2252" s="59">
        <f t="shared" ca="1" si="177"/>
        <v>46010</v>
      </c>
      <c r="K2252" s="30">
        <f ca="1">LOOKUP(A2252,'QALS - Inspection Lot Record'!A:A,'QALS - Inspection Lot Record'!I:I)</f>
        <v>6.3773148148148148E-3</v>
      </c>
      <c r="L2252" s="59">
        <f t="shared" ca="1" si="178"/>
        <v>46010</v>
      </c>
      <c r="M2252" s="30">
        <f t="shared" ca="1" si="179"/>
        <v>3.3761574074074076E-2</v>
      </c>
      <c r="N2252" s="11" t="s">
        <v>402</v>
      </c>
      <c r="O2252" s="31"/>
      <c r="P2252" s="29"/>
      <c r="Q2252" s="29"/>
    </row>
    <row r="2253" spans="1:17" x14ac:dyDescent="0.35">
      <c r="A2253" s="26">
        <v>40000002782</v>
      </c>
      <c r="B2253" s="31">
        <v>1</v>
      </c>
      <c r="C2253" s="29" t="str">
        <f>LOOKUP(A2253,'QALS - Inspection Lot Record'!$A$2:$A$361,'QALS - Inspection Lot Record'!$O$2:$O$361)</f>
        <v>Metformin Tablets (500 MG)</v>
      </c>
      <c r="D2253" s="31">
        <v>40</v>
      </c>
      <c r="E2253" s="29" t="s">
        <v>403</v>
      </c>
      <c r="F2253" s="29" t="str">
        <f>LOOKUP(A2253,'QALS - Inspection Lot Record'!A:A,'QALS - Inspection Lot Record'!G:G)</f>
        <v>YA284176</v>
      </c>
      <c r="G2253" s="59">
        <f ca="1">LOOKUP(A2253,'QALS - Inspection Lot Record'!A:A,'QALS - Inspection Lot Record'!E:E)</f>
        <v>46010</v>
      </c>
      <c r="H2253" s="34" t="str">
        <f t="shared" si="180"/>
        <v>A</v>
      </c>
      <c r="I2253" s="29" t="str">
        <f t="shared" si="176"/>
        <v>YA284176</v>
      </c>
      <c r="J2253" s="59">
        <f t="shared" ca="1" si="177"/>
        <v>46010</v>
      </c>
      <c r="K2253" s="30">
        <f ca="1">LOOKUP(A2253,'QALS - Inspection Lot Record'!A:A,'QALS - Inspection Lot Record'!I:I)</f>
        <v>6.3773148148148148E-3</v>
      </c>
      <c r="L2253" s="59">
        <f t="shared" ca="1" si="178"/>
        <v>46010</v>
      </c>
      <c r="M2253" s="30">
        <f t="shared" ca="1" si="179"/>
        <v>3.0995370370370371E-2</v>
      </c>
      <c r="N2253" s="31"/>
      <c r="O2253" s="31">
        <v>1.6</v>
      </c>
      <c r="P2253" s="29">
        <v>0</v>
      </c>
      <c r="Q2253" s="29">
        <v>2</v>
      </c>
    </row>
    <row r="2254" spans="1:17" x14ac:dyDescent="0.35">
      <c r="A2254" s="26">
        <v>40000002782</v>
      </c>
      <c r="B2254" s="31">
        <v>1</v>
      </c>
      <c r="C2254" s="29" t="str">
        <f>LOOKUP(A2254,'QALS - Inspection Lot Record'!$A$2:$A$361,'QALS - Inspection Lot Record'!$O$2:$O$361)</f>
        <v>Metformin Tablets (500 MG)</v>
      </c>
      <c r="D2254" s="31">
        <v>50</v>
      </c>
      <c r="E2254" s="29" t="s">
        <v>404</v>
      </c>
      <c r="F2254" s="29" t="str">
        <f>LOOKUP(A2254,'QALS - Inspection Lot Record'!A:A,'QALS - Inspection Lot Record'!G:G)</f>
        <v>YA284176</v>
      </c>
      <c r="G2254" s="59">
        <f ca="1">LOOKUP(A2254,'QALS - Inspection Lot Record'!A:A,'QALS - Inspection Lot Record'!E:E)</f>
        <v>46010</v>
      </c>
      <c r="H2254" s="34" t="str">
        <f t="shared" si="180"/>
        <v>A</v>
      </c>
      <c r="I2254" s="29" t="str">
        <f t="shared" si="176"/>
        <v>YA284176</v>
      </c>
      <c r="J2254" s="59">
        <f t="shared" ca="1" si="177"/>
        <v>46010</v>
      </c>
      <c r="K2254" s="30">
        <f ca="1">LOOKUP(A2254,'QALS - Inspection Lot Record'!A:A,'QALS - Inspection Lot Record'!I:I)</f>
        <v>6.3773148148148148E-3</v>
      </c>
      <c r="L2254" s="59">
        <f t="shared" ca="1" si="178"/>
        <v>46010</v>
      </c>
      <c r="M2254" s="30">
        <f t="shared" ca="1" si="179"/>
        <v>2.9629629629629631E-2</v>
      </c>
      <c r="N2254" s="31"/>
      <c r="O2254" s="31">
        <v>45.3</v>
      </c>
      <c r="P2254" s="29">
        <v>40</v>
      </c>
      <c r="Q2254" s="29">
        <v>60</v>
      </c>
    </row>
    <row r="2255" spans="1:17" x14ac:dyDescent="0.35">
      <c r="A2255" s="26">
        <v>40000002782</v>
      </c>
      <c r="B2255" s="31">
        <v>1</v>
      </c>
      <c r="C2255" s="29" t="str">
        <f>LOOKUP(A2255,'QALS - Inspection Lot Record'!$A$2:$A$361,'QALS - Inspection Lot Record'!$O$2:$O$361)</f>
        <v>Metformin Tablets (500 MG)</v>
      </c>
      <c r="D2255" s="31">
        <v>60</v>
      </c>
      <c r="E2255" s="29" t="s">
        <v>405</v>
      </c>
      <c r="F2255" s="29" t="str">
        <f>LOOKUP(A2255,'QALS - Inspection Lot Record'!A:A,'QALS - Inspection Lot Record'!G:G)</f>
        <v>YA284176</v>
      </c>
      <c r="G2255" s="59">
        <f ca="1">LOOKUP(A2255,'QALS - Inspection Lot Record'!A:A,'QALS - Inspection Lot Record'!E:E)</f>
        <v>46010</v>
      </c>
      <c r="H2255" s="34" t="str">
        <f t="shared" si="180"/>
        <v>A</v>
      </c>
      <c r="I2255" s="29" t="str">
        <f t="shared" si="176"/>
        <v>YA284176</v>
      </c>
      <c r="J2255" s="59">
        <f t="shared" ca="1" si="177"/>
        <v>46010</v>
      </c>
      <c r="K2255" s="30">
        <f ca="1">LOOKUP(A2255,'QALS - Inspection Lot Record'!A:A,'QALS - Inspection Lot Record'!I:I)</f>
        <v>6.3773148148148148E-3</v>
      </c>
      <c r="L2255" s="59">
        <f t="shared" ca="1" si="178"/>
        <v>46010</v>
      </c>
      <c r="M2255" s="30">
        <f t="shared" ca="1" si="179"/>
        <v>3.8136574074074073E-2</v>
      </c>
      <c r="N2255" s="31"/>
      <c r="O2255" s="31">
        <v>74.3</v>
      </c>
      <c r="P2255" s="29">
        <v>70</v>
      </c>
      <c r="Q2255" s="29">
        <v>85</v>
      </c>
    </row>
    <row r="2256" spans="1:17" x14ac:dyDescent="0.35">
      <c r="A2256" s="26">
        <v>40000002782</v>
      </c>
      <c r="B2256" s="31">
        <v>1</v>
      </c>
      <c r="C2256" s="29" t="str">
        <f>LOOKUP(A2256,'QALS - Inspection Lot Record'!$A$2:$A$361,'QALS - Inspection Lot Record'!$O$2:$O$361)</f>
        <v>Metformin Tablets (500 MG)</v>
      </c>
      <c r="D2256" s="31">
        <v>70</v>
      </c>
      <c r="E2256" s="29" t="s">
        <v>406</v>
      </c>
      <c r="F2256" s="29" t="str">
        <f>LOOKUP(A2256,'QALS - Inspection Lot Record'!A:A,'QALS - Inspection Lot Record'!G:G)</f>
        <v>YA284176</v>
      </c>
      <c r="G2256" s="59">
        <f ca="1">LOOKUP(A2256,'QALS - Inspection Lot Record'!A:A,'QALS - Inspection Lot Record'!E:E)</f>
        <v>46010</v>
      </c>
      <c r="H2256" s="34" t="str">
        <f t="shared" si="180"/>
        <v>R</v>
      </c>
      <c r="I2256" s="29" t="str">
        <f t="shared" si="176"/>
        <v>YA284176</v>
      </c>
      <c r="J2256" s="59">
        <f t="shared" ca="1" si="177"/>
        <v>46010</v>
      </c>
      <c r="K2256" s="30">
        <f ca="1">LOOKUP(A2256,'QALS - Inspection Lot Record'!A:A,'QALS - Inspection Lot Record'!I:I)</f>
        <v>6.3773148148148148E-3</v>
      </c>
      <c r="L2256" s="59">
        <f t="shared" ca="1" si="178"/>
        <v>46010</v>
      </c>
      <c r="M2256" s="30">
        <f t="shared" ca="1" si="179"/>
        <v>3.6145833333333335E-2</v>
      </c>
      <c r="N2256" s="31"/>
      <c r="O2256" s="31">
        <v>78.400000000000006</v>
      </c>
      <c r="P2256" s="29">
        <v>80</v>
      </c>
      <c r="Q2256" s="29">
        <v>90</v>
      </c>
    </row>
    <row r="2257" spans="1:17" x14ac:dyDescent="0.35">
      <c r="A2257" s="26">
        <v>40000002782</v>
      </c>
      <c r="B2257" s="31">
        <v>1</v>
      </c>
      <c r="C2257" s="29" t="str">
        <f>LOOKUP(A2257,'QALS - Inspection Lot Record'!$A$2:$A$361,'QALS - Inspection Lot Record'!$O$2:$O$361)</f>
        <v>Metformin Tablets (500 MG)</v>
      </c>
      <c r="D2257" s="31">
        <v>80</v>
      </c>
      <c r="E2257" s="29" t="s">
        <v>407</v>
      </c>
      <c r="F2257" s="29" t="str">
        <f>LOOKUP(A2257,'QALS - Inspection Lot Record'!A:A,'QALS - Inspection Lot Record'!G:G)</f>
        <v>YA284176</v>
      </c>
      <c r="G2257" s="59">
        <f ca="1">LOOKUP(A2257,'QALS - Inspection Lot Record'!A:A,'QALS - Inspection Lot Record'!E:E)</f>
        <v>46010</v>
      </c>
      <c r="H2257" s="34" t="str">
        <f t="shared" si="180"/>
        <v>A</v>
      </c>
      <c r="I2257" s="29" t="str">
        <f t="shared" si="176"/>
        <v>YA284176</v>
      </c>
      <c r="J2257" s="59">
        <f t="shared" ca="1" si="177"/>
        <v>46010</v>
      </c>
      <c r="K2257" s="30">
        <f ca="1">LOOKUP(A2257,'QALS - Inspection Lot Record'!A:A,'QALS - Inspection Lot Record'!I:I)</f>
        <v>6.3773148148148148E-3</v>
      </c>
      <c r="L2257" s="59">
        <f t="shared" ca="1" si="178"/>
        <v>46010</v>
      </c>
      <c r="M2257" s="30">
        <f t="shared" ca="1" si="179"/>
        <v>3.5312499999999997E-2</v>
      </c>
      <c r="N2257" s="31"/>
      <c r="O2257" s="31">
        <v>24</v>
      </c>
      <c r="P2257" s="29">
        <v>23</v>
      </c>
      <c r="Q2257" s="29">
        <v>28</v>
      </c>
    </row>
    <row r="2258" spans="1:17" x14ac:dyDescent="0.35">
      <c r="A2258" s="26">
        <v>40000002783</v>
      </c>
      <c r="B2258" s="27">
        <v>1</v>
      </c>
      <c r="C2258" s="29" t="str">
        <f>LOOKUP(A2258,'QALS - Inspection Lot Record'!$A$2:$A$361,'QALS - Inspection Lot Record'!$O$2:$O$361)</f>
        <v>Metformin Tablets (500 MG)</v>
      </c>
      <c r="D2258" s="27">
        <v>10</v>
      </c>
      <c r="E2258" s="26" t="s">
        <v>399</v>
      </c>
      <c r="F2258" s="29" t="str">
        <f>LOOKUP(A2258,'QALS - Inspection Lot Record'!A:A,'QALS - Inspection Lot Record'!G:G)</f>
        <v>TP397880</v>
      </c>
      <c r="G2258" s="59">
        <f ca="1">LOOKUP(A2258,'QALS - Inspection Lot Record'!A:A,'QALS - Inspection Lot Record'!E:E)</f>
        <v>46011</v>
      </c>
      <c r="H2258" s="34" t="str">
        <f t="shared" si="180"/>
        <v>A</v>
      </c>
      <c r="I2258" s="29" t="str">
        <f t="shared" si="176"/>
        <v>TP397880</v>
      </c>
      <c r="J2258" s="59">
        <f t="shared" ca="1" si="177"/>
        <v>46011</v>
      </c>
      <c r="K2258" s="30">
        <f ca="1">LOOKUP(A2258,'QALS - Inspection Lot Record'!A:A,'QALS - Inspection Lot Record'!I:I)</f>
        <v>0.61405092592592592</v>
      </c>
      <c r="L2258" s="59">
        <f t="shared" ca="1" si="178"/>
        <v>46011</v>
      </c>
      <c r="M2258" s="30">
        <f t="shared" ca="1" si="179"/>
        <v>0.63221064814814809</v>
      </c>
      <c r="N2258" s="31"/>
      <c r="O2258" s="31">
        <v>100</v>
      </c>
      <c r="P2258" s="29">
        <v>95</v>
      </c>
      <c r="Q2258" s="29">
        <v>105</v>
      </c>
    </row>
    <row r="2259" spans="1:17" x14ac:dyDescent="0.35">
      <c r="A2259" s="26">
        <v>40000002783</v>
      </c>
      <c r="B2259" s="27">
        <v>1</v>
      </c>
      <c r="C2259" s="29" t="str">
        <f>LOOKUP(A2259,'QALS - Inspection Lot Record'!$A$2:$A$361,'QALS - Inspection Lot Record'!$O$2:$O$361)</f>
        <v>Metformin Tablets (500 MG)</v>
      </c>
      <c r="D2259" s="31">
        <v>20</v>
      </c>
      <c r="E2259" s="29" t="s">
        <v>400</v>
      </c>
      <c r="F2259" s="29" t="str">
        <f>LOOKUP(A2259,'QALS - Inspection Lot Record'!A:A,'QALS - Inspection Lot Record'!G:G)</f>
        <v>TP397880</v>
      </c>
      <c r="G2259" s="59">
        <f ca="1">LOOKUP(A2259,'QALS - Inspection Lot Record'!A:A,'QALS - Inspection Lot Record'!E:E)</f>
        <v>46011</v>
      </c>
      <c r="H2259" s="34" t="str">
        <f t="shared" si="180"/>
        <v>A</v>
      </c>
      <c r="I2259" s="29" t="str">
        <f t="shared" si="176"/>
        <v>TP397880</v>
      </c>
      <c r="J2259" s="59">
        <f t="shared" ca="1" si="177"/>
        <v>46011</v>
      </c>
      <c r="K2259" s="30">
        <f ca="1">LOOKUP(A2259,'QALS - Inspection Lot Record'!A:A,'QALS - Inspection Lot Record'!I:I)</f>
        <v>0.61405092592592592</v>
      </c>
      <c r="L2259" s="59">
        <f t="shared" ca="1" si="178"/>
        <v>46011</v>
      </c>
      <c r="M2259" s="30">
        <f t="shared" ca="1" si="179"/>
        <v>0.64649305555555558</v>
      </c>
      <c r="N2259" s="31"/>
      <c r="O2259" s="31">
        <v>7.3</v>
      </c>
      <c r="P2259" s="29">
        <v>3.5</v>
      </c>
      <c r="Q2259" s="29">
        <v>11</v>
      </c>
    </row>
    <row r="2260" spans="1:17" x14ac:dyDescent="0.35">
      <c r="A2260" s="26">
        <v>40000002783</v>
      </c>
      <c r="B2260" s="31">
        <v>1</v>
      </c>
      <c r="C2260" s="29" t="str">
        <f>LOOKUP(A2260,'QALS - Inspection Lot Record'!$A$2:$A$361,'QALS - Inspection Lot Record'!$O$2:$O$361)</f>
        <v>Metformin Tablets (500 MG)</v>
      </c>
      <c r="D2260" s="31">
        <v>30</v>
      </c>
      <c r="E2260" s="29" t="s">
        <v>401</v>
      </c>
      <c r="F2260" s="29" t="str">
        <f>LOOKUP(A2260,'QALS - Inspection Lot Record'!A:A,'QALS - Inspection Lot Record'!G:G)</f>
        <v>TP397880</v>
      </c>
      <c r="G2260" s="59">
        <f ca="1">LOOKUP(A2260,'QALS - Inspection Lot Record'!A:A,'QALS - Inspection Lot Record'!E:E)</f>
        <v>46011</v>
      </c>
      <c r="H2260" s="34" t="str">
        <f t="shared" si="180"/>
        <v>A</v>
      </c>
      <c r="I2260" s="29" t="str">
        <f t="shared" si="176"/>
        <v>TP397880</v>
      </c>
      <c r="J2260" s="59">
        <f t="shared" ca="1" si="177"/>
        <v>46011</v>
      </c>
      <c r="K2260" s="30">
        <f ca="1">LOOKUP(A2260,'QALS - Inspection Lot Record'!A:A,'QALS - Inspection Lot Record'!I:I)</f>
        <v>0.61405092592592592</v>
      </c>
      <c r="L2260" s="59">
        <f t="shared" ca="1" si="178"/>
        <v>46011</v>
      </c>
      <c r="M2260" s="30">
        <f t="shared" ca="1" si="179"/>
        <v>0.63812499999999994</v>
      </c>
      <c r="N2260" s="11" t="s">
        <v>402</v>
      </c>
      <c r="O2260" s="31"/>
      <c r="P2260" s="29"/>
      <c r="Q2260" s="29"/>
    </row>
    <row r="2261" spans="1:17" x14ac:dyDescent="0.35">
      <c r="A2261" s="26">
        <v>40000002783</v>
      </c>
      <c r="B2261" s="31">
        <v>1</v>
      </c>
      <c r="C2261" s="29" t="str">
        <f>LOOKUP(A2261,'QALS - Inspection Lot Record'!$A$2:$A$361,'QALS - Inspection Lot Record'!$O$2:$O$361)</f>
        <v>Metformin Tablets (500 MG)</v>
      </c>
      <c r="D2261" s="31">
        <v>40</v>
      </c>
      <c r="E2261" s="29" t="s">
        <v>403</v>
      </c>
      <c r="F2261" s="29" t="str">
        <f>LOOKUP(A2261,'QALS - Inspection Lot Record'!A:A,'QALS - Inspection Lot Record'!G:G)</f>
        <v>TP397880</v>
      </c>
      <c r="G2261" s="59">
        <f ca="1">LOOKUP(A2261,'QALS - Inspection Lot Record'!A:A,'QALS - Inspection Lot Record'!E:E)</f>
        <v>46011</v>
      </c>
      <c r="H2261" s="34" t="str">
        <f t="shared" si="180"/>
        <v>A</v>
      </c>
      <c r="I2261" s="29" t="str">
        <f t="shared" si="176"/>
        <v>TP397880</v>
      </c>
      <c r="J2261" s="59">
        <f t="shared" ca="1" si="177"/>
        <v>46011</v>
      </c>
      <c r="K2261" s="30">
        <f ca="1">LOOKUP(A2261,'QALS - Inspection Lot Record'!A:A,'QALS - Inspection Lot Record'!I:I)</f>
        <v>0.61405092592592592</v>
      </c>
      <c r="L2261" s="59">
        <f t="shared" ca="1" si="178"/>
        <v>46011</v>
      </c>
      <c r="M2261" s="30">
        <f t="shared" ca="1" si="179"/>
        <v>0.64798611111111115</v>
      </c>
      <c r="N2261" s="31"/>
      <c r="O2261" s="31">
        <v>0</v>
      </c>
      <c r="P2261" s="29">
        <v>0</v>
      </c>
      <c r="Q2261" s="29">
        <v>2</v>
      </c>
    </row>
    <row r="2262" spans="1:17" x14ac:dyDescent="0.35">
      <c r="A2262" s="26">
        <v>40000002783</v>
      </c>
      <c r="B2262" s="31">
        <v>1</v>
      </c>
      <c r="C2262" s="29" t="str">
        <f>LOOKUP(A2262,'QALS - Inspection Lot Record'!$A$2:$A$361,'QALS - Inspection Lot Record'!$O$2:$O$361)</f>
        <v>Metformin Tablets (500 MG)</v>
      </c>
      <c r="D2262" s="31">
        <v>50</v>
      </c>
      <c r="E2262" s="29" t="s">
        <v>404</v>
      </c>
      <c r="F2262" s="29" t="str">
        <f>LOOKUP(A2262,'QALS - Inspection Lot Record'!A:A,'QALS - Inspection Lot Record'!G:G)</f>
        <v>TP397880</v>
      </c>
      <c r="G2262" s="59">
        <f ca="1">LOOKUP(A2262,'QALS - Inspection Lot Record'!A:A,'QALS - Inspection Lot Record'!E:E)</f>
        <v>46011</v>
      </c>
      <c r="H2262" s="34" t="str">
        <f t="shared" si="180"/>
        <v>A</v>
      </c>
      <c r="I2262" s="29" t="str">
        <f t="shared" si="176"/>
        <v>TP397880</v>
      </c>
      <c r="J2262" s="59">
        <f t="shared" ca="1" si="177"/>
        <v>46011</v>
      </c>
      <c r="K2262" s="30">
        <f ca="1">LOOKUP(A2262,'QALS - Inspection Lot Record'!A:A,'QALS - Inspection Lot Record'!I:I)</f>
        <v>0.61405092592592592</v>
      </c>
      <c r="L2262" s="59">
        <f t="shared" ca="1" si="178"/>
        <v>46011</v>
      </c>
      <c r="M2262" s="30">
        <f t="shared" ca="1" si="179"/>
        <v>0.63241898148148146</v>
      </c>
      <c r="N2262" s="31"/>
      <c r="O2262" s="31">
        <v>41</v>
      </c>
      <c r="P2262" s="29">
        <v>40</v>
      </c>
      <c r="Q2262" s="29">
        <v>60</v>
      </c>
    </row>
    <row r="2263" spans="1:17" x14ac:dyDescent="0.35">
      <c r="A2263" s="26">
        <v>40000002783</v>
      </c>
      <c r="B2263" s="31">
        <v>1</v>
      </c>
      <c r="C2263" s="29" t="str">
        <f>LOOKUP(A2263,'QALS - Inspection Lot Record'!$A$2:$A$361,'QALS - Inspection Lot Record'!$O$2:$O$361)</f>
        <v>Metformin Tablets (500 MG)</v>
      </c>
      <c r="D2263" s="31">
        <v>60</v>
      </c>
      <c r="E2263" s="29" t="s">
        <v>405</v>
      </c>
      <c r="F2263" s="29" t="str">
        <f>LOOKUP(A2263,'QALS - Inspection Lot Record'!A:A,'QALS - Inspection Lot Record'!G:G)</f>
        <v>TP397880</v>
      </c>
      <c r="G2263" s="59">
        <f ca="1">LOOKUP(A2263,'QALS - Inspection Lot Record'!A:A,'QALS - Inspection Lot Record'!E:E)</f>
        <v>46011</v>
      </c>
      <c r="H2263" s="34" t="str">
        <f t="shared" si="180"/>
        <v>A</v>
      </c>
      <c r="I2263" s="29" t="str">
        <f t="shared" si="176"/>
        <v>TP397880</v>
      </c>
      <c r="J2263" s="59">
        <f t="shared" ca="1" si="177"/>
        <v>46011</v>
      </c>
      <c r="K2263" s="30">
        <f ca="1">LOOKUP(A2263,'QALS - Inspection Lot Record'!A:A,'QALS - Inspection Lot Record'!I:I)</f>
        <v>0.61405092592592592</v>
      </c>
      <c r="L2263" s="59">
        <f t="shared" ca="1" si="178"/>
        <v>46011</v>
      </c>
      <c r="M2263" s="30">
        <f t="shared" ca="1" si="179"/>
        <v>0.64056712962962958</v>
      </c>
      <c r="N2263" s="31"/>
      <c r="O2263" s="31">
        <v>77.5</v>
      </c>
      <c r="P2263" s="29">
        <v>70</v>
      </c>
      <c r="Q2263" s="29">
        <v>85</v>
      </c>
    </row>
    <row r="2264" spans="1:17" x14ac:dyDescent="0.35">
      <c r="A2264" s="26">
        <v>40000002783</v>
      </c>
      <c r="B2264" s="31">
        <v>1</v>
      </c>
      <c r="C2264" s="29" t="str">
        <f>LOOKUP(A2264,'QALS - Inspection Lot Record'!$A$2:$A$361,'QALS - Inspection Lot Record'!$O$2:$O$361)</f>
        <v>Metformin Tablets (500 MG)</v>
      </c>
      <c r="D2264" s="31">
        <v>70</v>
      </c>
      <c r="E2264" s="29" t="s">
        <v>406</v>
      </c>
      <c r="F2264" s="29" t="str">
        <f>LOOKUP(A2264,'QALS - Inspection Lot Record'!A:A,'QALS - Inspection Lot Record'!G:G)</f>
        <v>TP397880</v>
      </c>
      <c r="G2264" s="59">
        <f ca="1">LOOKUP(A2264,'QALS - Inspection Lot Record'!A:A,'QALS - Inspection Lot Record'!E:E)</f>
        <v>46011</v>
      </c>
      <c r="H2264" s="34" t="str">
        <f t="shared" si="180"/>
        <v>A</v>
      </c>
      <c r="I2264" s="29" t="str">
        <f t="shared" si="176"/>
        <v>TP397880</v>
      </c>
      <c r="J2264" s="59">
        <f t="shared" ca="1" si="177"/>
        <v>46011</v>
      </c>
      <c r="K2264" s="30">
        <f ca="1">LOOKUP(A2264,'QALS - Inspection Lot Record'!A:A,'QALS - Inspection Lot Record'!I:I)</f>
        <v>0.61405092592592592</v>
      </c>
      <c r="L2264" s="59">
        <f t="shared" ca="1" si="178"/>
        <v>46011</v>
      </c>
      <c r="M2264" s="30">
        <f t="shared" ca="1" si="179"/>
        <v>0.6472916666666666</v>
      </c>
      <c r="N2264" s="31"/>
      <c r="O2264" s="31">
        <v>82</v>
      </c>
      <c r="P2264" s="29">
        <v>80</v>
      </c>
      <c r="Q2264" s="29">
        <v>90</v>
      </c>
    </row>
    <row r="2265" spans="1:17" x14ac:dyDescent="0.35">
      <c r="A2265" s="26">
        <v>40000002783</v>
      </c>
      <c r="B2265" s="31">
        <v>1</v>
      </c>
      <c r="C2265" s="29" t="str">
        <f>LOOKUP(A2265,'QALS - Inspection Lot Record'!$A$2:$A$361,'QALS - Inspection Lot Record'!$O$2:$O$361)</f>
        <v>Metformin Tablets (500 MG)</v>
      </c>
      <c r="D2265" s="31">
        <v>80</v>
      </c>
      <c r="E2265" s="29" t="s">
        <v>407</v>
      </c>
      <c r="F2265" s="29" t="str">
        <f>LOOKUP(A2265,'QALS - Inspection Lot Record'!A:A,'QALS - Inspection Lot Record'!G:G)</f>
        <v>TP397880</v>
      </c>
      <c r="G2265" s="59">
        <f ca="1">LOOKUP(A2265,'QALS - Inspection Lot Record'!A:A,'QALS - Inspection Lot Record'!E:E)</f>
        <v>46011</v>
      </c>
      <c r="H2265" s="34" t="str">
        <f t="shared" si="180"/>
        <v>A</v>
      </c>
      <c r="I2265" s="29" t="str">
        <f t="shared" si="176"/>
        <v>TP397880</v>
      </c>
      <c r="J2265" s="59">
        <f t="shared" ca="1" si="177"/>
        <v>46011</v>
      </c>
      <c r="K2265" s="30">
        <f ca="1">LOOKUP(A2265,'QALS - Inspection Lot Record'!A:A,'QALS - Inspection Lot Record'!I:I)</f>
        <v>0.61405092592592592</v>
      </c>
      <c r="L2265" s="59">
        <f t="shared" ca="1" si="178"/>
        <v>46011</v>
      </c>
      <c r="M2265" s="30">
        <f t="shared" ca="1" si="179"/>
        <v>0.6334143518518518</v>
      </c>
      <c r="N2265" s="31"/>
      <c r="O2265" s="31">
        <v>25.5</v>
      </c>
      <c r="P2265" s="29">
        <v>23</v>
      </c>
      <c r="Q2265" s="29">
        <v>28</v>
      </c>
    </row>
    <row r="2266" spans="1:17" x14ac:dyDescent="0.35">
      <c r="A2266" s="26">
        <v>40000002784</v>
      </c>
      <c r="B2266" s="27">
        <v>1</v>
      </c>
      <c r="C2266" s="29" t="str">
        <f>LOOKUP(A2266,'QALS - Inspection Lot Record'!$A$2:$A$361,'QALS - Inspection Lot Record'!$O$2:$O$361)</f>
        <v>Ibuprofen Tablets (100 MG)</v>
      </c>
      <c r="D2266" s="27">
        <v>10</v>
      </c>
      <c r="E2266" s="26" t="s">
        <v>399</v>
      </c>
      <c r="F2266" s="29" t="str">
        <f>LOOKUP(A2266,'QALS - Inspection Lot Record'!A:A,'QALS - Inspection Lot Record'!G:G)</f>
        <v>TG509538</v>
      </c>
      <c r="G2266" s="59">
        <f ca="1">LOOKUP(A2266,'QALS - Inspection Lot Record'!A:A,'QALS - Inspection Lot Record'!E:E)</f>
        <v>46011</v>
      </c>
      <c r="H2266" s="34" t="str">
        <f t="shared" si="180"/>
        <v>A</v>
      </c>
      <c r="I2266" s="29" t="str">
        <f t="shared" si="176"/>
        <v>TG509538</v>
      </c>
      <c r="J2266" s="59">
        <f t="shared" ca="1" si="177"/>
        <v>46011</v>
      </c>
      <c r="K2266" s="30">
        <f ca="1">LOOKUP(A2266,'QALS - Inspection Lot Record'!A:A,'QALS - Inspection Lot Record'!I:I)</f>
        <v>0.43600694444444443</v>
      </c>
      <c r="L2266" s="59">
        <f t="shared" ca="1" si="178"/>
        <v>46011</v>
      </c>
      <c r="M2266" s="30">
        <f t="shared" ca="1" si="179"/>
        <v>0.46577546296296296</v>
      </c>
      <c r="N2266" s="31"/>
      <c r="O2266" s="31">
        <v>98.5</v>
      </c>
      <c r="P2266" s="29">
        <v>95</v>
      </c>
      <c r="Q2266" s="29">
        <v>102</v>
      </c>
    </row>
    <row r="2267" spans="1:17" x14ac:dyDescent="0.35">
      <c r="A2267" s="26">
        <v>40000002784</v>
      </c>
      <c r="B2267" s="27">
        <v>1</v>
      </c>
      <c r="C2267" s="29" t="str">
        <f>LOOKUP(A2267,'QALS - Inspection Lot Record'!$A$2:$A$361,'QALS - Inspection Lot Record'!$O$2:$O$361)</f>
        <v>Ibuprofen Tablets (100 MG)</v>
      </c>
      <c r="D2267" s="31">
        <v>20</v>
      </c>
      <c r="E2267" s="29" t="s">
        <v>400</v>
      </c>
      <c r="F2267" s="29" t="str">
        <f>LOOKUP(A2267,'QALS - Inspection Lot Record'!A:A,'QALS - Inspection Lot Record'!G:G)</f>
        <v>TG509538</v>
      </c>
      <c r="G2267" s="59">
        <f ca="1">LOOKUP(A2267,'QALS - Inspection Lot Record'!A:A,'QALS - Inspection Lot Record'!E:E)</f>
        <v>46011</v>
      </c>
      <c r="H2267" s="34" t="str">
        <f t="shared" si="180"/>
        <v>A</v>
      </c>
      <c r="I2267" s="29" t="str">
        <f t="shared" si="176"/>
        <v>TG509538</v>
      </c>
      <c r="J2267" s="59">
        <f t="shared" ca="1" si="177"/>
        <v>46011</v>
      </c>
      <c r="K2267" s="30">
        <f ca="1">LOOKUP(A2267,'QALS - Inspection Lot Record'!A:A,'QALS - Inspection Lot Record'!I:I)</f>
        <v>0.43600694444444443</v>
      </c>
      <c r="L2267" s="59">
        <f t="shared" ca="1" si="178"/>
        <v>46011</v>
      </c>
      <c r="M2267" s="30">
        <f t="shared" ca="1" si="179"/>
        <v>0.45793981481481483</v>
      </c>
      <c r="N2267" s="31"/>
      <c r="O2267" s="31">
        <v>7.25</v>
      </c>
      <c r="P2267" s="29">
        <v>3.5</v>
      </c>
      <c r="Q2267" s="29">
        <v>11</v>
      </c>
    </row>
    <row r="2268" spans="1:17" x14ac:dyDescent="0.35">
      <c r="A2268" s="26">
        <v>40000002784</v>
      </c>
      <c r="B2268" s="31">
        <v>1</v>
      </c>
      <c r="C2268" s="29" t="str">
        <f>LOOKUP(A2268,'QALS - Inspection Lot Record'!$A$2:$A$361,'QALS - Inspection Lot Record'!$O$2:$O$361)</f>
        <v>Ibuprofen Tablets (100 MG)</v>
      </c>
      <c r="D2268" s="31">
        <v>30</v>
      </c>
      <c r="E2268" s="29" t="s">
        <v>401</v>
      </c>
      <c r="F2268" s="29" t="str">
        <f>LOOKUP(A2268,'QALS - Inspection Lot Record'!A:A,'QALS - Inspection Lot Record'!G:G)</f>
        <v>TG509538</v>
      </c>
      <c r="G2268" s="59">
        <f ca="1">LOOKUP(A2268,'QALS - Inspection Lot Record'!A:A,'QALS - Inspection Lot Record'!E:E)</f>
        <v>46011</v>
      </c>
      <c r="H2268" s="34" t="str">
        <f t="shared" si="180"/>
        <v>A</v>
      </c>
      <c r="I2268" s="29" t="str">
        <f t="shared" si="176"/>
        <v>TG509538</v>
      </c>
      <c r="J2268" s="59">
        <f t="shared" ca="1" si="177"/>
        <v>46011</v>
      </c>
      <c r="K2268" s="30">
        <f ca="1">LOOKUP(A2268,'QALS - Inspection Lot Record'!A:A,'QALS - Inspection Lot Record'!I:I)</f>
        <v>0.43600694444444443</v>
      </c>
      <c r="L2268" s="59">
        <f t="shared" ca="1" si="178"/>
        <v>46011</v>
      </c>
      <c r="M2268" s="30">
        <f t="shared" ca="1" si="179"/>
        <v>0.46813657407407405</v>
      </c>
      <c r="N2268" s="11" t="s">
        <v>402</v>
      </c>
      <c r="O2268" s="31"/>
      <c r="P2268" s="29"/>
      <c r="Q2268" s="29"/>
    </row>
    <row r="2269" spans="1:17" x14ac:dyDescent="0.35">
      <c r="A2269" s="26">
        <v>40000002784</v>
      </c>
      <c r="B2269" s="31">
        <v>1</v>
      </c>
      <c r="C2269" s="29" t="str">
        <f>LOOKUP(A2269,'QALS - Inspection Lot Record'!$A$2:$A$361,'QALS - Inspection Lot Record'!$O$2:$O$361)</f>
        <v>Ibuprofen Tablets (100 MG)</v>
      </c>
      <c r="D2269" s="31">
        <v>40</v>
      </c>
      <c r="E2269" s="29" t="s">
        <v>403</v>
      </c>
      <c r="F2269" s="29" t="str">
        <f>LOOKUP(A2269,'QALS - Inspection Lot Record'!A:A,'QALS - Inspection Lot Record'!G:G)</f>
        <v>TG509538</v>
      </c>
      <c r="G2269" s="59">
        <f ca="1">LOOKUP(A2269,'QALS - Inspection Lot Record'!A:A,'QALS - Inspection Lot Record'!E:E)</f>
        <v>46011</v>
      </c>
      <c r="H2269" s="34" t="str">
        <f t="shared" si="180"/>
        <v>A</v>
      </c>
      <c r="I2269" s="29" t="str">
        <f t="shared" si="176"/>
        <v>TG509538</v>
      </c>
      <c r="J2269" s="59">
        <f t="shared" ca="1" si="177"/>
        <v>46011</v>
      </c>
      <c r="K2269" s="30">
        <f ca="1">LOOKUP(A2269,'QALS - Inspection Lot Record'!A:A,'QALS - Inspection Lot Record'!I:I)</f>
        <v>0.43600694444444443</v>
      </c>
      <c r="L2269" s="59">
        <f t="shared" ca="1" si="178"/>
        <v>46011</v>
      </c>
      <c r="M2269" s="30">
        <f t="shared" ca="1" si="179"/>
        <v>0.46944444444444444</v>
      </c>
      <c r="N2269" s="31"/>
      <c r="O2269" s="31">
        <v>0</v>
      </c>
      <c r="P2269" s="29">
        <v>0</v>
      </c>
      <c r="Q2269" s="29">
        <v>1</v>
      </c>
    </row>
    <row r="2270" spans="1:17" x14ac:dyDescent="0.35">
      <c r="A2270" s="26">
        <v>40000002784</v>
      </c>
      <c r="B2270" s="31">
        <v>1</v>
      </c>
      <c r="C2270" s="29" t="str">
        <f>LOOKUP(A2270,'QALS - Inspection Lot Record'!$A$2:$A$361,'QALS - Inspection Lot Record'!$O$2:$O$361)</f>
        <v>Ibuprofen Tablets (100 MG)</v>
      </c>
      <c r="D2270" s="31">
        <v>50</v>
      </c>
      <c r="E2270" s="29" t="s">
        <v>404</v>
      </c>
      <c r="F2270" s="29" t="str">
        <f>LOOKUP(A2270,'QALS - Inspection Lot Record'!A:A,'QALS - Inspection Lot Record'!G:G)</f>
        <v>TG509538</v>
      </c>
      <c r="G2270" s="59">
        <f ca="1">LOOKUP(A2270,'QALS - Inspection Lot Record'!A:A,'QALS - Inspection Lot Record'!E:E)</f>
        <v>46011</v>
      </c>
      <c r="H2270" s="34" t="str">
        <f t="shared" si="180"/>
        <v>A</v>
      </c>
      <c r="I2270" s="29" t="str">
        <f t="shared" si="176"/>
        <v>TG509538</v>
      </c>
      <c r="J2270" s="59">
        <f t="shared" ca="1" si="177"/>
        <v>46011</v>
      </c>
      <c r="K2270" s="30">
        <f ca="1">LOOKUP(A2270,'QALS - Inspection Lot Record'!A:A,'QALS - Inspection Lot Record'!I:I)</f>
        <v>0.43600694444444443</v>
      </c>
      <c r="L2270" s="59">
        <f t="shared" ca="1" si="178"/>
        <v>46011</v>
      </c>
      <c r="M2270" s="30">
        <f t="shared" ca="1" si="179"/>
        <v>0.46016203703703701</v>
      </c>
      <c r="N2270" s="31"/>
      <c r="O2270" s="31">
        <v>50</v>
      </c>
      <c r="P2270" s="29">
        <v>40</v>
      </c>
      <c r="Q2270" s="29">
        <v>60</v>
      </c>
    </row>
    <row r="2271" spans="1:17" x14ac:dyDescent="0.35">
      <c r="A2271" s="26">
        <v>40000002784</v>
      </c>
      <c r="B2271" s="31">
        <v>1</v>
      </c>
      <c r="C2271" s="29" t="str">
        <f>LOOKUP(A2271,'QALS - Inspection Lot Record'!$A$2:$A$361,'QALS - Inspection Lot Record'!$O$2:$O$361)</f>
        <v>Ibuprofen Tablets (100 MG)</v>
      </c>
      <c r="D2271" s="31">
        <v>60</v>
      </c>
      <c r="E2271" s="29" t="s">
        <v>405</v>
      </c>
      <c r="F2271" s="29" t="str">
        <f>LOOKUP(A2271,'QALS - Inspection Lot Record'!A:A,'QALS - Inspection Lot Record'!G:G)</f>
        <v>TG509538</v>
      </c>
      <c r="G2271" s="59">
        <f ca="1">LOOKUP(A2271,'QALS - Inspection Lot Record'!A:A,'QALS - Inspection Lot Record'!E:E)</f>
        <v>46011</v>
      </c>
      <c r="H2271" s="34" t="str">
        <f t="shared" si="180"/>
        <v>A</v>
      </c>
      <c r="I2271" s="29" t="str">
        <f t="shared" si="176"/>
        <v>TG509538</v>
      </c>
      <c r="J2271" s="59">
        <f t="shared" ca="1" si="177"/>
        <v>46011</v>
      </c>
      <c r="K2271" s="30">
        <f ca="1">LOOKUP(A2271,'QALS - Inspection Lot Record'!A:A,'QALS - Inspection Lot Record'!I:I)</f>
        <v>0.43600694444444443</v>
      </c>
      <c r="L2271" s="59">
        <f t="shared" ca="1" si="178"/>
        <v>46011</v>
      </c>
      <c r="M2271" s="30">
        <f t="shared" ca="1" si="179"/>
        <v>0.47041666666666665</v>
      </c>
      <c r="N2271" s="31"/>
      <c r="O2271" s="31">
        <v>77.5</v>
      </c>
      <c r="P2271" s="29">
        <v>70</v>
      </c>
      <c r="Q2271" s="29">
        <v>85</v>
      </c>
    </row>
    <row r="2272" spans="1:17" x14ac:dyDescent="0.35">
      <c r="A2272" s="26">
        <v>40000002784</v>
      </c>
      <c r="B2272" s="31">
        <v>1</v>
      </c>
      <c r="C2272" s="29" t="str">
        <f>LOOKUP(A2272,'QALS - Inspection Lot Record'!$A$2:$A$361,'QALS - Inspection Lot Record'!$O$2:$O$361)</f>
        <v>Ibuprofen Tablets (100 MG)</v>
      </c>
      <c r="D2272" s="31">
        <v>70</v>
      </c>
      <c r="E2272" s="29" t="s">
        <v>406</v>
      </c>
      <c r="F2272" s="29" t="str">
        <f>LOOKUP(A2272,'QALS - Inspection Lot Record'!A:A,'QALS - Inspection Lot Record'!G:G)</f>
        <v>TG509538</v>
      </c>
      <c r="G2272" s="59">
        <f ca="1">LOOKUP(A2272,'QALS - Inspection Lot Record'!A:A,'QALS - Inspection Lot Record'!E:E)</f>
        <v>46011</v>
      </c>
      <c r="H2272" s="34" t="str">
        <f t="shared" si="180"/>
        <v>A</v>
      </c>
      <c r="I2272" s="29" t="str">
        <f t="shared" si="176"/>
        <v>TG509538</v>
      </c>
      <c r="J2272" s="59">
        <f t="shared" ca="1" si="177"/>
        <v>46011</v>
      </c>
      <c r="K2272" s="30">
        <f ca="1">LOOKUP(A2272,'QALS - Inspection Lot Record'!A:A,'QALS - Inspection Lot Record'!I:I)</f>
        <v>0.43600694444444443</v>
      </c>
      <c r="L2272" s="59">
        <f t="shared" ca="1" si="178"/>
        <v>46011</v>
      </c>
      <c r="M2272" s="30">
        <f t="shared" ca="1" si="179"/>
        <v>0.46675925925925926</v>
      </c>
      <c r="N2272" s="31"/>
      <c r="O2272" s="31">
        <v>85</v>
      </c>
      <c r="P2272" s="29">
        <v>80</v>
      </c>
      <c r="Q2272" s="29">
        <v>90</v>
      </c>
    </row>
    <row r="2273" spans="1:17" x14ac:dyDescent="0.35">
      <c r="A2273" s="26">
        <v>40000002784</v>
      </c>
      <c r="B2273" s="31">
        <v>1</v>
      </c>
      <c r="C2273" s="29" t="str">
        <f>LOOKUP(A2273,'QALS - Inspection Lot Record'!$A$2:$A$361,'QALS - Inspection Lot Record'!$O$2:$O$361)</f>
        <v>Ibuprofen Tablets (100 MG)</v>
      </c>
      <c r="D2273" s="31">
        <v>80</v>
      </c>
      <c r="E2273" s="29" t="s">
        <v>407</v>
      </c>
      <c r="F2273" s="29" t="str">
        <f>LOOKUP(A2273,'QALS - Inspection Lot Record'!A:A,'QALS - Inspection Lot Record'!G:G)</f>
        <v>TG509538</v>
      </c>
      <c r="G2273" s="59">
        <f ca="1">LOOKUP(A2273,'QALS - Inspection Lot Record'!A:A,'QALS - Inspection Lot Record'!E:E)</f>
        <v>46011</v>
      </c>
      <c r="H2273" s="34" t="str">
        <f t="shared" si="180"/>
        <v>A</v>
      </c>
      <c r="I2273" s="29" t="str">
        <f t="shared" si="176"/>
        <v>TG509538</v>
      </c>
      <c r="J2273" s="59">
        <f t="shared" ca="1" si="177"/>
        <v>46011</v>
      </c>
      <c r="K2273" s="30">
        <f ca="1">LOOKUP(A2273,'QALS - Inspection Lot Record'!A:A,'QALS - Inspection Lot Record'!I:I)</f>
        <v>0.43600694444444443</v>
      </c>
      <c r="L2273" s="59">
        <f t="shared" ca="1" si="178"/>
        <v>46011</v>
      </c>
      <c r="M2273" s="30">
        <f t="shared" ca="1" si="179"/>
        <v>0.46196759259259257</v>
      </c>
      <c r="N2273" s="31"/>
      <c r="O2273" s="31">
        <v>24</v>
      </c>
      <c r="P2273" s="29">
        <v>23</v>
      </c>
      <c r="Q2273" s="29">
        <v>25</v>
      </c>
    </row>
    <row r="2274" spans="1:17" x14ac:dyDescent="0.35">
      <c r="A2274" s="26">
        <v>40000002785</v>
      </c>
      <c r="B2274" s="27">
        <v>1</v>
      </c>
      <c r="C2274" s="29" t="str">
        <f>LOOKUP(A2274,'QALS - Inspection Lot Record'!$A$2:$A$361,'QALS - Inspection Lot Record'!$O$2:$O$361)</f>
        <v>Ibuprofen Tablets (100 MG)</v>
      </c>
      <c r="D2274" s="27">
        <v>10</v>
      </c>
      <c r="E2274" s="26" t="s">
        <v>399</v>
      </c>
      <c r="F2274" s="29" t="str">
        <f>LOOKUP(A2274,'QALS - Inspection Lot Record'!A:A,'QALS - Inspection Lot Record'!G:G)</f>
        <v>ZK384180</v>
      </c>
      <c r="G2274" s="59">
        <f ca="1">LOOKUP(A2274,'QALS - Inspection Lot Record'!A:A,'QALS - Inspection Lot Record'!E:E)</f>
        <v>46012</v>
      </c>
      <c r="H2274" s="34" t="str">
        <f t="shared" si="180"/>
        <v>A</v>
      </c>
      <c r="I2274" s="29" t="str">
        <f t="shared" si="176"/>
        <v>ZK384180</v>
      </c>
      <c r="J2274" s="59">
        <f t="shared" ca="1" si="177"/>
        <v>46012</v>
      </c>
      <c r="K2274" s="30">
        <f ca="1">LOOKUP(A2274,'QALS - Inspection Lot Record'!A:A,'QALS - Inspection Lot Record'!I:I)</f>
        <v>0.53472222222222221</v>
      </c>
      <c r="L2274" s="59">
        <f t="shared" ca="1" si="178"/>
        <v>46012</v>
      </c>
      <c r="M2274" s="30">
        <f t="shared" ca="1" si="179"/>
        <v>0.56299768518518523</v>
      </c>
      <c r="N2274" s="31"/>
      <c r="O2274" s="31">
        <v>98.5</v>
      </c>
      <c r="P2274" s="29">
        <v>95</v>
      </c>
      <c r="Q2274" s="29">
        <v>102</v>
      </c>
    </row>
    <row r="2275" spans="1:17" x14ac:dyDescent="0.35">
      <c r="A2275" s="26">
        <v>40000002785</v>
      </c>
      <c r="B2275" s="27">
        <v>1</v>
      </c>
      <c r="C2275" s="29" t="str">
        <f>LOOKUP(A2275,'QALS - Inspection Lot Record'!$A$2:$A$361,'QALS - Inspection Lot Record'!$O$2:$O$361)</f>
        <v>Ibuprofen Tablets (100 MG)</v>
      </c>
      <c r="D2275" s="31">
        <v>20</v>
      </c>
      <c r="E2275" s="29" t="s">
        <v>400</v>
      </c>
      <c r="F2275" s="29" t="str">
        <f>LOOKUP(A2275,'QALS - Inspection Lot Record'!A:A,'QALS - Inspection Lot Record'!G:G)</f>
        <v>ZK384180</v>
      </c>
      <c r="G2275" s="59">
        <f ca="1">LOOKUP(A2275,'QALS - Inspection Lot Record'!A:A,'QALS - Inspection Lot Record'!E:E)</f>
        <v>46012</v>
      </c>
      <c r="H2275" s="34" t="str">
        <f t="shared" si="180"/>
        <v>R</v>
      </c>
      <c r="I2275" s="29" t="str">
        <f t="shared" si="176"/>
        <v>ZK384180</v>
      </c>
      <c r="J2275" s="59">
        <f t="shared" ca="1" si="177"/>
        <v>46012</v>
      </c>
      <c r="K2275" s="30">
        <f ca="1">LOOKUP(A2275,'QALS - Inspection Lot Record'!A:A,'QALS - Inspection Lot Record'!I:I)</f>
        <v>0.53472222222222221</v>
      </c>
      <c r="L2275" s="59">
        <f t="shared" ca="1" si="178"/>
        <v>46012</v>
      </c>
      <c r="M2275" s="30">
        <f t="shared" ca="1" si="179"/>
        <v>0.55682870370370374</v>
      </c>
      <c r="N2275" s="31"/>
      <c r="O2275" s="31">
        <v>1.9</v>
      </c>
      <c r="P2275" s="29">
        <v>3.5</v>
      </c>
      <c r="Q2275" s="29">
        <v>11</v>
      </c>
    </row>
    <row r="2276" spans="1:17" x14ac:dyDescent="0.35">
      <c r="A2276" s="26">
        <v>40000002785</v>
      </c>
      <c r="B2276" s="31">
        <v>1</v>
      </c>
      <c r="C2276" s="29" t="str">
        <f>LOOKUP(A2276,'QALS - Inspection Lot Record'!$A$2:$A$361,'QALS - Inspection Lot Record'!$O$2:$O$361)</f>
        <v>Ibuprofen Tablets (100 MG)</v>
      </c>
      <c r="D2276" s="31">
        <v>30</v>
      </c>
      <c r="E2276" s="29" t="s">
        <v>401</v>
      </c>
      <c r="F2276" s="29" t="str">
        <f>LOOKUP(A2276,'QALS - Inspection Lot Record'!A:A,'QALS - Inspection Lot Record'!G:G)</f>
        <v>ZK384180</v>
      </c>
      <c r="G2276" s="59">
        <f ca="1">LOOKUP(A2276,'QALS - Inspection Lot Record'!A:A,'QALS - Inspection Lot Record'!E:E)</f>
        <v>46012</v>
      </c>
      <c r="H2276" s="34" t="str">
        <f t="shared" si="180"/>
        <v>A</v>
      </c>
      <c r="I2276" s="29" t="str">
        <f t="shared" si="176"/>
        <v>ZK384180</v>
      </c>
      <c r="J2276" s="59">
        <f t="shared" ca="1" si="177"/>
        <v>46012</v>
      </c>
      <c r="K2276" s="30">
        <f ca="1">LOOKUP(A2276,'QALS - Inspection Lot Record'!A:A,'QALS - Inspection Lot Record'!I:I)</f>
        <v>0.53472222222222221</v>
      </c>
      <c r="L2276" s="59">
        <f t="shared" ca="1" si="178"/>
        <v>46012</v>
      </c>
      <c r="M2276" s="30">
        <f t="shared" ca="1" si="179"/>
        <v>0.56067129629629631</v>
      </c>
      <c r="N2276" s="11" t="s">
        <v>402</v>
      </c>
      <c r="O2276" s="31"/>
      <c r="P2276" s="29"/>
      <c r="Q2276" s="29"/>
    </row>
    <row r="2277" spans="1:17" x14ac:dyDescent="0.35">
      <c r="A2277" s="26">
        <v>40000002785</v>
      </c>
      <c r="B2277" s="31">
        <v>1</v>
      </c>
      <c r="C2277" s="29" t="str">
        <f>LOOKUP(A2277,'QALS - Inspection Lot Record'!$A$2:$A$361,'QALS - Inspection Lot Record'!$O$2:$O$361)</f>
        <v>Ibuprofen Tablets (100 MG)</v>
      </c>
      <c r="D2277" s="31">
        <v>40</v>
      </c>
      <c r="E2277" s="29" t="s">
        <v>403</v>
      </c>
      <c r="F2277" s="29" t="str">
        <f>LOOKUP(A2277,'QALS - Inspection Lot Record'!A:A,'QALS - Inspection Lot Record'!G:G)</f>
        <v>ZK384180</v>
      </c>
      <c r="G2277" s="59">
        <f ca="1">LOOKUP(A2277,'QALS - Inspection Lot Record'!A:A,'QALS - Inspection Lot Record'!E:E)</f>
        <v>46012</v>
      </c>
      <c r="H2277" s="34" t="str">
        <f t="shared" si="180"/>
        <v>A</v>
      </c>
      <c r="I2277" s="29" t="str">
        <f t="shared" si="176"/>
        <v>ZK384180</v>
      </c>
      <c r="J2277" s="59">
        <f t="shared" ca="1" si="177"/>
        <v>46012</v>
      </c>
      <c r="K2277" s="30">
        <f ca="1">LOOKUP(A2277,'QALS - Inspection Lot Record'!A:A,'QALS - Inspection Lot Record'!I:I)</f>
        <v>0.53472222222222221</v>
      </c>
      <c r="L2277" s="59">
        <f t="shared" ca="1" si="178"/>
        <v>46012</v>
      </c>
      <c r="M2277" s="30">
        <f t="shared" ca="1" si="179"/>
        <v>0.56432870370370369</v>
      </c>
      <c r="N2277" s="31"/>
      <c r="O2277" s="31">
        <v>0.5</v>
      </c>
      <c r="P2277" s="29">
        <v>0</v>
      </c>
      <c r="Q2277" s="29">
        <v>1</v>
      </c>
    </row>
    <row r="2278" spans="1:17" x14ac:dyDescent="0.35">
      <c r="A2278" s="26">
        <v>40000002785</v>
      </c>
      <c r="B2278" s="31">
        <v>1</v>
      </c>
      <c r="C2278" s="29" t="str">
        <f>LOOKUP(A2278,'QALS - Inspection Lot Record'!$A$2:$A$361,'QALS - Inspection Lot Record'!$O$2:$O$361)</f>
        <v>Ibuprofen Tablets (100 MG)</v>
      </c>
      <c r="D2278" s="31">
        <v>50</v>
      </c>
      <c r="E2278" s="29" t="s">
        <v>404</v>
      </c>
      <c r="F2278" s="29" t="str">
        <f>LOOKUP(A2278,'QALS - Inspection Lot Record'!A:A,'QALS - Inspection Lot Record'!G:G)</f>
        <v>ZK384180</v>
      </c>
      <c r="G2278" s="59">
        <f ca="1">LOOKUP(A2278,'QALS - Inspection Lot Record'!A:A,'QALS - Inspection Lot Record'!E:E)</f>
        <v>46012</v>
      </c>
      <c r="H2278" s="34" t="str">
        <f t="shared" si="180"/>
        <v>A</v>
      </c>
      <c r="I2278" s="29" t="str">
        <f t="shared" si="176"/>
        <v>ZK384180</v>
      </c>
      <c r="J2278" s="59">
        <f t="shared" ca="1" si="177"/>
        <v>46012</v>
      </c>
      <c r="K2278" s="30">
        <f ca="1">LOOKUP(A2278,'QALS - Inspection Lot Record'!A:A,'QALS - Inspection Lot Record'!I:I)</f>
        <v>0.53472222222222221</v>
      </c>
      <c r="L2278" s="59">
        <f t="shared" ca="1" si="178"/>
        <v>46012</v>
      </c>
      <c r="M2278" s="30">
        <f t="shared" ca="1" si="179"/>
        <v>0.55543981481481475</v>
      </c>
      <c r="N2278" s="31"/>
      <c r="O2278" s="31">
        <v>45.3</v>
      </c>
      <c r="P2278" s="29">
        <v>40</v>
      </c>
      <c r="Q2278" s="29">
        <v>60</v>
      </c>
    </row>
    <row r="2279" spans="1:17" x14ac:dyDescent="0.35">
      <c r="A2279" s="26">
        <v>40000002785</v>
      </c>
      <c r="B2279" s="31">
        <v>1</v>
      </c>
      <c r="C2279" s="29" t="str">
        <f>LOOKUP(A2279,'QALS - Inspection Lot Record'!$A$2:$A$361,'QALS - Inspection Lot Record'!$O$2:$O$361)</f>
        <v>Ibuprofen Tablets (100 MG)</v>
      </c>
      <c r="D2279" s="31">
        <v>60</v>
      </c>
      <c r="E2279" s="29" t="s">
        <v>405</v>
      </c>
      <c r="F2279" s="29" t="str">
        <f>LOOKUP(A2279,'QALS - Inspection Lot Record'!A:A,'QALS - Inspection Lot Record'!G:G)</f>
        <v>ZK384180</v>
      </c>
      <c r="G2279" s="59">
        <f ca="1">LOOKUP(A2279,'QALS - Inspection Lot Record'!A:A,'QALS - Inspection Lot Record'!E:E)</f>
        <v>46012</v>
      </c>
      <c r="H2279" s="34" t="str">
        <f t="shared" si="180"/>
        <v>R</v>
      </c>
      <c r="I2279" s="29" t="str">
        <f t="shared" si="176"/>
        <v>ZK384180</v>
      </c>
      <c r="J2279" s="59">
        <f t="shared" ca="1" si="177"/>
        <v>46012</v>
      </c>
      <c r="K2279" s="30">
        <f ca="1">LOOKUP(A2279,'QALS - Inspection Lot Record'!A:A,'QALS - Inspection Lot Record'!I:I)</f>
        <v>0.53472222222222221</v>
      </c>
      <c r="L2279" s="59">
        <f t="shared" ca="1" si="178"/>
        <v>46012</v>
      </c>
      <c r="M2279" s="30">
        <f t="shared" ca="1" si="179"/>
        <v>0.56842592592592589</v>
      </c>
      <c r="N2279" s="31"/>
      <c r="O2279" s="31">
        <v>68.099999999999994</v>
      </c>
      <c r="P2279" s="29">
        <v>70</v>
      </c>
      <c r="Q2279" s="29">
        <v>85</v>
      </c>
    </row>
    <row r="2280" spans="1:17" x14ac:dyDescent="0.35">
      <c r="A2280" s="26">
        <v>40000002785</v>
      </c>
      <c r="B2280" s="31">
        <v>1</v>
      </c>
      <c r="C2280" s="29" t="str">
        <f>LOOKUP(A2280,'QALS - Inspection Lot Record'!$A$2:$A$361,'QALS - Inspection Lot Record'!$O$2:$O$361)</f>
        <v>Ibuprofen Tablets (100 MG)</v>
      </c>
      <c r="D2280" s="31">
        <v>70</v>
      </c>
      <c r="E2280" s="29" t="s">
        <v>406</v>
      </c>
      <c r="F2280" s="29" t="str">
        <f>LOOKUP(A2280,'QALS - Inspection Lot Record'!A:A,'QALS - Inspection Lot Record'!G:G)</f>
        <v>ZK384180</v>
      </c>
      <c r="G2280" s="59">
        <f ca="1">LOOKUP(A2280,'QALS - Inspection Lot Record'!A:A,'QALS - Inspection Lot Record'!E:E)</f>
        <v>46012</v>
      </c>
      <c r="H2280" s="34" t="str">
        <f t="shared" si="180"/>
        <v>R</v>
      </c>
      <c r="I2280" s="29" t="str">
        <f t="shared" si="176"/>
        <v>ZK384180</v>
      </c>
      <c r="J2280" s="59">
        <f t="shared" ca="1" si="177"/>
        <v>46012</v>
      </c>
      <c r="K2280" s="30">
        <f ca="1">LOOKUP(A2280,'QALS - Inspection Lot Record'!A:A,'QALS - Inspection Lot Record'!I:I)</f>
        <v>0.53472222222222221</v>
      </c>
      <c r="L2280" s="59">
        <f t="shared" ca="1" si="178"/>
        <v>46012</v>
      </c>
      <c r="M2280" s="30">
        <f t="shared" ca="1" si="179"/>
        <v>0.55641203703703701</v>
      </c>
      <c r="N2280" s="31"/>
      <c r="O2280" s="31">
        <v>78</v>
      </c>
      <c r="P2280" s="29">
        <v>80</v>
      </c>
      <c r="Q2280" s="29">
        <v>90</v>
      </c>
    </row>
    <row r="2281" spans="1:17" x14ac:dyDescent="0.35">
      <c r="A2281" s="26">
        <v>40000002785</v>
      </c>
      <c r="B2281" s="31">
        <v>1</v>
      </c>
      <c r="C2281" s="29" t="str">
        <f>LOOKUP(A2281,'QALS - Inspection Lot Record'!$A$2:$A$361,'QALS - Inspection Lot Record'!$O$2:$O$361)</f>
        <v>Ibuprofen Tablets (100 MG)</v>
      </c>
      <c r="D2281" s="31">
        <v>80</v>
      </c>
      <c r="E2281" s="29" t="s">
        <v>407</v>
      </c>
      <c r="F2281" s="29" t="str">
        <f>LOOKUP(A2281,'QALS - Inspection Lot Record'!A:A,'QALS - Inspection Lot Record'!G:G)</f>
        <v>ZK384180</v>
      </c>
      <c r="G2281" s="59">
        <f ca="1">LOOKUP(A2281,'QALS - Inspection Lot Record'!A:A,'QALS - Inspection Lot Record'!E:E)</f>
        <v>46012</v>
      </c>
      <c r="H2281" s="34" t="str">
        <f t="shared" si="180"/>
        <v>A</v>
      </c>
      <c r="I2281" s="29" t="str">
        <f t="shared" si="176"/>
        <v>ZK384180</v>
      </c>
      <c r="J2281" s="59">
        <f t="shared" ca="1" si="177"/>
        <v>46012</v>
      </c>
      <c r="K2281" s="30">
        <f ca="1">LOOKUP(A2281,'QALS - Inspection Lot Record'!A:A,'QALS - Inspection Lot Record'!I:I)</f>
        <v>0.53472222222222221</v>
      </c>
      <c r="L2281" s="59">
        <f t="shared" ca="1" si="178"/>
        <v>46012</v>
      </c>
      <c r="M2281" s="30">
        <f t="shared" ca="1" si="179"/>
        <v>0.56418981481481478</v>
      </c>
      <c r="N2281" s="31"/>
      <c r="O2281" s="31">
        <v>24</v>
      </c>
      <c r="P2281" s="29">
        <v>23</v>
      </c>
      <c r="Q2281" s="29">
        <v>25</v>
      </c>
    </row>
    <row r="2282" spans="1:17" x14ac:dyDescent="0.35">
      <c r="A2282" s="26">
        <v>40000002786</v>
      </c>
      <c r="B2282" s="27">
        <v>1</v>
      </c>
      <c r="C2282" s="29" t="str">
        <f>LOOKUP(A2282,'QALS - Inspection Lot Record'!$A$2:$A$361,'QALS - Inspection Lot Record'!$O$2:$O$361)</f>
        <v>Aspirin Tablets (500 MG)</v>
      </c>
      <c r="D2282" s="27">
        <v>10</v>
      </c>
      <c r="E2282" s="26" t="s">
        <v>399</v>
      </c>
      <c r="F2282" s="29" t="str">
        <f>LOOKUP(A2282,'QALS - Inspection Lot Record'!A:A,'QALS - Inspection Lot Record'!G:G)</f>
        <v>GC197258</v>
      </c>
      <c r="G2282" s="59">
        <f ca="1">LOOKUP(A2282,'QALS - Inspection Lot Record'!A:A,'QALS - Inspection Lot Record'!E:E)</f>
        <v>46012</v>
      </c>
      <c r="H2282" s="34" t="str">
        <f t="shared" si="180"/>
        <v>R</v>
      </c>
      <c r="I2282" s="29" t="str">
        <f t="shared" si="176"/>
        <v>GC197258</v>
      </c>
      <c r="J2282" s="59">
        <f t="shared" ca="1" si="177"/>
        <v>46012</v>
      </c>
      <c r="K2282" s="30">
        <f ca="1">LOOKUP(A2282,'QALS - Inspection Lot Record'!A:A,'QALS - Inspection Lot Record'!I:I)</f>
        <v>0.24062500000000001</v>
      </c>
      <c r="L2282" s="59">
        <f t="shared" ca="1" si="178"/>
        <v>46012</v>
      </c>
      <c r="M2282" s="30">
        <f t="shared" ca="1" si="179"/>
        <v>0.26550925925925928</v>
      </c>
      <c r="N2282" s="31"/>
      <c r="O2282" s="31">
        <v>94</v>
      </c>
      <c r="P2282" s="29">
        <v>95</v>
      </c>
      <c r="Q2282" s="29">
        <v>105</v>
      </c>
    </row>
    <row r="2283" spans="1:17" x14ac:dyDescent="0.35">
      <c r="A2283" s="26">
        <v>40000002786</v>
      </c>
      <c r="B2283" s="27">
        <v>1</v>
      </c>
      <c r="C2283" s="29" t="str">
        <f>LOOKUP(A2283,'QALS - Inspection Lot Record'!$A$2:$A$361,'QALS - Inspection Lot Record'!$O$2:$O$361)</f>
        <v>Aspirin Tablets (500 MG)</v>
      </c>
      <c r="D2283" s="31">
        <v>20</v>
      </c>
      <c r="E2283" s="29" t="s">
        <v>400</v>
      </c>
      <c r="F2283" s="29" t="str">
        <f>LOOKUP(A2283,'QALS - Inspection Lot Record'!A:A,'QALS - Inspection Lot Record'!G:G)</f>
        <v>GC197258</v>
      </c>
      <c r="G2283" s="59">
        <f ca="1">LOOKUP(A2283,'QALS - Inspection Lot Record'!A:A,'QALS - Inspection Lot Record'!E:E)</f>
        <v>46012</v>
      </c>
      <c r="H2283" s="34" t="str">
        <f t="shared" si="180"/>
        <v>A</v>
      </c>
      <c r="I2283" s="29" t="str">
        <f t="shared" si="176"/>
        <v>GC197258</v>
      </c>
      <c r="J2283" s="59">
        <f t="shared" ca="1" si="177"/>
        <v>46012</v>
      </c>
      <c r="K2283" s="30">
        <f ca="1">LOOKUP(A2283,'QALS - Inspection Lot Record'!A:A,'QALS - Inspection Lot Record'!I:I)</f>
        <v>0.24062500000000001</v>
      </c>
      <c r="L2283" s="59">
        <f t="shared" ca="1" si="178"/>
        <v>46012</v>
      </c>
      <c r="M2283" s="30">
        <f t="shared" ca="1" si="179"/>
        <v>0.2751736111111111</v>
      </c>
      <c r="N2283" s="31"/>
      <c r="O2283" s="31">
        <v>3.8</v>
      </c>
      <c r="P2283" s="29">
        <v>3.5</v>
      </c>
      <c r="Q2283" s="29">
        <v>11</v>
      </c>
    </row>
    <row r="2284" spans="1:17" x14ac:dyDescent="0.35">
      <c r="A2284" s="26">
        <v>40000002786</v>
      </c>
      <c r="B2284" s="31">
        <v>1</v>
      </c>
      <c r="C2284" s="29" t="str">
        <f>LOOKUP(A2284,'QALS - Inspection Lot Record'!$A$2:$A$361,'QALS - Inspection Lot Record'!$O$2:$O$361)</f>
        <v>Aspirin Tablets (500 MG)</v>
      </c>
      <c r="D2284" s="31">
        <v>30</v>
      </c>
      <c r="E2284" s="29" t="s">
        <v>401</v>
      </c>
      <c r="F2284" s="29" t="str">
        <f>LOOKUP(A2284,'QALS - Inspection Lot Record'!A:A,'QALS - Inspection Lot Record'!G:G)</f>
        <v>GC197258</v>
      </c>
      <c r="G2284" s="59">
        <f ca="1">LOOKUP(A2284,'QALS - Inspection Lot Record'!A:A,'QALS - Inspection Lot Record'!E:E)</f>
        <v>46012</v>
      </c>
      <c r="H2284" s="34" t="str">
        <f t="shared" si="180"/>
        <v>A</v>
      </c>
      <c r="I2284" s="29" t="str">
        <f t="shared" si="176"/>
        <v>GC197258</v>
      </c>
      <c r="J2284" s="59">
        <f t="shared" ca="1" si="177"/>
        <v>46012</v>
      </c>
      <c r="K2284" s="30">
        <f ca="1">LOOKUP(A2284,'QALS - Inspection Lot Record'!A:A,'QALS - Inspection Lot Record'!I:I)</f>
        <v>0.24062500000000001</v>
      </c>
      <c r="L2284" s="59">
        <f t="shared" ca="1" si="178"/>
        <v>46012</v>
      </c>
      <c r="M2284" s="30">
        <f t="shared" ca="1" si="179"/>
        <v>0.26958333333333334</v>
      </c>
      <c r="N2284" s="11" t="s">
        <v>402</v>
      </c>
      <c r="O2284" s="31"/>
      <c r="P2284" s="29"/>
      <c r="Q2284" s="29"/>
    </row>
    <row r="2285" spans="1:17" x14ac:dyDescent="0.35">
      <c r="A2285" s="26">
        <v>40000002786</v>
      </c>
      <c r="B2285" s="31">
        <v>1</v>
      </c>
      <c r="C2285" s="29" t="str">
        <f>LOOKUP(A2285,'QALS - Inspection Lot Record'!$A$2:$A$361,'QALS - Inspection Lot Record'!$O$2:$O$361)</f>
        <v>Aspirin Tablets (500 MG)</v>
      </c>
      <c r="D2285" s="31">
        <v>40</v>
      </c>
      <c r="E2285" s="29" t="s">
        <v>403</v>
      </c>
      <c r="F2285" s="29" t="str">
        <f>LOOKUP(A2285,'QALS - Inspection Lot Record'!A:A,'QALS - Inspection Lot Record'!G:G)</f>
        <v>GC197258</v>
      </c>
      <c r="G2285" s="59">
        <f ca="1">LOOKUP(A2285,'QALS - Inspection Lot Record'!A:A,'QALS - Inspection Lot Record'!E:E)</f>
        <v>46012</v>
      </c>
      <c r="H2285" s="34" t="str">
        <f t="shared" si="180"/>
        <v>R</v>
      </c>
      <c r="I2285" s="29" t="str">
        <f t="shared" si="176"/>
        <v>GC197258</v>
      </c>
      <c r="J2285" s="59">
        <f t="shared" ca="1" si="177"/>
        <v>46012</v>
      </c>
      <c r="K2285" s="30">
        <f ca="1">LOOKUP(A2285,'QALS - Inspection Lot Record'!A:A,'QALS - Inspection Lot Record'!I:I)</f>
        <v>0.24062500000000001</v>
      </c>
      <c r="L2285" s="59">
        <f t="shared" ca="1" si="178"/>
        <v>46012</v>
      </c>
      <c r="M2285" s="30">
        <f t="shared" ca="1" si="179"/>
        <v>0.26636574074074076</v>
      </c>
      <c r="N2285" s="31"/>
      <c r="O2285" s="31">
        <v>3</v>
      </c>
      <c r="P2285" s="29">
        <v>0</v>
      </c>
      <c r="Q2285" s="29">
        <v>2.5</v>
      </c>
    </row>
    <row r="2286" spans="1:17" x14ac:dyDescent="0.35">
      <c r="A2286" s="26">
        <v>40000002786</v>
      </c>
      <c r="B2286" s="31">
        <v>1</v>
      </c>
      <c r="C2286" s="29" t="str">
        <f>LOOKUP(A2286,'QALS - Inspection Lot Record'!$A$2:$A$361,'QALS - Inspection Lot Record'!$O$2:$O$361)</f>
        <v>Aspirin Tablets (500 MG)</v>
      </c>
      <c r="D2286" s="31">
        <v>50</v>
      </c>
      <c r="E2286" s="29" t="s">
        <v>404</v>
      </c>
      <c r="F2286" s="29" t="str">
        <f>LOOKUP(A2286,'QALS - Inspection Lot Record'!A:A,'QALS - Inspection Lot Record'!G:G)</f>
        <v>GC197258</v>
      </c>
      <c r="G2286" s="59">
        <f ca="1">LOOKUP(A2286,'QALS - Inspection Lot Record'!A:A,'QALS - Inspection Lot Record'!E:E)</f>
        <v>46012</v>
      </c>
      <c r="H2286" s="34" t="str">
        <f t="shared" si="180"/>
        <v>A</v>
      </c>
      <c r="I2286" s="29" t="str">
        <f t="shared" si="176"/>
        <v>GC197258</v>
      </c>
      <c r="J2286" s="59">
        <f t="shared" ca="1" si="177"/>
        <v>46012</v>
      </c>
      <c r="K2286" s="30">
        <f ca="1">LOOKUP(A2286,'QALS - Inspection Lot Record'!A:A,'QALS - Inspection Lot Record'!I:I)</f>
        <v>0.24062500000000001</v>
      </c>
      <c r="L2286" s="59">
        <f t="shared" ca="1" si="178"/>
        <v>46012</v>
      </c>
      <c r="M2286" s="30">
        <f t="shared" ca="1" si="179"/>
        <v>0.27312500000000001</v>
      </c>
      <c r="N2286" s="31"/>
      <c r="O2286" s="31">
        <v>42</v>
      </c>
      <c r="P2286" s="29">
        <v>40</v>
      </c>
      <c r="Q2286" s="29">
        <v>60</v>
      </c>
    </row>
    <row r="2287" spans="1:17" x14ac:dyDescent="0.35">
      <c r="A2287" s="26">
        <v>40000002786</v>
      </c>
      <c r="B2287" s="31">
        <v>1</v>
      </c>
      <c r="C2287" s="29" t="str">
        <f>LOOKUP(A2287,'QALS - Inspection Lot Record'!$A$2:$A$361,'QALS - Inspection Lot Record'!$O$2:$O$361)</f>
        <v>Aspirin Tablets (500 MG)</v>
      </c>
      <c r="D2287" s="31">
        <v>60</v>
      </c>
      <c r="E2287" s="29" t="s">
        <v>405</v>
      </c>
      <c r="F2287" s="29" t="str">
        <f>LOOKUP(A2287,'QALS - Inspection Lot Record'!A:A,'QALS - Inspection Lot Record'!G:G)</f>
        <v>GC197258</v>
      </c>
      <c r="G2287" s="59">
        <f ca="1">LOOKUP(A2287,'QALS - Inspection Lot Record'!A:A,'QALS - Inspection Lot Record'!E:E)</f>
        <v>46012</v>
      </c>
      <c r="H2287" s="34" t="str">
        <f t="shared" si="180"/>
        <v>A</v>
      </c>
      <c r="I2287" s="29" t="str">
        <f t="shared" si="176"/>
        <v>GC197258</v>
      </c>
      <c r="J2287" s="59">
        <f t="shared" ca="1" si="177"/>
        <v>46012</v>
      </c>
      <c r="K2287" s="30">
        <f ca="1">LOOKUP(A2287,'QALS - Inspection Lot Record'!A:A,'QALS - Inspection Lot Record'!I:I)</f>
        <v>0.24062500000000001</v>
      </c>
      <c r="L2287" s="59">
        <f t="shared" ca="1" si="178"/>
        <v>46012</v>
      </c>
      <c r="M2287" s="30">
        <f t="shared" ca="1" si="179"/>
        <v>0.26886574074074077</v>
      </c>
      <c r="N2287" s="31"/>
      <c r="O2287" s="31">
        <v>74.3</v>
      </c>
      <c r="P2287" s="29">
        <v>70</v>
      </c>
      <c r="Q2287" s="29">
        <v>85</v>
      </c>
    </row>
    <row r="2288" spans="1:17" x14ac:dyDescent="0.35">
      <c r="A2288" s="26">
        <v>40000002786</v>
      </c>
      <c r="B2288" s="31">
        <v>1</v>
      </c>
      <c r="C2288" s="29" t="str">
        <f>LOOKUP(A2288,'QALS - Inspection Lot Record'!$A$2:$A$361,'QALS - Inspection Lot Record'!$O$2:$O$361)</f>
        <v>Aspirin Tablets (500 MG)</v>
      </c>
      <c r="D2288" s="31">
        <v>70</v>
      </c>
      <c r="E2288" s="29" t="s">
        <v>406</v>
      </c>
      <c r="F2288" s="29" t="str">
        <f>LOOKUP(A2288,'QALS - Inspection Lot Record'!A:A,'QALS - Inspection Lot Record'!G:G)</f>
        <v>GC197258</v>
      </c>
      <c r="G2288" s="59">
        <f ca="1">LOOKUP(A2288,'QALS - Inspection Lot Record'!A:A,'QALS - Inspection Lot Record'!E:E)</f>
        <v>46012</v>
      </c>
      <c r="H2288" s="34" t="str">
        <f t="shared" si="180"/>
        <v>A</v>
      </c>
      <c r="I2288" s="29" t="str">
        <f t="shared" si="176"/>
        <v>GC197258</v>
      </c>
      <c r="J2288" s="59">
        <f t="shared" ca="1" si="177"/>
        <v>46012</v>
      </c>
      <c r="K2288" s="30">
        <f ca="1">LOOKUP(A2288,'QALS - Inspection Lot Record'!A:A,'QALS - Inspection Lot Record'!I:I)</f>
        <v>0.24062500000000001</v>
      </c>
      <c r="L2288" s="59">
        <f t="shared" ca="1" si="178"/>
        <v>46012</v>
      </c>
      <c r="M2288" s="30">
        <f t="shared" ca="1" si="179"/>
        <v>0.25953703703703707</v>
      </c>
      <c r="N2288" s="31"/>
      <c r="O2288" s="31">
        <v>84.6</v>
      </c>
      <c r="P2288" s="29">
        <v>80</v>
      </c>
      <c r="Q2288" s="29">
        <v>90</v>
      </c>
    </row>
    <row r="2289" spans="1:17" x14ac:dyDescent="0.35">
      <c r="A2289" s="26">
        <v>40000002786</v>
      </c>
      <c r="B2289" s="31">
        <v>1</v>
      </c>
      <c r="C2289" s="29" t="str">
        <f>LOOKUP(A2289,'QALS - Inspection Lot Record'!$A$2:$A$361,'QALS - Inspection Lot Record'!$O$2:$O$361)</f>
        <v>Aspirin Tablets (500 MG)</v>
      </c>
      <c r="D2289" s="31">
        <v>80</v>
      </c>
      <c r="E2289" s="29" t="s">
        <v>407</v>
      </c>
      <c r="F2289" s="29" t="str">
        <f>LOOKUP(A2289,'QALS - Inspection Lot Record'!A:A,'QALS - Inspection Lot Record'!G:G)</f>
        <v>GC197258</v>
      </c>
      <c r="G2289" s="59">
        <f ca="1">LOOKUP(A2289,'QALS - Inspection Lot Record'!A:A,'QALS - Inspection Lot Record'!E:E)</f>
        <v>46012</v>
      </c>
      <c r="H2289" s="34" t="str">
        <f t="shared" si="180"/>
        <v>A</v>
      </c>
      <c r="I2289" s="29" t="str">
        <f t="shared" si="176"/>
        <v>GC197258</v>
      </c>
      <c r="J2289" s="59">
        <f t="shared" ca="1" si="177"/>
        <v>46012</v>
      </c>
      <c r="K2289" s="30">
        <f ca="1">LOOKUP(A2289,'QALS - Inspection Lot Record'!A:A,'QALS - Inspection Lot Record'!I:I)</f>
        <v>0.24062500000000001</v>
      </c>
      <c r="L2289" s="59">
        <f t="shared" ca="1" si="178"/>
        <v>46012</v>
      </c>
      <c r="M2289" s="30">
        <f t="shared" ca="1" si="179"/>
        <v>0.26037037037037036</v>
      </c>
      <c r="N2289" s="31"/>
      <c r="O2289" s="31">
        <v>24</v>
      </c>
      <c r="P2289" s="29">
        <v>23</v>
      </c>
      <c r="Q2289" s="29">
        <v>28</v>
      </c>
    </row>
    <row r="2290" spans="1:17" x14ac:dyDescent="0.35">
      <c r="A2290" s="26">
        <v>40000002787</v>
      </c>
      <c r="B2290" s="27">
        <v>1</v>
      </c>
      <c r="C2290" s="29" t="str">
        <f>LOOKUP(A2290,'QALS - Inspection Lot Record'!$A$2:$A$361,'QALS - Inspection Lot Record'!$O$2:$O$361)</f>
        <v>Metformin Tablets (200 MG)</v>
      </c>
      <c r="D2290" s="27">
        <v>10</v>
      </c>
      <c r="E2290" s="26" t="s">
        <v>399</v>
      </c>
      <c r="F2290" s="29" t="str">
        <f>LOOKUP(A2290,'QALS - Inspection Lot Record'!A:A,'QALS - Inspection Lot Record'!G:G)</f>
        <v>AB406550</v>
      </c>
      <c r="G2290" s="59">
        <f ca="1">LOOKUP(A2290,'QALS - Inspection Lot Record'!A:A,'QALS - Inspection Lot Record'!E:E)</f>
        <v>46013</v>
      </c>
      <c r="H2290" s="34" t="str">
        <f t="shared" si="180"/>
        <v>A</v>
      </c>
      <c r="I2290" s="29" t="str">
        <f t="shared" si="176"/>
        <v>AB406550</v>
      </c>
      <c r="J2290" s="59">
        <f t="shared" ca="1" si="177"/>
        <v>46013</v>
      </c>
      <c r="K2290" s="30">
        <f ca="1">LOOKUP(A2290,'QALS - Inspection Lot Record'!A:A,'QALS - Inspection Lot Record'!I:I)</f>
        <v>0.54056712962962961</v>
      </c>
      <c r="L2290" s="59">
        <f t="shared" ca="1" si="178"/>
        <v>46013</v>
      </c>
      <c r="M2290" s="30">
        <f t="shared" ca="1" si="179"/>
        <v>0.5675</v>
      </c>
      <c r="N2290" s="31"/>
      <c r="O2290" s="31">
        <v>99</v>
      </c>
      <c r="P2290" s="29">
        <v>95</v>
      </c>
      <c r="Q2290" s="29">
        <v>103</v>
      </c>
    </row>
    <row r="2291" spans="1:17" x14ac:dyDescent="0.35">
      <c r="A2291" s="26">
        <v>40000002787</v>
      </c>
      <c r="B2291" s="27">
        <v>1</v>
      </c>
      <c r="C2291" s="29" t="str">
        <f>LOOKUP(A2291,'QALS - Inspection Lot Record'!$A$2:$A$361,'QALS - Inspection Lot Record'!$O$2:$O$361)</f>
        <v>Metformin Tablets (200 MG)</v>
      </c>
      <c r="D2291" s="31">
        <v>20</v>
      </c>
      <c r="E2291" s="29" t="s">
        <v>400</v>
      </c>
      <c r="F2291" s="29" t="str">
        <f>LOOKUP(A2291,'QALS - Inspection Lot Record'!A:A,'QALS - Inspection Lot Record'!G:G)</f>
        <v>AB406550</v>
      </c>
      <c r="G2291" s="59">
        <f ca="1">LOOKUP(A2291,'QALS - Inspection Lot Record'!A:A,'QALS - Inspection Lot Record'!E:E)</f>
        <v>46013</v>
      </c>
      <c r="H2291" s="34" t="str">
        <f t="shared" si="180"/>
        <v>A</v>
      </c>
      <c r="I2291" s="29" t="str">
        <f t="shared" si="176"/>
        <v>AB406550</v>
      </c>
      <c r="J2291" s="59">
        <f t="shared" ca="1" si="177"/>
        <v>46013</v>
      </c>
      <c r="K2291" s="30">
        <f ca="1">LOOKUP(A2291,'QALS - Inspection Lot Record'!A:A,'QALS - Inspection Lot Record'!I:I)</f>
        <v>0.54056712962962961</v>
      </c>
      <c r="L2291" s="59">
        <f t="shared" ca="1" si="178"/>
        <v>46013</v>
      </c>
      <c r="M2291" s="30">
        <f t="shared" ca="1" si="179"/>
        <v>0.55945601851851845</v>
      </c>
      <c r="N2291" s="31"/>
      <c r="O2291" s="31">
        <v>7.75</v>
      </c>
      <c r="P2291" s="29">
        <v>6</v>
      </c>
      <c r="Q2291" s="29">
        <v>9.5</v>
      </c>
    </row>
    <row r="2292" spans="1:17" x14ac:dyDescent="0.35">
      <c r="A2292" s="26">
        <v>40000002787</v>
      </c>
      <c r="B2292" s="31">
        <v>1</v>
      </c>
      <c r="C2292" s="29" t="str">
        <f>LOOKUP(A2292,'QALS - Inspection Lot Record'!$A$2:$A$361,'QALS - Inspection Lot Record'!$O$2:$O$361)</f>
        <v>Metformin Tablets (200 MG)</v>
      </c>
      <c r="D2292" s="31">
        <v>30</v>
      </c>
      <c r="E2292" s="29" t="s">
        <v>401</v>
      </c>
      <c r="F2292" s="29" t="str">
        <f>LOOKUP(A2292,'QALS - Inspection Lot Record'!A:A,'QALS - Inspection Lot Record'!G:G)</f>
        <v>AB406550</v>
      </c>
      <c r="G2292" s="59">
        <f ca="1">LOOKUP(A2292,'QALS - Inspection Lot Record'!A:A,'QALS - Inspection Lot Record'!E:E)</f>
        <v>46013</v>
      </c>
      <c r="H2292" s="34" t="str">
        <f t="shared" si="180"/>
        <v>A</v>
      </c>
      <c r="I2292" s="29" t="str">
        <f t="shared" si="176"/>
        <v>AB406550</v>
      </c>
      <c r="J2292" s="59">
        <f t="shared" ca="1" si="177"/>
        <v>46013</v>
      </c>
      <c r="K2292" s="30">
        <f ca="1">LOOKUP(A2292,'QALS - Inspection Lot Record'!A:A,'QALS - Inspection Lot Record'!I:I)</f>
        <v>0.54056712962962961</v>
      </c>
      <c r="L2292" s="59">
        <f t="shared" ca="1" si="178"/>
        <v>46013</v>
      </c>
      <c r="M2292" s="30">
        <f t="shared" ca="1" si="179"/>
        <v>0.56261574074074072</v>
      </c>
      <c r="N2292" s="11" t="s">
        <v>402</v>
      </c>
      <c r="O2292" s="31"/>
      <c r="P2292" s="29"/>
      <c r="Q2292" s="29"/>
    </row>
    <row r="2293" spans="1:17" x14ac:dyDescent="0.35">
      <c r="A2293" s="26">
        <v>40000002787</v>
      </c>
      <c r="B2293" s="31">
        <v>1</v>
      </c>
      <c r="C2293" s="29" t="str">
        <f>LOOKUP(A2293,'QALS - Inspection Lot Record'!$A$2:$A$361,'QALS - Inspection Lot Record'!$O$2:$O$361)</f>
        <v>Metformin Tablets (200 MG)</v>
      </c>
      <c r="D2293" s="31">
        <v>40</v>
      </c>
      <c r="E2293" s="29" t="s">
        <v>403</v>
      </c>
      <c r="F2293" s="29" t="str">
        <f>LOOKUP(A2293,'QALS - Inspection Lot Record'!A:A,'QALS - Inspection Lot Record'!G:G)</f>
        <v>AB406550</v>
      </c>
      <c r="G2293" s="59">
        <f ca="1">LOOKUP(A2293,'QALS - Inspection Lot Record'!A:A,'QALS - Inspection Lot Record'!E:E)</f>
        <v>46013</v>
      </c>
      <c r="H2293" s="34" t="str">
        <f t="shared" si="180"/>
        <v>A</v>
      </c>
      <c r="I2293" s="29" t="str">
        <f t="shared" si="176"/>
        <v>AB406550</v>
      </c>
      <c r="J2293" s="59">
        <f t="shared" ca="1" si="177"/>
        <v>46013</v>
      </c>
      <c r="K2293" s="30">
        <f ca="1">LOOKUP(A2293,'QALS - Inspection Lot Record'!A:A,'QALS - Inspection Lot Record'!I:I)</f>
        <v>0.54056712962962961</v>
      </c>
      <c r="L2293" s="59">
        <f t="shared" ca="1" si="178"/>
        <v>46013</v>
      </c>
      <c r="M2293" s="30">
        <f t="shared" ca="1" si="179"/>
        <v>0.55819444444444444</v>
      </c>
      <c r="N2293" s="31"/>
      <c r="O2293" s="31">
        <v>0</v>
      </c>
      <c r="P2293" s="29">
        <v>0</v>
      </c>
      <c r="Q2293" s="29">
        <v>2</v>
      </c>
    </row>
    <row r="2294" spans="1:17" x14ac:dyDescent="0.35">
      <c r="A2294" s="26">
        <v>40000002787</v>
      </c>
      <c r="B2294" s="31">
        <v>1</v>
      </c>
      <c r="C2294" s="29" t="str">
        <f>LOOKUP(A2294,'QALS - Inspection Lot Record'!$A$2:$A$361,'QALS - Inspection Lot Record'!$O$2:$O$361)</f>
        <v>Metformin Tablets (200 MG)</v>
      </c>
      <c r="D2294" s="31">
        <v>50</v>
      </c>
      <c r="E2294" s="29" t="s">
        <v>404</v>
      </c>
      <c r="F2294" s="29" t="str">
        <f>LOOKUP(A2294,'QALS - Inspection Lot Record'!A:A,'QALS - Inspection Lot Record'!G:G)</f>
        <v>AB406550</v>
      </c>
      <c r="G2294" s="59">
        <f ca="1">LOOKUP(A2294,'QALS - Inspection Lot Record'!A:A,'QALS - Inspection Lot Record'!E:E)</f>
        <v>46013</v>
      </c>
      <c r="H2294" s="34" t="str">
        <f t="shared" si="180"/>
        <v>A</v>
      </c>
      <c r="I2294" s="29" t="str">
        <f t="shared" si="176"/>
        <v>AB406550</v>
      </c>
      <c r="J2294" s="59">
        <f t="shared" ca="1" si="177"/>
        <v>46013</v>
      </c>
      <c r="K2294" s="30">
        <f ca="1">LOOKUP(A2294,'QALS - Inspection Lot Record'!A:A,'QALS - Inspection Lot Record'!I:I)</f>
        <v>0.54056712962962961</v>
      </c>
      <c r="L2294" s="59">
        <f t="shared" ca="1" si="178"/>
        <v>46013</v>
      </c>
      <c r="M2294" s="30">
        <f t="shared" ca="1" si="179"/>
        <v>0.55826388888888889</v>
      </c>
      <c r="N2294" s="31"/>
      <c r="O2294" s="31">
        <v>50</v>
      </c>
      <c r="P2294" s="29">
        <v>40</v>
      </c>
      <c r="Q2294" s="29">
        <v>60</v>
      </c>
    </row>
    <row r="2295" spans="1:17" x14ac:dyDescent="0.35">
      <c r="A2295" s="26">
        <v>40000002787</v>
      </c>
      <c r="B2295" s="31">
        <v>1</v>
      </c>
      <c r="C2295" s="29" t="str">
        <f>LOOKUP(A2295,'QALS - Inspection Lot Record'!$A$2:$A$361,'QALS - Inspection Lot Record'!$O$2:$O$361)</f>
        <v>Metformin Tablets (200 MG)</v>
      </c>
      <c r="D2295" s="31">
        <v>60</v>
      </c>
      <c r="E2295" s="29" t="s">
        <v>405</v>
      </c>
      <c r="F2295" s="29" t="str">
        <f>LOOKUP(A2295,'QALS - Inspection Lot Record'!A:A,'QALS - Inspection Lot Record'!G:G)</f>
        <v>AB406550</v>
      </c>
      <c r="G2295" s="59">
        <f ca="1">LOOKUP(A2295,'QALS - Inspection Lot Record'!A:A,'QALS - Inspection Lot Record'!E:E)</f>
        <v>46013</v>
      </c>
      <c r="H2295" s="34" t="str">
        <f t="shared" si="180"/>
        <v>A</v>
      </c>
      <c r="I2295" s="29" t="str">
        <f t="shared" si="176"/>
        <v>AB406550</v>
      </c>
      <c r="J2295" s="59">
        <f t="shared" ca="1" si="177"/>
        <v>46013</v>
      </c>
      <c r="K2295" s="30">
        <f ca="1">LOOKUP(A2295,'QALS - Inspection Lot Record'!A:A,'QALS - Inspection Lot Record'!I:I)</f>
        <v>0.54056712962962961</v>
      </c>
      <c r="L2295" s="59">
        <f t="shared" ca="1" si="178"/>
        <v>46013</v>
      </c>
      <c r="M2295" s="30">
        <f t="shared" ca="1" si="179"/>
        <v>0.56660879629629624</v>
      </c>
      <c r="N2295" s="31"/>
      <c r="O2295" s="31">
        <v>77.5</v>
      </c>
      <c r="P2295" s="29">
        <v>70</v>
      </c>
      <c r="Q2295" s="29">
        <v>85</v>
      </c>
    </row>
    <row r="2296" spans="1:17" x14ac:dyDescent="0.35">
      <c r="A2296" s="26">
        <v>40000002787</v>
      </c>
      <c r="B2296" s="31">
        <v>1</v>
      </c>
      <c r="C2296" s="29" t="str">
        <f>LOOKUP(A2296,'QALS - Inspection Lot Record'!$A$2:$A$361,'QALS - Inspection Lot Record'!$O$2:$O$361)</f>
        <v>Metformin Tablets (200 MG)</v>
      </c>
      <c r="D2296" s="31">
        <v>70</v>
      </c>
      <c r="E2296" s="29" t="s">
        <v>406</v>
      </c>
      <c r="F2296" s="29" t="str">
        <f>LOOKUP(A2296,'QALS - Inspection Lot Record'!A:A,'QALS - Inspection Lot Record'!G:G)</f>
        <v>AB406550</v>
      </c>
      <c r="G2296" s="59">
        <f ca="1">LOOKUP(A2296,'QALS - Inspection Lot Record'!A:A,'QALS - Inspection Lot Record'!E:E)</f>
        <v>46013</v>
      </c>
      <c r="H2296" s="34" t="str">
        <f t="shared" si="180"/>
        <v>A</v>
      </c>
      <c r="I2296" s="29" t="str">
        <f t="shared" si="176"/>
        <v>AB406550</v>
      </c>
      <c r="J2296" s="59">
        <f t="shared" ca="1" si="177"/>
        <v>46013</v>
      </c>
      <c r="K2296" s="30">
        <f ca="1">LOOKUP(A2296,'QALS - Inspection Lot Record'!A:A,'QALS - Inspection Lot Record'!I:I)</f>
        <v>0.54056712962962961</v>
      </c>
      <c r="L2296" s="59">
        <f t="shared" ca="1" si="178"/>
        <v>46013</v>
      </c>
      <c r="M2296" s="30">
        <f t="shared" ca="1" si="179"/>
        <v>0.55982638888888892</v>
      </c>
      <c r="N2296" s="31"/>
      <c r="O2296" s="31">
        <v>85</v>
      </c>
      <c r="P2296" s="29">
        <v>80</v>
      </c>
      <c r="Q2296" s="29">
        <v>90</v>
      </c>
    </row>
    <row r="2297" spans="1:17" x14ac:dyDescent="0.35">
      <c r="A2297" s="26">
        <v>40000002787</v>
      </c>
      <c r="B2297" s="31">
        <v>1</v>
      </c>
      <c r="C2297" s="29" t="str">
        <f>LOOKUP(A2297,'QALS - Inspection Lot Record'!$A$2:$A$361,'QALS - Inspection Lot Record'!$O$2:$O$361)</f>
        <v>Metformin Tablets (200 MG)</v>
      </c>
      <c r="D2297" s="31">
        <v>80</v>
      </c>
      <c r="E2297" s="29" t="s">
        <v>407</v>
      </c>
      <c r="F2297" s="29" t="str">
        <f>LOOKUP(A2297,'QALS - Inspection Lot Record'!A:A,'QALS - Inspection Lot Record'!G:G)</f>
        <v>AB406550</v>
      </c>
      <c r="G2297" s="59">
        <f ca="1">LOOKUP(A2297,'QALS - Inspection Lot Record'!A:A,'QALS - Inspection Lot Record'!E:E)</f>
        <v>46013</v>
      </c>
      <c r="H2297" s="34" t="str">
        <f t="shared" si="180"/>
        <v>A</v>
      </c>
      <c r="I2297" s="29" t="str">
        <f t="shared" si="176"/>
        <v>AB406550</v>
      </c>
      <c r="J2297" s="59">
        <f t="shared" ca="1" si="177"/>
        <v>46013</v>
      </c>
      <c r="K2297" s="30">
        <f ca="1">LOOKUP(A2297,'QALS - Inspection Lot Record'!A:A,'QALS - Inspection Lot Record'!I:I)</f>
        <v>0.54056712962962961</v>
      </c>
      <c r="L2297" s="59">
        <f t="shared" ca="1" si="178"/>
        <v>46013</v>
      </c>
      <c r="M2297" s="30">
        <f t="shared" ca="1" si="179"/>
        <v>0.5615162037037037</v>
      </c>
      <c r="N2297" s="31"/>
      <c r="O2297" s="31">
        <v>25.5</v>
      </c>
      <c r="P2297" s="29">
        <v>23</v>
      </c>
      <c r="Q2297" s="29">
        <v>28</v>
      </c>
    </row>
    <row r="2298" spans="1:17" x14ac:dyDescent="0.35">
      <c r="A2298" s="26">
        <v>40000002788</v>
      </c>
      <c r="B2298" s="27">
        <v>1</v>
      </c>
      <c r="C2298" s="29" t="str">
        <f>LOOKUP(A2298,'QALS - Inspection Lot Record'!$A$2:$A$361,'QALS - Inspection Lot Record'!$O$2:$O$361)</f>
        <v>Aspirin Tablets (500 MG)</v>
      </c>
      <c r="D2298" s="27">
        <v>10</v>
      </c>
      <c r="E2298" s="26" t="s">
        <v>399</v>
      </c>
      <c r="F2298" s="29" t="str">
        <f>LOOKUP(A2298,'QALS - Inspection Lot Record'!A:A,'QALS - Inspection Lot Record'!G:G)</f>
        <v>YA284176</v>
      </c>
      <c r="G2298" s="59">
        <f ca="1">LOOKUP(A2298,'QALS - Inspection Lot Record'!A:A,'QALS - Inspection Lot Record'!E:E)</f>
        <v>46013</v>
      </c>
      <c r="H2298" s="34" t="str">
        <f t="shared" si="180"/>
        <v>A</v>
      </c>
      <c r="I2298" s="29" t="str">
        <f t="shared" si="176"/>
        <v>YA284176</v>
      </c>
      <c r="J2298" s="59">
        <f t="shared" ca="1" si="177"/>
        <v>46013</v>
      </c>
      <c r="K2298" s="30">
        <f ca="1">LOOKUP(A2298,'QALS - Inspection Lot Record'!A:A,'QALS - Inspection Lot Record'!I:I)</f>
        <v>2.9201388888888888E-2</v>
      </c>
      <c r="L2298" s="59">
        <f t="shared" ca="1" si="178"/>
        <v>46013</v>
      </c>
      <c r="M2298" s="30">
        <f t="shared" ca="1" si="179"/>
        <v>6.1053240740740741E-2</v>
      </c>
      <c r="N2298" s="31"/>
      <c r="O2298" s="31">
        <v>100</v>
      </c>
      <c r="P2298" s="29">
        <v>95</v>
      </c>
      <c r="Q2298" s="29">
        <v>105</v>
      </c>
    </row>
    <row r="2299" spans="1:17" x14ac:dyDescent="0.35">
      <c r="A2299" s="26">
        <v>40000002788</v>
      </c>
      <c r="B2299" s="27">
        <v>1</v>
      </c>
      <c r="C2299" s="29" t="str">
        <f>LOOKUP(A2299,'QALS - Inspection Lot Record'!$A$2:$A$361,'QALS - Inspection Lot Record'!$O$2:$O$361)</f>
        <v>Aspirin Tablets (500 MG)</v>
      </c>
      <c r="D2299" s="31">
        <v>20</v>
      </c>
      <c r="E2299" s="29" t="s">
        <v>400</v>
      </c>
      <c r="F2299" s="29" t="str">
        <f>LOOKUP(A2299,'QALS - Inspection Lot Record'!A:A,'QALS - Inspection Lot Record'!G:G)</f>
        <v>YA284176</v>
      </c>
      <c r="G2299" s="59">
        <f ca="1">LOOKUP(A2299,'QALS - Inspection Lot Record'!A:A,'QALS - Inspection Lot Record'!E:E)</f>
        <v>46013</v>
      </c>
      <c r="H2299" s="34" t="str">
        <f t="shared" si="180"/>
        <v>A</v>
      </c>
      <c r="I2299" s="29" t="str">
        <f t="shared" si="176"/>
        <v>YA284176</v>
      </c>
      <c r="J2299" s="59">
        <f t="shared" ca="1" si="177"/>
        <v>46013</v>
      </c>
      <c r="K2299" s="30">
        <f ca="1">LOOKUP(A2299,'QALS - Inspection Lot Record'!A:A,'QALS - Inspection Lot Record'!I:I)</f>
        <v>2.9201388888888888E-2</v>
      </c>
      <c r="L2299" s="59">
        <f t="shared" ca="1" si="178"/>
        <v>46013</v>
      </c>
      <c r="M2299" s="30">
        <f t="shared" ca="1" si="179"/>
        <v>5.378472222222222E-2</v>
      </c>
      <c r="N2299" s="31"/>
      <c r="O2299" s="31">
        <v>7.25</v>
      </c>
      <c r="P2299" s="29">
        <v>3.5</v>
      </c>
      <c r="Q2299" s="29">
        <v>11</v>
      </c>
    </row>
    <row r="2300" spans="1:17" x14ac:dyDescent="0.35">
      <c r="A2300" s="26">
        <v>40000002788</v>
      </c>
      <c r="B2300" s="31">
        <v>1</v>
      </c>
      <c r="C2300" s="29" t="str">
        <f>LOOKUP(A2300,'QALS - Inspection Lot Record'!$A$2:$A$361,'QALS - Inspection Lot Record'!$O$2:$O$361)</f>
        <v>Aspirin Tablets (500 MG)</v>
      </c>
      <c r="D2300" s="31">
        <v>30</v>
      </c>
      <c r="E2300" s="29" t="s">
        <v>401</v>
      </c>
      <c r="F2300" s="29" t="str">
        <f>LOOKUP(A2300,'QALS - Inspection Lot Record'!A:A,'QALS - Inspection Lot Record'!G:G)</f>
        <v>YA284176</v>
      </c>
      <c r="G2300" s="59">
        <f ca="1">LOOKUP(A2300,'QALS - Inspection Lot Record'!A:A,'QALS - Inspection Lot Record'!E:E)</f>
        <v>46013</v>
      </c>
      <c r="H2300" s="34" t="str">
        <f t="shared" si="180"/>
        <v>A</v>
      </c>
      <c r="I2300" s="29" t="str">
        <f t="shared" si="176"/>
        <v>YA284176</v>
      </c>
      <c r="J2300" s="59">
        <f t="shared" ca="1" si="177"/>
        <v>46013</v>
      </c>
      <c r="K2300" s="30">
        <f ca="1">LOOKUP(A2300,'QALS - Inspection Lot Record'!A:A,'QALS - Inspection Lot Record'!I:I)</f>
        <v>2.9201388888888888E-2</v>
      </c>
      <c r="L2300" s="59">
        <f t="shared" ca="1" si="178"/>
        <v>46013</v>
      </c>
      <c r="M2300" s="30">
        <f t="shared" ca="1" si="179"/>
        <v>5.7499999999999996E-2</v>
      </c>
      <c r="N2300" s="11" t="s">
        <v>402</v>
      </c>
      <c r="O2300" s="31"/>
      <c r="P2300" s="29"/>
      <c r="Q2300" s="29"/>
    </row>
    <row r="2301" spans="1:17" x14ac:dyDescent="0.35">
      <c r="A2301" s="26">
        <v>40000002788</v>
      </c>
      <c r="B2301" s="31">
        <v>1</v>
      </c>
      <c r="C2301" s="29" t="str">
        <f>LOOKUP(A2301,'QALS - Inspection Lot Record'!$A$2:$A$361,'QALS - Inspection Lot Record'!$O$2:$O$361)</f>
        <v>Aspirin Tablets (500 MG)</v>
      </c>
      <c r="D2301" s="31">
        <v>40</v>
      </c>
      <c r="E2301" s="29" t="s">
        <v>403</v>
      </c>
      <c r="F2301" s="29" t="str">
        <f>LOOKUP(A2301,'QALS - Inspection Lot Record'!A:A,'QALS - Inspection Lot Record'!G:G)</f>
        <v>YA284176</v>
      </c>
      <c r="G2301" s="59">
        <f ca="1">LOOKUP(A2301,'QALS - Inspection Lot Record'!A:A,'QALS - Inspection Lot Record'!E:E)</f>
        <v>46013</v>
      </c>
      <c r="H2301" s="34" t="str">
        <f t="shared" si="180"/>
        <v>A</v>
      </c>
      <c r="I2301" s="29" t="str">
        <f t="shared" si="176"/>
        <v>YA284176</v>
      </c>
      <c r="J2301" s="59">
        <f t="shared" ca="1" si="177"/>
        <v>46013</v>
      </c>
      <c r="K2301" s="30">
        <f ca="1">LOOKUP(A2301,'QALS - Inspection Lot Record'!A:A,'QALS - Inspection Lot Record'!I:I)</f>
        <v>2.9201388888888888E-2</v>
      </c>
      <c r="L2301" s="59">
        <f t="shared" ca="1" si="178"/>
        <v>46013</v>
      </c>
      <c r="M2301" s="30">
        <f t="shared" ca="1" si="179"/>
        <v>4.7928240740740743E-2</v>
      </c>
      <c r="N2301" s="31"/>
      <c r="O2301" s="31">
        <v>0</v>
      </c>
      <c r="P2301" s="29">
        <v>0</v>
      </c>
      <c r="Q2301" s="29">
        <v>2.5</v>
      </c>
    </row>
    <row r="2302" spans="1:17" x14ac:dyDescent="0.35">
      <c r="A2302" s="26">
        <v>40000002788</v>
      </c>
      <c r="B2302" s="31">
        <v>1</v>
      </c>
      <c r="C2302" s="29" t="str">
        <f>LOOKUP(A2302,'QALS - Inspection Lot Record'!$A$2:$A$361,'QALS - Inspection Lot Record'!$O$2:$O$361)</f>
        <v>Aspirin Tablets (500 MG)</v>
      </c>
      <c r="D2302" s="31">
        <v>50</v>
      </c>
      <c r="E2302" s="29" t="s">
        <v>404</v>
      </c>
      <c r="F2302" s="29" t="str">
        <f>LOOKUP(A2302,'QALS - Inspection Lot Record'!A:A,'QALS - Inspection Lot Record'!G:G)</f>
        <v>YA284176</v>
      </c>
      <c r="G2302" s="59">
        <f ca="1">LOOKUP(A2302,'QALS - Inspection Lot Record'!A:A,'QALS - Inspection Lot Record'!E:E)</f>
        <v>46013</v>
      </c>
      <c r="H2302" s="34" t="str">
        <f t="shared" si="180"/>
        <v>A</v>
      </c>
      <c r="I2302" s="29" t="str">
        <f t="shared" si="176"/>
        <v>YA284176</v>
      </c>
      <c r="J2302" s="59">
        <f t="shared" ca="1" si="177"/>
        <v>46013</v>
      </c>
      <c r="K2302" s="30">
        <f ca="1">LOOKUP(A2302,'QALS - Inspection Lot Record'!A:A,'QALS - Inspection Lot Record'!I:I)</f>
        <v>2.9201388888888888E-2</v>
      </c>
      <c r="L2302" s="59">
        <f t="shared" ca="1" si="178"/>
        <v>46013</v>
      </c>
      <c r="M2302" s="30">
        <f t="shared" ca="1" si="179"/>
        <v>4.7685185185185185E-2</v>
      </c>
      <c r="N2302" s="31"/>
      <c r="O2302" s="31">
        <v>50</v>
      </c>
      <c r="P2302" s="29">
        <v>40</v>
      </c>
      <c r="Q2302" s="29">
        <v>60</v>
      </c>
    </row>
    <row r="2303" spans="1:17" x14ac:dyDescent="0.35">
      <c r="A2303" s="26">
        <v>40000002788</v>
      </c>
      <c r="B2303" s="31">
        <v>1</v>
      </c>
      <c r="C2303" s="29" t="str">
        <f>LOOKUP(A2303,'QALS - Inspection Lot Record'!$A$2:$A$361,'QALS - Inspection Lot Record'!$O$2:$O$361)</f>
        <v>Aspirin Tablets (500 MG)</v>
      </c>
      <c r="D2303" s="31">
        <v>60</v>
      </c>
      <c r="E2303" s="29" t="s">
        <v>405</v>
      </c>
      <c r="F2303" s="29" t="str">
        <f>LOOKUP(A2303,'QALS - Inspection Lot Record'!A:A,'QALS - Inspection Lot Record'!G:G)</f>
        <v>YA284176</v>
      </c>
      <c r="G2303" s="59">
        <f ca="1">LOOKUP(A2303,'QALS - Inspection Lot Record'!A:A,'QALS - Inspection Lot Record'!E:E)</f>
        <v>46013</v>
      </c>
      <c r="H2303" s="34" t="str">
        <f t="shared" si="180"/>
        <v>A</v>
      </c>
      <c r="I2303" s="29" t="str">
        <f t="shared" si="176"/>
        <v>YA284176</v>
      </c>
      <c r="J2303" s="59">
        <f t="shared" ca="1" si="177"/>
        <v>46013</v>
      </c>
      <c r="K2303" s="30">
        <f ca="1">LOOKUP(A2303,'QALS - Inspection Lot Record'!A:A,'QALS - Inspection Lot Record'!I:I)</f>
        <v>2.9201388888888888E-2</v>
      </c>
      <c r="L2303" s="59">
        <f t="shared" ca="1" si="178"/>
        <v>46013</v>
      </c>
      <c r="M2303" s="30">
        <f t="shared" ca="1" si="179"/>
        <v>6.4027777777777767E-2</v>
      </c>
      <c r="N2303" s="31"/>
      <c r="O2303" s="31">
        <v>77.5</v>
      </c>
      <c r="P2303" s="29">
        <v>70</v>
      </c>
      <c r="Q2303" s="29">
        <v>85</v>
      </c>
    </row>
    <row r="2304" spans="1:17" x14ac:dyDescent="0.35">
      <c r="A2304" s="26">
        <v>40000002788</v>
      </c>
      <c r="B2304" s="31">
        <v>1</v>
      </c>
      <c r="C2304" s="29" t="str">
        <f>LOOKUP(A2304,'QALS - Inspection Lot Record'!$A$2:$A$361,'QALS - Inspection Lot Record'!$O$2:$O$361)</f>
        <v>Aspirin Tablets (500 MG)</v>
      </c>
      <c r="D2304" s="31">
        <v>70</v>
      </c>
      <c r="E2304" s="29" t="s">
        <v>406</v>
      </c>
      <c r="F2304" s="29" t="str">
        <f>LOOKUP(A2304,'QALS - Inspection Lot Record'!A:A,'QALS - Inspection Lot Record'!G:G)</f>
        <v>YA284176</v>
      </c>
      <c r="G2304" s="59">
        <f ca="1">LOOKUP(A2304,'QALS - Inspection Lot Record'!A:A,'QALS - Inspection Lot Record'!E:E)</f>
        <v>46013</v>
      </c>
      <c r="H2304" s="34" t="str">
        <f t="shared" si="180"/>
        <v>A</v>
      </c>
      <c r="I2304" s="29" t="str">
        <f t="shared" si="176"/>
        <v>YA284176</v>
      </c>
      <c r="J2304" s="59">
        <f t="shared" ca="1" si="177"/>
        <v>46013</v>
      </c>
      <c r="K2304" s="30">
        <f ca="1">LOOKUP(A2304,'QALS - Inspection Lot Record'!A:A,'QALS - Inspection Lot Record'!I:I)</f>
        <v>2.9201388888888888E-2</v>
      </c>
      <c r="L2304" s="59">
        <f t="shared" ca="1" si="178"/>
        <v>46013</v>
      </c>
      <c r="M2304" s="30">
        <f t="shared" ca="1" si="179"/>
        <v>5.2002314814814814E-2</v>
      </c>
      <c r="N2304" s="31"/>
      <c r="O2304" s="31">
        <v>85</v>
      </c>
      <c r="P2304" s="29">
        <v>80</v>
      </c>
      <c r="Q2304" s="29">
        <v>90</v>
      </c>
    </row>
    <row r="2305" spans="1:17" x14ac:dyDescent="0.35">
      <c r="A2305" s="26">
        <v>40000002788</v>
      </c>
      <c r="B2305" s="31">
        <v>1</v>
      </c>
      <c r="C2305" s="29" t="str">
        <f>LOOKUP(A2305,'QALS - Inspection Lot Record'!$A$2:$A$361,'QALS - Inspection Lot Record'!$O$2:$O$361)</f>
        <v>Aspirin Tablets (500 MG)</v>
      </c>
      <c r="D2305" s="31">
        <v>80</v>
      </c>
      <c r="E2305" s="29" t="s">
        <v>407</v>
      </c>
      <c r="F2305" s="29" t="str">
        <f>LOOKUP(A2305,'QALS - Inspection Lot Record'!A:A,'QALS - Inspection Lot Record'!G:G)</f>
        <v>YA284176</v>
      </c>
      <c r="G2305" s="59">
        <f ca="1">LOOKUP(A2305,'QALS - Inspection Lot Record'!A:A,'QALS - Inspection Lot Record'!E:E)</f>
        <v>46013</v>
      </c>
      <c r="H2305" s="34" t="str">
        <f t="shared" si="180"/>
        <v>A</v>
      </c>
      <c r="I2305" s="29" t="str">
        <f t="shared" si="176"/>
        <v>YA284176</v>
      </c>
      <c r="J2305" s="59">
        <f t="shared" ca="1" si="177"/>
        <v>46013</v>
      </c>
      <c r="K2305" s="30">
        <f ca="1">LOOKUP(A2305,'QALS - Inspection Lot Record'!A:A,'QALS - Inspection Lot Record'!I:I)</f>
        <v>2.9201388888888888E-2</v>
      </c>
      <c r="L2305" s="59">
        <f t="shared" ca="1" si="178"/>
        <v>46013</v>
      </c>
      <c r="M2305" s="30">
        <f t="shared" ca="1" si="179"/>
        <v>5.9386574074074078E-2</v>
      </c>
      <c r="N2305" s="31"/>
      <c r="O2305" s="31">
        <v>25.5</v>
      </c>
      <c r="P2305" s="29">
        <v>23</v>
      </c>
      <c r="Q2305" s="29">
        <v>28</v>
      </c>
    </row>
    <row r="2306" spans="1:17" x14ac:dyDescent="0.35">
      <c r="A2306" s="26">
        <v>40000002789</v>
      </c>
      <c r="B2306" s="27">
        <v>1</v>
      </c>
      <c r="C2306" s="29" t="str">
        <f>LOOKUP(A2306,'QALS - Inspection Lot Record'!$A$2:$A$361,'QALS - Inspection Lot Record'!$O$2:$O$361)</f>
        <v>Ibuprofen Tablets (100 MG)</v>
      </c>
      <c r="D2306" s="27">
        <v>10</v>
      </c>
      <c r="E2306" s="26" t="s">
        <v>399</v>
      </c>
      <c r="F2306" s="29" t="str">
        <f>LOOKUP(A2306,'QALS - Inspection Lot Record'!A:A,'QALS - Inspection Lot Record'!G:G)</f>
        <v>AB406550</v>
      </c>
      <c r="G2306" s="59">
        <f ca="1">LOOKUP(A2306,'QALS - Inspection Lot Record'!A:A,'QALS - Inspection Lot Record'!E:E)</f>
        <v>46014</v>
      </c>
      <c r="H2306" s="34" t="str">
        <f t="shared" si="180"/>
        <v>R</v>
      </c>
      <c r="I2306" s="29" t="str">
        <f t="shared" ref="I2306:I2369" si="181">F2306</f>
        <v>AB406550</v>
      </c>
      <c r="J2306" s="59">
        <f t="shared" ref="J2306:J2369" ca="1" si="182">G2306</f>
        <v>46014</v>
      </c>
      <c r="K2306" s="30">
        <f ca="1">LOOKUP(A2306,'QALS - Inspection Lot Record'!A:A,'QALS - Inspection Lot Record'!I:I)</f>
        <v>0.50737268518518519</v>
      </c>
      <c r="L2306" s="59">
        <f t="shared" ref="L2306:L2369" ca="1" si="183">G2306</f>
        <v>46014</v>
      </c>
      <c r="M2306" s="30">
        <f t="shared" ref="M2306:M2369" ca="1" si="184">K2306+TIME(0,RANDBETWEEN(25,50),RANDBETWEEN(0,59))</f>
        <v>0.54203703703703709</v>
      </c>
      <c r="N2306" s="31"/>
      <c r="O2306" s="31">
        <v>93.1</v>
      </c>
      <c r="P2306" s="29">
        <v>95</v>
      </c>
      <c r="Q2306" s="29">
        <v>102</v>
      </c>
    </row>
    <row r="2307" spans="1:17" x14ac:dyDescent="0.35">
      <c r="A2307" s="26">
        <v>40000002789</v>
      </c>
      <c r="B2307" s="27">
        <v>1</v>
      </c>
      <c r="C2307" s="29" t="str">
        <f>LOOKUP(A2307,'QALS - Inspection Lot Record'!$A$2:$A$361,'QALS - Inspection Lot Record'!$O$2:$O$361)</f>
        <v>Ibuprofen Tablets (100 MG)</v>
      </c>
      <c r="D2307" s="31">
        <v>20</v>
      </c>
      <c r="E2307" s="29" t="s">
        <v>400</v>
      </c>
      <c r="F2307" s="29" t="str">
        <f>LOOKUP(A2307,'QALS - Inspection Lot Record'!A:A,'QALS - Inspection Lot Record'!G:G)</f>
        <v>AB406550</v>
      </c>
      <c r="G2307" s="59">
        <f ca="1">LOOKUP(A2307,'QALS - Inspection Lot Record'!A:A,'QALS - Inspection Lot Record'!E:E)</f>
        <v>46014</v>
      </c>
      <c r="H2307" s="34" t="str">
        <f t="shared" si="180"/>
        <v>R</v>
      </c>
      <c r="I2307" s="29" t="str">
        <f t="shared" si="181"/>
        <v>AB406550</v>
      </c>
      <c r="J2307" s="59">
        <f t="shared" ca="1" si="182"/>
        <v>46014</v>
      </c>
      <c r="K2307" s="30">
        <f ca="1">LOOKUP(A2307,'QALS - Inspection Lot Record'!A:A,'QALS - Inspection Lot Record'!I:I)</f>
        <v>0.50737268518518519</v>
      </c>
      <c r="L2307" s="59">
        <f t="shared" ca="1" si="183"/>
        <v>46014</v>
      </c>
      <c r="M2307" s="30">
        <f t="shared" ca="1" si="184"/>
        <v>0.53915509259259264</v>
      </c>
      <c r="N2307" s="31"/>
      <c r="O2307" s="31">
        <v>2.2999999999999998</v>
      </c>
      <c r="P2307" s="29">
        <v>3.5</v>
      </c>
      <c r="Q2307" s="29">
        <v>11</v>
      </c>
    </row>
    <row r="2308" spans="1:17" x14ac:dyDescent="0.35">
      <c r="A2308" s="26">
        <v>40000002789</v>
      </c>
      <c r="B2308" s="31">
        <v>1</v>
      </c>
      <c r="C2308" s="29" t="str">
        <f>LOOKUP(A2308,'QALS - Inspection Lot Record'!$A$2:$A$361,'QALS - Inspection Lot Record'!$O$2:$O$361)</f>
        <v>Ibuprofen Tablets (100 MG)</v>
      </c>
      <c r="D2308" s="31">
        <v>30</v>
      </c>
      <c r="E2308" s="29" t="s">
        <v>401</v>
      </c>
      <c r="F2308" s="29" t="str">
        <f>LOOKUP(A2308,'QALS - Inspection Lot Record'!A:A,'QALS - Inspection Lot Record'!G:G)</f>
        <v>AB406550</v>
      </c>
      <c r="G2308" s="59">
        <f ca="1">LOOKUP(A2308,'QALS - Inspection Lot Record'!A:A,'QALS - Inspection Lot Record'!E:E)</f>
        <v>46014</v>
      </c>
      <c r="H2308" s="34" t="str">
        <f t="shared" si="180"/>
        <v>A</v>
      </c>
      <c r="I2308" s="29" t="str">
        <f t="shared" si="181"/>
        <v>AB406550</v>
      </c>
      <c r="J2308" s="59">
        <f t="shared" ca="1" si="182"/>
        <v>46014</v>
      </c>
      <c r="K2308" s="30">
        <f ca="1">LOOKUP(A2308,'QALS - Inspection Lot Record'!A:A,'QALS - Inspection Lot Record'!I:I)</f>
        <v>0.50737268518518519</v>
      </c>
      <c r="L2308" s="59">
        <f t="shared" ca="1" si="183"/>
        <v>46014</v>
      </c>
      <c r="M2308" s="30">
        <f t="shared" ca="1" si="184"/>
        <v>0.53609953703703705</v>
      </c>
      <c r="N2308" s="11" t="s">
        <v>402</v>
      </c>
      <c r="O2308" s="31"/>
      <c r="P2308" s="29"/>
      <c r="Q2308" s="29"/>
    </row>
    <row r="2309" spans="1:17" x14ac:dyDescent="0.35">
      <c r="A2309" s="26">
        <v>40000002789</v>
      </c>
      <c r="B2309" s="31">
        <v>1</v>
      </c>
      <c r="C2309" s="29" t="str">
        <f>LOOKUP(A2309,'QALS - Inspection Lot Record'!$A$2:$A$361,'QALS - Inspection Lot Record'!$O$2:$O$361)</f>
        <v>Ibuprofen Tablets (100 MG)</v>
      </c>
      <c r="D2309" s="31">
        <v>40</v>
      </c>
      <c r="E2309" s="29" t="s">
        <v>403</v>
      </c>
      <c r="F2309" s="29" t="str">
        <f>LOOKUP(A2309,'QALS - Inspection Lot Record'!A:A,'QALS - Inspection Lot Record'!G:G)</f>
        <v>AB406550</v>
      </c>
      <c r="G2309" s="59">
        <f ca="1">LOOKUP(A2309,'QALS - Inspection Lot Record'!A:A,'QALS - Inspection Lot Record'!E:E)</f>
        <v>46014</v>
      </c>
      <c r="H2309" s="34" t="str">
        <f t="shared" si="180"/>
        <v>A</v>
      </c>
      <c r="I2309" s="29" t="str">
        <f t="shared" si="181"/>
        <v>AB406550</v>
      </c>
      <c r="J2309" s="59">
        <f t="shared" ca="1" si="182"/>
        <v>46014</v>
      </c>
      <c r="K2309" s="30">
        <f ca="1">LOOKUP(A2309,'QALS - Inspection Lot Record'!A:A,'QALS - Inspection Lot Record'!I:I)</f>
        <v>0.50737268518518519</v>
      </c>
      <c r="L2309" s="59">
        <f t="shared" ca="1" si="183"/>
        <v>46014</v>
      </c>
      <c r="M2309" s="30">
        <f t="shared" ca="1" si="184"/>
        <v>0.52783564814814821</v>
      </c>
      <c r="N2309" s="31"/>
      <c r="O2309" s="31">
        <v>0.5</v>
      </c>
      <c r="P2309" s="29">
        <v>0</v>
      </c>
      <c r="Q2309" s="29">
        <v>1</v>
      </c>
    </row>
    <row r="2310" spans="1:17" x14ac:dyDescent="0.35">
      <c r="A2310" s="26">
        <v>40000002789</v>
      </c>
      <c r="B2310" s="31">
        <v>1</v>
      </c>
      <c r="C2310" s="29" t="str">
        <f>LOOKUP(A2310,'QALS - Inspection Lot Record'!$A$2:$A$361,'QALS - Inspection Lot Record'!$O$2:$O$361)</f>
        <v>Ibuprofen Tablets (100 MG)</v>
      </c>
      <c r="D2310" s="31">
        <v>50</v>
      </c>
      <c r="E2310" s="29" t="s">
        <v>404</v>
      </c>
      <c r="F2310" s="29" t="str">
        <f>LOOKUP(A2310,'QALS - Inspection Lot Record'!A:A,'QALS - Inspection Lot Record'!G:G)</f>
        <v>AB406550</v>
      </c>
      <c r="G2310" s="59">
        <f ca="1">LOOKUP(A2310,'QALS - Inspection Lot Record'!A:A,'QALS - Inspection Lot Record'!E:E)</f>
        <v>46014</v>
      </c>
      <c r="H2310" s="34" t="str">
        <f t="shared" si="180"/>
        <v>A</v>
      </c>
      <c r="I2310" s="29" t="str">
        <f t="shared" si="181"/>
        <v>AB406550</v>
      </c>
      <c r="J2310" s="59">
        <f t="shared" ca="1" si="182"/>
        <v>46014</v>
      </c>
      <c r="K2310" s="30">
        <f ca="1">LOOKUP(A2310,'QALS - Inspection Lot Record'!A:A,'QALS - Inspection Lot Record'!I:I)</f>
        <v>0.50737268518518519</v>
      </c>
      <c r="L2310" s="59">
        <f t="shared" ca="1" si="183"/>
        <v>46014</v>
      </c>
      <c r="M2310" s="30">
        <f t="shared" ca="1" si="184"/>
        <v>0.52848379629629627</v>
      </c>
      <c r="N2310" s="31"/>
      <c r="O2310" s="31">
        <v>42</v>
      </c>
      <c r="P2310" s="29">
        <v>40</v>
      </c>
      <c r="Q2310" s="29">
        <v>60</v>
      </c>
    </row>
    <row r="2311" spans="1:17" x14ac:dyDescent="0.35">
      <c r="A2311" s="26">
        <v>40000002789</v>
      </c>
      <c r="B2311" s="31">
        <v>1</v>
      </c>
      <c r="C2311" s="29" t="str">
        <f>LOOKUP(A2311,'QALS - Inspection Lot Record'!$A$2:$A$361,'QALS - Inspection Lot Record'!$O$2:$O$361)</f>
        <v>Ibuprofen Tablets (100 MG)</v>
      </c>
      <c r="D2311" s="31">
        <v>60</v>
      </c>
      <c r="E2311" s="29" t="s">
        <v>405</v>
      </c>
      <c r="F2311" s="29" t="str">
        <f>LOOKUP(A2311,'QALS - Inspection Lot Record'!A:A,'QALS - Inspection Lot Record'!G:G)</f>
        <v>AB406550</v>
      </c>
      <c r="G2311" s="59">
        <f ca="1">LOOKUP(A2311,'QALS - Inspection Lot Record'!A:A,'QALS - Inspection Lot Record'!E:E)</f>
        <v>46014</v>
      </c>
      <c r="H2311" s="34" t="str">
        <f t="shared" si="180"/>
        <v>A</v>
      </c>
      <c r="I2311" s="29" t="str">
        <f t="shared" si="181"/>
        <v>AB406550</v>
      </c>
      <c r="J2311" s="59">
        <f t="shared" ca="1" si="182"/>
        <v>46014</v>
      </c>
      <c r="K2311" s="30">
        <f ca="1">LOOKUP(A2311,'QALS - Inspection Lot Record'!A:A,'QALS - Inspection Lot Record'!I:I)</f>
        <v>0.50737268518518519</v>
      </c>
      <c r="L2311" s="59">
        <f t="shared" ca="1" si="183"/>
        <v>46014</v>
      </c>
      <c r="M2311" s="30">
        <f t="shared" ca="1" si="184"/>
        <v>0.53211805555555558</v>
      </c>
      <c r="N2311" s="31"/>
      <c r="O2311" s="31">
        <v>73.400000000000006</v>
      </c>
      <c r="P2311" s="29">
        <v>70</v>
      </c>
      <c r="Q2311" s="29">
        <v>85</v>
      </c>
    </row>
    <row r="2312" spans="1:17" x14ac:dyDescent="0.35">
      <c r="A2312" s="26">
        <v>40000002789</v>
      </c>
      <c r="B2312" s="31">
        <v>1</v>
      </c>
      <c r="C2312" s="29" t="str">
        <f>LOOKUP(A2312,'QALS - Inspection Lot Record'!$A$2:$A$361,'QALS - Inspection Lot Record'!$O$2:$O$361)</f>
        <v>Ibuprofen Tablets (100 MG)</v>
      </c>
      <c r="D2312" s="31">
        <v>70</v>
      </c>
      <c r="E2312" s="29" t="s">
        <v>406</v>
      </c>
      <c r="F2312" s="29" t="str">
        <f>LOOKUP(A2312,'QALS - Inspection Lot Record'!A:A,'QALS - Inspection Lot Record'!G:G)</f>
        <v>AB406550</v>
      </c>
      <c r="G2312" s="59">
        <f ca="1">LOOKUP(A2312,'QALS - Inspection Lot Record'!A:A,'QALS - Inspection Lot Record'!E:E)</f>
        <v>46014</v>
      </c>
      <c r="H2312" s="34" t="str">
        <f t="shared" si="180"/>
        <v>A</v>
      </c>
      <c r="I2312" s="29" t="str">
        <f t="shared" si="181"/>
        <v>AB406550</v>
      </c>
      <c r="J2312" s="59">
        <f t="shared" ca="1" si="182"/>
        <v>46014</v>
      </c>
      <c r="K2312" s="30">
        <f ca="1">LOOKUP(A2312,'QALS - Inspection Lot Record'!A:A,'QALS - Inspection Lot Record'!I:I)</f>
        <v>0.50737268518518519</v>
      </c>
      <c r="L2312" s="59">
        <f t="shared" ca="1" si="183"/>
        <v>46014</v>
      </c>
      <c r="M2312" s="30">
        <f t="shared" ca="1" si="184"/>
        <v>0.53490740740740739</v>
      </c>
      <c r="N2312" s="31"/>
      <c r="O2312" s="31">
        <v>83.2</v>
      </c>
      <c r="P2312" s="29">
        <v>80</v>
      </c>
      <c r="Q2312" s="29">
        <v>90</v>
      </c>
    </row>
    <row r="2313" spans="1:17" x14ac:dyDescent="0.35">
      <c r="A2313" s="26">
        <v>40000002789</v>
      </c>
      <c r="B2313" s="31">
        <v>1</v>
      </c>
      <c r="C2313" s="29" t="str">
        <f>LOOKUP(A2313,'QALS - Inspection Lot Record'!$A$2:$A$361,'QALS - Inspection Lot Record'!$O$2:$O$361)</f>
        <v>Ibuprofen Tablets (100 MG)</v>
      </c>
      <c r="D2313" s="31">
        <v>80</v>
      </c>
      <c r="E2313" s="29" t="s">
        <v>407</v>
      </c>
      <c r="F2313" s="29" t="str">
        <f>LOOKUP(A2313,'QALS - Inspection Lot Record'!A:A,'QALS - Inspection Lot Record'!G:G)</f>
        <v>AB406550</v>
      </c>
      <c r="G2313" s="59">
        <f ca="1">LOOKUP(A2313,'QALS - Inspection Lot Record'!A:A,'QALS - Inspection Lot Record'!E:E)</f>
        <v>46014</v>
      </c>
      <c r="H2313" s="34" t="str">
        <f t="shared" si="180"/>
        <v>A</v>
      </c>
      <c r="I2313" s="29" t="str">
        <f t="shared" si="181"/>
        <v>AB406550</v>
      </c>
      <c r="J2313" s="59">
        <f t="shared" ca="1" si="182"/>
        <v>46014</v>
      </c>
      <c r="K2313" s="30">
        <f ca="1">LOOKUP(A2313,'QALS - Inspection Lot Record'!A:A,'QALS - Inspection Lot Record'!I:I)</f>
        <v>0.50737268518518519</v>
      </c>
      <c r="L2313" s="59">
        <f t="shared" ca="1" si="183"/>
        <v>46014</v>
      </c>
      <c r="M2313" s="30">
        <f t="shared" ca="1" si="184"/>
        <v>0.52734953703703702</v>
      </c>
      <c r="N2313" s="31"/>
      <c r="O2313" s="31">
        <v>24</v>
      </c>
      <c r="P2313" s="29">
        <v>23</v>
      </c>
      <c r="Q2313" s="29">
        <v>25</v>
      </c>
    </row>
    <row r="2314" spans="1:17" x14ac:dyDescent="0.35">
      <c r="A2314" s="26">
        <v>40000002790</v>
      </c>
      <c r="B2314" s="27">
        <v>1</v>
      </c>
      <c r="C2314" s="29" t="str">
        <f>LOOKUP(A2314,'QALS - Inspection Lot Record'!$A$2:$A$361,'QALS - Inspection Lot Record'!$O$2:$O$361)</f>
        <v>Ibuprofen Tablets (100 MG)</v>
      </c>
      <c r="D2314" s="27">
        <v>10</v>
      </c>
      <c r="E2314" s="26" t="s">
        <v>399</v>
      </c>
      <c r="F2314" s="29" t="str">
        <f>LOOKUP(A2314,'QALS - Inspection Lot Record'!A:A,'QALS - Inspection Lot Record'!G:G)</f>
        <v>GC197258</v>
      </c>
      <c r="G2314" s="59">
        <f ca="1">LOOKUP(A2314,'QALS - Inspection Lot Record'!A:A,'QALS - Inspection Lot Record'!E:E)</f>
        <v>46014</v>
      </c>
      <c r="H2314" s="34" t="str">
        <f t="shared" ref="H2314:H2377" si="185">IF(AND(P2314&lt;=O2314,O2314&lt;=Q2314),"A","R")</f>
        <v>R</v>
      </c>
      <c r="I2314" s="29" t="str">
        <f t="shared" si="181"/>
        <v>GC197258</v>
      </c>
      <c r="J2314" s="59">
        <f t="shared" ca="1" si="182"/>
        <v>46014</v>
      </c>
      <c r="K2314" s="30">
        <f ca="1">LOOKUP(A2314,'QALS - Inspection Lot Record'!A:A,'QALS - Inspection Lot Record'!I:I)</f>
        <v>0.29531249999999998</v>
      </c>
      <c r="L2314" s="59">
        <f t="shared" ca="1" si="183"/>
        <v>46014</v>
      </c>
      <c r="M2314" s="30">
        <f t="shared" ca="1" si="184"/>
        <v>0.31726851851851851</v>
      </c>
      <c r="N2314" s="31"/>
      <c r="O2314" s="31">
        <v>93.7</v>
      </c>
      <c r="P2314" s="29">
        <v>95</v>
      </c>
      <c r="Q2314" s="29">
        <v>102</v>
      </c>
    </row>
    <row r="2315" spans="1:17" x14ac:dyDescent="0.35">
      <c r="A2315" s="26">
        <v>40000002790</v>
      </c>
      <c r="B2315" s="27">
        <v>1</v>
      </c>
      <c r="C2315" s="29" t="str">
        <f>LOOKUP(A2315,'QALS - Inspection Lot Record'!$A$2:$A$361,'QALS - Inspection Lot Record'!$O$2:$O$361)</f>
        <v>Ibuprofen Tablets (100 MG)</v>
      </c>
      <c r="D2315" s="31">
        <v>20</v>
      </c>
      <c r="E2315" s="29" t="s">
        <v>400</v>
      </c>
      <c r="F2315" s="29" t="str">
        <f>LOOKUP(A2315,'QALS - Inspection Lot Record'!A:A,'QALS - Inspection Lot Record'!G:G)</f>
        <v>GC197258</v>
      </c>
      <c r="G2315" s="59">
        <f ca="1">LOOKUP(A2315,'QALS - Inspection Lot Record'!A:A,'QALS - Inspection Lot Record'!E:E)</f>
        <v>46014</v>
      </c>
      <c r="H2315" s="34" t="str">
        <f t="shared" si="185"/>
        <v>A</v>
      </c>
      <c r="I2315" s="29" t="str">
        <f t="shared" si="181"/>
        <v>GC197258</v>
      </c>
      <c r="J2315" s="59">
        <f t="shared" ca="1" si="182"/>
        <v>46014</v>
      </c>
      <c r="K2315" s="30">
        <f ca="1">LOOKUP(A2315,'QALS - Inspection Lot Record'!A:A,'QALS - Inspection Lot Record'!I:I)</f>
        <v>0.29531249999999998</v>
      </c>
      <c r="L2315" s="59">
        <f t="shared" ca="1" si="183"/>
        <v>46014</v>
      </c>
      <c r="M2315" s="30">
        <f t="shared" ca="1" si="184"/>
        <v>0.32155092592592588</v>
      </c>
      <c r="N2315" s="31"/>
      <c r="O2315" s="31">
        <v>3.8</v>
      </c>
      <c r="P2315" s="29">
        <v>3.5</v>
      </c>
      <c r="Q2315" s="29">
        <v>11</v>
      </c>
    </row>
    <row r="2316" spans="1:17" x14ac:dyDescent="0.35">
      <c r="A2316" s="26">
        <v>40000002790</v>
      </c>
      <c r="B2316" s="31">
        <v>1</v>
      </c>
      <c r="C2316" s="29" t="str">
        <f>LOOKUP(A2316,'QALS - Inspection Lot Record'!$A$2:$A$361,'QALS - Inspection Lot Record'!$O$2:$O$361)</f>
        <v>Ibuprofen Tablets (100 MG)</v>
      </c>
      <c r="D2316" s="31">
        <v>30</v>
      </c>
      <c r="E2316" s="29" t="s">
        <v>401</v>
      </c>
      <c r="F2316" s="29" t="str">
        <f>LOOKUP(A2316,'QALS - Inspection Lot Record'!A:A,'QALS - Inspection Lot Record'!G:G)</f>
        <v>GC197258</v>
      </c>
      <c r="G2316" s="59">
        <f ca="1">LOOKUP(A2316,'QALS - Inspection Lot Record'!A:A,'QALS - Inspection Lot Record'!E:E)</f>
        <v>46014</v>
      </c>
      <c r="H2316" s="34" t="str">
        <f t="shared" si="185"/>
        <v>A</v>
      </c>
      <c r="I2316" s="29" t="str">
        <f t="shared" si="181"/>
        <v>GC197258</v>
      </c>
      <c r="J2316" s="59">
        <f t="shared" ca="1" si="182"/>
        <v>46014</v>
      </c>
      <c r="K2316" s="30">
        <f ca="1">LOOKUP(A2316,'QALS - Inspection Lot Record'!A:A,'QALS - Inspection Lot Record'!I:I)</f>
        <v>0.29531249999999998</v>
      </c>
      <c r="L2316" s="59">
        <f t="shared" ca="1" si="183"/>
        <v>46014</v>
      </c>
      <c r="M2316" s="30">
        <f t="shared" ca="1" si="184"/>
        <v>0.32659722222222221</v>
      </c>
      <c r="N2316" s="11" t="s">
        <v>402</v>
      </c>
      <c r="O2316" s="31"/>
      <c r="P2316" s="29"/>
      <c r="Q2316" s="29"/>
    </row>
    <row r="2317" spans="1:17" x14ac:dyDescent="0.35">
      <c r="A2317" s="26">
        <v>40000002790</v>
      </c>
      <c r="B2317" s="31">
        <v>1</v>
      </c>
      <c r="C2317" s="29" t="str">
        <f>LOOKUP(A2317,'QALS - Inspection Lot Record'!$A$2:$A$361,'QALS - Inspection Lot Record'!$O$2:$O$361)</f>
        <v>Ibuprofen Tablets (100 MG)</v>
      </c>
      <c r="D2317" s="31">
        <v>40</v>
      </c>
      <c r="E2317" s="29" t="s">
        <v>403</v>
      </c>
      <c r="F2317" s="29" t="str">
        <f>LOOKUP(A2317,'QALS - Inspection Lot Record'!A:A,'QALS - Inspection Lot Record'!G:G)</f>
        <v>GC197258</v>
      </c>
      <c r="G2317" s="59">
        <f ca="1">LOOKUP(A2317,'QALS - Inspection Lot Record'!A:A,'QALS - Inspection Lot Record'!E:E)</f>
        <v>46014</v>
      </c>
      <c r="H2317" s="34" t="str">
        <f t="shared" si="185"/>
        <v>A</v>
      </c>
      <c r="I2317" s="29" t="str">
        <f t="shared" si="181"/>
        <v>GC197258</v>
      </c>
      <c r="J2317" s="59">
        <f t="shared" ca="1" si="182"/>
        <v>46014</v>
      </c>
      <c r="K2317" s="30">
        <f ca="1">LOOKUP(A2317,'QALS - Inspection Lot Record'!A:A,'QALS - Inspection Lot Record'!I:I)</f>
        <v>0.29531249999999998</v>
      </c>
      <c r="L2317" s="59">
        <f t="shared" ca="1" si="183"/>
        <v>46014</v>
      </c>
      <c r="M2317" s="30">
        <f t="shared" ca="1" si="184"/>
        <v>0.3196296296296296</v>
      </c>
      <c r="N2317" s="31"/>
      <c r="O2317" s="31">
        <v>0.5</v>
      </c>
      <c r="P2317" s="29">
        <v>0</v>
      </c>
      <c r="Q2317" s="29">
        <v>1</v>
      </c>
    </row>
    <row r="2318" spans="1:17" x14ac:dyDescent="0.35">
      <c r="A2318" s="26">
        <v>40000002790</v>
      </c>
      <c r="B2318" s="31">
        <v>1</v>
      </c>
      <c r="C2318" s="29" t="str">
        <f>LOOKUP(A2318,'QALS - Inspection Lot Record'!$A$2:$A$361,'QALS - Inspection Lot Record'!$O$2:$O$361)</f>
        <v>Ibuprofen Tablets (100 MG)</v>
      </c>
      <c r="D2318" s="31">
        <v>50</v>
      </c>
      <c r="E2318" s="29" t="s">
        <v>404</v>
      </c>
      <c r="F2318" s="29" t="str">
        <f>LOOKUP(A2318,'QALS - Inspection Lot Record'!A:A,'QALS - Inspection Lot Record'!G:G)</f>
        <v>GC197258</v>
      </c>
      <c r="G2318" s="59">
        <f ca="1">LOOKUP(A2318,'QALS - Inspection Lot Record'!A:A,'QALS - Inspection Lot Record'!E:E)</f>
        <v>46014</v>
      </c>
      <c r="H2318" s="34" t="str">
        <f t="shared" si="185"/>
        <v>A</v>
      </c>
      <c r="I2318" s="29" t="str">
        <f t="shared" si="181"/>
        <v>GC197258</v>
      </c>
      <c r="J2318" s="59">
        <f t="shared" ca="1" si="182"/>
        <v>46014</v>
      </c>
      <c r="K2318" s="30">
        <f ca="1">LOOKUP(A2318,'QALS - Inspection Lot Record'!A:A,'QALS - Inspection Lot Record'!I:I)</f>
        <v>0.29531249999999998</v>
      </c>
      <c r="L2318" s="59">
        <f t="shared" ca="1" si="183"/>
        <v>46014</v>
      </c>
      <c r="M2318" s="30">
        <f t="shared" ca="1" si="184"/>
        <v>0.32280092592592591</v>
      </c>
      <c r="N2318" s="31"/>
      <c r="O2318" s="31">
        <v>43</v>
      </c>
      <c r="P2318" s="29">
        <v>40</v>
      </c>
      <c r="Q2318" s="29">
        <v>60</v>
      </c>
    </row>
    <row r="2319" spans="1:17" x14ac:dyDescent="0.35">
      <c r="A2319" s="26">
        <v>40000002790</v>
      </c>
      <c r="B2319" s="31">
        <v>1</v>
      </c>
      <c r="C2319" s="29" t="str">
        <f>LOOKUP(A2319,'QALS - Inspection Lot Record'!$A$2:$A$361,'QALS - Inspection Lot Record'!$O$2:$O$361)</f>
        <v>Ibuprofen Tablets (100 MG)</v>
      </c>
      <c r="D2319" s="31">
        <v>60</v>
      </c>
      <c r="E2319" s="29" t="s">
        <v>405</v>
      </c>
      <c r="F2319" s="29" t="str">
        <f>LOOKUP(A2319,'QALS - Inspection Lot Record'!A:A,'QALS - Inspection Lot Record'!G:G)</f>
        <v>GC197258</v>
      </c>
      <c r="G2319" s="59">
        <f ca="1">LOOKUP(A2319,'QALS - Inspection Lot Record'!A:A,'QALS - Inspection Lot Record'!E:E)</f>
        <v>46014</v>
      </c>
      <c r="H2319" s="34" t="str">
        <f t="shared" si="185"/>
        <v>R</v>
      </c>
      <c r="I2319" s="29" t="str">
        <f t="shared" si="181"/>
        <v>GC197258</v>
      </c>
      <c r="J2319" s="59">
        <f t="shared" ca="1" si="182"/>
        <v>46014</v>
      </c>
      <c r="K2319" s="30">
        <f ca="1">LOOKUP(A2319,'QALS - Inspection Lot Record'!A:A,'QALS - Inspection Lot Record'!I:I)</f>
        <v>0.29531249999999998</v>
      </c>
      <c r="L2319" s="59">
        <f t="shared" ca="1" si="183"/>
        <v>46014</v>
      </c>
      <c r="M2319" s="30">
        <f t="shared" ca="1" si="184"/>
        <v>0.3181018518518518</v>
      </c>
      <c r="N2319" s="31"/>
      <c r="O2319" s="31">
        <v>68.400000000000006</v>
      </c>
      <c r="P2319" s="29">
        <v>70</v>
      </c>
      <c r="Q2319" s="29">
        <v>85</v>
      </c>
    </row>
    <row r="2320" spans="1:17" x14ac:dyDescent="0.35">
      <c r="A2320" s="26">
        <v>40000002790</v>
      </c>
      <c r="B2320" s="31">
        <v>1</v>
      </c>
      <c r="C2320" s="29" t="str">
        <f>LOOKUP(A2320,'QALS - Inspection Lot Record'!$A$2:$A$361,'QALS - Inspection Lot Record'!$O$2:$O$361)</f>
        <v>Ibuprofen Tablets (100 MG)</v>
      </c>
      <c r="D2320" s="31">
        <v>70</v>
      </c>
      <c r="E2320" s="29" t="s">
        <v>406</v>
      </c>
      <c r="F2320" s="29" t="str">
        <f>LOOKUP(A2320,'QALS - Inspection Lot Record'!A:A,'QALS - Inspection Lot Record'!G:G)</f>
        <v>GC197258</v>
      </c>
      <c r="G2320" s="59">
        <f ca="1">LOOKUP(A2320,'QALS - Inspection Lot Record'!A:A,'QALS - Inspection Lot Record'!E:E)</f>
        <v>46014</v>
      </c>
      <c r="H2320" s="34" t="str">
        <f t="shared" si="185"/>
        <v>R</v>
      </c>
      <c r="I2320" s="29" t="str">
        <f t="shared" si="181"/>
        <v>GC197258</v>
      </c>
      <c r="J2320" s="59">
        <f t="shared" ca="1" si="182"/>
        <v>46014</v>
      </c>
      <c r="K2320" s="30">
        <f ca="1">LOOKUP(A2320,'QALS - Inspection Lot Record'!A:A,'QALS - Inspection Lot Record'!I:I)</f>
        <v>0.29531249999999998</v>
      </c>
      <c r="L2320" s="59">
        <f t="shared" ca="1" si="183"/>
        <v>46014</v>
      </c>
      <c r="M2320" s="30">
        <f t="shared" ca="1" si="184"/>
        <v>0.3256134259259259</v>
      </c>
      <c r="N2320" s="31"/>
      <c r="O2320" s="31">
        <v>78.2</v>
      </c>
      <c r="P2320" s="29">
        <v>80</v>
      </c>
      <c r="Q2320" s="29">
        <v>90</v>
      </c>
    </row>
    <row r="2321" spans="1:17" x14ac:dyDescent="0.35">
      <c r="A2321" s="26">
        <v>40000002790</v>
      </c>
      <c r="B2321" s="31">
        <v>1</v>
      </c>
      <c r="C2321" s="29" t="str">
        <f>LOOKUP(A2321,'QALS - Inspection Lot Record'!$A$2:$A$361,'QALS - Inspection Lot Record'!$O$2:$O$361)</f>
        <v>Ibuprofen Tablets (100 MG)</v>
      </c>
      <c r="D2321" s="31">
        <v>80</v>
      </c>
      <c r="E2321" s="29" t="s">
        <v>407</v>
      </c>
      <c r="F2321" s="29" t="str">
        <f>LOOKUP(A2321,'QALS - Inspection Lot Record'!A:A,'QALS - Inspection Lot Record'!G:G)</f>
        <v>GC197258</v>
      </c>
      <c r="G2321" s="59">
        <f ca="1">LOOKUP(A2321,'QALS - Inspection Lot Record'!A:A,'QALS - Inspection Lot Record'!E:E)</f>
        <v>46014</v>
      </c>
      <c r="H2321" s="34" t="str">
        <f t="shared" si="185"/>
        <v>A</v>
      </c>
      <c r="I2321" s="29" t="str">
        <f t="shared" si="181"/>
        <v>GC197258</v>
      </c>
      <c r="J2321" s="59">
        <f t="shared" ca="1" si="182"/>
        <v>46014</v>
      </c>
      <c r="K2321" s="30">
        <f ca="1">LOOKUP(A2321,'QALS - Inspection Lot Record'!A:A,'QALS - Inspection Lot Record'!I:I)</f>
        <v>0.29531249999999998</v>
      </c>
      <c r="L2321" s="59">
        <f t="shared" ca="1" si="183"/>
        <v>46014</v>
      </c>
      <c r="M2321" s="30">
        <f t="shared" ca="1" si="184"/>
        <v>0.32351851851851848</v>
      </c>
      <c r="N2321" s="31"/>
      <c r="O2321" s="31">
        <v>24</v>
      </c>
      <c r="P2321" s="29">
        <v>23</v>
      </c>
      <c r="Q2321" s="29">
        <v>25</v>
      </c>
    </row>
    <row r="2322" spans="1:17" x14ac:dyDescent="0.35">
      <c r="A2322" s="26">
        <v>40000002791</v>
      </c>
      <c r="B2322" s="27">
        <v>1</v>
      </c>
      <c r="C2322" s="29" t="str">
        <f>LOOKUP(A2322,'QALS - Inspection Lot Record'!$A$2:$A$361,'QALS - Inspection Lot Record'!$O$2:$O$361)</f>
        <v>Metformin Tablets (100 MG)</v>
      </c>
      <c r="D2322" s="27">
        <v>10</v>
      </c>
      <c r="E2322" s="26" t="s">
        <v>399</v>
      </c>
      <c r="F2322" s="29" t="str">
        <f>LOOKUP(A2322,'QALS - Inspection Lot Record'!A:A,'QALS - Inspection Lot Record'!G:G)</f>
        <v>AB406550</v>
      </c>
      <c r="G2322" s="59">
        <f ca="1">LOOKUP(A2322,'QALS - Inspection Lot Record'!A:A,'QALS - Inspection Lot Record'!E:E)</f>
        <v>46015</v>
      </c>
      <c r="H2322" s="34" t="str">
        <f t="shared" si="185"/>
        <v>A</v>
      </c>
      <c r="I2322" s="29" t="str">
        <f t="shared" si="181"/>
        <v>AB406550</v>
      </c>
      <c r="J2322" s="59">
        <f t="shared" ca="1" si="182"/>
        <v>46015</v>
      </c>
      <c r="K2322" s="30">
        <f ca="1">LOOKUP(A2322,'QALS - Inspection Lot Record'!A:A,'QALS - Inspection Lot Record'!I:I)</f>
        <v>0.54387731481481483</v>
      </c>
      <c r="L2322" s="59">
        <f t="shared" ca="1" si="183"/>
        <v>46015</v>
      </c>
      <c r="M2322" s="30">
        <f t="shared" ca="1" si="184"/>
        <v>0.57657407407407413</v>
      </c>
      <c r="N2322" s="31"/>
      <c r="O2322" s="31">
        <v>98.5</v>
      </c>
      <c r="P2322" s="29">
        <v>95</v>
      </c>
      <c r="Q2322" s="29">
        <v>102</v>
      </c>
    </row>
    <row r="2323" spans="1:17" x14ac:dyDescent="0.35">
      <c r="A2323" s="26">
        <v>40000002791</v>
      </c>
      <c r="B2323" s="27">
        <v>1</v>
      </c>
      <c r="C2323" s="29" t="str">
        <f>LOOKUP(A2323,'QALS - Inspection Lot Record'!$A$2:$A$361,'QALS - Inspection Lot Record'!$O$2:$O$361)</f>
        <v>Metformin Tablets (100 MG)</v>
      </c>
      <c r="D2323" s="31">
        <v>20</v>
      </c>
      <c r="E2323" s="29" t="s">
        <v>400</v>
      </c>
      <c r="F2323" s="29" t="str">
        <f>LOOKUP(A2323,'QALS - Inspection Lot Record'!A:A,'QALS - Inspection Lot Record'!G:G)</f>
        <v>AB406550</v>
      </c>
      <c r="G2323" s="59">
        <f ca="1">LOOKUP(A2323,'QALS - Inspection Lot Record'!A:A,'QALS - Inspection Lot Record'!E:E)</f>
        <v>46015</v>
      </c>
      <c r="H2323" s="34" t="str">
        <f t="shared" si="185"/>
        <v>A</v>
      </c>
      <c r="I2323" s="29" t="str">
        <f t="shared" si="181"/>
        <v>AB406550</v>
      </c>
      <c r="J2323" s="59">
        <f t="shared" ca="1" si="182"/>
        <v>46015</v>
      </c>
      <c r="K2323" s="30">
        <f ca="1">LOOKUP(A2323,'QALS - Inspection Lot Record'!A:A,'QALS - Inspection Lot Record'!I:I)</f>
        <v>0.54387731481481483</v>
      </c>
      <c r="L2323" s="59">
        <f t="shared" ca="1" si="183"/>
        <v>46015</v>
      </c>
      <c r="M2323" s="30">
        <f t="shared" ca="1" si="184"/>
        <v>0.56363425925925925</v>
      </c>
      <c r="N2323" s="31"/>
      <c r="O2323" s="31">
        <v>7.25</v>
      </c>
      <c r="P2323" s="29">
        <v>3.5</v>
      </c>
      <c r="Q2323" s="29">
        <v>11</v>
      </c>
    </row>
    <row r="2324" spans="1:17" x14ac:dyDescent="0.35">
      <c r="A2324" s="26">
        <v>40000002791</v>
      </c>
      <c r="B2324" s="31">
        <v>1</v>
      </c>
      <c r="C2324" s="29" t="str">
        <f>LOOKUP(A2324,'QALS - Inspection Lot Record'!$A$2:$A$361,'QALS - Inspection Lot Record'!$O$2:$O$361)</f>
        <v>Metformin Tablets (100 MG)</v>
      </c>
      <c r="D2324" s="31">
        <v>30</v>
      </c>
      <c r="E2324" s="29" t="s">
        <v>401</v>
      </c>
      <c r="F2324" s="29" t="str">
        <f>LOOKUP(A2324,'QALS - Inspection Lot Record'!A:A,'QALS - Inspection Lot Record'!G:G)</f>
        <v>AB406550</v>
      </c>
      <c r="G2324" s="59">
        <f ca="1">LOOKUP(A2324,'QALS - Inspection Lot Record'!A:A,'QALS - Inspection Lot Record'!E:E)</f>
        <v>46015</v>
      </c>
      <c r="H2324" s="34" t="str">
        <f t="shared" si="185"/>
        <v>A</v>
      </c>
      <c r="I2324" s="29" t="str">
        <f t="shared" si="181"/>
        <v>AB406550</v>
      </c>
      <c r="J2324" s="59">
        <f t="shared" ca="1" si="182"/>
        <v>46015</v>
      </c>
      <c r="K2324" s="30">
        <f ca="1">LOOKUP(A2324,'QALS - Inspection Lot Record'!A:A,'QALS - Inspection Lot Record'!I:I)</f>
        <v>0.54387731481481483</v>
      </c>
      <c r="L2324" s="59">
        <f t="shared" ca="1" si="183"/>
        <v>46015</v>
      </c>
      <c r="M2324" s="30">
        <f t="shared" ca="1" si="184"/>
        <v>0.56776620370370368</v>
      </c>
      <c r="N2324" s="11" t="s">
        <v>402</v>
      </c>
      <c r="O2324" s="31"/>
      <c r="P2324" s="29"/>
      <c r="Q2324" s="29"/>
    </row>
    <row r="2325" spans="1:17" x14ac:dyDescent="0.35">
      <c r="A2325" s="26">
        <v>40000002791</v>
      </c>
      <c r="B2325" s="31">
        <v>1</v>
      </c>
      <c r="C2325" s="29" t="str">
        <f>LOOKUP(A2325,'QALS - Inspection Lot Record'!$A$2:$A$361,'QALS - Inspection Lot Record'!$O$2:$O$361)</f>
        <v>Metformin Tablets (100 MG)</v>
      </c>
      <c r="D2325" s="31">
        <v>40</v>
      </c>
      <c r="E2325" s="29" t="s">
        <v>403</v>
      </c>
      <c r="F2325" s="29" t="str">
        <f>LOOKUP(A2325,'QALS - Inspection Lot Record'!A:A,'QALS - Inspection Lot Record'!G:G)</f>
        <v>AB406550</v>
      </c>
      <c r="G2325" s="59">
        <f ca="1">LOOKUP(A2325,'QALS - Inspection Lot Record'!A:A,'QALS - Inspection Lot Record'!E:E)</f>
        <v>46015</v>
      </c>
      <c r="H2325" s="34" t="str">
        <f t="shared" si="185"/>
        <v>A</v>
      </c>
      <c r="I2325" s="29" t="str">
        <f t="shared" si="181"/>
        <v>AB406550</v>
      </c>
      <c r="J2325" s="59">
        <f t="shared" ca="1" si="182"/>
        <v>46015</v>
      </c>
      <c r="K2325" s="30">
        <f ca="1">LOOKUP(A2325,'QALS - Inspection Lot Record'!A:A,'QALS - Inspection Lot Record'!I:I)</f>
        <v>0.54387731481481483</v>
      </c>
      <c r="L2325" s="59">
        <f t="shared" ca="1" si="183"/>
        <v>46015</v>
      </c>
      <c r="M2325" s="30">
        <f t="shared" ca="1" si="184"/>
        <v>0.56753472222222223</v>
      </c>
      <c r="N2325" s="31"/>
      <c r="O2325" s="31">
        <v>0</v>
      </c>
      <c r="P2325" s="29">
        <v>0</v>
      </c>
      <c r="Q2325" s="29">
        <v>1</v>
      </c>
    </row>
    <row r="2326" spans="1:17" x14ac:dyDescent="0.35">
      <c r="A2326" s="26">
        <v>40000002791</v>
      </c>
      <c r="B2326" s="31">
        <v>1</v>
      </c>
      <c r="C2326" s="29" t="str">
        <f>LOOKUP(A2326,'QALS - Inspection Lot Record'!$A$2:$A$361,'QALS - Inspection Lot Record'!$O$2:$O$361)</f>
        <v>Metformin Tablets (100 MG)</v>
      </c>
      <c r="D2326" s="31">
        <v>50</v>
      </c>
      <c r="E2326" s="29" t="s">
        <v>404</v>
      </c>
      <c r="F2326" s="29" t="str">
        <f>LOOKUP(A2326,'QALS - Inspection Lot Record'!A:A,'QALS - Inspection Lot Record'!G:G)</f>
        <v>AB406550</v>
      </c>
      <c r="G2326" s="59">
        <f ca="1">LOOKUP(A2326,'QALS - Inspection Lot Record'!A:A,'QALS - Inspection Lot Record'!E:E)</f>
        <v>46015</v>
      </c>
      <c r="H2326" s="34" t="str">
        <f t="shared" si="185"/>
        <v>A</v>
      </c>
      <c r="I2326" s="29" t="str">
        <f t="shared" si="181"/>
        <v>AB406550</v>
      </c>
      <c r="J2326" s="59">
        <f t="shared" ca="1" si="182"/>
        <v>46015</v>
      </c>
      <c r="K2326" s="30">
        <f ca="1">LOOKUP(A2326,'QALS - Inspection Lot Record'!A:A,'QALS - Inspection Lot Record'!I:I)</f>
        <v>0.54387731481481483</v>
      </c>
      <c r="L2326" s="59">
        <f t="shared" ca="1" si="183"/>
        <v>46015</v>
      </c>
      <c r="M2326" s="30">
        <f t="shared" ca="1" si="184"/>
        <v>0.57460648148148152</v>
      </c>
      <c r="N2326" s="31"/>
      <c r="O2326" s="31">
        <v>50</v>
      </c>
      <c r="P2326" s="29">
        <v>40</v>
      </c>
      <c r="Q2326" s="29">
        <v>60</v>
      </c>
    </row>
    <row r="2327" spans="1:17" x14ac:dyDescent="0.35">
      <c r="A2327" s="26">
        <v>40000002791</v>
      </c>
      <c r="B2327" s="31">
        <v>1</v>
      </c>
      <c r="C2327" s="29" t="str">
        <f>LOOKUP(A2327,'QALS - Inspection Lot Record'!$A$2:$A$361,'QALS - Inspection Lot Record'!$O$2:$O$361)</f>
        <v>Metformin Tablets (100 MG)</v>
      </c>
      <c r="D2327" s="31">
        <v>60</v>
      </c>
      <c r="E2327" s="29" t="s">
        <v>405</v>
      </c>
      <c r="F2327" s="29" t="str">
        <f>LOOKUP(A2327,'QALS - Inspection Lot Record'!A:A,'QALS - Inspection Lot Record'!G:G)</f>
        <v>AB406550</v>
      </c>
      <c r="G2327" s="59">
        <f ca="1">LOOKUP(A2327,'QALS - Inspection Lot Record'!A:A,'QALS - Inspection Lot Record'!E:E)</f>
        <v>46015</v>
      </c>
      <c r="H2327" s="34" t="str">
        <f t="shared" si="185"/>
        <v>A</v>
      </c>
      <c r="I2327" s="29" t="str">
        <f t="shared" si="181"/>
        <v>AB406550</v>
      </c>
      <c r="J2327" s="59">
        <f t="shared" ca="1" si="182"/>
        <v>46015</v>
      </c>
      <c r="K2327" s="30">
        <f ca="1">LOOKUP(A2327,'QALS - Inspection Lot Record'!A:A,'QALS - Inspection Lot Record'!I:I)</f>
        <v>0.54387731481481483</v>
      </c>
      <c r="L2327" s="59">
        <f t="shared" ca="1" si="183"/>
        <v>46015</v>
      </c>
      <c r="M2327" s="30">
        <f t="shared" ca="1" si="184"/>
        <v>0.57458333333333333</v>
      </c>
      <c r="N2327" s="31"/>
      <c r="O2327" s="31">
        <v>77.5</v>
      </c>
      <c r="P2327" s="29">
        <v>70</v>
      </c>
      <c r="Q2327" s="29">
        <v>85</v>
      </c>
    </row>
    <row r="2328" spans="1:17" x14ac:dyDescent="0.35">
      <c r="A2328" s="26">
        <v>40000002791</v>
      </c>
      <c r="B2328" s="31">
        <v>1</v>
      </c>
      <c r="C2328" s="29" t="str">
        <f>LOOKUP(A2328,'QALS - Inspection Lot Record'!$A$2:$A$361,'QALS - Inspection Lot Record'!$O$2:$O$361)</f>
        <v>Metformin Tablets (100 MG)</v>
      </c>
      <c r="D2328" s="31">
        <v>70</v>
      </c>
      <c r="E2328" s="29" t="s">
        <v>406</v>
      </c>
      <c r="F2328" s="29" t="str">
        <f>LOOKUP(A2328,'QALS - Inspection Lot Record'!A:A,'QALS - Inspection Lot Record'!G:G)</f>
        <v>AB406550</v>
      </c>
      <c r="G2328" s="59">
        <f ca="1">LOOKUP(A2328,'QALS - Inspection Lot Record'!A:A,'QALS - Inspection Lot Record'!E:E)</f>
        <v>46015</v>
      </c>
      <c r="H2328" s="34" t="str">
        <f t="shared" si="185"/>
        <v>A</v>
      </c>
      <c r="I2328" s="29" t="str">
        <f t="shared" si="181"/>
        <v>AB406550</v>
      </c>
      <c r="J2328" s="59">
        <f t="shared" ca="1" si="182"/>
        <v>46015</v>
      </c>
      <c r="K2328" s="30">
        <f ca="1">LOOKUP(A2328,'QALS - Inspection Lot Record'!A:A,'QALS - Inspection Lot Record'!I:I)</f>
        <v>0.54387731481481483</v>
      </c>
      <c r="L2328" s="59">
        <f t="shared" ca="1" si="183"/>
        <v>46015</v>
      </c>
      <c r="M2328" s="30">
        <f t="shared" ca="1" si="184"/>
        <v>0.56662037037037039</v>
      </c>
      <c r="N2328" s="31"/>
      <c r="O2328" s="31">
        <v>85</v>
      </c>
      <c r="P2328" s="29">
        <v>80</v>
      </c>
      <c r="Q2328" s="29">
        <v>90</v>
      </c>
    </row>
    <row r="2329" spans="1:17" x14ac:dyDescent="0.35">
      <c r="A2329" s="26">
        <v>40000002791</v>
      </c>
      <c r="B2329" s="31">
        <v>1</v>
      </c>
      <c r="C2329" s="29" t="str">
        <f>LOOKUP(A2329,'QALS - Inspection Lot Record'!$A$2:$A$361,'QALS - Inspection Lot Record'!$O$2:$O$361)</f>
        <v>Metformin Tablets (100 MG)</v>
      </c>
      <c r="D2329" s="31">
        <v>80</v>
      </c>
      <c r="E2329" s="29" t="s">
        <v>407</v>
      </c>
      <c r="F2329" s="29" t="str">
        <f>LOOKUP(A2329,'QALS - Inspection Lot Record'!A:A,'QALS - Inspection Lot Record'!G:G)</f>
        <v>AB406550</v>
      </c>
      <c r="G2329" s="59">
        <f ca="1">LOOKUP(A2329,'QALS - Inspection Lot Record'!A:A,'QALS - Inspection Lot Record'!E:E)</f>
        <v>46015</v>
      </c>
      <c r="H2329" s="34" t="str">
        <f t="shared" si="185"/>
        <v>A</v>
      </c>
      <c r="I2329" s="29" t="str">
        <f t="shared" si="181"/>
        <v>AB406550</v>
      </c>
      <c r="J2329" s="59">
        <f t="shared" ca="1" si="182"/>
        <v>46015</v>
      </c>
      <c r="K2329" s="30">
        <f ca="1">LOOKUP(A2329,'QALS - Inspection Lot Record'!A:A,'QALS - Inspection Lot Record'!I:I)</f>
        <v>0.54387731481481483</v>
      </c>
      <c r="L2329" s="59">
        <f t="shared" ca="1" si="183"/>
        <v>46015</v>
      </c>
      <c r="M2329" s="30">
        <f t="shared" ca="1" si="184"/>
        <v>0.57581018518518523</v>
      </c>
      <c r="N2329" s="31"/>
      <c r="O2329" s="31">
        <v>24</v>
      </c>
      <c r="P2329" s="29">
        <v>23</v>
      </c>
      <c r="Q2329" s="29">
        <v>25</v>
      </c>
    </row>
    <row r="2330" spans="1:17" x14ac:dyDescent="0.35">
      <c r="A2330" s="26">
        <v>40000002792</v>
      </c>
      <c r="B2330" s="27">
        <v>1</v>
      </c>
      <c r="C2330" s="29" t="str">
        <f>LOOKUP(A2330,'QALS - Inspection Lot Record'!$A$2:$A$361,'QALS - Inspection Lot Record'!$O$2:$O$361)</f>
        <v>Metformin Tablets (200 MG)</v>
      </c>
      <c r="D2330" s="27">
        <v>10</v>
      </c>
      <c r="E2330" s="26" t="s">
        <v>399</v>
      </c>
      <c r="F2330" s="29" t="str">
        <f>LOOKUP(A2330,'QALS - Inspection Lot Record'!A:A,'QALS - Inspection Lot Record'!G:G)</f>
        <v>TG509538</v>
      </c>
      <c r="G2330" s="59">
        <f ca="1">LOOKUP(A2330,'QALS - Inspection Lot Record'!A:A,'QALS - Inspection Lot Record'!E:E)</f>
        <v>46015</v>
      </c>
      <c r="H2330" s="34" t="str">
        <f t="shared" si="185"/>
        <v>A</v>
      </c>
      <c r="I2330" s="29" t="str">
        <f t="shared" si="181"/>
        <v>TG509538</v>
      </c>
      <c r="J2330" s="59">
        <f t="shared" ca="1" si="182"/>
        <v>46015</v>
      </c>
      <c r="K2330" s="30">
        <f ca="1">LOOKUP(A2330,'QALS - Inspection Lot Record'!A:A,'QALS - Inspection Lot Record'!I:I)</f>
        <v>0.21944444444444444</v>
      </c>
      <c r="L2330" s="59">
        <f t="shared" ca="1" si="183"/>
        <v>46015</v>
      </c>
      <c r="M2330" s="30">
        <f t="shared" ca="1" si="184"/>
        <v>0.23810185185185184</v>
      </c>
      <c r="N2330" s="31"/>
      <c r="O2330" s="31">
        <v>99</v>
      </c>
      <c r="P2330" s="29">
        <v>95</v>
      </c>
      <c r="Q2330" s="29">
        <v>103</v>
      </c>
    </row>
    <row r="2331" spans="1:17" x14ac:dyDescent="0.35">
      <c r="A2331" s="26">
        <v>40000002792</v>
      </c>
      <c r="B2331" s="27">
        <v>1</v>
      </c>
      <c r="C2331" s="29" t="str">
        <f>LOOKUP(A2331,'QALS - Inspection Lot Record'!$A$2:$A$361,'QALS - Inspection Lot Record'!$O$2:$O$361)</f>
        <v>Metformin Tablets (200 MG)</v>
      </c>
      <c r="D2331" s="31">
        <v>20</v>
      </c>
      <c r="E2331" s="29" t="s">
        <v>400</v>
      </c>
      <c r="F2331" s="29" t="str">
        <f>LOOKUP(A2331,'QALS - Inspection Lot Record'!A:A,'QALS - Inspection Lot Record'!G:G)</f>
        <v>TG509538</v>
      </c>
      <c r="G2331" s="59">
        <f ca="1">LOOKUP(A2331,'QALS - Inspection Lot Record'!A:A,'QALS - Inspection Lot Record'!E:E)</f>
        <v>46015</v>
      </c>
      <c r="H2331" s="34" t="str">
        <f t="shared" si="185"/>
        <v>A</v>
      </c>
      <c r="I2331" s="29" t="str">
        <f t="shared" si="181"/>
        <v>TG509538</v>
      </c>
      <c r="J2331" s="59">
        <f t="shared" ca="1" si="182"/>
        <v>46015</v>
      </c>
      <c r="K2331" s="30">
        <f ca="1">LOOKUP(A2331,'QALS - Inspection Lot Record'!A:A,'QALS - Inspection Lot Record'!I:I)</f>
        <v>0.21944444444444444</v>
      </c>
      <c r="L2331" s="59">
        <f t="shared" ca="1" si="183"/>
        <v>46015</v>
      </c>
      <c r="M2331" s="30">
        <f t="shared" ca="1" si="184"/>
        <v>0.24640046296296297</v>
      </c>
      <c r="N2331" s="31"/>
      <c r="O2331" s="31">
        <v>7.8</v>
      </c>
      <c r="P2331" s="29">
        <v>6</v>
      </c>
      <c r="Q2331" s="29">
        <v>9.5</v>
      </c>
    </row>
    <row r="2332" spans="1:17" x14ac:dyDescent="0.35">
      <c r="A2332" s="26">
        <v>40000002792</v>
      </c>
      <c r="B2332" s="31">
        <v>1</v>
      </c>
      <c r="C2332" s="29" t="str">
        <f>LOOKUP(A2332,'QALS - Inspection Lot Record'!$A$2:$A$361,'QALS - Inspection Lot Record'!$O$2:$O$361)</f>
        <v>Metformin Tablets (200 MG)</v>
      </c>
      <c r="D2332" s="31">
        <v>30</v>
      </c>
      <c r="E2332" s="29" t="s">
        <v>401</v>
      </c>
      <c r="F2332" s="29" t="str">
        <f>LOOKUP(A2332,'QALS - Inspection Lot Record'!A:A,'QALS - Inspection Lot Record'!G:G)</f>
        <v>TG509538</v>
      </c>
      <c r="G2332" s="59">
        <f ca="1">LOOKUP(A2332,'QALS - Inspection Lot Record'!A:A,'QALS - Inspection Lot Record'!E:E)</f>
        <v>46015</v>
      </c>
      <c r="H2332" s="34" t="str">
        <f t="shared" si="185"/>
        <v>A</v>
      </c>
      <c r="I2332" s="29" t="str">
        <f t="shared" si="181"/>
        <v>TG509538</v>
      </c>
      <c r="J2332" s="59">
        <f t="shared" ca="1" si="182"/>
        <v>46015</v>
      </c>
      <c r="K2332" s="30">
        <f ca="1">LOOKUP(A2332,'QALS - Inspection Lot Record'!A:A,'QALS - Inspection Lot Record'!I:I)</f>
        <v>0.21944444444444444</v>
      </c>
      <c r="L2332" s="59">
        <f t="shared" ca="1" si="183"/>
        <v>46015</v>
      </c>
      <c r="M2332" s="30">
        <f t="shared" ca="1" si="184"/>
        <v>0.25368055555555558</v>
      </c>
      <c r="N2332" s="11" t="s">
        <v>402</v>
      </c>
      <c r="O2332" s="31"/>
      <c r="P2332" s="29"/>
      <c r="Q2332" s="29"/>
    </row>
    <row r="2333" spans="1:17" x14ac:dyDescent="0.35">
      <c r="A2333" s="26">
        <v>40000002792</v>
      </c>
      <c r="B2333" s="31">
        <v>1</v>
      </c>
      <c r="C2333" s="29" t="str">
        <f>LOOKUP(A2333,'QALS - Inspection Lot Record'!$A$2:$A$361,'QALS - Inspection Lot Record'!$O$2:$O$361)</f>
        <v>Metformin Tablets (200 MG)</v>
      </c>
      <c r="D2333" s="31">
        <v>40</v>
      </c>
      <c r="E2333" s="29" t="s">
        <v>403</v>
      </c>
      <c r="F2333" s="29" t="str">
        <f>LOOKUP(A2333,'QALS - Inspection Lot Record'!A:A,'QALS - Inspection Lot Record'!G:G)</f>
        <v>TG509538</v>
      </c>
      <c r="G2333" s="59">
        <f ca="1">LOOKUP(A2333,'QALS - Inspection Lot Record'!A:A,'QALS - Inspection Lot Record'!E:E)</f>
        <v>46015</v>
      </c>
      <c r="H2333" s="34" t="str">
        <f t="shared" si="185"/>
        <v>A</v>
      </c>
      <c r="I2333" s="29" t="str">
        <f t="shared" si="181"/>
        <v>TG509538</v>
      </c>
      <c r="J2333" s="59">
        <f t="shared" ca="1" si="182"/>
        <v>46015</v>
      </c>
      <c r="K2333" s="30">
        <f ca="1">LOOKUP(A2333,'QALS - Inspection Lot Record'!A:A,'QALS - Inspection Lot Record'!I:I)</f>
        <v>0.21944444444444444</v>
      </c>
      <c r="L2333" s="59">
        <f t="shared" ca="1" si="183"/>
        <v>46015</v>
      </c>
      <c r="M2333" s="30">
        <f t="shared" ca="1" si="184"/>
        <v>0.25123842592592593</v>
      </c>
      <c r="N2333" s="31"/>
      <c r="O2333" s="31">
        <v>0</v>
      </c>
      <c r="P2333" s="29">
        <v>0</v>
      </c>
      <c r="Q2333" s="29">
        <v>2</v>
      </c>
    </row>
    <row r="2334" spans="1:17" x14ac:dyDescent="0.35">
      <c r="A2334" s="26">
        <v>40000002792</v>
      </c>
      <c r="B2334" s="31">
        <v>1</v>
      </c>
      <c r="C2334" s="29" t="str">
        <f>LOOKUP(A2334,'QALS - Inspection Lot Record'!$A$2:$A$361,'QALS - Inspection Lot Record'!$O$2:$O$361)</f>
        <v>Metformin Tablets (200 MG)</v>
      </c>
      <c r="D2334" s="31">
        <v>50</v>
      </c>
      <c r="E2334" s="29" t="s">
        <v>404</v>
      </c>
      <c r="F2334" s="29" t="str">
        <f>LOOKUP(A2334,'QALS - Inspection Lot Record'!A:A,'QALS - Inspection Lot Record'!G:G)</f>
        <v>TG509538</v>
      </c>
      <c r="G2334" s="59">
        <f ca="1">LOOKUP(A2334,'QALS - Inspection Lot Record'!A:A,'QALS - Inspection Lot Record'!E:E)</f>
        <v>46015</v>
      </c>
      <c r="H2334" s="34" t="str">
        <f t="shared" si="185"/>
        <v>A</v>
      </c>
      <c r="I2334" s="29" t="str">
        <f t="shared" si="181"/>
        <v>TG509538</v>
      </c>
      <c r="J2334" s="59">
        <f t="shared" ca="1" si="182"/>
        <v>46015</v>
      </c>
      <c r="K2334" s="30">
        <f ca="1">LOOKUP(A2334,'QALS - Inspection Lot Record'!A:A,'QALS - Inspection Lot Record'!I:I)</f>
        <v>0.21944444444444444</v>
      </c>
      <c r="L2334" s="59">
        <f t="shared" ca="1" si="183"/>
        <v>46015</v>
      </c>
      <c r="M2334" s="30">
        <f t="shared" ca="1" si="184"/>
        <v>0.24304398148148149</v>
      </c>
      <c r="N2334" s="31"/>
      <c r="O2334" s="31">
        <v>50</v>
      </c>
      <c r="P2334" s="29">
        <v>40</v>
      </c>
      <c r="Q2334" s="29">
        <v>60</v>
      </c>
    </row>
    <row r="2335" spans="1:17" x14ac:dyDescent="0.35">
      <c r="A2335" s="26">
        <v>40000002792</v>
      </c>
      <c r="B2335" s="31">
        <v>1</v>
      </c>
      <c r="C2335" s="29" t="str">
        <f>LOOKUP(A2335,'QALS - Inspection Lot Record'!$A$2:$A$361,'QALS - Inspection Lot Record'!$O$2:$O$361)</f>
        <v>Metformin Tablets (200 MG)</v>
      </c>
      <c r="D2335" s="31">
        <v>60</v>
      </c>
      <c r="E2335" s="29" t="s">
        <v>405</v>
      </c>
      <c r="F2335" s="29" t="str">
        <f>LOOKUP(A2335,'QALS - Inspection Lot Record'!A:A,'QALS - Inspection Lot Record'!G:G)</f>
        <v>TG509538</v>
      </c>
      <c r="G2335" s="59">
        <f ca="1">LOOKUP(A2335,'QALS - Inspection Lot Record'!A:A,'QALS - Inspection Lot Record'!E:E)</f>
        <v>46015</v>
      </c>
      <c r="H2335" s="34" t="str">
        <f t="shared" si="185"/>
        <v>A</v>
      </c>
      <c r="I2335" s="29" t="str">
        <f t="shared" si="181"/>
        <v>TG509538</v>
      </c>
      <c r="J2335" s="59">
        <f t="shared" ca="1" si="182"/>
        <v>46015</v>
      </c>
      <c r="K2335" s="30">
        <f ca="1">LOOKUP(A2335,'QALS - Inspection Lot Record'!A:A,'QALS - Inspection Lot Record'!I:I)</f>
        <v>0.21944444444444444</v>
      </c>
      <c r="L2335" s="59">
        <f t="shared" ca="1" si="183"/>
        <v>46015</v>
      </c>
      <c r="M2335" s="30">
        <f t="shared" ca="1" si="184"/>
        <v>0.2401388888888889</v>
      </c>
      <c r="N2335" s="31"/>
      <c r="O2335" s="31">
        <v>77.5</v>
      </c>
      <c r="P2335" s="29">
        <v>70</v>
      </c>
      <c r="Q2335" s="29">
        <v>85</v>
      </c>
    </row>
    <row r="2336" spans="1:17" x14ac:dyDescent="0.35">
      <c r="A2336" s="26">
        <v>40000002792</v>
      </c>
      <c r="B2336" s="31">
        <v>1</v>
      </c>
      <c r="C2336" s="29" t="str">
        <f>LOOKUP(A2336,'QALS - Inspection Lot Record'!$A$2:$A$361,'QALS - Inspection Lot Record'!$O$2:$O$361)</f>
        <v>Metformin Tablets (200 MG)</v>
      </c>
      <c r="D2336" s="31">
        <v>70</v>
      </c>
      <c r="E2336" s="29" t="s">
        <v>406</v>
      </c>
      <c r="F2336" s="29" t="str">
        <f>LOOKUP(A2336,'QALS - Inspection Lot Record'!A:A,'QALS - Inspection Lot Record'!G:G)</f>
        <v>TG509538</v>
      </c>
      <c r="G2336" s="59">
        <f ca="1">LOOKUP(A2336,'QALS - Inspection Lot Record'!A:A,'QALS - Inspection Lot Record'!E:E)</f>
        <v>46015</v>
      </c>
      <c r="H2336" s="34" t="str">
        <f t="shared" si="185"/>
        <v>A</v>
      </c>
      <c r="I2336" s="29" t="str">
        <f t="shared" si="181"/>
        <v>TG509538</v>
      </c>
      <c r="J2336" s="59">
        <f t="shared" ca="1" si="182"/>
        <v>46015</v>
      </c>
      <c r="K2336" s="30">
        <f ca="1">LOOKUP(A2336,'QALS - Inspection Lot Record'!A:A,'QALS - Inspection Lot Record'!I:I)</f>
        <v>0.21944444444444444</v>
      </c>
      <c r="L2336" s="59">
        <f t="shared" ca="1" si="183"/>
        <v>46015</v>
      </c>
      <c r="M2336" s="30">
        <f t="shared" ca="1" si="184"/>
        <v>0.24275462962962963</v>
      </c>
      <c r="N2336" s="31"/>
      <c r="O2336" s="31">
        <v>85</v>
      </c>
      <c r="P2336" s="29">
        <v>80</v>
      </c>
      <c r="Q2336" s="29">
        <v>90</v>
      </c>
    </row>
    <row r="2337" spans="1:17" x14ac:dyDescent="0.35">
      <c r="A2337" s="26">
        <v>40000002792</v>
      </c>
      <c r="B2337" s="31">
        <v>1</v>
      </c>
      <c r="C2337" s="29" t="str">
        <f>LOOKUP(A2337,'QALS - Inspection Lot Record'!$A$2:$A$361,'QALS - Inspection Lot Record'!$O$2:$O$361)</f>
        <v>Metformin Tablets (200 MG)</v>
      </c>
      <c r="D2337" s="31">
        <v>80</v>
      </c>
      <c r="E2337" s="29" t="s">
        <v>407</v>
      </c>
      <c r="F2337" s="29" t="str">
        <f>LOOKUP(A2337,'QALS - Inspection Lot Record'!A:A,'QALS - Inspection Lot Record'!G:G)</f>
        <v>TG509538</v>
      </c>
      <c r="G2337" s="59">
        <f ca="1">LOOKUP(A2337,'QALS - Inspection Lot Record'!A:A,'QALS - Inspection Lot Record'!E:E)</f>
        <v>46015</v>
      </c>
      <c r="H2337" s="34" t="str">
        <f t="shared" si="185"/>
        <v>A</v>
      </c>
      <c r="I2337" s="29" t="str">
        <f t="shared" si="181"/>
        <v>TG509538</v>
      </c>
      <c r="J2337" s="59">
        <f t="shared" ca="1" si="182"/>
        <v>46015</v>
      </c>
      <c r="K2337" s="30">
        <f ca="1">LOOKUP(A2337,'QALS - Inspection Lot Record'!A:A,'QALS - Inspection Lot Record'!I:I)</f>
        <v>0.21944444444444444</v>
      </c>
      <c r="L2337" s="59">
        <f t="shared" ca="1" si="183"/>
        <v>46015</v>
      </c>
      <c r="M2337" s="30">
        <f t="shared" ca="1" si="184"/>
        <v>0.24512731481481481</v>
      </c>
      <c r="N2337" s="31"/>
      <c r="O2337" s="31">
        <v>25.5</v>
      </c>
      <c r="P2337" s="29">
        <v>23</v>
      </c>
      <c r="Q2337" s="29">
        <v>28</v>
      </c>
    </row>
    <row r="2338" spans="1:17" x14ac:dyDescent="0.35">
      <c r="A2338" s="26">
        <v>40000002793</v>
      </c>
      <c r="B2338" s="27">
        <v>1</v>
      </c>
      <c r="C2338" s="29" t="str">
        <f>LOOKUP(A2338,'QALS - Inspection Lot Record'!$A$2:$A$361,'QALS - Inspection Lot Record'!$O$2:$O$361)</f>
        <v>Metformin Tablets (500 MG)</v>
      </c>
      <c r="D2338" s="27">
        <v>10</v>
      </c>
      <c r="E2338" s="26" t="s">
        <v>399</v>
      </c>
      <c r="F2338" s="29" t="str">
        <f>LOOKUP(A2338,'QALS - Inspection Lot Record'!A:A,'QALS - Inspection Lot Record'!G:G)</f>
        <v>ZK384180</v>
      </c>
      <c r="G2338" s="59">
        <f ca="1">LOOKUP(A2338,'QALS - Inspection Lot Record'!A:A,'QALS - Inspection Lot Record'!E:E)</f>
        <v>46016</v>
      </c>
      <c r="H2338" s="34" t="str">
        <f t="shared" si="185"/>
        <v>A</v>
      </c>
      <c r="I2338" s="29" t="str">
        <f t="shared" si="181"/>
        <v>ZK384180</v>
      </c>
      <c r="J2338" s="59">
        <f t="shared" ca="1" si="182"/>
        <v>46016</v>
      </c>
      <c r="K2338" s="30">
        <f ca="1">LOOKUP(A2338,'QALS - Inspection Lot Record'!A:A,'QALS - Inspection Lot Record'!I:I)</f>
        <v>0.6865162037037037</v>
      </c>
      <c r="L2338" s="59">
        <f t="shared" ca="1" si="183"/>
        <v>46016</v>
      </c>
      <c r="M2338" s="30">
        <f t="shared" ca="1" si="184"/>
        <v>0.70476851851851852</v>
      </c>
      <c r="N2338" s="31"/>
      <c r="O2338" s="31">
        <v>100</v>
      </c>
      <c r="P2338" s="29">
        <v>95</v>
      </c>
      <c r="Q2338" s="29">
        <v>105</v>
      </c>
    </row>
    <row r="2339" spans="1:17" x14ac:dyDescent="0.35">
      <c r="A2339" s="26">
        <v>40000002793</v>
      </c>
      <c r="B2339" s="27">
        <v>1</v>
      </c>
      <c r="C2339" s="29" t="str">
        <f>LOOKUP(A2339,'QALS - Inspection Lot Record'!$A$2:$A$361,'QALS - Inspection Lot Record'!$O$2:$O$361)</f>
        <v>Metformin Tablets (500 MG)</v>
      </c>
      <c r="D2339" s="31">
        <v>20</v>
      </c>
      <c r="E2339" s="29" t="s">
        <v>400</v>
      </c>
      <c r="F2339" s="29" t="str">
        <f>LOOKUP(A2339,'QALS - Inspection Lot Record'!A:A,'QALS - Inspection Lot Record'!G:G)</f>
        <v>ZK384180</v>
      </c>
      <c r="G2339" s="59">
        <f ca="1">LOOKUP(A2339,'QALS - Inspection Lot Record'!A:A,'QALS - Inspection Lot Record'!E:E)</f>
        <v>46016</v>
      </c>
      <c r="H2339" s="34" t="str">
        <f t="shared" si="185"/>
        <v>R</v>
      </c>
      <c r="I2339" s="29" t="str">
        <f t="shared" si="181"/>
        <v>ZK384180</v>
      </c>
      <c r="J2339" s="59">
        <f t="shared" ca="1" si="182"/>
        <v>46016</v>
      </c>
      <c r="K2339" s="30">
        <f ca="1">LOOKUP(A2339,'QALS - Inspection Lot Record'!A:A,'QALS - Inspection Lot Record'!I:I)</f>
        <v>0.6865162037037037</v>
      </c>
      <c r="L2339" s="59">
        <f t="shared" ca="1" si="183"/>
        <v>46016</v>
      </c>
      <c r="M2339" s="30">
        <f t="shared" ca="1" si="184"/>
        <v>0.71182870370370366</v>
      </c>
      <c r="N2339" s="31"/>
      <c r="O2339" s="31">
        <v>1.5</v>
      </c>
      <c r="P2339" s="29">
        <v>3.5</v>
      </c>
      <c r="Q2339" s="29">
        <v>11</v>
      </c>
    </row>
    <row r="2340" spans="1:17" x14ac:dyDescent="0.35">
      <c r="A2340" s="26">
        <v>40000002793</v>
      </c>
      <c r="B2340" s="31">
        <v>1</v>
      </c>
      <c r="C2340" s="29" t="str">
        <f>LOOKUP(A2340,'QALS - Inspection Lot Record'!$A$2:$A$361,'QALS - Inspection Lot Record'!$O$2:$O$361)</f>
        <v>Metformin Tablets (500 MG)</v>
      </c>
      <c r="D2340" s="31">
        <v>30</v>
      </c>
      <c r="E2340" s="29" t="s">
        <v>401</v>
      </c>
      <c r="F2340" s="29" t="str">
        <f>LOOKUP(A2340,'QALS - Inspection Lot Record'!A:A,'QALS - Inspection Lot Record'!G:G)</f>
        <v>ZK384180</v>
      </c>
      <c r="G2340" s="59">
        <f ca="1">LOOKUP(A2340,'QALS - Inspection Lot Record'!A:A,'QALS - Inspection Lot Record'!E:E)</f>
        <v>46016</v>
      </c>
      <c r="H2340" s="34" t="str">
        <f t="shared" si="185"/>
        <v>A</v>
      </c>
      <c r="I2340" s="29" t="str">
        <f t="shared" si="181"/>
        <v>ZK384180</v>
      </c>
      <c r="J2340" s="59">
        <f t="shared" ca="1" si="182"/>
        <v>46016</v>
      </c>
      <c r="K2340" s="30">
        <f ca="1">LOOKUP(A2340,'QALS - Inspection Lot Record'!A:A,'QALS - Inspection Lot Record'!I:I)</f>
        <v>0.6865162037037037</v>
      </c>
      <c r="L2340" s="59">
        <f t="shared" ca="1" si="183"/>
        <v>46016</v>
      </c>
      <c r="M2340" s="30">
        <f t="shared" ca="1" si="184"/>
        <v>0.72092592592592597</v>
      </c>
      <c r="N2340" s="11" t="s">
        <v>402</v>
      </c>
      <c r="O2340" s="31"/>
      <c r="P2340" s="29"/>
      <c r="Q2340" s="29"/>
    </row>
    <row r="2341" spans="1:17" x14ac:dyDescent="0.35">
      <c r="A2341" s="26">
        <v>40000002793</v>
      </c>
      <c r="B2341" s="31">
        <v>1</v>
      </c>
      <c r="C2341" s="29" t="str">
        <f>LOOKUP(A2341,'QALS - Inspection Lot Record'!$A$2:$A$361,'QALS - Inspection Lot Record'!$O$2:$O$361)</f>
        <v>Metformin Tablets (500 MG)</v>
      </c>
      <c r="D2341" s="31">
        <v>40</v>
      </c>
      <c r="E2341" s="29" t="s">
        <v>403</v>
      </c>
      <c r="F2341" s="29" t="str">
        <f>LOOKUP(A2341,'QALS - Inspection Lot Record'!A:A,'QALS - Inspection Lot Record'!G:G)</f>
        <v>ZK384180</v>
      </c>
      <c r="G2341" s="59">
        <f ca="1">LOOKUP(A2341,'QALS - Inspection Lot Record'!A:A,'QALS - Inspection Lot Record'!E:E)</f>
        <v>46016</v>
      </c>
      <c r="H2341" s="34" t="str">
        <f t="shared" si="185"/>
        <v>A</v>
      </c>
      <c r="I2341" s="29" t="str">
        <f t="shared" si="181"/>
        <v>ZK384180</v>
      </c>
      <c r="J2341" s="59">
        <f t="shared" ca="1" si="182"/>
        <v>46016</v>
      </c>
      <c r="K2341" s="30">
        <f ca="1">LOOKUP(A2341,'QALS - Inspection Lot Record'!A:A,'QALS - Inspection Lot Record'!I:I)</f>
        <v>0.6865162037037037</v>
      </c>
      <c r="L2341" s="59">
        <f t="shared" ca="1" si="183"/>
        <v>46016</v>
      </c>
      <c r="M2341" s="30">
        <f t="shared" ca="1" si="184"/>
        <v>0.72141203703703705</v>
      </c>
      <c r="N2341" s="31"/>
      <c r="O2341" s="31">
        <v>1.6</v>
      </c>
      <c r="P2341" s="29">
        <v>0</v>
      </c>
      <c r="Q2341" s="29">
        <v>2</v>
      </c>
    </row>
    <row r="2342" spans="1:17" x14ac:dyDescent="0.35">
      <c r="A2342" s="26">
        <v>40000002793</v>
      </c>
      <c r="B2342" s="31">
        <v>1</v>
      </c>
      <c r="C2342" s="29" t="str">
        <f>LOOKUP(A2342,'QALS - Inspection Lot Record'!$A$2:$A$361,'QALS - Inspection Lot Record'!$O$2:$O$361)</f>
        <v>Metformin Tablets (500 MG)</v>
      </c>
      <c r="D2342" s="31">
        <v>50</v>
      </c>
      <c r="E2342" s="29" t="s">
        <v>404</v>
      </c>
      <c r="F2342" s="29" t="str">
        <f>LOOKUP(A2342,'QALS - Inspection Lot Record'!A:A,'QALS - Inspection Lot Record'!G:G)</f>
        <v>ZK384180</v>
      </c>
      <c r="G2342" s="59">
        <f ca="1">LOOKUP(A2342,'QALS - Inspection Lot Record'!A:A,'QALS - Inspection Lot Record'!E:E)</f>
        <v>46016</v>
      </c>
      <c r="H2342" s="34" t="str">
        <f t="shared" si="185"/>
        <v>R</v>
      </c>
      <c r="I2342" s="29" t="str">
        <f t="shared" si="181"/>
        <v>ZK384180</v>
      </c>
      <c r="J2342" s="59">
        <f t="shared" ca="1" si="182"/>
        <v>46016</v>
      </c>
      <c r="K2342" s="30">
        <f ca="1">LOOKUP(A2342,'QALS - Inspection Lot Record'!A:A,'QALS - Inspection Lot Record'!I:I)</f>
        <v>0.6865162037037037</v>
      </c>
      <c r="L2342" s="59">
        <f t="shared" ca="1" si="183"/>
        <v>46016</v>
      </c>
      <c r="M2342" s="30">
        <f t="shared" ca="1" si="184"/>
        <v>0.70524305555555555</v>
      </c>
      <c r="N2342" s="31"/>
      <c r="O2342" s="31">
        <v>38</v>
      </c>
      <c r="P2342" s="29">
        <v>40</v>
      </c>
      <c r="Q2342" s="29">
        <v>60</v>
      </c>
    </row>
    <row r="2343" spans="1:17" x14ac:dyDescent="0.35">
      <c r="A2343" s="26">
        <v>40000002793</v>
      </c>
      <c r="B2343" s="31">
        <v>1</v>
      </c>
      <c r="C2343" s="29" t="str">
        <f>LOOKUP(A2343,'QALS - Inspection Lot Record'!$A$2:$A$361,'QALS - Inspection Lot Record'!$O$2:$O$361)</f>
        <v>Metformin Tablets (500 MG)</v>
      </c>
      <c r="D2343" s="31">
        <v>60</v>
      </c>
      <c r="E2343" s="29" t="s">
        <v>405</v>
      </c>
      <c r="F2343" s="29" t="str">
        <f>LOOKUP(A2343,'QALS - Inspection Lot Record'!A:A,'QALS - Inspection Lot Record'!G:G)</f>
        <v>ZK384180</v>
      </c>
      <c r="G2343" s="59">
        <f ca="1">LOOKUP(A2343,'QALS - Inspection Lot Record'!A:A,'QALS - Inspection Lot Record'!E:E)</f>
        <v>46016</v>
      </c>
      <c r="H2343" s="34" t="str">
        <f t="shared" si="185"/>
        <v>A</v>
      </c>
      <c r="I2343" s="29" t="str">
        <f t="shared" si="181"/>
        <v>ZK384180</v>
      </c>
      <c r="J2343" s="59">
        <f t="shared" ca="1" si="182"/>
        <v>46016</v>
      </c>
      <c r="K2343" s="30">
        <f ca="1">LOOKUP(A2343,'QALS - Inspection Lot Record'!A:A,'QALS - Inspection Lot Record'!I:I)</f>
        <v>0.6865162037037037</v>
      </c>
      <c r="L2343" s="59">
        <f t="shared" ca="1" si="183"/>
        <v>46016</v>
      </c>
      <c r="M2343" s="30">
        <f t="shared" ca="1" si="184"/>
        <v>0.71607638888888892</v>
      </c>
      <c r="N2343" s="31"/>
      <c r="O2343" s="31">
        <v>72</v>
      </c>
      <c r="P2343" s="29">
        <v>70</v>
      </c>
      <c r="Q2343" s="29">
        <v>85</v>
      </c>
    </row>
    <row r="2344" spans="1:17" x14ac:dyDescent="0.35">
      <c r="A2344" s="26">
        <v>40000002793</v>
      </c>
      <c r="B2344" s="31">
        <v>1</v>
      </c>
      <c r="C2344" s="29" t="str">
        <f>LOOKUP(A2344,'QALS - Inspection Lot Record'!$A$2:$A$361,'QALS - Inspection Lot Record'!$O$2:$O$361)</f>
        <v>Metformin Tablets (500 MG)</v>
      </c>
      <c r="D2344" s="31">
        <v>70</v>
      </c>
      <c r="E2344" s="29" t="s">
        <v>406</v>
      </c>
      <c r="F2344" s="29" t="str">
        <f>LOOKUP(A2344,'QALS - Inspection Lot Record'!A:A,'QALS - Inspection Lot Record'!G:G)</f>
        <v>ZK384180</v>
      </c>
      <c r="G2344" s="59">
        <f ca="1">LOOKUP(A2344,'QALS - Inspection Lot Record'!A:A,'QALS - Inspection Lot Record'!E:E)</f>
        <v>46016</v>
      </c>
      <c r="H2344" s="34" t="str">
        <f t="shared" si="185"/>
        <v>A</v>
      </c>
      <c r="I2344" s="29" t="str">
        <f t="shared" si="181"/>
        <v>ZK384180</v>
      </c>
      <c r="J2344" s="59">
        <f t="shared" ca="1" si="182"/>
        <v>46016</v>
      </c>
      <c r="K2344" s="30">
        <f ca="1">LOOKUP(A2344,'QALS - Inspection Lot Record'!A:A,'QALS - Inspection Lot Record'!I:I)</f>
        <v>0.6865162037037037</v>
      </c>
      <c r="L2344" s="59">
        <f t="shared" ca="1" si="183"/>
        <v>46016</v>
      </c>
      <c r="M2344" s="30">
        <f t="shared" ca="1" si="184"/>
        <v>0.71723379629629624</v>
      </c>
      <c r="N2344" s="31"/>
      <c r="O2344" s="31">
        <v>84</v>
      </c>
      <c r="P2344" s="29">
        <v>80</v>
      </c>
      <c r="Q2344" s="29">
        <v>90</v>
      </c>
    </row>
    <row r="2345" spans="1:17" x14ac:dyDescent="0.35">
      <c r="A2345" s="26">
        <v>40000002793</v>
      </c>
      <c r="B2345" s="31">
        <v>1</v>
      </c>
      <c r="C2345" s="29" t="str">
        <f>LOOKUP(A2345,'QALS - Inspection Lot Record'!$A$2:$A$361,'QALS - Inspection Lot Record'!$O$2:$O$361)</f>
        <v>Metformin Tablets (500 MG)</v>
      </c>
      <c r="D2345" s="31">
        <v>80</v>
      </c>
      <c r="E2345" s="29" t="s">
        <v>407</v>
      </c>
      <c r="F2345" s="29" t="str">
        <f>LOOKUP(A2345,'QALS - Inspection Lot Record'!A:A,'QALS - Inspection Lot Record'!G:G)</f>
        <v>ZK384180</v>
      </c>
      <c r="G2345" s="59">
        <f ca="1">LOOKUP(A2345,'QALS - Inspection Lot Record'!A:A,'QALS - Inspection Lot Record'!E:E)</f>
        <v>46016</v>
      </c>
      <c r="H2345" s="34" t="str">
        <f t="shared" si="185"/>
        <v>A</v>
      </c>
      <c r="I2345" s="29" t="str">
        <f t="shared" si="181"/>
        <v>ZK384180</v>
      </c>
      <c r="J2345" s="59">
        <f t="shared" ca="1" si="182"/>
        <v>46016</v>
      </c>
      <c r="K2345" s="30">
        <f ca="1">LOOKUP(A2345,'QALS - Inspection Lot Record'!A:A,'QALS - Inspection Lot Record'!I:I)</f>
        <v>0.6865162037037037</v>
      </c>
      <c r="L2345" s="59">
        <f t="shared" ca="1" si="183"/>
        <v>46016</v>
      </c>
      <c r="M2345" s="30">
        <f t="shared" ca="1" si="184"/>
        <v>0.70984953703703701</v>
      </c>
      <c r="N2345" s="31"/>
      <c r="O2345" s="31">
        <v>24</v>
      </c>
      <c r="P2345" s="29">
        <v>23</v>
      </c>
      <c r="Q2345" s="29">
        <v>28</v>
      </c>
    </row>
    <row r="2346" spans="1:17" x14ac:dyDescent="0.35">
      <c r="A2346" s="26">
        <v>40000002794</v>
      </c>
      <c r="B2346" s="27">
        <v>1</v>
      </c>
      <c r="C2346" s="29" t="str">
        <f>LOOKUP(A2346,'QALS - Inspection Lot Record'!$A$2:$A$361,'QALS - Inspection Lot Record'!$O$2:$O$361)</f>
        <v>Metformin Tablets (500 MG)</v>
      </c>
      <c r="D2346" s="27">
        <v>10</v>
      </c>
      <c r="E2346" s="26" t="s">
        <v>399</v>
      </c>
      <c r="F2346" s="29" t="str">
        <f>LOOKUP(A2346,'QALS - Inspection Lot Record'!A:A,'QALS - Inspection Lot Record'!G:G)</f>
        <v>YA284176</v>
      </c>
      <c r="G2346" s="59">
        <f ca="1">LOOKUP(A2346,'QALS - Inspection Lot Record'!A:A,'QALS - Inspection Lot Record'!E:E)</f>
        <v>46016</v>
      </c>
      <c r="H2346" s="34" t="str">
        <f t="shared" si="185"/>
        <v>R</v>
      </c>
      <c r="I2346" s="29" t="str">
        <f t="shared" si="181"/>
        <v>YA284176</v>
      </c>
      <c r="J2346" s="59">
        <f t="shared" ca="1" si="182"/>
        <v>46016</v>
      </c>
      <c r="K2346" s="30">
        <f ca="1">LOOKUP(A2346,'QALS - Inspection Lot Record'!A:A,'QALS - Inspection Lot Record'!I:I)</f>
        <v>0.41778935185185184</v>
      </c>
      <c r="L2346" s="59">
        <f t="shared" ca="1" si="183"/>
        <v>46016</v>
      </c>
      <c r="M2346" s="30">
        <f t="shared" ca="1" si="184"/>
        <v>0.44042824074074072</v>
      </c>
      <c r="N2346" s="31"/>
      <c r="O2346" s="31">
        <v>94</v>
      </c>
      <c r="P2346" s="29">
        <v>95</v>
      </c>
      <c r="Q2346" s="29">
        <v>105</v>
      </c>
    </row>
    <row r="2347" spans="1:17" x14ac:dyDescent="0.35">
      <c r="A2347" s="26">
        <v>40000002794</v>
      </c>
      <c r="B2347" s="27">
        <v>1</v>
      </c>
      <c r="C2347" s="29" t="str">
        <f>LOOKUP(A2347,'QALS - Inspection Lot Record'!$A$2:$A$361,'QALS - Inspection Lot Record'!$O$2:$O$361)</f>
        <v>Metformin Tablets (500 MG)</v>
      </c>
      <c r="D2347" s="31">
        <v>20</v>
      </c>
      <c r="E2347" s="29" t="s">
        <v>400</v>
      </c>
      <c r="F2347" s="29" t="str">
        <f>LOOKUP(A2347,'QALS - Inspection Lot Record'!A:A,'QALS - Inspection Lot Record'!G:G)</f>
        <v>YA284176</v>
      </c>
      <c r="G2347" s="59">
        <f ca="1">LOOKUP(A2347,'QALS - Inspection Lot Record'!A:A,'QALS - Inspection Lot Record'!E:E)</f>
        <v>46016</v>
      </c>
      <c r="H2347" s="34" t="str">
        <f t="shared" si="185"/>
        <v>R</v>
      </c>
      <c r="I2347" s="29" t="str">
        <f t="shared" si="181"/>
        <v>YA284176</v>
      </c>
      <c r="J2347" s="59">
        <f t="shared" ca="1" si="182"/>
        <v>46016</v>
      </c>
      <c r="K2347" s="30">
        <f ca="1">LOOKUP(A2347,'QALS - Inspection Lot Record'!A:A,'QALS - Inspection Lot Record'!I:I)</f>
        <v>0.41778935185185184</v>
      </c>
      <c r="L2347" s="59">
        <f t="shared" ca="1" si="183"/>
        <v>46016</v>
      </c>
      <c r="M2347" s="30">
        <f t="shared" ca="1" si="184"/>
        <v>0.44672453703703702</v>
      </c>
      <c r="N2347" s="31"/>
      <c r="O2347" s="31">
        <v>2</v>
      </c>
      <c r="P2347" s="29">
        <v>3.5</v>
      </c>
      <c r="Q2347" s="29">
        <v>11</v>
      </c>
    </row>
    <row r="2348" spans="1:17" x14ac:dyDescent="0.35">
      <c r="A2348" s="26">
        <v>40000002794</v>
      </c>
      <c r="B2348" s="31">
        <v>1</v>
      </c>
      <c r="C2348" s="29" t="str">
        <f>LOOKUP(A2348,'QALS - Inspection Lot Record'!$A$2:$A$361,'QALS - Inspection Lot Record'!$O$2:$O$361)</f>
        <v>Metformin Tablets (500 MG)</v>
      </c>
      <c r="D2348" s="31">
        <v>30</v>
      </c>
      <c r="E2348" s="29" t="s">
        <v>401</v>
      </c>
      <c r="F2348" s="29" t="str">
        <f>LOOKUP(A2348,'QALS - Inspection Lot Record'!A:A,'QALS - Inspection Lot Record'!G:G)</f>
        <v>YA284176</v>
      </c>
      <c r="G2348" s="59">
        <f ca="1">LOOKUP(A2348,'QALS - Inspection Lot Record'!A:A,'QALS - Inspection Lot Record'!E:E)</f>
        <v>46016</v>
      </c>
      <c r="H2348" s="34" t="str">
        <f t="shared" si="185"/>
        <v>A</v>
      </c>
      <c r="I2348" s="29" t="str">
        <f t="shared" si="181"/>
        <v>YA284176</v>
      </c>
      <c r="J2348" s="59">
        <f t="shared" ca="1" si="182"/>
        <v>46016</v>
      </c>
      <c r="K2348" s="30">
        <f ca="1">LOOKUP(A2348,'QALS - Inspection Lot Record'!A:A,'QALS - Inspection Lot Record'!I:I)</f>
        <v>0.41778935185185184</v>
      </c>
      <c r="L2348" s="59">
        <f t="shared" ca="1" si="183"/>
        <v>46016</v>
      </c>
      <c r="M2348" s="30">
        <f t="shared" ca="1" si="184"/>
        <v>0.43664351851851851</v>
      </c>
      <c r="N2348" s="11" t="s">
        <v>402</v>
      </c>
      <c r="O2348" s="31"/>
      <c r="P2348" s="29"/>
      <c r="Q2348" s="29"/>
    </row>
    <row r="2349" spans="1:17" x14ac:dyDescent="0.35">
      <c r="A2349" s="26">
        <v>40000002794</v>
      </c>
      <c r="B2349" s="31">
        <v>1</v>
      </c>
      <c r="C2349" s="29" t="str">
        <f>LOOKUP(A2349,'QALS - Inspection Lot Record'!$A$2:$A$361,'QALS - Inspection Lot Record'!$O$2:$O$361)</f>
        <v>Metformin Tablets (500 MG)</v>
      </c>
      <c r="D2349" s="31">
        <v>40</v>
      </c>
      <c r="E2349" s="29" t="s">
        <v>403</v>
      </c>
      <c r="F2349" s="29" t="str">
        <f>LOOKUP(A2349,'QALS - Inspection Lot Record'!A:A,'QALS - Inspection Lot Record'!G:G)</f>
        <v>YA284176</v>
      </c>
      <c r="G2349" s="59">
        <f ca="1">LOOKUP(A2349,'QALS - Inspection Lot Record'!A:A,'QALS - Inspection Lot Record'!E:E)</f>
        <v>46016</v>
      </c>
      <c r="H2349" s="34" t="str">
        <f t="shared" si="185"/>
        <v>R</v>
      </c>
      <c r="I2349" s="29" t="str">
        <f t="shared" si="181"/>
        <v>YA284176</v>
      </c>
      <c r="J2349" s="59">
        <f t="shared" ca="1" si="182"/>
        <v>46016</v>
      </c>
      <c r="K2349" s="30">
        <f ca="1">LOOKUP(A2349,'QALS - Inspection Lot Record'!A:A,'QALS - Inspection Lot Record'!I:I)</f>
        <v>0.41778935185185184</v>
      </c>
      <c r="L2349" s="59">
        <f t="shared" ca="1" si="183"/>
        <v>46016</v>
      </c>
      <c r="M2349" s="30">
        <f t="shared" ca="1" si="184"/>
        <v>0.4455324074074074</v>
      </c>
      <c r="N2349" s="31"/>
      <c r="O2349" s="31">
        <v>2.2000000000000002</v>
      </c>
      <c r="P2349" s="29">
        <v>0</v>
      </c>
      <c r="Q2349" s="29">
        <v>2</v>
      </c>
    </row>
    <row r="2350" spans="1:17" x14ac:dyDescent="0.35">
      <c r="A2350" s="26">
        <v>40000002794</v>
      </c>
      <c r="B2350" s="31">
        <v>1</v>
      </c>
      <c r="C2350" s="29" t="str">
        <f>LOOKUP(A2350,'QALS - Inspection Lot Record'!$A$2:$A$361,'QALS - Inspection Lot Record'!$O$2:$O$361)</f>
        <v>Metformin Tablets (500 MG)</v>
      </c>
      <c r="D2350" s="31">
        <v>50</v>
      </c>
      <c r="E2350" s="29" t="s">
        <v>404</v>
      </c>
      <c r="F2350" s="29" t="str">
        <f>LOOKUP(A2350,'QALS - Inspection Lot Record'!A:A,'QALS - Inspection Lot Record'!G:G)</f>
        <v>YA284176</v>
      </c>
      <c r="G2350" s="59">
        <f ca="1">LOOKUP(A2350,'QALS - Inspection Lot Record'!A:A,'QALS - Inspection Lot Record'!E:E)</f>
        <v>46016</v>
      </c>
      <c r="H2350" s="34" t="str">
        <f t="shared" si="185"/>
        <v>A</v>
      </c>
      <c r="I2350" s="29" t="str">
        <f t="shared" si="181"/>
        <v>YA284176</v>
      </c>
      <c r="J2350" s="59">
        <f t="shared" ca="1" si="182"/>
        <v>46016</v>
      </c>
      <c r="K2350" s="30">
        <f ca="1">LOOKUP(A2350,'QALS - Inspection Lot Record'!A:A,'QALS - Inspection Lot Record'!I:I)</f>
        <v>0.41778935185185184</v>
      </c>
      <c r="L2350" s="59">
        <f t="shared" ca="1" si="183"/>
        <v>46016</v>
      </c>
      <c r="M2350" s="30">
        <f t="shared" ca="1" si="184"/>
        <v>0.43716435185185182</v>
      </c>
      <c r="N2350" s="31"/>
      <c r="O2350" s="31">
        <v>43.2</v>
      </c>
      <c r="P2350" s="29">
        <v>40</v>
      </c>
      <c r="Q2350" s="29">
        <v>60</v>
      </c>
    </row>
    <row r="2351" spans="1:17" x14ac:dyDescent="0.35">
      <c r="A2351" s="26">
        <v>40000002794</v>
      </c>
      <c r="B2351" s="31">
        <v>1</v>
      </c>
      <c r="C2351" s="29" t="str">
        <f>LOOKUP(A2351,'QALS - Inspection Lot Record'!$A$2:$A$361,'QALS - Inspection Lot Record'!$O$2:$O$361)</f>
        <v>Metformin Tablets (500 MG)</v>
      </c>
      <c r="D2351" s="31">
        <v>60</v>
      </c>
      <c r="E2351" s="29" t="s">
        <v>405</v>
      </c>
      <c r="F2351" s="29" t="str">
        <f>LOOKUP(A2351,'QALS - Inspection Lot Record'!A:A,'QALS - Inspection Lot Record'!G:G)</f>
        <v>YA284176</v>
      </c>
      <c r="G2351" s="59">
        <f ca="1">LOOKUP(A2351,'QALS - Inspection Lot Record'!A:A,'QALS - Inspection Lot Record'!E:E)</f>
        <v>46016</v>
      </c>
      <c r="H2351" s="34" t="str">
        <f t="shared" si="185"/>
        <v>A</v>
      </c>
      <c r="I2351" s="29" t="str">
        <f t="shared" si="181"/>
        <v>YA284176</v>
      </c>
      <c r="J2351" s="59">
        <f t="shared" ca="1" si="182"/>
        <v>46016</v>
      </c>
      <c r="K2351" s="30">
        <f ca="1">LOOKUP(A2351,'QALS - Inspection Lot Record'!A:A,'QALS - Inspection Lot Record'!I:I)</f>
        <v>0.41778935185185184</v>
      </c>
      <c r="L2351" s="59">
        <f t="shared" ca="1" si="183"/>
        <v>46016</v>
      </c>
      <c r="M2351" s="30">
        <f t="shared" ca="1" si="184"/>
        <v>0.44457175925925924</v>
      </c>
      <c r="N2351" s="31"/>
      <c r="O2351" s="31">
        <v>73.900000000000006</v>
      </c>
      <c r="P2351" s="29">
        <v>70</v>
      </c>
      <c r="Q2351" s="29">
        <v>85</v>
      </c>
    </row>
    <row r="2352" spans="1:17" x14ac:dyDescent="0.35">
      <c r="A2352" s="26">
        <v>40000002794</v>
      </c>
      <c r="B2352" s="31">
        <v>1</v>
      </c>
      <c r="C2352" s="29" t="str">
        <f>LOOKUP(A2352,'QALS - Inspection Lot Record'!$A$2:$A$361,'QALS - Inspection Lot Record'!$O$2:$O$361)</f>
        <v>Metformin Tablets (500 MG)</v>
      </c>
      <c r="D2352" s="31">
        <v>70</v>
      </c>
      <c r="E2352" s="29" t="s">
        <v>406</v>
      </c>
      <c r="F2352" s="29" t="str">
        <f>LOOKUP(A2352,'QALS - Inspection Lot Record'!A:A,'QALS - Inspection Lot Record'!G:G)</f>
        <v>YA284176</v>
      </c>
      <c r="G2352" s="59">
        <f ca="1">LOOKUP(A2352,'QALS - Inspection Lot Record'!A:A,'QALS - Inspection Lot Record'!E:E)</f>
        <v>46016</v>
      </c>
      <c r="H2352" s="34" t="str">
        <f t="shared" si="185"/>
        <v>R</v>
      </c>
      <c r="I2352" s="29" t="str">
        <f t="shared" si="181"/>
        <v>YA284176</v>
      </c>
      <c r="J2352" s="59">
        <f t="shared" ca="1" si="182"/>
        <v>46016</v>
      </c>
      <c r="K2352" s="30">
        <f ca="1">LOOKUP(A2352,'QALS - Inspection Lot Record'!A:A,'QALS - Inspection Lot Record'!I:I)</f>
        <v>0.41778935185185184</v>
      </c>
      <c r="L2352" s="59">
        <f t="shared" ca="1" si="183"/>
        <v>46016</v>
      </c>
      <c r="M2352" s="30">
        <f t="shared" ca="1" si="184"/>
        <v>0.44881944444444444</v>
      </c>
      <c r="N2352" s="31"/>
      <c r="O2352" s="31">
        <v>78.2</v>
      </c>
      <c r="P2352" s="29">
        <v>80</v>
      </c>
      <c r="Q2352" s="29">
        <v>90</v>
      </c>
    </row>
    <row r="2353" spans="1:17" x14ac:dyDescent="0.35">
      <c r="A2353" s="26">
        <v>40000002794</v>
      </c>
      <c r="B2353" s="31">
        <v>1</v>
      </c>
      <c r="C2353" s="29" t="str">
        <f>LOOKUP(A2353,'QALS - Inspection Lot Record'!$A$2:$A$361,'QALS - Inspection Lot Record'!$O$2:$O$361)</f>
        <v>Metformin Tablets (500 MG)</v>
      </c>
      <c r="D2353" s="31">
        <v>80</v>
      </c>
      <c r="E2353" s="29" t="s">
        <v>407</v>
      </c>
      <c r="F2353" s="29" t="str">
        <f>LOOKUP(A2353,'QALS - Inspection Lot Record'!A:A,'QALS - Inspection Lot Record'!G:G)</f>
        <v>YA284176</v>
      </c>
      <c r="G2353" s="59">
        <f ca="1">LOOKUP(A2353,'QALS - Inspection Lot Record'!A:A,'QALS - Inspection Lot Record'!E:E)</f>
        <v>46016</v>
      </c>
      <c r="H2353" s="34" t="str">
        <f t="shared" si="185"/>
        <v>A</v>
      </c>
      <c r="I2353" s="29" t="str">
        <f t="shared" si="181"/>
        <v>YA284176</v>
      </c>
      <c r="J2353" s="59">
        <f t="shared" ca="1" si="182"/>
        <v>46016</v>
      </c>
      <c r="K2353" s="30">
        <f ca="1">LOOKUP(A2353,'QALS - Inspection Lot Record'!A:A,'QALS - Inspection Lot Record'!I:I)</f>
        <v>0.41778935185185184</v>
      </c>
      <c r="L2353" s="59">
        <f t="shared" ca="1" si="183"/>
        <v>46016</v>
      </c>
      <c r="M2353" s="30">
        <f t="shared" ca="1" si="184"/>
        <v>0.43815972222222221</v>
      </c>
      <c r="N2353" s="31"/>
      <c r="O2353" s="31">
        <v>24</v>
      </c>
      <c r="P2353" s="29">
        <v>23</v>
      </c>
      <c r="Q2353" s="29">
        <v>28</v>
      </c>
    </row>
    <row r="2354" spans="1:17" x14ac:dyDescent="0.35">
      <c r="A2354" s="26">
        <v>40000002795</v>
      </c>
      <c r="B2354" s="27">
        <v>1</v>
      </c>
      <c r="C2354" s="29" t="str">
        <f>LOOKUP(A2354,'QALS - Inspection Lot Record'!$A$2:$A$361,'QALS - Inspection Lot Record'!$O$2:$O$361)</f>
        <v>Ibuprofen Tablets (100 MG)</v>
      </c>
      <c r="D2354" s="27">
        <v>10</v>
      </c>
      <c r="E2354" s="26" t="s">
        <v>399</v>
      </c>
      <c r="F2354" s="29" t="str">
        <f>LOOKUP(A2354,'QALS - Inspection Lot Record'!A:A,'QALS - Inspection Lot Record'!G:G)</f>
        <v>TP397880</v>
      </c>
      <c r="G2354" s="59">
        <f ca="1">LOOKUP(A2354,'QALS - Inspection Lot Record'!A:A,'QALS - Inspection Lot Record'!E:E)</f>
        <v>46017</v>
      </c>
      <c r="H2354" s="34" t="str">
        <f t="shared" si="185"/>
        <v>A</v>
      </c>
      <c r="I2354" s="29" t="str">
        <f t="shared" si="181"/>
        <v>TP397880</v>
      </c>
      <c r="J2354" s="59">
        <f t="shared" ca="1" si="182"/>
        <v>46017</v>
      </c>
      <c r="K2354" s="30">
        <f ca="1">LOOKUP(A2354,'QALS - Inspection Lot Record'!A:A,'QALS - Inspection Lot Record'!I:I)</f>
        <v>0.89670138888888884</v>
      </c>
      <c r="L2354" s="59">
        <f t="shared" ca="1" si="183"/>
        <v>46017</v>
      </c>
      <c r="M2354" s="30">
        <f t="shared" ca="1" si="184"/>
        <v>0.92754629629629626</v>
      </c>
      <c r="N2354" s="31"/>
      <c r="O2354" s="31">
        <v>98.5</v>
      </c>
      <c r="P2354" s="29">
        <v>95</v>
      </c>
      <c r="Q2354" s="29">
        <v>102</v>
      </c>
    </row>
    <row r="2355" spans="1:17" x14ac:dyDescent="0.35">
      <c r="A2355" s="26">
        <v>40000002795</v>
      </c>
      <c r="B2355" s="27">
        <v>1</v>
      </c>
      <c r="C2355" s="29" t="str">
        <f>LOOKUP(A2355,'QALS - Inspection Lot Record'!$A$2:$A$361,'QALS - Inspection Lot Record'!$O$2:$O$361)</f>
        <v>Ibuprofen Tablets (100 MG)</v>
      </c>
      <c r="D2355" s="31">
        <v>20</v>
      </c>
      <c r="E2355" s="29" t="s">
        <v>400</v>
      </c>
      <c r="F2355" s="29" t="str">
        <f>LOOKUP(A2355,'QALS - Inspection Lot Record'!A:A,'QALS - Inspection Lot Record'!G:G)</f>
        <v>TP397880</v>
      </c>
      <c r="G2355" s="59">
        <f ca="1">LOOKUP(A2355,'QALS - Inspection Lot Record'!A:A,'QALS - Inspection Lot Record'!E:E)</f>
        <v>46017</v>
      </c>
      <c r="H2355" s="34" t="str">
        <f t="shared" si="185"/>
        <v>A</v>
      </c>
      <c r="I2355" s="29" t="str">
        <f t="shared" si="181"/>
        <v>TP397880</v>
      </c>
      <c r="J2355" s="59">
        <f t="shared" ca="1" si="182"/>
        <v>46017</v>
      </c>
      <c r="K2355" s="30">
        <f ca="1">LOOKUP(A2355,'QALS - Inspection Lot Record'!A:A,'QALS - Inspection Lot Record'!I:I)</f>
        <v>0.89670138888888884</v>
      </c>
      <c r="L2355" s="59">
        <f t="shared" ca="1" si="183"/>
        <v>46017</v>
      </c>
      <c r="M2355" s="30">
        <f t="shared" ca="1" si="184"/>
        <v>0.9305092592592592</v>
      </c>
      <c r="N2355" s="31"/>
      <c r="O2355" s="31">
        <v>7.25</v>
      </c>
      <c r="P2355" s="29">
        <v>3.5</v>
      </c>
      <c r="Q2355" s="29">
        <v>11</v>
      </c>
    </row>
    <row r="2356" spans="1:17" x14ac:dyDescent="0.35">
      <c r="A2356" s="26">
        <v>40000002795</v>
      </c>
      <c r="B2356" s="31">
        <v>1</v>
      </c>
      <c r="C2356" s="29" t="str">
        <f>LOOKUP(A2356,'QALS - Inspection Lot Record'!$A$2:$A$361,'QALS - Inspection Lot Record'!$O$2:$O$361)</f>
        <v>Ibuprofen Tablets (100 MG)</v>
      </c>
      <c r="D2356" s="31">
        <v>30</v>
      </c>
      <c r="E2356" s="29" t="s">
        <v>401</v>
      </c>
      <c r="F2356" s="29" t="str">
        <f>LOOKUP(A2356,'QALS - Inspection Lot Record'!A:A,'QALS - Inspection Lot Record'!G:G)</f>
        <v>TP397880</v>
      </c>
      <c r="G2356" s="59">
        <f ca="1">LOOKUP(A2356,'QALS - Inspection Lot Record'!A:A,'QALS - Inspection Lot Record'!E:E)</f>
        <v>46017</v>
      </c>
      <c r="H2356" s="34" t="str">
        <f t="shared" si="185"/>
        <v>A</v>
      </c>
      <c r="I2356" s="29" t="str">
        <f t="shared" si="181"/>
        <v>TP397880</v>
      </c>
      <c r="J2356" s="59">
        <f t="shared" ca="1" si="182"/>
        <v>46017</v>
      </c>
      <c r="K2356" s="30">
        <f ca="1">LOOKUP(A2356,'QALS - Inspection Lot Record'!A:A,'QALS - Inspection Lot Record'!I:I)</f>
        <v>0.89670138888888884</v>
      </c>
      <c r="L2356" s="59">
        <f t="shared" ca="1" si="183"/>
        <v>46017</v>
      </c>
      <c r="M2356" s="30">
        <f t="shared" ca="1" si="184"/>
        <v>0.92758101851851849</v>
      </c>
      <c r="N2356" s="11" t="s">
        <v>402</v>
      </c>
      <c r="O2356" s="31"/>
      <c r="P2356" s="29"/>
      <c r="Q2356" s="29"/>
    </row>
    <row r="2357" spans="1:17" x14ac:dyDescent="0.35">
      <c r="A2357" s="26">
        <v>40000002795</v>
      </c>
      <c r="B2357" s="31">
        <v>1</v>
      </c>
      <c r="C2357" s="29" t="str">
        <f>LOOKUP(A2357,'QALS - Inspection Lot Record'!$A$2:$A$361,'QALS - Inspection Lot Record'!$O$2:$O$361)</f>
        <v>Ibuprofen Tablets (100 MG)</v>
      </c>
      <c r="D2357" s="31">
        <v>40</v>
      </c>
      <c r="E2357" s="29" t="s">
        <v>403</v>
      </c>
      <c r="F2357" s="29" t="str">
        <f>LOOKUP(A2357,'QALS - Inspection Lot Record'!A:A,'QALS - Inspection Lot Record'!G:G)</f>
        <v>TP397880</v>
      </c>
      <c r="G2357" s="59">
        <f ca="1">LOOKUP(A2357,'QALS - Inspection Lot Record'!A:A,'QALS - Inspection Lot Record'!E:E)</f>
        <v>46017</v>
      </c>
      <c r="H2357" s="34" t="str">
        <f t="shared" si="185"/>
        <v>A</v>
      </c>
      <c r="I2357" s="29" t="str">
        <f t="shared" si="181"/>
        <v>TP397880</v>
      </c>
      <c r="J2357" s="59">
        <f t="shared" ca="1" si="182"/>
        <v>46017</v>
      </c>
      <c r="K2357" s="30">
        <f ca="1">LOOKUP(A2357,'QALS - Inspection Lot Record'!A:A,'QALS - Inspection Lot Record'!I:I)</f>
        <v>0.89670138888888884</v>
      </c>
      <c r="L2357" s="59">
        <f t="shared" ca="1" si="183"/>
        <v>46017</v>
      </c>
      <c r="M2357" s="30">
        <f t="shared" ca="1" si="184"/>
        <v>0.91909722222222212</v>
      </c>
      <c r="N2357" s="31"/>
      <c r="O2357" s="31">
        <v>0</v>
      </c>
      <c r="P2357" s="29">
        <v>0</v>
      </c>
      <c r="Q2357" s="29">
        <v>1</v>
      </c>
    </row>
    <row r="2358" spans="1:17" x14ac:dyDescent="0.35">
      <c r="A2358" s="26">
        <v>40000002795</v>
      </c>
      <c r="B2358" s="31">
        <v>1</v>
      </c>
      <c r="C2358" s="29" t="str">
        <f>LOOKUP(A2358,'QALS - Inspection Lot Record'!$A$2:$A$361,'QALS - Inspection Lot Record'!$O$2:$O$361)</f>
        <v>Ibuprofen Tablets (100 MG)</v>
      </c>
      <c r="D2358" s="31">
        <v>50</v>
      </c>
      <c r="E2358" s="29" t="s">
        <v>404</v>
      </c>
      <c r="F2358" s="29" t="str">
        <f>LOOKUP(A2358,'QALS - Inspection Lot Record'!A:A,'QALS - Inspection Lot Record'!G:G)</f>
        <v>TP397880</v>
      </c>
      <c r="G2358" s="59">
        <f ca="1">LOOKUP(A2358,'QALS - Inspection Lot Record'!A:A,'QALS - Inspection Lot Record'!E:E)</f>
        <v>46017</v>
      </c>
      <c r="H2358" s="34" t="str">
        <f t="shared" si="185"/>
        <v>A</v>
      </c>
      <c r="I2358" s="29" t="str">
        <f t="shared" si="181"/>
        <v>TP397880</v>
      </c>
      <c r="J2358" s="59">
        <f t="shared" ca="1" si="182"/>
        <v>46017</v>
      </c>
      <c r="K2358" s="30">
        <f ca="1">LOOKUP(A2358,'QALS - Inspection Lot Record'!A:A,'QALS - Inspection Lot Record'!I:I)</f>
        <v>0.89670138888888884</v>
      </c>
      <c r="L2358" s="59">
        <f t="shared" ca="1" si="183"/>
        <v>46017</v>
      </c>
      <c r="M2358" s="30">
        <f t="shared" ca="1" si="184"/>
        <v>0.92449074074074067</v>
      </c>
      <c r="N2358" s="31"/>
      <c r="O2358" s="31">
        <v>50</v>
      </c>
      <c r="P2358" s="29">
        <v>40</v>
      </c>
      <c r="Q2358" s="29">
        <v>60</v>
      </c>
    </row>
    <row r="2359" spans="1:17" x14ac:dyDescent="0.35">
      <c r="A2359" s="26">
        <v>40000002795</v>
      </c>
      <c r="B2359" s="31">
        <v>1</v>
      </c>
      <c r="C2359" s="29" t="str">
        <f>LOOKUP(A2359,'QALS - Inspection Lot Record'!$A$2:$A$361,'QALS - Inspection Lot Record'!$O$2:$O$361)</f>
        <v>Ibuprofen Tablets (100 MG)</v>
      </c>
      <c r="D2359" s="31">
        <v>60</v>
      </c>
      <c r="E2359" s="29" t="s">
        <v>405</v>
      </c>
      <c r="F2359" s="29" t="str">
        <f>LOOKUP(A2359,'QALS - Inspection Lot Record'!A:A,'QALS - Inspection Lot Record'!G:G)</f>
        <v>TP397880</v>
      </c>
      <c r="G2359" s="59">
        <f ca="1">LOOKUP(A2359,'QALS - Inspection Lot Record'!A:A,'QALS - Inspection Lot Record'!E:E)</f>
        <v>46017</v>
      </c>
      <c r="H2359" s="34" t="str">
        <f t="shared" si="185"/>
        <v>A</v>
      </c>
      <c r="I2359" s="29" t="str">
        <f t="shared" si="181"/>
        <v>TP397880</v>
      </c>
      <c r="J2359" s="59">
        <f t="shared" ca="1" si="182"/>
        <v>46017</v>
      </c>
      <c r="K2359" s="30">
        <f ca="1">LOOKUP(A2359,'QALS - Inspection Lot Record'!A:A,'QALS - Inspection Lot Record'!I:I)</f>
        <v>0.89670138888888884</v>
      </c>
      <c r="L2359" s="59">
        <f t="shared" ca="1" si="183"/>
        <v>46017</v>
      </c>
      <c r="M2359" s="30">
        <f t="shared" ca="1" si="184"/>
        <v>0.91826388888888888</v>
      </c>
      <c r="N2359" s="31"/>
      <c r="O2359" s="31">
        <v>77.5</v>
      </c>
      <c r="P2359" s="29">
        <v>70</v>
      </c>
      <c r="Q2359" s="29">
        <v>85</v>
      </c>
    </row>
    <row r="2360" spans="1:17" x14ac:dyDescent="0.35">
      <c r="A2360" s="26">
        <v>40000002795</v>
      </c>
      <c r="B2360" s="31">
        <v>1</v>
      </c>
      <c r="C2360" s="29" t="str">
        <f>LOOKUP(A2360,'QALS - Inspection Lot Record'!$A$2:$A$361,'QALS - Inspection Lot Record'!$O$2:$O$361)</f>
        <v>Ibuprofen Tablets (100 MG)</v>
      </c>
      <c r="D2360" s="31">
        <v>70</v>
      </c>
      <c r="E2360" s="29" t="s">
        <v>406</v>
      </c>
      <c r="F2360" s="29" t="str">
        <f>LOOKUP(A2360,'QALS - Inspection Lot Record'!A:A,'QALS - Inspection Lot Record'!G:G)</f>
        <v>TP397880</v>
      </c>
      <c r="G2360" s="59">
        <f ca="1">LOOKUP(A2360,'QALS - Inspection Lot Record'!A:A,'QALS - Inspection Lot Record'!E:E)</f>
        <v>46017</v>
      </c>
      <c r="H2360" s="34" t="str">
        <f t="shared" si="185"/>
        <v>A</v>
      </c>
      <c r="I2360" s="29" t="str">
        <f t="shared" si="181"/>
        <v>TP397880</v>
      </c>
      <c r="J2360" s="59">
        <f t="shared" ca="1" si="182"/>
        <v>46017</v>
      </c>
      <c r="K2360" s="30">
        <f ca="1">LOOKUP(A2360,'QALS - Inspection Lot Record'!A:A,'QALS - Inspection Lot Record'!I:I)</f>
        <v>0.89670138888888884</v>
      </c>
      <c r="L2360" s="59">
        <f t="shared" ca="1" si="183"/>
        <v>46017</v>
      </c>
      <c r="M2360" s="30">
        <f t="shared" ca="1" si="184"/>
        <v>0.91510416666666661</v>
      </c>
      <c r="N2360" s="31"/>
      <c r="O2360" s="31">
        <v>81.599999999999994</v>
      </c>
      <c r="P2360" s="29">
        <v>80</v>
      </c>
      <c r="Q2360" s="29">
        <v>90</v>
      </c>
    </row>
    <row r="2361" spans="1:17" x14ac:dyDescent="0.35">
      <c r="A2361" s="26">
        <v>40000002795</v>
      </c>
      <c r="B2361" s="31">
        <v>1</v>
      </c>
      <c r="C2361" s="29" t="str">
        <f>LOOKUP(A2361,'QALS - Inspection Lot Record'!$A$2:$A$361,'QALS - Inspection Lot Record'!$O$2:$O$361)</f>
        <v>Ibuprofen Tablets (100 MG)</v>
      </c>
      <c r="D2361" s="31">
        <v>80</v>
      </c>
      <c r="E2361" s="29" t="s">
        <v>407</v>
      </c>
      <c r="F2361" s="29" t="str">
        <f>LOOKUP(A2361,'QALS - Inspection Lot Record'!A:A,'QALS - Inspection Lot Record'!G:G)</f>
        <v>TP397880</v>
      </c>
      <c r="G2361" s="59">
        <f ca="1">LOOKUP(A2361,'QALS - Inspection Lot Record'!A:A,'QALS - Inspection Lot Record'!E:E)</f>
        <v>46017</v>
      </c>
      <c r="H2361" s="34" t="str">
        <f t="shared" si="185"/>
        <v>A</v>
      </c>
      <c r="I2361" s="29" t="str">
        <f t="shared" si="181"/>
        <v>TP397880</v>
      </c>
      <c r="J2361" s="59">
        <f t="shared" ca="1" si="182"/>
        <v>46017</v>
      </c>
      <c r="K2361" s="30">
        <f ca="1">LOOKUP(A2361,'QALS - Inspection Lot Record'!A:A,'QALS - Inspection Lot Record'!I:I)</f>
        <v>0.89670138888888884</v>
      </c>
      <c r="L2361" s="59">
        <f t="shared" ca="1" si="183"/>
        <v>46017</v>
      </c>
      <c r="M2361" s="30">
        <f t="shared" ca="1" si="184"/>
        <v>0.92694444444444435</v>
      </c>
      <c r="N2361" s="31"/>
      <c r="O2361" s="31">
        <v>24</v>
      </c>
      <c r="P2361" s="29">
        <v>23</v>
      </c>
      <c r="Q2361" s="29">
        <v>25</v>
      </c>
    </row>
    <row r="2362" spans="1:17" x14ac:dyDescent="0.35">
      <c r="A2362" s="26">
        <v>40000002796</v>
      </c>
      <c r="B2362" s="27">
        <v>1</v>
      </c>
      <c r="C2362" s="29" t="str">
        <f>LOOKUP(A2362,'QALS - Inspection Lot Record'!$A$2:$A$361,'QALS - Inspection Lot Record'!$O$2:$O$361)</f>
        <v>Aspirin Tablets (500 MG)</v>
      </c>
      <c r="D2362" s="27">
        <v>10</v>
      </c>
      <c r="E2362" s="26" t="s">
        <v>399</v>
      </c>
      <c r="F2362" s="29" t="str">
        <f>LOOKUP(A2362,'QALS - Inspection Lot Record'!A:A,'QALS - Inspection Lot Record'!G:G)</f>
        <v>YA284176</v>
      </c>
      <c r="G2362" s="59">
        <f ca="1">LOOKUP(A2362,'QALS - Inspection Lot Record'!A:A,'QALS - Inspection Lot Record'!E:E)</f>
        <v>46017</v>
      </c>
      <c r="H2362" s="34" t="str">
        <f t="shared" si="185"/>
        <v>A</v>
      </c>
      <c r="I2362" s="29" t="str">
        <f t="shared" si="181"/>
        <v>YA284176</v>
      </c>
      <c r="J2362" s="59">
        <f t="shared" ca="1" si="182"/>
        <v>46017</v>
      </c>
      <c r="K2362" s="30">
        <f ca="1">LOOKUP(A2362,'QALS - Inspection Lot Record'!A:A,'QALS - Inspection Lot Record'!I:I)</f>
        <v>0.19142361111111111</v>
      </c>
      <c r="L2362" s="59">
        <f t="shared" ca="1" si="183"/>
        <v>46017</v>
      </c>
      <c r="M2362" s="30">
        <f t="shared" ca="1" si="184"/>
        <v>0.21623842592592593</v>
      </c>
      <c r="N2362" s="31"/>
      <c r="O2362" s="31">
        <v>100</v>
      </c>
      <c r="P2362" s="29">
        <v>95</v>
      </c>
      <c r="Q2362" s="29">
        <v>105</v>
      </c>
    </row>
    <row r="2363" spans="1:17" x14ac:dyDescent="0.35">
      <c r="A2363" s="26">
        <v>40000002796</v>
      </c>
      <c r="B2363" s="27">
        <v>1</v>
      </c>
      <c r="C2363" s="29" t="str">
        <f>LOOKUP(A2363,'QALS - Inspection Lot Record'!$A$2:$A$361,'QALS - Inspection Lot Record'!$O$2:$O$361)</f>
        <v>Aspirin Tablets (500 MG)</v>
      </c>
      <c r="D2363" s="31">
        <v>20</v>
      </c>
      <c r="E2363" s="29" t="s">
        <v>400</v>
      </c>
      <c r="F2363" s="29" t="str">
        <f>LOOKUP(A2363,'QALS - Inspection Lot Record'!A:A,'QALS - Inspection Lot Record'!G:G)</f>
        <v>YA284176</v>
      </c>
      <c r="G2363" s="59">
        <f ca="1">LOOKUP(A2363,'QALS - Inspection Lot Record'!A:A,'QALS - Inspection Lot Record'!E:E)</f>
        <v>46017</v>
      </c>
      <c r="H2363" s="34" t="str">
        <f t="shared" si="185"/>
        <v>A</v>
      </c>
      <c r="I2363" s="29" t="str">
        <f t="shared" si="181"/>
        <v>YA284176</v>
      </c>
      <c r="J2363" s="59">
        <f t="shared" ca="1" si="182"/>
        <v>46017</v>
      </c>
      <c r="K2363" s="30">
        <f ca="1">LOOKUP(A2363,'QALS - Inspection Lot Record'!A:A,'QALS - Inspection Lot Record'!I:I)</f>
        <v>0.19142361111111111</v>
      </c>
      <c r="L2363" s="59">
        <f t="shared" ca="1" si="183"/>
        <v>46017</v>
      </c>
      <c r="M2363" s="30">
        <f t="shared" ca="1" si="184"/>
        <v>0.21964120370370371</v>
      </c>
      <c r="N2363" s="31"/>
      <c r="O2363" s="31">
        <v>7.3</v>
      </c>
      <c r="P2363" s="29">
        <v>3.5</v>
      </c>
      <c r="Q2363" s="29">
        <v>11</v>
      </c>
    </row>
    <row r="2364" spans="1:17" x14ac:dyDescent="0.35">
      <c r="A2364" s="26">
        <v>40000002796</v>
      </c>
      <c r="B2364" s="31">
        <v>1</v>
      </c>
      <c r="C2364" s="29" t="str">
        <f>LOOKUP(A2364,'QALS - Inspection Lot Record'!$A$2:$A$361,'QALS - Inspection Lot Record'!$O$2:$O$361)</f>
        <v>Aspirin Tablets (500 MG)</v>
      </c>
      <c r="D2364" s="31">
        <v>30</v>
      </c>
      <c r="E2364" s="29" t="s">
        <v>401</v>
      </c>
      <c r="F2364" s="29" t="str">
        <f>LOOKUP(A2364,'QALS - Inspection Lot Record'!A:A,'QALS - Inspection Lot Record'!G:G)</f>
        <v>YA284176</v>
      </c>
      <c r="G2364" s="59">
        <f ca="1">LOOKUP(A2364,'QALS - Inspection Lot Record'!A:A,'QALS - Inspection Lot Record'!E:E)</f>
        <v>46017</v>
      </c>
      <c r="H2364" s="34" t="str">
        <f t="shared" si="185"/>
        <v>A</v>
      </c>
      <c r="I2364" s="29" t="str">
        <f t="shared" si="181"/>
        <v>YA284176</v>
      </c>
      <c r="J2364" s="59">
        <f t="shared" ca="1" si="182"/>
        <v>46017</v>
      </c>
      <c r="K2364" s="30">
        <f ca="1">LOOKUP(A2364,'QALS - Inspection Lot Record'!A:A,'QALS - Inspection Lot Record'!I:I)</f>
        <v>0.19142361111111111</v>
      </c>
      <c r="L2364" s="59">
        <f t="shared" ca="1" si="183"/>
        <v>46017</v>
      </c>
      <c r="M2364" s="30">
        <f t="shared" ca="1" si="184"/>
        <v>0.22488425925925926</v>
      </c>
      <c r="N2364" s="11" t="s">
        <v>402</v>
      </c>
      <c r="O2364" s="31"/>
      <c r="P2364" s="29"/>
      <c r="Q2364" s="29"/>
    </row>
    <row r="2365" spans="1:17" x14ac:dyDescent="0.35">
      <c r="A2365" s="26">
        <v>40000002796</v>
      </c>
      <c r="B2365" s="31">
        <v>1</v>
      </c>
      <c r="C2365" s="29" t="str">
        <f>LOOKUP(A2365,'QALS - Inspection Lot Record'!$A$2:$A$361,'QALS - Inspection Lot Record'!$O$2:$O$361)</f>
        <v>Aspirin Tablets (500 MG)</v>
      </c>
      <c r="D2365" s="31">
        <v>40</v>
      </c>
      <c r="E2365" s="29" t="s">
        <v>403</v>
      </c>
      <c r="F2365" s="29" t="str">
        <f>LOOKUP(A2365,'QALS - Inspection Lot Record'!A:A,'QALS - Inspection Lot Record'!G:G)</f>
        <v>YA284176</v>
      </c>
      <c r="G2365" s="59">
        <f ca="1">LOOKUP(A2365,'QALS - Inspection Lot Record'!A:A,'QALS - Inspection Lot Record'!E:E)</f>
        <v>46017</v>
      </c>
      <c r="H2365" s="34" t="str">
        <f t="shared" si="185"/>
        <v>A</v>
      </c>
      <c r="I2365" s="29" t="str">
        <f t="shared" si="181"/>
        <v>YA284176</v>
      </c>
      <c r="J2365" s="59">
        <f t="shared" ca="1" si="182"/>
        <v>46017</v>
      </c>
      <c r="K2365" s="30">
        <f ca="1">LOOKUP(A2365,'QALS - Inspection Lot Record'!A:A,'QALS - Inspection Lot Record'!I:I)</f>
        <v>0.19142361111111111</v>
      </c>
      <c r="L2365" s="59">
        <f t="shared" ca="1" si="183"/>
        <v>46017</v>
      </c>
      <c r="M2365" s="30">
        <f t="shared" ca="1" si="184"/>
        <v>0.21076388888888889</v>
      </c>
      <c r="N2365" s="31"/>
      <c r="O2365" s="31">
        <v>0</v>
      </c>
      <c r="P2365" s="29">
        <v>0</v>
      </c>
      <c r="Q2365" s="29">
        <v>2.5</v>
      </c>
    </row>
    <row r="2366" spans="1:17" x14ac:dyDescent="0.35">
      <c r="A2366" s="26">
        <v>40000002796</v>
      </c>
      <c r="B2366" s="31">
        <v>1</v>
      </c>
      <c r="C2366" s="29" t="str">
        <f>LOOKUP(A2366,'QALS - Inspection Lot Record'!$A$2:$A$361,'QALS - Inspection Lot Record'!$O$2:$O$361)</f>
        <v>Aspirin Tablets (500 MG)</v>
      </c>
      <c r="D2366" s="31">
        <v>50</v>
      </c>
      <c r="E2366" s="29" t="s">
        <v>404</v>
      </c>
      <c r="F2366" s="29" t="str">
        <f>LOOKUP(A2366,'QALS - Inspection Lot Record'!A:A,'QALS - Inspection Lot Record'!G:G)</f>
        <v>YA284176</v>
      </c>
      <c r="G2366" s="59">
        <f ca="1">LOOKUP(A2366,'QALS - Inspection Lot Record'!A:A,'QALS - Inspection Lot Record'!E:E)</f>
        <v>46017</v>
      </c>
      <c r="H2366" s="34" t="str">
        <f t="shared" si="185"/>
        <v>A</v>
      </c>
      <c r="I2366" s="29" t="str">
        <f t="shared" si="181"/>
        <v>YA284176</v>
      </c>
      <c r="J2366" s="59">
        <f t="shared" ca="1" si="182"/>
        <v>46017</v>
      </c>
      <c r="K2366" s="30">
        <f ca="1">LOOKUP(A2366,'QALS - Inspection Lot Record'!A:A,'QALS - Inspection Lot Record'!I:I)</f>
        <v>0.19142361111111111</v>
      </c>
      <c r="L2366" s="59">
        <f t="shared" ca="1" si="183"/>
        <v>46017</v>
      </c>
      <c r="M2366" s="30">
        <f t="shared" ca="1" si="184"/>
        <v>0.21700231481481483</v>
      </c>
      <c r="N2366" s="31"/>
      <c r="O2366" s="31">
        <v>50</v>
      </c>
      <c r="P2366" s="29">
        <v>40</v>
      </c>
      <c r="Q2366" s="29">
        <v>60</v>
      </c>
    </row>
    <row r="2367" spans="1:17" x14ac:dyDescent="0.35">
      <c r="A2367" s="26">
        <v>40000002796</v>
      </c>
      <c r="B2367" s="31">
        <v>1</v>
      </c>
      <c r="C2367" s="29" t="str">
        <f>LOOKUP(A2367,'QALS - Inspection Lot Record'!$A$2:$A$361,'QALS - Inspection Lot Record'!$O$2:$O$361)</f>
        <v>Aspirin Tablets (500 MG)</v>
      </c>
      <c r="D2367" s="31">
        <v>60</v>
      </c>
      <c r="E2367" s="29" t="s">
        <v>405</v>
      </c>
      <c r="F2367" s="29" t="str">
        <f>LOOKUP(A2367,'QALS - Inspection Lot Record'!A:A,'QALS - Inspection Lot Record'!G:G)</f>
        <v>YA284176</v>
      </c>
      <c r="G2367" s="59">
        <f ca="1">LOOKUP(A2367,'QALS - Inspection Lot Record'!A:A,'QALS - Inspection Lot Record'!E:E)</f>
        <v>46017</v>
      </c>
      <c r="H2367" s="34" t="str">
        <f t="shared" si="185"/>
        <v>A</v>
      </c>
      <c r="I2367" s="29" t="str">
        <f t="shared" si="181"/>
        <v>YA284176</v>
      </c>
      <c r="J2367" s="59">
        <f t="shared" ca="1" si="182"/>
        <v>46017</v>
      </c>
      <c r="K2367" s="30">
        <f ca="1">LOOKUP(A2367,'QALS - Inspection Lot Record'!A:A,'QALS - Inspection Lot Record'!I:I)</f>
        <v>0.19142361111111111</v>
      </c>
      <c r="L2367" s="59">
        <f t="shared" ca="1" si="183"/>
        <v>46017</v>
      </c>
      <c r="M2367" s="30">
        <f t="shared" ca="1" si="184"/>
        <v>0.21540509259259261</v>
      </c>
      <c r="N2367" s="31"/>
      <c r="O2367" s="31">
        <v>71.2</v>
      </c>
      <c r="P2367" s="29">
        <v>70</v>
      </c>
      <c r="Q2367" s="29">
        <v>85</v>
      </c>
    </row>
    <row r="2368" spans="1:17" x14ac:dyDescent="0.35">
      <c r="A2368" s="26">
        <v>40000002796</v>
      </c>
      <c r="B2368" s="31">
        <v>1</v>
      </c>
      <c r="C2368" s="29" t="str">
        <f>LOOKUP(A2368,'QALS - Inspection Lot Record'!$A$2:$A$361,'QALS - Inspection Lot Record'!$O$2:$O$361)</f>
        <v>Aspirin Tablets (500 MG)</v>
      </c>
      <c r="D2368" s="31">
        <v>70</v>
      </c>
      <c r="E2368" s="29" t="s">
        <v>406</v>
      </c>
      <c r="F2368" s="29" t="str">
        <f>LOOKUP(A2368,'QALS - Inspection Lot Record'!A:A,'QALS - Inspection Lot Record'!G:G)</f>
        <v>YA284176</v>
      </c>
      <c r="G2368" s="59">
        <f ca="1">LOOKUP(A2368,'QALS - Inspection Lot Record'!A:A,'QALS - Inspection Lot Record'!E:E)</f>
        <v>46017</v>
      </c>
      <c r="H2368" s="34" t="str">
        <f t="shared" si="185"/>
        <v>A</v>
      </c>
      <c r="I2368" s="29" t="str">
        <f t="shared" si="181"/>
        <v>YA284176</v>
      </c>
      <c r="J2368" s="59">
        <f t="shared" ca="1" si="182"/>
        <v>46017</v>
      </c>
      <c r="K2368" s="30">
        <f ca="1">LOOKUP(A2368,'QALS - Inspection Lot Record'!A:A,'QALS - Inspection Lot Record'!I:I)</f>
        <v>0.19142361111111111</v>
      </c>
      <c r="L2368" s="59">
        <f t="shared" ca="1" si="183"/>
        <v>46017</v>
      </c>
      <c r="M2368" s="30">
        <f t="shared" ca="1" si="184"/>
        <v>0.21944444444444444</v>
      </c>
      <c r="N2368" s="31"/>
      <c r="O2368" s="31">
        <v>85</v>
      </c>
      <c r="P2368" s="29">
        <v>80</v>
      </c>
      <c r="Q2368" s="29">
        <v>90</v>
      </c>
    </row>
    <row r="2369" spans="1:17" x14ac:dyDescent="0.35">
      <c r="A2369" s="26">
        <v>40000002796</v>
      </c>
      <c r="B2369" s="31">
        <v>1</v>
      </c>
      <c r="C2369" s="29" t="str">
        <f>LOOKUP(A2369,'QALS - Inspection Lot Record'!$A$2:$A$361,'QALS - Inspection Lot Record'!$O$2:$O$361)</f>
        <v>Aspirin Tablets (500 MG)</v>
      </c>
      <c r="D2369" s="31">
        <v>80</v>
      </c>
      <c r="E2369" s="29" t="s">
        <v>407</v>
      </c>
      <c r="F2369" s="29" t="str">
        <f>LOOKUP(A2369,'QALS - Inspection Lot Record'!A:A,'QALS - Inspection Lot Record'!G:G)</f>
        <v>YA284176</v>
      </c>
      <c r="G2369" s="59">
        <f ca="1">LOOKUP(A2369,'QALS - Inspection Lot Record'!A:A,'QALS - Inspection Lot Record'!E:E)</f>
        <v>46017</v>
      </c>
      <c r="H2369" s="34" t="str">
        <f t="shared" si="185"/>
        <v>A</v>
      </c>
      <c r="I2369" s="29" t="str">
        <f t="shared" si="181"/>
        <v>YA284176</v>
      </c>
      <c r="J2369" s="59">
        <f t="shared" ca="1" si="182"/>
        <v>46017</v>
      </c>
      <c r="K2369" s="30">
        <f ca="1">LOOKUP(A2369,'QALS - Inspection Lot Record'!A:A,'QALS - Inspection Lot Record'!I:I)</f>
        <v>0.19142361111111111</v>
      </c>
      <c r="L2369" s="59">
        <f t="shared" ca="1" si="183"/>
        <v>46017</v>
      </c>
      <c r="M2369" s="30">
        <f t="shared" ca="1" si="184"/>
        <v>0.22532407407407407</v>
      </c>
      <c r="N2369" s="31"/>
      <c r="O2369" s="31">
        <v>25.5</v>
      </c>
      <c r="P2369" s="29">
        <v>23</v>
      </c>
      <c r="Q2369" s="29">
        <v>28</v>
      </c>
    </row>
    <row r="2370" spans="1:17" x14ac:dyDescent="0.35">
      <c r="A2370" s="26">
        <v>40000002797</v>
      </c>
      <c r="B2370" s="27">
        <v>1</v>
      </c>
      <c r="C2370" s="29" t="str">
        <f>LOOKUP(A2370,'QALS - Inspection Lot Record'!$A$2:$A$361,'QALS - Inspection Lot Record'!$O$2:$O$361)</f>
        <v>Metformin Tablets (200 MG)</v>
      </c>
      <c r="D2370" s="27">
        <v>10</v>
      </c>
      <c r="E2370" s="26" t="s">
        <v>399</v>
      </c>
      <c r="F2370" s="29" t="str">
        <f>LOOKUP(A2370,'QALS - Inspection Lot Record'!A:A,'QALS - Inspection Lot Record'!G:G)</f>
        <v>TP397880</v>
      </c>
      <c r="G2370" s="59">
        <f ca="1">LOOKUP(A2370,'QALS - Inspection Lot Record'!A:A,'QALS - Inspection Lot Record'!E:E)</f>
        <v>46018</v>
      </c>
      <c r="H2370" s="34" t="str">
        <f t="shared" si="185"/>
        <v>A</v>
      </c>
      <c r="I2370" s="29" t="str">
        <f t="shared" ref="I2370:I2433" si="186">F2370</f>
        <v>TP397880</v>
      </c>
      <c r="J2370" s="59">
        <f t="shared" ref="J2370:J2433" ca="1" si="187">G2370</f>
        <v>46018</v>
      </c>
      <c r="K2370" s="30">
        <f ca="1">LOOKUP(A2370,'QALS - Inspection Lot Record'!A:A,'QALS - Inspection Lot Record'!I:I)</f>
        <v>0.87621527777777775</v>
      </c>
      <c r="L2370" s="59">
        <f t="shared" ref="L2370:L2433" ca="1" si="188">G2370</f>
        <v>46018</v>
      </c>
      <c r="M2370" s="30">
        <f t="shared" ref="M2370:M2433" ca="1" si="189">K2370+TIME(0,RANDBETWEEN(25,50),RANDBETWEEN(0,59))</f>
        <v>0.90717592592592589</v>
      </c>
      <c r="N2370" s="31"/>
      <c r="O2370" s="31">
        <v>99</v>
      </c>
      <c r="P2370" s="29">
        <v>95</v>
      </c>
      <c r="Q2370" s="29">
        <v>103</v>
      </c>
    </row>
    <row r="2371" spans="1:17" x14ac:dyDescent="0.35">
      <c r="A2371" s="26">
        <v>40000002797</v>
      </c>
      <c r="B2371" s="27">
        <v>1</v>
      </c>
      <c r="C2371" s="29" t="str">
        <f>LOOKUP(A2371,'QALS - Inspection Lot Record'!$A$2:$A$361,'QALS - Inspection Lot Record'!$O$2:$O$361)</f>
        <v>Metformin Tablets (200 MG)</v>
      </c>
      <c r="D2371" s="31">
        <v>20</v>
      </c>
      <c r="E2371" s="29" t="s">
        <v>400</v>
      </c>
      <c r="F2371" s="29" t="str">
        <f>LOOKUP(A2371,'QALS - Inspection Lot Record'!A:A,'QALS - Inspection Lot Record'!G:G)</f>
        <v>TP397880</v>
      </c>
      <c r="G2371" s="59">
        <f ca="1">LOOKUP(A2371,'QALS - Inspection Lot Record'!A:A,'QALS - Inspection Lot Record'!E:E)</f>
        <v>46018</v>
      </c>
      <c r="H2371" s="34" t="str">
        <f t="shared" si="185"/>
        <v>R</v>
      </c>
      <c r="I2371" s="29" t="str">
        <f t="shared" si="186"/>
        <v>TP397880</v>
      </c>
      <c r="J2371" s="59">
        <f t="shared" ca="1" si="187"/>
        <v>46018</v>
      </c>
      <c r="K2371" s="30">
        <f ca="1">LOOKUP(A2371,'QALS - Inspection Lot Record'!A:A,'QALS - Inspection Lot Record'!I:I)</f>
        <v>0.87621527777777775</v>
      </c>
      <c r="L2371" s="59">
        <f t="shared" ca="1" si="188"/>
        <v>46018</v>
      </c>
      <c r="M2371" s="30">
        <f t="shared" ca="1" si="189"/>
        <v>0.90457175925925926</v>
      </c>
      <c r="N2371" s="31"/>
      <c r="O2371" s="31">
        <v>5</v>
      </c>
      <c r="P2371" s="29">
        <v>6</v>
      </c>
      <c r="Q2371" s="29">
        <v>9.5</v>
      </c>
    </row>
    <row r="2372" spans="1:17" x14ac:dyDescent="0.35">
      <c r="A2372" s="26">
        <v>40000002797</v>
      </c>
      <c r="B2372" s="31">
        <v>1</v>
      </c>
      <c r="C2372" s="29" t="str">
        <f>LOOKUP(A2372,'QALS - Inspection Lot Record'!$A$2:$A$361,'QALS - Inspection Lot Record'!$O$2:$O$361)</f>
        <v>Metformin Tablets (200 MG)</v>
      </c>
      <c r="D2372" s="31">
        <v>30</v>
      </c>
      <c r="E2372" s="29" t="s">
        <v>401</v>
      </c>
      <c r="F2372" s="29" t="str">
        <f>LOOKUP(A2372,'QALS - Inspection Lot Record'!A:A,'QALS - Inspection Lot Record'!G:G)</f>
        <v>TP397880</v>
      </c>
      <c r="G2372" s="59">
        <f ca="1">LOOKUP(A2372,'QALS - Inspection Lot Record'!A:A,'QALS - Inspection Lot Record'!E:E)</f>
        <v>46018</v>
      </c>
      <c r="H2372" s="34" t="str">
        <f t="shared" si="185"/>
        <v>A</v>
      </c>
      <c r="I2372" s="29" t="str">
        <f t="shared" si="186"/>
        <v>TP397880</v>
      </c>
      <c r="J2372" s="59">
        <f t="shared" ca="1" si="187"/>
        <v>46018</v>
      </c>
      <c r="K2372" s="30">
        <f ca="1">LOOKUP(A2372,'QALS - Inspection Lot Record'!A:A,'QALS - Inspection Lot Record'!I:I)</f>
        <v>0.87621527777777775</v>
      </c>
      <c r="L2372" s="59">
        <f t="shared" ca="1" si="188"/>
        <v>46018</v>
      </c>
      <c r="M2372" s="30">
        <f t="shared" ca="1" si="189"/>
        <v>0.89500000000000002</v>
      </c>
      <c r="N2372" s="11" t="s">
        <v>402</v>
      </c>
      <c r="O2372" s="31"/>
      <c r="P2372" s="29"/>
      <c r="Q2372" s="29"/>
    </row>
    <row r="2373" spans="1:17" x14ac:dyDescent="0.35">
      <c r="A2373" s="26">
        <v>40000002797</v>
      </c>
      <c r="B2373" s="31">
        <v>1</v>
      </c>
      <c r="C2373" s="29" t="str">
        <f>LOOKUP(A2373,'QALS - Inspection Lot Record'!$A$2:$A$361,'QALS - Inspection Lot Record'!$O$2:$O$361)</f>
        <v>Metformin Tablets (200 MG)</v>
      </c>
      <c r="D2373" s="31">
        <v>40</v>
      </c>
      <c r="E2373" s="29" t="s">
        <v>403</v>
      </c>
      <c r="F2373" s="29" t="str">
        <f>LOOKUP(A2373,'QALS - Inspection Lot Record'!A:A,'QALS - Inspection Lot Record'!G:G)</f>
        <v>TP397880</v>
      </c>
      <c r="G2373" s="59">
        <f ca="1">LOOKUP(A2373,'QALS - Inspection Lot Record'!A:A,'QALS - Inspection Lot Record'!E:E)</f>
        <v>46018</v>
      </c>
      <c r="H2373" s="34" t="str">
        <f t="shared" si="185"/>
        <v>R</v>
      </c>
      <c r="I2373" s="29" t="str">
        <f t="shared" si="186"/>
        <v>TP397880</v>
      </c>
      <c r="J2373" s="59">
        <f t="shared" ca="1" si="187"/>
        <v>46018</v>
      </c>
      <c r="K2373" s="30">
        <f ca="1">LOOKUP(A2373,'QALS - Inspection Lot Record'!A:A,'QALS - Inspection Lot Record'!I:I)</f>
        <v>0.87621527777777775</v>
      </c>
      <c r="L2373" s="59">
        <f t="shared" ca="1" si="188"/>
        <v>46018</v>
      </c>
      <c r="M2373" s="30">
        <f t="shared" ca="1" si="189"/>
        <v>0.90539351851851846</v>
      </c>
      <c r="N2373" s="31"/>
      <c r="O2373" s="31">
        <v>2.1</v>
      </c>
      <c r="P2373" s="29">
        <v>0</v>
      </c>
      <c r="Q2373" s="29">
        <v>2</v>
      </c>
    </row>
    <row r="2374" spans="1:17" x14ac:dyDescent="0.35">
      <c r="A2374" s="26">
        <v>40000002797</v>
      </c>
      <c r="B2374" s="31">
        <v>1</v>
      </c>
      <c r="C2374" s="29" t="str">
        <f>LOOKUP(A2374,'QALS - Inspection Lot Record'!$A$2:$A$361,'QALS - Inspection Lot Record'!$O$2:$O$361)</f>
        <v>Metformin Tablets (200 MG)</v>
      </c>
      <c r="D2374" s="31">
        <v>50</v>
      </c>
      <c r="E2374" s="29" t="s">
        <v>404</v>
      </c>
      <c r="F2374" s="29" t="str">
        <f>LOOKUP(A2374,'QALS - Inspection Lot Record'!A:A,'QALS - Inspection Lot Record'!G:G)</f>
        <v>TP397880</v>
      </c>
      <c r="G2374" s="59">
        <f ca="1">LOOKUP(A2374,'QALS - Inspection Lot Record'!A:A,'QALS - Inspection Lot Record'!E:E)</f>
        <v>46018</v>
      </c>
      <c r="H2374" s="34" t="str">
        <f t="shared" si="185"/>
        <v>A</v>
      </c>
      <c r="I2374" s="29" t="str">
        <f t="shared" si="186"/>
        <v>TP397880</v>
      </c>
      <c r="J2374" s="59">
        <f t="shared" ca="1" si="187"/>
        <v>46018</v>
      </c>
      <c r="K2374" s="30">
        <f ca="1">LOOKUP(A2374,'QALS - Inspection Lot Record'!A:A,'QALS - Inspection Lot Record'!I:I)</f>
        <v>0.87621527777777775</v>
      </c>
      <c r="L2374" s="59">
        <f t="shared" ca="1" si="188"/>
        <v>46018</v>
      </c>
      <c r="M2374" s="30">
        <f t="shared" ca="1" si="189"/>
        <v>0.89822916666666663</v>
      </c>
      <c r="N2374" s="31"/>
      <c r="O2374" s="31">
        <v>43</v>
      </c>
      <c r="P2374" s="29">
        <v>40</v>
      </c>
      <c r="Q2374" s="29">
        <v>60</v>
      </c>
    </row>
    <row r="2375" spans="1:17" x14ac:dyDescent="0.35">
      <c r="A2375" s="26">
        <v>40000002797</v>
      </c>
      <c r="B2375" s="31">
        <v>1</v>
      </c>
      <c r="C2375" s="29" t="str">
        <f>LOOKUP(A2375,'QALS - Inspection Lot Record'!$A$2:$A$361,'QALS - Inspection Lot Record'!$O$2:$O$361)</f>
        <v>Metformin Tablets (200 MG)</v>
      </c>
      <c r="D2375" s="31">
        <v>60</v>
      </c>
      <c r="E2375" s="29" t="s">
        <v>405</v>
      </c>
      <c r="F2375" s="29" t="str">
        <f>LOOKUP(A2375,'QALS - Inspection Lot Record'!A:A,'QALS - Inspection Lot Record'!G:G)</f>
        <v>TP397880</v>
      </c>
      <c r="G2375" s="59">
        <f ca="1">LOOKUP(A2375,'QALS - Inspection Lot Record'!A:A,'QALS - Inspection Lot Record'!E:E)</f>
        <v>46018</v>
      </c>
      <c r="H2375" s="34" t="str">
        <f t="shared" si="185"/>
        <v>R</v>
      </c>
      <c r="I2375" s="29" t="str">
        <f t="shared" si="186"/>
        <v>TP397880</v>
      </c>
      <c r="J2375" s="59">
        <f t="shared" ca="1" si="187"/>
        <v>46018</v>
      </c>
      <c r="K2375" s="30">
        <f ca="1">LOOKUP(A2375,'QALS - Inspection Lot Record'!A:A,'QALS - Inspection Lot Record'!I:I)</f>
        <v>0.87621527777777775</v>
      </c>
      <c r="L2375" s="59">
        <f t="shared" ca="1" si="188"/>
        <v>46018</v>
      </c>
      <c r="M2375" s="30">
        <f t="shared" ca="1" si="189"/>
        <v>0.90291666666666659</v>
      </c>
      <c r="N2375" s="31"/>
      <c r="O2375" s="31">
        <v>90</v>
      </c>
      <c r="P2375" s="29">
        <v>70</v>
      </c>
      <c r="Q2375" s="29">
        <v>85</v>
      </c>
    </row>
    <row r="2376" spans="1:17" x14ac:dyDescent="0.35">
      <c r="A2376" s="26">
        <v>40000002797</v>
      </c>
      <c r="B2376" s="31">
        <v>1</v>
      </c>
      <c r="C2376" s="29" t="str">
        <f>LOOKUP(A2376,'QALS - Inspection Lot Record'!$A$2:$A$361,'QALS - Inspection Lot Record'!$O$2:$O$361)</f>
        <v>Metformin Tablets (200 MG)</v>
      </c>
      <c r="D2376" s="31">
        <v>70</v>
      </c>
      <c r="E2376" s="29" t="s">
        <v>406</v>
      </c>
      <c r="F2376" s="29" t="str">
        <f>LOOKUP(A2376,'QALS - Inspection Lot Record'!A:A,'QALS - Inspection Lot Record'!G:G)</f>
        <v>TP397880</v>
      </c>
      <c r="G2376" s="59">
        <f ca="1">LOOKUP(A2376,'QALS - Inspection Lot Record'!A:A,'QALS - Inspection Lot Record'!E:E)</f>
        <v>46018</v>
      </c>
      <c r="H2376" s="34" t="str">
        <f t="shared" si="185"/>
        <v>R</v>
      </c>
      <c r="I2376" s="29" t="str">
        <f t="shared" si="186"/>
        <v>TP397880</v>
      </c>
      <c r="J2376" s="59">
        <f t="shared" ca="1" si="187"/>
        <v>46018</v>
      </c>
      <c r="K2376" s="30">
        <f ca="1">LOOKUP(A2376,'QALS - Inspection Lot Record'!A:A,'QALS - Inspection Lot Record'!I:I)</f>
        <v>0.87621527777777775</v>
      </c>
      <c r="L2376" s="59">
        <f t="shared" ca="1" si="188"/>
        <v>46018</v>
      </c>
      <c r="M2376" s="30">
        <f t="shared" ca="1" si="189"/>
        <v>0.89931712962962962</v>
      </c>
      <c r="N2376" s="31"/>
      <c r="O2376" s="31">
        <v>100</v>
      </c>
      <c r="P2376" s="29">
        <v>80</v>
      </c>
      <c r="Q2376" s="29">
        <v>90</v>
      </c>
    </row>
    <row r="2377" spans="1:17" x14ac:dyDescent="0.35">
      <c r="A2377" s="26">
        <v>40000002797</v>
      </c>
      <c r="B2377" s="31">
        <v>1</v>
      </c>
      <c r="C2377" s="29" t="str">
        <f>LOOKUP(A2377,'QALS - Inspection Lot Record'!$A$2:$A$361,'QALS - Inspection Lot Record'!$O$2:$O$361)</f>
        <v>Metformin Tablets (200 MG)</v>
      </c>
      <c r="D2377" s="31">
        <v>80</v>
      </c>
      <c r="E2377" s="29" t="s">
        <v>407</v>
      </c>
      <c r="F2377" s="29" t="str">
        <f>LOOKUP(A2377,'QALS - Inspection Lot Record'!A:A,'QALS - Inspection Lot Record'!G:G)</f>
        <v>TP397880</v>
      </c>
      <c r="G2377" s="59">
        <f ca="1">LOOKUP(A2377,'QALS - Inspection Lot Record'!A:A,'QALS - Inspection Lot Record'!E:E)</f>
        <v>46018</v>
      </c>
      <c r="H2377" s="34" t="str">
        <f t="shared" si="185"/>
        <v>A</v>
      </c>
      <c r="I2377" s="29" t="str">
        <f t="shared" si="186"/>
        <v>TP397880</v>
      </c>
      <c r="J2377" s="59">
        <f t="shared" ca="1" si="187"/>
        <v>46018</v>
      </c>
      <c r="K2377" s="30">
        <f ca="1">LOOKUP(A2377,'QALS - Inspection Lot Record'!A:A,'QALS - Inspection Lot Record'!I:I)</f>
        <v>0.87621527777777775</v>
      </c>
      <c r="L2377" s="59">
        <f t="shared" ca="1" si="188"/>
        <v>46018</v>
      </c>
      <c r="M2377" s="30">
        <f t="shared" ca="1" si="189"/>
        <v>0.90258101851851846</v>
      </c>
      <c r="N2377" s="31"/>
      <c r="O2377" s="31">
        <v>24</v>
      </c>
      <c r="P2377" s="29">
        <v>23</v>
      </c>
      <c r="Q2377" s="29">
        <v>28</v>
      </c>
    </row>
    <row r="2378" spans="1:17" x14ac:dyDescent="0.35">
      <c r="A2378" s="26">
        <v>40000002798</v>
      </c>
      <c r="B2378" s="27">
        <v>1</v>
      </c>
      <c r="C2378" s="29" t="str">
        <f>LOOKUP(A2378,'QALS - Inspection Lot Record'!$A$2:$A$361,'QALS - Inspection Lot Record'!$O$2:$O$361)</f>
        <v>Aspirin Tablets (500 MG)</v>
      </c>
      <c r="D2378" s="27">
        <v>10</v>
      </c>
      <c r="E2378" s="26" t="s">
        <v>399</v>
      </c>
      <c r="F2378" s="29" t="str">
        <f>LOOKUP(A2378,'QALS - Inspection Lot Record'!A:A,'QALS - Inspection Lot Record'!G:G)</f>
        <v>YA284176</v>
      </c>
      <c r="G2378" s="59">
        <f ca="1">LOOKUP(A2378,'QALS - Inspection Lot Record'!A:A,'QALS - Inspection Lot Record'!E:E)</f>
        <v>46018</v>
      </c>
      <c r="H2378" s="34" t="str">
        <f t="shared" ref="H2378:H2441" si="190">IF(AND(P2378&lt;=O2378,O2378&lt;=Q2378),"A","R")</f>
        <v>A</v>
      </c>
      <c r="I2378" s="29" t="str">
        <f t="shared" si="186"/>
        <v>YA284176</v>
      </c>
      <c r="J2378" s="59">
        <f t="shared" ca="1" si="187"/>
        <v>46018</v>
      </c>
      <c r="K2378" s="30">
        <f ca="1">LOOKUP(A2378,'QALS - Inspection Lot Record'!A:A,'QALS - Inspection Lot Record'!I:I)</f>
        <v>9.5474537037037038E-2</v>
      </c>
      <c r="L2378" s="59">
        <f t="shared" ca="1" si="188"/>
        <v>46018</v>
      </c>
      <c r="M2378" s="30">
        <f t="shared" ca="1" si="189"/>
        <v>0.11390046296296297</v>
      </c>
      <c r="N2378" s="31"/>
      <c r="O2378" s="31">
        <v>98.4</v>
      </c>
      <c r="P2378" s="29">
        <v>95</v>
      </c>
      <c r="Q2378" s="29">
        <v>105</v>
      </c>
    </row>
    <row r="2379" spans="1:17" x14ac:dyDescent="0.35">
      <c r="A2379" s="26">
        <v>40000002798</v>
      </c>
      <c r="B2379" s="27">
        <v>1</v>
      </c>
      <c r="C2379" s="29" t="str">
        <f>LOOKUP(A2379,'QALS - Inspection Lot Record'!$A$2:$A$361,'QALS - Inspection Lot Record'!$O$2:$O$361)</f>
        <v>Aspirin Tablets (500 MG)</v>
      </c>
      <c r="D2379" s="31">
        <v>20</v>
      </c>
      <c r="E2379" s="29" t="s">
        <v>400</v>
      </c>
      <c r="F2379" s="29" t="str">
        <f>LOOKUP(A2379,'QALS - Inspection Lot Record'!A:A,'QALS - Inspection Lot Record'!G:G)</f>
        <v>YA284176</v>
      </c>
      <c r="G2379" s="59">
        <f ca="1">LOOKUP(A2379,'QALS - Inspection Lot Record'!A:A,'QALS - Inspection Lot Record'!E:E)</f>
        <v>46018</v>
      </c>
      <c r="H2379" s="34" t="str">
        <f t="shared" si="190"/>
        <v>A</v>
      </c>
      <c r="I2379" s="29" t="str">
        <f t="shared" si="186"/>
        <v>YA284176</v>
      </c>
      <c r="J2379" s="59">
        <f t="shared" ca="1" si="187"/>
        <v>46018</v>
      </c>
      <c r="K2379" s="30">
        <f ca="1">LOOKUP(A2379,'QALS - Inspection Lot Record'!A:A,'QALS - Inspection Lot Record'!I:I)</f>
        <v>9.5474537037037038E-2</v>
      </c>
      <c r="L2379" s="59">
        <f t="shared" ca="1" si="188"/>
        <v>46018</v>
      </c>
      <c r="M2379" s="30">
        <f t="shared" ca="1" si="189"/>
        <v>0.11645833333333333</v>
      </c>
      <c r="N2379" s="31"/>
      <c r="O2379" s="31">
        <v>3.8</v>
      </c>
      <c r="P2379" s="29">
        <v>3.5</v>
      </c>
      <c r="Q2379" s="29">
        <v>11</v>
      </c>
    </row>
    <row r="2380" spans="1:17" x14ac:dyDescent="0.35">
      <c r="A2380" s="26">
        <v>40000002798</v>
      </c>
      <c r="B2380" s="31">
        <v>1</v>
      </c>
      <c r="C2380" s="29" t="str">
        <f>LOOKUP(A2380,'QALS - Inspection Lot Record'!$A$2:$A$361,'QALS - Inspection Lot Record'!$O$2:$O$361)</f>
        <v>Aspirin Tablets (500 MG)</v>
      </c>
      <c r="D2380" s="31">
        <v>30</v>
      </c>
      <c r="E2380" s="29" t="s">
        <v>401</v>
      </c>
      <c r="F2380" s="29" t="str">
        <f>LOOKUP(A2380,'QALS - Inspection Lot Record'!A:A,'QALS - Inspection Lot Record'!G:G)</f>
        <v>YA284176</v>
      </c>
      <c r="G2380" s="59">
        <f ca="1">LOOKUP(A2380,'QALS - Inspection Lot Record'!A:A,'QALS - Inspection Lot Record'!E:E)</f>
        <v>46018</v>
      </c>
      <c r="H2380" s="34" t="str">
        <f t="shared" si="190"/>
        <v>A</v>
      </c>
      <c r="I2380" s="29" t="str">
        <f t="shared" si="186"/>
        <v>YA284176</v>
      </c>
      <c r="J2380" s="59">
        <f t="shared" ca="1" si="187"/>
        <v>46018</v>
      </c>
      <c r="K2380" s="30">
        <f ca="1">LOOKUP(A2380,'QALS - Inspection Lot Record'!A:A,'QALS - Inspection Lot Record'!I:I)</f>
        <v>9.5474537037037038E-2</v>
      </c>
      <c r="L2380" s="59">
        <f t="shared" ca="1" si="188"/>
        <v>46018</v>
      </c>
      <c r="M2380" s="30">
        <f t="shared" ca="1" si="189"/>
        <v>0.11533564814814815</v>
      </c>
      <c r="N2380" s="11" t="s">
        <v>402</v>
      </c>
      <c r="O2380" s="31"/>
      <c r="P2380" s="29"/>
      <c r="Q2380" s="29"/>
    </row>
    <row r="2381" spans="1:17" x14ac:dyDescent="0.35">
      <c r="A2381" s="26">
        <v>40000002798</v>
      </c>
      <c r="B2381" s="31">
        <v>1</v>
      </c>
      <c r="C2381" s="29" t="str">
        <f>LOOKUP(A2381,'QALS - Inspection Lot Record'!$A$2:$A$361,'QALS - Inspection Lot Record'!$O$2:$O$361)</f>
        <v>Aspirin Tablets (500 MG)</v>
      </c>
      <c r="D2381" s="31">
        <v>40</v>
      </c>
      <c r="E2381" s="29" t="s">
        <v>403</v>
      </c>
      <c r="F2381" s="29" t="str">
        <f>LOOKUP(A2381,'QALS - Inspection Lot Record'!A:A,'QALS - Inspection Lot Record'!G:G)</f>
        <v>YA284176</v>
      </c>
      <c r="G2381" s="59">
        <f ca="1">LOOKUP(A2381,'QALS - Inspection Lot Record'!A:A,'QALS - Inspection Lot Record'!E:E)</f>
        <v>46018</v>
      </c>
      <c r="H2381" s="34" t="str">
        <f t="shared" si="190"/>
        <v>A</v>
      </c>
      <c r="I2381" s="29" t="str">
        <f t="shared" si="186"/>
        <v>YA284176</v>
      </c>
      <c r="J2381" s="59">
        <f t="shared" ca="1" si="187"/>
        <v>46018</v>
      </c>
      <c r="K2381" s="30">
        <f ca="1">LOOKUP(A2381,'QALS - Inspection Lot Record'!A:A,'QALS - Inspection Lot Record'!I:I)</f>
        <v>9.5474537037037038E-2</v>
      </c>
      <c r="L2381" s="59">
        <f t="shared" ca="1" si="188"/>
        <v>46018</v>
      </c>
      <c r="M2381" s="30">
        <f t="shared" ca="1" si="189"/>
        <v>0.11557870370370371</v>
      </c>
      <c r="N2381" s="31"/>
      <c r="O2381" s="31">
        <v>1.8</v>
      </c>
      <c r="P2381" s="29">
        <v>0</v>
      </c>
      <c r="Q2381" s="29">
        <v>2.5</v>
      </c>
    </row>
    <row r="2382" spans="1:17" x14ac:dyDescent="0.35">
      <c r="A2382" s="26">
        <v>40000002798</v>
      </c>
      <c r="B2382" s="31">
        <v>1</v>
      </c>
      <c r="C2382" s="29" t="str">
        <f>LOOKUP(A2382,'QALS - Inspection Lot Record'!$A$2:$A$361,'QALS - Inspection Lot Record'!$O$2:$O$361)</f>
        <v>Aspirin Tablets (500 MG)</v>
      </c>
      <c r="D2382" s="31">
        <v>50</v>
      </c>
      <c r="E2382" s="29" t="s">
        <v>404</v>
      </c>
      <c r="F2382" s="29" t="str">
        <f>LOOKUP(A2382,'QALS - Inspection Lot Record'!A:A,'QALS - Inspection Lot Record'!G:G)</f>
        <v>YA284176</v>
      </c>
      <c r="G2382" s="59">
        <f ca="1">LOOKUP(A2382,'QALS - Inspection Lot Record'!A:A,'QALS - Inspection Lot Record'!E:E)</f>
        <v>46018</v>
      </c>
      <c r="H2382" s="34" t="str">
        <f t="shared" si="190"/>
        <v>R</v>
      </c>
      <c r="I2382" s="29" t="str">
        <f t="shared" si="186"/>
        <v>YA284176</v>
      </c>
      <c r="J2382" s="59">
        <f t="shared" ca="1" si="187"/>
        <v>46018</v>
      </c>
      <c r="K2382" s="30">
        <f ca="1">LOOKUP(A2382,'QALS - Inspection Lot Record'!A:A,'QALS - Inspection Lot Record'!I:I)</f>
        <v>9.5474537037037038E-2</v>
      </c>
      <c r="L2382" s="59">
        <f t="shared" ca="1" si="188"/>
        <v>46018</v>
      </c>
      <c r="M2382" s="30">
        <f t="shared" ca="1" si="189"/>
        <v>0.12253472222222223</v>
      </c>
      <c r="N2382" s="31"/>
      <c r="O2382" s="31">
        <v>38.9</v>
      </c>
      <c r="P2382" s="29">
        <v>40</v>
      </c>
      <c r="Q2382" s="29">
        <v>60</v>
      </c>
    </row>
    <row r="2383" spans="1:17" x14ac:dyDescent="0.35">
      <c r="A2383" s="26">
        <v>40000002798</v>
      </c>
      <c r="B2383" s="31">
        <v>1</v>
      </c>
      <c r="C2383" s="29" t="str">
        <f>LOOKUP(A2383,'QALS - Inspection Lot Record'!$A$2:$A$361,'QALS - Inspection Lot Record'!$O$2:$O$361)</f>
        <v>Aspirin Tablets (500 MG)</v>
      </c>
      <c r="D2383" s="31">
        <v>60</v>
      </c>
      <c r="E2383" s="29" t="s">
        <v>405</v>
      </c>
      <c r="F2383" s="29" t="str">
        <f>LOOKUP(A2383,'QALS - Inspection Lot Record'!A:A,'QALS - Inspection Lot Record'!G:G)</f>
        <v>YA284176</v>
      </c>
      <c r="G2383" s="59">
        <f ca="1">LOOKUP(A2383,'QALS - Inspection Lot Record'!A:A,'QALS - Inspection Lot Record'!E:E)</f>
        <v>46018</v>
      </c>
      <c r="H2383" s="34" t="str">
        <f t="shared" si="190"/>
        <v>R</v>
      </c>
      <c r="I2383" s="29" t="str">
        <f t="shared" si="186"/>
        <v>YA284176</v>
      </c>
      <c r="J2383" s="59">
        <f t="shared" ca="1" si="187"/>
        <v>46018</v>
      </c>
      <c r="K2383" s="30">
        <f ca="1">LOOKUP(A2383,'QALS - Inspection Lot Record'!A:A,'QALS - Inspection Lot Record'!I:I)</f>
        <v>9.5474537037037038E-2</v>
      </c>
      <c r="L2383" s="59">
        <f t="shared" ca="1" si="188"/>
        <v>46018</v>
      </c>
      <c r="M2383" s="30">
        <f t="shared" ca="1" si="189"/>
        <v>0.11856481481481482</v>
      </c>
      <c r="N2383" s="31"/>
      <c r="O2383" s="31">
        <v>68.8</v>
      </c>
      <c r="P2383" s="29">
        <v>70</v>
      </c>
      <c r="Q2383" s="29">
        <v>85</v>
      </c>
    </row>
    <row r="2384" spans="1:17" x14ac:dyDescent="0.35">
      <c r="A2384" s="26">
        <v>40000002798</v>
      </c>
      <c r="B2384" s="31">
        <v>1</v>
      </c>
      <c r="C2384" s="29" t="str">
        <f>LOOKUP(A2384,'QALS - Inspection Lot Record'!$A$2:$A$361,'QALS - Inspection Lot Record'!$O$2:$O$361)</f>
        <v>Aspirin Tablets (500 MG)</v>
      </c>
      <c r="D2384" s="31">
        <v>70</v>
      </c>
      <c r="E2384" s="29" t="s">
        <v>406</v>
      </c>
      <c r="F2384" s="29" t="str">
        <f>LOOKUP(A2384,'QALS - Inspection Lot Record'!A:A,'QALS - Inspection Lot Record'!G:G)</f>
        <v>YA284176</v>
      </c>
      <c r="G2384" s="59">
        <f ca="1">LOOKUP(A2384,'QALS - Inspection Lot Record'!A:A,'QALS - Inspection Lot Record'!E:E)</f>
        <v>46018</v>
      </c>
      <c r="H2384" s="34" t="str">
        <f t="shared" si="190"/>
        <v>R</v>
      </c>
      <c r="I2384" s="29" t="str">
        <f t="shared" si="186"/>
        <v>YA284176</v>
      </c>
      <c r="J2384" s="59">
        <f t="shared" ca="1" si="187"/>
        <v>46018</v>
      </c>
      <c r="K2384" s="30">
        <f ca="1">LOOKUP(A2384,'QALS - Inspection Lot Record'!A:A,'QALS - Inspection Lot Record'!I:I)</f>
        <v>9.5474537037037038E-2</v>
      </c>
      <c r="L2384" s="59">
        <f t="shared" ca="1" si="188"/>
        <v>46018</v>
      </c>
      <c r="M2384" s="30">
        <f t="shared" ca="1" si="189"/>
        <v>0.12238425925925926</v>
      </c>
      <c r="N2384" s="31"/>
      <c r="O2384" s="31">
        <v>78</v>
      </c>
      <c r="P2384" s="29">
        <v>80</v>
      </c>
      <c r="Q2384" s="29">
        <v>90</v>
      </c>
    </row>
    <row r="2385" spans="1:17" x14ac:dyDescent="0.35">
      <c r="A2385" s="26">
        <v>40000002798</v>
      </c>
      <c r="B2385" s="31">
        <v>1</v>
      </c>
      <c r="C2385" s="29" t="str">
        <f>LOOKUP(A2385,'QALS - Inspection Lot Record'!$A$2:$A$361,'QALS - Inspection Lot Record'!$O$2:$O$361)</f>
        <v>Aspirin Tablets (500 MG)</v>
      </c>
      <c r="D2385" s="31">
        <v>80</v>
      </c>
      <c r="E2385" s="29" t="s">
        <v>407</v>
      </c>
      <c r="F2385" s="29" t="str">
        <f>LOOKUP(A2385,'QALS - Inspection Lot Record'!A:A,'QALS - Inspection Lot Record'!G:G)</f>
        <v>YA284176</v>
      </c>
      <c r="G2385" s="59">
        <f ca="1">LOOKUP(A2385,'QALS - Inspection Lot Record'!A:A,'QALS - Inspection Lot Record'!E:E)</f>
        <v>46018</v>
      </c>
      <c r="H2385" s="34" t="str">
        <f t="shared" si="190"/>
        <v>A</v>
      </c>
      <c r="I2385" s="29" t="str">
        <f t="shared" si="186"/>
        <v>YA284176</v>
      </c>
      <c r="J2385" s="59">
        <f t="shared" ca="1" si="187"/>
        <v>46018</v>
      </c>
      <c r="K2385" s="30">
        <f ca="1">LOOKUP(A2385,'QALS - Inspection Lot Record'!A:A,'QALS - Inspection Lot Record'!I:I)</f>
        <v>9.5474537037037038E-2</v>
      </c>
      <c r="L2385" s="59">
        <f t="shared" ca="1" si="188"/>
        <v>46018</v>
      </c>
      <c r="M2385" s="30">
        <f t="shared" ca="1" si="189"/>
        <v>0.12907407407407406</v>
      </c>
      <c r="N2385" s="31"/>
      <c r="O2385" s="31">
        <v>24</v>
      </c>
      <c r="P2385" s="29">
        <v>23</v>
      </c>
      <c r="Q2385" s="29">
        <v>28</v>
      </c>
    </row>
    <row r="2386" spans="1:17" x14ac:dyDescent="0.35">
      <c r="A2386" s="26">
        <v>40000002799</v>
      </c>
      <c r="B2386" s="27">
        <v>1</v>
      </c>
      <c r="C2386" s="29" t="str">
        <f>LOOKUP(A2386,'QALS - Inspection Lot Record'!$A$2:$A$361,'QALS - Inspection Lot Record'!$O$2:$O$361)</f>
        <v>Metformin Tablets (500 MG)</v>
      </c>
      <c r="D2386" s="27">
        <v>10</v>
      </c>
      <c r="E2386" s="26" t="s">
        <v>399</v>
      </c>
      <c r="F2386" s="29" t="str">
        <f>LOOKUP(A2386,'QALS - Inspection Lot Record'!A:A,'QALS - Inspection Lot Record'!G:G)</f>
        <v>TP397880</v>
      </c>
      <c r="G2386" s="59">
        <f ca="1">LOOKUP(A2386,'QALS - Inspection Lot Record'!A:A,'QALS - Inspection Lot Record'!E:E)</f>
        <v>46019</v>
      </c>
      <c r="H2386" s="34" t="str">
        <f t="shared" si="190"/>
        <v>A</v>
      </c>
      <c r="I2386" s="29" t="str">
        <f t="shared" si="186"/>
        <v>TP397880</v>
      </c>
      <c r="J2386" s="59">
        <f t="shared" ca="1" si="187"/>
        <v>46019</v>
      </c>
      <c r="K2386" s="30">
        <f ca="1">LOOKUP(A2386,'QALS - Inspection Lot Record'!A:A,'QALS - Inspection Lot Record'!I:I)</f>
        <v>0.78758101851851847</v>
      </c>
      <c r="L2386" s="59">
        <f t="shared" ca="1" si="188"/>
        <v>46019</v>
      </c>
      <c r="M2386" s="30">
        <f t="shared" ca="1" si="189"/>
        <v>0.80556712962962962</v>
      </c>
      <c r="N2386" s="31"/>
      <c r="O2386" s="31">
        <v>100</v>
      </c>
      <c r="P2386" s="29">
        <v>95</v>
      </c>
      <c r="Q2386" s="29">
        <v>105</v>
      </c>
    </row>
    <row r="2387" spans="1:17" x14ac:dyDescent="0.35">
      <c r="A2387" s="26">
        <v>40000002799</v>
      </c>
      <c r="B2387" s="27">
        <v>1</v>
      </c>
      <c r="C2387" s="29" t="str">
        <f>LOOKUP(A2387,'QALS - Inspection Lot Record'!$A$2:$A$361,'QALS - Inspection Lot Record'!$O$2:$O$361)</f>
        <v>Metformin Tablets (500 MG)</v>
      </c>
      <c r="D2387" s="31">
        <v>20</v>
      </c>
      <c r="E2387" s="29" t="s">
        <v>400</v>
      </c>
      <c r="F2387" s="29" t="str">
        <f>LOOKUP(A2387,'QALS - Inspection Lot Record'!A:A,'QALS - Inspection Lot Record'!G:G)</f>
        <v>TP397880</v>
      </c>
      <c r="G2387" s="59">
        <f ca="1">LOOKUP(A2387,'QALS - Inspection Lot Record'!A:A,'QALS - Inspection Lot Record'!E:E)</f>
        <v>46019</v>
      </c>
      <c r="H2387" s="34" t="str">
        <f t="shared" si="190"/>
        <v>A</v>
      </c>
      <c r="I2387" s="29" t="str">
        <f t="shared" si="186"/>
        <v>TP397880</v>
      </c>
      <c r="J2387" s="59">
        <f t="shared" ca="1" si="187"/>
        <v>46019</v>
      </c>
      <c r="K2387" s="30">
        <f ca="1">LOOKUP(A2387,'QALS - Inspection Lot Record'!A:A,'QALS - Inspection Lot Record'!I:I)</f>
        <v>0.78758101851851847</v>
      </c>
      <c r="L2387" s="59">
        <f t="shared" ca="1" si="188"/>
        <v>46019</v>
      </c>
      <c r="M2387" s="30">
        <f t="shared" ca="1" si="189"/>
        <v>0.81337962962962962</v>
      </c>
      <c r="N2387" s="31"/>
      <c r="O2387" s="31">
        <v>7.25</v>
      </c>
      <c r="P2387" s="29">
        <v>3.5</v>
      </c>
      <c r="Q2387" s="29">
        <v>11</v>
      </c>
    </row>
    <row r="2388" spans="1:17" x14ac:dyDescent="0.35">
      <c r="A2388" s="26">
        <v>40000002799</v>
      </c>
      <c r="B2388" s="31">
        <v>1</v>
      </c>
      <c r="C2388" s="29" t="str">
        <f>LOOKUP(A2388,'QALS - Inspection Lot Record'!$A$2:$A$361,'QALS - Inspection Lot Record'!$O$2:$O$361)</f>
        <v>Metformin Tablets (500 MG)</v>
      </c>
      <c r="D2388" s="31">
        <v>30</v>
      </c>
      <c r="E2388" s="29" t="s">
        <v>401</v>
      </c>
      <c r="F2388" s="29" t="str">
        <f>LOOKUP(A2388,'QALS - Inspection Lot Record'!A:A,'QALS - Inspection Lot Record'!G:G)</f>
        <v>TP397880</v>
      </c>
      <c r="G2388" s="59">
        <f ca="1">LOOKUP(A2388,'QALS - Inspection Lot Record'!A:A,'QALS - Inspection Lot Record'!E:E)</f>
        <v>46019</v>
      </c>
      <c r="H2388" s="34" t="str">
        <f t="shared" si="190"/>
        <v>A</v>
      </c>
      <c r="I2388" s="29" t="str">
        <f t="shared" si="186"/>
        <v>TP397880</v>
      </c>
      <c r="J2388" s="59">
        <f t="shared" ca="1" si="187"/>
        <v>46019</v>
      </c>
      <c r="K2388" s="30">
        <f ca="1">LOOKUP(A2388,'QALS - Inspection Lot Record'!A:A,'QALS - Inspection Lot Record'!I:I)</f>
        <v>0.78758101851851847</v>
      </c>
      <c r="L2388" s="59">
        <f t="shared" ca="1" si="188"/>
        <v>46019</v>
      </c>
      <c r="M2388" s="30">
        <f t="shared" ca="1" si="189"/>
        <v>0.82184027777777768</v>
      </c>
      <c r="N2388" s="11" t="s">
        <v>402</v>
      </c>
      <c r="O2388" s="31"/>
      <c r="P2388" s="29"/>
      <c r="Q2388" s="29"/>
    </row>
    <row r="2389" spans="1:17" x14ac:dyDescent="0.35">
      <c r="A2389" s="26">
        <v>40000002799</v>
      </c>
      <c r="B2389" s="31">
        <v>1</v>
      </c>
      <c r="C2389" s="29" t="str">
        <f>LOOKUP(A2389,'QALS - Inspection Lot Record'!$A$2:$A$361,'QALS - Inspection Lot Record'!$O$2:$O$361)</f>
        <v>Metformin Tablets (500 MG)</v>
      </c>
      <c r="D2389" s="31">
        <v>40</v>
      </c>
      <c r="E2389" s="29" t="s">
        <v>403</v>
      </c>
      <c r="F2389" s="29" t="str">
        <f>LOOKUP(A2389,'QALS - Inspection Lot Record'!A:A,'QALS - Inspection Lot Record'!G:G)</f>
        <v>TP397880</v>
      </c>
      <c r="G2389" s="59">
        <f ca="1">LOOKUP(A2389,'QALS - Inspection Lot Record'!A:A,'QALS - Inspection Lot Record'!E:E)</f>
        <v>46019</v>
      </c>
      <c r="H2389" s="34" t="str">
        <f t="shared" si="190"/>
        <v>A</v>
      </c>
      <c r="I2389" s="29" t="str">
        <f t="shared" si="186"/>
        <v>TP397880</v>
      </c>
      <c r="J2389" s="59">
        <f t="shared" ca="1" si="187"/>
        <v>46019</v>
      </c>
      <c r="K2389" s="30">
        <f ca="1">LOOKUP(A2389,'QALS - Inspection Lot Record'!A:A,'QALS - Inspection Lot Record'!I:I)</f>
        <v>0.78758101851851847</v>
      </c>
      <c r="L2389" s="59">
        <f t="shared" ca="1" si="188"/>
        <v>46019</v>
      </c>
      <c r="M2389" s="30">
        <f t="shared" ca="1" si="189"/>
        <v>0.80652777777777773</v>
      </c>
      <c r="N2389" s="31"/>
      <c r="O2389" s="31">
        <v>0</v>
      </c>
      <c r="P2389" s="29">
        <v>0</v>
      </c>
      <c r="Q2389" s="29">
        <v>2</v>
      </c>
    </row>
    <row r="2390" spans="1:17" x14ac:dyDescent="0.35">
      <c r="A2390" s="26">
        <v>40000002799</v>
      </c>
      <c r="B2390" s="31">
        <v>1</v>
      </c>
      <c r="C2390" s="29" t="str">
        <f>LOOKUP(A2390,'QALS - Inspection Lot Record'!$A$2:$A$361,'QALS - Inspection Lot Record'!$O$2:$O$361)</f>
        <v>Metformin Tablets (500 MG)</v>
      </c>
      <c r="D2390" s="31">
        <v>50</v>
      </c>
      <c r="E2390" s="29" t="s">
        <v>404</v>
      </c>
      <c r="F2390" s="29" t="str">
        <f>LOOKUP(A2390,'QALS - Inspection Lot Record'!A:A,'QALS - Inspection Lot Record'!G:G)</f>
        <v>TP397880</v>
      </c>
      <c r="G2390" s="59">
        <f ca="1">LOOKUP(A2390,'QALS - Inspection Lot Record'!A:A,'QALS - Inspection Lot Record'!E:E)</f>
        <v>46019</v>
      </c>
      <c r="H2390" s="34" t="str">
        <f t="shared" si="190"/>
        <v>A</v>
      </c>
      <c r="I2390" s="29" t="str">
        <f t="shared" si="186"/>
        <v>TP397880</v>
      </c>
      <c r="J2390" s="59">
        <f t="shared" ca="1" si="187"/>
        <v>46019</v>
      </c>
      <c r="K2390" s="30">
        <f ca="1">LOOKUP(A2390,'QALS - Inspection Lot Record'!A:A,'QALS - Inspection Lot Record'!I:I)</f>
        <v>0.78758101851851847</v>
      </c>
      <c r="L2390" s="59">
        <f t="shared" ca="1" si="188"/>
        <v>46019</v>
      </c>
      <c r="M2390" s="30">
        <f t="shared" ca="1" si="189"/>
        <v>0.81107638888888889</v>
      </c>
      <c r="N2390" s="31"/>
      <c r="O2390" s="31">
        <v>50</v>
      </c>
      <c r="P2390" s="29">
        <v>40</v>
      </c>
      <c r="Q2390" s="29">
        <v>60</v>
      </c>
    </row>
    <row r="2391" spans="1:17" x14ac:dyDescent="0.35">
      <c r="A2391" s="26">
        <v>40000002799</v>
      </c>
      <c r="B2391" s="31">
        <v>1</v>
      </c>
      <c r="C2391" s="29" t="str">
        <f>LOOKUP(A2391,'QALS - Inspection Lot Record'!$A$2:$A$361,'QALS - Inspection Lot Record'!$O$2:$O$361)</f>
        <v>Metformin Tablets (500 MG)</v>
      </c>
      <c r="D2391" s="31">
        <v>60</v>
      </c>
      <c r="E2391" s="29" t="s">
        <v>405</v>
      </c>
      <c r="F2391" s="29" t="str">
        <f>LOOKUP(A2391,'QALS - Inspection Lot Record'!A:A,'QALS - Inspection Lot Record'!G:G)</f>
        <v>TP397880</v>
      </c>
      <c r="G2391" s="59">
        <f ca="1">LOOKUP(A2391,'QALS - Inspection Lot Record'!A:A,'QALS - Inspection Lot Record'!E:E)</f>
        <v>46019</v>
      </c>
      <c r="H2391" s="34" t="str">
        <f t="shared" si="190"/>
        <v>A</v>
      </c>
      <c r="I2391" s="29" t="str">
        <f t="shared" si="186"/>
        <v>TP397880</v>
      </c>
      <c r="J2391" s="59">
        <f t="shared" ca="1" si="187"/>
        <v>46019</v>
      </c>
      <c r="K2391" s="30">
        <f ca="1">LOOKUP(A2391,'QALS - Inspection Lot Record'!A:A,'QALS - Inspection Lot Record'!I:I)</f>
        <v>0.78758101851851847</v>
      </c>
      <c r="L2391" s="59">
        <f t="shared" ca="1" si="188"/>
        <v>46019</v>
      </c>
      <c r="M2391" s="30">
        <f t="shared" ca="1" si="189"/>
        <v>0.80859953703703702</v>
      </c>
      <c r="N2391" s="31"/>
      <c r="O2391" s="31">
        <v>77.5</v>
      </c>
      <c r="P2391" s="29">
        <v>70</v>
      </c>
      <c r="Q2391" s="29">
        <v>85</v>
      </c>
    </row>
    <row r="2392" spans="1:17" x14ac:dyDescent="0.35">
      <c r="A2392" s="26">
        <v>40000002799</v>
      </c>
      <c r="B2392" s="31">
        <v>1</v>
      </c>
      <c r="C2392" s="29" t="str">
        <f>LOOKUP(A2392,'QALS - Inspection Lot Record'!$A$2:$A$361,'QALS - Inspection Lot Record'!$O$2:$O$361)</f>
        <v>Metformin Tablets (500 MG)</v>
      </c>
      <c r="D2392" s="31">
        <v>70</v>
      </c>
      <c r="E2392" s="29" t="s">
        <v>406</v>
      </c>
      <c r="F2392" s="29" t="str">
        <f>LOOKUP(A2392,'QALS - Inspection Lot Record'!A:A,'QALS - Inspection Lot Record'!G:G)</f>
        <v>TP397880</v>
      </c>
      <c r="G2392" s="59">
        <f ca="1">LOOKUP(A2392,'QALS - Inspection Lot Record'!A:A,'QALS - Inspection Lot Record'!E:E)</f>
        <v>46019</v>
      </c>
      <c r="H2392" s="34" t="str">
        <f t="shared" si="190"/>
        <v>A</v>
      </c>
      <c r="I2392" s="29" t="str">
        <f t="shared" si="186"/>
        <v>TP397880</v>
      </c>
      <c r="J2392" s="59">
        <f t="shared" ca="1" si="187"/>
        <v>46019</v>
      </c>
      <c r="K2392" s="30">
        <f ca="1">LOOKUP(A2392,'QALS - Inspection Lot Record'!A:A,'QALS - Inspection Lot Record'!I:I)</f>
        <v>0.78758101851851847</v>
      </c>
      <c r="L2392" s="59">
        <f t="shared" ca="1" si="188"/>
        <v>46019</v>
      </c>
      <c r="M2392" s="30">
        <f t="shared" ca="1" si="189"/>
        <v>0.80662037037037038</v>
      </c>
      <c r="N2392" s="31"/>
      <c r="O2392" s="31">
        <v>85</v>
      </c>
      <c r="P2392" s="29">
        <v>80</v>
      </c>
      <c r="Q2392" s="29">
        <v>90</v>
      </c>
    </row>
    <row r="2393" spans="1:17" x14ac:dyDescent="0.35">
      <c r="A2393" s="26">
        <v>40000002799</v>
      </c>
      <c r="B2393" s="31">
        <v>1</v>
      </c>
      <c r="C2393" s="29" t="str">
        <f>LOOKUP(A2393,'QALS - Inspection Lot Record'!$A$2:$A$361,'QALS - Inspection Lot Record'!$O$2:$O$361)</f>
        <v>Metformin Tablets (500 MG)</v>
      </c>
      <c r="D2393" s="31">
        <v>80</v>
      </c>
      <c r="E2393" s="29" t="s">
        <v>407</v>
      </c>
      <c r="F2393" s="29" t="str">
        <f>LOOKUP(A2393,'QALS - Inspection Lot Record'!A:A,'QALS - Inspection Lot Record'!G:G)</f>
        <v>TP397880</v>
      </c>
      <c r="G2393" s="59">
        <f ca="1">LOOKUP(A2393,'QALS - Inspection Lot Record'!A:A,'QALS - Inspection Lot Record'!E:E)</f>
        <v>46019</v>
      </c>
      <c r="H2393" s="34" t="str">
        <f t="shared" si="190"/>
        <v>A</v>
      </c>
      <c r="I2393" s="29" t="str">
        <f t="shared" si="186"/>
        <v>TP397880</v>
      </c>
      <c r="J2393" s="59">
        <f t="shared" ca="1" si="187"/>
        <v>46019</v>
      </c>
      <c r="K2393" s="30">
        <f ca="1">LOOKUP(A2393,'QALS - Inspection Lot Record'!A:A,'QALS - Inspection Lot Record'!I:I)</f>
        <v>0.78758101851851847</v>
      </c>
      <c r="L2393" s="59">
        <f t="shared" ca="1" si="188"/>
        <v>46019</v>
      </c>
      <c r="M2393" s="30">
        <f t="shared" ca="1" si="189"/>
        <v>0.81559027777777771</v>
      </c>
      <c r="N2393" s="31"/>
      <c r="O2393" s="31">
        <v>25.5</v>
      </c>
      <c r="P2393" s="29">
        <v>23</v>
      </c>
      <c r="Q2393" s="29">
        <v>28</v>
      </c>
    </row>
    <row r="2394" spans="1:17" x14ac:dyDescent="0.35">
      <c r="A2394" s="26">
        <v>40000002800</v>
      </c>
      <c r="B2394" s="27">
        <v>1</v>
      </c>
      <c r="C2394" s="29" t="str">
        <f>LOOKUP(A2394,'QALS - Inspection Lot Record'!$A$2:$A$361,'QALS - Inspection Lot Record'!$O$2:$O$361)</f>
        <v>Ibuprofen Tablets (100 MG)</v>
      </c>
      <c r="D2394" s="27">
        <v>10</v>
      </c>
      <c r="E2394" s="26" t="s">
        <v>399</v>
      </c>
      <c r="F2394" s="29" t="str">
        <f>LOOKUP(A2394,'QALS - Inspection Lot Record'!A:A,'QALS - Inspection Lot Record'!G:G)</f>
        <v>TG509538</v>
      </c>
      <c r="G2394" s="59">
        <f ca="1">LOOKUP(A2394,'QALS - Inspection Lot Record'!A:A,'QALS - Inspection Lot Record'!E:E)</f>
        <v>46019</v>
      </c>
      <c r="H2394" s="34" t="str">
        <f t="shared" si="190"/>
        <v>A</v>
      </c>
      <c r="I2394" s="29" t="str">
        <f t="shared" si="186"/>
        <v>TG509538</v>
      </c>
      <c r="J2394" s="59">
        <f t="shared" ca="1" si="187"/>
        <v>46019</v>
      </c>
      <c r="K2394" s="30">
        <f ca="1">LOOKUP(A2394,'QALS - Inspection Lot Record'!A:A,'QALS - Inspection Lot Record'!I:I)</f>
        <v>0.1162962962962963</v>
      </c>
      <c r="L2394" s="59">
        <f t="shared" ca="1" si="188"/>
        <v>46019</v>
      </c>
      <c r="M2394" s="30">
        <f t="shared" ca="1" si="189"/>
        <v>0.14815972222222223</v>
      </c>
      <c r="N2394" s="31"/>
      <c r="O2394" s="31">
        <v>98.5</v>
      </c>
      <c r="P2394" s="29">
        <v>95</v>
      </c>
      <c r="Q2394" s="29">
        <v>102</v>
      </c>
    </row>
    <row r="2395" spans="1:17" x14ac:dyDescent="0.35">
      <c r="A2395" s="26">
        <v>40000002800</v>
      </c>
      <c r="B2395" s="27">
        <v>1</v>
      </c>
      <c r="C2395" s="29" t="str">
        <f>LOOKUP(A2395,'QALS - Inspection Lot Record'!$A$2:$A$361,'QALS - Inspection Lot Record'!$O$2:$O$361)</f>
        <v>Ibuprofen Tablets (100 MG)</v>
      </c>
      <c r="D2395" s="31">
        <v>20</v>
      </c>
      <c r="E2395" s="29" t="s">
        <v>400</v>
      </c>
      <c r="F2395" s="29" t="str">
        <f>LOOKUP(A2395,'QALS - Inspection Lot Record'!A:A,'QALS - Inspection Lot Record'!G:G)</f>
        <v>TG509538</v>
      </c>
      <c r="G2395" s="59">
        <f ca="1">LOOKUP(A2395,'QALS - Inspection Lot Record'!A:A,'QALS - Inspection Lot Record'!E:E)</f>
        <v>46019</v>
      </c>
      <c r="H2395" s="34" t="str">
        <f t="shared" si="190"/>
        <v>A</v>
      </c>
      <c r="I2395" s="29" t="str">
        <f t="shared" si="186"/>
        <v>TG509538</v>
      </c>
      <c r="J2395" s="59">
        <f t="shared" ca="1" si="187"/>
        <v>46019</v>
      </c>
      <c r="K2395" s="30">
        <f ca="1">LOOKUP(A2395,'QALS - Inspection Lot Record'!A:A,'QALS - Inspection Lot Record'!I:I)</f>
        <v>0.1162962962962963</v>
      </c>
      <c r="L2395" s="59">
        <f t="shared" ca="1" si="188"/>
        <v>46019</v>
      </c>
      <c r="M2395" s="30">
        <f t="shared" ca="1" si="189"/>
        <v>0.13879629629629631</v>
      </c>
      <c r="N2395" s="31"/>
      <c r="O2395" s="31">
        <v>7.3</v>
      </c>
      <c r="P2395" s="29">
        <v>3.5</v>
      </c>
      <c r="Q2395" s="29">
        <v>11</v>
      </c>
    </row>
    <row r="2396" spans="1:17" x14ac:dyDescent="0.35">
      <c r="A2396" s="26">
        <v>40000002800</v>
      </c>
      <c r="B2396" s="31">
        <v>1</v>
      </c>
      <c r="C2396" s="29" t="str">
        <f>LOOKUP(A2396,'QALS - Inspection Lot Record'!$A$2:$A$361,'QALS - Inspection Lot Record'!$O$2:$O$361)</f>
        <v>Ibuprofen Tablets (100 MG)</v>
      </c>
      <c r="D2396" s="31">
        <v>30</v>
      </c>
      <c r="E2396" s="29" t="s">
        <v>401</v>
      </c>
      <c r="F2396" s="29" t="str">
        <f>LOOKUP(A2396,'QALS - Inspection Lot Record'!A:A,'QALS - Inspection Lot Record'!G:G)</f>
        <v>TG509538</v>
      </c>
      <c r="G2396" s="59">
        <f ca="1">LOOKUP(A2396,'QALS - Inspection Lot Record'!A:A,'QALS - Inspection Lot Record'!E:E)</f>
        <v>46019</v>
      </c>
      <c r="H2396" s="34" t="str">
        <f t="shared" si="190"/>
        <v>A</v>
      </c>
      <c r="I2396" s="29" t="str">
        <f t="shared" si="186"/>
        <v>TG509538</v>
      </c>
      <c r="J2396" s="59">
        <f t="shared" ca="1" si="187"/>
        <v>46019</v>
      </c>
      <c r="K2396" s="30">
        <f ca="1">LOOKUP(A2396,'QALS - Inspection Lot Record'!A:A,'QALS - Inspection Lot Record'!I:I)</f>
        <v>0.1162962962962963</v>
      </c>
      <c r="L2396" s="59">
        <f t="shared" ca="1" si="188"/>
        <v>46019</v>
      </c>
      <c r="M2396" s="30">
        <f t="shared" ca="1" si="189"/>
        <v>0.14431712962962964</v>
      </c>
      <c r="N2396" s="11" t="s">
        <v>402</v>
      </c>
      <c r="O2396" s="31"/>
      <c r="P2396" s="29"/>
      <c r="Q2396" s="29"/>
    </row>
    <row r="2397" spans="1:17" x14ac:dyDescent="0.35">
      <c r="A2397" s="26">
        <v>40000002800</v>
      </c>
      <c r="B2397" s="31">
        <v>1</v>
      </c>
      <c r="C2397" s="29" t="str">
        <f>LOOKUP(A2397,'QALS - Inspection Lot Record'!$A$2:$A$361,'QALS - Inspection Lot Record'!$O$2:$O$361)</f>
        <v>Ibuprofen Tablets (100 MG)</v>
      </c>
      <c r="D2397" s="31">
        <v>40</v>
      </c>
      <c r="E2397" s="29" t="s">
        <v>403</v>
      </c>
      <c r="F2397" s="29" t="str">
        <f>LOOKUP(A2397,'QALS - Inspection Lot Record'!A:A,'QALS - Inspection Lot Record'!G:G)</f>
        <v>TG509538</v>
      </c>
      <c r="G2397" s="59">
        <f ca="1">LOOKUP(A2397,'QALS - Inspection Lot Record'!A:A,'QALS - Inspection Lot Record'!E:E)</f>
        <v>46019</v>
      </c>
      <c r="H2397" s="34" t="str">
        <f t="shared" si="190"/>
        <v>A</v>
      </c>
      <c r="I2397" s="29" t="str">
        <f t="shared" si="186"/>
        <v>TG509538</v>
      </c>
      <c r="J2397" s="59">
        <f t="shared" ca="1" si="187"/>
        <v>46019</v>
      </c>
      <c r="K2397" s="30">
        <f ca="1">LOOKUP(A2397,'QALS - Inspection Lot Record'!A:A,'QALS - Inspection Lot Record'!I:I)</f>
        <v>0.1162962962962963</v>
      </c>
      <c r="L2397" s="59">
        <f t="shared" ca="1" si="188"/>
        <v>46019</v>
      </c>
      <c r="M2397" s="30">
        <f t="shared" ca="1" si="189"/>
        <v>0.15047453703703703</v>
      </c>
      <c r="N2397" s="31"/>
      <c r="O2397" s="31">
        <v>0</v>
      </c>
      <c r="P2397" s="29">
        <v>0</v>
      </c>
      <c r="Q2397" s="29">
        <v>1</v>
      </c>
    </row>
    <row r="2398" spans="1:17" x14ac:dyDescent="0.35">
      <c r="A2398" s="26">
        <v>40000002800</v>
      </c>
      <c r="B2398" s="31">
        <v>1</v>
      </c>
      <c r="C2398" s="29" t="str">
        <f>LOOKUP(A2398,'QALS - Inspection Lot Record'!$A$2:$A$361,'QALS - Inspection Lot Record'!$O$2:$O$361)</f>
        <v>Ibuprofen Tablets (100 MG)</v>
      </c>
      <c r="D2398" s="31">
        <v>50</v>
      </c>
      <c r="E2398" s="29" t="s">
        <v>404</v>
      </c>
      <c r="F2398" s="29" t="str">
        <f>LOOKUP(A2398,'QALS - Inspection Lot Record'!A:A,'QALS - Inspection Lot Record'!G:G)</f>
        <v>TG509538</v>
      </c>
      <c r="G2398" s="59">
        <f ca="1">LOOKUP(A2398,'QALS - Inspection Lot Record'!A:A,'QALS - Inspection Lot Record'!E:E)</f>
        <v>46019</v>
      </c>
      <c r="H2398" s="34" t="str">
        <f t="shared" si="190"/>
        <v>A</v>
      </c>
      <c r="I2398" s="29" t="str">
        <f t="shared" si="186"/>
        <v>TG509538</v>
      </c>
      <c r="J2398" s="59">
        <f t="shared" ca="1" si="187"/>
        <v>46019</v>
      </c>
      <c r="K2398" s="30">
        <f ca="1">LOOKUP(A2398,'QALS - Inspection Lot Record'!A:A,'QALS - Inspection Lot Record'!I:I)</f>
        <v>0.1162962962962963</v>
      </c>
      <c r="L2398" s="59">
        <f t="shared" ca="1" si="188"/>
        <v>46019</v>
      </c>
      <c r="M2398" s="30">
        <f t="shared" ca="1" si="189"/>
        <v>0.13939814814814816</v>
      </c>
      <c r="N2398" s="31"/>
      <c r="O2398" s="31">
        <v>50</v>
      </c>
      <c r="P2398" s="29">
        <v>40</v>
      </c>
      <c r="Q2398" s="29">
        <v>60</v>
      </c>
    </row>
    <row r="2399" spans="1:17" x14ac:dyDescent="0.35">
      <c r="A2399" s="26">
        <v>40000002800</v>
      </c>
      <c r="B2399" s="31">
        <v>1</v>
      </c>
      <c r="C2399" s="29" t="str">
        <f>LOOKUP(A2399,'QALS - Inspection Lot Record'!$A$2:$A$361,'QALS - Inspection Lot Record'!$O$2:$O$361)</f>
        <v>Ibuprofen Tablets (100 MG)</v>
      </c>
      <c r="D2399" s="31">
        <v>60</v>
      </c>
      <c r="E2399" s="29" t="s">
        <v>405</v>
      </c>
      <c r="F2399" s="29" t="str">
        <f>LOOKUP(A2399,'QALS - Inspection Lot Record'!A:A,'QALS - Inspection Lot Record'!G:G)</f>
        <v>TG509538</v>
      </c>
      <c r="G2399" s="59">
        <f ca="1">LOOKUP(A2399,'QALS - Inspection Lot Record'!A:A,'QALS - Inspection Lot Record'!E:E)</f>
        <v>46019</v>
      </c>
      <c r="H2399" s="34" t="str">
        <f t="shared" si="190"/>
        <v>A</v>
      </c>
      <c r="I2399" s="29" t="str">
        <f t="shared" si="186"/>
        <v>TG509538</v>
      </c>
      <c r="J2399" s="59">
        <f t="shared" ca="1" si="187"/>
        <v>46019</v>
      </c>
      <c r="K2399" s="30">
        <f ca="1">LOOKUP(A2399,'QALS - Inspection Lot Record'!A:A,'QALS - Inspection Lot Record'!I:I)</f>
        <v>0.1162962962962963</v>
      </c>
      <c r="L2399" s="59">
        <f t="shared" ca="1" si="188"/>
        <v>46019</v>
      </c>
      <c r="M2399" s="30">
        <f t="shared" ca="1" si="189"/>
        <v>0.14190972222222223</v>
      </c>
      <c r="N2399" s="31"/>
      <c r="O2399" s="31">
        <v>71.7</v>
      </c>
      <c r="P2399" s="29">
        <v>70</v>
      </c>
      <c r="Q2399" s="29">
        <v>85</v>
      </c>
    </row>
    <row r="2400" spans="1:17" x14ac:dyDescent="0.35">
      <c r="A2400" s="26">
        <v>40000002800</v>
      </c>
      <c r="B2400" s="31">
        <v>1</v>
      </c>
      <c r="C2400" s="29" t="str">
        <f>LOOKUP(A2400,'QALS - Inspection Lot Record'!$A$2:$A$361,'QALS - Inspection Lot Record'!$O$2:$O$361)</f>
        <v>Ibuprofen Tablets (100 MG)</v>
      </c>
      <c r="D2400" s="31">
        <v>70</v>
      </c>
      <c r="E2400" s="29" t="s">
        <v>406</v>
      </c>
      <c r="F2400" s="29" t="str">
        <f>LOOKUP(A2400,'QALS - Inspection Lot Record'!A:A,'QALS - Inspection Lot Record'!G:G)</f>
        <v>TG509538</v>
      </c>
      <c r="G2400" s="59">
        <f ca="1">LOOKUP(A2400,'QALS - Inspection Lot Record'!A:A,'QALS - Inspection Lot Record'!E:E)</f>
        <v>46019</v>
      </c>
      <c r="H2400" s="34" t="str">
        <f t="shared" si="190"/>
        <v>A</v>
      </c>
      <c r="I2400" s="29" t="str">
        <f t="shared" si="186"/>
        <v>TG509538</v>
      </c>
      <c r="J2400" s="59">
        <f t="shared" ca="1" si="187"/>
        <v>46019</v>
      </c>
      <c r="K2400" s="30">
        <f ca="1">LOOKUP(A2400,'QALS - Inspection Lot Record'!A:A,'QALS - Inspection Lot Record'!I:I)</f>
        <v>0.1162962962962963</v>
      </c>
      <c r="L2400" s="59">
        <f t="shared" ca="1" si="188"/>
        <v>46019</v>
      </c>
      <c r="M2400" s="30">
        <f t="shared" ca="1" si="189"/>
        <v>0.1370601851851852</v>
      </c>
      <c r="N2400" s="31"/>
      <c r="O2400" s="31">
        <v>85</v>
      </c>
      <c r="P2400" s="29">
        <v>80</v>
      </c>
      <c r="Q2400" s="29">
        <v>90</v>
      </c>
    </row>
    <row r="2401" spans="1:17" x14ac:dyDescent="0.35">
      <c r="A2401" s="26">
        <v>40000002800</v>
      </c>
      <c r="B2401" s="31">
        <v>1</v>
      </c>
      <c r="C2401" s="29" t="str">
        <f>LOOKUP(A2401,'QALS - Inspection Lot Record'!$A$2:$A$361,'QALS - Inspection Lot Record'!$O$2:$O$361)</f>
        <v>Ibuprofen Tablets (100 MG)</v>
      </c>
      <c r="D2401" s="31">
        <v>80</v>
      </c>
      <c r="E2401" s="29" t="s">
        <v>407</v>
      </c>
      <c r="F2401" s="29" t="str">
        <f>LOOKUP(A2401,'QALS - Inspection Lot Record'!A:A,'QALS - Inspection Lot Record'!G:G)</f>
        <v>TG509538</v>
      </c>
      <c r="G2401" s="59">
        <f ca="1">LOOKUP(A2401,'QALS - Inspection Lot Record'!A:A,'QALS - Inspection Lot Record'!E:E)</f>
        <v>46019</v>
      </c>
      <c r="H2401" s="34" t="str">
        <f t="shared" si="190"/>
        <v>A</v>
      </c>
      <c r="I2401" s="29" t="str">
        <f t="shared" si="186"/>
        <v>TG509538</v>
      </c>
      <c r="J2401" s="59">
        <f t="shared" ca="1" si="187"/>
        <v>46019</v>
      </c>
      <c r="K2401" s="30">
        <f ca="1">LOOKUP(A2401,'QALS - Inspection Lot Record'!A:A,'QALS - Inspection Lot Record'!I:I)</f>
        <v>0.1162962962962963</v>
      </c>
      <c r="L2401" s="59">
        <f t="shared" ca="1" si="188"/>
        <v>46019</v>
      </c>
      <c r="M2401" s="30">
        <f t="shared" ca="1" si="189"/>
        <v>0.13773148148148148</v>
      </c>
      <c r="N2401" s="31"/>
      <c r="O2401" s="31">
        <v>24</v>
      </c>
      <c r="P2401" s="29">
        <v>23</v>
      </c>
      <c r="Q2401" s="29">
        <v>25</v>
      </c>
    </row>
    <row r="2402" spans="1:17" x14ac:dyDescent="0.35">
      <c r="A2402" s="26">
        <v>40000002801</v>
      </c>
      <c r="B2402" s="27">
        <v>1</v>
      </c>
      <c r="C2402" s="29" t="str">
        <f>LOOKUP(A2402,'QALS - Inspection Lot Record'!$A$2:$A$361,'QALS - Inspection Lot Record'!$O$2:$O$361)</f>
        <v>Metformin Tablets (200 MG)</v>
      </c>
      <c r="D2402" s="27">
        <v>10</v>
      </c>
      <c r="E2402" s="26" t="s">
        <v>399</v>
      </c>
      <c r="F2402" s="29" t="str">
        <f>LOOKUP(A2402,'QALS - Inspection Lot Record'!A:A,'QALS - Inspection Lot Record'!G:G)</f>
        <v>AB406550</v>
      </c>
      <c r="G2402" s="59">
        <f ca="1">LOOKUP(A2402,'QALS - Inspection Lot Record'!A:A,'QALS - Inspection Lot Record'!E:E)</f>
        <v>46020</v>
      </c>
      <c r="H2402" s="34" t="str">
        <f t="shared" si="190"/>
        <v>A</v>
      </c>
      <c r="I2402" s="29" t="str">
        <f t="shared" si="186"/>
        <v>AB406550</v>
      </c>
      <c r="J2402" s="59">
        <f t="shared" ca="1" si="187"/>
        <v>46020</v>
      </c>
      <c r="K2402" s="30">
        <f ca="1">LOOKUP(A2402,'QALS - Inspection Lot Record'!A:A,'QALS - Inspection Lot Record'!I:I)</f>
        <v>0.92229166666666662</v>
      </c>
      <c r="L2402" s="59">
        <f t="shared" ca="1" si="188"/>
        <v>46020</v>
      </c>
      <c r="M2402" s="30">
        <f t="shared" ca="1" si="189"/>
        <v>0.94716435185185177</v>
      </c>
      <c r="N2402" s="31"/>
      <c r="O2402" s="31">
        <v>99</v>
      </c>
      <c r="P2402" s="29">
        <v>95</v>
      </c>
      <c r="Q2402" s="29">
        <v>103</v>
      </c>
    </row>
    <row r="2403" spans="1:17" x14ac:dyDescent="0.35">
      <c r="A2403" s="26">
        <v>40000002801</v>
      </c>
      <c r="B2403" s="27">
        <v>1</v>
      </c>
      <c r="C2403" s="29" t="str">
        <f>LOOKUP(A2403,'QALS - Inspection Lot Record'!$A$2:$A$361,'QALS - Inspection Lot Record'!$O$2:$O$361)</f>
        <v>Metformin Tablets (200 MG)</v>
      </c>
      <c r="D2403" s="31">
        <v>20</v>
      </c>
      <c r="E2403" s="29" t="s">
        <v>400</v>
      </c>
      <c r="F2403" s="29" t="str">
        <f>LOOKUP(A2403,'QALS - Inspection Lot Record'!A:A,'QALS - Inspection Lot Record'!G:G)</f>
        <v>AB406550</v>
      </c>
      <c r="G2403" s="59">
        <f ca="1">LOOKUP(A2403,'QALS - Inspection Lot Record'!A:A,'QALS - Inspection Lot Record'!E:E)</f>
        <v>46020</v>
      </c>
      <c r="H2403" s="34" t="str">
        <f t="shared" si="190"/>
        <v>A</v>
      </c>
      <c r="I2403" s="29" t="str">
        <f t="shared" si="186"/>
        <v>AB406550</v>
      </c>
      <c r="J2403" s="59">
        <f t="shared" ca="1" si="187"/>
        <v>46020</v>
      </c>
      <c r="K2403" s="30">
        <f ca="1">LOOKUP(A2403,'QALS - Inspection Lot Record'!A:A,'QALS - Inspection Lot Record'!I:I)</f>
        <v>0.92229166666666662</v>
      </c>
      <c r="L2403" s="59">
        <f t="shared" ca="1" si="188"/>
        <v>46020</v>
      </c>
      <c r="M2403" s="30">
        <f t="shared" ca="1" si="189"/>
        <v>0.95693287037037034</v>
      </c>
      <c r="N2403" s="31"/>
      <c r="O2403" s="31">
        <v>7.75</v>
      </c>
      <c r="P2403" s="29">
        <v>6</v>
      </c>
      <c r="Q2403" s="29">
        <v>9.5</v>
      </c>
    </row>
    <row r="2404" spans="1:17" x14ac:dyDescent="0.35">
      <c r="A2404" s="26">
        <v>40000002801</v>
      </c>
      <c r="B2404" s="31">
        <v>1</v>
      </c>
      <c r="C2404" s="29" t="str">
        <f>LOOKUP(A2404,'QALS - Inspection Lot Record'!$A$2:$A$361,'QALS - Inspection Lot Record'!$O$2:$O$361)</f>
        <v>Metformin Tablets (200 MG)</v>
      </c>
      <c r="D2404" s="31">
        <v>30</v>
      </c>
      <c r="E2404" s="29" t="s">
        <v>401</v>
      </c>
      <c r="F2404" s="29" t="str">
        <f>LOOKUP(A2404,'QALS - Inspection Lot Record'!A:A,'QALS - Inspection Lot Record'!G:G)</f>
        <v>AB406550</v>
      </c>
      <c r="G2404" s="59">
        <f ca="1">LOOKUP(A2404,'QALS - Inspection Lot Record'!A:A,'QALS - Inspection Lot Record'!E:E)</f>
        <v>46020</v>
      </c>
      <c r="H2404" s="34" t="str">
        <f t="shared" si="190"/>
        <v>A</v>
      </c>
      <c r="I2404" s="29" t="str">
        <f t="shared" si="186"/>
        <v>AB406550</v>
      </c>
      <c r="J2404" s="59">
        <f t="shared" ca="1" si="187"/>
        <v>46020</v>
      </c>
      <c r="K2404" s="30">
        <f ca="1">LOOKUP(A2404,'QALS - Inspection Lot Record'!A:A,'QALS - Inspection Lot Record'!I:I)</f>
        <v>0.92229166666666662</v>
      </c>
      <c r="L2404" s="59">
        <f t="shared" ca="1" si="188"/>
        <v>46020</v>
      </c>
      <c r="M2404" s="30">
        <f t="shared" ca="1" si="189"/>
        <v>0.95754629629629628</v>
      </c>
      <c r="N2404" s="11" t="s">
        <v>402</v>
      </c>
      <c r="O2404" s="31"/>
      <c r="P2404" s="29"/>
      <c r="Q2404" s="29"/>
    </row>
    <row r="2405" spans="1:17" x14ac:dyDescent="0.35">
      <c r="A2405" s="26">
        <v>40000002801</v>
      </c>
      <c r="B2405" s="31">
        <v>1</v>
      </c>
      <c r="C2405" s="29" t="str">
        <f>LOOKUP(A2405,'QALS - Inspection Lot Record'!$A$2:$A$361,'QALS - Inspection Lot Record'!$O$2:$O$361)</f>
        <v>Metformin Tablets (200 MG)</v>
      </c>
      <c r="D2405" s="31">
        <v>40</v>
      </c>
      <c r="E2405" s="29" t="s">
        <v>403</v>
      </c>
      <c r="F2405" s="29" t="str">
        <f>LOOKUP(A2405,'QALS - Inspection Lot Record'!A:A,'QALS - Inspection Lot Record'!G:G)</f>
        <v>AB406550</v>
      </c>
      <c r="G2405" s="59">
        <f ca="1">LOOKUP(A2405,'QALS - Inspection Lot Record'!A:A,'QALS - Inspection Lot Record'!E:E)</f>
        <v>46020</v>
      </c>
      <c r="H2405" s="34" t="str">
        <f t="shared" si="190"/>
        <v>A</v>
      </c>
      <c r="I2405" s="29" t="str">
        <f t="shared" si="186"/>
        <v>AB406550</v>
      </c>
      <c r="J2405" s="59">
        <f t="shared" ca="1" si="187"/>
        <v>46020</v>
      </c>
      <c r="K2405" s="30">
        <f ca="1">LOOKUP(A2405,'QALS - Inspection Lot Record'!A:A,'QALS - Inspection Lot Record'!I:I)</f>
        <v>0.92229166666666662</v>
      </c>
      <c r="L2405" s="59">
        <f t="shared" ca="1" si="188"/>
        <v>46020</v>
      </c>
      <c r="M2405" s="30">
        <f t="shared" ca="1" si="189"/>
        <v>0.94136574074074064</v>
      </c>
      <c r="N2405" s="31"/>
      <c r="O2405" s="31">
        <v>1</v>
      </c>
      <c r="P2405" s="29">
        <v>0</v>
      </c>
      <c r="Q2405" s="29">
        <v>2</v>
      </c>
    </row>
    <row r="2406" spans="1:17" x14ac:dyDescent="0.35">
      <c r="A2406" s="26">
        <v>40000002801</v>
      </c>
      <c r="B2406" s="31">
        <v>1</v>
      </c>
      <c r="C2406" s="29" t="str">
        <f>LOOKUP(A2406,'QALS - Inspection Lot Record'!$A$2:$A$361,'QALS - Inspection Lot Record'!$O$2:$O$361)</f>
        <v>Metformin Tablets (200 MG)</v>
      </c>
      <c r="D2406" s="31">
        <v>50</v>
      </c>
      <c r="E2406" s="29" t="s">
        <v>404</v>
      </c>
      <c r="F2406" s="29" t="str">
        <f>LOOKUP(A2406,'QALS - Inspection Lot Record'!A:A,'QALS - Inspection Lot Record'!G:G)</f>
        <v>AB406550</v>
      </c>
      <c r="G2406" s="59">
        <f ca="1">LOOKUP(A2406,'QALS - Inspection Lot Record'!A:A,'QALS - Inspection Lot Record'!E:E)</f>
        <v>46020</v>
      </c>
      <c r="H2406" s="34" t="str">
        <f t="shared" si="190"/>
        <v>A</v>
      </c>
      <c r="I2406" s="29" t="str">
        <f t="shared" si="186"/>
        <v>AB406550</v>
      </c>
      <c r="J2406" s="59">
        <f t="shared" ca="1" si="187"/>
        <v>46020</v>
      </c>
      <c r="K2406" s="30">
        <f ca="1">LOOKUP(A2406,'QALS - Inspection Lot Record'!A:A,'QALS - Inspection Lot Record'!I:I)</f>
        <v>0.92229166666666662</v>
      </c>
      <c r="L2406" s="59">
        <f t="shared" ca="1" si="188"/>
        <v>46020</v>
      </c>
      <c r="M2406" s="30">
        <f t="shared" ca="1" si="189"/>
        <v>0.94920138888888883</v>
      </c>
      <c r="N2406" s="31"/>
      <c r="O2406" s="31">
        <v>50</v>
      </c>
      <c r="P2406" s="29">
        <v>40</v>
      </c>
      <c r="Q2406" s="29">
        <v>60</v>
      </c>
    </row>
    <row r="2407" spans="1:17" x14ac:dyDescent="0.35">
      <c r="A2407" s="26">
        <v>40000002801</v>
      </c>
      <c r="B2407" s="31">
        <v>1</v>
      </c>
      <c r="C2407" s="29" t="str">
        <f>LOOKUP(A2407,'QALS - Inspection Lot Record'!$A$2:$A$361,'QALS - Inspection Lot Record'!$O$2:$O$361)</f>
        <v>Metformin Tablets (200 MG)</v>
      </c>
      <c r="D2407" s="31">
        <v>60</v>
      </c>
      <c r="E2407" s="29" t="s">
        <v>405</v>
      </c>
      <c r="F2407" s="29" t="str">
        <f>LOOKUP(A2407,'QALS - Inspection Lot Record'!A:A,'QALS - Inspection Lot Record'!G:G)</f>
        <v>AB406550</v>
      </c>
      <c r="G2407" s="59">
        <f ca="1">LOOKUP(A2407,'QALS - Inspection Lot Record'!A:A,'QALS - Inspection Lot Record'!E:E)</f>
        <v>46020</v>
      </c>
      <c r="H2407" s="34" t="str">
        <f t="shared" si="190"/>
        <v>A</v>
      </c>
      <c r="I2407" s="29" t="str">
        <f t="shared" si="186"/>
        <v>AB406550</v>
      </c>
      <c r="J2407" s="59">
        <f t="shared" ca="1" si="187"/>
        <v>46020</v>
      </c>
      <c r="K2407" s="30">
        <f ca="1">LOOKUP(A2407,'QALS - Inspection Lot Record'!A:A,'QALS - Inspection Lot Record'!I:I)</f>
        <v>0.92229166666666662</v>
      </c>
      <c r="L2407" s="59">
        <f t="shared" ca="1" si="188"/>
        <v>46020</v>
      </c>
      <c r="M2407" s="30">
        <f t="shared" ca="1" si="189"/>
        <v>0.94495370370370368</v>
      </c>
      <c r="N2407" s="31"/>
      <c r="O2407" s="31">
        <v>77.5</v>
      </c>
      <c r="P2407" s="29">
        <v>70</v>
      </c>
      <c r="Q2407" s="29">
        <v>85</v>
      </c>
    </row>
    <row r="2408" spans="1:17" x14ac:dyDescent="0.35">
      <c r="A2408" s="26">
        <v>40000002801</v>
      </c>
      <c r="B2408" s="31">
        <v>1</v>
      </c>
      <c r="C2408" s="29" t="str">
        <f>LOOKUP(A2408,'QALS - Inspection Lot Record'!$A$2:$A$361,'QALS - Inspection Lot Record'!$O$2:$O$361)</f>
        <v>Metformin Tablets (200 MG)</v>
      </c>
      <c r="D2408" s="31">
        <v>70</v>
      </c>
      <c r="E2408" s="29" t="s">
        <v>406</v>
      </c>
      <c r="F2408" s="29" t="str">
        <f>LOOKUP(A2408,'QALS - Inspection Lot Record'!A:A,'QALS - Inspection Lot Record'!G:G)</f>
        <v>AB406550</v>
      </c>
      <c r="G2408" s="59">
        <f ca="1">LOOKUP(A2408,'QALS - Inspection Lot Record'!A:A,'QALS - Inspection Lot Record'!E:E)</f>
        <v>46020</v>
      </c>
      <c r="H2408" s="34" t="str">
        <f t="shared" si="190"/>
        <v>A</v>
      </c>
      <c r="I2408" s="29" t="str">
        <f t="shared" si="186"/>
        <v>AB406550</v>
      </c>
      <c r="J2408" s="59">
        <f t="shared" ca="1" si="187"/>
        <v>46020</v>
      </c>
      <c r="K2408" s="30">
        <f ca="1">LOOKUP(A2408,'QALS - Inspection Lot Record'!A:A,'QALS - Inspection Lot Record'!I:I)</f>
        <v>0.92229166666666662</v>
      </c>
      <c r="L2408" s="59">
        <f t="shared" ca="1" si="188"/>
        <v>46020</v>
      </c>
      <c r="M2408" s="30">
        <f t="shared" ca="1" si="189"/>
        <v>0.95322916666666657</v>
      </c>
      <c r="N2408" s="31"/>
      <c r="O2408" s="31">
        <v>85</v>
      </c>
      <c r="P2408" s="29">
        <v>80</v>
      </c>
      <c r="Q2408" s="29">
        <v>90</v>
      </c>
    </row>
    <row r="2409" spans="1:17" x14ac:dyDescent="0.35">
      <c r="A2409" s="26">
        <v>40000002801</v>
      </c>
      <c r="B2409" s="31">
        <v>1</v>
      </c>
      <c r="C2409" s="29" t="str">
        <f>LOOKUP(A2409,'QALS - Inspection Lot Record'!$A$2:$A$361,'QALS - Inspection Lot Record'!$O$2:$O$361)</f>
        <v>Metformin Tablets (200 MG)</v>
      </c>
      <c r="D2409" s="31">
        <v>80</v>
      </c>
      <c r="E2409" s="29" t="s">
        <v>407</v>
      </c>
      <c r="F2409" s="29" t="str">
        <f>LOOKUP(A2409,'QALS - Inspection Lot Record'!A:A,'QALS - Inspection Lot Record'!G:G)</f>
        <v>AB406550</v>
      </c>
      <c r="G2409" s="59">
        <f ca="1">LOOKUP(A2409,'QALS - Inspection Lot Record'!A:A,'QALS - Inspection Lot Record'!E:E)</f>
        <v>46020</v>
      </c>
      <c r="H2409" s="34" t="str">
        <f t="shared" si="190"/>
        <v>A</v>
      </c>
      <c r="I2409" s="29" t="str">
        <f t="shared" si="186"/>
        <v>AB406550</v>
      </c>
      <c r="J2409" s="59">
        <f t="shared" ca="1" si="187"/>
        <v>46020</v>
      </c>
      <c r="K2409" s="30">
        <f ca="1">LOOKUP(A2409,'QALS - Inspection Lot Record'!A:A,'QALS - Inspection Lot Record'!I:I)</f>
        <v>0.92229166666666662</v>
      </c>
      <c r="L2409" s="59">
        <f t="shared" ca="1" si="188"/>
        <v>46020</v>
      </c>
      <c r="M2409" s="30">
        <f t="shared" ca="1" si="189"/>
        <v>0.94549768518518518</v>
      </c>
      <c r="N2409" s="31"/>
      <c r="O2409" s="31">
        <v>25.5</v>
      </c>
      <c r="P2409" s="29">
        <v>23</v>
      </c>
      <c r="Q2409" s="29">
        <v>28</v>
      </c>
    </row>
    <row r="2410" spans="1:17" x14ac:dyDescent="0.35">
      <c r="A2410" s="26">
        <v>40000002802</v>
      </c>
      <c r="B2410" s="27">
        <v>1</v>
      </c>
      <c r="C2410" s="29" t="str">
        <f>LOOKUP(A2410,'QALS - Inspection Lot Record'!$A$2:$A$361,'QALS - Inspection Lot Record'!$O$2:$O$361)</f>
        <v>Metformin Tablets (100 MG)</v>
      </c>
      <c r="D2410" s="27">
        <v>10</v>
      </c>
      <c r="E2410" s="26" t="s">
        <v>399</v>
      </c>
      <c r="F2410" s="29" t="str">
        <f>LOOKUP(A2410,'QALS - Inspection Lot Record'!A:A,'QALS - Inspection Lot Record'!G:G)</f>
        <v>GC197258</v>
      </c>
      <c r="G2410" s="59">
        <f ca="1">LOOKUP(A2410,'QALS - Inspection Lot Record'!A:A,'QALS - Inspection Lot Record'!E:E)</f>
        <v>46020</v>
      </c>
      <c r="H2410" s="34" t="str">
        <f t="shared" si="190"/>
        <v>A</v>
      </c>
      <c r="I2410" s="29" t="str">
        <f t="shared" si="186"/>
        <v>GC197258</v>
      </c>
      <c r="J2410" s="59">
        <f t="shared" ca="1" si="187"/>
        <v>46020</v>
      </c>
      <c r="K2410" s="30">
        <f ca="1">LOOKUP(A2410,'QALS - Inspection Lot Record'!A:A,'QALS - Inspection Lot Record'!I:I)</f>
        <v>0.22812499999999999</v>
      </c>
      <c r="L2410" s="59">
        <f t="shared" ca="1" si="188"/>
        <v>46020</v>
      </c>
      <c r="M2410" s="30">
        <f t="shared" ca="1" si="189"/>
        <v>0.25134259259259256</v>
      </c>
      <c r="N2410" s="31"/>
      <c r="O2410" s="31">
        <v>98.5</v>
      </c>
      <c r="P2410" s="29">
        <v>95</v>
      </c>
      <c r="Q2410" s="29">
        <v>102</v>
      </c>
    </row>
    <row r="2411" spans="1:17" x14ac:dyDescent="0.35">
      <c r="A2411" s="26">
        <v>40000002802</v>
      </c>
      <c r="B2411" s="27">
        <v>1</v>
      </c>
      <c r="C2411" s="29" t="str">
        <f>LOOKUP(A2411,'QALS - Inspection Lot Record'!$A$2:$A$361,'QALS - Inspection Lot Record'!$O$2:$O$361)</f>
        <v>Metformin Tablets (100 MG)</v>
      </c>
      <c r="D2411" s="31">
        <v>20</v>
      </c>
      <c r="E2411" s="29" t="s">
        <v>400</v>
      </c>
      <c r="F2411" s="29" t="str">
        <f>LOOKUP(A2411,'QALS - Inspection Lot Record'!A:A,'QALS - Inspection Lot Record'!G:G)</f>
        <v>GC197258</v>
      </c>
      <c r="G2411" s="59">
        <f ca="1">LOOKUP(A2411,'QALS - Inspection Lot Record'!A:A,'QALS - Inspection Lot Record'!E:E)</f>
        <v>46020</v>
      </c>
      <c r="H2411" s="34" t="str">
        <f t="shared" si="190"/>
        <v>A</v>
      </c>
      <c r="I2411" s="29" t="str">
        <f t="shared" si="186"/>
        <v>GC197258</v>
      </c>
      <c r="J2411" s="59">
        <f t="shared" ca="1" si="187"/>
        <v>46020</v>
      </c>
      <c r="K2411" s="30">
        <f ca="1">LOOKUP(A2411,'QALS - Inspection Lot Record'!A:A,'QALS - Inspection Lot Record'!I:I)</f>
        <v>0.22812499999999999</v>
      </c>
      <c r="L2411" s="59">
        <f t="shared" ca="1" si="188"/>
        <v>46020</v>
      </c>
      <c r="M2411" s="30">
        <f t="shared" ca="1" si="189"/>
        <v>0.25859953703703703</v>
      </c>
      <c r="N2411" s="31"/>
      <c r="O2411" s="31">
        <v>7.25</v>
      </c>
      <c r="P2411" s="29">
        <v>3.5</v>
      </c>
      <c r="Q2411" s="29">
        <v>11</v>
      </c>
    </row>
    <row r="2412" spans="1:17" x14ac:dyDescent="0.35">
      <c r="A2412" s="26">
        <v>40000002802</v>
      </c>
      <c r="B2412" s="31">
        <v>1</v>
      </c>
      <c r="C2412" s="29" t="str">
        <f>LOOKUP(A2412,'QALS - Inspection Lot Record'!$A$2:$A$361,'QALS - Inspection Lot Record'!$O$2:$O$361)</f>
        <v>Metformin Tablets (100 MG)</v>
      </c>
      <c r="D2412" s="31">
        <v>30</v>
      </c>
      <c r="E2412" s="29" t="s">
        <v>401</v>
      </c>
      <c r="F2412" s="29" t="str">
        <f>LOOKUP(A2412,'QALS - Inspection Lot Record'!A:A,'QALS - Inspection Lot Record'!G:G)</f>
        <v>GC197258</v>
      </c>
      <c r="G2412" s="59">
        <f ca="1">LOOKUP(A2412,'QALS - Inspection Lot Record'!A:A,'QALS - Inspection Lot Record'!E:E)</f>
        <v>46020</v>
      </c>
      <c r="H2412" s="34" t="str">
        <f t="shared" si="190"/>
        <v>A</v>
      </c>
      <c r="I2412" s="29" t="str">
        <f t="shared" si="186"/>
        <v>GC197258</v>
      </c>
      <c r="J2412" s="59">
        <f t="shared" ca="1" si="187"/>
        <v>46020</v>
      </c>
      <c r="K2412" s="30">
        <f ca="1">LOOKUP(A2412,'QALS - Inspection Lot Record'!A:A,'QALS - Inspection Lot Record'!I:I)</f>
        <v>0.22812499999999999</v>
      </c>
      <c r="L2412" s="59">
        <f t="shared" ca="1" si="188"/>
        <v>46020</v>
      </c>
      <c r="M2412" s="30">
        <f t="shared" ca="1" si="189"/>
        <v>0.25114583333333335</v>
      </c>
      <c r="N2412" s="11" t="s">
        <v>402</v>
      </c>
      <c r="O2412" s="31"/>
      <c r="P2412" s="29"/>
      <c r="Q2412" s="29"/>
    </row>
    <row r="2413" spans="1:17" x14ac:dyDescent="0.35">
      <c r="A2413" s="26">
        <v>40000002802</v>
      </c>
      <c r="B2413" s="31">
        <v>1</v>
      </c>
      <c r="C2413" s="29" t="str">
        <f>LOOKUP(A2413,'QALS - Inspection Lot Record'!$A$2:$A$361,'QALS - Inspection Lot Record'!$O$2:$O$361)</f>
        <v>Metformin Tablets (100 MG)</v>
      </c>
      <c r="D2413" s="31">
        <v>40</v>
      </c>
      <c r="E2413" s="29" t="s">
        <v>403</v>
      </c>
      <c r="F2413" s="29" t="str">
        <f>LOOKUP(A2413,'QALS - Inspection Lot Record'!A:A,'QALS - Inspection Lot Record'!G:G)</f>
        <v>GC197258</v>
      </c>
      <c r="G2413" s="59">
        <f ca="1">LOOKUP(A2413,'QALS - Inspection Lot Record'!A:A,'QALS - Inspection Lot Record'!E:E)</f>
        <v>46020</v>
      </c>
      <c r="H2413" s="34" t="str">
        <f t="shared" si="190"/>
        <v>A</v>
      </c>
      <c r="I2413" s="29" t="str">
        <f t="shared" si="186"/>
        <v>GC197258</v>
      </c>
      <c r="J2413" s="59">
        <f t="shared" ca="1" si="187"/>
        <v>46020</v>
      </c>
      <c r="K2413" s="30">
        <f ca="1">LOOKUP(A2413,'QALS - Inspection Lot Record'!A:A,'QALS - Inspection Lot Record'!I:I)</f>
        <v>0.22812499999999999</v>
      </c>
      <c r="L2413" s="59">
        <f t="shared" ca="1" si="188"/>
        <v>46020</v>
      </c>
      <c r="M2413" s="30">
        <f t="shared" ca="1" si="189"/>
        <v>0.25383101851851853</v>
      </c>
      <c r="N2413" s="31"/>
      <c r="O2413" s="31">
        <v>0</v>
      </c>
      <c r="P2413" s="29">
        <v>0</v>
      </c>
      <c r="Q2413" s="29">
        <v>1</v>
      </c>
    </row>
    <row r="2414" spans="1:17" x14ac:dyDescent="0.35">
      <c r="A2414" s="26">
        <v>40000002802</v>
      </c>
      <c r="B2414" s="31">
        <v>1</v>
      </c>
      <c r="C2414" s="29" t="str">
        <f>LOOKUP(A2414,'QALS - Inspection Lot Record'!$A$2:$A$361,'QALS - Inspection Lot Record'!$O$2:$O$361)</f>
        <v>Metformin Tablets (100 MG)</v>
      </c>
      <c r="D2414" s="31">
        <v>50</v>
      </c>
      <c r="E2414" s="29" t="s">
        <v>404</v>
      </c>
      <c r="F2414" s="29" t="str">
        <f>LOOKUP(A2414,'QALS - Inspection Lot Record'!A:A,'QALS - Inspection Lot Record'!G:G)</f>
        <v>GC197258</v>
      </c>
      <c r="G2414" s="59">
        <f ca="1">LOOKUP(A2414,'QALS - Inspection Lot Record'!A:A,'QALS - Inspection Lot Record'!E:E)</f>
        <v>46020</v>
      </c>
      <c r="H2414" s="34" t="str">
        <f t="shared" si="190"/>
        <v>A</v>
      </c>
      <c r="I2414" s="29" t="str">
        <f t="shared" si="186"/>
        <v>GC197258</v>
      </c>
      <c r="J2414" s="59">
        <f t="shared" ca="1" si="187"/>
        <v>46020</v>
      </c>
      <c r="K2414" s="30">
        <f ca="1">LOOKUP(A2414,'QALS - Inspection Lot Record'!A:A,'QALS - Inspection Lot Record'!I:I)</f>
        <v>0.22812499999999999</v>
      </c>
      <c r="L2414" s="59">
        <f t="shared" ca="1" si="188"/>
        <v>46020</v>
      </c>
      <c r="M2414" s="30">
        <f t="shared" ca="1" si="189"/>
        <v>0.26027777777777777</v>
      </c>
      <c r="N2414" s="31"/>
      <c r="O2414" s="31">
        <v>50</v>
      </c>
      <c r="P2414" s="29">
        <v>40</v>
      </c>
      <c r="Q2414" s="29">
        <v>60</v>
      </c>
    </row>
    <row r="2415" spans="1:17" x14ac:dyDescent="0.35">
      <c r="A2415" s="26">
        <v>40000002802</v>
      </c>
      <c r="B2415" s="31">
        <v>1</v>
      </c>
      <c r="C2415" s="29" t="str">
        <f>LOOKUP(A2415,'QALS - Inspection Lot Record'!$A$2:$A$361,'QALS - Inspection Lot Record'!$O$2:$O$361)</f>
        <v>Metformin Tablets (100 MG)</v>
      </c>
      <c r="D2415" s="31">
        <v>60</v>
      </c>
      <c r="E2415" s="29" t="s">
        <v>405</v>
      </c>
      <c r="F2415" s="29" t="str">
        <f>LOOKUP(A2415,'QALS - Inspection Lot Record'!A:A,'QALS - Inspection Lot Record'!G:G)</f>
        <v>GC197258</v>
      </c>
      <c r="G2415" s="59">
        <f ca="1">LOOKUP(A2415,'QALS - Inspection Lot Record'!A:A,'QALS - Inspection Lot Record'!E:E)</f>
        <v>46020</v>
      </c>
      <c r="H2415" s="34" t="str">
        <f t="shared" si="190"/>
        <v>A</v>
      </c>
      <c r="I2415" s="29" t="str">
        <f t="shared" si="186"/>
        <v>GC197258</v>
      </c>
      <c r="J2415" s="59">
        <f t="shared" ca="1" si="187"/>
        <v>46020</v>
      </c>
      <c r="K2415" s="30">
        <f ca="1">LOOKUP(A2415,'QALS - Inspection Lot Record'!A:A,'QALS - Inspection Lot Record'!I:I)</f>
        <v>0.22812499999999999</v>
      </c>
      <c r="L2415" s="59">
        <f t="shared" ca="1" si="188"/>
        <v>46020</v>
      </c>
      <c r="M2415" s="30">
        <f t="shared" ca="1" si="189"/>
        <v>0.24952546296296296</v>
      </c>
      <c r="N2415" s="31"/>
      <c r="O2415" s="31">
        <v>77.5</v>
      </c>
      <c r="P2415" s="29">
        <v>70</v>
      </c>
      <c r="Q2415" s="29">
        <v>85</v>
      </c>
    </row>
    <row r="2416" spans="1:17" x14ac:dyDescent="0.35">
      <c r="A2416" s="26">
        <v>40000002802</v>
      </c>
      <c r="B2416" s="31">
        <v>1</v>
      </c>
      <c r="C2416" s="29" t="str">
        <f>LOOKUP(A2416,'QALS - Inspection Lot Record'!$A$2:$A$361,'QALS - Inspection Lot Record'!$O$2:$O$361)</f>
        <v>Metformin Tablets (100 MG)</v>
      </c>
      <c r="D2416" s="31">
        <v>70</v>
      </c>
      <c r="E2416" s="29" t="s">
        <v>406</v>
      </c>
      <c r="F2416" s="29" t="str">
        <f>LOOKUP(A2416,'QALS - Inspection Lot Record'!A:A,'QALS - Inspection Lot Record'!G:G)</f>
        <v>GC197258</v>
      </c>
      <c r="G2416" s="59">
        <f ca="1">LOOKUP(A2416,'QALS - Inspection Lot Record'!A:A,'QALS - Inspection Lot Record'!E:E)</f>
        <v>46020</v>
      </c>
      <c r="H2416" s="34" t="str">
        <f t="shared" si="190"/>
        <v>A</v>
      </c>
      <c r="I2416" s="29" t="str">
        <f t="shared" si="186"/>
        <v>GC197258</v>
      </c>
      <c r="J2416" s="59">
        <f t="shared" ca="1" si="187"/>
        <v>46020</v>
      </c>
      <c r="K2416" s="30">
        <f ca="1">LOOKUP(A2416,'QALS - Inspection Lot Record'!A:A,'QALS - Inspection Lot Record'!I:I)</f>
        <v>0.22812499999999999</v>
      </c>
      <c r="L2416" s="59">
        <f t="shared" ca="1" si="188"/>
        <v>46020</v>
      </c>
      <c r="M2416" s="30">
        <f t="shared" ca="1" si="189"/>
        <v>0.25980324074074074</v>
      </c>
      <c r="N2416" s="31"/>
      <c r="O2416" s="31">
        <v>85</v>
      </c>
      <c r="P2416" s="29">
        <v>80</v>
      </c>
      <c r="Q2416" s="29">
        <v>90</v>
      </c>
    </row>
    <row r="2417" spans="1:17" x14ac:dyDescent="0.35">
      <c r="A2417" s="26">
        <v>40000002802</v>
      </c>
      <c r="B2417" s="31">
        <v>1</v>
      </c>
      <c r="C2417" s="29" t="str">
        <f>LOOKUP(A2417,'QALS - Inspection Lot Record'!$A$2:$A$361,'QALS - Inspection Lot Record'!$O$2:$O$361)</f>
        <v>Metformin Tablets (100 MG)</v>
      </c>
      <c r="D2417" s="31">
        <v>80</v>
      </c>
      <c r="E2417" s="29" t="s">
        <v>407</v>
      </c>
      <c r="F2417" s="29" t="str">
        <f>LOOKUP(A2417,'QALS - Inspection Lot Record'!A:A,'QALS - Inspection Lot Record'!G:G)</f>
        <v>GC197258</v>
      </c>
      <c r="G2417" s="59">
        <f ca="1">LOOKUP(A2417,'QALS - Inspection Lot Record'!A:A,'QALS - Inspection Lot Record'!E:E)</f>
        <v>46020</v>
      </c>
      <c r="H2417" s="34" t="str">
        <f t="shared" si="190"/>
        <v>A</v>
      </c>
      <c r="I2417" s="29" t="str">
        <f t="shared" si="186"/>
        <v>GC197258</v>
      </c>
      <c r="J2417" s="59">
        <f t="shared" ca="1" si="187"/>
        <v>46020</v>
      </c>
      <c r="K2417" s="30">
        <f ca="1">LOOKUP(A2417,'QALS - Inspection Lot Record'!A:A,'QALS - Inspection Lot Record'!I:I)</f>
        <v>0.22812499999999999</v>
      </c>
      <c r="L2417" s="59">
        <f t="shared" ca="1" si="188"/>
        <v>46020</v>
      </c>
      <c r="M2417" s="30">
        <f t="shared" ca="1" si="189"/>
        <v>0.24783564814814815</v>
      </c>
      <c r="N2417" s="31"/>
      <c r="O2417" s="31">
        <v>24</v>
      </c>
      <c r="P2417" s="29">
        <v>23</v>
      </c>
      <c r="Q2417" s="29">
        <v>25</v>
      </c>
    </row>
    <row r="2418" spans="1:17" x14ac:dyDescent="0.35">
      <c r="A2418" s="26">
        <v>40000002803</v>
      </c>
      <c r="B2418" s="27">
        <v>1</v>
      </c>
      <c r="C2418" s="29" t="str">
        <f>LOOKUP(A2418,'QALS - Inspection Lot Record'!$A$2:$A$361,'QALS - Inspection Lot Record'!$O$2:$O$361)</f>
        <v>Metformin Tablets (200 MG)</v>
      </c>
      <c r="D2418" s="27">
        <v>10</v>
      </c>
      <c r="E2418" s="26" t="s">
        <v>399</v>
      </c>
      <c r="F2418" s="29" t="str">
        <f>LOOKUP(A2418,'QALS - Inspection Lot Record'!A:A,'QALS - Inspection Lot Record'!G:G)</f>
        <v>AB406550</v>
      </c>
      <c r="G2418" s="59">
        <f ca="1">LOOKUP(A2418,'QALS - Inspection Lot Record'!A:A,'QALS - Inspection Lot Record'!E:E)</f>
        <v>46021</v>
      </c>
      <c r="H2418" s="34" t="str">
        <f t="shared" si="190"/>
        <v>A</v>
      </c>
      <c r="I2418" s="29" t="str">
        <f t="shared" si="186"/>
        <v>AB406550</v>
      </c>
      <c r="J2418" s="59">
        <f t="shared" ca="1" si="187"/>
        <v>46021</v>
      </c>
      <c r="K2418" s="30">
        <f ca="1">LOOKUP(A2418,'QALS - Inspection Lot Record'!A:A,'QALS - Inspection Lot Record'!I:I)</f>
        <v>0.5568981481481482</v>
      </c>
      <c r="L2418" s="59">
        <f t="shared" ca="1" si="188"/>
        <v>46021</v>
      </c>
      <c r="M2418" s="30">
        <f t="shared" ca="1" si="189"/>
        <v>0.58855324074074078</v>
      </c>
      <c r="N2418" s="31"/>
      <c r="O2418" s="31">
        <v>99</v>
      </c>
      <c r="P2418" s="29">
        <v>95</v>
      </c>
      <c r="Q2418" s="29">
        <v>103</v>
      </c>
    </row>
    <row r="2419" spans="1:17" x14ac:dyDescent="0.35">
      <c r="A2419" s="26">
        <v>40000002803</v>
      </c>
      <c r="B2419" s="27">
        <v>1</v>
      </c>
      <c r="C2419" s="29" t="str">
        <f>LOOKUP(A2419,'QALS - Inspection Lot Record'!$A$2:$A$361,'QALS - Inspection Lot Record'!$O$2:$O$361)</f>
        <v>Metformin Tablets (200 MG)</v>
      </c>
      <c r="D2419" s="31">
        <v>20</v>
      </c>
      <c r="E2419" s="29" t="s">
        <v>400</v>
      </c>
      <c r="F2419" s="29" t="str">
        <f>LOOKUP(A2419,'QALS - Inspection Lot Record'!A:A,'QALS - Inspection Lot Record'!G:G)</f>
        <v>AB406550</v>
      </c>
      <c r="G2419" s="59">
        <f ca="1">LOOKUP(A2419,'QALS - Inspection Lot Record'!A:A,'QALS - Inspection Lot Record'!E:E)</f>
        <v>46021</v>
      </c>
      <c r="H2419" s="34" t="str">
        <f t="shared" si="190"/>
        <v>R</v>
      </c>
      <c r="I2419" s="29" t="str">
        <f t="shared" si="186"/>
        <v>AB406550</v>
      </c>
      <c r="J2419" s="59">
        <f t="shared" ca="1" si="187"/>
        <v>46021</v>
      </c>
      <c r="K2419" s="30">
        <f ca="1">LOOKUP(A2419,'QALS - Inspection Lot Record'!A:A,'QALS - Inspection Lot Record'!I:I)</f>
        <v>0.5568981481481482</v>
      </c>
      <c r="L2419" s="59">
        <f t="shared" ca="1" si="188"/>
        <v>46021</v>
      </c>
      <c r="M2419" s="30">
        <f t="shared" ca="1" si="189"/>
        <v>0.58785879629629634</v>
      </c>
      <c r="N2419" s="31"/>
      <c r="O2419" s="31">
        <v>4.4000000000000004</v>
      </c>
      <c r="P2419" s="29">
        <v>6</v>
      </c>
      <c r="Q2419" s="29">
        <v>9.5</v>
      </c>
    </row>
    <row r="2420" spans="1:17" x14ac:dyDescent="0.35">
      <c r="A2420" s="26">
        <v>40000002803</v>
      </c>
      <c r="B2420" s="31">
        <v>1</v>
      </c>
      <c r="C2420" s="29" t="str">
        <f>LOOKUP(A2420,'QALS - Inspection Lot Record'!$A$2:$A$361,'QALS - Inspection Lot Record'!$O$2:$O$361)</f>
        <v>Metformin Tablets (200 MG)</v>
      </c>
      <c r="D2420" s="31">
        <v>30</v>
      </c>
      <c r="E2420" s="29" t="s">
        <v>401</v>
      </c>
      <c r="F2420" s="29" t="str">
        <f>LOOKUP(A2420,'QALS - Inspection Lot Record'!A:A,'QALS - Inspection Lot Record'!G:G)</f>
        <v>AB406550</v>
      </c>
      <c r="G2420" s="59">
        <f ca="1">LOOKUP(A2420,'QALS - Inspection Lot Record'!A:A,'QALS - Inspection Lot Record'!E:E)</f>
        <v>46021</v>
      </c>
      <c r="H2420" s="34" t="str">
        <f t="shared" si="190"/>
        <v>A</v>
      </c>
      <c r="I2420" s="29" t="str">
        <f t="shared" si="186"/>
        <v>AB406550</v>
      </c>
      <c r="J2420" s="59">
        <f t="shared" ca="1" si="187"/>
        <v>46021</v>
      </c>
      <c r="K2420" s="30">
        <f ca="1">LOOKUP(A2420,'QALS - Inspection Lot Record'!A:A,'QALS - Inspection Lot Record'!I:I)</f>
        <v>0.5568981481481482</v>
      </c>
      <c r="L2420" s="59">
        <f t="shared" ca="1" si="188"/>
        <v>46021</v>
      </c>
      <c r="M2420" s="30">
        <f t="shared" ca="1" si="189"/>
        <v>0.58021990740740748</v>
      </c>
      <c r="N2420" s="11" t="s">
        <v>402</v>
      </c>
      <c r="O2420" s="31"/>
      <c r="P2420" s="29"/>
      <c r="Q2420" s="29"/>
    </row>
    <row r="2421" spans="1:17" x14ac:dyDescent="0.35">
      <c r="A2421" s="26">
        <v>40000002803</v>
      </c>
      <c r="B2421" s="31">
        <v>1</v>
      </c>
      <c r="C2421" s="29" t="str">
        <f>LOOKUP(A2421,'QALS - Inspection Lot Record'!$A$2:$A$361,'QALS - Inspection Lot Record'!$O$2:$O$361)</f>
        <v>Metformin Tablets (200 MG)</v>
      </c>
      <c r="D2421" s="31">
        <v>40</v>
      </c>
      <c r="E2421" s="29" t="s">
        <v>403</v>
      </c>
      <c r="F2421" s="29" t="str">
        <f>LOOKUP(A2421,'QALS - Inspection Lot Record'!A:A,'QALS - Inspection Lot Record'!G:G)</f>
        <v>AB406550</v>
      </c>
      <c r="G2421" s="59">
        <f ca="1">LOOKUP(A2421,'QALS - Inspection Lot Record'!A:A,'QALS - Inspection Lot Record'!E:E)</f>
        <v>46021</v>
      </c>
      <c r="H2421" s="34" t="str">
        <f t="shared" si="190"/>
        <v>A</v>
      </c>
      <c r="I2421" s="29" t="str">
        <f t="shared" si="186"/>
        <v>AB406550</v>
      </c>
      <c r="J2421" s="59">
        <f t="shared" ca="1" si="187"/>
        <v>46021</v>
      </c>
      <c r="K2421" s="30">
        <f ca="1">LOOKUP(A2421,'QALS - Inspection Lot Record'!A:A,'QALS - Inspection Lot Record'!I:I)</f>
        <v>0.5568981481481482</v>
      </c>
      <c r="L2421" s="59">
        <f t="shared" ca="1" si="188"/>
        <v>46021</v>
      </c>
      <c r="M2421" s="30">
        <f t="shared" ca="1" si="189"/>
        <v>0.5854166666666667</v>
      </c>
      <c r="N2421" s="31"/>
      <c r="O2421" s="31">
        <v>1.6</v>
      </c>
      <c r="P2421" s="29">
        <v>0</v>
      </c>
      <c r="Q2421" s="29">
        <v>2</v>
      </c>
    </row>
    <row r="2422" spans="1:17" x14ac:dyDescent="0.35">
      <c r="A2422" s="26">
        <v>40000002803</v>
      </c>
      <c r="B2422" s="31">
        <v>1</v>
      </c>
      <c r="C2422" s="29" t="str">
        <f>LOOKUP(A2422,'QALS - Inspection Lot Record'!$A$2:$A$361,'QALS - Inspection Lot Record'!$O$2:$O$361)</f>
        <v>Metformin Tablets (200 MG)</v>
      </c>
      <c r="D2422" s="31">
        <v>50</v>
      </c>
      <c r="E2422" s="29" t="s">
        <v>404</v>
      </c>
      <c r="F2422" s="29" t="str">
        <f>LOOKUP(A2422,'QALS - Inspection Lot Record'!A:A,'QALS - Inspection Lot Record'!G:G)</f>
        <v>AB406550</v>
      </c>
      <c r="G2422" s="59">
        <f ca="1">LOOKUP(A2422,'QALS - Inspection Lot Record'!A:A,'QALS - Inspection Lot Record'!E:E)</f>
        <v>46021</v>
      </c>
      <c r="H2422" s="34" t="str">
        <f t="shared" si="190"/>
        <v>A</v>
      </c>
      <c r="I2422" s="29" t="str">
        <f t="shared" si="186"/>
        <v>AB406550</v>
      </c>
      <c r="J2422" s="59">
        <f t="shared" ca="1" si="187"/>
        <v>46021</v>
      </c>
      <c r="K2422" s="30">
        <f ca="1">LOOKUP(A2422,'QALS - Inspection Lot Record'!A:A,'QALS - Inspection Lot Record'!I:I)</f>
        <v>0.5568981481481482</v>
      </c>
      <c r="L2422" s="59">
        <f t="shared" ca="1" si="188"/>
        <v>46021</v>
      </c>
      <c r="M2422" s="30">
        <f t="shared" ca="1" si="189"/>
        <v>0.58180555555555558</v>
      </c>
      <c r="N2422" s="31"/>
      <c r="O2422" s="31">
        <v>42</v>
      </c>
      <c r="P2422" s="29">
        <v>40</v>
      </c>
      <c r="Q2422" s="29">
        <v>60</v>
      </c>
    </row>
    <row r="2423" spans="1:17" x14ac:dyDescent="0.35">
      <c r="A2423" s="26">
        <v>40000002803</v>
      </c>
      <c r="B2423" s="31">
        <v>1</v>
      </c>
      <c r="C2423" s="29" t="str">
        <f>LOOKUP(A2423,'QALS - Inspection Lot Record'!$A$2:$A$361,'QALS - Inspection Lot Record'!$O$2:$O$361)</f>
        <v>Metformin Tablets (200 MG)</v>
      </c>
      <c r="D2423" s="31">
        <v>60</v>
      </c>
      <c r="E2423" s="29" t="s">
        <v>405</v>
      </c>
      <c r="F2423" s="29" t="str">
        <f>LOOKUP(A2423,'QALS - Inspection Lot Record'!A:A,'QALS - Inspection Lot Record'!G:G)</f>
        <v>AB406550</v>
      </c>
      <c r="G2423" s="59">
        <f ca="1">LOOKUP(A2423,'QALS - Inspection Lot Record'!A:A,'QALS - Inspection Lot Record'!E:E)</f>
        <v>46021</v>
      </c>
      <c r="H2423" s="34" t="str">
        <f t="shared" si="190"/>
        <v>R</v>
      </c>
      <c r="I2423" s="29" t="str">
        <f t="shared" si="186"/>
        <v>AB406550</v>
      </c>
      <c r="J2423" s="59">
        <f t="shared" ca="1" si="187"/>
        <v>46021</v>
      </c>
      <c r="K2423" s="30">
        <f ca="1">LOOKUP(A2423,'QALS - Inspection Lot Record'!A:A,'QALS - Inspection Lot Record'!I:I)</f>
        <v>0.5568981481481482</v>
      </c>
      <c r="L2423" s="59">
        <f t="shared" ca="1" si="188"/>
        <v>46021</v>
      </c>
      <c r="M2423" s="30">
        <f t="shared" ca="1" si="189"/>
        <v>0.57745370370370375</v>
      </c>
      <c r="N2423" s="31"/>
      <c r="O2423" s="31">
        <v>69</v>
      </c>
      <c r="P2423" s="29">
        <v>70</v>
      </c>
      <c r="Q2423" s="29">
        <v>85</v>
      </c>
    </row>
    <row r="2424" spans="1:17" x14ac:dyDescent="0.35">
      <c r="A2424" s="26">
        <v>40000002803</v>
      </c>
      <c r="B2424" s="31">
        <v>1</v>
      </c>
      <c r="C2424" s="29" t="str">
        <f>LOOKUP(A2424,'QALS - Inspection Lot Record'!$A$2:$A$361,'QALS - Inspection Lot Record'!$O$2:$O$361)</f>
        <v>Metformin Tablets (200 MG)</v>
      </c>
      <c r="D2424" s="31">
        <v>70</v>
      </c>
      <c r="E2424" s="29" t="s">
        <v>406</v>
      </c>
      <c r="F2424" s="29" t="str">
        <f>LOOKUP(A2424,'QALS - Inspection Lot Record'!A:A,'QALS - Inspection Lot Record'!G:G)</f>
        <v>AB406550</v>
      </c>
      <c r="G2424" s="59">
        <f ca="1">LOOKUP(A2424,'QALS - Inspection Lot Record'!A:A,'QALS - Inspection Lot Record'!E:E)</f>
        <v>46021</v>
      </c>
      <c r="H2424" s="34" t="str">
        <f t="shared" si="190"/>
        <v>R</v>
      </c>
      <c r="I2424" s="29" t="str">
        <f t="shared" si="186"/>
        <v>AB406550</v>
      </c>
      <c r="J2424" s="59">
        <f t="shared" ca="1" si="187"/>
        <v>46021</v>
      </c>
      <c r="K2424" s="30">
        <f ca="1">LOOKUP(A2424,'QALS - Inspection Lot Record'!A:A,'QALS - Inspection Lot Record'!I:I)</f>
        <v>0.5568981481481482</v>
      </c>
      <c r="L2424" s="59">
        <f t="shared" ca="1" si="188"/>
        <v>46021</v>
      </c>
      <c r="M2424" s="30">
        <f t="shared" ca="1" si="189"/>
        <v>0.58168981481481485</v>
      </c>
      <c r="N2424" s="31"/>
      <c r="O2424" s="31">
        <v>78.7</v>
      </c>
      <c r="P2424" s="29">
        <v>80</v>
      </c>
      <c r="Q2424" s="29">
        <v>90</v>
      </c>
    </row>
    <row r="2425" spans="1:17" x14ac:dyDescent="0.35">
      <c r="A2425" s="26">
        <v>40000002803</v>
      </c>
      <c r="B2425" s="31">
        <v>1</v>
      </c>
      <c r="C2425" s="29" t="str">
        <f>LOOKUP(A2425,'QALS - Inspection Lot Record'!$A$2:$A$361,'QALS - Inspection Lot Record'!$O$2:$O$361)</f>
        <v>Metformin Tablets (200 MG)</v>
      </c>
      <c r="D2425" s="31">
        <v>80</v>
      </c>
      <c r="E2425" s="29" t="s">
        <v>407</v>
      </c>
      <c r="F2425" s="29" t="str">
        <f>LOOKUP(A2425,'QALS - Inspection Lot Record'!A:A,'QALS - Inspection Lot Record'!G:G)</f>
        <v>AB406550</v>
      </c>
      <c r="G2425" s="59">
        <f ca="1">LOOKUP(A2425,'QALS - Inspection Lot Record'!A:A,'QALS - Inspection Lot Record'!E:E)</f>
        <v>46021</v>
      </c>
      <c r="H2425" s="34" t="str">
        <f t="shared" si="190"/>
        <v>A</v>
      </c>
      <c r="I2425" s="29" t="str">
        <f t="shared" si="186"/>
        <v>AB406550</v>
      </c>
      <c r="J2425" s="59">
        <f t="shared" ca="1" si="187"/>
        <v>46021</v>
      </c>
      <c r="K2425" s="30">
        <f ca="1">LOOKUP(A2425,'QALS - Inspection Lot Record'!A:A,'QALS - Inspection Lot Record'!I:I)</f>
        <v>0.5568981481481482</v>
      </c>
      <c r="L2425" s="59">
        <f t="shared" ca="1" si="188"/>
        <v>46021</v>
      </c>
      <c r="M2425" s="30">
        <f t="shared" ca="1" si="189"/>
        <v>0.58114583333333336</v>
      </c>
      <c r="N2425" s="31"/>
      <c r="O2425" s="31">
        <v>23.9</v>
      </c>
      <c r="P2425" s="29">
        <v>23</v>
      </c>
      <c r="Q2425" s="29">
        <v>28</v>
      </c>
    </row>
    <row r="2426" spans="1:17" x14ac:dyDescent="0.35">
      <c r="A2426" s="26">
        <v>40000002804</v>
      </c>
      <c r="B2426" s="27">
        <v>1</v>
      </c>
      <c r="C2426" s="29" t="str">
        <f>LOOKUP(A2426,'QALS - Inspection Lot Record'!$A$2:$A$361,'QALS - Inspection Lot Record'!$O$2:$O$361)</f>
        <v>Aspirin Tablets (500 MG)</v>
      </c>
      <c r="D2426" s="27">
        <v>10</v>
      </c>
      <c r="E2426" s="26" t="s">
        <v>399</v>
      </c>
      <c r="F2426" s="29" t="str">
        <f>LOOKUP(A2426,'QALS - Inspection Lot Record'!A:A,'QALS - Inspection Lot Record'!G:G)</f>
        <v>YA284176</v>
      </c>
      <c r="G2426" s="59">
        <f ca="1">LOOKUP(A2426,'QALS - Inspection Lot Record'!A:A,'QALS - Inspection Lot Record'!E:E)</f>
        <v>46021</v>
      </c>
      <c r="H2426" s="34" t="str">
        <f t="shared" si="190"/>
        <v>R</v>
      </c>
      <c r="I2426" s="29" t="str">
        <f t="shared" si="186"/>
        <v>YA284176</v>
      </c>
      <c r="J2426" s="59">
        <f t="shared" ca="1" si="187"/>
        <v>46021</v>
      </c>
      <c r="K2426" s="30">
        <f ca="1">LOOKUP(A2426,'QALS - Inspection Lot Record'!A:A,'QALS - Inspection Lot Record'!I:I)</f>
        <v>9.9826388888888895E-2</v>
      </c>
      <c r="L2426" s="59">
        <f t="shared" ca="1" si="188"/>
        <v>46021</v>
      </c>
      <c r="M2426" s="30">
        <f t="shared" ca="1" si="189"/>
        <v>0.1184837962962963</v>
      </c>
      <c r="N2426" s="31"/>
      <c r="O2426" s="31">
        <v>94</v>
      </c>
      <c r="P2426" s="29">
        <v>95</v>
      </c>
      <c r="Q2426" s="29">
        <v>105</v>
      </c>
    </row>
    <row r="2427" spans="1:17" x14ac:dyDescent="0.35">
      <c r="A2427" s="26">
        <v>40000002804</v>
      </c>
      <c r="B2427" s="27">
        <v>1</v>
      </c>
      <c r="C2427" s="29" t="str">
        <f>LOOKUP(A2427,'QALS - Inspection Lot Record'!$A$2:$A$361,'QALS - Inspection Lot Record'!$O$2:$O$361)</f>
        <v>Aspirin Tablets (500 MG)</v>
      </c>
      <c r="D2427" s="31">
        <v>20</v>
      </c>
      <c r="E2427" s="29" t="s">
        <v>400</v>
      </c>
      <c r="F2427" s="29" t="str">
        <f>LOOKUP(A2427,'QALS - Inspection Lot Record'!A:A,'QALS - Inspection Lot Record'!G:G)</f>
        <v>YA284176</v>
      </c>
      <c r="G2427" s="59">
        <f ca="1">LOOKUP(A2427,'QALS - Inspection Lot Record'!A:A,'QALS - Inspection Lot Record'!E:E)</f>
        <v>46021</v>
      </c>
      <c r="H2427" s="34" t="str">
        <f t="shared" si="190"/>
        <v>A</v>
      </c>
      <c r="I2427" s="29" t="str">
        <f t="shared" si="186"/>
        <v>YA284176</v>
      </c>
      <c r="J2427" s="59">
        <f t="shared" ca="1" si="187"/>
        <v>46021</v>
      </c>
      <c r="K2427" s="30">
        <f ca="1">LOOKUP(A2427,'QALS - Inspection Lot Record'!A:A,'QALS - Inspection Lot Record'!I:I)</f>
        <v>9.9826388888888895E-2</v>
      </c>
      <c r="L2427" s="59">
        <f t="shared" ca="1" si="188"/>
        <v>46021</v>
      </c>
      <c r="M2427" s="30">
        <f t="shared" ca="1" si="189"/>
        <v>0.12820601851851854</v>
      </c>
      <c r="N2427" s="31"/>
      <c r="O2427" s="31">
        <v>3.8</v>
      </c>
      <c r="P2427" s="29">
        <v>3.5</v>
      </c>
      <c r="Q2427" s="29">
        <v>11</v>
      </c>
    </row>
    <row r="2428" spans="1:17" x14ac:dyDescent="0.35">
      <c r="A2428" s="26">
        <v>40000002804</v>
      </c>
      <c r="B2428" s="31">
        <v>1</v>
      </c>
      <c r="C2428" s="29" t="str">
        <f>LOOKUP(A2428,'QALS - Inspection Lot Record'!$A$2:$A$361,'QALS - Inspection Lot Record'!$O$2:$O$361)</f>
        <v>Aspirin Tablets (500 MG)</v>
      </c>
      <c r="D2428" s="31">
        <v>30</v>
      </c>
      <c r="E2428" s="29" t="s">
        <v>401</v>
      </c>
      <c r="F2428" s="29" t="str">
        <f>LOOKUP(A2428,'QALS - Inspection Lot Record'!A:A,'QALS - Inspection Lot Record'!G:G)</f>
        <v>YA284176</v>
      </c>
      <c r="G2428" s="59">
        <f ca="1">LOOKUP(A2428,'QALS - Inspection Lot Record'!A:A,'QALS - Inspection Lot Record'!E:E)</f>
        <v>46021</v>
      </c>
      <c r="H2428" s="34" t="str">
        <f t="shared" si="190"/>
        <v>A</v>
      </c>
      <c r="I2428" s="29" t="str">
        <f t="shared" si="186"/>
        <v>YA284176</v>
      </c>
      <c r="J2428" s="59">
        <f t="shared" ca="1" si="187"/>
        <v>46021</v>
      </c>
      <c r="K2428" s="30">
        <f ca="1">LOOKUP(A2428,'QALS - Inspection Lot Record'!A:A,'QALS - Inspection Lot Record'!I:I)</f>
        <v>9.9826388888888895E-2</v>
      </c>
      <c r="L2428" s="59">
        <f t="shared" ca="1" si="188"/>
        <v>46021</v>
      </c>
      <c r="M2428" s="30">
        <f t="shared" ca="1" si="189"/>
        <v>0.1181712962962963</v>
      </c>
      <c r="N2428" s="11" t="s">
        <v>402</v>
      </c>
      <c r="O2428" s="31"/>
      <c r="P2428" s="29"/>
      <c r="Q2428" s="29"/>
    </row>
    <row r="2429" spans="1:17" x14ac:dyDescent="0.35">
      <c r="A2429" s="26">
        <v>40000002804</v>
      </c>
      <c r="B2429" s="31">
        <v>1</v>
      </c>
      <c r="C2429" s="29" t="str">
        <f>LOOKUP(A2429,'QALS - Inspection Lot Record'!$A$2:$A$361,'QALS - Inspection Lot Record'!$O$2:$O$361)</f>
        <v>Aspirin Tablets (500 MG)</v>
      </c>
      <c r="D2429" s="31">
        <v>40</v>
      </c>
      <c r="E2429" s="29" t="s">
        <v>403</v>
      </c>
      <c r="F2429" s="29" t="str">
        <f>LOOKUP(A2429,'QALS - Inspection Lot Record'!A:A,'QALS - Inspection Lot Record'!G:G)</f>
        <v>YA284176</v>
      </c>
      <c r="G2429" s="59">
        <f ca="1">LOOKUP(A2429,'QALS - Inspection Lot Record'!A:A,'QALS - Inspection Lot Record'!E:E)</f>
        <v>46021</v>
      </c>
      <c r="H2429" s="34" t="str">
        <f t="shared" si="190"/>
        <v>A</v>
      </c>
      <c r="I2429" s="29" t="str">
        <f t="shared" si="186"/>
        <v>YA284176</v>
      </c>
      <c r="J2429" s="59">
        <f t="shared" ca="1" si="187"/>
        <v>46021</v>
      </c>
      <c r="K2429" s="30">
        <f ca="1">LOOKUP(A2429,'QALS - Inspection Lot Record'!A:A,'QALS - Inspection Lot Record'!I:I)</f>
        <v>9.9826388888888895E-2</v>
      </c>
      <c r="L2429" s="59">
        <f t="shared" ca="1" si="188"/>
        <v>46021</v>
      </c>
      <c r="M2429" s="30">
        <f t="shared" ca="1" si="189"/>
        <v>0.12973379629629631</v>
      </c>
      <c r="N2429" s="31"/>
      <c r="O2429" s="31">
        <v>1.8</v>
      </c>
      <c r="P2429" s="29">
        <v>0</v>
      </c>
      <c r="Q2429" s="29">
        <v>2.5</v>
      </c>
    </row>
    <row r="2430" spans="1:17" x14ac:dyDescent="0.35">
      <c r="A2430" s="26">
        <v>40000002804</v>
      </c>
      <c r="B2430" s="31">
        <v>1</v>
      </c>
      <c r="C2430" s="29" t="str">
        <f>LOOKUP(A2430,'QALS - Inspection Lot Record'!$A$2:$A$361,'QALS - Inspection Lot Record'!$O$2:$O$361)</f>
        <v>Aspirin Tablets (500 MG)</v>
      </c>
      <c r="D2430" s="31">
        <v>50</v>
      </c>
      <c r="E2430" s="29" t="s">
        <v>404</v>
      </c>
      <c r="F2430" s="29" t="str">
        <f>LOOKUP(A2430,'QALS - Inspection Lot Record'!A:A,'QALS - Inspection Lot Record'!G:G)</f>
        <v>YA284176</v>
      </c>
      <c r="G2430" s="59">
        <f ca="1">LOOKUP(A2430,'QALS - Inspection Lot Record'!A:A,'QALS - Inspection Lot Record'!E:E)</f>
        <v>46021</v>
      </c>
      <c r="H2430" s="34" t="str">
        <f t="shared" si="190"/>
        <v>R</v>
      </c>
      <c r="I2430" s="29" t="str">
        <f t="shared" si="186"/>
        <v>YA284176</v>
      </c>
      <c r="J2430" s="59">
        <f t="shared" ca="1" si="187"/>
        <v>46021</v>
      </c>
      <c r="K2430" s="30">
        <f ca="1">LOOKUP(A2430,'QALS - Inspection Lot Record'!A:A,'QALS - Inspection Lot Record'!I:I)</f>
        <v>9.9826388888888895E-2</v>
      </c>
      <c r="L2430" s="59">
        <f t="shared" ca="1" si="188"/>
        <v>46021</v>
      </c>
      <c r="M2430" s="30">
        <f t="shared" ca="1" si="189"/>
        <v>0.11913194444444444</v>
      </c>
      <c r="N2430" s="31"/>
      <c r="O2430" s="31">
        <v>38</v>
      </c>
      <c r="P2430" s="29">
        <v>40</v>
      </c>
      <c r="Q2430" s="29">
        <v>60</v>
      </c>
    </row>
    <row r="2431" spans="1:17" x14ac:dyDescent="0.35">
      <c r="A2431" s="26">
        <v>40000002804</v>
      </c>
      <c r="B2431" s="31">
        <v>1</v>
      </c>
      <c r="C2431" s="29" t="str">
        <f>LOOKUP(A2431,'QALS - Inspection Lot Record'!$A$2:$A$361,'QALS - Inspection Lot Record'!$O$2:$O$361)</f>
        <v>Aspirin Tablets (500 MG)</v>
      </c>
      <c r="D2431" s="31">
        <v>60</v>
      </c>
      <c r="E2431" s="29" t="s">
        <v>405</v>
      </c>
      <c r="F2431" s="29" t="str">
        <f>LOOKUP(A2431,'QALS - Inspection Lot Record'!A:A,'QALS - Inspection Lot Record'!G:G)</f>
        <v>YA284176</v>
      </c>
      <c r="G2431" s="59">
        <f ca="1">LOOKUP(A2431,'QALS - Inspection Lot Record'!A:A,'QALS - Inspection Lot Record'!E:E)</f>
        <v>46021</v>
      </c>
      <c r="H2431" s="34" t="str">
        <f t="shared" si="190"/>
        <v>R</v>
      </c>
      <c r="I2431" s="29" t="str">
        <f t="shared" si="186"/>
        <v>YA284176</v>
      </c>
      <c r="J2431" s="59">
        <f t="shared" ca="1" si="187"/>
        <v>46021</v>
      </c>
      <c r="K2431" s="30">
        <f ca="1">LOOKUP(A2431,'QALS - Inspection Lot Record'!A:A,'QALS - Inspection Lot Record'!I:I)</f>
        <v>9.9826388888888895E-2</v>
      </c>
      <c r="L2431" s="59">
        <f t="shared" ca="1" si="188"/>
        <v>46021</v>
      </c>
      <c r="M2431" s="30">
        <f t="shared" ca="1" si="189"/>
        <v>0.1182175925925926</v>
      </c>
      <c r="N2431" s="31"/>
      <c r="O2431" s="31">
        <v>68.7</v>
      </c>
      <c r="P2431" s="29">
        <v>70</v>
      </c>
      <c r="Q2431" s="29">
        <v>85</v>
      </c>
    </row>
    <row r="2432" spans="1:17" x14ac:dyDescent="0.35">
      <c r="A2432" s="26">
        <v>40000002804</v>
      </c>
      <c r="B2432" s="31">
        <v>1</v>
      </c>
      <c r="C2432" s="29" t="str">
        <f>LOOKUP(A2432,'QALS - Inspection Lot Record'!$A$2:$A$361,'QALS - Inspection Lot Record'!$O$2:$O$361)</f>
        <v>Aspirin Tablets (500 MG)</v>
      </c>
      <c r="D2432" s="31">
        <v>70</v>
      </c>
      <c r="E2432" s="29" t="s">
        <v>406</v>
      </c>
      <c r="F2432" s="29" t="str">
        <f>LOOKUP(A2432,'QALS - Inspection Lot Record'!A:A,'QALS - Inspection Lot Record'!G:G)</f>
        <v>YA284176</v>
      </c>
      <c r="G2432" s="59">
        <f ca="1">LOOKUP(A2432,'QALS - Inspection Lot Record'!A:A,'QALS - Inspection Lot Record'!E:E)</f>
        <v>46021</v>
      </c>
      <c r="H2432" s="34" t="str">
        <f t="shared" si="190"/>
        <v>R</v>
      </c>
      <c r="I2432" s="29" t="str">
        <f t="shared" si="186"/>
        <v>YA284176</v>
      </c>
      <c r="J2432" s="59">
        <f t="shared" ca="1" si="187"/>
        <v>46021</v>
      </c>
      <c r="K2432" s="30">
        <f ca="1">LOOKUP(A2432,'QALS - Inspection Lot Record'!A:A,'QALS - Inspection Lot Record'!I:I)</f>
        <v>9.9826388888888895E-2</v>
      </c>
      <c r="L2432" s="59">
        <f t="shared" ca="1" si="188"/>
        <v>46021</v>
      </c>
      <c r="M2432" s="30">
        <f t="shared" ca="1" si="189"/>
        <v>0.12918981481481481</v>
      </c>
      <c r="N2432" s="31"/>
      <c r="O2432" s="31">
        <v>78.900000000000006</v>
      </c>
      <c r="P2432" s="29">
        <v>80</v>
      </c>
      <c r="Q2432" s="29">
        <v>90</v>
      </c>
    </row>
    <row r="2433" spans="1:17" x14ac:dyDescent="0.35">
      <c r="A2433" s="26">
        <v>40000002804</v>
      </c>
      <c r="B2433" s="31">
        <v>1</v>
      </c>
      <c r="C2433" s="29" t="str">
        <f>LOOKUP(A2433,'QALS - Inspection Lot Record'!$A$2:$A$361,'QALS - Inspection Lot Record'!$O$2:$O$361)</f>
        <v>Aspirin Tablets (500 MG)</v>
      </c>
      <c r="D2433" s="31">
        <v>80</v>
      </c>
      <c r="E2433" s="29" t="s">
        <v>407</v>
      </c>
      <c r="F2433" s="29" t="str">
        <f>LOOKUP(A2433,'QALS - Inspection Lot Record'!A:A,'QALS - Inspection Lot Record'!G:G)</f>
        <v>YA284176</v>
      </c>
      <c r="G2433" s="59">
        <f ca="1">LOOKUP(A2433,'QALS - Inspection Lot Record'!A:A,'QALS - Inspection Lot Record'!E:E)</f>
        <v>46021</v>
      </c>
      <c r="H2433" s="34" t="str">
        <f t="shared" si="190"/>
        <v>A</v>
      </c>
      <c r="I2433" s="29" t="str">
        <f t="shared" si="186"/>
        <v>YA284176</v>
      </c>
      <c r="J2433" s="59">
        <f t="shared" ca="1" si="187"/>
        <v>46021</v>
      </c>
      <c r="K2433" s="30">
        <f ca="1">LOOKUP(A2433,'QALS - Inspection Lot Record'!A:A,'QALS - Inspection Lot Record'!I:I)</f>
        <v>9.9826388888888895E-2</v>
      </c>
      <c r="L2433" s="59">
        <f t="shared" ca="1" si="188"/>
        <v>46021</v>
      </c>
      <c r="M2433" s="30">
        <f t="shared" ca="1" si="189"/>
        <v>0.11965277777777779</v>
      </c>
      <c r="N2433" s="31"/>
      <c r="O2433" s="31">
        <v>24</v>
      </c>
      <c r="P2433" s="29">
        <v>23</v>
      </c>
      <c r="Q2433" s="29">
        <v>28</v>
      </c>
    </row>
    <row r="2434" spans="1:17" x14ac:dyDescent="0.35">
      <c r="A2434" s="26">
        <v>40000002805</v>
      </c>
      <c r="B2434" s="27">
        <v>1</v>
      </c>
      <c r="C2434" s="29" t="str">
        <f>LOOKUP(A2434,'QALS - Inspection Lot Record'!$A$2:$A$361,'QALS - Inspection Lot Record'!$O$2:$O$361)</f>
        <v>Metformin Tablets (100 MG)</v>
      </c>
      <c r="D2434" s="27">
        <v>10</v>
      </c>
      <c r="E2434" s="26" t="s">
        <v>399</v>
      </c>
      <c r="F2434" s="29" t="str">
        <f>LOOKUP(A2434,'QALS - Inspection Lot Record'!A:A,'QALS - Inspection Lot Record'!G:G)</f>
        <v>AB406550</v>
      </c>
      <c r="G2434" s="59">
        <f ca="1">LOOKUP(A2434,'QALS - Inspection Lot Record'!A:A,'QALS - Inspection Lot Record'!E:E)</f>
        <v>46022</v>
      </c>
      <c r="H2434" s="34" t="str">
        <f t="shared" si="190"/>
        <v>R</v>
      </c>
      <c r="I2434" s="29" t="str">
        <f t="shared" ref="I2434:I2497" si="191">F2434</f>
        <v>AB406550</v>
      </c>
      <c r="J2434" s="59">
        <f t="shared" ref="J2434:J2497" ca="1" si="192">G2434</f>
        <v>46022</v>
      </c>
      <c r="K2434" s="30">
        <f ca="1">LOOKUP(A2434,'QALS - Inspection Lot Record'!A:A,'QALS - Inspection Lot Record'!I:I)</f>
        <v>0.82481481481481478</v>
      </c>
      <c r="L2434" s="59">
        <f t="shared" ref="L2434:L2497" ca="1" si="193">G2434</f>
        <v>46022</v>
      </c>
      <c r="M2434" s="30">
        <f t="shared" ref="M2434:M2497" ca="1" si="194">K2434+TIME(0,RANDBETWEEN(25,50),RANDBETWEEN(0,59))</f>
        <v>0.85715277777777776</v>
      </c>
      <c r="N2434" s="31"/>
      <c r="O2434" s="31">
        <v>93.8</v>
      </c>
      <c r="P2434" s="29">
        <v>95</v>
      </c>
      <c r="Q2434" s="29">
        <v>102</v>
      </c>
    </row>
    <row r="2435" spans="1:17" x14ac:dyDescent="0.35">
      <c r="A2435" s="26">
        <v>40000002805</v>
      </c>
      <c r="B2435" s="27">
        <v>1</v>
      </c>
      <c r="C2435" s="29" t="str">
        <f>LOOKUP(A2435,'QALS - Inspection Lot Record'!$A$2:$A$361,'QALS - Inspection Lot Record'!$O$2:$O$361)</f>
        <v>Metformin Tablets (100 MG)</v>
      </c>
      <c r="D2435" s="31">
        <v>20</v>
      </c>
      <c r="E2435" s="29" t="s">
        <v>400</v>
      </c>
      <c r="F2435" s="29" t="str">
        <f>LOOKUP(A2435,'QALS - Inspection Lot Record'!A:A,'QALS - Inspection Lot Record'!G:G)</f>
        <v>AB406550</v>
      </c>
      <c r="G2435" s="59">
        <f ca="1">LOOKUP(A2435,'QALS - Inspection Lot Record'!A:A,'QALS - Inspection Lot Record'!E:E)</f>
        <v>46022</v>
      </c>
      <c r="H2435" s="34" t="str">
        <f t="shared" si="190"/>
        <v>A</v>
      </c>
      <c r="I2435" s="29" t="str">
        <f t="shared" si="191"/>
        <v>AB406550</v>
      </c>
      <c r="J2435" s="59">
        <f t="shared" ca="1" si="192"/>
        <v>46022</v>
      </c>
      <c r="K2435" s="30">
        <f ca="1">LOOKUP(A2435,'QALS - Inspection Lot Record'!A:A,'QALS - Inspection Lot Record'!I:I)</f>
        <v>0.82481481481481478</v>
      </c>
      <c r="L2435" s="59">
        <f t="shared" ca="1" si="193"/>
        <v>46022</v>
      </c>
      <c r="M2435" s="30">
        <f t="shared" ca="1" si="194"/>
        <v>0.84903935185185186</v>
      </c>
      <c r="N2435" s="31"/>
      <c r="O2435" s="31">
        <v>7.25</v>
      </c>
      <c r="P2435" s="29">
        <v>3.5</v>
      </c>
      <c r="Q2435" s="29">
        <v>11</v>
      </c>
    </row>
    <row r="2436" spans="1:17" x14ac:dyDescent="0.35">
      <c r="A2436" s="26">
        <v>40000002805</v>
      </c>
      <c r="B2436" s="31">
        <v>1</v>
      </c>
      <c r="C2436" s="29" t="str">
        <f>LOOKUP(A2436,'QALS - Inspection Lot Record'!$A$2:$A$361,'QALS - Inspection Lot Record'!$O$2:$O$361)</f>
        <v>Metformin Tablets (100 MG)</v>
      </c>
      <c r="D2436" s="31">
        <v>30</v>
      </c>
      <c r="E2436" s="29" t="s">
        <v>401</v>
      </c>
      <c r="F2436" s="29" t="str">
        <f>LOOKUP(A2436,'QALS - Inspection Lot Record'!A:A,'QALS - Inspection Lot Record'!G:G)</f>
        <v>AB406550</v>
      </c>
      <c r="G2436" s="59">
        <f ca="1">LOOKUP(A2436,'QALS - Inspection Lot Record'!A:A,'QALS - Inspection Lot Record'!E:E)</f>
        <v>46022</v>
      </c>
      <c r="H2436" s="34" t="str">
        <f t="shared" si="190"/>
        <v>A</v>
      </c>
      <c r="I2436" s="29" t="str">
        <f t="shared" si="191"/>
        <v>AB406550</v>
      </c>
      <c r="J2436" s="59">
        <f t="shared" ca="1" si="192"/>
        <v>46022</v>
      </c>
      <c r="K2436" s="30">
        <f ca="1">LOOKUP(A2436,'QALS - Inspection Lot Record'!A:A,'QALS - Inspection Lot Record'!I:I)</f>
        <v>0.82481481481481478</v>
      </c>
      <c r="L2436" s="59">
        <f t="shared" ca="1" si="193"/>
        <v>46022</v>
      </c>
      <c r="M2436" s="30">
        <f t="shared" ca="1" si="194"/>
        <v>0.84666666666666668</v>
      </c>
      <c r="N2436" s="11" t="s">
        <v>402</v>
      </c>
      <c r="O2436" s="31"/>
      <c r="P2436" s="29"/>
      <c r="Q2436" s="29"/>
    </row>
    <row r="2437" spans="1:17" x14ac:dyDescent="0.35">
      <c r="A2437" s="26">
        <v>40000002805</v>
      </c>
      <c r="B2437" s="31">
        <v>1</v>
      </c>
      <c r="C2437" s="29" t="str">
        <f>LOOKUP(A2437,'QALS - Inspection Lot Record'!$A$2:$A$361,'QALS - Inspection Lot Record'!$O$2:$O$361)</f>
        <v>Metformin Tablets (100 MG)</v>
      </c>
      <c r="D2437" s="31">
        <v>40</v>
      </c>
      <c r="E2437" s="29" t="s">
        <v>403</v>
      </c>
      <c r="F2437" s="29" t="str">
        <f>LOOKUP(A2437,'QALS - Inspection Lot Record'!A:A,'QALS - Inspection Lot Record'!G:G)</f>
        <v>AB406550</v>
      </c>
      <c r="G2437" s="59">
        <f ca="1">LOOKUP(A2437,'QALS - Inspection Lot Record'!A:A,'QALS - Inspection Lot Record'!E:E)</f>
        <v>46022</v>
      </c>
      <c r="H2437" s="34" t="str">
        <f t="shared" si="190"/>
        <v>A</v>
      </c>
      <c r="I2437" s="29" t="str">
        <f t="shared" si="191"/>
        <v>AB406550</v>
      </c>
      <c r="J2437" s="59">
        <f t="shared" ca="1" si="192"/>
        <v>46022</v>
      </c>
      <c r="K2437" s="30">
        <f ca="1">LOOKUP(A2437,'QALS - Inspection Lot Record'!A:A,'QALS - Inspection Lot Record'!I:I)</f>
        <v>0.82481481481481478</v>
      </c>
      <c r="L2437" s="59">
        <f t="shared" ca="1" si="193"/>
        <v>46022</v>
      </c>
      <c r="M2437" s="30">
        <f t="shared" ca="1" si="194"/>
        <v>0.8538310185185185</v>
      </c>
      <c r="N2437" s="31"/>
      <c r="O2437" s="31">
        <v>0</v>
      </c>
      <c r="P2437" s="29">
        <v>0</v>
      </c>
      <c r="Q2437" s="29">
        <v>1</v>
      </c>
    </row>
    <row r="2438" spans="1:17" x14ac:dyDescent="0.35">
      <c r="A2438" s="26">
        <v>40000002805</v>
      </c>
      <c r="B2438" s="31">
        <v>1</v>
      </c>
      <c r="C2438" s="29" t="str">
        <f>LOOKUP(A2438,'QALS - Inspection Lot Record'!$A$2:$A$361,'QALS - Inspection Lot Record'!$O$2:$O$361)</f>
        <v>Metformin Tablets (100 MG)</v>
      </c>
      <c r="D2438" s="31">
        <v>50</v>
      </c>
      <c r="E2438" s="29" t="s">
        <v>404</v>
      </c>
      <c r="F2438" s="29" t="str">
        <f>LOOKUP(A2438,'QALS - Inspection Lot Record'!A:A,'QALS - Inspection Lot Record'!G:G)</f>
        <v>AB406550</v>
      </c>
      <c r="G2438" s="59">
        <f ca="1">LOOKUP(A2438,'QALS - Inspection Lot Record'!A:A,'QALS - Inspection Lot Record'!E:E)</f>
        <v>46022</v>
      </c>
      <c r="H2438" s="34" t="str">
        <f t="shared" si="190"/>
        <v>A</v>
      </c>
      <c r="I2438" s="29" t="str">
        <f t="shared" si="191"/>
        <v>AB406550</v>
      </c>
      <c r="J2438" s="59">
        <f t="shared" ca="1" si="192"/>
        <v>46022</v>
      </c>
      <c r="K2438" s="30">
        <f ca="1">LOOKUP(A2438,'QALS - Inspection Lot Record'!A:A,'QALS - Inspection Lot Record'!I:I)</f>
        <v>0.82481481481481478</v>
      </c>
      <c r="L2438" s="59">
        <f t="shared" ca="1" si="193"/>
        <v>46022</v>
      </c>
      <c r="M2438" s="30">
        <f t="shared" ca="1" si="194"/>
        <v>0.84527777777777779</v>
      </c>
      <c r="N2438" s="31"/>
      <c r="O2438" s="31">
        <v>50</v>
      </c>
      <c r="P2438" s="29">
        <v>40</v>
      </c>
      <c r="Q2438" s="29">
        <v>60</v>
      </c>
    </row>
    <row r="2439" spans="1:17" x14ac:dyDescent="0.35">
      <c r="A2439" s="26">
        <v>40000002805</v>
      </c>
      <c r="B2439" s="31">
        <v>1</v>
      </c>
      <c r="C2439" s="29" t="str">
        <f>LOOKUP(A2439,'QALS - Inspection Lot Record'!$A$2:$A$361,'QALS - Inspection Lot Record'!$O$2:$O$361)</f>
        <v>Metformin Tablets (100 MG)</v>
      </c>
      <c r="D2439" s="31">
        <v>60</v>
      </c>
      <c r="E2439" s="29" t="s">
        <v>405</v>
      </c>
      <c r="F2439" s="29" t="str">
        <f>LOOKUP(A2439,'QALS - Inspection Lot Record'!A:A,'QALS - Inspection Lot Record'!G:G)</f>
        <v>AB406550</v>
      </c>
      <c r="G2439" s="59">
        <f ca="1">LOOKUP(A2439,'QALS - Inspection Lot Record'!A:A,'QALS - Inspection Lot Record'!E:E)</f>
        <v>46022</v>
      </c>
      <c r="H2439" s="34" t="str">
        <f t="shared" si="190"/>
        <v>A</v>
      </c>
      <c r="I2439" s="29" t="str">
        <f t="shared" si="191"/>
        <v>AB406550</v>
      </c>
      <c r="J2439" s="59">
        <f t="shared" ca="1" si="192"/>
        <v>46022</v>
      </c>
      <c r="K2439" s="30">
        <f ca="1">LOOKUP(A2439,'QALS - Inspection Lot Record'!A:A,'QALS - Inspection Lot Record'!I:I)</f>
        <v>0.82481481481481478</v>
      </c>
      <c r="L2439" s="59">
        <f t="shared" ca="1" si="193"/>
        <v>46022</v>
      </c>
      <c r="M2439" s="30">
        <f t="shared" ca="1" si="194"/>
        <v>0.85538194444444438</v>
      </c>
      <c r="N2439" s="31"/>
      <c r="O2439" s="31">
        <v>77.5</v>
      </c>
      <c r="P2439" s="29">
        <v>70</v>
      </c>
      <c r="Q2439" s="29">
        <v>85</v>
      </c>
    </row>
    <row r="2440" spans="1:17" x14ac:dyDescent="0.35">
      <c r="A2440" s="26">
        <v>40000002805</v>
      </c>
      <c r="B2440" s="31">
        <v>1</v>
      </c>
      <c r="C2440" s="29" t="str">
        <f>LOOKUP(A2440,'QALS - Inspection Lot Record'!$A$2:$A$361,'QALS - Inspection Lot Record'!$O$2:$O$361)</f>
        <v>Metformin Tablets (100 MG)</v>
      </c>
      <c r="D2440" s="31">
        <v>70</v>
      </c>
      <c r="E2440" s="29" t="s">
        <v>406</v>
      </c>
      <c r="F2440" s="29" t="str">
        <f>LOOKUP(A2440,'QALS - Inspection Lot Record'!A:A,'QALS - Inspection Lot Record'!G:G)</f>
        <v>AB406550</v>
      </c>
      <c r="G2440" s="59">
        <f ca="1">LOOKUP(A2440,'QALS - Inspection Lot Record'!A:A,'QALS - Inspection Lot Record'!E:E)</f>
        <v>46022</v>
      </c>
      <c r="H2440" s="34" t="str">
        <f t="shared" si="190"/>
        <v>A</v>
      </c>
      <c r="I2440" s="29" t="str">
        <f t="shared" si="191"/>
        <v>AB406550</v>
      </c>
      <c r="J2440" s="59">
        <f t="shared" ca="1" si="192"/>
        <v>46022</v>
      </c>
      <c r="K2440" s="30">
        <f ca="1">LOOKUP(A2440,'QALS - Inspection Lot Record'!A:A,'QALS - Inspection Lot Record'!I:I)</f>
        <v>0.82481481481481478</v>
      </c>
      <c r="L2440" s="59">
        <f t="shared" ca="1" si="193"/>
        <v>46022</v>
      </c>
      <c r="M2440" s="30">
        <f t="shared" ca="1" si="194"/>
        <v>0.84755787037037034</v>
      </c>
      <c r="N2440" s="31"/>
      <c r="O2440" s="31">
        <v>85</v>
      </c>
      <c r="P2440" s="29">
        <v>80</v>
      </c>
      <c r="Q2440" s="29">
        <v>90</v>
      </c>
    </row>
    <row r="2441" spans="1:17" x14ac:dyDescent="0.35">
      <c r="A2441" s="26">
        <v>40000002805</v>
      </c>
      <c r="B2441" s="31">
        <v>1</v>
      </c>
      <c r="C2441" s="29" t="str">
        <f>LOOKUP(A2441,'QALS - Inspection Lot Record'!$A$2:$A$361,'QALS - Inspection Lot Record'!$O$2:$O$361)</f>
        <v>Metformin Tablets (100 MG)</v>
      </c>
      <c r="D2441" s="31">
        <v>80</v>
      </c>
      <c r="E2441" s="29" t="s">
        <v>407</v>
      </c>
      <c r="F2441" s="29" t="str">
        <f>LOOKUP(A2441,'QALS - Inspection Lot Record'!A:A,'QALS - Inspection Lot Record'!G:G)</f>
        <v>AB406550</v>
      </c>
      <c r="G2441" s="59">
        <f ca="1">LOOKUP(A2441,'QALS - Inspection Lot Record'!A:A,'QALS - Inspection Lot Record'!E:E)</f>
        <v>46022</v>
      </c>
      <c r="H2441" s="34" t="str">
        <f t="shared" si="190"/>
        <v>A</v>
      </c>
      <c r="I2441" s="29" t="str">
        <f t="shared" si="191"/>
        <v>AB406550</v>
      </c>
      <c r="J2441" s="59">
        <f t="shared" ca="1" si="192"/>
        <v>46022</v>
      </c>
      <c r="K2441" s="30">
        <f ca="1">LOOKUP(A2441,'QALS - Inspection Lot Record'!A:A,'QALS - Inspection Lot Record'!I:I)</f>
        <v>0.82481481481481478</v>
      </c>
      <c r="L2441" s="59">
        <f t="shared" ca="1" si="193"/>
        <v>46022</v>
      </c>
      <c r="M2441" s="30">
        <f t="shared" ca="1" si="194"/>
        <v>0.85782407407407402</v>
      </c>
      <c r="N2441" s="31"/>
      <c r="O2441" s="31">
        <v>24</v>
      </c>
      <c r="P2441" s="29">
        <v>23</v>
      </c>
      <c r="Q2441" s="29">
        <v>25</v>
      </c>
    </row>
    <row r="2442" spans="1:17" x14ac:dyDescent="0.35">
      <c r="A2442" s="26">
        <v>40000002806</v>
      </c>
      <c r="B2442" s="27">
        <v>1</v>
      </c>
      <c r="C2442" s="29" t="str">
        <f>LOOKUP(A2442,'QALS - Inspection Lot Record'!$A$2:$A$361,'QALS - Inspection Lot Record'!$O$2:$O$361)</f>
        <v>Metformin Tablets (200 MG)</v>
      </c>
      <c r="D2442" s="27">
        <v>10</v>
      </c>
      <c r="E2442" s="26" t="s">
        <v>399</v>
      </c>
      <c r="F2442" s="29" t="str">
        <f>LOOKUP(A2442,'QALS - Inspection Lot Record'!A:A,'QALS - Inspection Lot Record'!G:G)</f>
        <v>TG509538</v>
      </c>
      <c r="G2442" s="59">
        <f ca="1">LOOKUP(A2442,'QALS - Inspection Lot Record'!A:A,'QALS - Inspection Lot Record'!E:E)</f>
        <v>46022</v>
      </c>
      <c r="H2442" s="34" t="str">
        <f t="shared" ref="H2442:H2505" si="195">IF(AND(P2442&lt;=O2442,O2442&lt;=Q2442),"A","R")</f>
        <v>A</v>
      </c>
      <c r="I2442" s="29" t="str">
        <f t="shared" si="191"/>
        <v>TG509538</v>
      </c>
      <c r="J2442" s="59">
        <f t="shared" ca="1" si="192"/>
        <v>46022</v>
      </c>
      <c r="K2442" s="30">
        <f ca="1">LOOKUP(A2442,'QALS - Inspection Lot Record'!A:A,'QALS - Inspection Lot Record'!I:I)</f>
        <v>0.36827546296296299</v>
      </c>
      <c r="L2442" s="59">
        <f t="shared" ca="1" si="193"/>
        <v>46022</v>
      </c>
      <c r="M2442" s="30">
        <f t="shared" ca="1" si="194"/>
        <v>0.38994212962962965</v>
      </c>
      <c r="N2442" s="31"/>
      <c r="O2442" s="31">
        <v>99</v>
      </c>
      <c r="P2442" s="29">
        <v>95</v>
      </c>
      <c r="Q2442" s="29">
        <v>103</v>
      </c>
    </row>
    <row r="2443" spans="1:17" x14ac:dyDescent="0.35">
      <c r="A2443" s="26">
        <v>40000002806</v>
      </c>
      <c r="B2443" s="27">
        <v>1</v>
      </c>
      <c r="C2443" s="29" t="str">
        <f>LOOKUP(A2443,'QALS - Inspection Lot Record'!$A$2:$A$361,'QALS - Inspection Lot Record'!$O$2:$O$361)</f>
        <v>Metformin Tablets (200 MG)</v>
      </c>
      <c r="D2443" s="31">
        <v>20</v>
      </c>
      <c r="E2443" s="29" t="s">
        <v>400</v>
      </c>
      <c r="F2443" s="29" t="str">
        <f>LOOKUP(A2443,'QALS - Inspection Lot Record'!A:A,'QALS - Inspection Lot Record'!G:G)</f>
        <v>TG509538</v>
      </c>
      <c r="G2443" s="59">
        <f ca="1">LOOKUP(A2443,'QALS - Inspection Lot Record'!A:A,'QALS - Inspection Lot Record'!E:E)</f>
        <v>46022</v>
      </c>
      <c r="H2443" s="34" t="str">
        <f t="shared" si="195"/>
        <v>A</v>
      </c>
      <c r="I2443" s="29" t="str">
        <f t="shared" si="191"/>
        <v>TG509538</v>
      </c>
      <c r="J2443" s="59">
        <f t="shared" ca="1" si="192"/>
        <v>46022</v>
      </c>
      <c r="K2443" s="30">
        <f ca="1">LOOKUP(A2443,'QALS - Inspection Lot Record'!A:A,'QALS - Inspection Lot Record'!I:I)</f>
        <v>0.36827546296296299</v>
      </c>
      <c r="L2443" s="59">
        <f t="shared" ca="1" si="193"/>
        <v>46022</v>
      </c>
      <c r="M2443" s="30">
        <f t="shared" ca="1" si="194"/>
        <v>0.39761574074074074</v>
      </c>
      <c r="N2443" s="31"/>
      <c r="O2443" s="31">
        <v>7.75</v>
      </c>
      <c r="P2443" s="29">
        <v>6</v>
      </c>
      <c r="Q2443" s="29">
        <v>9.5</v>
      </c>
    </row>
    <row r="2444" spans="1:17" x14ac:dyDescent="0.35">
      <c r="A2444" s="26">
        <v>40000002806</v>
      </c>
      <c r="B2444" s="31">
        <v>1</v>
      </c>
      <c r="C2444" s="29" t="str">
        <f>LOOKUP(A2444,'QALS - Inspection Lot Record'!$A$2:$A$361,'QALS - Inspection Lot Record'!$O$2:$O$361)</f>
        <v>Metformin Tablets (200 MG)</v>
      </c>
      <c r="D2444" s="31">
        <v>30</v>
      </c>
      <c r="E2444" s="29" t="s">
        <v>401</v>
      </c>
      <c r="F2444" s="29" t="str">
        <f>LOOKUP(A2444,'QALS - Inspection Lot Record'!A:A,'QALS - Inspection Lot Record'!G:G)</f>
        <v>TG509538</v>
      </c>
      <c r="G2444" s="59">
        <f ca="1">LOOKUP(A2444,'QALS - Inspection Lot Record'!A:A,'QALS - Inspection Lot Record'!E:E)</f>
        <v>46022</v>
      </c>
      <c r="H2444" s="34" t="str">
        <f t="shared" si="195"/>
        <v>A</v>
      </c>
      <c r="I2444" s="29" t="str">
        <f t="shared" si="191"/>
        <v>TG509538</v>
      </c>
      <c r="J2444" s="59">
        <f t="shared" ca="1" si="192"/>
        <v>46022</v>
      </c>
      <c r="K2444" s="30">
        <f ca="1">LOOKUP(A2444,'QALS - Inspection Lot Record'!A:A,'QALS - Inspection Lot Record'!I:I)</f>
        <v>0.36827546296296299</v>
      </c>
      <c r="L2444" s="59">
        <f t="shared" ca="1" si="193"/>
        <v>46022</v>
      </c>
      <c r="M2444" s="30">
        <f t="shared" ca="1" si="194"/>
        <v>0.38678240740740744</v>
      </c>
      <c r="N2444" s="11" t="s">
        <v>402</v>
      </c>
      <c r="O2444" s="31"/>
      <c r="P2444" s="29"/>
      <c r="Q2444" s="29"/>
    </row>
    <row r="2445" spans="1:17" x14ac:dyDescent="0.35">
      <c r="A2445" s="26">
        <v>40000002806</v>
      </c>
      <c r="B2445" s="31">
        <v>1</v>
      </c>
      <c r="C2445" s="29" t="str">
        <f>LOOKUP(A2445,'QALS - Inspection Lot Record'!$A$2:$A$361,'QALS - Inspection Lot Record'!$O$2:$O$361)</f>
        <v>Metformin Tablets (200 MG)</v>
      </c>
      <c r="D2445" s="31">
        <v>40</v>
      </c>
      <c r="E2445" s="29" t="s">
        <v>403</v>
      </c>
      <c r="F2445" s="29" t="str">
        <f>LOOKUP(A2445,'QALS - Inspection Lot Record'!A:A,'QALS - Inspection Lot Record'!G:G)</f>
        <v>TG509538</v>
      </c>
      <c r="G2445" s="59">
        <f ca="1">LOOKUP(A2445,'QALS - Inspection Lot Record'!A:A,'QALS - Inspection Lot Record'!E:E)</f>
        <v>46022</v>
      </c>
      <c r="H2445" s="34" t="str">
        <f t="shared" si="195"/>
        <v>A</v>
      </c>
      <c r="I2445" s="29" t="str">
        <f t="shared" si="191"/>
        <v>TG509538</v>
      </c>
      <c r="J2445" s="59">
        <f t="shared" ca="1" si="192"/>
        <v>46022</v>
      </c>
      <c r="K2445" s="30">
        <f ca="1">LOOKUP(A2445,'QALS - Inspection Lot Record'!A:A,'QALS - Inspection Lot Record'!I:I)</f>
        <v>0.36827546296296299</v>
      </c>
      <c r="L2445" s="59">
        <f t="shared" ca="1" si="193"/>
        <v>46022</v>
      </c>
      <c r="M2445" s="30">
        <f t="shared" ca="1" si="194"/>
        <v>0.39592592592592596</v>
      </c>
      <c r="N2445" s="31"/>
      <c r="O2445" s="31">
        <v>0</v>
      </c>
      <c r="P2445" s="29">
        <v>0</v>
      </c>
      <c r="Q2445" s="29">
        <v>2</v>
      </c>
    </row>
    <row r="2446" spans="1:17" x14ac:dyDescent="0.35">
      <c r="A2446" s="26">
        <v>40000002806</v>
      </c>
      <c r="B2446" s="31">
        <v>1</v>
      </c>
      <c r="C2446" s="29" t="str">
        <f>LOOKUP(A2446,'QALS - Inspection Lot Record'!$A$2:$A$361,'QALS - Inspection Lot Record'!$O$2:$O$361)</f>
        <v>Metformin Tablets (200 MG)</v>
      </c>
      <c r="D2446" s="31">
        <v>50</v>
      </c>
      <c r="E2446" s="29" t="s">
        <v>404</v>
      </c>
      <c r="F2446" s="29" t="str">
        <f>LOOKUP(A2446,'QALS - Inspection Lot Record'!A:A,'QALS - Inspection Lot Record'!G:G)</f>
        <v>TG509538</v>
      </c>
      <c r="G2446" s="59">
        <f ca="1">LOOKUP(A2446,'QALS - Inspection Lot Record'!A:A,'QALS - Inspection Lot Record'!E:E)</f>
        <v>46022</v>
      </c>
      <c r="H2446" s="34" t="str">
        <f t="shared" si="195"/>
        <v>A</v>
      </c>
      <c r="I2446" s="29" t="str">
        <f t="shared" si="191"/>
        <v>TG509538</v>
      </c>
      <c r="J2446" s="59">
        <f t="shared" ca="1" si="192"/>
        <v>46022</v>
      </c>
      <c r="K2446" s="30">
        <f ca="1">LOOKUP(A2446,'QALS - Inspection Lot Record'!A:A,'QALS - Inspection Lot Record'!I:I)</f>
        <v>0.36827546296296299</v>
      </c>
      <c r="L2446" s="59">
        <f t="shared" ca="1" si="193"/>
        <v>46022</v>
      </c>
      <c r="M2446" s="30">
        <f t="shared" ca="1" si="194"/>
        <v>0.3971412037037037</v>
      </c>
      <c r="N2446" s="31"/>
      <c r="O2446" s="31">
        <v>50</v>
      </c>
      <c r="P2446" s="29">
        <v>40</v>
      </c>
      <c r="Q2446" s="29">
        <v>60</v>
      </c>
    </row>
    <row r="2447" spans="1:17" x14ac:dyDescent="0.35">
      <c r="A2447" s="26">
        <v>40000002806</v>
      </c>
      <c r="B2447" s="31">
        <v>1</v>
      </c>
      <c r="C2447" s="29" t="str">
        <f>LOOKUP(A2447,'QALS - Inspection Lot Record'!$A$2:$A$361,'QALS - Inspection Lot Record'!$O$2:$O$361)</f>
        <v>Metformin Tablets (200 MG)</v>
      </c>
      <c r="D2447" s="31">
        <v>60</v>
      </c>
      <c r="E2447" s="29" t="s">
        <v>405</v>
      </c>
      <c r="F2447" s="29" t="str">
        <f>LOOKUP(A2447,'QALS - Inspection Lot Record'!A:A,'QALS - Inspection Lot Record'!G:G)</f>
        <v>TG509538</v>
      </c>
      <c r="G2447" s="59">
        <f ca="1">LOOKUP(A2447,'QALS - Inspection Lot Record'!A:A,'QALS - Inspection Lot Record'!E:E)</f>
        <v>46022</v>
      </c>
      <c r="H2447" s="34" t="str">
        <f t="shared" si="195"/>
        <v>R</v>
      </c>
      <c r="I2447" s="29" t="str">
        <f t="shared" si="191"/>
        <v>TG509538</v>
      </c>
      <c r="J2447" s="59">
        <f t="shared" ca="1" si="192"/>
        <v>46022</v>
      </c>
      <c r="K2447" s="30">
        <f ca="1">LOOKUP(A2447,'QALS - Inspection Lot Record'!A:A,'QALS - Inspection Lot Record'!I:I)</f>
        <v>0.36827546296296299</v>
      </c>
      <c r="L2447" s="59">
        <f t="shared" ca="1" si="193"/>
        <v>46022</v>
      </c>
      <c r="M2447" s="30">
        <f t="shared" ca="1" si="194"/>
        <v>0.39271990740740742</v>
      </c>
      <c r="N2447" s="31"/>
      <c r="O2447" s="31">
        <v>68.7</v>
      </c>
      <c r="P2447" s="29">
        <v>70</v>
      </c>
      <c r="Q2447" s="29">
        <v>85</v>
      </c>
    </row>
    <row r="2448" spans="1:17" x14ac:dyDescent="0.35">
      <c r="A2448" s="26">
        <v>40000002806</v>
      </c>
      <c r="B2448" s="31">
        <v>1</v>
      </c>
      <c r="C2448" s="29" t="str">
        <f>LOOKUP(A2448,'QALS - Inspection Lot Record'!$A$2:$A$361,'QALS - Inspection Lot Record'!$O$2:$O$361)</f>
        <v>Metformin Tablets (200 MG)</v>
      </c>
      <c r="D2448" s="31">
        <v>70</v>
      </c>
      <c r="E2448" s="29" t="s">
        <v>406</v>
      </c>
      <c r="F2448" s="29" t="str">
        <f>LOOKUP(A2448,'QALS - Inspection Lot Record'!A:A,'QALS - Inspection Lot Record'!G:G)</f>
        <v>TG509538</v>
      </c>
      <c r="G2448" s="59">
        <f ca="1">LOOKUP(A2448,'QALS - Inspection Lot Record'!A:A,'QALS - Inspection Lot Record'!E:E)</f>
        <v>46022</v>
      </c>
      <c r="H2448" s="34" t="str">
        <f t="shared" si="195"/>
        <v>R</v>
      </c>
      <c r="I2448" s="29" t="str">
        <f t="shared" si="191"/>
        <v>TG509538</v>
      </c>
      <c r="J2448" s="59">
        <f t="shared" ca="1" si="192"/>
        <v>46022</v>
      </c>
      <c r="K2448" s="30">
        <f ca="1">LOOKUP(A2448,'QALS - Inspection Lot Record'!A:A,'QALS - Inspection Lot Record'!I:I)</f>
        <v>0.36827546296296299</v>
      </c>
      <c r="L2448" s="59">
        <f t="shared" ca="1" si="193"/>
        <v>46022</v>
      </c>
      <c r="M2448" s="30">
        <f t="shared" ca="1" si="194"/>
        <v>0.39946759259259262</v>
      </c>
      <c r="N2448" s="31"/>
      <c r="O2448" s="31">
        <v>78.3</v>
      </c>
      <c r="P2448" s="29">
        <v>80</v>
      </c>
      <c r="Q2448" s="29">
        <v>90</v>
      </c>
    </row>
    <row r="2449" spans="1:17" x14ac:dyDescent="0.35">
      <c r="A2449" s="26">
        <v>40000002806</v>
      </c>
      <c r="B2449" s="31">
        <v>1</v>
      </c>
      <c r="C2449" s="29" t="str">
        <f>LOOKUP(A2449,'QALS - Inspection Lot Record'!$A$2:$A$361,'QALS - Inspection Lot Record'!$O$2:$O$361)</f>
        <v>Metformin Tablets (200 MG)</v>
      </c>
      <c r="D2449" s="31">
        <v>80</v>
      </c>
      <c r="E2449" s="29" t="s">
        <v>407</v>
      </c>
      <c r="F2449" s="29" t="str">
        <f>LOOKUP(A2449,'QALS - Inspection Lot Record'!A:A,'QALS - Inspection Lot Record'!G:G)</f>
        <v>TG509538</v>
      </c>
      <c r="G2449" s="59">
        <f ca="1">LOOKUP(A2449,'QALS - Inspection Lot Record'!A:A,'QALS - Inspection Lot Record'!E:E)</f>
        <v>46022</v>
      </c>
      <c r="H2449" s="34" t="str">
        <f t="shared" si="195"/>
        <v>A</v>
      </c>
      <c r="I2449" s="29" t="str">
        <f t="shared" si="191"/>
        <v>TG509538</v>
      </c>
      <c r="J2449" s="59">
        <f t="shared" ca="1" si="192"/>
        <v>46022</v>
      </c>
      <c r="K2449" s="30">
        <f ca="1">LOOKUP(A2449,'QALS - Inspection Lot Record'!A:A,'QALS - Inspection Lot Record'!I:I)</f>
        <v>0.36827546296296299</v>
      </c>
      <c r="L2449" s="59">
        <f t="shared" ca="1" si="193"/>
        <v>46022</v>
      </c>
      <c r="M2449" s="30">
        <f t="shared" ca="1" si="194"/>
        <v>0.39006944444444447</v>
      </c>
      <c r="N2449" s="31"/>
      <c r="O2449" s="31">
        <v>25.5</v>
      </c>
      <c r="P2449" s="29">
        <v>23</v>
      </c>
      <c r="Q2449" s="29">
        <v>28</v>
      </c>
    </row>
    <row r="2450" spans="1:17" x14ac:dyDescent="0.35">
      <c r="A2450" s="26">
        <v>40000002807</v>
      </c>
      <c r="B2450" s="27">
        <v>1</v>
      </c>
      <c r="C2450" s="29" t="str">
        <f>LOOKUP(A2450,'QALS - Inspection Lot Record'!$A$2:$A$361,'QALS - Inspection Lot Record'!$O$2:$O$361)</f>
        <v>Ibuprofen Tablets (100 MG)</v>
      </c>
      <c r="D2450" s="27">
        <v>10</v>
      </c>
      <c r="E2450" s="26" t="s">
        <v>399</v>
      </c>
      <c r="F2450" s="29" t="str">
        <f>LOOKUP(A2450,'QALS - Inspection Lot Record'!A:A,'QALS - Inspection Lot Record'!G:G)</f>
        <v>ZK384180</v>
      </c>
      <c r="G2450" s="59">
        <f ca="1">LOOKUP(A2450,'QALS - Inspection Lot Record'!A:A,'QALS - Inspection Lot Record'!E:E)</f>
        <v>46023</v>
      </c>
      <c r="H2450" s="34" t="str">
        <f t="shared" si="195"/>
        <v>A</v>
      </c>
      <c r="I2450" s="29" t="str">
        <f t="shared" si="191"/>
        <v>ZK384180</v>
      </c>
      <c r="J2450" s="59">
        <f t="shared" ca="1" si="192"/>
        <v>46023</v>
      </c>
      <c r="K2450" s="30">
        <f ca="1">LOOKUP(A2450,'QALS - Inspection Lot Record'!A:A,'QALS - Inspection Lot Record'!I:I)</f>
        <v>0.8253935185185185</v>
      </c>
      <c r="L2450" s="59">
        <f t="shared" ca="1" si="193"/>
        <v>46023</v>
      </c>
      <c r="M2450" s="30">
        <f t="shared" ca="1" si="194"/>
        <v>0.85688657407407409</v>
      </c>
      <c r="N2450" s="31"/>
      <c r="O2450" s="31">
        <v>98.5</v>
      </c>
      <c r="P2450" s="29">
        <v>95</v>
      </c>
      <c r="Q2450" s="29">
        <v>102</v>
      </c>
    </row>
    <row r="2451" spans="1:17" x14ac:dyDescent="0.35">
      <c r="A2451" s="26">
        <v>40000002807</v>
      </c>
      <c r="B2451" s="27">
        <v>1</v>
      </c>
      <c r="C2451" s="29" t="str">
        <f>LOOKUP(A2451,'QALS - Inspection Lot Record'!$A$2:$A$361,'QALS - Inspection Lot Record'!$O$2:$O$361)</f>
        <v>Ibuprofen Tablets (100 MG)</v>
      </c>
      <c r="D2451" s="31">
        <v>20</v>
      </c>
      <c r="E2451" s="29" t="s">
        <v>400</v>
      </c>
      <c r="F2451" s="29" t="str">
        <f>LOOKUP(A2451,'QALS - Inspection Lot Record'!A:A,'QALS - Inspection Lot Record'!G:G)</f>
        <v>ZK384180</v>
      </c>
      <c r="G2451" s="59">
        <f ca="1">LOOKUP(A2451,'QALS - Inspection Lot Record'!A:A,'QALS - Inspection Lot Record'!E:E)</f>
        <v>46023</v>
      </c>
      <c r="H2451" s="34" t="str">
        <f t="shared" si="195"/>
        <v>R</v>
      </c>
      <c r="I2451" s="29" t="str">
        <f t="shared" si="191"/>
        <v>ZK384180</v>
      </c>
      <c r="J2451" s="59">
        <f t="shared" ca="1" si="192"/>
        <v>46023</v>
      </c>
      <c r="K2451" s="30">
        <f ca="1">LOOKUP(A2451,'QALS - Inspection Lot Record'!A:A,'QALS - Inspection Lot Record'!I:I)</f>
        <v>0.8253935185185185</v>
      </c>
      <c r="L2451" s="59">
        <f t="shared" ca="1" si="193"/>
        <v>46023</v>
      </c>
      <c r="M2451" s="30">
        <f t="shared" ca="1" si="194"/>
        <v>0.84567129629629623</v>
      </c>
      <c r="N2451" s="31"/>
      <c r="O2451" s="31">
        <v>2.2000000000000002</v>
      </c>
      <c r="P2451" s="29">
        <v>3.5</v>
      </c>
      <c r="Q2451" s="29">
        <v>11</v>
      </c>
    </row>
    <row r="2452" spans="1:17" x14ac:dyDescent="0.35">
      <c r="A2452" s="26">
        <v>40000002807</v>
      </c>
      <c r="B2452" s="31">
        <v>1</v>
      </c>
      <c r="C2452" s="29" t="str">
        <f>LOOKUP(A2452,'QALS - Inspection Lot Record'!$A$2:$A$361,'QALS - Inspection Lot Record'!$O$2:$O$361)</f>
        <v>Ibuprofen Tablets (100 MG)</v>
      </c>
      <c r="D2452" s="31">
        <v>30</v>
      </c>
      <c r="E2452" s="29" t="s">
        <v>401</v>
      </c>
      <c r="F2452" s="29" t="str">
        <f>LOOKUP(A2452,'QALS - Inspection Lot Record'!A:A,'QALS - Inspection Lot Record'!G:G)</f>
        <v>ZK384180</v>
      </c>
      <c r="G2452" s="59">
        <f ca="1">LOOKUP(A2452,'QALS - Inspection Lot Record'!A:A,'QALS - Inspection Lot Record'!E:E)</f>
        <v>46023</v>
      </c>
      <c r="H2452" s="34" t="str">
        <f t="shared" si="195"/>
        <v>A</v>
      </c>
      <c r="I2452" s="29" t="str">
        <f t="shared" si="191"/>
        <v>ZK384180</v>
      </c>
      <c r="J2452" s="59">
        <f t="shared" ca="1" si="192"/>
        <v>46023</v>
      </c>
      <c r="K2452" s="30">
        <f ca="1">LOOKUP(A2452,'QALS - Inspection Lot Record'!A:A,'QALS - Inspection Lot Record'!I:I)</f>
        <v>0.8253935185185185</v>
      </c>
      <c r="L2452" s="59">
        <f t="shared" ca="1" si="193"/>
        <v>46023</v>
      </c>
      <c r="M2452" s="30">
        <f t="shared" ca="1" si="194"/>
        <v>0.85090277777777779</v>
      </c>
      <c r="N2452" s="11" t="s">
        <v>402</v>
      </c>
      <c r="O2452" s="31"/>
      <c r="P2452" s="29"/>
      <c r="Q2452" s="29"/>
    </row>
    <row r="2453" spans="1:17" x14ac:dyDescent="0.35">
      <c r="A2453" s="26">
        <v>40000002807</v>
      </c>
      <c r="B2453" s="31">
        <v>1</v>
      </c>
      <c r="C2453" s="29" t="str">
        <f>LOOKUP(A2453,'QALS - Inspection Lot Record'!$A$2:$A$361,'QALS - Inspection Lot Record'!$O$2:$O$361)</f>
        <v>Ibuprofen Tablets (100 MG)</v>
      </c>
      <c r="D2453" s="31">
        <v>40</v>
      </c>
      <c r="E2453" s="29" t="s">
        <v>403</v>
      </c>
      <c r="F2453" s="29" t="str">
        <f>LOOKUP(A2453,'QALS - Inspection Lot Record'!A:A,'QALS - Inspection Lot Record'!G:G)</f>
        <v>ZK384180</v>
      </c>
      <c r="G2453" s="59">
        <f ca="1">LOOKUP(A2453,'QALS - Inspection Lot Record'!A:A,'QALS - Inspection Lot Record'!E:E)</f>
        <v>46023</v>
      </c>
      <c r="H2453" s="34" t="str">
        <f t="shared" si="195"/>
        <v>A</v>
      </c>
      <c r="I2453" s="29" t="str">
        <f t="shared" si="191"/>
        <v>ZK384180</v>
      </c>
      <c r="J2453" s="59">
        <f t="shared" ca="1" si="192"/>
        <v>46023</v>
      </c>
      <c r="K2453" s="30">
        <f ca="1">LOOKUP(A2453,'QALS - Inspection Lot Record'!A:A,'QALS - Inspection Lot Record'!I:I)</f>
        <v>0.8253935185185185</v>
      </c>
      <c r="L2453" s="59">
        <f t="shared" ca="1" si="193"/>
        <v>46023</v>
      </c>
      <c r="M2453" s="30">
        <f t="shared" ca="1" si="194"/>
        <v>0.85499999999999998</v>
      </c>
      <c r="N2453" s="31"/>
      <c r="O2453" s="31">
        <v>0.5</v>
      </c>
      <c r="P2453" s="29">
        <v>0</v>
      </c>
      <c r="Q2453" s="29">
        <v>1</v>
      </c>
    </row>
    <row r="2454" spans="1:17" x14ac:dyDescent="0.35">
      <c r="A2454" s="26">
        <v>40000002807</v>
      </c>
      <c r="B2454" s="31">
        <v>1</v>
      </c>
      <c r="C2454" s="29" t="str">
        <f>LOOKUP(A2454,'QALS - Inspection Lot Record'!$A$2:$A$361,'QALS - Inspection Lot Record'!$O$2:$O$361)</f>
        <v>Ibuprofen Tablets (100 MG)</v>
      </c>
      <c r="D2454" s="31">
        <v>50</v>
      </c>
      <c r="E2454" s="29" t="s">
        <v>404</v>
      </c>
      <c r="F2454" s="29" t="str">
        <f>LOOKUP(A2454,'QALS - Inspection Lot Record'!A:A,'QALS - Inspection Lot Record'!G:G)</f>
        <v>ZK384180</v>
      </c>
      <c r="G2454" s="59">
        <f ca="1">LOOKUP(A2454,'QALS - Inspection Lot Record'!A:A,'QALS - Inspection Lot Record'!E:E)</f>
        <v>46023</v>
      </c>
      <c r="H2454" s="34" t="str">
        <f t="shared" si="195"/>
        <v>R</v>
      </c>
      <c r="I2454" s="29" t="str">
        <f t="shared" si="191"/>
        <v>ZK384180</v>
      </c>
      <c r="J2454" s="59">
        <f t="shared" ca="1" si="192"/>
        <v>46023</v>
      </c>
      <c r="K2454" s="30">
        <f ca="1">LOOKUP(A2454,'QALS - Inspection Lot Record'!A:A,'QALS - Inspection Lot Record'!I:I)</f>
        <v>0.8253935185185185</v>
      </c>
      <c r="L2454" s="59">
        <f t="shared" ca="1" si="193"/>
        <v>46023</v>
      </c>
      <c r="M2454" s="30">
        <f t="shared" ca="1" si="194"/>
        <v>0.84877314814814808</v>
      </c>
      <c r="N2454" s="31"/>
      <c r="O2454" s="31">
        <v>39</v>
      </c>
      <c r="P2454" s="29">
        <v>40</v>
      </c>
      <c r="Q2454" s="29">
        <v>60</v>
      </c>
    </row>
    <row r="2455" spans="1:17" x14ac:dyDescent="0.35">
      <c r="A2455" s="26">
        <v>40000002807</v>
      </c>
      <c r="B2455" s="31">
        <v>1</v>
      </c>
      <c r="C2455" s="29" t="str">
        <f>LOOKUP(A2455,'QALS - Inspection Lot Record'!$A$2:$A$361,'QALS - Inspection Lot Record'!$O$2:$O$361)</f>
        <v>Ibuprofen Tablets (100 MG)</v>
      </c>
      <c r="D2455" s="31">
        <v>60</v>
      </c>
      <c r="E2455" s="29" t="s">
        <v>405</v>
      </c>
      <c r="F2455" s="29" t="str">
        <f>LOOKUP(A2455,'QALS - Inspection Lot Record'!A:A,'QALS - Inspection Lot Record'!G:G)</f>
        <v>ZK384180</v>
      </c>
      <c r="G2455" s="59">
        <f ca="1">LOOKUP(A2455,'QALS - Inspection Lot Record'!A:A,'QALS - Inspection Lot Record'!E:E)</f>
        <v>46023</v>
      </c>
      <c r="H2455" s="34" t="str">
        <f t="shared" si="195"/>
        <v>A</v>
      </c>
      <c r="I2455" s="29" t="str">
        <f t="shared" si="191"/>
        <v>ZK384180</v>
      </c>
      <c r="J2455" s="59">
        <f t="shared" ca="1" si="192"/>
        <v>46023</v>
      </c>
      <c r="K2455" s="30">
        <f ca="1">LOOKUP(A2455,'QALS - Inspection Lot Record'!A:A,'QALS - Inspection Lot Record'!I:I)</f>
        <v>0.8253935185185185</v>
      </c>
      <c r="L2455" s="59">
        <f t="shared" ca="1" si="193"/>
        <v>46023</v>
      </c>
      <c r="M2455" s="30">
        <f t="shared" ca="1" si="194"/>
        <v>0.85449074074074072</v>
      </c>
      <c r="N2455" s="31"/>
      <c r="O2455" s="31">
        <v>73</v>
      </c>
      <c r="P2455" s="29">
        <v>70</v>
      </c>
      <c r="Q2455" s="29">
        <v>85</v>
      </c>
    </row>
    <row r="2456" spans="1:17" x14ac:dyDescent="0.35">
      <c r="A2456" s="26">
        <v>40000002807</v>
      </c>
      <c r="B2456" s="31">
        <v>1</v>
      </c>
      <c r="C2456" s="29" t="str">
        <f>LOOKUP(A2456,'QALS - Inspection Lot Record'!$A$2:$A$361,'QALS - Inspection Lot Record'!$O$2:$O$361)</f>
        <v>Ibuprofen Tablets (100 MG)</v>
      </c>
      <c r="D2456" s="31">
        <v>70</v>
      </c>
      <c r="E2456" s="29" t="s">
        <v>406</v>
      </c>
      <c r="F2456" s="29" t="str">
        <f>LOOKUP(A2456,'QALS - Inspection Lot Record'!A:A,'QALS - Inspection Lot Record'!G:G)</f>
        <v>ZK384180</v>
      </c>
      <c r="G2456" s="59">
        <f ca="1">LOOKUP(A2456,'QALS - Inspection Lot Record'!A:A,'QALS - Inspection Lot Record'!E:E)</f>
        <v>46023</v>
      </c>
      <c r="H2456" s="34" t="str">
        <f t="shared" si="195"/>
        <v>R</v>
      </c>
      <c r="I2456" s="29" t="str">
        <f t="shared" si="191"/>
        <v>ZK384180</v>
      </c>
      <c r="J2456" s="59">
        <f t="shared" ca="1" si="192"/>
        <v>46023</v>
      </c>
      <c r="K2456" s="30">
        <f ca="1">LOOKUP(A2456,'QALS - Inspection Lot Record'!A:A,'QALS - Inspection Lot Record'!I:I)</f>
        <v>0.8253935185185185</v>
      </c>
      <c r="L2456" s="59">
        <f t="shared" ca="1" si="193"/>
        <v>46023</v>
      </c>
      <c r="M2456" s="30">
        <f t="shared" ca="1" si="194"/>
        <v>0.85652777777777778</v>
      </c>
      <c r="N2456" s="31"/>
      <c r="O2456" s="31">
        <v>78.2</v>
      </c>
      <c r="P2456" s="29">
        <v>80</v>
      </c>
      <c r="Q2456" s="29">
        <v>90</v>
      </c>
    </row>
    <row r="2457" spans="1:17" x14ac:dyDescent="0.35">
      <c r="A2457" s="26">
        <v>40000002807</v>
      </c>
      <c r="B2457" s="31">
        <v>1</v>
      </c>
      <c r="C2457" s="29" t="str">
        <f>LOOKUP(A2457,'QALS - Inspection Lot Record'!$A$2:$A$361,'QALS - Inspection Lot Record'!$O$2:$O$361)</f>
        <v>Ibuprofen Tablets (100 MG)</v>
      </c>
      <c r="D2457" s="31">
        <v>80</v>
      </c>
      <c r="E2457" s="29" t="s">
        <v>407</v>
      </c>
      <c r="F2457" s="29" t="str">
        <f>LOOKUP(A2457,'QALS - Inspection Lot Record'!A:A,'QALS - Inspection Lot Record'!G:G)</f>
        <v>ZK384180</v>
      </c>
      <c r="G2457" s="59">
        <f ca="1">LOOKUP(A2457,'QALS - Inspection Lot Record'!A:A,'QALS - Inspection Lot Record'!E:E)</f>
        <v>46023</v>
      </c>
      <c r="H2457" s="34" t="str">
        <f t="shared" si="195"/>
        <v>R</v>
      </c>
      <c r="I2457" s="29" t="str">
        <f t="shared" si="191"/>
        <v>ZK384180</v>
      </c>
      <c r="J2457" s="59">
        <f t="shared" ca="1" si="192"/>
        <v>46023</v>
      </c>
      <c r="K2457" s="30">
        <f ca="1">LOOKUP(A2457,'QALS - Inspection Lot Record'!A:A,'QALS - Inspection Lot Record'!I:I)</f>
        <v>0.8253935185185185</v>
      </c>
      <c r="L2457" s="59">
        <f t="shared" ca="1" si="193"/>
        <v>46023</v>
      </c>
      <c r="M2457" s="30">
        <f t="shared" ca="1" si="194"/>
        <v>0.84307870370370364</v>
      </c>
      <c r="N2457" s="31"/>
      <c r="O2457" s="31">
        <v>21.5</v>
      </c>
      <c r="P2457" s="29">
        <v>23</v>
      </c>
      <c r="Q2457" s="29">
        <v>25</v>
      </c>
    </row>
    <row r="2458" spans="1:17" x14ac:dyDescent="0.35">
      <c r="A2458" s="26">
        <v>40000002808</v>
      </c>
      <c r="B2458" s="27">
        <v>1</v>
      </c>
      <c r="C2458" s="29" t="str">
        <f>LOOKUP(A2458,'QALS - Inspection Lot Record'!$A$2:$A$361,'QALS - Inspection Lot Record'!$O$2:$O$361)</f>
        <v>Ibuprofen Tablets (100 MG)</v>
      </c>
      <c r="D2458" s="27">
        <v>10</v>
      </c>
      <c r="E2458" s="26" t="s">
        <v>399</v>
      </c>
      <c r="F2458" s="29" t="str">
        <f>LOOKUP(A2458,'QALS - Inspection Lot Record'!A:A,'QALS - Inspection Lot Record'!G:G)</f>
        <v>YA284176</v>
      </c>
      <c r="G2458" s="59">
        <f ca="1">LOOKUP(A2458,'QALS - Inspection Lot Record'!A:A,'QALS - Inspection Lot Record'!E:E)</f>
        <v>46023</v>
      </c>
      <c r="H2458" s="34" t="str">
        <f t="shared" si="195"/>
        <v>A</v>
      </c>
      <c r="I2458" s="29" t="str">
        <f t="shared" si="191"/>
        <v>YA284176</v>
      </c>
      <c r="J2458" s="59">
        <f t="shared" ca="1" si="192"/>
        <v>46023</v>
      </c>
      <c r="K2458" s="30">
        <f ca="1">LOOKUP(A2458,'QALS - Inspection Lot Record'!A:A,'QALS - Inspection Lot Record'!I:I)</f>
        <v>0.24997685185185184</v>
      </c>
      <c r="L2458" s="59">
        <f t="shared" ca="1" si="193"/>
        <v>46023</v>
      </c>
      <c r="M2458" s="30">
        <f t="shared" ca="1" si="194"/>
        <v>0.26825231481481482</v>
      </c>
      <c r="N2458" s="31"/>
      <c r="O2458" s="31">
        <v>98.5</v>
      </c>
      <c r="P2458" s="29">
        <v>95</v>
      </c>
      <c r="Q2458" s="29">
        <v>102</v>
      </c>
    </row>
    <row r="2459" spans="1:17" x14ac:dyDescent="0.35">
      <c r="A2459" s="26">
        <v>40000002808</v>
      </c>
      <c r="B2459" s="27">
        <v>1</v>
      </c>
      <c r="C2459" s="29" t="str">
        <f>LOOKUP(A2459,'QALS - Inspection Lot Record'!$A$2:$A$361,'QALS - Inspection Lot Record'!$O$2:$O$361)</f>
        <v>Ibuprofen Tablets (100 MG)</v>
      </c>
      <c r="D2459" s="31">
        <v>20</v>
      </c>
      <c r="E2459" s="29" t="s">
        <v>400</v>
      </c>
      <c r="F2459" s="29" t="str">
        <f>LOOKUP(A2459,'QALS - Inspection Lot Record'!A:A,'QALS - Inspection Lot Record'!G:G)</f>
        <v>YA284176</v>
      </c>
      <c r="G2459" s="59">
        <f ca="1">LOOKUP(A2459,'QALS - Inspection Lot Record'!A:A,'QALS - Inspection Lot Record'!E:E)</f>
        <v>46023</v>
      </c>
      <c r="H2459" s="34" t="str">
        <f t="shared" si="195"/>
        <v>R</v>
      </c>
      <c r="I2459" s="29" t="str">
        <f t="shared" si="191"/>
        <v>YA284176</v>
      </c>
      <c r="J2459" s="59">
        <f t="shared" ca="1" si="192"/>
        <v>46023</v>
      </c>
      <c r="K2459" s="30">
        <f ca="1">LOOKUP(A2459,'QALS - Inspection Lot Record'!A:A,'QALS - Inspection Lot Record'!I:I)</f>
        <v>0.24997685185185184</v>
      </c>
      <c r="L2459" s="59">
        <f t="shared" ca="1" si="193"/>
        <v>46023</v>
      </c>
      <c r="M2459" s="30">
        <f t="shared" ca="1" si="194"/>
        <v>0.2745023148148148</v>
      </c>
      <c r="N2459" s="31"/>
      <c r="O2459" s="31">
        <v>2.2999999999999998</v>
      </c>
      <c r="P2459" s="29">
        <v>3.5</v>
      </c>
      <c r="Q2459" s="29">
        <v>11</v>
      </c>
    </row>
    <row r="2460" spans="1:17" x14ac:dyDescent="0.35">
      <c r="A2460" s="26">
        <v>40000002808</v>
      </c>
      <c r="B2460" s="31">
        <v>1</v>
      </c>
      <c r="C2460" s="29" t="str">
        <f>LOOKUP(A2460,'QALS - Inspection Lot Record'!$A$2:$A$361,'QALS - Inspection Lot Record'!$O$2:$O$361)</f>
        <v>Ibuprofen Tablets (100 MG)</v>
      </c>
      <c r="D2460" s="31">
        <v>30</v>
      </c>
      <c r="E2460" s="29" t="s">
        <v>401</v>
      </c>
      <c r="F2460" s="29" t="str">
        <f>LOOKUP(A2460,'QALS - Inspection Lot Record'!A:A,'QALS - Inspection Lot Record'!G:G)</f>
        <v>YA284176</v>
      </c>
      <c r="G2460" s="59">
        <f ca="1">LOOKUP(A2460,'QALS - Inspection Lot Record'!A:A,'QALS - Inspection Lot Record'!E:E)</f>
        <v>46023</v>
      </c>
      <c r="H2460" s="34" t="str">
        <f t="shared" si="195"/>
        <v>A</v>
      </c>
      <c r="I2460" s="29" t="str">
        <f t="shared" si="191"/>
        <v>YA284176</v>
      </c>
      <c r="J2460" s="59">
        <f t="shared" ca="1" si="192"/>
        <v>46023</v>
      </c>
      <c r="K2460" s="30">
        <f ca="1">LOOKUP(A2460,'QALS - Inspection Lot Record'!A:A,'QALS - Inspection Lot Record'!I:I)</f>
        <v>0.24997685185185184</v>
      </c>
      <c r="L2460" s="59">
        <f t="shared" ca="1" si="193"/>
        <v>46023</v>
      </c>
      <c r="M2460" s="30">
        <f t="shared" ca="1" si="194"/>
        <v>0.26778935185185182</v>
      </c>
      <c r="N2460" s="11" t="s">
        <v>402</v>
      </c>
      <c r="O2460" s="31"/>
      <c r="P2460" s="29"/>
      <c r="Q2460" s="29"/>
    </row>
    <row r="2461" spans="1:17" x14ac:dyDescent="0.35">
      <c r="A2461" s="26">
        <v>40000002808</v>
      </c>
      <c r="B2461" s="31">
        <v>1</v>
      </c>
      <c r="C2461" s="29" t="str">
        <f>LOOKUP(A2461,'QALS - Inspection Lot Record'!$A$2:$A$361,'QALS - Inspection Lot Record'!$O$2:$O$361)</f>
        <v>Ibuprofen Tablets (100 MG)</v>
      </c>
      <c r="D2461" s="31">
        <v>40</v>
      </c>
      <c r="E2461" s="29" t="s">
        <v>403</v>
      </c>
      <c r="F2461" s="29" t="str">
        <f>LOOKUP(A2461,'QALS - Inspection Lot Record'!A:A,'QALS - Inspection Lot Record'!G:G)</f>
        <v>YA284176</v>
      </c>
      <c r="G2461" s="59">
        <f ca="1">LOOKUP(A2461,'QALS - Inspection Lot Record'!A:A,'QALS - Inspection Lot Record'!E:E)</f>
        <v>46023</v>
      </c>
      <c r="H2461" s="34" t="str">
        <f t="shared" si="195"/>
        <v>R</v>
      </c>
      <c r="I2461" s="29" t="str">
        <f t="shared" si="191"/>
        <v>YA284176</v>
      </c>
      <c r="J2461" s="59">
        <f t="shared" ca="1" si="192"/>
        <v>46023</v>
      </c>
      <c r="K2461" s="30">
        <f ca="1">LOOKUP(A2461,'QALS - Inspection Lot Record'!A:A,'QALS - Inspection Lot Record'!I:I)</f>
        <v>0.24997685185185184</v>
      </c>
      <c r="L2461" s="59">
        <f t="shared" ca="1" si="193"/>
        <v>46023</v>
      </c>
      <c r="M2461" s="30">
        <f t="shared" ca="1" si="194"/>
        <v>0.26858796296296295</v>
      </c>
      <c r="N2461" s="31"/>
      <c r="O2461" s="31">
        <v>1.2</v>
      </c>
      <c r="P2461" s="29">
        <v>0</v>
      </c>
      <c r="Q2461" s="29">
        <v>1</v>
      </c>
    </row>
    <row r="2462" spans="1:17" x14ac:dyDescent="0.35">
      <c r="A2462" s="26">
        <v>40000002808</v>
      </c>
      <c r="B2462" s="31">
        <v>1</v>
      </c>
      <c r="C2462" s="29" t="str">
        <f>LOOKUP(A2462,'QALS - Inspection Lot Record'!$A$2:$A$361,'QALS - Inspection Lot Record'!$O$2:$O$361)</f>
        <v>Ibuprofen Tablets (100 MG)</v>
      </c>
      <c r="D2462" s="31">
        <v>50</v>
      </c>
      <c r="E2462" s="29" t="s">
        <v>404</v>
      </c>
      <c r="F2462" s="29" t="str">
        <f>LOOKUP(A2462,'QALS - Inspection Lot Record'!A:A,'QALS - Inspection Lot Record'!G:G)</f>
        <v>YA284176</v>
      </c>
      <c r="G2462" s="59">
        <f ca="1">LOOKUP(A2462,'QALS - Inspection Lot Record'!A:A,'QALS - Inspection Lot Record'!E:E)</f>
        <v>46023</v>
      </c>
      <c r="H2462" s="34" t="str">
        <f t="shared" si="195"/>
        <v>A</v>
      </c>
      <c r="I2462" s="29" t="str">
        <f t="shared" si="191"/>
        <v>YA284176</v>
      </c>
      <c r="J2462" s="59">
        <f t="shared" ca="1" si="192"/>
        <v>46023</v>
      </c>
      <c r="K2462" s="30">
        <f ca="1">LOOKUP(A2462,'QALS - Inspection Lot Record'!A:A,'QALS - Inspection Lot Record'!I:I)</f>
        <v>0.24997685185185184</v>
      </c>
      <c r="L2462" s="59">
        <f t="shared" ca="1" si="193"/>
        <v>46023</v>
      </c>
      <c r="M2462" s="30">
        <f t="shared" ca="1" si="194"/>
        <v>0.27479166666666666</v>
      </c>
      <c r="N2462" s="31"/>
      <c r="O2462" s="31">
        <v>43.2</v>
      </c>
      <c r="P2462" s="29">
        <v>40</v>
      </c>
      <c r="Q2462" s="29">
        <v>60</v>
      </c>
    </row>
    <row r="2463" spans="1:17" x14ac:dyDescent="0.35">
      <c r="A2463" s="26">
        <v>40000002808</v>
      </c>
      <c r="B2463" s="31">
        <v>1</v>
      </c>
      <c r="C2463" s="29" t="str">
        <f>LOOKUP(A2463,'QALS - Inspection Lot Record'!$A$2:$A$361,'QALS - Inspection Lot Record'!$O$2:$O$361)</f>
        <v>Ibuprofen Tablets (100 MG)</v>
      </c>
      <c r="D2463" s="31">
        <v>60</v>
      </c>
      <c r="E2463" s="29" t="s">
        <v>405</v>
      </c>
      <c r="F2463" s="29" t="str">
        <f>LOOKUP(A2463,'QALS - Inspection Lot Record'!A:A,'QALS - Inspection Lot Record'!G:G)</f>
        <v>YA284176</v>
      </c>
      <c r="G2463" s="59">
        <f ca="1">LOOKUP(A2463,'QALS - Inspection Lot Record'!A:A,'QALS - Inspection Lot Record'!E:E)</f>
        <v>46023</v>
      </c>
      <c r="H2463" s="34" t="str">
        <f t="shared" si="195"/>
        <v>R</v>
      </c>
      <c r="I2463" s="29" t="str">
        <f t="shared" si="191"/>
        <v>YA284176</v>
      </c>
      <c r="J2463" s="59">
        <f t="shared" ca="1" si="192"/>
        <v>46023</v>
      </c>
      <c r="K2463" s="30">
        <f ca="1">LOOKUP(A2463,'QALS - Inspection Lot Record'!A:A,'QALS - Inspection Lot Record'!I:I)</f>
        <v>0.24997685185185184</v>
      </c>
      <c r="L2463" s="59">
        <f t="shared" ca="1" si="193"/>
        <v>46023</v>
      </c>
      <c r="M2463" s="30">
        <f t="shared" ca="1" si="194"/>
        <v>0.27456018518518516</v>
      </c>
      <c r="N2463" s="31"/>
      <c r="O2463" s="31">
        <v>68.8</v>
      </c>
      <c r="P2463" s="29">
        <v>70</v>
      </c>
      <c r="Q2463" s="29">
        <v>85</v>
      </c>
    </row>
    <row r="2464" spans="1:17" x14ac:dyDescent="0.35">
      <c r="A2464" s="26">
        <v>40000002808</v>
      </c>
      <c r="B2464" s="31">
        <v>1</v>
      </c>
      <c r="C2464" s="29" t="str">
        <f>LOOKUP(A2464,'QALS - Inspection Lot Record'!$A$2:$A$361,'QALS - Inspection Lot Record'!$O$2:$O$361)</f>
        <v>Ibuprofen Tablets (100 MG)</v>
      </c>
      <c r="D2464" s="31">
        <v>70</v>
      </c>
      <c r="E2464" s="29" t="s">
        <v>406</v>
      </c>
      <c r="F2464" s="29" t="str">
        <f>LOOKUP(A2464,'QALS - Inspection Lot Record'!A:A,'QALS - Inspection Lot Record'!G:G)</f>
        <v>YA284176</v>
      </c>
      <c r="G2464" s="59">
        <f ca="1">LOOKUP(A2464,'QALS - Inspection Lot Record'!A:A,'QALS - Inspection Lot Record'!E:E)</f>
        <v>46023</v>
      </c>
      <c r="H2464" s="34" t="str">
        <f t="shared" si="195"/>
        <v>R</v>
      </c>
      <c r="I2464" s="29" t="str">
        <f t="shared" si="191"/>
        <v>YA284176</v>
      </c>
      <c r="J2464" s="59">
        <f t="shared" ca="1" si="192"/>
        <v>46023</v>
      </c>
      <c r="K2464" s="30">
        <f ca="1">LOOKUP(A2464,'QALS - Inspection Lot Record'!A:A,'QALS - Inspection Lot Record'!I:I)</f>
        <v>0.24997685185185184</v>
      </c>
      <c r="L2464" s="59">
        <f t="shared" ca="1" si="193"/>
        <v>46023</v>
      </c>
      <c r="M2464" s="30">
        <f t="shared" ca="1" si="194"/>
        <v>0.2741898148148148</v>
      </c>
      <c r="N2464" s="31"/>
      <c r="O2464" s="31">
        <v>78.099999999999994</v>
      </c>
      <c r="P2464" s="29">
        <v>80</v>
      </c>
      <c r="Q2464" s="29">
        <v>90</v>
      </c>
    </row>
    <row r="2465" spans="1:17" x14ac:dyDescent="0.35">
      <c r="A2465" s="26">
        <v>40000002808</v>
      </c>
      <c r="B2465" s="31">
        <v>1</v>
      </c>
      <c r="C2465" s="29" t="str">
        <f>LOOKUP(A2465,'QALS - Inspection Lot Record'!$A$2:$A$361,'QALS - Inspection Lot Record'!$O$2:$O$361)</f>
        <v>Ibuprofen Tablets (100 MG)</v>
      </c>
      <c r="D2465" s="31">
        <v>80</v>
      </c>
      <c r="E2465" s="29" t="s">
        <v>407</v>
      </c>
      <c r="F2465" s="29" t="str">
        <f>LOOKUP(A2465,'QALS - Inspection Lot Record'!A:A,'QALS - Inspection Lot Record'!G:G)</f>
        <v>YA284176</v>
      </c>
      <c r="G2465" s="59">
        <f ca="1">LOOKUP(A2465,'QALS - Inspection Lot Record'!A:A,'QALS - Inspection Lot Record'!E:E)</f>
        <v>46023</v>
      </c>
      <c r="H2465" s="34" t="str">
        <f t="shared" si="195"/>
        <v>A</v>
      </c>
      <c r="I2465" s="29" t="str">
        <f t="shared" si="191"/>
        <v>YA284176</v>
      </c>
      <c r="J2465" s="59">
        <f t="shared" ca="1" si="192"/>
        <v>46023</v>
      </c>
      <c r="K2465" s="30">
        <f ca="1">LOOKUP(A2465,'QALS - Inspection Lot Record'!A:A,'QALS - Inspection Lot Record'!I:I)</f>
        <v>0.24997685185185184</v>
      </c>
      <c r="L2465" s="59">
        <f t="shared" ca="1" si="193"/>
        <v>46023</v>
      </c>
      <c r="M2465" s="30">
        <f t="shared" ca="1" si="194"/>
        <v>0.27769675925925924</v>
      </c>
      <c r="N2465" s="31"/>
      <c r="O2465" s="31">
        <v>24</v>
      </c>
      <c r="P2465" s="29">
        <v>23</v>
      </c>
      <c r="Q2465" s="29">
        <v>25</v>
      </c>
    </row>
    <row r="2466" spans="1:17" x14ac:dyDescent="0.35">
      <c r="A2466" s="26">
        <v>40000002809</v>
      </c>
      <c r="B2466" s="27">
        <v>1</v>
      </c>
      <c r="C2466" s="29" t="str">
        <f>LOOKUP(A2466,'QALS - Inspection Lot Record'!$A$2:$A$361,'QALS - Inspection Lot Record'!$O$2:$O$361)</f>
        <v>Metformin Tablets (500 MG)</v>
      </c>
      <c r="D2466" s="27">
        <v>10</v>
      </c>
      <c r="E2466" s="26" t="s">
        <v>399</v>
      </c>
      <c r="F2466" s="29" t="str">
        <f>LOOKUP(A2466,'QALS - Inspection Lot Record'!A:A,'QALS - Inspection Lot Record'!G:G)</f>
        <v>ZK384180</v>
      </c>
      <c r="G2466" s="59">
        <f ca="1">LOOKUP(A2466,'QALS - Inspection Lot Record'!A:A,'QALS - Inspection Lot Record'!E:E)</f>
        <v>46024</v>
      </c>
      <c r="H2466" s="34" t="str">
        <f t="shared" si="195"/>
        <v>A</v>
      </c>
      <c r="I2466" s="29" t="str">
        <f t="shared" si="191"/>
        <v>ZK384180</v>
      </c>
      <c r="J2466" s="59">
        <f t="shared" ca="1" si="192"/>
        <v>46024</v>
      </c>
      <c r="K2466" s="30">
        <f ca="1">LOOKUP(A2466,'QALS - Inspection Lot Record'!A:A,'QALS - Inspection Lot Record'!I:I)</f>
        <v>0.54263888888888889</v>
      </c>
      <c r="L2466" s="59">
        <f t="shared" ca="1" si="193"/>
        <v>46024</v>
      </c>
      <c r="M2466" s="30">
        <f t="shared" ca="1" si="194"/>
        <v>0.5697916666666667</v>
      </c>
      <c r="N2466" s="31"/>
      <c r="O2466" s="31">
        <v>100</v>
      </c>
      <c r="P2466" s="29">
        <v>95</v>
      </c>
      <c r="Q2466" s="29">
        <v>105</v>
      </c>
    </row>
    <row r="2467" spans="1:17" x14ac:dyDescent="0.35">
      <c r="A2467" s="26">
        <v>40000002809</v>
      </c>
      <c r="B2467" s="27">
        <v>1</v>
      </c>
      <c r="C2467" s="29" t="str">
        <f>LOOKUP(A2467,'QALS - Inspection Lot Record'!$A$2:$A$361,'QALS - Inspection Lot Record'!$O$2:$O$361)</f>
        <v>Metformin Tablets (500 MG)</v>
      </c>
      <c r="D2467" s="31">
        <v>20</v>
      </c>
      <c r="E2467" s="29" t="s">
        <v>400</v>
      </c>
      <c r="F2467" s="29" t="str">
        <f>LOOKUP(A2467,'QALS - Inspection Lot Record'!A:A,'QALS - Inspection Lot Record'!G:G)</f>
        <v>ZK384180</v>
      </c>
      <c r="G2467" s="59">
        <f ca="1">LOOKUP(A2467,'QALS - Inspection Lot Record'!A:A,'QALS - Inspection Lot Record'!E:E)</f>
        <v>46024</v>
      </c>
      <c r="H2467" s="34" t="str">
        <f t="shared" si="195"/>
        <v>A</v>
      </c>
      <c r="I2467" s="29" t="str">
        <f t="shared" si="191"/>
        <v>ZK384180</v>
      </c>
      <c r="J2467" s="59">
        <f t="shared" ca="1" si="192"/>
        <v>46024</v>
      </c>
      <c r="K2467" s="30">
        <f ca="1">LOOKUP(A2467,'QALS - Inspection Lot Record'!A:A,'QALS - Inspection Lot Record'!I:I)</f>
        <v>0.54263888888888889</v>
      </c>
      <c r="L2467" s="59">
        <f t="shared" ca="1" si="193"/>
        <v>46024</v>
      </c>
      <c r="M2467" s="30">
        <f t="shared" ca="1" si="194"/>
        <v>0.57104166666666667</v>
      </c>
      <c r="N2467" s="31"/>
      <c r="O2467" s="31">
        <v>7.25</v>
      </c>
      <c r="P2467" s="29">
        <v>3.5</v>
      </c>
      <c r="Q2467" s="29">
        <v>11</v>
      </c>
    </row>
    <row r="2468" spans="1:17" x14ac:dyDescent="0.35">
      <c r="A2468" s="26">
        <v>40000002809</v>
      </c>
      <c r="B2468" s="31">
        <v>1</v>
      </c>
      <c r="C2468" s="29" t="str">
        <f>LOOKUP(A2468,'QALS - Inspection Lot Record'!$A$2:$A$361,'QALS - Inspection Lot Record'!$O$2:$O$361)</f>
        <v>Metformin Tablets (500 MG)</v>
      </c>
      <c r="D2468" s="31">
        <v>30</v>
      </c>
      <c r="E2468" s="29" t="s">
        <v>401</v>
      </c>
      <c r="F2468" s="29" t="str">
        <f>LOOKUP(A2468,'QALS - Inspection Lot Record'!A:A,'QALS - Inspection Lot Record'!G:G)</f>
        <v>ZK384180</v>
      </c>
      <c r="G2468" s="59">
        <f ca="1">LOOKUP(A2468,'QALS - Inspection Lot Record'!A:A,'QALS - Inspection Lot Record'!E:E)</f>
        <v>46024</v>
      </c>
      <c r="H2468" s="34" t="str">
        <f t="shared" si="195"/>
        <v>A</v>
      </c>
      <c r="I2468" s="29" t="str">
        <f t="shared" si="191"/>
        <v>ZK384180</v>
      </c>
      <c r="J2468" s="59">
        <f t="shared" ca="1" si="192"/>
        <v>46024</v>
      </c>
      <c r="K2468" s="30">
        <f ca="1">LOOKUP(A2468,'QALS - Inspection Lot Record'!A:A,'QALS - Inspection Lot Record'!I:I)</f>
        <v>0.54263888888888889</v>
      </c>
      <c r="L2468" s="59">
        <f t="shared" ca="1" si="193"/>
        <v>46024</v>
      </c>
      <c r="M2468" s="30">
        <f t="shared" ca="1" si="194"/>
        <v>0.56168981481481484</v>
      </c>
      <c r="N2468" s="11" t="s">
        <v>402</v>
      </c>
      <c r="O2468" s="31"/>
      <c r="P2468" s="29"/>
      <c r="Q2468" s="29"/>
    </row>
    <row r="2469" spans="1:17" x14ac:dyDescent="0.35">
      <c r="A2469" s="26">
        <v>40000002809</v>
      </c>
      <c r="B2469" s="31">
        <v>1</v>
      </c>
      <c r="C2469" s="29" t="str">
        <f>LOOKUP(A2469,'QALS - Inspection Lot Record'!$A$2:$A$361,'QALS - Inspection Lot Record'!$O$2:$O$361)</f>
        <v>Metformin Tablets (500 MG)</v>
      </c>
      <c r="D2469" s="31">
        <v>40</v>
      </c>
      <c r="E2469" s="29" t="s">
        <v>403</v>
      </c>
      <c r="F2469" s="29" t="str">
        <f>LOOKUP(A2469,'QALS - Inspection Lot Record'!A:A,'QALS - Inspection Lot Record'!G:G)</f>
        <v>ZK384180</v>
      </c>
      <c r="G2469" s="59">
        <f ca="1">LOOKUP(A2469,'QALS - Inspection Lot Record'!A:A,'QALS - Inspection Lot Record'!E:E)</f>
        <v>46024</v>
      </c>
      <c r="H2469" s="34" t="str">
        <f t="shared" si="195"/>
        <v>A</v>
      </c>
      <c r="I2469" s="29" t="str">
        <f t="shared" si="191"/>
        <v>ZK384180</v>
      </c>
      <c r="J2469" s="59">
        <f t="shared" ca="1" si="192"/>
        <v>46024</v>
      </c>
      <c r="K2469" s="30">
        <f ca="1">LOOKUP(A2469,'QALS - Inspection Lot Record'!A:A,'QALS - Inspection Lot Record'!I:I)</f>
        <v>0.54263888888888889</v>
      </c>
      <c r="L2469" s="59">
        <f t="shared" ca="1" si="193"/>
        <v>46024</v>
      </c>
      <c r="M2469" s="30">
        <f t="shared" ca="1" si="194"/>
        <v>0.56790509259259259</v>
      </c>
      <c r="N2469" s="31"/>
      <c r="O2469" s="31">
        <v>9.9999999999999867E-2</v>
      </c>
      <c r="P2469" s="29">
        <v>0</v>
      </c>
      <c r="Q2469" s="29">
        <v>2</v>
      </c>
    </row>
    <row r="2470" spans="1:17" x14ac:dyDescent="0.35">
      <c r="A2470" s="26">
        <v>40000002809</v>
      </c>
      <c r="B2470" s="31">
        <v>1</v>
      </c>
      <c r="C2470" s="29" t="str">
        <f>LOOKUP(A2470,'QALS - Inspection Lot Record'!$A$2:$A$361,'QALS - Inspection Lot Record'!$O$2:$O$361)</f>
        <v>Metformin Tablets (500 MG)</v>
      </c>
      <c r="D2470" s="31">
        <v>50</v>
      </c>
      <c r="E2470" s="29" t="s">
        <v>404</v>
      </c>
      <c r="F2470" s="29" t="str">
        <f>LOOKUP(A2470,'QALS - Inspection Lot Record'!A:A,'QALS - Inspection Lot Record'!G:G)</f>
        <v>ZK384180</v>
      </c>
      <c r="G2470" s="59">
        <f ca="1">LOOKUP(A2470,'QALS - Inspection Lot Record'!A:A,'QALS - Inspection Lot Record'!E:E)</f>
        <v>46024</v>
      </c>
      <c r="H2470" s="34" t="str">
        <f t="shared" si="195"/>
        <v>A</v>
      </c>
      <c r="I2470" s="29" t="str">
        <f t="shared" si="191"/>
        <v>ZK384180</v>
      </c>
      <c r="J2470" s="59">
        <f t="shared" ca="1" si="192"/>
        <v>46024</v>
      </c>
      <c r="K2470" s="30">
        <f ca="1">LOOKUP(A2470,'QALS - Inspection Lot Record'!A:A,'QALS - Inspection Lot Record'!I:I)</f>
        <v>0.54263888888888889</v>
      </c>
      <c r="L2470" s="59">
        <f t="shared" ca="1" si="193"/>
        <v>46024</v>
      </c>
      <c r="M2470" s="30">
        <f t="shared" ca="1" si="194"/>
        <v>0.57616898148148143</v>
      </c>
      <c r="N2470" s="31"/>
      <c r="O2470" s="31">
        <v>50</v>
      </c>
      <c r="P2470" s="29">
        <v>40</v>
      </c>
      <c r="Q2470" s="29">
        <v>60</v>
      </c>
    </row>
    <row r="2471" spans="1:17" x14ac:dyDescent="0.35">
      <c r="A2471" s="26">
        <v>40000002809</v>
      </c>
      <c r="B2471" s="31">
        <v>1</v>
      </c>
      <c r="C2471" s="29" t="str">
        <f>LOOKUP(A2471,'QALS - Inspection Lot Record'!$A$2:$A$361,'QALS - Inspection Lot Record'!$O$2:$O$361)</f>
        <v>Metformin Tablets (500 MG)</v>
      </c>
      <c r="D2471" s="31">
        <v>60</v>
      </c>
      <c r="E2471" s="29" t="s">
        <v>405</v>
      </c>
      <c r="F2471" s="29" t="str">
        <f>LOOKUP(A2471,'QALS - Inspection Lot Record'!A:A,'QALS - Inspection Lot Record'!G:G)</f>
        <v>ZK384180</v>
      </c>
      <c r="G2471" s="59">
        <f ca="1">LOOKUP(A2471,'QALS - Inspection Lot Record'!A:A,'QALS - Inspection Lot Record'!E:E)</f>
        <v>46024</v>
      </c>
      <c r="H2471" s="34" t="str">
        <f t="shared" si="195"/>
        <v>A</v>
      </c>
      <c r="I2471" s="29" t="str">
        <f t="shared" si="191"/>
        <v>ZK384180</v>
      </c>
      <c r="J2471" s="59">
        <f t="shared" ca="1" si="192"/>
        <v>46024</v>
      </c>
      <c r="K2471" s="30">
        <f ca="1">LOOKUP(A2471,'QALS - Inspection Lot Record'!A:A,'QALS - Inspection Lot Record'!I:I)</f>
        <v>0.54263888888888889</v>
      </c>
      <c r="L2471" s="59">
        <f t="shared" ca="1" si="193"/>
        <v>46024</v>
      </c>
      <c r="M2471" s="30">
        <f t="shared" ca="1" si="194"/>
        <v>0.56550925925925921</v>
      </c>
      <c r="N2471" s="31"/>
      <c r="O2471" s="31">
        <v>77.5</v>
      </c>
      <c r="P2471" s="29">
        <v>70</v>
      </c>
      <c r="Q2471" s="29">
        <v>85</v>
      </c>
    </row>
    <row r="2472" spans="1:17" x14ac:dyDescent="0.35">
      <c r="A2472" s="26">
        <v>40000002809</v>
      </c>
      <c r="B2472" s="31">
        <v>1</v>
      </c>
      <c r="C2472" s="29" t="str">
        <f>LOOKUP(A2472,'QALS - Inspection Lot Record'!$A$2:$A$361,'QALS - Inspection Lot Record'!$O$2:$O$361)</f>
        <v>Metformin Tablets (500 MG)</v>
      </c>
      <c r="D2472" s="31">
        <v>70</v>
      </c>
      <c r="E2472" s="29" t="s">
        <v>406</v>
      </c>
      <c r="F2472" s="29" t="str">
        <f>LOOKUP(A2472,'QALS - Inspection Lot Record'!A:A,'QALS - Inspection Lot Record'!G:G)</f>
        <v>ZK384180</v>
      </c>
      <c r="G2472" s="59">
        <f ca="1">LOOKUP(A2472,'QALS - Inspection Lot Record'!A:A,'QALS - Inspection Lot Record'!E:E)</f>
        <v>46024</v>
      </c>
      <c r="H2472" s="34" t="str">
        <f t="shared" si="195"/>
        <v>A</v>
      </c>
      <c r="I2472" s="29" t="str">
        <f t="shared" si="191"/>
        <v>ZK384180</v>
      </c>
      <c r="J2472" s="59">
        <f t="shared" ca="1" si="192"/>
        <v>46024</v>
      </c>
      <c r="K2472" s="30">
        <f ca="1">LOOKUP(A2472,'QALS - Inspection Lot Record'!A:A,'QALS - Inspection Lot Record'!I:I)</f>
        <v>0.54263888888888889</v>
      </c>
      <c r="L2472" s="59">
        <f t="shared" ca="1" si="193"/>
        <v>46024</v>
      </c>
      <c r="M2472" s="30">
        <f t="shared" ca="1" si="194"/>
        <v>0.56266203703703699</v>
      </c>
      <c r="N2472" s="31"/>
      <c r="O2472" s="31">
        <v>85</v>
      </c>
      <c r="P2472" s="29">
        <v>80</v>
      </c>
      <c r="Q2472" s="29">
        <v>90</v>
      </c>
    </row>
    <row r="2473" spans="1:17" x14ac:dyDescent="0.35">
      <c r="A2473" s="26">
        <v>40000002809</v>
      </c>
      <c r="B2473" s="31">
        <v>1</v>
      </c>
      <c r="C2473" s="29" t="str">
        <f>LOOKUP(A2473,'QALS - Inspection Lot Record'!$A$2:$A$361,'QALS - Inspection Lot Record'!$O$2:$O$361)</f>
        <v>Metformin Tablets (500 MG)</v>
      </c>
      <c r="D2473" s="31">
        <v>80</v>
      </c>
      <c r="E2473" s="29" t="s">
        <v>407</v>
      </c>
      <c r="F2473" s="29" t="str">
        <f>LOOKUP(A2473,'QALS - Inspection Lot Record'!A:A,'QALS - Inspection Lot Record'!G:G)</f>
        <v>ZK384180</v>
      </c>
      <c r="G2473" s="59">
        <f ca="1">LOOKUP(A2473,'QALS - Inspection Lot Record'!A:A,'QALS - Inspection Lot Record'!E:E)</f>
        <v>46024</v>
      </c>
      <c r="H2473" s="34" t="str">
        <f t="shared" si="195"/>
        <v>R</v>
      </c>
      <c r="I2473" s="29" t="str">
        <f t="shared" si="191"/>
        <v>ZK384180</v>
      </c>
      <c r="J2473" s="59">
        <f t="shared" ca="1" si="192"/>
        <v>46024</v>
      </c>
      <c r="K2473" s="30">
        <f ca="1">LOOKUP(A2473,'QALS - Inspection Lot Record'!A:A,'QALS - Inspection Lot Record'!I:I)</f>
        <v>0.54263888888888889</v>
      </c>
      <c r="L2473" s="59">
        <f t="shared" ca="1" si="193"/>
        <v>46024</v>
      </c>
      <c r="M2473" s="30">
        <f t="shared" ca="1" si="194"/>
        <v>0.57216435185185188</v>
      </c>
      <c r="N2473" s="31"/>
      <c r="O2473" s="31">
        <v>21.6</v>
      </c>
      <c r="P2473" s="29">
        <v>23</v>
      </c>
      <c r="Q2473" s="29">
        <v>28</v>
      </c>
    </row>
    <row r="2474" spans="1:17" x14ac:dyDescent="0.35">
      <c r="A2474" s="26">
        <v>40000002810</v>
      </c>
      <c r="B2474" s="27">
        <v>1</v>
      </c>
      <c r="C2474" s="29" t="str">
        <f>LOOKUP(A2474,'QALS - Inspection Lot Record'!$A$2:$A$361,'QALS - Inspection Lot Record'!$O$2:$O$361)</f>
        <v>Metformin Tablets (100 MG)</v>
      </c>
      <c r="D2474" s="27">
        <v>10</v>
      </c>
      <c r="E2474" s="26" t="s">
        <v>399</v>
      </c>
      <c r="F2474" s="29" t="str">
        <f>LOOKUP(A2474,'QALS - Inspection Lot Record'!A:A,'QALS - Inspection Lot Record'!G:G)</f>
        <v>TG509538</v>
      </c>
      <c r="G2474" s="59">
        <f ca="1">LOOKUP(A2474,'QALS - Inspection Lot Record'!A:A,'QALS - Inspection Lot Record'!E:E)</f>
        <v>46024</v>
      </c>
      <c r="H2474" s="34" t="str">
        <f t="shared" si="195"/>
        <v>A</v>
      </c>
      <c r="I2474" s="29" t="str">
        <f t="shared" si="191"/>
        <v>TG509538</v>
      </c>
      <c r="J2474" s="59">
        <f t="shared" ca="1" si="192"/>
        <v>46024</v>
      </c>
      <c r="K2474" s="30">
        <f ca="1">LOOKUP(A2474,'QALS - Inspection Lot Record'!A:A,'QALS - Inspection Lot Record'!I:I)</f>
        <v>0.2867939814814815</v>
      </c>
      <c r="L2474" s="59">
        <f t="shared" ca="1" si="193"/>
        <v>46024</v>
      </c>
      <c r="M2474" s="30">
        <f t="shared" ca="1" si="194"/>
        <v>0.30628472222222225</v>
      </c>
      <c r="N2474" s="31"/>
      <c r="O2474" s="31">
        <v>98.5</v>
      </c>
      <c r="P2474" s="29">
        <v>95</v>
      </c>
      <c r="Q2474" s="29">
        <v>102</v>
      </c>
    </row>
    <row r="2475" spans="1:17" x14ac:dyDescent="0.35">
      <c r="A2475" s="26">
        <v>40000002810</v>
      </c>
      <c r="B2475" s="27">
        <v>1</v>
      </c>
      <c r="C2475" s="29" t="str">
        <f>LOOKUP(A2475,'QALS - Inspection Lot Record'!$A$2:$A$361,'QALS - Inspection Lot Record'!$O$2:$O$361)</f>
        <v>Metformin Tablets (100 MG)</v>
      </c>
      <c r="D2475" s="31">
        <v>20</v>
      </c>
      <c r="E2475" s="29" t="s">
        <v>400</v>
      </c>
      <c r="F2475" s="29" t="str">
        <f>LOOKUP(A2475,'QALS - Inspection Lot Record'!A:A,'QALS - Inspection Lot Record'!G:G)</f>
        <v>TG509538</v>
      </c>
      <c r="G2475" s="59">
        <f ca="1">LOOKUP(A2475,'QALS - Inspection Lot Record'!A:A,'QALS - Inspection Lot Record'!E:E)</f>
        <v>46024</v>
      </c>
      <c r="H2475" s="34" t="str">
        <f t="shared" si="195"/>
        <v>R</v>
      </c>
      <c r="I2475" s="29" t="str">
        <f t="shared" si="191"/>
        <v>TG509538</v>
      </c>
      <c r="J2475" s="59">
        <f t="shared" ca="1" si="192"/>
        <v>46024</v>
      </c>
      <c r="K2475" s="30">
        <f ca="1">LOOKUP(A2475,'QALS - Inspection Lot Record'!A:A,'QALS - Inspection Lot Record'!I:I)</f>
        <v>0.2867939814814815</v>
      </c>
      <c r="L2475" s="59">
        <f t="shared" ca="1" si="193"/>
        <v>46024</v>
      </c>
      <c r="M2475" s="30">
        <f t="shared" ca="1" si="194"/>
        <v>0.32215277777777779</v>
      </c>
      <c r="N2475" s="31"/>
      <c r="O2475" s="31">
        <v>2</v>
      </c>
      <c r="P2475" s="29">
        <v>3.5</v>
      </c>
      <c r="Q2475" s="29">
        <v>11</v>
      </c>
    </row>
    <row r="2476" spans="1:17" x14ac:dyDescent="0.35">
      <c r="A2476" s="26">
        <v>40000002810</v>
      </c>
      <c r="B2476" s="31">
        <v>1</v>
      </c>
      <c r="C2476" s="29" t="str">
        <f>LOOKUP(A2476,'QALS - Inspection Lot Record'!$A$2:$A$361,'QALS - Inspection Lot Record'!$O$2:$O$361)</f>
        <v>Metformin Tablets (100 MG)</v>
      </c>
      <c r="D2476" s="31">
        <v>30</v>
      </c>
      <c r="E2476" s="29" t="s">
        <v>401</v>
      </c>
      <c r="F2476" s="29" t="str">
        <f>LOOKUP(A2476,'QALS - Inspection Lot Record'!A:A,'QALS - Inspection Lot Record'!G:G)</f>
        <v>TG509538</v>
      </c>
      <c r="G2476" s="59">
        <f ca="1">LOOKUP(A2476,'QALS - Inspection Lot Record'!A:A,'QALS - Inspection Lot Record'!E:E)</f>
        <v>46024</v>
      </c>
      <c r="H2476" s="34" t="str">
        <f t="shared" si="195"/>
        <v>A</v>
      </c>
      <c r="I2476" s="29" t="str">
        <f t="shared" si="191"/>
        <v>TG509538</v>
      </c>
      <c r="J2476" s="59">
        <f t="shared" ca="1" si="192"/>
        <v>46024</v>
      </c>
      <c r="K2476" s="30">
        <f ca="1">LOOKUP(A2476,'QALS - Inspection Lot Record'!A:A,'QALS - Inspection Lot Record'!I:I)</f>
        <v>0.2867939814814815</v>
      </c>
      <c r="L2476" s="59">
        <f t="shared" ca="1" si="193"/>
        <v>46024</v>
      </c>
      <c r="M2476" s="30">
        <f t="shared" ca="1" si="194"/>
        <v>0.30900462962962966</v>
      </c>
      <c r="N2476" s="11" t="s">
        <v>402</v>
      </c>
      <c r="O2476" s="31"/>
      <c r="P2476" s="29"/>
      <c r="Q2476" s="29"/>
    </row>
    <row r="2477" spans="1:17" x14ac:dyDescent="0.35">
      <c r="A2477" s="26">
        <v>40000002810</v>
      </c>
      <c r="B2477" s="31">
        <v>1</v>
      </c>
      <c r="C2477" s="29" t="str">
        <f>LOOKUP(A2477,'QALS - Inspection Lot Record'!$A$2:$A$361,'QALS - Inspection Lot Record'!$O$2:$O$361)</f>
        <v>Metformin Tablets (100 MG)</v>
      </c>
      <c r="D2477" s="31">
        <v>40</v>
      </c>
      <c r="E2477" s="29" t="s">
        <v>403</v>
      </c>
      <c r="F2477" s="29" t="str">
        <f>LOOKUP(A2477,'QALS - Inspection Lot Record'!A:A,'QALS - Inspection Lot Record'!G:G)</f>
        <v>TG509538</v>
      </c>
      <c r="G2477" s="59">
        <f ca="1">LOOKUP(A2477,'QALS - Inspection Lot Record'!A:A,'QALS - Inspection Lot Record'!E:E)</f>
        <v>46024</v>
      </c>
      <c r="H2477" s="34" t="str">
        <f t="shared" si="195"/>
        <v>A</v>
      </c>
      <c r="I2477" s="29" t="str">
        <f t="shared" si="191"/>
        <v>TG509538</v>
      </c>
      <c r="J2477" s="59">
        <f t="shared" ca="1" si="192"/>
        <v>46024</v>
      </c>
      <c r="K2477" s="30">
        <f ca="1">LOOKUP(A2477,'QALS - Inspection Lot Record'!A:A,'QALS - Inspection Lot Record'!I:I)</f>
        <v>0.2867939814814815</v>
      </c>
      <c r="L2477" s="59">
        <f t="shared" ca="1" si="193"/>
        <v>46024</v>
      </c>
      <c r="M2477" s="30">
        <f t="shared" ca="1" si="194"/>
        <v>0.31549768518518517</v>
      </c>
      <c r="N2477" s="31"/>
      <c r="O2477" s="31">
        <v>0</v>
      </c>
      <c r="P2477" s="29">
        <v>0</v>
      </c>
      <c r="Q2477" s="29">
        <v>1</v>
      </c>
    </row>
    <row r="2478" spans="1:17" x14ac:dyDescent="0.35">
      <c r="A2478" s="26">
        <v>40000002810</v>
      </c>
      <c r="B2478" s="31">
        <v>1</v>
      </c>
      <c r="C2478" s="29" t="str">
        <f>LOOKUP(A2478,'QALS - Inspection Lot Record'!$A$2:$A$361,'QALS - Inspection Lot Record'!$O$2:$O$361)</f>
        <v>Metformin Tablets (100 MG)</v>
      </c>
      <c r="D2478" s="31">
        <v>50</v>
      </c>
      <c r="E2478" s="29" t="s">
        <v>404</v>
      </c>
      <c r="F2478" s="29" t="str">
        <f>LOOKUP(A2478,'QALS - Inspection Lot Record'!A:A,'QALS - Inspection Lot Record'!G:G)</f>
        <v>TG509538</v>
      </c>
      <c r="G2478" s="59">
        <f ca="1">LOOKUP(A2478,'QALS - Inspection Lot Record'!A:A,'QALS - Inspection Lot Record'!E:E)</f>
        <v>46024</v>
      </c>
      <c r="H2478" s="34" t="str">
        <f t="shared" si="195"/>
        <v>A</v>
      </c>
      <c r="I2478" s="29" t="str">
        <f t="shared" si="191"/>
        <v>TG509538</v>
      </c>
      <c r="J2478" s="59">
        <f t="shared" ca="1" si="192"/>
        <v>46024</v>
      </c>
      <c r="K2478" s="30">
        <f ca="1">LOOKUP(A2478,'QALS - Inspection Lot Record'!A:A,'QALS - Inspection Lot Record'!I:I)</f>
        <v>0.2867939814814815</v>
      </c>
      <c r="L2478" s="59">
        <f t="shared" ca="1" si="193"/>
        <v>46024</v>
      </c>
      <c r="M2478" s="30">
        <f t="shared" ca="1" si="194"/>
        <v>0.31971064814814815</v>
      </c>
      <c r="N2478" s="31"/>
      <c r="O2478" s="31">
        <v>50</v>
      </c>
      <c r="P2478" s="29">
        <v>40</v>
      </c>
      <c r="Q2478" s="29">
        <v>60</v>
      </c>
    </row>
    <row r="2479" spans="1:17" x14ac:dyDescent="0.35">
      <c r="A2479" s="26">
        <v>40000002810</v>
      </c>
      <c r="B2479" s="31">
        <v>1</v>
      </c>
      <c r="C2479" s="29" t="str">
        <f>LOOKUP(A2479,'QALS - Inspection Lot Record'!$A$2:$A$361,'QALS - Inspection Lot Record'!$O$2:$O$361)</f>
        <v>Metformin Tablets (100 MG)</v>
      </c>
      <c r="D2479" s="31">
        <v>60</v>
      </c>
      <c r="E2479" s="29" t="s">
        <v>405</v>
      </c>
      <c r="F2479" s="29" t="str">
        <f>LOOKUP(A2479,'QALS - Inspection Lot Record'!A:A,'QALS - Inspection Lot Record'!G:G)</f>
        <v>TG509538</v>
      </c>
      <c r="G2479" s="59">
        <f ca="1">LOOKUP(A2479,'QALS - Inspection Lot Record'!A:A,'QALS - Inspection Lot Record'!E:E)</f>
        <v>46024</v>
      </c>
      <c r="H2479" s="34" t="str">
        <f t="shared" si="195"/>
        <v>R</v>
      </c>
      <c r="I2479" s="29" t="str">
        <f t="shared" si="191"/>
        <v>TG509538</v>
      </c>
      <c r="J2479" s="59">
        <f t="shared" ca="1" si="192"/>
        <v>46024</v>
      </c>
      <c r="K2479" s="30">
        <f ca="1">LOOKUP(A2479,'QALS - Inspection Lot Record'!A:A,'QALS - Inspection Lot Record'!I:I)</f>
        <v>0.2867939814814815</v>
      </c>
      <c r="L2479" s="59">
        <f t="shared" ca="1" si="193"/>
        <v>46024</v>
      </c>
      <c r="M2479" s="30">
        <f t="shared" ca="1" si="194"/>
        <v>0.31417824074074074</v>
      </c>
      <c r="N2479" s="31"/>
      <c r="O2479" s="31">
        <v>68.2</v>
      </c>
      <c r="P2479" s="29">
        <v>70</v>
      </c>
      <c r="Q2479" s="29">
        <v>85</v>
      </c>
    </row>
    <row r="2480" spans="1:17" x14ac:dyDescent="0.35">
      <c r="A2480" s="26">
        <v>40000002810</v>
      </c>
      <c r="B2480" s="31">
        <v>1</v>
      </c>
      <c r="C2480" s="29" t="str">
        <f>LOOKUP(A2480,'QALS - Inspection Lot Record'!$A$2:$A$361,'QALS - Inspection Lot Record'!$O$2:$O$361)</f>
        <v>Metformin Tablets (100 MG)</v>
      </c>
      <c r="D2480" s="31">
        <v>70</v>
      </c>
      <c r="E2480" s="29" t="s">
        <v>406</v>
      </c>
      <c r="F2480" s="29" t="str">
        <f>LOOKUP(A2480,'QALS - Inspection Lot Record'!A:A,'QALS - Inspection Lot Record'!G:G)</f>
        <v>TG509538</v>
      </c>
      <c r="G2480" s="59">
        <f ca="1">LOOKUP(A2480,'QALS - Inspection Lot Record'!A:A,'QALS - Inspection Lot Record'!E:E)</f>
        <v>46024</v>
      </c>
      <c r="H2480" s="34" t="str">
        <f t="shared" si="195"/>
        <v>A</v>
      </c>
      <c r="I2480" s="29" t="str">
        <f t="shared" si="191"/>
        <v>TG509538</v>
      </c>
      <c r="J2480" s="59">
        <f t="shared" ca="1" si="192"/>
        <v>46024</v>
      </c>
      <c r="K2480" s="30">
        <f ca="1">LOOKUP(A2480,'QALS - Inspection Lot Record'!A:A,'QALS - Inspection Lot Record'!I:I)</f>
        <v>0.2867939814814815</v>
      </c>
      <c r="L2480" s="59">
        <f t="shared" ca="1" si="193"/>
        <v>46024</v>
      </c>
      <c r="M2480" s="30">
        <f t="shared" ca="1" si="194"/>
        <v>0.3087037037037037</v>
      </c>
      <c r="N2480" s="31"/>
      <c r="O2480" s="31">
        <v>85</v>
      </c>
      <c r="P2480" s="29">
        <v>80</v>
      </c>
      <c r="Q2480" s="29">
        <v>90</v>
      </c>
    </row>
    <row r="2481" spans="1:17" x14ac:dyDescent="0.35">
      <c r="A2481" s="26">
        <v>40000002810</v>
      </c>
      <c r="B2481" s="31">
        <v>1</v>
      </c>
      <c r="C2481" s="29" t="str">
        <f>LOOKUP(A2481,'QALS - Inspection Lot Record'!$A$2:$A$361,'QALS - Inspection Lot Record'!$O$2:$O$361)</f>
        <v>Metformin Tablets (100 MG)</v>
      </c>
      <c r="D2481" s="31">
        <v>80</v>
      </c>
      <c r="E2481" s="29" t="s">
        <v>407</v>
      </c>
      <c r="F2481" s="29" t="str">
        <f>LOOKUP(A2481,'QALS - Inspection Lot Record'!A:A,'QALS - Inspection Lot Record'!G:G)</f>
        <v>TG509538</v>
      </c>
      <c r="G2481" s="59">
        <f ca="1">LOOKUP(A2481,'QALS - Inspection Lot Record'!A:A,'QALS - Inspection Lot Record'!E:E)</f>
        <v>46024</v>
      </c>
      <c r="H2481" s="34" t="str">
        <f t="shared" si="195"/>
        <v>A</v>
      </c>
      <c r="I2481" s="29" t="str">
        <f t="shared" si="191"/>
        <v>TG509538</v>
      </c>
      <c r="J2481" s="59">
        <f t="shared" ca="1" si="192"/>
        <v>46024</v>
      </c>
      <c r="K2481" s="30">
        <f ca="1">LOOKUP(A2481,'QALS - Inspection Lot Record'!A:A,'QALS - Inspection Lot Record'!I:I)</f>
        <v>0.2867939814814815</v>
      </c>
      <c r="L2481" s="59">
        <f t="shared" ca="1" si="193"/>
        <v>46024</v>
      </c>
      <c r="M2481" s="30">
        <f t="shared" ca="1" si="194"/>
        <v>0.30451388888888892</v>
      </c>
      <c r="N2481" s="31"/>
      <c r="O2481" s="31">
        <v>24</v>
      </c>
      <c r="P2481" s="29">
        <v>23</v>
      </c>
      <c r="Q2481" s="29">
        <v>25</v>
      </c>
    </row>
    <row r="2482" spans="1:17" x14ac:dyDescent="0.35">
      <c r="A2482" s="26">
        <v>40000002811</v>
      </c>
      <c r="B2482" s="27">
        <v>1</v>
      </c>
      <c r="C2482" s="29" t="str">
        <f>LOOKUP(A2482,'QALS - Inspection Lot Record'!$A$2:$A$361,'QALS - Inspection Lot Record'!$O$2:$O$361)</f>
        <v>Metformin Tablets (200 MG)</v>
      </c>
      <c r="D2482" s="27">
        <v>10</v>
      </c>
      <c r="E2482" s="26" t="s">
        <v>399</v>
      </c>
      <c r="F2482" s="29" t="str">
        <f>LOOKUP(A2482,'QALS - Inspection Lot Record'!A:A,'QALS - Inspection Lot Record'!G:G)</f>
        <v>ZK384180</v>
      </c>
      <c r="G2482" s="59">
        <f ca="1">LOOKUP(A2482,'QALS - Inspection Lot Record'!A:A,'QALS - Inspection Lot Record'!E:E)</f>
        <v>46025</v>
      </c>
      <c r="H2482" s="34" t="str">
        <f t="shared" si="195"/>
        <v>R</v>
      </c>
      <c r="I2482" s="29" t="str">
        <f t="shared" si="191"/>
        <v>ZK384180</v>
      </c>
      <c r="J2482" s="59">
        <f t="shared" ca="1" si="192"/>
        <v>46025</v>
      </c>
      <c r="K2482" s="30">
        <f ca="1">LOOKUP(A2482,'QALS - Inspection Lot Record'!A:A,'QALS - Inspection Lot Record'!I:I)</f>
        <v>0.65353009259259254</v>
      </c>
      <c r="L2482" s="59">
        <f t="shared" ca="1" si="193"/>
        <v>46025</v>
      </c>
      <c r="M2482" s="30">
        <f t="shared" ca="1" si="194"/>
        <v>0.671875</v>
      </c>
      <c r="N2482" s="31"/>
      <c r="O2482" s="31">
        <v>93.7</v>
      </c>
      <c r="P2482" s="29">
        <v>95</v>
      </c>
      <c r="Q2482" s="29">
        <v>103</v>
      </c>
    </row>
    <row r="2483" spans="1:17" x14ac:dyDescent="0.35">
      <c r="A2483" s="26">
        <v>40000002811</v>
      </c>
      <c r="B2483" s="27">
        <v>1</v>
      </c>
      <c r="C2483" s="29" t="str">
        <f>LOOKUP(A2483,'QALS - Inspection Lot Record'!$A$2:$A$361,'QALS - Inspection Lot Record'!$O$2:$O$361)</f>
        <v>Metformin Tablets (200 MG)</v>
      </c>
      <c r="D2483" s="31">
        <v>20</v>
      </c>
      <c r="E2483" s="29" t="s">
        <v>400</v>
      </c>
      <c r="F2483" s="29" t="str">
        <f>LOOKUP(A2483,'QALS - Inspection Lot Record'!A:A,'QALS - Inspection Lot Record'!G:G)</f>
        <v>ZK384180</v>
      </c>
      <c r="G2483" s="59">
        <f ca="1">LOOKUP(A2483,'QALS - Inspection Lot Record'!A:A,'QALS - Inspection Lot Record'!E:E)</f>
        <v>46025</v>
      </c>
      <c r="H2483" s="34" t="str">
        <f t="shared" si="195"/>
        <v>A</v>
      </c>
      <c r="I2483" s="29" t="str">
        <f t="shared" si="191"/>
        <v>ZK384180</v>
      </c>
      <c r="J2483" s="59">
        <f t="shared" ca="1" si="192"/>
        <v>46025</v>
      </c>
      <c r="K2483" s="30">
        <f ca="1">LOOKUP(A2483,'QALS - Inspection Lot Record'!A:A,'QALS - Inspection Lot Record'!I:I)</f>
        <v>0.65353009259259254</v>
      </c>
      <c r="L2483" s="59">
        <f t="shared" ca="1" si="193"/>
        <v>46025</v>
      </c>
      <c r="M2483" s="30">
        <f t="shared" ca="1" si="194"/>
        <v>0.68427083333333327</v>
      </c>
      <c r="N2483" s="31"/>
      <c r="O2483" s="31">
        <v>7.8</v>
      </c>
      <c r="P2483" s="29">
        <v>6</v>
      </c>
      <c r="Q2483" s="29">
        <v>9.5</v>
      </c>
    </row>
    <row r="2484" spans="1:17" x14ac:dyDescent="0.35">
      <c r="A2484" s="26">
        <v>40000002811</v>
      </c>
      <c r="B2484" s="31">
        <v>1</v>
      </c>
      <c r="C2484" s="29" t="str">
        <f>LOOKUP(A2484,'QALS - Inspection Lot Record'!$A$2:$A$361,'QALS - Inspection Lot Record'!$O$2:$O$361)</f>
        <v>Metformin Tablets (200 MG)</v>
      </c>
      <c r="D2484" s="31">
        <v>30</v>
      </c>
      <c r="E2484" s="29" t="s">
        <v>401</v>
      </c>
      <c r="F2484" s="29" t="str">
        <f>LOOKUP(A2484,'QALS - Inspection Lot Record'!A:A,'QALS - Inspection Lot Record'!G:G)</f>
        <v>ZK384180</v>
      </c>
      <c r="G2484" s="59">
        <f ca="1">LOOKUP(A2484,'QALS - Inspection Lot Record'!A:A,'QALS - Inspection Lot Record'!E:E)</f>
        <v>46025</v>
      </c>
      <c r="H2484" s="34" t="str">
        <f t="shared" si="195"/>
        <v>A</v>
      </c>
      <c r="I2484" s="29" t="str">
        <f t="shared" si="191"/>
        <v>ZK384180</v>
      </c>
      <c r="J2484" s="59">
        <f t="shared" ca="1" si="192"/>
        <v>46025</v>
      </c>
      <c r="K2484" s="30">
        <f ca="1">LOOKUP(A2484,'QALS - Inspection Lot Record'!A:A,'QALS - Inspection Lot Record'!I:I)</f>
        <v>0.65353009259259254</v>
      </c>
      <c r="L2484" s="59">
        <f t="shared" ca="1" si="193"/>
        <v>46025</v>
      </c>
      <c r="M2484" s="30">
        <f t="shared" ca="1" si="194"/>
        <v>0.67420138888888881</v>
      </c>
      <c r="N2484" s="11" t="s">
        <v>402</v>
      </c>
      <c r="O2484" s="31"/>
      <c r="P2484" s="29"/>
      <c r="Q2484" s="29"/>
    </row>
    <row r="2485" spans="1:17" x14ac:dyDescent="0.35">
      <c r="A2485" s="26">
        <v>40000002811</v>
      </c>
      <c r="B2485" s="31">
        <v>1</v>
      </c>
      <c r="C2485" s="29" t="str">
        <f>LOOKUP(A2485,'QALS - Inspection Lot Record'!$A$2:$A$361,'QALS - Inspection Lot Record'!$O$2:$O$361)</f>
        <v>Metformin Tablets (200 MG)</v>
      </c>
      <c r="D2485" s="31">
        <v>40</v>
      </c>
      <c r="E2485" s="29" t="s">
        <v>403</v>
      </c>
      <c r="F2485" s="29" t="str">
        <f>LOOKUP(A2485,'QALS - Inspection Lot Record'!A:A,'QALS - Inspection Lot Record'!G:G)</f>
        <v>ZK384180</v>
      </c>
      <c r="G2485" s="59">
        <f ca="1">LOOKUP(A2485,'QALS - Inspection Lot Record'!A:A,'QALS - Inspection Lot Record'!E:E)</f>
        <v>46025</v>
      </c>
      <c r="H2485" s="34" t="str">
        <f t="shared" si="195"/>
        <v>A</v>
      </c>
      <c r="I2485" s="29" t="str">
        <f t="shared" si="191"/>
        <v>ZK384180</v>
      </c>
      <c r="J2485" s="59">
        <f t="shared" ca="1" si="192"/>
        <v>46025</v>
      </c>
      <c r="K2485" s="30">
        <f ca="1">LOOKUP(A2485,'QALS - Inspection Lot Record'!A:A,'QALS - Inspection Lot Record'!I:I)</f>
        <v>0.65353009259259254</v>
      </c>
      <c r="L2485" s="59">
        <f t="shared" ca="1" si="193"/>
        <v>46025</v>
      </c>
      <c r="M2485" s="30">
        <f t="shared" ca="1" si="194"/>
        <v>0.68827546296296294</v>
      </c>
      <c r="N2485" s="31"/>
      <c r="O2485" s="31">
        <v>1.6</v>
      </c>
      <c r="P2485" s="29">
        <v>0</v>
      </c>
      <c r="Q2485" s="29">
        <v>2</v>
      </c>
    </row>
    <row r="2486" spans="1:17" x14ac:dyDescent="0.35">
      <c r="A2486" s="26">
        <v>40000002811</v>
      </c>
      <c r="B2486" s="31">
        <v>1</v>
      </c>
      <c r="C2486" s="29" t="str">
        <f>LOOKUP(A2486,'QALS - Inspection Lot Record'!$A$2:$A$361,'QALS - Inspection Lot Record'!$O$2:$O$361)</f>
        <v>Metformin Tablets (200 MG)</v>
      </c>
      <c r="D2486" s="31">
        <v>50</v>
      </c>
      <c r="E2486" s="29" t="s">
        <v>404</v>
      </c>
      <c r="F2486" s="29" t="str">
        <f>LOOKUP(A2486,'QALS - Inspection Lot Record'!A:A,'QALS - Inspection Lot Record'!G:G)</f>
        <v>ZK384180</v>
      </c>
      <c r="G2486" s="59">
        <f ca="1">LOOKUP(A2486,'QALS - Inspection Lot Record'!A:A,'QALS - Inspection Lot Record'!E:E)</f>
        <v>46025</v>
      </c>
      <c r="H2486" s="34" t="str">
        <f t="shared" si="195"/>
        <v>A</v>
      </c>
      <c r="I2486" s="29" t="str">
        <f t="shared" si="191"/>
        <v>ZK384180</v>
      </c>
      <c r="J2486" s="59">
        <f t="shared" ca="1" si="192"/>
        <v>46025</v>
      </c>
      <c r="K2486" s="30">
        <f ca="1">LOOKUP(A2486,'QALS - Inspection Lot Record'!A:A,'QALS - Inspection Lot Record'!I:I)</f>
        <v>0.65353009259259254</v>
      </c>
      <c r="L2486" s="59">
        <f t="shared" ca="1" si="193"/>
        <v>46025</v>
      </c>
      <c r="M2486" s="30">
        <f t="shared" ca="1" si="194"/>
        <v>0.673761574074074</v>
      </c>
      <c r="N2486" s="31"/>
      <c r="O2486" s="31">
        <v>41.8</v>
      </c>
      <c r="P2486" s="29">
        <v>40</v>
      </c>
      <c r="Q2486" s="29">
        <v>60</v>
      </c>
    </row>
    <row r="2487" spans="1:17" x14ac:dyDescent="0.35">
      <c r="A2487" s="26">
        <v>40000002811</v>
      </c>
      <c r="B2487" s="31">
        <v>1</v>
      </c>
      <c r="C2487" s="29" t="str">
        <f>LOOKUP(A2487,'QALS - Inspection Lot Record'!$A$2:$A$361,'QALS - Inspection Lot Record'!$O$2:$O$361)</f>
        <v>Metformin Tablets (200 MG)</v>
      </c>
      <c r="D2487" s="31">
        <v>60</v>
      </c>
      <c r="E2487" s="29" t="s">
        <v>405</v>
      </c>
      <c r="F2487" s="29" t="str">
        <f>LOOKUP(A2487,'QALS - Inspection Lot Record'!A:A,'QALS - Inspection Lot Record'!G:G)</f>
        <v>ZK384180</v>
      </c>
      <c r="G2487" s="59">
        <f ca="1">LOOKUP(A2487,'QALS - Inspection Lot Record'!A:A,'QALS - Inspection Lot Record'!E:E)</f>
        <v>46025</v>
      </c>
      <c r="H2487" s="34" t="str">
        <f t="shared" si="195"/>
        <v>A</v>
      </c>
      <c r="I2487" s="29" t="str">
        <f t="shared" si="191"/>
        <v>ZK384180</v>
      </c>
      <c r="J2487" s="59">
        <f t="shared" ca="1" si="192"/>
        <v>46025</v>
      </c>
      <c r="K2487" s="30">
        <f ca="1">LOOKUP(A2487,'QALS - Inspection Lot Record'!A:A,'QALS - Inspection Lot Record'!I:I)</f>
        <v>0.65353009259259254</v>
      </c>
      <c r="L2487" s="59">
        <f t="shared" ca="1" si="193"/>
        <v>46025</v>
      </c>
      <c r="M2487" s="30">
        <f t="shared" ca="1" si="194"/>
        <v>0.67917824074074074</v>
      </c>
      <c r="N2487" s="31"/>
      <c r="O2487" s="31">
        <v>71.2</v>
      </c>
      <c r="P2487" s="29">
        <v>70</v>
      </c>
      <c r="Q2487" s="29">
        <v>85</v>
      </c>
    </row>
    <row r="2488" spans="1:17" x14ac:dyDescent="0.35">
      <c r="A2488" s="26">
        <v>40000002811</v>
      </c>
      <c r="B2488" s="31">
        <v>1</v>
      </c>
      <c r="C2488" s="29" t="str">
        <f>LOOKUP(A2488,'QALS - Inspection Lot Record'!$A$2:$A$361,'QALS - Inspection Lot Record'!$O$2:$O$361)</f>
        <v>Metformin Tablets (200 MG)</v>
      </c>
      <c r="D2488" s="31">
        <v>70</v>
      </c>
      <c r="E2488" s="29" t="s">
        <v>406</v>
      </c>
      <c r="F2488" s="29" t="str">
        <f>LOOKUP(A2488,'QALS - Inspection Lot Record'!A:A,'QALS - Inspection Lot Record'!G:G)</f>
        <v>ZK384180</v>
      </c>
      <c r="G2488" s="59">
        <f ca="1">LOOKUP(A2488,'QALS - Inspection Lot Record'!A:A,'QALS - Inspection Lot Record'!E:E)</f>
        <v>46025</v>
      </c>
      <c r="H2488" s="34" t="str">
        <f t="shared" si="195"/>
        <v>A</v>
      </c>
      <c r="I2488" s="29" t="str">
        <f t="shared" si="191"/>
        <v>ZK384180</v>
      </c>
      <c r="J2488" s="59">
        <f t="shared" ca="1" si="192"/>
        <v>46025</v>
      </c>
      <c r="K2488" s="30">
        <f ca="1">LOOKUP(A2488,'QALS - Inspection Lot Record'!A:A,'QALS - Inspection Lot Record'!I:I)</f>
        <v>0.65353009259259254</v>
      </c>
      <c r="L2488" s="59">
        <f t="shared" ca="1" si="193"/>
        <v>46025</v>
      </c>
      <c r="M2488" s="30">
        <f t="shared" ca="1" si="194"/>
        <v>0.67202546296296295</v>
      </c>
      <c r="N2488" s="31"/>
      <c r="O2488" s="31">
        <v>81.8</v>
      </c>
      <c r="P2488" s="29">
        <v>80</v>
      </c>
      <c r="Q2488" s="29">
        <v>90</v>
      </c>
    </row>
    <row r="2489" spans="1:17" x14ac:dyDescent="0.35">
      <c r="A2489" s="26">
        <v>40000002811</v>
      </c>
      <c r="B2489" s="31">
        <v>1</v>
      </c>
      <c r="C2489" s="29" t="str">
        <f>LOOKUP(A2489,'QALS - Inspection Lot Record'!$A$2:$A$361,'QALS - Inspection Lot Record'!$O$2:$O$361)</f>
        <v>Metformin Tablets (200 MG)</v>
      </c>
      <c r="D2489" s="31">
        <v>80</v>
      </c>
      <c r="E2489" s="29" t="s">
        <v>407</v>
      </c>
      <c r="F2489" s="29" t="str">
        <f>LOOKUP(A2489,'QALS - Inspection Lot Record'!A:A,'QALS - Inspection Lot Record'!G:G)</f>
        <v>ZK384180</v>
      </c>
      <c r="G2489" s="59">
        <f ca="1">LOOKUP(A2489,'QALS - Inspection Lot Record'!A:A,'QALS - Inspection Lot Record'!E:E)</f>
        <v>46025</v>
      </c>
      <c r="H2489" s="34" t="str">
        <f t="shared" si="195"/>
        <v>A</v>
      </c>
      <c r="I2489" s="29" t="str">
        <f t="shared" si="191"/>
        <v>ZK384180</v>
      </c>
      <c r="J2489" s="59">
        <f t="shared" ca="1" si="192"/>
        <v>46025</v>
      </c>
      <c r="K2489" s="30">
        <f ca="1">LOOKUP(A2489,'QALS - Inspection Lot Record'!A:A,'QALS - Inspection Lot Record'!I:I)</f>
        <v>0.65353009259259254</v>
      </c>
      <c r="L2489" s="59">
        <f t="shared" ca="1" si="193"/>
        <v>46025</v>
      </c>
      <c r="M2489" s="30">
        <f t="shared" ca="1" si="194"/>
        <v>0.67760416666666656</v>
      </c>
      <c r="N2489" s="31"/>
      <c r="O2489" s="31">
        <v>25.5</v>
      </c>
      <c r="P2489" s="29">
        <v>23</v>
      </c>
      <c r="Q2489" s="29">
        <v>28</v>
      </c>
    </row>
    <row r="2490" spans="1:17" x14ac:dyDescent="0.35">
      <c r="A2490" s="26">
        <v>40000002812</v>
      </c>
      <c r="B2490" s="27">
        <v>1</v>
      </c>
      <c r="C2490" s="29" t="str">
        <f>LOOKUP(A2490,'QALS - Inspection Lot Record'!$A$2:$A$361,'QALS - Inspection Lot Record'!$O$2:$O$361)</f>
        <v>Metformin Tablets (100 MG)</v>
      </c>
      <c r="D2490" s="27">
        <v>10</v>
      </c>
      <c r="E2490" s="26" t="s">
        <v>399</v>
      </c>
      <c r="F2490" s="29" t="str">
        <f>LOOKUP(A2490,'QALS - Inspection Lot Record'!A:A,'QALS - Inspection Lot Record'!G:G)</f>
        <v>GC197258</v>
      </c>
      <c r="G2490" s="59">
        <f ca="1">LOOKUP(A2490,'QALS - Inspection Lot Record'!A:A,'QALS - Inspection Lot Record'!E:E)</f>
        <v>46025</v>
      </c>
      <c r="H2490" s="34" t="str">
        <f t="shared" si="195"/>
        <v>A</v>
      </c>
      <c r="I2490" s="29" t="str">
        <f t="shared" si="191"/>
        <v>GC197258</v>
      </c>
      <c r="J2490" s="59">
        <f t="shared" ca="1" si="192"/>
        <v>46025</v>
      </c>
      <c r="K2490" s="30">
        <f ca="1">LOOKUP(A2490,'QALS - Inspection Lot Record'!A:A,'QALS - Inspection Lot Record'!I:I)</f>
        <v>0.19712962962962963</v>
      </c>
      <c r="L2490" s="59">
        <f t="shared" ca="1" si="193"/>
        <v>46025</v>
      </c>
      <c r="M2490" s="30">
        <f t="shared" ca="1" si="194"/>
        <v>0.23149305555555555</v>
      </c>
      <c r="N2490" s="31"/>
      <c r="O2490" s="31">
        <v>98.5</v>
      </c>
      <c r="P2490" s="29">
        <v>95</v>
      </c>
      <c r="Q2490" s="29">
        <v>102</v>
      </c>
    </row>
    <row r="2491" spans="1:17" x14ac:dyDescent="0.35">
      <c r="A2491" s="26">
        <v>40000002812</v>
      </c>
      <c r="B2491" s="27">
        <v>1</v>
      </c>
      <c r="C2491" s="29" t="str">
        <f>LOOKUP(A2491,'QALS - Inspection Lot Record'!$A$2:$A$361,'QALS - Inspection Lot Record'!$O$2:$O$361)</f>
        <v>Metformin Tablets (100 MG)</v>
      </c>
      <c r="D2491" s="31">
        <v>20</v>
      </c>
      <c r="E2491" s="29" t="s">
        <v>400</v>
      </c>
      <c r="F2491" s="29" t="str">
        <f>LOOKUP(A2491,'QALS - Inspection Lot Record'!A:A,'QALS - Inspection Lot Record'!G:G)</f>
        <v>GC197258</v>
      </c>
      <c r="G2491" s="59">
        <f ca="1">LOOKUP(A2491,'QALS - Inspection Lot Record'!A:A,'QALS - Inspection Lot Record'!E:E)</f>
        <v>46025</v>
      </c>
      <c r="H2491" s="34" t="str">
        <f t="shared" si="195"/>
        <v>A</v>
      </c>
      <c r="I2491" s="29" t="str">
        <f t="shared" si="191"/>
        <v>GC197258</v>
      </c>
      <c r="J2491" s="59">
        <f t="shared" ca="1" si="192"/>
        <v>46025</v>
      </c>
      <c r="K2491" s="30">
        <f ca="1">LOOKUP(A2491,'QALS - Inspection Lot Record'!A:A,'QALS - Inspection Lot Record'!I:I)</f>
        <v>0.19712962962962963</v>
      </c>
      <c r="L2491" s="59">
        <f t="shared" ca="1" si="193"/>
        <v>46025</v>
      </c>
      <c r="M2491" s="30">
        <f t="shared" ca="1" si="194"/>
        <v>0.22921296296296295</v>
      </c>
      <c r="N2491" s="31"/>
      <c r="O2491" s="31">
        <v>7.3</v>
      </c>
      <c r="P2491" s="29">
        <v>3.5</v>
      </c>
      <c r="Q2491" s="29">
        <v>11</v>
      </c>
    </row>
    <row r="2492" spans="1:17" x14ac:dyDescent="0.35">
      <c r="A2492" s="26">
        <v>40000002812</v>
      </c>
      <c r="B2492" s="31">
        <v>1</v>
      </c>
      <c r="C2492" s="29" t="str">
        <f>LOOKUP(A2492,'QALS - Inspection Lot Record'!$A$2:$A$361,'QALS - Inspection Lot Record'!$O$2:$O$361)</f>
        <v>Metformin Tablets (100 MG)</v>
      </c>
      <c r="D2492" s="31">
        <v>30</v>
      </c>
      <c r="E2492" s="29" t="s">
        <v>401</v>
      </c>
      <c r="F2492" s="29" t="str">
        <f>LOOKUP(A2492,'QALS - Inspection Lot Record'!A:A,'QALS - Inspection Lot Record'!G:G)</f>
        <v>GC197258</v>
      </c>
      <c r="G2492" s="59">
        <f ca="1">LOOKUP(A2492,'QALS - Inspection Lot Record'!A:A,'QALS - Inspection Lot Record'!E:E)</f>
        <v>46025</v>
      </c>
      <c r="H2492" s="34" t="str">
        <f t="shared" si="195"/>
        <v>A</v>
      </c>
      <c r="I2492" s="29" t="str">
        <f t="shared" si="191"/>
        <v>GC197258</v>
      </c>
      <c r="J2492" s="59">
        <f t="shared" ca="1" si="192"/>
        <v>46025</v>
      </c>
      <c r="K2492" s="30">
        <f ca="1">LOOKUP(A2492,'QALS - Inspection Lot Record'!A:A,'QALS - Inspection Lot Record'!I:I)</f>
        <v>0.19712962962962963</v>
      </c>
      <c r="L2492" s="59">
        <f t="shared" ca="1" si="193"/>
        <v>46025</v>
      </c>
      <c r="M2492" s="30">
        <f t="shared" ca="1" si="194"/>
        <v>0.21839120370370371</v>
      </c>
      <c r="N2492" s="11" t="s">
        <v>402</v>
      </c>
      <c r="O2492" s="31"/>
      <c r="P2492" s="29"/>
      <c r="Q2492" s="29"/>
    </row>
    <row r="2493" spans="1:17" x14ac:dyDescent="0.35">
      <c r="A2493" s="26">
        <v>40000002812</v>
      </c>
      <c r="B2493" s="31">
        <v>1</v>
      </c>
      <c r="C2493" s="29" t="str">
        <f>LOOKUP(A2493,'QALS - Inspection Lot Record'!$A$2:$A$361,'QALS - Inspection Lot Record'!$O$2:$O$361)</f>
        <v>Metformin Tablets (100 MG)</v>
      </c>
      <c r="D2493" s="31">
        <v>40</v>
      </c>
      <c r="E2493" s="29" t="s">
        <v>403</v>
      </c>
      <c r="F2493" s="29" t="str">
        <f>LOOKUP(A2493,'QALS - Inspection Lot Record'!A:A,'QALS - Inspection Lot Record'!G:G)</f>
        <v>GC197258</v>
      </c>
      <c r="G2493" s="59">
        <f ca="1">LOOKUP(A2493,'QALS - Inspection Lot Record'!A:A,'QALS - Inspection Lot Record'!E:E)</f>
        <v>46025</v>
      </c>
      <c r="H2493" s="34" t="str">
        <f t="shared" si="195"/>
        <v>A</v>
      </c>
      <c r="I2493" s="29" t="str">
        <f t="shared" si="191"/>
        <v>GC197258</v>
      </c>
      <c r="J2493" s="59">
        <f t="shared" ca="1" si="192"/>
        <v>46025</v>
      </c>
      <c r="K2493" s="30">
        <f ca="1">LOOKUP(A2493,'QALS - Inspection Lot Record'!A:A,'QALS - Inspection Lot Record'!I:I)</f>
        <v>0.19712962962962963</v>
      </c>
      <c r="L2493" s="59">
        <f t="shared" ca="1" si="193"/>
        <v>46025</v>
      </c>
      <c r="M2493" s="30">
        <f t="shared" ca="1" si="194"/>
        <v>0.22668981481481482</v>
      </c>
      <c r="N2493" s="31"/>
      <c r="O2493" s="31">
        <v>0.5</v>
      </c>
      <c r="P2493" s="29">
        <v>0</v>
      </c>
      <c r="Q2493" s="29">
        <v>1</v>
      </c>
    </row>
    <row r="2494" spans="1:17" x14ac:dyDescent="0.35">
      <c r="A2494" s="26">
        <v>40000002812</v>
      </c>
      <c r="B2494" s="31">
        <v>1</v>
      </c>
      <c r="C2494" s="29" t="str">
        <f>LOOKUP(A2494,'QALS - Inspection Lot Record'!$A$2:$A$361,'QALS - Inspection Lot Record'!$O$2:$O$361)</f>
        <v>Metformin Tablets (100 MG)</v>
      </c>
      <c r="D2494" s="31">
        <v>50</v>
      </c>
      <c r="E2494" s="29" t="s">
        <v>404</v>
      </c>
      <c r="F2494" s="29" t="str">
        <f>LOOKUP(A2494,'QALS - Inspection Lot Record'!A:A,'QALS - Inspection Lot Record'!G:G)</f>
        <v>GC197258</v>
      </c>
      <c r="G2494" s="59">
        <f ca="1">LOOKUP(A2494,'QALS - Inspection Lot Record'!A:A,'QALS - Inspection Lot Record'!E:E)</f>
        <v>46025</v>
      </c>
      <c r="H2494" s="34" t="str">
        <f t="shared" si="195"/>
        <v>A</v>
      </c>
      <c r="I2494" s="29" t="str">
        <f t="shared" si="191"/>
        <v>GC197258</v>
      </c>
      <c r="J2494" s="59">
        <f t="shared" ca="1" si="192"/>
        <v>46025</v>
      </c>
      <c r="K2494" s="30">
        <f ca="1">LOOKUP(A2494,'QALS - Inspection Lot Record'!A:A,'QALS - Inspection Lot Record'!I:I)</f>
        <v>0.19712962962962963</v>
      </c>
      <c r="L2494" s="59">
        <f t="shared" ca="1" si="193"/>
        <v>46025</v>
      </c>
      <c r="M2494" s="30">
        <f t="shared" ca="1" si="194"/>
        <v>0.22018518518518518</v>
      </c>
      <c r="N2494" s="31"/>
      <c r="O2494" s="31">
        <v>41.6</v>
      </c>
      <c r="P2494" s="29">
        <v>40</v>
      </c>
      <c r="Q2494" s="29">
        <v>60</v>
      </c>
    </row>
    <row r="2495" spans="1:17" x14ac:dyDescent="0.35">
      <c r="A2495" s="26">
        <v>40000002812</v>
      </c>
      <c r="B2495" s="31">
        <v>1</v>
      </c>
      <c r="C2495" s="29" t="str">
        <f>LOOKUP(A2495,'QALS - Inspection Lot Record'!$A$2:$A$361,'QALS - Inspection Lot Record'!$O$2:$O$361)</f>
        <v>Metformin Tablets (100 MG)</v>
      </c>
      <c r="D2495" s="31">
        <v>60</v>
      </c>
      <c r="E2495" s="29" t="s">
        <v>405</v>
      </c>
      <c r="F2495" s="29" t="str">
        <f>LOOKUP(A2495,'QALS - Inspection Lot Record'!A:A,'QALS - Inspection Lot Record'!G:G)</f>
        <v>GC197258</v>
      </c>
      <c r="G2495" s="59">
        <f ca="1">LOOKUP(A2495,'QALS - Inspection Lot Record'!A:A,'QALS - Inspection Lot Record'!E:E)</f>
        <v>46025</v>
      </c>
      <c r="H2495" s="34" t="str">
        <f t="shared" si="195"/>
        <v>A</v>
      </c>
      <c r="I2495" s="29" t="str">
        <f t="shared" si="191"/>
        <v>GC197258</v>
      </c>
      <c r="J2495" s="59">
        <f t="shared" ca="1" si="192"/>
        <v>46025</v>
      </c>
      <c r="K2495" s="30">
        <f ca="1">LOOKUP(A2495,'QALS - Inspection Lot Record'!A:A,'QALS - Inspection Lot Record'!I:I)</f>
        <v>0.19712962962962963</v>
      </c>
      <c r="L2495" s="59">
        <f t="shared" ca="1" si="193"/>
        <v>46025</v>
      </c>
      <c r="M2495" s="30">
        <f t="shared" ca="1" si="194"/>
        <v>0.21656249999999999</v>
      </c>
      <c r="N2495" s="31"/>
      <c r="O2495" s="31">
        <v>71.400000000000006</v>
      </c>
      <c r="P2495" s="29">
        <v>70</v>
      </c>
      <c r="Q2495" s="29">
        <v>85</v>
      </c>
    </row>
    <row r="2496" spans="1:17" x14ac:dyDescent="0.35">
      <c r="A2496" s="26">
        <v>40000002812</v>
      </c>
      <c r="B2496" s="31">
        <v>1</v>
      </c>
      <c r="C2496" s="29" t="str">
        <f>LOOKUP(A2496,'QALS - Inspection Lot Record'!$A$2:$A$361,'QALS - Inspection Lot Record'!$O$2:$O$361)</f>
        <v>Metformin Tablets (100 MG)</v>
      </c>
      <c r="D2496" s="31">
        <v>70</v>
      </c>
      <c r="E2496" s="29" t="s">
        <v>406</v>
      </c>
      <c r="F2496" s="29" t="str">
        <f>LOOKUP(A2496,'QALS - Inspection Lot Record'!A:A,'QALS - Inspection Lot Record'!G:G)</f>
        <v>GC197258</v>
      </c>
      <c r="G2496" s="59">
        <f ca="1">LOOKUP(A2496,'QALS - Inspection Lot Record'!A:A,'QALS - Inspection Lot Record'!E:E)</f>
        <v>46025</v>
      </c>
      <c r="H2496" s="34" t="str">
        <f t="shared" si="195"/>
        <v>A</v>
      </c>
      <c r="I2496" s="29" t="str">
        <f t="shared" si="191"/>
        <v>GC197258</v>
      </c>
      <c r="J2496" s="59">
        <f t="shared" ca="1" si="192"/>
        <v>46025</v>
      </c>
      <c r="K2496" s="30">
        <f ca="1">LOOKUP(A2496,'QALS - Inspection Lot Record'!A:A,'QALS - Inspection Lot Record'!I:I)</f>
        <v>0.19712962962962963</v>
      </c>
      <c r="L2496" s="59">
        <f t="shared" ca="1" si="193"/>
        <v>46025</v>
      </c>
      <c r="M2496" s="30">
        <f t="shared" ca="1" si="194"/>
        <v>0.21487268518518518</v>
      </c>
      <c r="N2496" s="31"/>
      <c r="O2496" s="31">
        <v>81.3</v>
      </c>
      <c r="P2496" s="29">
        <v>80</v>
      </c>
      <c r="Q2496" s="29">
        <v>90</v>
      </c>
    </row>
    <row r="2497" spans="1:17" x14ac:dyDescent="0.35">
      <c r="A2497" s="26">
        <v>40000002812</v>
      </c>
      <c r="B2497" s="31">
        <v>1</v>
      </c>
      <c r="C2497" s="29" t="str">
        <f>LOOKUP(A2497,'QALS - Inspection Lot Record'!$A$2:$A$361,'QALS - Inspection Lot Record'!$O$2:$O$361)</f>
        <v>Metformin Tablets (100 MG)</v>
      </c>
      <c r="D2497" s="31">
        <v>80</v>
      </c>
      <c r="E2497" s="29" t="s">
        <v>407</v>
      </c>
      <c r="F2497" s="29" t="str">
        <f>LOOKUP(A2497,'QALS - Inspection Lot Record'!A:A,'QALS - Inspection Lot Record'!G:G)</f>
        <v>GC197258</v>
      </c>
      <c r="G2497" s="59">
        <f ca="1">LOOKUP(A2497,'QALS - Inspection Lot Record'!A:A,'QALS - Inspection Lot Record'!E:E)</f>
        <v>46025</v>
      </c>
      <c r="H2497" s="34" t="str">
        <f t="shared" si="195"/>
        <v>A</v>
      </c>
      <c r="I2497" s="29" t="str">
        <f t="shared" si="191"/>
        <v>GC197258</v>
      </c>
      <c r="J2497" s="59">
        <f t="shared" ca="1" si="192"/>
        <v>46025</v>
      </c>
      <c r="K2497" s="30">
        <f ca="1">LOOKUP(A2497,'QALS - Inspection Lot Record'!A:A,'QALS - Inspection Lot Record'!I:I)</f>
        <v>0.19712962962962963</v>
      </c>
      <c r="L2497" s="59">
        <f t="shared" ca="1" si="193"/>
        <v>46025</v>
      </c>
      <c r="M2497" s="30">
        <f t="shared" ca="1" si="194"/>
        <v>0.21740740740740741</v>
      </c>
      <c r="N2497" s="31"/>
      <c r="O2497" s="31">
        <v>24</v>
      </c>
      <c r="P2497" s="29">
        <v>23</v>
      </c>
      <c r="Q2497" s="29">
        <v>25</v>
      </c>
    </row>
    <row r="2498" spans="1:17" x14ac:dyDescent="0.35">
      <c r="A2498" s="26">
        <v>40000002813</v>
      </c>
      <c r="B2498" s="27">
        <v>1</v>
      </c>
      <c r="C2498" s="29" t="str">
        <f>LOOKUP(A2498,'QALS - Inspection Lot Record'!$A$2:$A$361,'QALS - Inspection Lot Record'!$O$2:$O$361)</f>
        <v>Metformin Tablets (100 MG)</v>
      </c>
      <c r="D2498" s="27">
        <v>10</v>
      </c>
      <c r="E2498" s="26" t="s">
        <v>399</v>
      </c>
      <c r="F2498" s="29" t="str">
        <f>LOOKUP(A2498,'QALS - Inspection Lot Record'!A:A,'QALS - Inspection Lot Record'!G:G)</f>
        <v>TP397880</v>
      </c>
      <c r="G2498" s="59">
        <f ca="1">LOOKUP(A2498,'QALS - Inspection Lot Record'!A:A,'QALS - Inspection Lot Record'!E:E)</f>
        <v>46026</v>
      </c>
      <c r="H2498" s="34" t="str">
        <f t="shared" si="195"/>
        <v>A</v>
      </c>
      <c r="I2498" s="29" t="str">
        <f t="shared" ref="I2498:I2561" si="196">F2498</f>
        <v>TP397880</v>
      </c>
      <c r="J2498" s="59">
        <f t="shared" ref="J2498:J2561" ca="1" si="197">G2498</f>
        <v>46026</v>
      </c>
      <c r="K2498" s="30">
        <f ca="1">LOOKUP(A2498,'QALS - Inspection Lot Record'!A:A,'QALS - Inspection Lot Record'!I:I)</f>
        <v>0.91831018518518515</v>
      </c>
      <c r="L2498" s="59">
        <f t="shared" ref="L2498:L2561" ca="1" si="198">G2498</f>
        <v>46026</v>
      </c>
      <c r="M2498" s="30">
        <f t="shared" ref="M2498:M2561" ca="1" si="199">K2498+TIME(0,RANDBETWEEN(25,50),RANDBETWEEN(0,59))</f>
        <v>0.94803240740740735</v>
      </c>
      <c r="N2498" s="31"/>
      <c r="O2498" s="31">
        <v>98.5</v>
      </c>
      <c r="P2498" s="29">
        <v>95</v>
      </c>
      <c r="Q2498" s="29">
        <v>102</v>
      </c>
    </row>
    <row r="2499" spans="1:17" x14ac:dyDescent="0.35">
      <c r="A2499" s="26">
        <v>40000002813</v>
      </c>
      <c r="B2499" s="27">
        <v>1</v>
      </c>
      <c r="C2499" s="29" t="str">
        <f>LOOKUP(A2499,'QALS - Inspection Lot Record'!$A$2:$A$361,'QALS - Inspection Lot Record'!$O$2:$O$361)</f>
        <v>Metformin Tablets (100 MG)</v>
      </c>
      <c r="D2499" s="31">
        <v>20</v>
      </c>
      <c r="E2499" s="29" t="s">
        <v>400</v>
      </c>
      <c r="F2499" s="29" t="str">
        <f>LOOKUP(A2499,'QALS - Inspection Lot Record'!A:A,'QALS - Inspection Lot Record'!G:G)</f>
        <v>TP397880</v>
      </c>
      <c r="G2499" s="59">
        <f ca="1">LOOKUP(A2499,'QALS - Inspection Lot Record'!A:A,'QALS - Inspection Lot Record'!E:E)</f>
        <v>46026</v>
      </c>
      <c r="H2499" s="34" t="str">
        <f t="shared" si="195"/>
        <v>A</v>
      </c>
      <c r="I2499" s="29" t="str">
        <f t="shared" si="196"/>
        <v>TP397880</v>
      </c>
      <c r="J2499" s="59">
        <f t="shared" ca="1" si="197"/>
        <v>46026</v>
      </c>
      <c r="K2499" s="30">
        <f ca="1">LOOKUP(A2499,'QALS - Inspection Lot Record'!A:A,'QALS - Inspection Lot Record'!I:I)</f>
        <v>0.91831018518518515</v>
      </c>
      <c r="L2499" s="59">
        <f t="shared" ca="1" si="198"/>
        <v>46026</v>
      </c>
      <c r="M2499" s="30">
        <f t="shared" ca="1" si="199"/>
        <v>0.95104166666666667</v>
      </c>
      <c r="N2499" s="31"/>
      <c r="O2499" s="31">
        <v>7.25</v>
      </c>
      <c r="P2499" s="29">
        <v>3.5</v>
      </c>
      <c r="Q2499" s="29">
        <v>11</v>
      </c>
    </row>
    <row r="2500" spans="1:17" x14ac:dyDescent="0.35">
      <c r="A2500" s="26">
        <v>40000002813</v>
      </c>
      <c r="B2500" s="31">
        <v>1</v>
      </c>
      <c r="C2500" s="29" t="str">
        <f>LOOKUP(A2500,'QALS - Inspection Lot Record'!$A$2:$A$361,'QALS - Inspection Lot Record'!$O$2:$O$361)</f>
        <v>Metformin Tablets (100 MG)</v>
      </c>
      <c r="D2500" s="31">
        <v>30</v>
      </c>
      <c r="E2500" s="29" t="s">
        <v>401</v>
      </c>
      <c r="F2500" s="29" t="str">
        <f>LOOKUP(A2500,'QALS - Inspection Lot Record'!A:A,'QALS - Inspection Lot Record'!G:G)</f>
        <v>TP397880</v>
      </c>
      <c r="G2500" s="59">
        <f ca="1">LOOKUP(A2500,'QALS - Inspection Lot Record'!A:A,'QALS - Inspection Lot Record'!E:E)</f>
        <v>46026</v>
      </c>
      <c r="H2500" s="34" t="str">
        <f t="shared" si="195"/>
        <v>A</v>
      </c>
      <c r="I2500" s="29" t="str">
        <f t="shared" si="196"/>
        <v>TP397880</v>
      </c>
      <c r="J2500" s="59">
        <f t="shared" ca="1" si="197"/>
        <v>46026</v>
      </c>
      <c r="K2500" s="30">
        <f ca="1">LOOKUP(A2500,'QALS - Inspection Lot Record'!A:A,'QALS - Inspection Lot Record'!I:I)</f>
        <v>0.91831018518518515</v>
      </c>
      <c r="L2500" s="59">
        <f t="shared" ca="1" si="198"/>
        <v>46026</v>
      </c>
      <c r="M2500" s="30">
        <f t="shared" ca="1" si="199"/>
        <v>0.94609953703703698</v>
      </c>
      <c r="N2500" s="11" t="s">
        <v>402</v>
      </c>
      <c r="O2500" s="31"/>
      <c r="P2500" s="29"/>
      <c r="Q2500" s="29"/>
    </row>
    <row r="2501" spans="1:17" x14ac:dyDescent="0.35">
      <c r="A2501" s="26">
        <v>40000002813</v>
      </c>
      <c r="B2501" s="31">
        <v>1</v>
      </c>
      <c r="C2501" s="29" t="str">
        <f>LOOKUP(A2501,'QALS - Inspection Lot Record'!$A$2:$A$361,'QALS - Inspection Lot Record'!$O$2:$O$361)</f>
        <v>Metformin Tablets (100 MG)</v>
      </c>
      <c r="D2501" s="31">
        <v>40</v>
      </c>
      <c r="E2501" s="29" t="s">
        <v>403</v>
      </c>
      <c r="F2501" s="29" t="str">
        <f>LOOKUP(A2501,'QALS - Inspection Lot Record'!A:A,'QALS - Inspection Lot Record'!G:G)</f>
        <v>TP397880</v>
      </c>
      <c r="G2501" s="59">
        <f ca="1">LOOKUP(A2501,'QALS - Inspection Lot Record'!A:A,'QALS - Inspection Lot Record'!E:E)</f>
        <v>46026</v>
      </c>
      <c r="H2501" s="34" t="str">
        <f t="shared" si="195"/>
        <v>A</v>
      </c>
      <c r="I2501" s="29" t="str">
        <f t="shared" si="196"/>
        <v>TP397880</v>
      </c>
      <c r="J2501" s="59">
        <f t="shared" ca="1" si="197"/>
        <v>46026</v>
      </c>
      <c r="K2501" s="30">
        <f ca="1">LOOKUP(A2501,'QALS - Inspection Lot Record'!A:A,'QALS - Inspection Lot Record'!I:I)</f>
        <v>0.91831018518518515</v>
      </c>
      <c r="L2501" s="59">
        <f t="shared" ca="1" si="198"/>
        <v>46026</v>
      </c>
      <c r="M2501" s="30">
        <f t="shared" ca="1" si="199"/>
        <v>0.94773148148148145</v>
      </c>
      <c r="N2501" s="31"/>
      <c r="O2501" s="31">
        <v>0</v>
      </c>
      <c r="P2501" s="29">
        <v>0</v>
      </c>
      <c r="Q2501" s="29">
        <v>1</v>
      </c>
    </row>
    <row r="2502" spans="1:17" x14ac:dyDescent="0.35">
      <c r="A2502" s="26">
        <v>40000002813</v>
      </c>
      <c r="B2502" s="31">
        <v>1</v>
      </c>
      <c r="C2502" s="29" t="str">
        <f>LOOKUP(A2502,'QALS - Inspection Lot Record'!$A$2:$A$361,'QALS - Inspection Lot Record'!$O$2:$O$361)</f>
        <v>Metformin Tablets (100 MG)</v>
      </c>
      <c r="D2502" s="31">
        <v>50</v>
      </c>
      <c r="E2502" s="29" t="s">
        <v>404</v>
      </c>
      <c r="F2502" s="29" t="str">
        <f>LOOKUP(A2502,'QALS - Inspection Lot Record'!A:A,'QALS - Inspection Lot Record'!G:G)</f>
        <v>TP397880</v>
      </c>
      <c r="G2502" s="59">
        <f ca="1">LOOKUP(A2502,'QALS - Inspection Lot Record'!A:A,'QALS - Inspection Lot Record'!E:E)</f>
        <v>46026</v>
      </c>
      <c r="H2502" s="34" t="str">
        <f t="shared" si="195"/>
        <v>A</v>
      </c>
      <c r="I2502" s="29" t="str">
        <f t="shared" si="196"/>
        <v>TP397880</v>
      </c>
      <c r="J2502" s="59">
        <f t="shared" ca="1" si="197"/>
        <v>46026</v>
      </c>
      <c r="K2502" s="30">
        <f ca="1">LOOKUP(A2502,'QALS - Inspection Lot Record'!A:A,'QALS - Inspection Lot Record'!I:I)</f>
        <v>0.91831018518518515</v>
      </c>
      <c r="L2502" s="59">
        <f t="shared" ca="1" si="198"/>
        <v>46026</v>
      </c>
      <c r="M2502" s="30">
        <f t="shared" ca="1" si="199"/>
        <v>0.95111111111111102</v>
      </c>
      <c r="N2502" s="31"/>
      <c r="O2502" s="31">
        <v>50</v>
      </c>
      <c r="P2502" s="29">
        <v>40</v>
      </c>
      <c r="Q2502" s="29">
        <v>60</v>
      </c>
    </row>
    <row r="2503" spans="1:17" x14ac:dyDescent="0.35">
      <c r="A2503" s="26">
        <v>40000002813</v>
      </c>
      <c r="B2503" s="31">
        <v>1</v>
      </c>
      <c r="C2503" s="29" t="str">
        <f>LOOKUP(A2503,'QALS - Inspection Lot Record'!$A$2:$A$361,'QALS - Inspection Lot Record'!$O$2:$O$361)</f>
        <v>Metformin Tablets (100 MG)</v>
      </c>
      <c r="D2503" s="31">
        <v>60</v>
      </c>
      <c r="E2503" s="29" t="s">
        <v>405</v>
      </c>
      <c r="F2503" s="29" t="str">
        <f>LOOKUP(A2503,'QALS - Inspection Lot Record'!A:A,'QALS - Inspection Lot Record'!G:G)</f>
        <v>TP397880</v>
      </c>
      <c r="G2503" s="59">
        <f ca="1">LOOKUP(A2503,'QALS - Inspection Lot Record'!A:A,'QALS - Inspection Lot Record'!E:E)</f>
        <v>46026</v>
      </c>
      <c r="H2503" s="34" t="str">
        <f t="shared" si="195"/>
        <v>A</v>
      </c>
      <c r="I2503" s="29" t="str">
        <f t="shared" si="196"/>
        <v>TP397880</v>
      </c>
      <c r="J2503" s="59">
        <f t="shared" ca="1" si="197"/>
        <v>46026</v>
      </c>
      <c r="K2503" s="30">
        <f ca="1">LOOKUP(A2503,'QALS - Inspection Lot Record'!A:A,'QALS - Inspection Lot Record'!I:I)</f>
        <v>0.91831018518518515</v>
      </c>
      <c r="L2503" s="59">
        <f t="shared" ca="1" si="198"/>
        <v>46026</v>
      </c>
      <c r="M2503" s="30">
        <f t="shared" ca="1" si="199"/>
        <v>0.94195601851851851</v>
      </c>
      <c r="N2503" s="31"/>
      <c r="O2503" s="31">
        <v>77.5</v>
      </c>
      <c r="P2503" s="29">
        <v>70</v>
      </c>
      <c r="Q2503" s="29">
        <v>85</v>
      </c>
    </row>
    <row r="2504" spans="1:17" x14ac:dyDescent="0.35">
      <c r="A2504" s="26">
        <v>40000002813</v>
      </c>
      <c r="B2504" s="31">
        <v>1</v>
      </c>
      <c r="C2504" s="29" t="str">
        <f>LOOKUP(A2504,'QALS - Inspection Lot Record'!$A$2:$A$361,'QALS - Inspection Lot Record'!$O$2:$O$361)</f>
        <v>Metformin Tablets (100 MG)</v>
      </c>
      <c r="D2504" s="31">
        <v>70</v>
      </c>
      <c r="E2504" s="29" t="s">
        <v>406</v>
      </c>
      <c r="F2504" s="29" t="str">
        <f>LOOKUP(A2504,'QALS - Inspection Lot Record'!A:A,'QALS - Inspection Lot Record'!G:G)</f>
        <v>TP397880</v>
      </c>
      <c r="G2504" s="59">
        <f ca="1">LOOKUP(A2504,'QALS - Inspection Lot Record'!A:A,'QALS - Inspection Lot Record'!E:E)</f>
        <v>46026</v>
      </c>
      <c r="H2504" s="34" t="str">
        <f t="shared" si="195"/>
        <v>R</v>
      </c>
      <c r="I2504" s="29" t="str">
        <f t="shared" si="196"/>
        <v>TP397880</v>
      </c>
      <c r="J2504" s="59">
        <f t="shared" ca="1" si="197"/>
        <v>46026</v>
      </c>
      <c r="K2504" s="30">
        <f ca="1">LOOKUP(A2504,'QALS - Inspection Lot Record'!A:A,'QALS - Inspection Lot Record'!I:I)</f>
        <v>0.91831018518518515</v>
      </c>
      <c r="L2504" s="59">
        <f t="shared" ca="1" si="198"/>
        <v>46026</v>
      </c>
      <c r="M2504" s="30">
        <f t="shared" ca="1" si="199"/>
        <v>0.9378587962962962</v>
      </c>
      <c r="N2504" s="31"/>
      <c r="O2504" s="31">
        <v>78.900000000000006</v>
      </c>
      <c r="P2504" s="29">
        <v>80</v>
      </c>
      <c r="Q2504" s="29">
        <v>90</v>
      </c>
    </row>
    <row r="2505" spans="1:17" x14ac:dyDescent="0.35">
      <c r="A2505" s="26">
        <v>40000002813</v>
      </c>
      <c r="B2505" s="31">
        <v>1</v>
      </c>
      <c r="C2505" s="29" t="str">
        <f>LOOKUP(A2505,'QALS - Inspection Lot Record'!$A$2:$A$361,'QALS - Inspection Lot Record'!$O$2:$O$361)</f>
        <v>Metformin Tablets (100 MG)</v>
      </c>
      <c r="D2505" s="31">
        <v>80</v>
      </c>
      <c r="E2505" s="29" t="s">
        <v>407</v>
      </c>
      <c r="F2505" s="29" t="str">
        <f>LOOKUP(A2505,'QALS - Inspection Lot Record'!A:A,'QALS - Inspection Lot Record'!G:G)</f>
        <v>TP397880</v>
      </c>
      <c r="G2505" s="59">
        <f ca="1">LOOKUP(A2505,'QALS - Inspection Lot Record'!A:A,'QALS - Inspection Lot Record'!E:E)</f>
        <v>46026</v>
      </c>
      <c r="H2505" s="34" t="str">
        <f t="shared" si="195"/>
        <v>A</v>
      </c>
      <c r="I2505" s="29" t="str">
        <f t="shared" si="196"/>
        <v>TP397880</v>
      </c>
      <c r="J2505" s="59">
        <f t="shared" ca="1" si="197"/>
        <v>46026</v>
      </c>
      <c r="K2505" s="30">
        <f ca="1">LOOKUP(A2505,'QALS - Inspection Lot Record'!A:A,'QALS - Inspection Lot Record'!I:I)</f>
        <v>0.91831018518518515</v>
      </c>
      <c r="L2505" s="59">
        <f t="shared" ca="1" si="198"/>
        <v>46026</v>
      </c>
      <c r="M2505" s="30">
        <f t="shared" ca="1" si="199"/>
        <v>0.95232638888888888</v>
      </c>
      <c r="N2505" s="31"/>
      <c r="O2505" s="31">
        <v>24</v>
      </c>
      <c r="P2505" s="29">
        <v>23</v>
      </c>
      <c r="Q2505" s="29">
        <v>25</v>
      </c>
    </row>
    <row r="2506" spans="1:17" x14ac:dyDescent="0.35">
      <c r="A2506" s="26">
        <v>40000002814</v>
      </c>
      <c r="B2506" s="27">
        <v>1</v>
      </c>
      <c r="C2506" s="29" t="str">
        <f>LOOKUP(A2506,'QALS - Inspection Lot Record'!$A$2:$A$361,'QALS - Inspection Lot Record'!$O$2:$O$361)</f>
        <v>Aspirin Tablets (500 MG)</v>
      </c>
      <c r="D2506" s="27">
        <v>10</v>
      </c>
      <c r="E2506" s="26" t="s">
        <v>399</v>
      </c>
      <c r="F2506" s="29" t="str">
        <f>LOOKUP(A2506,'QALS - Inspection Lot Record'!A:A,'QALS - Inspection Lot Record'!G:G)</f>
        <v>YA284176</v>
      </c>
      <c r="G2506" s="59">
        <f ca="1">LOOKUP(A2506,'QALS - Inspection Lot Record'!A:A,'QALS - Inspection Lot Record'!E:E)</f>
        <v>46026</v>
      </c>
      <c r="H2506" s="34" t="str">
        <f t="shared" ref="H2506:H2569" si="200">IF(AND(P2506&lt;=O2506,O2506&lt;=Q2506),"A","R")</f>
        <v>R</v>
      </c>
      <c r="I2506" s="29" t="str">
        <f t="shared" si="196"/>
        <v>YA284176</v>
      </c>
      <c r="J2506" s="59">
        <f t="shared" ca="1" si="197"/>
        <v>46026</v>
      </c>
      <c r="K2506" s="30">
        <f ca="1">LOOKUP(A2506,'QALS - Inspection Lot Record'!A:A,'QALS - Inspection Lot Record'!I:I)</f>
        <v>0.30302083333333335</v>
      </c>
      <c r="L2506" s="59">
        <f t="shared" ca="1" si="198"/>
        <v>46026</v>
      </c>
      <c r="M2506" s="30">
        <f t="shared" ca="1" si="199"/>
        <v>0.33703703703703702</v>
      </c>
      <c r="N2506" s="31"/>
      <c r="O2506" s="31">
        <v>93.1</v>
      </c>
      <c r="P2506" s="29">
        <v>95</v>
      </c>
      <c r="Q2506" s="29">
        <v>105</v>
      </c>
    </row>
    <row r="2507" spans="1:17" x14ac:dyDescent="0.35">
      <c r="A2507" s="26">
        <v>40000002814</v>
      </c>
      <c r="B2507" s="27">
        <v>1</v>
      </c>
      <c r="C2507" s="29" t="str">
        <f>LOOKUP(A2507,'QALS - Inspection Lot Record'!$A$2:$A$361,'QALS - Inspection Lot Record'!$O$2:$O$361)</f>
        <v>Aspirin Tablets (500 MG)</v>
      </c>
      <c r="D2507" s="31">
        <v>20</v>
      </c>
      <c r="E2507" s="29" t="s">
        <v>400</v>
      </c>
      <c r="F2507" s="29" t="str">
        <f>LOOKUP(A2507,'QALS - Inspection Lot Record'!A:A,'QALS - Inspection Lot Record'!G:G)</f>
        <v>YA284176</v>
      </c>
      <c r="G2507" s="59">
        <f ca="1">LOOKUP(A2507,'QALS - Inspection Lot Record'!A:A,'QALS - Inspection Lot Record'!E:E)</f>
        <v>46026</v>
      </c>
      <c r="H2507" s="34" t="str">
        <f t="shared" si="200"/>
        <v>A</v>
      </c>
      <c r="I2507" s="29" t="str">
        <f t="shared" si="196"/>
        <v>YA284176</v>
      </c>
      <c r="J2507" s="59">
        <f t="shared" ca="1" si="197"/>
        <v>46026</v>
      </c>
      <c r="K2507" s="30">
        <f ca="1">LOOKUP(A2507,'QALS - Inspection Lot Record'!A:A,'QALS - Inspection Lot Record'!I:I)</f>
        <v>0.30302083333333335</v>
      </c>
      <c r="L2507" s="59">
        <f t="shared" ca="1" si="198"/>
        <v>46026</v>
      </c>
      <c r="M2507" s="30">
        <f t="shared" ca="1" si="199"/>
        <v>0.33415509259259263</v>
      </c>
      <c r="N2507" s="31"/>
      <c r="O2507" s="31">
        <v>7.25</v>
      </c>
      <c r="P2507" s="29">
        <v>3.5</v>
      </c>
      <c r="Q2507" s="29">
        <v>11</v>
      </c>
    </row>
    <row r="2508" spans="1:17" x14ac:dyDescent="0.35">
      <c r="A2508" s="26">
        <v>40000002814</v>
      </c>
      <c r="B2508" s="31">
        <v>1</v>
      </c>
      <c r="C2508" s="29" t="str">
        <f>LOOKUP(A2508,'QALS - Inspection Lot Record'!$A$2:$A$361,'QALS - Inspection Lot Record'!$O$2:$O$361)</f>
        <v>Aspirin Tablets (500 MG)</v>
      </c>
      <c r="D2508" s="31">
        <v>30</v>
      </c>
      <c r="E2508" s="29" t="s">
        <v>401</v>
      </c>
      <c r="F2508" s="29" t="str">
        <f>LOOKUP(A2508,'QALS - Inspection Lot Record'!A:A,'QALS - Inspection Lot Record'!G:G)</f>
        <v>YA284176</v>
      </c>
      <c r="G2508" s="59">
        <f ca="1">LOOKUP(A2508,'QALS - Inspection Lot Record'!A:A,'QALS - Inspection Lot Record'!E:E)</f>
        <v>46026</v>
      </c>
      <c r="H2508" s="34" t="str">
        <f t="shared" si="200"/>
        <v>A</v>
      </c>
      <c r="I2508" s="29" t="str">
        <f t="shared" si="196"/>
        <v>YA284176</v>
      </c>
      <c r="J2508" s="59">
        <f t="shared" ca="1" si="197"/>
        <v>46026</v>
      </c>
      <c r="K2508" s="30">
        <f ca="1">LOOKUP(A2508,'QALS - Inspection Lot Record'!A:A,'QALS - Inspection Lot Record'!I:I)</f>
        <v>0.30302083333333335</v>
      </c>
      <c r="L2508" s="59">
        <f t="shared" ca="1" si="198"/>
        <v>46026</v>
      </c>
      <c r="M2508" s="30">
        <f t="shared" ca="1" si="199"/>
        <v>0.33572916666666669</v>
      </c>
      <c r="N2508" s="11" t="s">
        <v>402</v>
      </c>
      <c r="O2508" s="31"/>
      <c r="P2508" s="29"/>
      <c r="Q2508" s="29"/>
    </row>
    <row r="2509" spans="1:17" x14ac:dyDescent="0.35">
      <c r="A2509" s="26">
        <v>40000002814</v>
      </c>
      <c r="B2509" s="31">
        <v>1</v>
      </c>
      <c r="C2509" s="29" t="str">
        <f>LOOKUP(A2509,'QALS - Inspection Lot Record'!$A$2:$A$361,'QALS - Inspection Lot Record'!$O$2:$O$361)</f>
        <v>Aspirin Tablets (500 MG)</v>
      </c>
      <c r="D2509" s="31">
        <v>40</v>
      </c>
      <c r="E2509" s="29" t="s">
        <v>403</v>
      </c>
      <c r="F2509" s="29" t="str">
        <f>LOOKUP(A2509,'QALS - Inspection Lot Record'!A:A,'QALS - Inspection Lot Record'!G:G)</f>
        <v>YA284176</v>
      </c>
      <c r="G2509" s="59">
        <f ca="1">LOOKUP(A2509,'QALS - Inspection Lot Record'!A:A,'QALS - Inspection Lot Record'!E:E)</f>
        <v>46026</v>
      </c>
      <c r="H2509" s="34" t="str">
        <f t="shared" si="200"/>
        <v>A</v>
      </c>
      <c r="I2509" s="29" t="str">
        <f t="shared" si="196"/>
        <v>YA284176</v>
      </c>
      <c r="J2509" s="59">
        <f t="shared" ca="1" si="197"/>
        <v>46026</v>
      </c>
      <c r="K2509" s="30">
        <f ca="1">LOOKUP(A2509,'QALS - Inspection Lot Record'!A:A,'QALS - Inspection Lot Record'!I:I)</f>
        <v>0.30302083333333335</v>
      </c>
      <c r="L2509" s="59">
        <f t="shared" ca="1" si="198"/>
        <v>46026</v>
      </c>
      <c r="M2509" s="30">
        <f t="shared" ca="1" si="199"/>
        <v>0.32848379629629632</v>
      </c>
      <c r="N2509" s="31"/>
      <c r="O2509" s="31">
        <v>0</v>
      </c>
      <c r="P2509" s="29">
        <v>0</v>
      </c>
      <c r="Q2509" s="29">
        <v>2.5</v>
      </c>
    </row>
    <row r="2510" spans="1:17" x14ac:dyDescent="0.35">
      <c r="A2510" s="26">
        <v>40000002814</v>
      </c>
      <c r="B2510" s="31">
        <v>1</v>
      </c>
      <c r="C2510" s="29" t="str">
        <f>LOOKUP(A2510,'QALS - Inspection Lot Record'!$A$2:$A$361,'QALS - Inspection Lot Record'!$O$2:$O$361)</f>
        <v>Aspirin Tablets (500 MG)</v>
      </c>
      <c r="D2510" s="31">
        <v>50</v>
      </c>
      <c r="E2510" s="29" t="s">
        <v>404</v>
      </c>
      <c r="F2510" s="29" t="str">
        <f>LOOKUP(A2510,'QALS - Inspection Lot Record'!A:A,'QALS - Inspection Lot Record'!G:G)</f>
        <v>YA284176</v>
      </c>
      <c r="G2510" s="59">
        <f ca="1">LOOKUP(A2510,'QALS - Inspection Lot Record'!A:A,'QALS - Inspection Lot Record'!E:E)</f>
        <v>46026</v>
      </c>
      <c r="H2510" s="34" t="str">
        <f t="shared" si="200"/>
        <v>R</v>
      </c>
      <c r="I2510" s="29" t="str">
        <f t="shared" si="196"/>
        <v>YA284176</v>
      </c>
      <c r="J2510" s="59">
        <f t="shared" ca="1" si="197"/>
        <v>46026</v>
      </c>
      <c r="K2510" s="30">
        <f ca="1">LOOKUP(A2510,'QALS - Inspection Lot Record'!A:A,'QALS - Inspection Lot Record'!I:I)</f>
        <v>0.30302083333333335</v>
      </c>
      <c r="L2510" s="59">
        <f t="shared" ca="1" si="198"/>
        <v>46026</v>
      </c>
      <c r="M2510" s="30">
        <f t="shared" ca="1" si="199"/>
        <v>0.33046296296296296</v>
      </c>
      <c r="N2510" s="31"/>
      <c r="O2510" s="31">
        <v>38.4</v>
      </c>
      <c r="P2510" s="29">
        <v>40</v>
      </c>
      <c r="Q2510" s="29">
        <v>60</v>
      </c>
    </row>
    <row r="2511" spans="1:17" x14ac:dyDescent="0.35">
      <c r="A2511" s="26">
        <v>40000002814</v>
      </c>
      <c r="B2511" s="31">
        <v>1</v>
      </c>
      <c r="C2511" s="29" t="str">
        <f>LOOKUP(A2511,'QALS - Inspection Lot Record'!$A$2:$A$361,'QALS - Inspection Lot Record'!$O$2:$O$361)</f>
        <v>Aspirin Tablets (500 MG)</v>
      </c>
      <c r="D2511" s="31">
        <v>60</v>
      </c>
      <c r="E2511" s="29" t="s">
        <v>405</v>
      </c>
      <c r="F2511" s="29" t="str">
        <f>LOOKUP(A2511,'QALS - Inspection Lot Record'!A:A,'QALS - Inspection Lot Record'!G:G)</f>
        <v>YA284176</v>
      </c>
      <c r="G2511" s="59">
        <f ca="1">LOOKUP(A2511,'QALS - Inspection Lot Record'!A:A,'QALS - Inspection Lot Record'!E:E)</f>
        <v>46026</v>
      </c>
      <c r="H2511" s="34" t="str">
        <f t="shared" si="200"/>
        <v>R</v>
      </c>
      <c r="I2511" s="29" t="str">
        <f t="shared" si="196"/>
        <v>YA284176</v>
      </c>
      <c r="J2511" s="59">
        <f t="shared" ca="1" si="197"/>
        <v>46026</v>
      </c>
      <c r="K2511" s="30">
        <f ca="1">LOOKUP(A2511,'QALS - Inspection Lot Record'!A:A,'QALS - Inspection Lot Record'!I:I)</f>
        <v>0.30302083333333335</v>
      </c>
      <c r="L2511" s="59">
        <f t="shared" ca="1" si="198"/>
        <v>46026</v>
      </c>
      <c r="M2511" s="30">
        <f t="shared" ca="1" si="199"/>
        <v>0.33807870370370374</v>
      </c>
      <c r="N2511" s="31"/>
      <c r="O2511" s="31">
        <v>68.8</v>
      </c>
      <c r="P2511" s="29">
        <v>70</v>
      </c>
      <c r="Q2511" s="29">
        <v>85</v>
      </c>
    </row>
    <row r="2512" spans="1:17" x14ac:dyDescent="0.35">
      <c r="A2512" s="26">
        <v>40000002814</v>
      </c>
      <c r="B2512" s="31">
        <v>1</v>
      </c>
      <c r="C2512" s="29" t="str">
        <f>LOOKUP(A2512,'QALS - Inspection Lot Record'!$A$2:$A$361,'QALS - Inspection Lot Record'!$O$2:$O$361)</f>
        <v>Aspirin Tablets (500 MG)</v>
      </c>
      <c r="D2512" s="31">
        <v>70</v>
      </c>
      <c r="E2512" s="29" t="s">
        <v>406</v>
      </c>
      <c r="F2512" s="29" t="str">
        <f>LOOKUP(A2512,'QALS - Inspection Lot Record'!A:A,'QALS - Inspection Lot Record'!G:G)</f>
        <v>YA284176</v>
      </c>
      <c r="G2512" s="59">
        <f ca="1">LOOKUP(A2512,'QALS - Inspection Lot Record'!A:A,'QALS - Inspection Lot Record'!E:E)</f>
        <v>46026</v>
      </c>
      <c r="H2512" s="34" t="str">
        <f t="shared" si="200"/>
        <v>A</v>
      </c>
      <c r="I2512" s="29" t="str">
        <f t="shared" si="196"/>
        <v>YA284176</v>
      </c>
      <c r="J2512" s="59">
        <f t="shared" ca="1" si="197"/>
        <v>46026</v>
      </c>
      <c r="K2512" s="30">
        <f ca="1">LOOKUP(A2512,'QALS - Inspection Lot Record'!A:A,'QALS - Inspection Lot Record'!I:I)</f>
        <v>0.30302083333333335</v>
      </c>
      <c r="L2512" s="59">
        <f t="shared" ca="1" si="198"/>
        <v>46026</v>
      </c>
      <c r="M2512" s="30">
        <f t="shared" ca="1" si="199"/>
        <v>0.32851851851851854</v>
      </c>
      <c r="N2512" s="31"/>
      <c r="O2512" s="31">
        <v>85</v>
      </c>
      <c r="P2512" s="29">
        <v>80</v>
      </c>
      <c r="Q2512" s="29">
        <v>90</v>
      </c>
    </row>
    <row r="2513" spans="1:17" x14ac:dyDescent="0.35">
      <c r="A2513" s="26">
        <v>40000002814</v>
      </c>
      <c r="B2513" s="31">
        <v>1</v>
      </c>
      <c r="C2513" s="29" t="str">
        <f>LOOKUP(A2513,'QALS - Inspection Lot Record'!$A$2:$A$361,'QALS - Inspection Lot Record'!$O$2:$O$361)</f>
        <v>Aspirin Tablets (500 MG)</v>
      </c>
      <c r="D2513" s="31">
        <v>80</v>
      </c>
      <c r="E2513" s="29" t="s">
        <v>407</v>
      </c>
      <c r="F2513" s="29" t="str">
        <f>LOOKUP(A2513,'QALS - Inspection Lot Record'!A:A,'QALS - Inspection Lot Record'!G:G)</f>
        <v>YA284176</v>
      </c>
      <c r="G2513" s="59">
        <f ca="1">LOOKUP(A2513,'QALS - Inspection Lot Record'!A:A,'QALS - Inspection Lot Record'!E:E)</f>
        <v>46026</v>
      </c>
      <c r="H2513" s="34" t="str">
        <f t="shared" si="200"/>
        <v>A</v>
      </c>
      <c r="I2513" s="29" t="str">
        <f t="shared" si="196"/>
        <v>YA284176</v>
      </c>
      <c r="J2513" s="59">
        <f t="shared" ca="1" si="197"/>
        <v>46026</v>
      </c>
      <c r="K2513" s="30">
        <f ca="1">LOOKUP(A2513,'QALS - Inspection Lot Record'!A:A,'QALS - Inspection Lot Record'!I:I)</f>
        <v>0.30302083333333335</v>
      </c>
      <c r="L2513" s="59">
        <f t="shared" ca="1" si="198"/>
        <v>46026</v>
      </c>
      <c r="M2513" s="30">
        <f t="shared" ca="1" si="199"/>
        <v>0.3250925925925926</v>
      </c>
      <c r="N2513" s="31"/>
      <c r="O2513" s="31">
        <v>25.5</v>
      </c>
      <c r="P2513" s="29">
        <v>23</v>
      </c>
      <c r="Q2513" s="29">
        <v>28</v>
      </c>
    </row>
    <row r="2514" spans="1:17" x14ac:dyDescent="0.35">
      <c r="A2514" s="26">
        <v>40000002815</v>
      </c>
      <c r="B2514" s="27">
        <v>1</v>
      </c>
      <c r="C2514" s="29" t="str">
        <f>LOOKUP(A2514,'QALS - Inspection Lot Record'!$A$2:$A$361,'QALS - Inspection Lot Record'!$O$2:$O$361)</f>
        <v>Ibuprofen Tablets (100 MG)</v>
      </c>
      <c r="D2514" s="27">
        <v>10</v>
      </c>
      <c r="E2514" s="26" t="s">
        <v>399</v>
      </c>
      <c r="F2514" s="29" t="str">
        <f>LOOKUP(A2514,'QALS - Inspection Lot Record'!A:A,'QALS - Inspection Lot Record'!G:G)</f>
        <v>AB406550</v>
      </c>
      <c r="G2514" s="59">
        <f ca="1">LOOKUP(A2514,'QALS - Inspection Lot Record'!A:A,'QALS - Inspection Lot Record'!E:E)</f>
        <v>46027</v>
      </c>
      <c r="H2514" s="34" t="str">
        <f t="shared" si="200"/>
        <v>A</v>
      </c>
      <c r="I2514" s="29" t="str">
        <f t="shared" si="196"/>
        <v>AB406550</v>
      </c>
      <c r="J2514" s="59">
        <f t="shared" ca="1" si="197"/>
        <v>46027</v>
      </c>
      <c r="K2514" s="30">
        <f ca="1">LOOKUP(A2514,'QALS - Inspection Lot Record'!A:A,'QALS - Inspection Lot Record'!I:I)</f>
        <v>0.71333333333333337</v>
      </c>
      <c r="L2514" s="59">
        <f t="shared" ca="1" si="198"/>
        <v>46027</v>
      </c>
      <c r="M2514" s="30">
        <f t="shared" ca="1" si="199"/>
        <v>0.73944444444444446</v>
      </c>
      <c r="N2514" s="31"/>
      <c r="O2514" s="31">
        <v>98.5</v>
      </c>
      <c r="P2514" s="29">
        <v>95</v>
      </c>
      <c r="Q2514" s="29">
        <v>102</v>
      </c>
    </row>
    <row r="2515" spans="1:17" x14ac:dyDescent="0.35">
      <c r="A2515" s="26">
        <v>40000002815</v>
      </c>
      <c r="B2515" s="27">
        <v>1</v>
      </c>
      <c r="C2515" s="29" t="str">
        <f>LOOKUP(A2515,'QALS - Inspection Lot Record'!$A$2:$A$361,'QALS - Inspection Lot Record'!$O$2:$O$361)</f>
        <v>Ibuprofen Tablets (100 MG)</v>
      </c>
      <c r="D2515" s="31">
        <v>20</v>
      </c>
      <c r="E2515" s="29" t="s">
        <v>400</v>
      </c>
      <c r="F2515" s="29" t="str">
        <f>LOOKUP(A2515,'QALS - Inspection Lot Record'!A:A,'QALS - Inspection Lot Record'!G:G)</f>
        <v>AB406550</v>
      </c>
      <c r="G2515" s="59">
        <f ca="1">LOOKUP(A2515,'QALS - Inspection Lot Record'!A:A,'QALS - Inspection Lot Record'!E:E)</f>
        <v>46027</v>
      </c>
      <c r="H2515" s="34" t="str">
        <f t="shared" si="200"/>
        <v>A</v>
      </c>
      <c r="I2515" s="29" t="str">
        <f t="shared" si="196"/>
        <v>AB406550</v>
      </c>
      <c r="J2515" s="59">
        <f t="shared" ca="1" si="197"/>
        <v>46027</v>
      </c>
      <c r="K2515" s="30">
        <f ca="1">LOOKUP(A2515,'QALS - Inspection Lot Record'!A:A,'QALS - Inspection Lot Record'!I:I)</f>
        <v>0.71333333333333337</v>
      </c>
      <c r="L2515" s="59">
        <f t="shared" ca="1" si="198"/>
        <v>46027</v>
      </c>
      <c r="M2515" s="30">
        <f t="shared" ca="1" si="199"/>
        <v>0.74222222222222223</v>
      </c>
      <c r="N2515" s="31"/>
      <c r="O2515" s="31">
        <v>7.3</v>
      </c>
      <c r="P2515" s="29">
        <v>3.5</v>
      </c>
      <c r="Q2515" s="29">
        <v>11</v>
      </c>
    </row>
    <row r="2516" spans="1:17" x14ac:dyDescent="0.35">
      <c r="A2516" s="26">
        <v>40000002815</v>
      </c>
      <c r="B2516" s="31">
        <v>1</v>
      </c>
      <c r="C2516" s="29" t="str">
        <f>LOOKUP(A2516,'QALS - Inspection Lot Record'!$A$2:$A$361,'QALS - Inspection Lot Record'!$O$2:$O$361)</f>
        <v>Ibuprofen Tablets (100 MG)</v>
      </c>
      <c r="D2516" s="31">
        <v>30</v>
      </c>
      <c r="E2516" s="29" t="s">
        <v>401</v>
      </c>
      <c r="F2516" s="29" t="str">
        <f>LOOKUP(A2516,'QALS - Inspection Lot Record'!A:A,'QALS - Inspection Lot Record'!G:G)</f>
        <v>AB406550</v>
      </c>
      <c r="G2516" s="59">
        <f ca="1">LOOKUP(A2516,'QALS - Inspection Lot Record'!A:A,'QALS - Inspection Lot Record'!E:E)</f>
        <v>46027</v>
      </c>
      <c r="H2516" s="34" t="str">
        <f t="shared" si="200"/>
        <v>A</v>
      </c>
      <c r="I2516" s="29" t="str">
        <f t="shared" si="196"/>
        <v>AB406550</v>
      </c>
      <c r="J2516" s="59">
        <f t="shared" ca="1" si="197"/>
        <v>46027</v>
      </c>
      <c r="K2516" s="30">
        <f ca="1">LOOKUP(A2516,'QALS - Inspection Lot Record'!A:A,'QALS - Inspection Lot Record'!I:I)</f>
        <v>0.71333333333333337</v>
      </c>
      <c r="L2516" s="59">
        <f t="shared" ca="1" si="198"/>
        <v>46027</v>
      </c>
      <c r="M2516" s="30">
        <f t="shared" ca="1" si="199"/>
        <v>0.73790509259259263</v>
      </c>
      <c r="N2516" s="11" t="s">
        <v>402</v>
      </c>
      <c r="O2516" s="31"/>
      <c r="P2516" s="29"/>
      <c r="Q2516" s="29"/>
    </row>
    <row r="2517" spans="1:17" x14ac:dyDescent="0.35">
      <c r="A2517" s="26">
        <v>40000002815</v>
      </c>
      <c r="B2517" s="31">
        <v>1</v>
      </c>
      <c r="C2517" s="29" t="str">
        <f>LOOKUP(A2517,'QALS - Inspection Lot Record'!$A$2:$A$361,'QALS - Inspection Lot Record'!$O$2:$O$361)</f>
        <v>Ibuprofen Tablets (100 MG)</v>
      </c>
      <c r="D2517" s="31">
        <v>40</v>
      </c>
      <c r="E2517" s="29" t="s">
        <v>403</v>
      </c>
      <c r="F2517" s="29" t="str">
        <f>LOOKUP(A2517,'QALS - Inspection Lot Record'!A:A,'QALS - Inspection Lot Record'!G:G)</f>
        <v>AB406550</v>
      </c>
      <c r="G2517" s="59">
        <f ca="1">LOOKUP(A2517,'QALS - Inspection Lot Record'!A:A,'QALS - Inspection Lot Record'!E:E)</f>
        <v>46027</v>
      </c>
      <c r="H2517" s="34" t="str">
        <f t="shared" si="200"/>
        <v>A</v>
      </c>
      <c r="I2517" s="29" t="str">
        <f t="shared" si="196"/>
        <v>AB406550</v>
      </c>
      <c r="J2517" s="59">
        <f t="shared" ca="1" si="197"/>
        <v>46027</v>
      </c>
      <c r="K2517" s="30">
        <f ca="1">LOOKUP(A2517,'QALS - Inspection Lot Record'!A:A,'QALS - Inspection Lot Record'!I:I)</f>
        <v>0.71333333333333337</v>
      </c>
      <c r="L2517" s="59">
        <f t="shared" ca="1" si="198"/>
        <v>46027</v>
      </c>
      <c r="M2517" s="30">
        <f t="shared" ca="1" si="199"/>
        <v>0.7434143518518519</v>
      </c>
      <c r="N2517" s="31"/>
      <c r="O2517" s="31">
        <v>0.5</v>
      </c>
      <c r="P2517" s="29">
        <v>0</v>
      </c>
      <c r="Q2517" s="29">
        <v>1</v>
      </c>
    </row>
    <row r="2518" spans="1:17" x14ac:dyDescent="0.35">
      <c r="A2518" s="26">
        <v>40000002815</v>
      </c>
      <c r="B2518" s="31">
        <v>1</v>
      </c>
      <c r="C2518" s="29" t="str">
        <f>LOOKUP(A2518,'QALS - Inspection Lot Record'!$A$2:$A$361,'QALS - Inspection Lot Record'!$O$2:$O$361)</f>
        <v>Ibuprofen Tablets (100 MG)</v>
      </c>
      <c r="D2518" s="31">
        <v>50</v>
      </c>
      <c r="E2518" s="29" t="s">
        <v>404</v>
      </c>
      <c r="F2518" s="29" t="str">
        <f>LOOKUP(A2518,'QALS - Inspection Lot Record'!A:A,'QALS - Inspection Lot Record'!G:G)</f>
        <v>AB406550</v>
      </c>
      <c r="G2518" s="59">
        <f ca="1">LOOKUP(A2518,'QALS - Inspection Lot Record'!A:A,'QALS - Inspection Lot Record'!E:E)</f>
        <v>46027</v>
      </c>
      <c r="H2518" s="34" t="str">
        <f t="shared" si="200"/>
        <v>A</v>
      </c>
      <c r="I2518" s="29" t="str">
        <f t="shared" si="196"/>
        <v>AB406550</v>
      </c>
      <c r="J2518" s="59">
        <f t="shared" ca="1" si="197"/>
        <v>46027</v>
      </c>
      <c r="K2518" s="30">
        <f ca="1">LOOKUP(A2518,'QALS - Inspection Lot Record'!A:A,'QALS - Inspection Lot Record'!I:I)</f>
        <v>0.71333333333333337</v>
      </c>
      <c r="L2518" s="59">
        <f t="shared" ca="1" si="198"/>
        <v>46027</v>
      </c>
      <c r="M2518" s="30">
        <f t="shared" ca="1" si="199"/>
        <v>0.7312037037037038</v>
      </c>
      <c r="N2518" s="31"/>
      <c r="O2518" s="31">
        <v>41.7</v>
      </c>
      <c r="P2518" s="29">
        <v>40</v>
      </c>
      <c r="Q2518" s="29">
        <v>60</v>
      </c>
    </row>
    <row r="2519" spans="1:17" x14ac:dyDescent="0.35">
      <c r="A2519" s="26">
        <v>40000002815</v>
      </c>
      <c r="B2519" s="31">
        <v>1</v>
      </c>
      <c r="C2519" s="29" t="str">
        <f>LOOKUP(A2519,'QALS - Inspection Lot Record'!$A$2:$A$361,'QALS - Inspection Lot Record'!$O$2:$O$361)</f>
        <v>Ibuprofen Tablets (100 MG)</v>
      </c>
      <c r="D2519" s="31">
        <v>60</v>
      </c>
      <c r="E2519" s="29" t="s">
        <v>405</v>
      </c>
      <c r="F2519" s="29" t="str">
        <f>LOOKUP(A2519,'QALS - Inspection Lot Record'!A:A,'QALS - Inspection Lot Record'!G:G)</f>
        <v>AB406550</v>
      </c>
      <c r="G2519" s="59">
        <f ca="1">LOOKUP(A2519,'QALS - Inspection Lot Record'!A:A,'QALS - Inspection Lot Record'!E:E)</f>
        <v>46027</v>
      </c>
      <c r="H2519" s="34" t="str">
        <f t="shared" si="200"/>
        <v>A</v>
      </c>
      <c r="I2519" s="29" t="str">
        <f t="shared" si="196"/>
        <v>AB406550</v>
      </c>
      <c r="J2519" s="59">
        <f t="shared" ca="1" si="197"/>
        <v>46027</v>
      </c>
      <c r="K2519" s="30">
        <f ca="1">LOOKUP(A2519,'QALS - Inspection Lot Record'!A:A,'QALS - Inspection Lot Record'!I:I)</f>
        <v>0.71333333333333337</v>
      </c>
      <c r="L2519" s="59">
        <f t="shared" ca="1" si="198"/>
        <v>46027</v>
      </c>
      <c r="M2519" s="30">
        <f t="shared" ca="1" si="199"/>
        <v>0.74726851851851861</v>
      </c>
      <c r="N2519" s="31"/>
      <c r="O2519" s="31">
        <v>71.099999999999994</v>
      </c>
      <c r="P2519" s="29">
        <v>70</v>
      </c>
      <c r="Q2519" s="29">
        <v>85</v>
      </c>
    </row>
    <row r="2520" spans="1:17" x14ac:dyDescent="0.35">
      <c r="A2520" s="26">
        <v>40000002815</v>
      </c>
      <c r="B2520" s="31">
        <v>1</v>
      </c>
      <c r="C2520" s="29" t="str">
        <f>LOOKUP(A2520,'QALS - Inspection Lot Record'!$A$2:$A$361,'QALS - Inspection Lot Record'!$O$2:$O$361)</f>
        <v>Ibuprofen Tablets (100 MG)</v>
      </c>
      <c r="D2520" s="31">
        <v>70</v>
      </c>
      <c r="E2520" s="29" t="s">
        <v>406</v>
      </c>
      <c r="F2520" s="29" t="str">
        <f>LOOKUP(A2520,'QALS - Inspection Lot Record'!A:A,'QALS - Inspection Lot Record'!G:G)</f>
        <v>AB406550</v>
      </c>
      <c r="G2520" s="59">
        <f ca="1">LOOKUP(A2520,'QALS - Inspection Lot Record'!A:A,'QALS - Inspection Lot Record'!E:E)</f>
        <v>46027</v>
      </c>
      <c r="H2520" s="34" t="str">
        <f t="shared" si="200"/>
        <v>A</v>
      </c>
      <c r="I2520" s="29" t="str">
        <f t="shared" si="196"/>
        <v>AB406550</v>
      </c>
      <c r="J2520" s="59">
        <f t="shared" ca="1" si="197"/>
        <v>46027</v>
      </c>
      <c r="K2520" s="30">
        <f ca="1">LOOKUP(A2520,'QALS - Inspection Lot Record'!A:A,'QALS - Inspection Lot Record'!I:I)</f>
        <v>0.71333333333333337</v>
      </c>
      <c r="L2520" s="59">
        <f t="shared" ca="1" si="198"/>
        <v>46027</v>
      </c>
      <c r="M2520" s="30">
        <f t="shared" ca="1" si="199"/>
        <v>0.73895833333333338</v>
      </c>
      <c r="N2520" s="31"/>
      <c r="O2520" s="31">
        <v>81.7</v>
      </c>
      <c r="P2520" s="29">
        <v>80</v>
      </c>
      <c r="Q2520" s="29">
        <v>90</v>
      </c>
    </row>
    <row r="2521" spans="1:17" x14ac:dyDescent="0.35">
      <c r="A2521" s="26">
        <v>40000002815</v>
      </c>
      <c r="B2521" s="31">
        <v>1</v>
      </c>
      <c r="C2521" s="29" t="str">
        <f>LOOKUP(A2521,'QALS - Inspection Lot Record'!$A$2:$A$361,'QALS - Inspection Lot Record'!$O$2:$O$361)</f>
        <v>Ibuprofen Tablets (100 MG)</v>
      </c>
      <c r="D2521" s="31">
        <v>80</v>
      </c>
      <c r="E2521" s="29" t="s">
        <v>407</v>
      </c>
      <c r="F2521" s="29" t="str">
        <f>LOOKUP(A2521,'QALS - Inspection Lot Record'!A:A,'QALS - Inspection Lot Record'!G:G)</f>
        <v>AB406550</v>
      </c>
      <c r="G2521" s="59">
        <f ca="1">LOOKUP(A2521,'QALS - Inspection Lot Record'!A:A,'QALS - Inspection Lot Record'!E:E)</f>
        <v>46027</v>
      </c>
      <c r="H2521" s="34" t="str">
        <f t="shared" si="200"/>
        <v>A</v>
      </c>
      <c r="I2521" s="29" t="str">
        <f t="shared" si="196"/>
        <v>AB406550</v>
      </c>
      <c r="J2521" s="59">
        <f t="shared" ca="1" si="197"/>
        <v>46027</v>
      </c>
      <c r="K2521" s="30">
        <f ca="1">LOOKUP(A2521,'QALS - Inspection Lot Record'!A:A,'QALS - Inspection Lot Record'!I:I)</f>
        <v>0.71333333333333337</v>
      </c>
      <c r="L2521" s="59">
        <f t="shared" ca="1" si="198"/>
        <v>46027</v>
      </c>
      <c r="M2521" s="30">
        <f t="shared" ca="1" si="199"/>
        <v>0.7350000000000001</v>
      </c>
      <c r="N2521" s="31"/>
      <c r="O2521" s="31">
        <v>24</v>
      </c>
      <c r="P2521" s="29">
        <v>23</v>
      </c>
      <c r="Q2521" s="29">
        <v>25</v>
      </c>
    </row>
    <row r="2522" spans="1:17" x14ac:dyDescent="0.35">
      <c r="A2522" s="26">
        <v>40000002816</v>
      </c>
      <c r="B2522" s="27">
        <v>1</v>
      </c>
      <c r="C2522" s="29" t="str">
        <f>LOOKUP(A2522,'QALS - Inspection Lot Record'!$A$2:$A$361,'QALS - Inspection Lot Record'!$O$2:$O$361)</f>
        <v>Metformin Tablets (100 MG)</v>
      </c>
      <c r="D2522" s="27">
        <v>10</v>
      </c>
      <c r="E2522" s="26" t="s">
        <v>399</v>
      </c>
      <c r="F2522" s="29" t="str">
        <f>LOOKUP(A2522,'QALS - Inspection Lot Record'!A:A,'QALS - Inspection Lot Record'!G:G)</f>
        <v>TG509538</v>
      </c>
      <c r="G2522" s="59">
        <f ca="1">LOOKUP(A2522,'QALS - Inspection Lot Record'!A:A,'QALS - Inspection Lot Record'!E:E)</f>
        <v>46027</v>
      </c>
      <c r="H2522" s="34" t="str">
        <f t="shared" si="200"/>
        <v>A</v>
      </c>
      <c r="I2522" s="29" t="str">
        <f t="shared" si="196"/>
        <v>TG509538</v>
      </c>
      <c r="J2522" s="59">
        <f t="shared" ca="1" si="197"/>
        <v>46027</v>
      </c>
      <c r="K2522" s="30">
        <f ca="1">LOOKUP(A2522,'QALS - Inspection Lot Record'!A:A,'QALS - Inspection Lot Record'!I:I)</f>
        <v>0.26314814814814813</v>
      </c>
      <c r="L2522" s="59">
        <f t="shared" ca="1" si="198"/>
        <v>46027</v>
      </c>
      <c r="M2522" s="30">
        <f t="shared" ca="1" si="199"/>
        <v>0.28179398148148149</v>
      </c>
      <c r="N2522" s="31"/>
      <c r="O2522" s="31">
        <v>98.5</v>
      </c>
      <c r="P2522" s="29">
        <v>95</v>
      </c>
      <c r="Q2522" s="29">
        <v>102</v>
      </c>
    </row>
    <row r="2523" spans="1:17" x14ac:dyDescent="0.35">
      <c r="A2523" s="26">
        <v>40000002816</v>
      </c>
      <c r="B2523" s="27">
        <v>1</v>
      </c>
      <c r="C2523" s="29" t="str">
        <f>LOOKUP(A2523,'QALS - Inspection Lot Record'!$A$2:$A$361,'QALS - Inspection Lot Record'!$O$2:$O$361)</f>
        <v>Metformin Tablets (100 MG)</v>
      </c>
      <c r="D2523" s="31">
        <v>20</v>
      </c>
      <c r="E2523" s="29" t="s">
        <v>400</v>
      </c>
      <c r="F2523" s="29" t="str">
        <f>LOOKUP(A2523,'QALS - Inspection Lot Record'!A:A,'QALS - Inspection Lot Record'!G:G)</f>
        <v>TG509538</v>
      </c>
      <c r="G2523" s="59">
        <f ca="1">LOOKUP(A2523,'QALS - Inspection Lot Record'!A:A,'QALS - Inspection Lot Record'!E:E)</f>
        <v>46027</v>
      </c>
      <c r="H2523" s="34" t="str">
        <f t="shared" si="200"/>
        <v>A</v>
      </c>
      <c r="I2523" s="29" t="str">
        <f t="shared" si="196"/>
        <v>TG509538</v>
      </c>
      <c r="J2523" s="59">
        <f t="shared" ca="1" si="197"/>
        <v>46027</v>
      </c>
      <c r="K2523" s="30">
        <f ca="1">LOOKUP(A2523,'QALS - Inspection Lot Record'!A:A,'QALS - Inspection Lot Record'!I:I)</f>
        <v>0.26314814814814813</v>
      </c>
      <c r="L2523" s="59">
        <f t="shared" ca="1" si="198"/>
        <v>46027</v>
      </c>
      <c r="M2523" s="30">
        <f t="shared" ca="1" si="199"/>
        <v>0.29071759259259256</v>
      </c>
      <c r="N2523" s="31"/>
      <c r="O2523" s="31">
        <v>7.25</v>
      </c>
      <c r="P2523" s="29">
        <v>3.5</v>
      </c>
      <c r="Q2523" s="29">
        <v>11</v>
      </c>
    </row>
    <row r="2524" spans="1:17" x14ac:dyDescent="0.35">
      <c r="A2524" s="26">
        <v>40000002816</v>
      </c>
      <c r="B2524" s="31">
        <v>1</v>
      </c>
      <c r="C2524" s="29" t="str">
        <f>LOOKUP(A2524,'QALS - Inspection Lot Record'!$A$2:$A$361,'QALS - Inspection Lot Record'!$O$2:$O$361)</f>
        <v>Metformin Tablets (100 MG)</v>
      </c>
      <c r="D2524" s="31">
        <v>30</v>
      </c>
      <c r="E2524" s="29" t="s">
        <v>401</v>
      </c>
      <c r="F2524" s="29" t="str">
        <f>LOOKUP(A2524,'QALS - Inspection Lot Record'!A:A,'QALS - Inspection Lot Record'!G:G)</f>
        <v>TG509538</v>
      </c>
      <c r="G2524" s="59">
        <f ca="1">LOOKUP(A2524,'QALS - Inspection Lot Record'!A:A,'QALS - Inspection Lot Record'!E:E)</f>
        <v>46027</v>
      </c>
      <c r="H2524" s="34" t="str">
        <f t="shared" si="200"/>
        <v>A</v>
      </c>
      <c r="I2524" s="29" t="str">
        <f t="shared" si="196"/>
        <v>TG509538</v>
      </c>
      <c r="J2524" s="59">
        <f t="shared" ca="1" si="197"/>
        <v>46027</v>
      </c>
      <c r="K2524" s="30">
        <f ca="1">LOOKUP(A2524,'QALS - Inspection Lot Record'!A:A,'QALS - Inspection Lot Record'!I:I)</f>
        <v>0.26314814814814813</v>
      </c>
      <c r="L2524" s="59">
        <f t="shared" ca="1" si="198"/>
        <v>46027</v>
      </c>
      <c r="M2524" s="30">
        <f t="shared" ca="1" si="199"/>
        <v>0.2955787037037037</v>
      </c>
      <c r="N2524" s="11" t="s">
        <v>402</v>
      </c>
      <c r="O2524" s="31"/>
      <c r="P2524" s="29"/>
      <c r="Q2524" s="29"/>
    </row>
    <row r="2525" spans="1:17" x14ac:dyDescent="0.35">
      <c r="A2525" s="26">
        <v>40000002816</v>
      </c>
      <c r="B2525" s="31">
        <v>1</v>
      </c>
      <c r="C2525" s="29" t="str">
        <f>LOOKUP(A2525,'QALS - Inspection Lot Record'!$A$2:$A$361,'QALS - Inspection Lot Record'!$O$2:$O$361)</f>
        <v>Metformin Tablets (100 MG)</v>
      </c>
      <c r="D2525" s="31">
        <v>40</v>
      </c>
      <c r="E2525" s="29" t="s">
        <v>403</v>
      </c>
      <c r="F2525" s="29" t="str">
        <f>LOOKUP(A2525,'QALS - Inspection Lot Record'!A:A,'QALS - Inspection Lot Record'!G:G)</f>
        <v>TG509538</v>
      </c>
      <c r="G2525" s="59">
        <f ca="1">LOOKUP(A2525,'QALS - Inspection Lot Record'!A:A,'QALS - Inspection Lot Record'!E:E)</f>
        <v>46027</v>
      </c>
      <c r="H2525" s="34" t="str">
        <f t="shared" si="200"/>
        <v>A</v>
      </c>
      <c r="I2525" s="29" t="str">
        <f t="shared" si="196"/>
        <v>TG509538</v>
      </c>
      <c r="J2525" s="59">
        <f t="shared" ca="1" si="197"/>
        <v>46027</v>
      </c>
      <c r="K2525" s="30">
        <f ca="1">LOOKUP(A2525,'QALS - Inspection Lot Record'!A:A,'QALS - Inspection Lot Record'!I:I)</f>
        <v>0.26314814814814813</v>
      </c>
      <c r="L2525" s="59">
        <f t="shared" ca="1" si="198"/>
        <v>46027</v>
      </c>
      <c r="M2525" s="30">
        <f t="shared" ca="1" si="199"/>
        <v>0.2873148148148148</v>
      </c>
      <c r="N2525" s="31"/>
      <c r="O2525" s="31">
        <v>0.5</v>
      </c>
      <c r="P2525" s="29">
        <v>0</v>
      </c>
      <c r="Q2525" s="29">
        <v>1</v>
      </c>
    </row>
    <row r="2526" spans="1:17" x14ac:dyDescent="0.35">
      <c r="A2526" s="26">
        <v>40000002816</v>
      </c>
      <c r="B2526" s="31">
        <v>1</v>
      </c>
      <c r="C2526" s="29" t="str">
        <f>LOOKUP(A2526,'QALS - Inspection Lot Record'!$A$2:$A$361,'QALS - Inspection Lot Record'!$O$2:$O$361)</f>
        <v>Metformin Tablets (100 MG)</v>
      </c>
      <c r="D2526" s="31">
        <v>50</v>
      </c>
      <c r="E2526" s="29" t="s">
        <v>404</v>
      </c>
      <c r="F2526" s="29" t="str">
        <f>LOOKUP(A2526,'QALS - Inspection Lot Record'!A:A,'QALS - Inspection Lot Record'!G:G)</f>
        <v>TG509538</v>
      </c>
      <c r="G2526" s="59">
        <f ca="1">LOOKUP(A2526,'QALS - Inspection Lot Record'!A:A,'QALS - Inspection Lot Record'!E:E)</f>
        <v>46027</v>
      </c>
      <c r="H2526" s="34" t="str">
        <f t="shared" si="200"/>
        <v>A</v>
      </c>
      <c r="I2526" s="29" t="str">
        <f t="shared" si="196"/>
        <v>TG509538</v>
      </c>
      <c r="J2526" s="59">
        <f t="shared" ca="1" si="197"/>
        <v>46027</v>
      </c>
      <c r="K2526" s="30">
        <f ca="1">LOOKUP(A2526,'QALS - Inspection Lot Record'!A:A,'QALS - Inspection Lot Record'!I:I)</f>
        <v>0.26314814814814813</v>
      </c>
      <c r="L2526" s="59">
        <f t="shared" ca="1" si="198"/>
        <v>46027</v>
      </c>
      <c r="M2526" s="30">
        <f t="shared" ca="1" si="199"/>
        <v>0.28756944444444443</v>
      </c>
      <c r="N2526" s="31"/>
      <c r="O2526" s="31">
        <v>41.7</v>
      </c>
      <c r="P2526" s="29">
        <v>40</v>
      </c>
      <c r="Q2526" s="29">
        <v>60</v>
      </c>
    </row>
    <row r="2527" spans="1:17" x14ac:dyDescent="0.35">
      <c r="A2527" s="26">
        <v>40000002816</v>
      </c>
      <c r="B2527" s="31">
        <v>1</v>
      </c>
      <c r="C2527" s="29" t="str">
        <f>LOOKUP(A2527,'QALS - Inspection Lot Record'!$A$2:$A$361,'QALS - Inspection Lot Record'!$O$2:$O$361)</f>
        <v>Metformin Tablets (100 MG)</v>
      </c>
      <c r="D2527" s="31">
        <v>60</v>
      </c>
      <c r="E2527" s="29" t="s">
        <v>405</v>
      </c>
      <c r="F2527" s="29" t="str">
        <f>LOOKUP(A2527,'QALS - Inspection Lot Record'!A:A,'QALS - Inspection Lot Record'!G:G)</f>
        <v>TG509538</v>
      </c>
      <c r="G2527" s="59">
        <f ca="1">LOOKUP(A2527,'QALS - Inspection Lot Record'!A:A,'QALS - Inspection Lot Record'!E:E)</f>
        <v>46027</v>
      </c>
      <c r="H2527" s="34" t="str">
        <f t="shared" si="200"/>
        <v>A</v>
      </c>
      <c r="I2527" s="29" t="str">
        <f t="shared" si="196"/>
        <v>TG509538</v>
      </c>
      <c r="J2527" s="59">
        <f t="shared" ca="1" si="197"/>
        <v>46027</v>
      </c>
      <c r="K2527" s="30">
        <f ca="1">LOOKUP(A2527,'QALS - Inspection Lot Record'!A:A,'QALS - Inspection Lot Record'!I:I)</f>
        <v>0.26314814814814813</v>
      </c>
      <c r="L2527" s="59">
        <f t="shared" ca="1" si="198"/>
        <v>46027</v>
      </c>
      <c r="M2527" s="30">
        <f t="shared" ca="1" si="199"/>
        <v>0.28482638888888889</v>
      </c>
      <c r="N2527" s="31"/>
      <c r="O2527" s="31">
        <v>71</v>
      </c>
      <c r="P2527" s="29">
        <v>70</v>
      </c>
      <c r="Q2527" s="29">
        <v>85</v>
      </c>
    </row>
    <row r="2528" spans="1:17" x14ac:dyDescent="0.35">
      <c r="A2528" s="26">
        <v>40000002816</v>
      </c>
      <c r="B2528" s="31">
        <v>1</v>
      </c>
      <c r="C2528" s="29" t="str">
        <f>LOOKUP(A2528,'QALS - Inspection Lot Record'!$A$2:$A$361,'QALS - Inspection Lot Record'!$O$2:$O$361)</f>
        <v>Metformin Tablets (100 MG)</v>
      </c>
      <c r="D2528" s="31">
        <v>70</v>
      </c>
      <c r="E2528" s="29" t="s">
        <v>406</v>
      </c>
      <c r="F2528" s="29" t="str">
        <f>LOOKUP(A2528,'QALS - Inspection Lot Record'!A:A,'QALS - Inspection Lot Record'!G:G)</f>
        <v>TG509538</v>
      </c>
      <c r="G2528" s="59">
        <f ca="1">LOOKUP(A2528,'QALS - Inspection Lot Record'!A:A,'QALS - Inspection Lot Record'!E:E)</f>
        <v>46027</v>
      </c>
      <c r="H2528" s="34" t="str">
        <f t="shared" si="200"/>
        <v>A</v>
      </c>
      <c r="I2528" s="29" t="str">
        <f t="shared" si="196"/>
        <v>TG509538</v>
      </c>
      <c r="J2528" s="59">
        <f t="shared" ca="1" si="197"/>
        <v>46027</v>
      </c>
      <c r="K2528" s="30">
        <f ca="1">LOOKUP(A2528,'QALS - Inspection Lot Record'!A:A,'QALS - Inspection Lot Record'!I:I)</f>
        <v>0.26314814814814813</v>
      </c>
      <c r="L2528" s="59">
        <f t="shared" ca="1" si="198"/>
        <v>46027</v>
      </c>
      <c r="M2528" s="30">
        <f t="shared" ca="1" si="199"/>
        <v>0.29313657407407406</v>
      </c>
      <c r="N2528" s="31"/>
      <c r="O2528" s="31">
        <v>81.599999999999994</v>
      </c>
      <c r="P2528" s="29">
        <v>80</v>
      </c>
      <c r="Q2528" s="29">
        <v>90</v>
      </c>
    </row>
    <row r="2529" spans="1:17" x14ac:dyDescent="0.35">
      <c r="A2529" s="26">
        <v>40000002816</v>
      </c>
      <c r="B2529" s="31">
        <v>1</v>
      </c>
      <c r="C2529" s="29" t="str">
        <f>LOOKUP(A2529,'QALS - Inspection Lot Record'!$A$2:$A$361,'QALS - Inspection Lot Record'!$O$2:$O$361)</f>
        <v>Metformin Tablets (100 MG)</v>
      </c>
      <c r="D2529" s="31">
        <v>80</v>
      </c>
      <c r="E2529" s="29" t="s">
        <v>407</v>
      </c>
      <c r="F2529" s="29" t="str">
        <f>LOOKUP(A2529,'QALS - Inspection Lot Record'!A:A,'QALS - Inspection Lot Record'!G:G)</f>
        <v>TG509538</v>
      </c>
      <c r="G2529" s="59">
        <f ca="1">LOOKUP(A2529,'QALS - Inspection Lot Record'!A:A,'QALS - Inspection Lot Record'!E:E)</f>
        <v>46027</v>
      </c>
      <c r="H2529" s="34" t="str">
        <f t="shared" si="200"/>
        <v>A</v>
      </c>
      <c r="I2529" s="29" t="str">
        <f t="shared" si="196"/>
        <v>TG509538</v>
      </c>
      <c r="J2529" s="59">
        <f t="shared" ca="1" si="197"/>
        <v>46027</v>
      </c>
      <c r="K2529" s="30">
        <f ca="1">LOOKUP(A2529,'QALS - Inspection Lot Record'!A:A,'QALS - Inspection Lot Record'!I:I)</f>
        <v>0.26314814814814813</v>
      </c>
      <c r="L2529" s="59">
        <f t="shared" ca="1" si="198"/>
        <v>46027</v>
      </c>
      <c r="M2529" s="30">
        <f t="shared" ca="1" si="199"/>
        <v>0.28289351851851852</v>
      </c>
      <c r="N2529" s="31"/>
      <c r="O2529" s="31">
        <v>24</v>
      </c>
      <c r="P2529" s="29">
        <v>23</v>
      </c>
      <c r="Q2529" s="29">
        <v>25</v>
      </c>
    </row>
    <row r="2530" spans="1:17" x14ac:dyDescent="0.35">
      <c r="A2530" s="26">
        <v>40000002817</v>
      </c>
      <c r="B2530" s="27">
        <v>1</v>
      </c>
      <c r="C2530" s="29" t="str">
        <f>LOOKUP(A2530,'QALS - Inspection Lot Record'!$A$2:$A$361,'QALS - Inspection Lot Record'!$O$2:$O$361)</f>
        <v>Metformin Tablets (100 MG)</v>
      </c>
      <c r="D2530" s="27">
        <v>10</v>
      </c>
      <c r="E2530" s="26" t="s">
        <v>399</v>
      </c>
      <c r="F2530" s="29" t="str">
        <f>LOOKUP(A2530,'QALS - Inspection Lot Record'!A:A,'QALS - Inspection Lot Record'!G:G)</f>
        <v>AB406550</v>
      </c>
      <c r="G2530" s="59">
        <f ca="1">LOOKUP(A2530,'QALS - Inspection Lot Record'!A:A,'QALS - Inspection Lot Record'!E:E)</f>
        <v>46028</v>
      </c>
      <c r="H2530" s="34" t="str">
        <f t="shared" si="200"/>
        <v>A</v>
      </c>
      <c r="I2530" s="29" t="str">
        <f t="shared" si="196"/>
        <v>AB406550</v>
      </c>
      <c r="J2530" s="59">
        <f t="shared" ca="1" si="197"/>
        <v>46028</v>
      </c>
      <c r="K2530" s="30">
        <f ca="1">LOOKUP(A2530,'QALS - Inspection Lot Record'!A:A,'QALS - Inspection Lot Record'!I:I)</f>
        <v>0.6777199074074074</v>
      </c>
      <c r="L2530" s="59">
        <f t="shared" ca="1" si="198"/>
        <v>46028</v>
      </c>
      <c r="M2530" s="30">
        <f t="shared" ca="1" si="199"/>
        <v>0.6999305555555555</v>
      </c>
      <c r="N2530" s="31"/>
      <c r="O2530" s="31">
        <v>98.5</v>
      </c>
      <c r="P2530" s="29">
        <v>95</v>
      </c>
      <c r="Q2530" s="29">
        <v>102</v>
      </c>
    </row>
    <row r="2531" spans="1:17" x14ac:dyDescent="0.35">
      <c r="A2531" s="26">
        <v>40000002817</v>
      </c>
      <c r="B2531" s="27">
        <v>1</v>
      </c>
      <c r="C2531" s="29" t="str">
        <f>LOOKUP(A2531,'QALS - Inspection Lot Record'!$A$2:$A$361,'QALS - Inspection Lot Record'!$O$2:$O$361)</f>
        <v>Metformin Tablets (100 MG)</v>
      </c>
      <c r="D2531" s="31">
        <v>20</v>
      </c>
      <c r="E2531" s="29" t="s">
        <v>400</v>
      </c>
      <c r="F2531" s="29" t="str">
        <f>LOOKUP(A2531,'QALS - Inspection Lot Record'!A:A,'QALS - Inspection Lot Record'!G:G)</f>
        <v>AB406550</v>
      </c>
      <c r="G2531" s="59">
        <f ca="1">LOOKUP(A2531,'QALS - Inspection Lot Record'!A:A,'QALS - Inspection Lot Record'!E:E)</f>
        <v>46028</v>
      </c>
      <c r="H2531" s="34" t="str">
        <f t="shared" si="200"/>
        <v>A</v>
      </c>
      <c r="I2531" s="29" t="str">
        <f t="shared" si="196"/>
        <v>AB406550</v>
      </c>
      <c r="J2531" s="59">
        <f t="shared" ca="1" si="197"/>
        <v>46028</v>
      </c>
      <c r="K2531" s="30">
        <f ca="1">LOOKUP(A2531,'QALS - Inspection Lot Record'!A:A,'QALS - Inspection Lot Record'!I:I)</f>
        <v>0.6777199074074074</v>
      </c>
      <c r="L2531" s="59">
        <f t="shared" ca="1" si="198"/>
        <v>46028</v>
      </c>
      <c r="M2531" s="30">
        <f t="shared" ca="1" si="199"/>
        <v>0.70908564814814812</v>
      </c>
      <c r="N2531" s="31"/>
      <c r="O2531" s="31">
        <v>7.25</v>
      </c>
      <c r="P2531" s="29">
        <v>3.5</v>
      </c>
      <c r="Q2531" s="29">
        <v>11</v>
      </c>
    </row>
    <row r="2532" spans="1:17" x14ac:dyDescent="0.35">
      <c r="A2532" s="26">
        <v>40000002817</v>
      </c>
      <c r="B2532" s="31">
        <v>1</v>
      </c>
      <c r="C2532" s="29" t="str">
        <f>LOOKUP(A2532,'QALS - Inspection Lot Record'!$A$2:$A$361,'QALS - Inspection Lot Record'!$O$2:$O$361)</f>
        <v>Metformin Tablets (100 MG)</v>
      </c>
      <c r="D2532" s="31">
        <v>30</v>
      </c>
      <c r="E2532" s="29" t="s">
        <v>401</v>
      </c>
      <c r="F2532" s="29" t="str">
        <f>LOOKUP(A2532,'QALS - Inspection Lot Record'!A:A,'QALS - Inspection Lot Record'!G:G)</f>
        <v>AB406550</v>
      </c>
      <c r="G2532" s="59">
        <f ca="1">LOOKUP(A2532,'QALS - Inspection Lot Record'!A:A,'QALS - Inspection Lot Record'!E:E)</f>
        <v>46028</v>
      </c>
      <c r="H2532" s="34" t="str">
        <f t="shared" si="200"/>
        <v>A</v>
      </c>
      <c r="I2532" s="29" t="str">
        <f t="shared" si="196"/>
        <v>AB406550</v>
      </c>
      <c r="J2532" s="59">
        <f t="shared" ca="1" si="197"/>
        <v>46028</v>
      </c>
      <c r="K2532" s="30">
        <f ca="1">LOOKUP(A2532,'QALS - Inspection Lot Record'!A:A,'QALS - Inspection Lot Record'!I:I)</f>
        <v>0.6777199074074074</v>
      </c>
      <c r="L2532" s="59">
        <f t="shared" ca="1" si="198"/>
        <v>46028</v>
      </c>
      <c r="M2532" s="30">
        <f t="shared" ca="1" si="199"/>
        <v>0.70549768518518519</v>
      </c>
      <c r="N2532" s="11" t="s">
        <v>402</v>
      </c>
      <c r="O2532" s="31"/>
      <c r="P2532" s="29"/>
      <c r="Q2532" s="29"/>
    </row>
    <row r="2533" spans="1:17" x14ac:dyDescent="0.35">
      <c r="A2533" s="26">
        <v>40000002817</v>
      </c>
      <c r="B2533" s="31">
        <v>1</v>
      </c>
      <c r="C2533" s="29" t="str">
        <f>LOOKUP(A2533,'QALS - Inspection Lot Record'!$A$2:$A$361,'QALS - Inspection Lot Record'!$O$2:$O$361)</f>
        <v>Metformin Tablets (100 MG)</v>
      </c>
      <c r="D2533" s="31">
        <v>40</v>
      </c>
      <c r="E2533" s="29" t="s">
        <v>403</v>
      </c>
      <c r="F2533" s="29" t="str">
        <f>LOOKUP(A2533,'QALS - Inspection Lot Record'!A:A,'QALS - Inspection Lot Record'!G:G)</f>
        <v>AB406550</v>
      </c>
      <c r="G2533" s="59">
        <f ca="1">LOOKUP(A2533,'QALS - Inspection Lot Record'!A:A,'QALS - Inspection Lot Record'!E:E)</f>
        <v>46028</v>
      </c>
      <c r="H2533" s="34" t="str">
        <f t="shared" si="200"/>
        <v>A</v>
      </c>
      <c r="I2533" s="29" t="str">
        <f t="shared" si="196"/>
        <v>AB406550</v>
      </c>
      <c r="J2533" s="59">
        <f t="shared" ca="1" si="197"/>
        <v>46028</v>
      </c>
      <c r="K2533" s="30">
        <f ca="1">LOOKUP(A2533,'QALS - Inspection Lot Record'!A:A,'QALS - Inspection Lot Record'!I:I)</f>
        <v>0.6777199074074074</v>
      </c>
      <c r="L2533" s="59">
        <f t="shared" ca="1" si="198"/>
        <v>46028</v>
      </c>
      <c r="M2533" s="30">
        <f t="shared" ca="1" si="199"/>
        <v>0.70718749999999997</v>
      </c>
      <c r="N2533" s="31"/>
      <c r="O2533" s="31">
        <v>0</v>
      </c>
      <c r="P2533" s="29">
        <v>0</v>
      </c>
      <c r="Q2533" s="29">
        <v>1</v>
      </c>
    </row>
    <row r="2534" spans="1:17" x14ac:dyDescent="0.35">
      <c r="A2534" s="26">
        <v>40000002817</v>
      </c>
      <c r="B2534" s="31">
        <v>1</v>
      </c>
      <c r="C2534" s="29" t="str">
        <f>LOOKUP(A2534,'QALS - Inspection Lot Record'!$A$2:$A$361,'QALS - Inspection Lot Record'!$O$2:$O$361)</f>
        <v>Metformin Tablets (100 MG)</v>
      </c>
      <c r="D2534" s="31">
        <v>50</v>
      </c>
      <c r="E2534" s="29" t="s">
        <v>404</v>
      </c>
      <c r="F2534" s="29" t="str">
        <f>LOOKUP(A2534,'QALS - Inspection Lot Record'!A:A,'QALS - Inspection Lot Record'!G:G)</f>
        <v>AB406550</v>
      </c>
      <c r="G2534" s="59">
        <f ca="1">LOOKUP(A2534,'QALS - Inspection Lot Record'!A:A,'QALS - Inspection Lot Record'!E:E)</f>
        <v>46028</v>
      </c>
      <c r="H2534" s="34" t="str">
        <f t="shared" si="200"/>
        <v>A</v>
      </c>
      <c r="I2534" s="29" t="str">
        <f t="shared" si="196"/>
        <v>AB406550</v>
      </c>
      <c r="J2534" s="59">
        <f t="shared" ca="1" si="197"/>
        <v>46028</v>
      </c>
      <c r="K2534" s="30">
        <f ca="1">LOOKUP(A2534,'QALS - Inspection Lot Record'!A:A,'QALS - Inspection Lot Record'!I:I)</f>
        <v>0.6777199074074074</v>
      </c>
      <c r="L2534" s="59">
        <f t="shared" ca="1" si="198"/>
        <v>46028</v>
      </c>
      <c r="M2534" s="30">
        <f t="shared" ca="1" si="199"/>
        <v>0.70567129629629632</v>
      </c>
      <c r="N2534" s="31"/>
      <c r="O2534" s="31">
        <v>50</v>
      </c>
      <c r="P2534" s="29">
        <v>40</v>
      </c>
      <c r="Q2534" s="29">
        <v>60</v>
      </c>
    </row>
    <row r="2535" spans="1:17" x14ac:dyDescent="0.35">
      <c r="A2535" s="26">
        <v>40000002817</v>
      </c>
      <c r="B2535" s="31">
        <v>1</v>
      </c>
      <c r="C2535" s="29" t="str">
        <f>LOOKUP(A2535,'QALS - Inspection Lot Record'!$A$2:$A$361,'QALS - Inspection Lot Record'!$O$2:$O$361)</f>
        <v>Metformin Tablets (100 MG)</v>
      </c>
      <c r="D2535" s="31">
        <v>60</v>
      </c>
      <c r="E2535" s="29" t="s">
        <v>405</v>
      </c>
      <c r="F2535" s="29" t="str">
        <f>LOOKUP(A2535,'QALS - Inspection Lot Record'!A:A,'QALS - Inspection Lot Record'!G:G)</f>
        <v>AB406550</v>
      </c>
      <c r="G2535" s="59">
        <f ca="1">LOOKUP(A2535,'QALS - Inspection Lot Record'!A:A,'QALS - Inspection Lot Record'!E:E)</f>
        <v>46028</v>
      </c>
      <c r="H2535" s="34" t="str">
        <f t="shared" si="200"/>
        <v>A</v>
      </c>
      <c r="I2535" s="29" t="str">
        <f t="shared" si="196"/>
        <v>AB406550</v>
      </c>
      <c r="J2535" s="59">
        <f t="shared" ca="1" si="197"/>
        <v>46028</v>
      </c>
      <c r="K2535" s="30">
        <f ca="1">LOOKUP(A2535,'QALS - Inspection Lot Record'!A:A,'QALS - Inspection Lot Record'!I:I)</f>
        <v>0.6777199074074074</v>
      </c>
      <c r="L2535" s="59">
        <f t="shared" ca="1" si="198"/>
        <v>46028</v>
      </c>
      <c r="M2535" s="30">
        <f t="shared" ca="1" si="199"/>
        <v>0.71311342592592597</v>
      </c>
      <c r="N2535" s="31"/>
      <c r="O2535" s="31">
        <v>77.5</v>
      </c>
      <c r="P2535" s="29">
        <v>70</v>
      </c>
      <c r="Q2535" s="29">
        <v>85</v>
      </c>
    </row>
    <row r="2536" spans="1:17" x14ac:dyDescent="0.35">
      <c r="A2536" s="26">
        <v>40000002817</v>
      </c>
      <c r="B2536" s="31">
        <v>1</v>
      </c>
      <c r="C2536" s="29" t="str">
        <f>LOOKUP(A2536,'QALS - Inspection Lot Record'!$A$2:$A$361,'QALS - Inspection Lot Record'!$O$2:$O$361)</f>
        <v>Metformin Tablets (100 MG)</v>
      </c>
      <c r="D2536" s="31">
        <v>70</v>
      </c>
      <c r="E2536" s="29" t="s">
        <v>406</v>
      </c>
      <c r="F2536" s="29" t="str">
        <f>LOOKUP(A2536,'QALS - Inspection Lot Record'!A:A,'QALS - Inspection Lot Record'!G:G)</f>
        <v>AB406550</v>
      </c>
      <c r="G2536" s="59">
        <f ca="1">LOOKUP(A2536,'QALS - Inspection Lot Record'!A:A,'QALS - Inspection Lot Record'!E:E)</f>
        <v>46028</v>
      </c>
      <c r="H2536" s="34" t="str">
        <f t="shared" si="200"/>
        <v>R</v>
      </c>
      <c r="I2536" s="29" t="str">
        <f t="shared" si="196"/>
        <v>AB406550</v>
      </c>
      <c r="J2536" s="59">
        <f t="shared" ca="1" si="197"/>
        <v>46028</v>
      </c>
      <c r="K2536" s="30">
        <f ca="1">LOOKUP(A2536,'QALS - Inspection Lot Record'!A:A,'QALS - Inspection Lot Record'!I:I)</f>
        <v>0.6777199074074074</v>
      </c>
      <c r="L2536" s="59">
        <f t="shared" ca="1" si="198"/>
        <v>46028</v>
      </c>
      <c r="M2536" s="30">
        <f t="shared" ca="1" si="199"/>
        <v>0.7038888888888889</v>
      </c>
      <c r="N2536" s="31"/>
      <c r="O2536" s="31">
        <v>78.099999999999994</v>
      </c>
      <c r="P2536" s="29">
        <v>80</v>
      </c>
      <c r="Q2536" s="29">
        <v>90</v>
      </c>
    </row>
    <row r="2537" spans="1:17" x14ac:dyDescent="0.35">
      <c r="A2537" s="26">
        <v>40000002817</v>
      </c>
      <c r="B2537" s="31">
        <v>1</v>
      </c>
      <c r="C2537" s="29" t="str">
        <f>LOOKUP(A2537,'QALS - Inspection Lot Record'!$A$2:$A$361,'QALS - Inspection Lot Record'!$O$2:$O$361)</f>
        <v>Metformin Tablets (100 MG)</v>
      </c>
      <c r="D2537" s="31">
        <v>80</v>
      </c>
      <c r="E2537" s="29" t="s">
        <v>407</v>
      </c>
      <c r="F2537" s="29" t="str">
        <f>LOOKUP(A2537,'QALS - Inspection Lot Record'!A:A,'QALS - Inspection Lot Record'!G:G)</f>
        <v>AB406550</v>
      </c>
      <c r="G2537" s="59">
        <f ca="1">LOOKUP(A2537,'QALS - Inspection Lot Record'!A:A,'QALS - Inspection Lot Record'!E:E)</f>
        <v>46028</v>
      </c>
      <c r="H2537" s="34" t="str">
        <f t="shared" si="200"/>
        <v>A</v>
      </c>
      <c r="I2537" s="29" t="str">
        <f t="shared" si="196"/>
        <v>AB406550</v>
      </c>
      <c r="J2537" s="59">
        <f t="shared" ca="1" si="197"/>
        <v>46028</v>
      </c>
      <c r="K2537" s="30">
        <f ca="1">LOOKUP(A2537,'QALS - Inspection Lot Record'!A:A,'QALS - Inspection Lot Record'!I:I)</f>
        <v>0.6777199074074074</v>
      </c>
      <c r="L2537" s="59">
        <f t="shared" ca="1" si="198"/>
        <v>46028</v>
      </c>
      <c r="M2537" s="30">
        <f t="shared" ca="1" si="199"/>
        <v>0.70884259259259252</v>
      </c>
      <c r="N2537" s="31"/>
      <c r="O2537" s="31">
        <v>24</v>
      </c>
      <c r="P2537" s="29">
        <v>23</v>
      </c>
      <c r="Q2537" s="29">
        <v>25</v>
      </c>
    </row>
    <row r="2538" spans="1:17" x14ac:dyDescent="0.35">
      <c r="A2538" s="26">
        <v>40000002818</v>
      </c>
      <c r="B2538" s="27">
        <v>1</v>
      </c>
      <c r="C2538" s="29" t="str">
        <f>LOOKUP(A2538,'QALS - Inspection Lot Record'!$A$2:$A$361,'QALS - Inspection Lot Record'!$O$2:$O$361)</f>
        <v>Metformin Tablets (200 MG)</v>
      </c>
      <c r="D2538" s="27">
        <v>10</v>
      </c>
      <c r="E2538" s="26" t="s">
        <v>399</v>
      </c>
      <c r="F2538" s="29" t="str">
        <f>LOOKUP(A2538,'QALS - Inspection Lot Record'!A:A,'QALS - Inspection Lot Record'!G:G)</f>
        <v>YA284176</v>
      </c>
      <c r="G2538" s="59">
        <f ca="1">LOOKUP(A2538,'QALS - Inspection Lot Record'!A:A,'QALS - Inspection Lot Record'!E:E)</f>
        <v>46028</v>
      </c>
      <c r="H2538" s="34" t="str">
        <f t="shared" si="200"/>
        <v>R</v>
      </c>
      <c r="I2538" s="29" t="str">
        <f t="shared" si="196"/>
        <v>YA284176</v>
      </c>
      <c r="J2538" s="59">
        <f t="shared" ca="1" si="197"/>
        <v>46028</v>
      </c>
      <c r="K2538" s="30">
        <f ca="1">LOOKUP(A2538,'QALS - Inspection Lot Record'!A:A,'QALS - Inspection Lot Record'!I:I)</f>
        <v>1.787037037037037E-2</v>
      </c>
      <c r="L2538" s="59">
        <f t="shared" ca="1" si="198"/>
        <v>46028</v>
      </c>
      <c r="M2538" s="30">
        <f t="shared" ca="1" si="199"/>
        <v>3.7638888888888888E-2</v>
      </c>
      <c r="N2538" s="31"/>
      <c r="O2538" s="31">
        <v>93.3</v>
      </c>
      <c r="P2538" s="29">
        <v>95</v>
      </c>
      <c r="Q2538" s="29">
        <v>103</v>
      </c>
    </row>
    <row r="2539" spans="1:17" x14ac:dyDescent="0.35">
      <c r="A2539" s="26">
        <v>40000002818</v>
      </c>
      <c r="B2539" s="27">
        <v>1</v>
      </c>
      <c r="C2539" s="29" t="str">
        <f>LOOKUP(A2539,'QALS - Inspection Lot Record'!$A$2:$A$361,'QALS - Inspection Lot Record'!$O$2:$O$361)</f>
        <v>Metformin Tablets (200 MG)</v>
      </c>
      <c r="D2539" s="31">
        <v>20</v>
      </c>
      <c r="E2539" s="29" t="s">
        <v>400</v>
      </c>
      <c r="F2539" s="29" t="str">
        <f>LOOKUP(A2539,'QALS - Inspection Lot Record'!A:A,'QALS - Inspection Lot Record'!G:G)</f>
        <v>YA284176</v>
      </c>
      <c r="G2539" s="59">
        <f ca="1">LOOKUP(A2539,'QALS - Inspection Lot Record'!A:A,'QALS - Inspection Lot Record'!E:E)</f>
        <v>46028</v>
      </c>
      <c r="H2539" s="34" t="str">
        <f t="shared" si="200"/>
        <v>A</v>
      </c>
      <c r="I2539" s="29" t="str">
        <f t="shared" si="196"/>
        <v>YA284176</v>
      </c>
      <c r="J2539" s="59">
        <f t="shared" ca="1" si="197"/>
        <v>46028</v>
      </c>
      <c r="K2539" s="30">
        <f ca="1">LOOKUP(A2539,'QALS - Inspection Lot Record'!A:A,'QALS - Inspection Lot Record'!I:I)</f>
        <v>1.787037037037037E-2</v>
      </c>
      <c r="L2539" s="59">
        <f t="shared" ca="1" si="198"/>
        <v>46028</v>
      </c>
      <c r="M2539" s="30">
        <f t="shared" ca="1" si="199"/>
        <v>4.6192129629629625E-2</v>
      </c>
      <c r="N2539" s="31"/>
      <c r="O2539" s="31">
        <v>7.75</v>
      </c>
      <c r="P2539" s="29">
        <v>6</v>
      </c>
      <c r="Q2539" s="29">
        <v>9.5</v>
      </c>
    </row>
    <row r="2540" spans="1:17" x14ac:dyDescent="0.35">
      <c r="A2540" s="26">
        <v>40000002818</v>
      </c>
      <c r="B2540" s="31">
        <v>1</v>
      </c>
      <c r="C2540" s="29" t="str">
        <f>LOOKUP(A2540,'QALS - Inspection Lot Record'!$A$2:$A$361,'QALS - Inspection Lot Record'!$O$2:$O$361)</f>
        <v>Metformin Tablets (200 MG)</v>
      </c>
      <c r="D2540" s="31">
        <v>30</v>
      </c>
      <c r="E2540" s="29" t="s">
        <v>401</v>
      </c>
      <c r="F2540" s="29" t="str">
        <f>LOOKUP(A2540,'QALS - Inspection Lot Record'!A:A,'QALS - Inspection Lot Record'!G:G)</f>
        <v>YA284176</v>
      </c>
      <c r="G2540" s="59">
        <f ca="1">LOOKUP(A2540,'QALS - Inspection Lot Record'!A:A,'QALS - Inspection Lot Record'!E:E)</f>
        <v>46028</v>
      </c>
      <c r="H2540" s="34" t="str">
        <f t="shared" si="200"/>
        <v>A</v>
      </c>
      <c r="I2540" s="29" t="str">
        <f t="shared" si="196"/>
        <v>YA284176</v>
      </c>
      <c r="J2540" s="59">
        <f t="shared" ca="1" si="197"/>
        <v>46028</v>
      </c>
      <c r="K2540" s="30">
        <f ca="1">LOOKUP(A2540,'QALS - Inspection Lot Record'!A:A,'QALS - Inspection Lot Record'!I:I)</f>
        <v>1.787037037037037E-2</v>
      </c>
      <c r="L2540" s="59">
        <f t="shared" ca="1" si="198"/>
        <v>46028</v>
      </c>
      <c r="M2540" s="30">
        <f t="shared" ca="1" si="199"/>
        <v>4.3773148148148144E-2</v>
      </c>
      <c r="N2540" s="11" t="s">
        <v>402</v>
      </c>
      <c r="O2540" s="31"/>
      <c r="P2540" s="29"/>
      <c r="Q2540" s="29"/>
    </row>
    <row r="2541" spans="1:17" x14ac:dyDescent="0.35">
      <c r="A2541" s="26">
        <v>40000002818</v>
      </c>
      <c r="B2541" s="31">
        <v>1</v>
      </c>
      <c r="C2541" s="29" t="str">
        <f>LOOKUP(A2541,'QALS - Inspection Lot Record'!$A$2:$A$361,'QALS - Inspection Lot Record'!$O$2:$O$361)</f>
        <v>Metformin Tablets (200 MG)</v>
      </c>
      <c r="D2541" s="31">
        <v>40</v>
      </c>
      <c r="E2541" s="29" t="s">
        <v>403</v>
      </c>
      <c r="F2541" s="29" t="str">
        <f>LOOKUP(A2541,'QALS - Inspection Lot Record'!A:A,'QALS - Inspection Lot Record'!G:G)</f>
        <v>YA284176</v>
      </c>
      <c r="G2541" s="59">
        <f ca="1">LOOKUP(A2541,'QALS - Inspection Lot Record'!A:A,'QALS - Inspection Lot Record'!E:E)</f>
        <v>46028</v>
      </c>
      <c r="H2541" s="34" t="str">
        <f t="shared" si="200"/>
        <v>A</v>
      </c>
      <c r="I2541" s="29" t="str">
        <f t="shared" si="196"/>
        <v>YA284176</v>
      </c>
      <c r="J2541" s="59">
        <f t="shared" ca="1" si="197"/>
        <v>46028</v>
      </c>
      <c r="K2541" s="30">
        <f ca="1">LOOKUP(A2541,'QALS - Inspection Lot Record'!A:A,'QALS - Inspection Lot Record'!I:I)</f>
        <v>1.787037037037037E-2</v>
      </c>
      <c r="L2541" s="59">
        <f t="shared" ca="1" si="198"/>
        <v>46028</v>
      </c>
      <c r="M2541" s="30">
        <f t="shared" ca="1" si="199"/>
        <v>4.8298611111111112E-2</v>
      </c>
      <c r="N2541" s="31"/>
      <c r="O2541" s="31">
        <v>0</v>
      </c>
      <c r="P2541" s="29">
        <v>0</v>
      </c>
      <c r="Q2541" s="29">
        <v>2</v>
      </c>
    </row>
    <row r="2542" spans="1:17" x14ac:dyDescent="0.35">
      <c r="A2542" s="26">
        <v>40000002818</v>
      </c>
      <c r="B2542" s="31">
        <v>1</v>
      </c>
      <c r="C2542" s="29" t="str">
        <f>LOOKUP(A2542,'QALS - Inspection Lot Record'!$A$2:$A$361,'QALS - Inspection Lot Record'!$O$2:$O$361)</f>
        <v>Metformin Tablets (200 MG)</v>
      </c>
      <c r="D2542" s="31">
        <v>50</v>
      </c>
      <c r="E2542" s="29" t="s">
        <v>404</v>
      </c>
      <c r="F2542" s="29" t="str">
        <f>LOOKUP(A2542,'QALS - Inspection Lot Record'!A:A,'QALS - Inspection Lot Record'!G:G)</f>
        <v>YA284176</v>
      </c>
      <c r="G2542" s="59">
        <f ca="1">LOOKUP(A2542,'QALS - Inspection Lot Record'!A:A,'QALS - Inspection Lot Record'!E:E)</f>
        <v>46028</v>
      </c>
      <c r="H2542" s="34" t="str">
        <f t="shared" si="200"/>
        <v>A</v>
      </c>
      <c r="I2542" s="29" t="str">
        <f t="shared" si="196"/>
        <v>YA284176</v>
      </c>
      <c r="J2542" s="59">
        <f t="shared" ca="1" si="197"/>
        <v>46028</v>
      </c>
      <c r="K2542" s="30">
        <f ca="1">LOOKUP(A2542,'QALS - Inspection Lot Record'!A:A,'QALS - Inspection Lot Record'!I:I)</f>
        <v>1.787037037037037E-2</v>
      </c>
      <c r="L2542" s="59">
        <f t="shared" ca="1" si="198"/>
        <v>46028</v>
      </c>
      <c r="M2542" s="30">
        <f t="shared" ca="1" si="199"/>
        <v>4.6458333333333338E-2</v>
      </c>
      <c r="N2542" s="31"/>
      <c r="O2542" s="31">
        <v>50</v>
      </c>
      <c r="P2542" s="29">
        <v>40</v>
      </c>
      <c r="Q2542" s="29">
        <v>60</v>
      </c>
    </row>
    <row r="2543" spans="1:17" x14ac:dyDescent="0.35">
      <c r="A2543" s="26">
        <v>40000002818</v>
      </c>
      <c r="B2543" s="31">
        <v>1</v>
      </c>
      <c r="C2543" s="29" t="str">
        <f>LOOKUP(A2543,'QALS - Inspection Lot Record'!$A$2:$A$361,'QALS - Inspection Lot Record'!$O$2:$O$361)</f>
        <v>Metformin Tablets (200 MG)</v>
      </c>
      <c r="D2543" s="31">
        <v>60</v>
      </c>
      <c r="E2543" s="29" t="s">
        <v>405</v>
      </c>
      <c r="F2543" s="29" t="str">
        <f>LOOKUP(A2543,'QALS - Inspection Lot Record'!A:A,'QALS - Inspection Lot Record'!G:G)</f>
        <v>YA284176</v>
      </c>
      <c r="G2543" s="59">
        <f ca="1">LOOKUP(A2543,'QALS - Inspection Lot Record'!A:A,'QALS - Inspection Lot Record'!E:E)</f>
        <v>46028</v>
      </c>
      <c r="H2543" s="34" t="str">
        <f t="shared" si="200"/>
        <v>A</v>
      </c>
      <c r="I2543" s="29" t="str">
        <f t="shared" si="196"/>
        <v>YA284176</v>
      </c>
      <c r="J2543" s="59">
        <f t="shared" ca="1" si="197"/>
        <v>46028</v>
      </c>
      <c r="K2543" s="30">
        <f ca="1">LOOKUP(A2543,'QALS - Inspection Lot Record'!A:A,'QALS - Inspection Lot Record'!I:I)</f>
        <v>1.787037037037037E-2</v>
      </c>
      <c r="L2543" s="59">
        <f t="shared" ca="1" si="198"/>
        <v>46028</v>
      </c>
      <c r="M2543" s="30">
        <f t="shared" ca="1" si="199"/>
        <v>4.0324074074074075E-2</v>
      </c>
      <c r="N2543" s="31"/>
      <c r="O2543" s="31">
        <v>77.5</v>
      </c>
      <c r="P2543" s="29">
        <v>70</v>
      </c>
      <c r="Q2543" s="29">
        <v>85</v>
      </c>
    </row>
    <row r="2544" spans="1:17" x14ac:dyDescent="0.35">
      <c r="A2544" s="26">
        <v>40000002818</v>
      </c>
      <c r="B2544" s="31">
        <v>1</v>
      </c>
      <c r="C2544" s="29" t="str">
        <f>LOOKUP(A2544,'QALS - Inspection Lot Record'!$A$2:$A$361,'QALS - Inspection Lot Record'!$O$2:$O$361)</f>
        <v>Metformin Tablets (200 MG)</v>
      </c>
      <c r="D2544" s="31">
        <v>70</v>
      </c>
      <c r="E2544" s="29" t="s">
        <v>406</v>
      </c>
      <c r="F2544" s="29" t="str">
        <f>LOOKUP(A2544,'QALS - Inspection Lot Record'!A:A,'QALS - Inspection Lot Record'!G:G)</f>
        <v>YA284176</v>
      </c>
      <c r="G2544" s="59">
        <f ca="1">LOOKUP(A2544,'QALS - Inspection Lot Record'!A:A,'QALS - Inspection Lot Record'!E:E)</f>
        <v>46028</v>
      </c>
      <c r="H2544" s="34" t="str">
        <f t="shared" si="200"/>
        <v>A</v>
      </c>
      <c r="I2544" s="29" t="str">
        <f t="shared" si="196"/>
        <v>YA284176</v>
      </c>
      <c r="J2544" s="59">
        <f t="shared" ca="1" si="197"/>
        <v>46028</v>
      </c>
      <c r="K2544" s="30">
        <f ca="1">LOOKUP(A2544,'QALS - Inspection Lot Record'!A:A,'QALS - Inspection Lot Record'!I:I)</f>
        <v>1.787037037037037E-2</v>
      </c>
      <c r="L2544" s="59">
        <f t="shared" ca="1" si="198"/>
        <v>46028</v>
      </c>
      <c r="M2544" s="30">
        <f t="shared" ca="1" si="199"/>
        <v>4.7118055555555552E-2</v>
      </c>
      <c r="N2544" s="31"/>
      <c r="O2544" s="31">
        <v>85</v>
      </c>
      <c r="P2544" s="29">
        <v>80</v>
      </c>
      <c r="Q2544" s="29">
        <v>90</v>
      </c>
    </row>
    <row r="2545" spans="1:17" x14ac:dyDescent="0.35">
      <c r="A2545" s="26">
        <v>40000002818</v>
      </c>
      <c r="B2545" s="31">
        <v>1</v>
      </c>
      <c r="C2545" s="29" t="str">
        <f>LOOKUP(A2545,'QALS - Inspection Lot Record'!$A$2:$A$361,'QALS - Inspection Lot Record'!$O$2:$O$361)</f>
        <v>Metformin Tablets (200 MG)</v>
      </c>
      <c r="D2545" s="31">
        <v>80</v>
      </c>
      <c r="E2545" s="29" t="s">
        <v>407</v>
      </c>
      <c r="F2545" s="29" t="str">
        <f>LOOKUP(A2545,'QALS - Inspection Lot Record'!A:A,'QALS - Inspection Lot Record'!G:G)</f>
        <v>YA284176</v>
      </c>
      <c r="G2545" s="59">
        <f ca="1">LOOKUP(A2545,'QALS - Inspection Lot Record'!A:A,'QALS - Inspection Lot Record'!E:E)</f>
        <v>46028</v>
      </c>
      <c r="H2545" s="34" t="str">
        <f t="shared" si="200"/>
        <v>A</v>
      </c>
      <c r="I2545" s="29" t="str">
        <f t="shared" si="196"/>
        <v>YA284176</v>
      </c>
      <c r="J2545" s="59">
        <f t="shared" ca="1" si="197"/>
        <v>46028</v>
      </c>
      <c r="K2545" s="30">
        <f ca="1">LOOKUP(A2545,'QALS - Inspection Lot Record'!A:A,'QALS - Inspection Lot Record'!I:I)</f>
        <v>1.787037037037037E-2</v>
      </c>
      <c r="L2545" s="59">
        <f t="shared" ca="1" si="198"/>
        <v>46028</v>
      </c>
      <c r="M2545" s="30">
        <f t="shared" ca="1" si="199"/>
        <v>3.7615740740740741E-2</v>
      </c>
      <c r="N2545" s="31"/>
      <c r="O2545" s="31">
        <v>25.5</v>
      </c>
      <c r="P2545" s="29">
        <v>23</v>
      </c>
      <c r="Q2545" s="29">
        <v>28</v>
      </c>
    </row>
    <row r="2546" spans="1:17" x14ac:dyDescent="0.35">
      <c r="A2546" s="26">
        <v>40000002819</v>
      </c>
      <c r="B2546" s="27">
        <v>1</v>
      </c>
      <c r="C2546" s="29" t="str">
        <f>LOOKUP(A2546,'QALS - Inspection Lot Record'!$A$2:$A$361,'QALS - Inspection Lot Record'!$O$2:$O$361)</f>
        <v>Aspirin Tablets (500 MG)</v>
      </c>
      <c r="D2546" s="27">
        <v>10</v>
      </c>
      <c r="E2546" s="26" t="s">
        <v>399</v>
      </c>
      <c r="F2546" s="29" t="str">
        <f>LOOKUP(A2546,'QALS - Inspection Lot Record'!A:A,'QALS - Inspection Lot Record'!G:G)</f>
        <v>ZK384180</v>
      </c>
      <c r="G2546" s="59">
        <f ca="1">LOOKUP(A2546,'QALS - Inspection Lot Record'!A:A,'QALS - Inspection Lot Record'!E:E)</f>
        <v>46029</v>
      </c>
      <c r="H2546" s="34" t="str">
        <f t="shared" si="200"/>
        <v>A</v>
      </c>
      <c r="I2546" s="29" t="str">
        <f t="shared" si="196"/>
        <v>ZK384180</v>
      </c>
      <c r="J2546" s="59">
        <f t="shared" ca="1" si="197"/>
        <v>46029</v>
      </c>
      <c r="K2546" s="30">
        <f ca="1">LOOKUP(A2546,'QALS - Inspection Lot Record'!A:A,'QALS - Inspection Lot Record'!I:I)</f>
        <v>0.88650462962962961</v>
      </c>
      <c r="L2546" s="59">
        <f t="shared" ca="1" si="198"/>
        <v>46029</v>
      </c>
      <c r="M2546" s="30">
        <f t="shared" ca="1" si="199"/>
        <v>0.92164351851851856</v>
      </c>
      <c r="N2546" s="31"/>
      <c r="O2546" s="31">
        <v>100</v>
      </c>
      <c r="P2546" s="29">
        <v>95</v>
      </c>
      <c r="Q2546" s="29">
        <v>105</v>
      </c>
    </row>
    <row r="2547" spans="1:17" x14ac:dyDescent="0.35">
      <c r="A2547" s="26">
        <v>40000002819</v>
      </c>
      <c r="B2547" s="27">
        <v>1</v>
      </c>
      <c r="C2547" s="29" t="str">
        <f>LOOKUP(A2547,'QALS - Inspection Lot Record'!$A$2:$A$361,'QALS - Inspection Lot Record'!$O$2:$O$361)</f>
        <v>Aspirin Tablets (500 MG)</v>
      </c>
      <c r="D2547" s="31">
        <v>20</v>
      </c>
      <c r="E2547" s="29" t="s">
        <v>400</v>
      </c>
      <c r="F2547" s="29" t="str">
        <f>LOOKUP(A2547,'QALS - Inspection Lot Record'!A:A,'QALS - Inspection Lot Record'!G:G)</f>
        <v>ZK384180</v>
      </c>
      <c r="G2547" s="59">
        <f ca="1">LOOKUP(A2547,'QALS - Inspection Lot Record'!A:A,'QALS - Inspection Lot Record'!E:E)</f>
        <v>46029</v>
      </c>
      <c r="H2547" s="34" t="str">
        <f t="shared" si="200"/>
        <v>A</v>
      </c>
      <c r="I2547" s="29" t="str">
        <f t="shared" si="196"/>
        <v>ZK384180</v>
      </c>
      <c r="J2547" s="59">
        <f t="shared" ca="1" si="197"/>
        <v>46029</v>
      </c>
      <c r="K2547" s="30">
        <f ca="1">LOOKUP(A2547,'QALS - Inspection Lot Record'!A:A,'QALS - Inspection Lot Record'!I:I)</f>
        <v>0.88650462962962961</v>
      </c>
      <c r="L2547" s="59">
        <f t="shared" ca="1" si="198"/>
        <v>46029</v>
      </c>
      <c r="M2547" s="30">
        <f t="shared" ca="1" si="199"/>
        <v>0.90552083333333333</v>
      </c>
      <c r="N2547" s="31"/>
      <c r="O2547" s="31">
        <v>7.3</v>
      </c>
      <c r="P2547" s="29">
        <v>3.5</v>
      </c>
      <c r="Q2547" s="29">
        <v>11</v>
      </c>
    </row>
    <row r="2548" spans="1:17" x14ac:dyDescent="0.35">
      <c r="A2548" s="26">
        <v>40000002819</v>
      </c>
      <c r="B2548" s="31">
        <v>1</v>
      </c>
      <c r="C2548" s="29" t="str">
        <f>LOOKUP(A2548,'QALS - Inspection Lot Record'!$A$2:$A$361,'QALS - Inspection Lot Record'!$O$2:$O$361)</f>
        <v>Aspirin Tablets (500 MG)</v>
      </c>
      <c r="D2548" s="31">
        <v>30</v>
      </c>
      <c r="E2548" s="29" t="s">
        <v>401</v>
      </c>
      <c r="F2548" s="29" t="str">
        <f>LOOKUP(A2548,'QALS - Inspection Lot Record'!A:A,'QALS - Inspection Lot Record'!G:G)</f>
        <v>ZK384180</v>
      </c>
      <c r="G2548" s="59">
        <f ca="1">LOOKUP(A2548,'QALS - Inspection Lot Record'!A:A,'QALS - Inspection Lot Record'!E:E)</f>
        <v>46029</v>
      </c>
      <c r="H2548" s="34" t="str">
        <f t="shared" si="200"/>
        <v>A</v>
      </c>
      <c r="I2548" s="29" t="str">
        <f t="shared" si="196"/>
        <v>ZK384180</v>
      </c>
      <c r="J2548" s="59">
        <f t="shared" ca="1" si="197"/>
        <v>46029</v>
      </c>
      <c r="K2548" s="30">
        <f ca="1">LOOKUP(A2548,'QALS - Inspection Lot Record'!A:A,'QALS - Inspection Lot Record'!I:I)</f>
        <v>0.88650462962962961</v>
      </c>
      <c r="L2548" s="59">
        <f t="shared" ca="1" si="198"/>
        <v>46029</v>
      </c>
      <c r="M2548" s="30">
        <f t="shared" ca="1" si="199"/>
        <v>0.90466435185185179</v>
      </c>
      <c r="N2548" s="11" t="s">
        <v>402</v>
      </c>
      <c r="O2548" s="31"/>
      <c r="P2548" s="29"/>
      <c r="Q2548" s="29"/>
    </row>
    <row r="2549" spans="1:17" x14ac:dyDescent="0.35">
      <c r="A2549" s="26">
        <v>40000002819</v>
      </c>
      <c r="B2549" s="31">
        <v>1</v>
      </c>
      <c r="C2549" s="29" t="str">
        <f>LOOKUP(A2549,'QALS - Inspection Lot Record'!$A$2:$A$361,'QALS - Inspection Lot Record'!$O$2:$O$361)</f>
        <v>Aspirin Tablets (500 MG)</v>
      </c>
      <c r="D2549" s="31">
        <v>40</v>
      </c>
      <c r="E2549" s="29" t="s">
        <v>403</v>
      </c>
      <c r="F2549" s="29" t="str">
        <f>LOOKUP(A2549,'QALS - Inspection Lot Record'!A:A,'QALS - Inspection Lot Record'!G:G)</f>
        <v>ZK384180</v>
      </c>
      <c r="G2549" s="59">
        <f ca="1">LOOKUP(A2549,'QALS - Inspection Lot Record'!A:A,'QALS - Inspection Lot Record'!E:E)</f>
        <v>46029</v>
      </c>
      <c r="H2549" s="34" t="str">
        <f t="shared" si="200"/>
        <v>A</v>
      </c>
      <c r="I2549" s="29" t="str">
        <f t="shared" si="196"/>
        <v>ZK384180</v>
      </c>
      <c r="J2549" s="59">
        <f t="shared" ca="1" si="197"/>
        <v>46029</v>
      </c>
      <c r="K2549" s="30">
        <f ca="1">LOOKUP(A2549,'QALS - Inspection Lot Record'!A:A,'QALS - Inspection Lot Record'!I:I)</f>
        <v>0.88650462962962961</v>
      </c>
      <c r="L2549" s="59">
        <f t="shared" ca="1" si="198"/>
        <v>46029</v>
      </c>
      <c r="M2549" s="30">
        <f t="shared" ca="1" si="199"/>
        <v>0.91928240740740741</v>
      </c>
      <c r="N2549" s="31"/>
      <c r="O2549" s="31">
        <v>1.8</v>
      </c>
      <c r="P2549" s="29">
        <v>0</v>
      </c>
      <c r="Q2549" s="29">
        <v>2.5</v>
      </c>
    </row>
    <row r="2550" spans="1:17" x14ac:dyDescent="0.35">
      <c r="A2550" s="26">
        <v>40000002819</v>
      </c>
      <c r="B2550" s="31">
        <v>1</v>
      </c>
      <c r="C2550" s="29" t="str">
        <f>LOOKUP(A2550,'QALS - Inspection Lot Record'!$A$2:$A$361,'QALS - Inspection Lot Record'!$O$2:$O$361)</f>
        <v>Aspirin Tablets (500 MG)</v>
      </c>
      <c r="D2550" s="31">
        <v>50</v>
      </c>
      <c r="E2550" s="29" t="s">
        <v>404</v>
      </c>
      <c r="F2550" s="29" t="str">
        <f>LOOKUP(A2550,'QALS - Inspection Lot Record'!A:A,'QALS - Inspection Lot Record'!G:G)</f>
        <v>ZK384180</v>
      </c>
      <c r="G2550" s="59">
        <f ca="1">LOOKUP(A2550,'QALS - Inspection Lot Record'!A:A,'QALS - Inspection Lot Record'!E:E)</f>
        <v>46029</v>
      </c>
      <c r="H2550" s="34" t="str">
        <f t="shared" si="200"/>
        <v>A</v>
      </c>
      <c r="I2550" s="29" t="str">
        <f t="shared" si="196"/>
        <v>ZK384180</v>
      </c>
      <c r="J2550" s="59">
        <f t="shared" ca="1" si="197"/>
        <v>46029</v>
      </c>
      <c r="K2550" s="30">
        <f ca="1">LOOKUP(A2550,'QALS - Inspection Lot Record'!A:A,'QALS - Inspection Lot Record'!I:I)</f>
        <v>0.88650462962962961</v>
      </c>
      <c r="L2550" s="59">
        <f t="shared" ca="1" si="198"/>
        <v>46029</v>
      </c>
      <c r="M2550" s="30">
        <f t="shared" ca="1" si="199"/>
        <v>0.90931712962962963</v>
      </c>
      <c r="N2550" s="31"/>
      <c r="O2550" s="31">
        <v>41.4</v>
      </c>
      <c r="P2550" s="29">
        <v>40</v>
      </c>
      <c r="Q2550" s="29">
        <v>60</v>
      </c>
    </row>
    <row r="2551" spans="1:17" x14ac:dyDescent="0.35">
      <c r="A2551" s="26">
        <v>40000002819</v>
      </c>
      <c r="B2551" s="31">
        <v>1</v>
      </c>
      <c r="C2551" s="29" t="str">
        <f>LOOKUP(A2551,'QALS - Inspection Lot Record'!$A$2:$A$361,'QALS - Inspection Lot Record'!$O$2:$O$361)</f>
        <v>Aspirin Tablets (500 MG)</v>
      </c>
      <c r="D2551" s="31">
        <v>60</v>
      </c>
      <c r="E2551" s="29" t="s">
        <v>405</v>
      </c>
      <c r="F2551" s="29" t="str">
        <f>LOOKUP(A2551,'QALS - Inspection Lot Record'!A:A,'QALS - Inspection Lot Record'!G:G)</f>
        <v>ZK384180</v>
      </c>
      <c r="G2551" s="59">
        <f ca="1">LOOKUP(A2551,'QALS - Inspection Lot Record'!A:A,'QALS - Inspection Lot Record'!E:E)</f>
        <v>46029</v>
      </c>
      <c r="H2551" s="34" t="str">
        <f t="shared" si="200"/>
        <v>A</v>
      </c>
      <c r="I2551" s="29" t="str">
        <f t="shared" si="196"/>
        <v>ZK384180</v>
      </c>
      <c r="J2551" s="59">
        <f t="shared" ca="1" si="197"/>
        <v>46029</v>
      </c>
      <c r="K2551" s="30">
        <f ca="1">LOOKUP(A2551,'QALS - Inspection Lot Record'!A:A,'QALS - Inspection Lot Record'!I:I)</f>
        <v>0.88650462962962961</v>
      </c>
      <c r="L2551" s="59">
        <f t="shared" ca="1" si="198"/>
        <v>46029</v>
      </c>
      <c r="M2551" s="30">
        <f t="shared" ca="1" si="199"/>
        <v>0.91921296296296295</v>
      </c>
      <c r="N2551" s="31"/>
      <c r="O2551" s="31">
        <v>71.099999999999994</v>
      </c>
      <c r="P2551" s="29">
        <v>70</v>
      </c>
      <c r="Q2551" s="29">
        <v>85</v>
      </c>
    </row>
    <row r="2552" spans="1:17" x14ac:dyDescent="0.35">
      <c r="A2552" s="26">
        <v>40000002819</v>
      </c>
      <c r="B2552" s="31">
        <v>1</v>
      </c>
      <c r="C2552" s="29" t="str">
        <f>LOOKUP(A2552,'QALS - Inspection Lot Record'!$A$2:$A$361,'QALS - Inspection Lot Record'!$O$2:$O$361)</f>
        <v>Aspirin Tablets (500 MG)</v>
      </c>
      <c r="D2552" s="31">
        <v>70</v>
      </c>
      <c r="E2552" s="29" t="s">
        <v>406</v>
      </c>
      <c r="F2552" s="29" t="str">
        <f>LOOKUP(A2552,'QALS - Inspection Lot Record'!A:A,'QALS - Inspection Lot Record'!G:G)</f>
        <v>ZK384180</v>
      </c>
      <c r="G2552" s="59">
        <f ca="1">LOOKUP(A2552,'QALS - Inspection Lot Record'!A:A,'QALS - Inspection Lot Record'!E:E)</f>
        <v>46029</v>
      </c>
      <c r="H2552" s="34" t="str">
        <f t="shared" si="200"/>
        <v>A</v>
      </c>
      <c r="I2552" s="29" t="str">
        <f t="shared" si="196"/>
        <v>ZK384180</v>
      </c>
      <c r="J2552" s="59">
        <f t="shared" ca="1" si="197"/>
        <v>46029</v>
      </c>
      <c r="K2552" s="30">
        <f ca="1">LOOKUP(A2552,'QALS - Inspection Lot Record'!A:A,'QALS - Inspection Lot Record'!I:I)</f>
        <v>0.88650462962962961</v>
      </c>
      <c r="L2552" s="59">
        <f t="shared" ca="1" si="198"/>
        <v>46029</v>
      </c>
      <c r="M2552" s="30">
        <f t="shared" ca="1" si="199"/>
        <v>0.9169328703703703</v>
      </c>
      <c r="N2552" s="31"/>
      <c r="O2552" s="31">
        <v>81.7</v>
      </c>
      <c r="P2552" s="29">
        <v>80</v>
      </c>
      <c r="Q2552" s="29">
        <v>90</v>
      </c>
    </row>
    <row r="2553" spans="1:17" x14ac:dyDescent="0.35">
      <c r="A2553" s="26">
        <v>40000002819</v>
      </c>
      <c r="B2553" s="31">
        <v>1</v>
      </c>
      <c r="C2553" s="29" t="str">
        <f>LOOKUP(A2553,'QALS - Inspection Lot Record'!$A$2:$A$361,'QALS - Inspection Lot Record'!$O$2:$O$361)</f>
        <v>Aspirin Tablets (500 MG)</v>
      </c>
      <c r="D2553" s="31">
        <v>80</v>
      </c>
      <c r="E2553" s="29" t="s">
        <v>407</v>
      </c>
      <c r="F2553" s="29" t="str">
        <f>LOOKUP(A2553,'QALS - Inspection Lot Record'!A:A,'QALS - Inspection Lot Record'!G:G)</f>
        <v>ZK384180</v>
      </c>
      <c r="G2553" s="59">
        <f ca="1">LOOKUP(A2553,'QALS - Inspection Lot Record'!A:A,'QALS - Inspection Lot Record'!E:E)</f>
        <v>46029</v>
      </c>
      <c r="H2553" s="34" t="str">
        <f t="shared" si="200"/>
        <v>A</v>
      </c>
      <c r="I2553" s="29" t="str">
        <f t="shared" si="196"/>
        <v>ZK384180</v>
      </c>
      <c r="J2553" s="59">
        <f t="shared" ca="1" si="197"/>
        <v>46029</v>
      </c>
      <c r="K2553" s="30">
        <f ca="1">LOOKUP(A2553,'QALS - Inspection Lot Record'!A:A,'QALS - Inspection Lot Record'!I:I)</f>
        <v>0.88650462962962961</v>
      </c>
      <c r="L2553" s="59">
        <f t="shared" ca="1" si="198"/>
        <v>46029</v>
      </c>
      <c r="M2553" s="30">
        <f t="shared" ca="1" si="199"/>
        <v>0.90802083333333328</v>
      </c>
      <c r="N2553" s="31"/>
      <c r="O2553" s="31">
        <v>25.5</v>
      </c>
      <c r="P2553" s="29">
        <v>23</v>
      </c>
      <c r="Q2553" s="29">
        <v>28</v>
      </c>
    </row>
    <row r="2554" spans="1:17" x14ac:dyDescent="0.35">
      <c r="A2554" s="26">
        <v>40000002820</v>
      </c>
      <c r="B2554" s="27">
        <v>1</v>
      </c>
      <c r="C2554" s="29" t="str">
        <f>LOOKUP(A2554,'QALS - Inspection Lot Record'!$A$2:$A$361,'QALS - Inspection Lot Record'!$O$2:$O$361)</f>
        <v>Metformin Tablets (200 MG)</v>
      </c>
      <c r="D2554" s="27">
        <v>10</v>
      </c>
      <c r="E2554" s="26" t="s">
        <v>399</v>
      </c>
      <c r="F2554" s="29" t="str">
        <f>LOOKUP(A2554,'QALS - Inspection Lot Record'!A:A,'QALS - Inspection Lot Record'!G:G)</f>
        <v>YA284176</v>
      </c>
      <c r="G2554" s="59">
        <f ca="1">LOOKUP(A2554,'QALS - Inspection Lot Record'!A:A,'QALS - Inspection Lot Record'!E:E)</f>
        <v>46029</v>
      </c>
      <c r="H2554" s="34" t="str">
        <f t="shared" si="200"/>
        <v>R</v>
      </c>
      <c r="I2554" s="29" t="str">
        <f t="shared" si="196"/>
        <v>YA284176</v>
      </c>
      <c r="J2554" s="59">
        <f t="shared" ca="1" si="197"/>
        <v>46029</v>
      </c>
      <c r="K2554" s="30">
        <f ca="1">LOOKUP(A2554,'QALS - Inspection Lot Record'!A:A,'QALS - Inspection Lot Record'!I:I)</f>
        <v>9.9039351851851851E-2</v>
      </c>
      <c r="L2554" s="59">
        <f t="shared" ca="1" si="198"/>
        <v>46029</v>
      </c>
      <c r="M2554" s="30">
        <f t="shared" ca="1" si="199"/>
        <v>0.12416666666666666</v>
      </c>
      <c r="N2554" s="31"/>
      <c r="O2554" s="31">
        <v>93.2</v>
      </c>
      <c r="P2554" s="29">
        <v>95</v>
      </c>
      <c r="Q2554" s="29">
        <v>103</v>
      </c>
    </row>
    <row r="2555" spans="1:17" x14ac:dyDescent="0.35">
      <c r="A2555" s="26">
        <v>40000002820</v>
      </c>
      <c r="B2555" s="27">
        <v>1</v>
      </c>
      <c r="C2555" s="29" t="str">
        <f>LOOKUP(A2555,'QALS - Inspection Lot Record'!$A$2:$A$361,'QALS - Inspection Lot Record'!$O$2:$O$361)</f>
        <v>Metformin Tablets (200 MG)</v>
      </c>
      <c r="D2555" s="31">
        <v>20</v>
      </c>
      <c r="E2555" s="29" t="s">
        <v>400</v>
      </c>
      <c r="F2555" s="29" t="str">
        <f>LOOKUP(A2555,'QALS - Inspection Lot Record'!A:A,'QALS - Inspection Lot Record'!G:G)</f>
        <v>YA284176</v>
      </c>
      <c r="G2555" s="59">
        <f ca="1">LOOKUP(A2555,'QALS - Inspection Lot Record'!A:A,'QALS - Inspection Lot Record'!E:E)</f>
        <v>46029</v>
      </c>
      <c r="H2555" s="34" t="str">
        <f t="shared" si="200"/>
        <v>A</v>
      </c>
      <c r="I2555" s="29" t="str">
        <f t="shared" si="196"/>
        <v>YA284176</v>
      </c>
      <c r="J2555" s="59">
        <f t="shared" ca="1" si="197"/>
        <v>46029</v>
      </c>
      <c r="K2555" s="30">
        <f ca="1">LOOKUP(A2555,'QALS - Inspection Lot Record'!A:A,'QALS - Inspection Lot Record'!I:I)</f>
        <v>9.9039351851851851E-2</v>
      </c>
      <c r="L2555" s="59">
        <f t="shared" ca="1" si="198"/>
        <v>46029</v>
      </c>
      <c r="M2555" s="30">
        <f t="shared" ca="1" si="199"/>
        <v>0.11824074074074074</v>
      </c>
      <c r="N2555" s="31"/>
      <c r="O2555" s="31">
        <v>7.8</v>
      </c>
      <c r="P2555" s="29">
        <v>6</v>
      </c>
      <c r="Q2555" s="29">
        <v>9.5</v>
      </c>
    </row>
    <row r="2556" spans="1:17" x14ac:dyDescent="0.35">
      <c r="A2556" s="26">
        <v>40000002820</v>
      </c>
      <c r="B2556" s="31">
        <v>1</v>
      </c>
      <c r="C2556" s="29" t="str">
        <f>LOOKUP(A2556,'QALS - Inspection Lot Record'!$A$2:$A$361,'QALS - Inspection Lot Record'!$O$2:$O$361)</f>
        <v>Metformin Tablets (200 MG)</v>
      </c>
      <c r="D2556" s="31">
        <v>30</v>
      </c>
      <c r="E2556" s="29" t="s">
        <v>401</v>
      </c>
      <c r="F2556" s="29" t="str">
        <f>LOOKUP(A2556,'QALS - Inspection Lot Record'!A:A,'QALS - Inspection Lot Record'!G:G)</f>
        <v>YA284176</v>
      </c>
      <c r="G2556" s="59">
        <f ca="1">LOOKUP(A2556,'QALS - Inspection Lot Record'!A:A,'QALS - Inspection Lot Record'!E:E)</f>
        <v>46029</v>
      </c>
      <c r="H2556" s="34" t="str">
        <f t="shared" si="200"/>
        <v>A</v>
      </c>
      <c r="I2556" s="29" t="str">
        <f t="shared" si="196"/>
        <v>YA284176</v>
      </c>
      <c r="J2556" s="59">
        <f t="shared" ca="1" si="197"/>
        <v>46029</v>
      </c>
      <c r="K2556" s="30">
        <f ca="1">LOOKUP(A2556,'QALS - Inspection Lot Record'!A:A,'QALS - Inspection Lot Record'!I:I)</f>
        <v>9.9039351851851851E-2</v>
      </c>
      <c r="L2556" s="59">
        <f t="shared" ca="1" si="198"/>
        <v>46029</v>
      </c>
      <c r="M2556" s="30">
        <f t="shared" ca="1" si="199"/>
        <v>0.12322916666666667</v>
      </c>
      <c r="N2556" s="11" t="s">
        <v>402</v>
      </c>
      <c r="O2556" s="31"/>
      <c r="P2556" s="29"/>
      <c r="Q2556" s="29"/>
    </row>
    <row r="2557" spans="1:17" x14ac:dyDescent="0.35">
      <c r="A2557" s="26">
        <v>40000002820</v>
      </c>
      <c r="B2557" s="31">
        <v>1</v>
      </c>
      <c r="C2557" s="29" t="str">
        <f>LOOKUP(A2557,'QALS - Inspection Lot Record'!$A$2:$A$361,'QALS - Inspection Lot Record'!$O$2:$O$361)</f>
        <v>Metformin Tablets (200 MG)</v>
      </c>
      <c r="D2557" s="31">
        <v>40</v>
      </c>
      <c r="E2557" s="29" t="s">
        <v>403</v>
      </c>
      <c r="F2557" s="29" t="str">
        <f>LOOKUP(A2557,'QALS - Inspection Lot Record'!A:A,'QALS - Inspection Lot Record'!G:G)</f>
        <v>YA284176</v>
      </c>
      <c r="G2557" s="59">
        <f ca="1">LOOKUP(A2557,'QALS - Inspection Lot Record'!A:A,'QALS - Inspection Lot Record'!E:E)</f>
        <v>46029</v>
      </c>
      <c r="H2557" s="34" t="str">
        <f t="shared" si="200"/>
        <v>A</v>
      </c>
      <c r="I2557" s="29" t="str">
        <f t="shared" si="196"/>
        <v>YA284176</v>
      </c>
      <c r="J2557" s="59">
        <f t="shared" ca="1" si="197"/>
        <v>46029</v>
      </c>
      <c r="K2557" s="30">
        <f ca="1">LOOKUP(A2557,'QALS - Inspection Lot Record'!A:A,'QALS - Inspection Lot Record'!I:I)</f>
        <v>9.9039351851851851E-2</v>
      </c>
      <c r="L2557" s="59">
        <f t="shared" ca="1" si="198"/>
        <v>46029</v>
      </c>
      <c r="M2557" s="30">
        <f t="shared" ca="1" si="199"/>
        <v>0.12902777777777777</v>
      </c>
      <c r="N2557" s="31"/>
      <c r="O2557" s="31">
        <v>1.6</v>
      </c>
      <c r="P2557" s="29">
        <v>0</v>
      </c>
      <c r="Q2557" s="29">
        <v>2</v>
      </c>
    </row>
    <row r="2558" spans="1:17" x14ac:dyDescent="0.35">
      <c r="A2558" s="26">
        <v>40000002820</v>
      </c>
      <c r="B2558" s="31">
        <v>1</v>
      </c>
      <c r="C2558" s="29" t="str">
        <f>LOOKUP(A2558,'QALS - Inspection Lot Record'!$A$2:$A$361,'QALS - Inspection Lot Record'!$O$2:$O$361)</f>
        <v>Metformin Tablets (200 MG)</v>
      </c>
      <c r="D2558" s="31">
        <v>50</v>
      </c>
      <c r="E2558" s="29" t="s">
        <v>404</v>
      </c>
      <c r="F2558" s="29" t="str">
        <f>LOOKUP(A2558,'QALS - Inspection Lot Record'!A:A,'QALS - Inspection Lot Record'!G:G)</f>
        <v>YA284176</v>
      </c>
      <c r="G2558" s="59">
        <f ca="1">LOOKUP(A2558,'QALS - Inspection Lot Record'!A:A,'QALS - Inspection Lot Record'!E:E)</f>
        <v>46029</v>
      </c>
      <c r="H2558" s="34" t="str">
        <f t="shared" si="200"/>
        <v>A</v>
      </c>
      <c r="I2558" s="29" t="str">
        <f t="shared" si="196"/>
        <v>YA284176</v>
      </c>
      <c r="J2558" s="59">
        <f t="shared" ca="1" si="197"/>
        <v>46029</v>
      </c>
      <c r="K2558" s="30">
        <f ca="1">LOOKUP(A2558,'QALS - Inspection Lot Record'!A:A,'QALS - Inspection Lot Record'!I:I)</f>
        <v>9.9039351851851851E-2</v>
      </c>
      <c r="L2558" s="59">
        <f t="shared" ca="1" si="198"/>
        <v>46029</v>
      </c>
      <c r="M2558" s="30">
        <f t="shared" ca="1" si="199"/>
        <v>0.12398148148148148</v>
      </c>
      <c r="N2558" s="31"/>
      <c r="O2558" s="31">
        <v>41.6</v>
      </c>
      <c r="P2558" s="29">
        <v>40</v>
      </c>
      <c r="Q2558" s="29">
        <v>60</v>
      </c>
    </row>
    <row r="2559" spans="1:17" x14ac:dyDescent="0.35">
      <c r="A2559" s="26">
        <v>40000002820</v>
      </c>
      <c r="B2559" s="31">
        <v>1</v>
      </c>
      <c r="C2559" s="29" t="str">
        <f>LOOKUP(A2559,'QALS - Inspection Lot Record'!$A$2:$A$361,'QALS - Inspection Lot Record'!$O$2:$O$361)</f>
        <v>Metformin Tablets (200 MG)</v>
      </c>
      <c r="D2559" s="31">
        <v>60</v>
      </c>
      <c r="E2559" s="29" t="s">
        <v>405</v>
      </c>
      <c r="F2559" s="29" t="str">
        <f>LOOKUP(A2559,'QALS - Inspection Lot Record'!A:A,'QALS - Inspection Lot Record'!G:G)</f>
        <v>YA284176</v>
      </c>
      <c r="G2559" s="59">
        <f ca="1">LOOKUP(A2559,'QALS - Inspection Lot Record'!A:A,'QALS - Inspection Lot Record'!E:E)</f>
        <v>46029</v>
      </c>
      <c r="H2559" s="34" t="str">
        <f t="shared" si="200"/>
        <v>A</v>
      </c>
      <c r="I2559" s="29" t="str">
        <f t="shared" si="196"/>
        <v>YA284176</v>
      </c>
      <c r="J2559" s="59">
        <f t="shared" ca="1" si="197"/>
        <v>46029</v>
      </c>
      <c r="K2559" s="30">
        <f ca="1">LOOKUP(A2559,'QALS - Inspection Lot Record'!A:A,'QALS - Inspection Lot Record'!I:I)</f>
        <v>9.9039351851851851E-2</v>
      </c>
      <c r="L2559" s="59">
        <f t="shared" ca="1" si="198"/>
        <v>46029</v>
      </c>
      <c r="M2559" s="30">
        <f t="shared" ca="1" si="199"/>
        <v>0.12049768518518518</v>
      </c>
      <c r="N2559" s="31"/>
      <c r="O2559" s="31">
        <v>71</v>
      </c>
      <c r="P2559" s="29">
        <v>70</v>
      </c>
      <c r="Q2559" s="29">
        <v>85</v>
      </c>
    </row>
    <row r="2560" spans="1:17" x14ac:dyDescent="0.35">
      <c r="A2560" s="26">
        <v>40000002820</v>
      </c>
      <c r="B2560" s="31">
        <v>1</v>
      </c>
      <c r="C2560" s="29" t="str">
        <f>LOOKUP(A2560,'QALS - Inspection Lot Record'!$A$2:$A$361,'QALS - Inspection Lot Record'!$O$2:$O$361)</f>
        <v>Metformin Tablets (200 MG)</v>
      </c>
      <c r="D2560" s="31">
        <v>70</v>
      </c>
      <c r="E2560" s="29" t="s">
        <v>406</v>
      </c>
      <c r="F2560" s="29" t="str">
        <f>LOOKUP(A2560,'QALS - Inspection Lot Record'!A:A,'QALS - Inspection Lot Record'!G:G)</f>
        <v>YA284176</v>
      </c>
      <c r="G2560" s="59">
        <f ca="1">LOOKUP(A2560,'QALS - Inspection Lot Record'!A:A,'QALS - Inspection Lot Record'!E:E)</f>
        <v>46029</v>
      </c>
      <c r="H2560" s="34" t="str">
        <f t="shared" si="200"/>
        <v>A</v>
      </c>
      <c r="I2560" s="29" t="str">
        <f t="shared" si="196"/>
        <v>YA284176</v>
      </c>
      <c r="J2560" s="59">
        <f t="shared" ca="1" si="197"/>
        <v>46029</v>
      </c>
      <c r="K2560" s="30">
        <f ca="1">LOOKUP(A2560,'QALS - Inspection Lot Record'!A:A,'QALS - Inspection Lot Record'!I:I)</f>
        <v>9.9039351851851851E-2</v>
      </c>
      <c r="L2560" s="59">
        <f t="shared" ca="1" si="198"/>
        <v>46029</v>
      </c>
      <c r="M2560" s="30">
        <f t="shared" ca="1" si="199"/>
        <v>0.12774305555555554</v>
      </c>
      <c r="N2560" s="31"/>
      <c r="O2560" s="31">
        <v>81.900000000000006</v>
      </c>
      <c r="P2560" s="29">
        <v>80</v>
      </c>
      <c r="Q2560" s="29">
        <v>90</v>
      </c>
    </row>
    <row r="2561" spans="1:17" x14ac:dyDescent="0.35">
      <c r="A2561" s="26">
        <v>40000002820</v>
      </c>
      <c r="B2561" s="31">
        <v>1</v>
      </c>
      <c r="C2561" s="29" t="str">
        <f>LOOKUP(A2561,'QALS - Inspection Lot Record'!$A$2:$A$361,'QALS - Inspection Lot Record'!$O$2:$O$361)</f>
        <v>Metformin Tablets (200 MG)</v>
      </c>
      <c r="D2561" s="31">
        <v>80</v>
      </c>
      <c r="E2561" s="29" t="s">
        <v>407</v>
      </c>
      <c r="F2561" s="29" t="str">
        <f>LOOKUP(A2561,'QALS - Inspection Lot Record'!A:A,'QALS - Inspection Lot Record'!G:G)</f>
        <v>YA284176</v>
      </c>
      <c r="G2561" s="59">
        <f ca="1">LOOKUP(A2561,'QALS - Inspection Lot Record'!A:A,'QALS - Inspection Lot Record'!E:E)</f>
        <v>46029</v>
      </c>
      <c r="H2561" s="34" t="str">
        <f t="shared" si="200"/>
        <v>A</v>
      </c>
      <c r="I2561" s="29" t="str">
        <f t="shared" si="196"/>
        <v>YA284176</v>
      </c>
      <c r="J2561" s="59">
        <f t="shared" ca="1" si="197"/>
        <v>46029</v>
      </c>
      <c r="K2561" s="30">
        <f ca="1">LOOKUP(A2561,'QALS - Inspection Lot Record'!A:A,'QALS - Inspection Lot Record'!I:I)</f>
        <v>9.9039351851851851E-2</v>
      </c>
      <c r="L2561" s="59">
        <f t="shared" ca="1" si="198"/>
        <v>46029</v>
      </c>
      <c r="M2561" s="30">
        <f t="shared" ca="1" si="199"/>
        <v>0.12819444444444444</v>
      </c>
      <c r="N2561" s="31"/>
      <c r="O2561" s="31">
        <v>25.5</v>
      </c>
      <c r="P2561" s="29">
        <v>23</v>
      </c>
      <c r="Q2561" s="29">
        <v>28</v>
      </c>
    </row>
    <row r="2562" spans="1:17" x14ac:dyDescent="0.35">
      <c r="A2562" s="26">
        <v>40000002821</v>
      </c>
      <c r="B2562" s="27">
        <v>1</v>
      </c>
      <c r="C2562" s="29" t="str">
        <f>LOOKUP(A2562,'QALS - Inspection Lot Record'!$A$2:$A$361,'QALS - Inspection Lot Record'!$O$2:$O$361)</f>
        <v>Metformin Tablets (500 MG)</v>
      </c>
      <c r="D2562" s="27">
        <v>10</v>
      </c>
      <c r="E2562" s="26" t="s">
        <v>399</v>
      </c>
      <c r="F2562" s="29" t="str">
        <f>LOOKUP(A2562,'QALS - Inspection Lot Record'!A:A,'QALS - Inspection Lot Record'!G:G)</f>
        <v>ZK384180</v>
      </c>
      <c r="G2562" s="59">
        <f ca="1">LOOKUP(A2562,'QALS - Inspection Lot Record'!A:A,'QALS - Inspection Lot Record'!E:E)</f>
        <v>46030</v>
      </c>
      <c r="H2562" s="34" t="str">
        <f t="shared" si="200"/>
        <v>A</v>
      </c>
      <c r="I2562" s="29" t="str">
        <f t="shared" ref="I2562:I2625" si="201">F2562</f>
        <v>ZK384180</v>
      </c>
      <c r="J2562" s="59">
        <f t="shared" ref="J2562:J2625" ca="1" si="202">G2562</f>
        <v>46030</v>
      </c>
      <c r="K2562" s="30">
        <f ca="1">LOOKUP(A2562,'QALS - Inspection Lot Record'!A:A,'QALS - Inspection Lot Record'!I:I)</f>
        <v>0.78494212962962961</v>
      </c>
      <c r="L2562" s="59">
        <f t="shared" ref="L2562:L2625" ca="1" si="203">G2562</f>
        <v>46030</v>
      </c>
      <c r="M2562" s="30">
        <f t="shared" ref="M2562:M2625" ca="1" si="204">K2562+TIME(0,RANDBETWEEN(25,50),RANDBETWEEN(0,59))</f>
        <v>0.81017361111111108</v>
      </c>
      <c r="N2562" s="31"/>
      <c r="O2562" s="31">
        <v>100</v>
      </c>
      <c r="P2562" s="29">
        <v>95</v>
      </c>
      <c r="Q2562" s="29">
        <v>105</v>
      </c>
    </row>
    <row r="2563" spans="1:17" x14ac:dyDescent="0.35">
      <c r="A2563" s="26">
        <v>40000002821</v>
      </c>
      <c r="B2563" s="27">
        <v>1</v>
      </c>
      <c r="C2563" s="29" t="str">
        <f>LOOKUP(A2563,'QALS - Inspection Lot Record'!$A$2:$A$361,'QALS - Inspection Lot Record'!$O$2:$O$361)</f>
        <v>Metformin Tablets (500 MG)</v>
      </c>
      <c r="D2563" s="31">
        <v>20</v>
      </c>
      <c r="E2563" s="29" t="s">
        <v>400</v>
      </c>
      <c r="F2563" s="29" t="str">
        <f>LOOKUP(A2563,'QALS - Inspection Lot Record'!A:A,'QALS - Inspection Lot Record'!G:G)</f>
        <v>ZK384180</v>
      </c>
      <c r="G2563" s="59">
        <f ca="1">LOOKUP(A2563,'QALS - Inspection Lot Record'!A:A,'QALS - Inspection Lot Record'!E:E)</f>
        <v>46030</v>
      </c>
      <c r="H2563" s="34" t="str">
        <f t="shared" si="200"/>
        <v>A</v>
      </c>
      <c r="I2563" s="29" t="str">
        <f t="shared" si="201"/>
        <v>ZK384180</v>
      </c>
      <c r="J2563" s="59">
        <f t="shared" ca="1" si="202"/>
        <v>46030</v>
      </c>
      <c r="K2563" s="30">
        <f ca="1">LOOKUP(A2563,'QALS - Inspection Lot Record'!A:A,'QALS - Inspection Lot Record'!I:I)</f>
        <v>0.78494212962962961</v>
      </c>
      <c r="L2563" s="59">
        <f t="shared" ca="1" si="203"/>
        <v>46030</v>
      </c>
      <c r="M2563" s="30">
        <f t="shared" ca="1" si="204"/>
        <v>0.81968750000000001</v>
      </c>
      <c r="N2563" s="31"/>
      <c r="O2563" s="31">
        <v>7.25</v>
      </c>
      <c r="P2563" s="29">
        <v>3.5</v>
      </c>
      <c r="Q2563" s="29">
        <v>11</v>
      </c>
    </row>
    <row r="2564" spans="1:17" x14ac:dyDescent="0.35">
      <c r="A2564" s="26">
        <v>40000002821</v>
      </c>
      <c r="B2564" s="31">
        <v>1</v>
      </c>
      <c r="C2564" s="29" t="str">
        <f>LOOKUP(A2564,'QALS - Inspection Lot Record'!$A$2:$A$361,'QALS - Inspection Lot Record'!$O$2:$O$361)</f>
        <v>Metformin Tablets (500 MG)</v>
      </c>
      <c r="D2564" s="31">
        <v>30</v>
      </c>
      <c r="E2564" s="29" t="s">
        <v>401</v>
      </c>
      <c r="F2564" s="29" t="str">
        <f>LOOKUP(A2564,'QALS - Inspection Lot Record'!A:A,'QALS - Inspection Lot Record'!G:G)</f>
        <v>ZK384180</v>
      </c>
      <c r="G2564" s="59">
        <f ca="1">LOOKUP(A2564,'QALS - Inspection Lot Record'!A:A,'QALS - Inspection Lot Record'!E:E)</f>
        <v>46030</v>
      </c>
      <c r="H2564" s="34" t="str">
        <f t="shared" si="200"/>
        <v>A</v>
      </c>
      <c r="I2564" s="29" t="str">
        <f t="shared" si="201"/>
        <v>ZK384180</v>
      </c>
      <c r="J2564" s="59">
        <f t="shared" ca="1" si="202"/>
        <v>46030</v>
      </c>
      <c r="K2564" s="30">
        <f ca="1">LOOKUP(A2564,'QALS - Inspection Lot Record'!A:A,'QALS - Inspection Lot Record'!I:I)</f>
        <v>0.78494212962962961</v>
      </c>
      <c r="L2564" s="59">
        <f t="shared" ca="1" si="203"/>
        <v>46030</v>
      </c>
      <c r="M2564" s="30">
        <f t="shared" ca="1" si="204"/>
        <v>0.81626157407407407</v>
      </c>
      <c r="N2564" s="11" t="s">
        <v>402</v>
      </c>
      <c r="O2564" s="31"/>
      <c r="P2564" s="29"/>
      <c r="Q2564" s="29"/>
    </row>
    <row r="2565" spans="1:17" x14ac:dyDescent="0.35">
      <c r="A2565" s="26">
        <v>40000002821</v>
      </c>
      <c r="B2565" s="31">
        <v>1</v>
      </c>
      <c r="C2565" s="29" t="str">
        <f>LOOKUP(A2565,'QALS - Inspection Lot Record'!$A$2:$A$361,'QALS - Inspection Lot Record'!$O$2:$O$361)</f>
        <v>Metformin Tablets (500 MG)</v>
      </c>
      <c r="D2565" s="31">
        <v>40</v>
      </c>
      <c r="E2565" s="29" t="s">
        <v>403</v>
      </c>
      <c r="F2565" s="29" t="str">
        <f>LOOKUP(A2565,'QALS - Inspection Lot Record'!A:A,'QALS - Inspection Lot Record'!G:G)</f>
        <v>ZK384180</v>
      </c>
      <c r="G2565" s="59">
        <f ca="1">LOOKUP(A2565,'QALS - Inspection Lot Record'!A:A,'QALS - Inspection Lot Record'!E:E)</f>
        <v>46030</v>
      </c>
      <c r="H2565" s="34" t="str">
        <f t="shared" si="200"/>
        <v>A</v>
      </c>
      <c r="I2565" s="29" t="str">
        <f t="shared" si="201"/>
        <v>ZK384180</v>
      </c>
      <c r="J2565" s="59">
        <f t="shared" ca="1" si="202"/>
        <v>46030</v>
      </c>
      <c r="K2565" s="30">
        <f ca="1">LOOKUP(A2565,'QALS - Inspection Lot Record'!A:A,'QALS - Inspection Lot Record'!I:I)</f>
        <v>0.78494212962962961</v>
      </c>
      <c r="L2565" s="59">
        <f t="shared" ca="1" si="203"/>
        <v>46030</v>
      </c>
      <c r="M2565" s="30">
        <f t="shared" ca="1" si="204"/>
        <v>0.80535879629629625</v>
      </c>
      <c r="N2565" s="31"/>
      <c r="O2565" s="31">
        <v>0</v>
      </c>
      <c r="P2565" s="29">
        <v>0</v>
      </c>
      <c r="Q2565" s="29">
        <v>2</v>
      </c>
    </row>
    <row r="2566" spans="1:17" x14ac:dyDescent="0.35">
      <c r="A2566" s="26">
        <v>40000002821</v>
      </c>
      <c r="B2566" s="31">
        <v>1</v>
      </c>
      <c r="C2566" s="29" t="str">
        <f>LOOKUP(A2566,'QALS - Inspection Lot Record'!$A$2:$A$361,'QALS - Inspection Lot Record'!$O$2:$O$361)</f>
        <v>Metformin Tablets (500 MG)</v>
      </c>
      <c r="D2566" s="31">
        <v>50</v>
      </c>
      <c r="E2566" s="29" t="s">
        <v>404</v>
      </c>
      <c r="F2566" s="29" t="str">
        <f>LOOKUP(A2566,'QALS - Inspection Lot Record'!A:A,'QALS - Inspection Lot Record'!G:G)</f>
        <v>ZK384180</v>
      </c>
      <c r="G2566" s="59">
        <f ca="1">LOOKUP(A2566,'QALS - Inspection Lot Record'!A:A,'QALS - Inspection Lot Record'!E:E)</f>
        <v>46030</v>
      </c>
      <c r="H2566" s="34" t="str">
        <f t="shared" si="200"/>
        <v>A</v>
      </c>
      <c r="I2566" s="29" t="str">
        <f t="shared" si="201"/>
        <v>ZK384180</v>
      </c>
      <c r="J2566" s="59">
        <f t="shared" ca="1" si="202"/>
        <v>46030</v>
      </c>
      <c r="K2566" s="30">
        <f ca="1">LOOKUP(A2566,'QALS - Inspection Lot Record'!A:A,'QALS - Inspection Lot Record'!I:I)</f>
        <v>0.78494212962962961</v>
      </c>
      <c r="L2566" s="59">
        <f t="shared" ca="1" si="203"/>
        <v>46030</v>
      </c>
      <c r="M2566" s="30">
        <f t="shared" ca="1" si="204"/>
        <v>0.81709490740740742</v>
      </c>
      <c r="N2566" s="31"/>
      <c r="O2566" s="31">
        <v>50</v>
      </c>
      <c r="P2566" s="29">
        <v>40</v>
      </c>
      <c r="Q2566" s="29">
        <v>60</v>
      </c>
    </row>
    <row r="2567" spans="1:17" x14ac:dyDescent="0.35">
      <c r="A2567" s="26">
        <v>40000002821</v>
      </c>
      <c r="B2567" s="31">
        <v>1</v>
      </c>
      <c r="C2567" s="29" t="str">
        <f>LOOKUP(A2567,'QALS - Inspection Lot Record'!$A$2:$A$361,'QALS - Inspection Lot Record'!$O$2:$O$361)</f>
        <v>Metformin Tablets (500 MG)</v>
      </c>
      <c r="D2567" s="31">
        <v>60</v>
      </c>
      <c r="E2567" s="29" t="s">
        <v>405</v>
      </c>
      <c r="F2567" s="29" t="str">
        <f>LOOKUP(A2567,'QALS - Inspection Lot Record'!A:A,'QALS - Inspection Lot Record'!G:G)</f>
        <v>ZK384180</v>
      </c>
      <c r="G2567" s="59">
        <f ca="1">LOOKUP(A2567,'QALS - Inspection Lot Record'!A:A,'QALS - Inspection Lot Record'!E:E)</f>
        <v>46030</v>
      </c>
      <c r="H2567" s="34" t="str">
        <f t="shared" si="200"/>
        <v>A</v>
      </c>
      <c r="I2567" s="29" t="str">
        <f t="shared" si="201"/>
        <v>ZK384180</v>
      </c>
      <c r="J2567" s="59">
        <f t="shared" ca="1" si="202"/>
        <v>46030</v>
      </c>
      <c r="K2567" s="30">
        <f ca="1">LOOKUP(A2567,'QALS - Inspection Lot Record'!A:A,'QALS - Inspection Lot Record'!I:I)</f>
        <v>0.78494212962962961</v>
      </c>
      <c r="L2567" s="59">
        <f t="shared" ca="1" si="203"/>
        <v>46030</v>
      </c>
      <c r="M2567" s="30">
        <f t="shared" ca="1" si="204"/>
        <v>0.81093749999999998</v>
      </c>
      <c r="N2567" s="31"/>
      <c r="O2567" s="31">
        <v>77.5</v>
      </c>
      <c r="P2567" s="29">
        <v>70</v>
      </c>
      <c r="Q2567" s="29">
        <v>85</v>
      </c>
    </row>
    <row r="2568" spans="1:17" x14ac:dyDescent="0.35">
      <c r="A2568" s="26">
        <v>40000002821</v>
      </c>
      <c r="B2568" s="31">
        <v>1</v>
      </c>
      <c r="C2568" s="29" t="str">
        <f>LOOKUP(A2568,'QALS - Inspection Lot Record'!$A$2:$A$361,'QALS - Inspection Lot Record'!$O$2:$O$361)</f>
        <v>Metformin Tablets (500 MG)</v>
      </c>
      <c r="D2568" s="31">
        <v>70</v>
      </c>
      <c r="E2568" s="29" t="s">
        <v>406</v>
      </c>
      <c r="F2568" s="29" t="str">
        <f>LOOKUP(A2568,'QALS - Inspection Lot Record'!A:A,'QALS - Inspection Lot Record'!G:G)</f>
        <v>ZK384180</v>
      </c>
      <c r="G2568" s="59">
        <f ca="1">LOOKUP(A2568,'QALS - Inspection Lot Record'!A:A,'QALS - Inspection Lot Record'!E:E)</f>
        <v>46030</v>
      </c>
      <c r="H2568" s="34" t="str">
        <f t="shared" si="200"/>
        <v>A</v>
      </c>
      <c r="I2568" s="29" t="str">
        <f t="shared" si="201"/>
        <v>ZK384180</v>
      </c>
      <c r="J2568" s="59">
        <f t="shared" ca="1" si="202"/>
        <v>46030</v>
      </c>
      <c r="K2568" s="30">
        <f ca="1">LOOKUP(A2568,'QALS - Inspection Lot Record'!A:A,'QALS - Inspection Lot Record'!I:I)</f>
        <v>0.78494212962962961</v>
      </c>
      <c r="L2568" s="59">
        <f t="shared" ca="1" si="203"/>
        <v>46030</v>
      </c>
      <c r="M2568" s="30">
        <f t="shared" ca="1" si="204"/>
        <v>0.81896990740740738</v>
      </c>
      <c r="N2568" s="31"/>
      <c r="O2568" s="31">
        <v>85</v>
      </c>
      <c r="P2568" s="29">
        <v>80</v>
      </c>
      <c r="Q2568" s="29">
        <v>90</v>
      </c>
    </row>
    <row r="2569" spans="1:17" x14ac:dyDescent="0.35">
      <c r="A2569" s="26">
        <v>40000002821</v>
      </c>
      <c r="B2569" s="31">
        <v>1</v>
      </c>
      <c r="C2569" s="29" t="str">
        <f>LOOKUP(A2569,'QALS - Inspection Lot Record'!$A$2:$A$361,'QALS - Inspection Lot Record'!$O$2:$O$361)</f>
        <v>Metformin Tablets (500 MG)</v>
      </c>
      <c r="D2569" s="31">
        <v>80</v>
      </c>
      <c r="E2569" s="29" t="s">
        <v>407</v>
      </c>
      <c r="F2569" s="29" t="str">
        <f>LOOKUP(A2569,'QALS - Inspection Lot Record'!A:A,'QALS - Inspection Lot Record'!G:G)</f>
        <v>ZK384180</v>
      </c>
      <c r="G2569" s="59">
        <f ca="1">LOOKUP(A2569,'QALS - Inspection Lot Record'!A:A,'QALS - Inspection Lot Record'!E:E)</f>
        <v>46030</v>
      </c>
      <c r="H2569" s="34" t="str">
        <f t="shared" si="200"/>
        <v>A</v>
      </c>
      <c r="I2569" s="29" t="str">
        <f t="shared" si="201"/>
        <v>ZK384180</v>
      </c>
      <c r="J2569" s="59">
        <f t="shared" ca="1" si="202"/>
        <v>46030</v>
      </c>
      <c r="K2569" s="30">
        <f ca="1">LOOKUP(A2569,'QALS - Inspection Lot Record'!A:A,'QALS - Inspection Lot Record'!I:I)</f>
        <v>0.78494212962962961</v>
      </c>
      <c r="L2569" s="59">
        <f t="shared" ca="1" si="203"/>
        <v>46030</v>
      </c>
      <c r="M2569" s="30">
        <f t="shared" ca="1" si="204"/>
        <v>0.81315972222222221</v>
      </c>
      <c r="N2569" s="31"/>
      <c r="O2569" s="31">
        <v>25.5</v>
      </c>
      <c r="P2569" s="29">
        <v>23</v>
      </c>
      <c r="Q2569" s="29">
        <v>28</v>
      </c>
    </row>
    <row r="2570" spans="1:17" x14ac:dyDescent="0.35">
      <c r="A2570" s="26">
        <v>40000002822</v>
      </c>
      <c r="B2570" s="27">
        <v>1</v>
      </c>
      <c r="C2570" s="29" t="str">
        <f>LOOKUP(A2570,'QALS - Inspection Lot Record'!$A$2:$A$361,'QALS - Inspection Lot Record'!$O$2:$O$361)</f>
        <v>Metformin Tablets (200 MG)</v>
      </c>
      <c r="D2570" s="27">
        <v>10</v>
      </c>
      <c r="E2570" s="26" t="s">
        <v>399</v>
      </c>
      <c r="F2570" s="29" t="str">
        <f>LOOKUP(A2570,'QALS - Inspection Lot Record'!A:A,'QALS - Inspection Lot Record'!G:G)</f>
        <v>TG509538</v>
      </c>
      <c r="G2570" s="59">
        <f ca="1">LOOKUP(A2570,'QALS - Inspection Lot Record'!A:A,'QALS - Inspection Lot Record'!E:E)</f>
        <v>46030</v>
      </c>
      <c r="H2570" s="34" t="str">
        <f t="shared" ref="H2570:H2633" si="205">IF(AND(P2570&lt;=O2570,O2570&lt;=Q2570),"A","R")</f>
        <v>A</v>
      </c>
      <c r="I2570" s="29" t="str">
        <f t="shared" si="201"/>
        <v>TG509538</v>
      </c>
      <c r="J2570" s="59">
        <f t="shared" ca="1" si="202"/>
        <v>46030</v>
      </c>
      <c r="K2570" s="30">
        <f ca="1">LOOKUP(A2570,'QALS - Inspection Lot Record'!A:A,'QALS - Inspection Lot Record'!I:I)</f>
        <v>0.34836805555555556</v>
      </c>
      <c r="L2570" s="59">
        <f t="shared" ca="1" si="203"/>
        <v>46030</v>
      </c>
      <c r="M2570" s="30">
        <f t="shared" ca="1" si="204"/>
        <v>0.37064814814814817</v>
      </c>
      <c r="N2570" s="31"/>
      <c r="O2570" s="31">
        <v>99</v>
      </c>
      <c r="P2570" s="29">
        <v>95</v>
      </c>
      <c r="Q2570" s="29">
        <v>103</v>
      </c>
    </row>
    <row r="2571" spans="1:17" x14ac:dyDescent="0.35">
      <c r="A2571" s="26">
        <v>40000002822</v>
      </c>
      <c r="B2571" s="27">
        <v>1</v>
      </c>
      <c r="C2571" s="29" t="str">
        <f>LOOKUP(A2571,'QALS - Inspection Lot Record'!$A$2:$A$361,'QALS - Inspection Lot Record'!$O$2:$O$361)</f>
        <v>Metformin Tablets (200 MG)</v>
      </c>
      <c r="D2571" s="31">
        <v>20</v>
      </c>
      <c r="E2571" s="29" t="s">
        <v>400</v>
      </c>
      <c r="F2571" s="29" t="str">
        <f>LOOKUP(A2571,'QALS - Inspection Lot Record'!A:A,'QALS - Inspection Lot Record'!G:G)</f>
        <v>TG509538</v>
      </c>
      <c r="G2571" s="59">
        <f ca="1">LOOKUP(A2571,'QALS - Inspection Lot Record'!A:A,'QALS - Inspection Lot Record'!E:E)</f>
        <v>46030</v>
      </c>
      <c r="H2571" s="34" t="str">
        <f t="shared" si="205"/>
        <v>A</v>
      </c>
      <c r="I2571" s="29" t="str">
        <f t="shared" si="201"/>
        <v>TG509538</v>
      </c>
      <c r="J2571" s="59">
        <f t="shared" ca="1" si="202"/>
        <v>46030</v>
      </c>
      <c r="K2571" s="30">
        <f ca="1">LOOKUP(A2571,'QALS - Inspection Lot Record'!A:A,'QALS - Inspection Lot Record'!I:I)</f>
        <v>0.34836805555555556</v>
      </c>
      <c r="L2571" s="59">
        <f t="shared" ca="1" si="203"/>
        <v>46030</v>
      </c>
      <c r="M2571" s="30">
        <f t="shared" ca="1" si="204"/>
        <v>0.38374999999999998</v>
      </c>
      <c r="N2571" s="31"/>
      <c r="O2571" s="31">
        <v>7.75</v>
      </c>
      <c r="P2571" s="29">
        <v>6</v>
      </c>
      <c r="Q2571" s="29">
        <v>9.5</v>
      </c>
    </row>
    <row r="2572" spans="1:17" x14ac:dyDescent="0.35">
      <c r="A2572" s="26">
        <v>40000002822</v>
      </c>
      <c r="B2572" s="31">
        <v>1</v>
      </c>
      <c r="C2572" s="29" t="str">
        <f>LOOKUP(A2572,'QALS - Inspection Lot Record'!$A$2:$A$361,'QALS - Inspection Lot Record'!$O$2:$O$361)</f>
        <v>Metformin Tablets (200 MG)</v>
      </c>
      <c r="D2572" s="31">
        <v>30</v>
      </c>
      <c r="E2572" s="29" t="s">
        <v>401</v>
      </c>
      <c r="F2572" s="29" t="str">
        <f>LOOKUP(A2572,'QALS - Inspection Lot Record'!A:A,'QALS - Inspection Lot Record'!G:G)</f>
        <v>TG509538</v>
      </c>
      <c r="G2572" s="59">
        <f ca="1">LOOKUP(A2572,'QALS - Inspection Lot Record'!A:A,'QALS - Inspection Lot Record'!E:E)</f>
        <v>46030</v>
      </c>
      <c r="H2572" s="34" t="str">
        <f t="shared" si="205"/>
        <v>A</v>
      </c>
      <c r="I2572" s="29" t="str">
        <f t="shared" si="201"/>
        <v>TG509538</v>
      </c>
      <c r="J2572" s="59">
        <f t="shared" ca="1" si="202"/>
        <v>46030</v>
      </c>
      <c r="K2572" s="30">
        <f ca="1">LOOKUP(A2572,'QALS - Inspection Lot Record'!A:A,'QALS - Inspection Lot Record'!I:I)</f>
        <v>0.34836805555555556</v>
      </c>
      <c r="L2572" s="59">
        <f t="shared" ca="1" si="203"/>
        <v>46030</v>
      </c>
      <c r="M2572" s="30">
        <f t="shared" ca="1" si="204"/>
        <v>0.3765162037037037</v>
      </c>
      <c r="N2572" s="11" t="s">
        <v>402</v>
      </c>
      <c r="O2572" s="31"/>
      <c r="P2572" s="29"/>
      <c r="Q2572" s="29"/>
    </row>
    <row r="2573" spans="1:17" x14ac:dyDescent="0.35">
      <c r="A2573" s="26">
        <v>40000002822</v>
      </c>
      <c r="B2573" s="31">
        <v>1</v>
      </c>
      <c r="C2573" s="29" t="str">
        <f>LOOKUP(A2573,'QALS - Inspection Lot Record'!$A$2:$A$361,'QALS - Inspection Lot Record'!$O$2:$O$361)</f>
        <v>Metformin Tablets (200 MG)</v>
      </c>
      <c r="D2573" s="31">
        <v>40</v>
      </c>
      <c r="E2573" s="29" t="s">
        <v>403</v>
      </c>
      <c r="F2573" s="29" t="str">
        <f>LOOKUP(A2573,'QALS - Inspection Lot Record'!A:A,'QALS - Inspection Lot Record'!G:G)</f>
        <v>TG509538</v>
      </c>
      <c r="G2573" s="59">
        <f ca="1">LOOKUP(A2573,'QALS - Inspection Lot Record'!A:A,'QALS - Inspection Lot Record'!E:E)</f>
        <v>46030</v>
      </c>
      <c r="H2573" s="34" t="str">
        <f t="shared" si="205"/>
        <v>A</v>
      </c>
      <c r="I2573" s="29" t="str">
        <f t="shared" si="201"/>
        <v>TG509538</v>
      </c>
      <c r="J2573" s="59">
        <f t="shared" ca="1" si="202"/>
        <v>46030</v>
      </c>
      <c r="K2573" s="30">
        <f ca="1">LOOKUP(A2573,'QALS - Inspection Lot Record'!A:A,'QALS - Inspection Lot Record'!I:I)</f>
        <v>0.34836805555555556</v>
      </c>
      <c r="L2573" s="59">
        <f t="shared" ca="1" si="203"/>
        <v>46030</v>
      </c>
      <c r="M2573" s="30">
        <f t="shared" ca="1" si="204"/>
        <v>0.36790509259259258</v>
      </c>
      <c r="N2573" s="31"/>
      <c r="O2573" s="31">
        <v>0</v>
      </c>
      <c r="P2573" s="29">
        <v>0</v>
      </c>
      <c r="Q2573" s="29">
        <v>2</v>
      </c>
    </row>
    <row r="2574" spans="1:17" x14ac:dyDescent="0.35">
      <c r="A2574" s="26">
        <v>40000002822</v>
      </c>
      <c r="B2574" s="31">
        <v>1</v>
      </c>
      <c r="C2574" s="29" t="str">
        <f>LOOKUP(A2574,'QALS - Inspection Lot Record'!$A$2:$A$361,'QALS - Inspection Lot Record'!$O$2:$O$361)</f>
        <v>Metformin Tablets (200 MG)</v>
      </c>
      <c r="D2574" s="31">
        <v>50</v>
      </c>
      <c r="E2574" s="29" t="s">
        <v>404</v>
      </c>
      <c r="F2574" s="29" t="str">
        <f>LOOKUP(A2574,'QALS - Inspection Lot Record'!A:A,'QALS - Inspection Lot Record'!G:G)</f>
        <v>TG509538</v>
      </c>
      <c r="G2574" s="59">
        <f ca="1">LOOKUP(A2574,'QALS - Inspection Lot Record'!A:A,'QALS - Inspection Lot Record'!E:E)</f>
        <v>46030</v>
      </c>
      <c r="H2574" s="34" t="str">
        <f t="shared" si="205"/>
        <v>A</v>
      </c>
      <c r="I2574" s="29" t="str">
        <f t="shared" si="201"/>
        <v>TG509538</v>
      </c>
      <c r="J2574" s="59">
        <f t="shared" ca="1" si="202"/>
        <v>46030</v>
      </c>
      <c r="K2574" s="30">
        <f ca="1">LOOKUP(A2574,'QALS - Inspection Lot Record'!A:A,'QALS - Inspection Lot Record'!I:I)</f>
        <v>0.34836805555555556</v>
      </c>
      <c r="L2574" s="59">
        <f t="shared" ca="1" si="203"/>
        <v>46030</v>
      </c>
      <c r="M2574" s="30">
        <f t="shared" ca="1" si="204"/>
        <v>0.38214120370370369</v>
      </c>
      <c r="N2574" s="31"/>
      <c r="O2574" s="31">
        <v>50</v>
      </c>
      <c r="P2574" s="29">
        <v>40</v>
      </c>
      <c r="Q2574" s="29">
        <v>60</v>
      </c>
    </row>
    <row r="2575" spans="1:17" x14ac:dyDescent="0.35">
      <c r="A2575" s="26">
        <v>40000002822</v>
      </c>
      <c r="B2575" s="31">
        <v>1</v>
      </c>
      <c r="C2575" s="29" t="str">
        <f>LOOKUP(A2575,'QALS - Inspection Lot Record'!$A$2:$A$361,'QALS - Inspection Lot Record'!$O$2:$O$361)</f>
        <v>Metformin Tablets (200 MG)</v>
      </c>
      <c r="D2575" s="31">
        <v>60</v>
      </c>
      <c r="E2575" s="29" t="s">
        <v>405</v>
      </c>
      <c r="F2575" s="29" t="str">
        <f>LOOKUP(A2575,'QALS - Inspection Lot Record'!A:A,'QALS - Inspection Lot Record'!G:G)</f>
        <v>TG509538</v>
      </c>
      <c r="G2575" s="59">
        <f ca="1">LOOKUP(A2575,'QALS - Inspection Lot Record'!A:A,'QALS - Inspection Lot Record'!E:E)</f>
        <v>46030</v>
      </c>
      <c r="H2575" s="34" t="str">
        <f t="shared" si="205"/>
        <v>A</v>
      </c>
      <c r="I2575" s="29" t="str">
        <f t="shared" si="201"/>
        <v>TG509538</v>
      </c>
      <c r="J2575" s="59">
        <f t="shared" ca="1" si="202"/>
        <v>46030</v>
      </c>
      <c r="K2575" s="30">
        <f ca="1">LOOKUP(A2575,'QALS - Inspection Lot Record'!A:A,'QALS - Inspection Lot Record'!I:I)</f>
        <v>0.34836805555555556</v>
      </c>
      <c r="L2575" s="59">
        <f t="shared" ca="1" si="203"/>
        <v>46030</v>
      </c>
      <c r="M2575" s="30">
        <f t="shared" ca="1" si="204"/>
        <v>0.3669675925925926</v>
      </c>
      <c r="N2575" s="31"/>
      <c r="O2575" s="31">
        <v>77.5</v>
      </c>
      <c r="P2575" s="29">
        <v>70</v>
      </c>
      <c r="Q2575" s="29">
        <v>85</v>
      </c>
    </row>
    <row r="2576" spans="1:17" x14ac:dyDescent="0.35">
      <c r="A2576" s="26">
        <v>40000002822</v>
      </c>
      <c r="B2576" s="31">
        <v>1</v>
      </c>
      <c r="C2576" s="29" t="str">
        <f>LOOKUP(A2576,'QALS - Inspection Lot Record'!$A$2:$A$361,'QALS - Inspection Lot Record'!$O$2:$O$361)</f>
        <v>Metformin Tablets (200 MG)</v>
      </c>
      <c r="D2576" s="31">
        <v>70</v>
      </c>
      <c r="E2576" s="29" t="s">
        <v>406</v>
      </c>
      <c r="F2576" s="29" t="str">
        <f>LOOKUP(A2576,'QALS - Inspection Lot Record'!A:A,'QALS - Inspection Lot Record'!G:G)</f>
        <v>TG509538</v>
      </c>
      <c r="G2576" s="59">
        <f ca="1">LOOKUP(A2576,'QALS - Inspection Lot Record'!A:A,'QALS - Inspection Lot Record'!E:E)</f>
        <v>46030</v>
      </c>
      <c r="H2576" s="34" t="str">
        <f t="shared" si="205"/>
        <v>A</v>
      </c>
      <c r="I2576" s="29" t="str">
        <f t="shared" si="201"/>
        <v>TG509538</v>
      </c>
      <c r="J2576" s="59">
        <f t="shared" ca="1" si="202"/>
        <v>46030</v>
      </c>
      <c r="K2576" s="30">
        <f ca="1">LOOKUP(A2576,'QALS - Inspection Lot Record'!A:A,'QALS - Inspection Lot Record'!I:I)</f>
        <v>0.34836805555555556</v>
      </c>
      <c r="L2576" s="59">
        <f t="shared" ca="1" si="203"/>
        <v>46030</v>
      </c>
      <c r="M2576" s="30">
        <f t="shared" ca="1" si="204"/>
        <v>0.37949074074074074</v>
      </c>
      <c r="N2576" s="31"/>
      <c r="O2576" s="31">
        <v>85</v>
      </c>
      <c r="P2576" s="29">
        <v>80</v>
      </c>
      <c r="Q2576" s="29">
        <v>90</v>
      </c>
    </row>
    <row r="2577" spans="1:17" x14ac:dyDescent="0.35">
      <c r="A2577" s="26">
        <v>40000002822</v>
      </c>
      <c r="B2577" s="31">
        <v>1</v>
      </c>
      <c r="C2577" s="29" t="str">
        <f>LOOKUP(A2577,'QALS - Inspection Lot Record'!$A$2:$A$361,'QALS - Inspection Lot Record'!$O$2:$O$361)</f>
        <v>Metformin Tablets (200 MG)</v>
      </c>
      <c r="D2577" s="31">
        <v>80</v>
      </c>
      <c r="E2577" s="29" t="s">
        <v>407</v>
      </c>
      <c r="F2577" s="29" t="str">
        <f>LOOKUP(A2577,'QALS - Inspection Lot Record'!A:A,'QALS - Inspection Lot Record'!G:G)</f>
        <v>TG509538</v>
      </c>
      <c r="G2577" s="59">
        <f ca="1">LOOKUP(A2577,'QALS - Inspection Lot Record'!A:A,'QALS - Inspection Lot Record'!E:E)</f>
        <v>46030</v>
      </c>
      <c r="H2577" s="34" t="str">
        <f t="shared" si="205"/>
        <v>A</v>
      </c>
      <c r="I2577" s="29" t="str">
        <f t="shared" si="201"/>
        <v>TG509538</v>
      </c>
      <c r="J2577" s="59">
        <f t="shared" ca="1" si="202"/>
        <v>46030</v>
      </c>
      <c r="K2577" s="30">
        <f ca="1">LOOKUP(A2577,'QALS - Inspection Lot Record'!A:A,'QALS - Inspection Lot Record'!I:I)</f>
        <v>0.34836805555555556</v>
      </c>
      <c r="L2577" s="59">
        <f t="shared" ca="1" si="203"/>
        <v>46030</v>
      </c>
      <c r="M2577" s="30">
        <f t="shared" ca="1" si="204"/>
        <v>0.37552083333333336</v>
      </c>
      <c r="N2577" s="31"/>
      <c r="O2577" s="31">
        <v>25.5</v>
      </c>
      <c r="P2577" s="29">
        <v>23</v>
      </c>
      <c r="Q2577" s="29">
        <v>28</v>
      </c>
    </row>
    <row r="2578" spans="1:17" x14ac:dyDescent="0.35">
      <c r="A2578" s="26">
        <v>40000002823</v>
      </c>
      <c r="B2578" s="27">
        <v>1</v>
      </c>
      <c r="C2578" s="29" t="str">
        <f>LOOKUP(A2578,'QALS - Inspection Lot Record'!$A$2:$A$361,'QALS - Inspection Lot Record'!$O$2:$O$361)</f>
        <v>Metformin Tablets (200 MG)</v>
      </c>
      <c r="D2578" s="27">
        <v>10</v>
      </c>
      <c r="E2578" s="26" t="s">
        <v>399</v>
      </c>
      <c r="F2578" s="29" t="str">
        <f>LOOKUP(A2578,'QALS - Inspection Lot Record'!A:A,'QALS - Inspection Lot Record'!G:G)</f>
        <v>TP397880</v>
      </c>
      <c r="G2578" s="59">
        <f ca="1">LOOKUP(A2578,'QALS - Inspection Lot Record'!A:A,'QALS - Inspection Lot Record'!E:E)</f>
        <v>46031</v>
      </c>
      <c r="H2578" s="34" t="str">
        <f t="shared" si="205"/>
        <v>A</v>
      </c>
      <c r="I2578" s="29" t="str">
        <f t="shared" si="201"/>
        <v>TP397880</v>
      </c>
      <c r="J2578" s="59">
        <f t="shared" ca="1" si="202"/>
        <v>46031</v>
      </c>
      <c r="K2578" s="30">
        <f ca="1">LOOKUP(A2578,'QALS - Inspection Lot Record'!A:A,'QALS - Inspection Lot Record'!I:I)</f>
        <v>0.93541666666666667</v>
      </c>
      <c r="L2578" s="59">
        <f t="shared" ca="1" si="203"/>
        <v>46031</v>
      </c>
      <c r="M2578" s="30">
        <f t="shared" ca="1" si="204"/>
        <v>0.95865740740740746</v>
      </c>
      <c r="N2578" s="31"/>
      <c r="O2578" s="31">
        <v>99</v>
      </c>
      <c r="P2578" s="29">
        <v>95</v>
      </c>
      <c r="Q2578" s="29">
        <v>103</v>
      </c>
    </row>
    <row r="2579" spans="1:17" x14ac:dyDescent="0.35">
      <c r="A2579" s="26">
        <v>40000002823</v>
      </c>
      <c r="B2579" s="27">
        <v>1</v>
      </c>
      <c r="C2579" s="29" t="str">
        <f>LOOKUP(A2579,'QALS - Inspection Lot Record'!$A$2:$A$361,'QALS - Inspection Lot Record'!$O$2:$O$361)</f>
        <v>Metformin Tablets (200 MG)</v>
      </c>
      <c r="D2579" s="31">
        <v>20</v>
      </c>
      <c r="E2579" s="29" t="s">
        <v>400</v>
      </c>
      <c r="F2579" s="29" t="str">
        <f>LOOKUP(A2579,'QALS - Inspection Lot Record'!A:A,'QALS - Inspection Lot Record'!G:G)</f>
        <v>TP397880</v>
      </c>
      <c r="G2579" s="59">
        <f ca="1">LOOKUP(A2579,'QALS - Inspection Lot Record'!A:A,'QALS - Inspection Lot Record'!E:E)</f>
        <v>46031</v>
      </c>
      <c r="H2579" s="34" t="str">
        <f t="shared" si="205"/>
        <v>A</v>
      </c>
      <c r="I2579" s="29" t="str">
        <f t="shared" si="201"/>
        <v>TP397880</v>
      </c>
      <c r="J2579" s="59">
        <f t="shared" ca="1" si="202"/>
        <v>46031</v>
      </c>
      <c r="K2579" s="30">
        <f ca="1">LOOKUP(A2579,'QALS - Inspection Lot Record'!A:A,'QALS - Inspection Lot Record'!I:I)</f>
        <v>0.93541666666666667</v>
      </c>
      <c r="L2579" s="59">
        <f t="shared" ca="1" si="203"/>
        <v>46031</v>
      </c>
      <c r="M2579" s="30">
        <f t="shared" ca="1" si="204"/>
        <v>0.95912037037037035</v>
      </c>
      <c r="N2579" s="31"/>
      <c r="O2579" s="31">
        <v>7.8</v>
      </c>
      <c r="P2579" s="29">
        <v>6</v>
      </c>
      <c r="Q2579" s="29">
        <v>9.5</v>
      </c>
    </row>
    <row r="2580" spans="1:17" x14ac:dyDescent="0.35">
      <c r="A2580" s="26">
        <v>40000002823</v>
      </c>
      <c r="B2580" s="31">
        <v>1</v>
      </c>
      <c r="C2580" s="29" t="str">
        <f>LOOKUP(A2580,'QALS - Inspection Lot Record'!$A$2:$A$361,'QALS - Inspection Lot Record'!$O$2:$O$361)</f>
        <v>Metformin Tablets (200 MG)</v>
      </c>
      <c r="D2580" s="31">
        <v>30</v>
      </c>
      <c r="E2580" s="29" t="s">
        <v>401</v>
      </c>
      <c r="F2580" s="29" t="str">
        <f>LOOKUP(A2580,'QALS - Inspection Lot Record'!A:A,'QALS - Inspection Lot Record'!G:G)</f>
        <v>TP397880</v>
      </c>
      <c r="G2580" s="59">
        <f ca="1">LOOKUP(A2580,'QALS - Inspection Lot Record'!A:A,'QALS - Inspection Lot Record'!E:E)</f>
        <v>46031</v>
      </c>
      <c r="H2580" s="34" t="str">
        <f t="shared" si="205"/>
        <v>A</v>
      </c>
      <c r="I2580" s="29" t="str">
        <f t="shared" si="201"/>
        <v>TP397880</v>
      </c>
      <c r="J2580" s="59">
        <f t="shared" ca="1" si="202"/>
        <v>46031</v>
      </c>
      <c r="K2580" s="30">
        <f ca="1">LOOKUP(A2580,'QALS - Inspection Lot Record'!A:A,'QALS - Inspection Lot Record'!I:I)</f>
        <v>0.93541666666666667</v>
      </c>
      <c r="L2580" s="59">
        <f t="shared" ca="1" si="203"/>
        <v>46031</v>
      </c>
      <c r="M2580" s="30">
        <f t="shared" ca="1" si="204"/>
        <v>0.95748842592592598</v>
      </c>
      <c r="N2580" s="11" t="s">
        <v>402</v>
      </c>
      <c r="O2580" s="31"/>
      <c r="P2580" s="29"/>
      <c r="Q2580" s="29"/>
    </row>
    <row r="2581" spans="1:17" x14ac:dyDescent="0.35">
      <c r="A2581" s="26">
        <v>40000002823</v>
      </c>
      <c r="B2581" s="31">
        <v>1</v>
      </c>
      <c r="C2581" s="29" t="str">
        <f>LOOKUP(A2581,'QALS - Inspection Lot Record'!$A$2:$A$361,'QALS - Inspection Lot Record'!$O$2:$O$361)</f>
        <v>Metformin Tablets (200 MG)</v>
      </c>
      <c r="D2581" s="31">
        <v>40</v>
      </c>
      <c r="E2581" s="29" t="s">
        <v>403</v>
      </c>
      <c r="F2581" s="29" t="str">
        <f>LOOKUP(A2581,'QALS - Inspection Lot Record'!A:A,'QALS - Inspection Lot Record'!G:G)</f>
        <v>TP397880</v>
      </c>
      <c r="G2581" s="59">
        <f ca="1">LOOKUP(A2581,'QALS - Inspection Lot Record'!A:A,'QALS - Inspection Lot Record'!E:E)</f>
        <v>46031</v>
      </c>
      <c r="H2581" s="34" t="str">
        <f t="shared" si="205"/>
        <v>A</v>
      </c>
      <c r="I2581" s="29" t="str">
        <f t="shared" si="201"/>
        <v>TP397880</v>
      </c>
      <c r="J2581" s="59">
        <f t="shared" ca="1" si="202"/>
        <v>46031</v>
      </c>
      <c r="K2581" s="30">
        <f ca="1">LOOKUP(A2581,'QALS - Inspection Lot Record'!A:A,'QALS - Inspection Lot Record'!I:I)</f>
        <v>0.93541666666666667</v>
      </c>
      <c r="L2581" s="59">
        <f t="shared" ca="1" si="203"/>
        <v>46031</v>
      </c>
      <c r="M2581" s="30">
        <f t="shared" ca="1" si="204"/>
        <v>0.97070601851851857</v>
      </c>
      <c r="N2581" s="31"/>
      <c r="O2581" s="31">
        <v>1.6</v>
      </c>
      <c r="P2581" s="29">
        <v>0</v>
      </c>
      <c r="Q2581" s="29">
        <v>2</v>
      </c>
    </row>
    <row r="2582" spans="1:17" x14ac:dyDescent="0.35">
      <c r="A2582" s="26">
        <v>40000002823</v>
      </c>
      <c r="B2582" s="31">
        <v>1</v>
      </c>
      <c r="C2582" s="29" t="str">
        <f>LOOKUP(A2582,'QALS - Inspection Lot Record'!$A$2:$A$361,'QALS - Inspection Lot Record'!$O$2:$O$361)</f>
        <v>Metformin Tablets (200 MG)</v>
      </c>
      <c r="D2582" s="31">
        <v>50</v>
      </c>
      <c r="E2582" s="29" t="s">
        <v>404</v>
      </c>
      <c r="F2582" s="29" t="str">
        <f>LOOKUP(A2582,'QALS - Inspection Lot Record'!A:A,'QALS - Inspection Lot Record'!G:G)</f>
        <v>TP397880</v>
      </c>
      <c r="G2582" s="59">
        <f ca="1">LOOKUP(A2582,'QALS - Inspection Lot Record'!A:A,'QALS - Inspection Lot Record'!E:E)</f>
        <v>46031</v>
      </c>
      <c r="H2582" s="34" t="str">
        <f t="shared" si="205"/>
        <v>A</v>
      </c>
      <c r="I2582" s="29" t="str">
        <f t="shared" si="201"/>
        <v>TP397880</v>
      </c>
      <c r="J2582" s="59">
        <f t="shared" ca="1" si="202"/>
        <v>46031</v>
      </c>
      <c r="K2582" s="30">
        <f ca="1">LOOKUP(A2582,'QALS - Inspection Lot Record'!A:A,'QALS - Inspection Lot Record'!I:I)</f>
        <v>0.93541666666666667</v>
      </c>
      <c r="L2582" s="59">
        <f t="shared" ca="1" si="203"/>
        <v>46031</v>
      </c>
      <c r="M2582" s="30">
        <f t="shared" ca="1" si="204"/>
        <v>0.96370370370370373</v>
      </c>
      <c r="N2582" s="31"/>
      <c r="O2582" s="31">
        <v>41.6</v>
      </c>
      <c r="P2582" s="29">
        <v>40</v>
      </c>
      <c r="Q2582" s="29">
        <v>60</v>
      </c>
    </row>
    <row r="2583" spans="1:17" x14ac:dyDescent="0.35">
      <c r="A2583" s="26">
        <v>40000002823</v>
      </c>
      <c r="B2583" s="31">
        <v>1</v>
      </c>
      <c r="C2583" s="29" t="str">
        <f>LOOKUP(A2583,'QALS - Inspection Lot Record'!$A$2:$A$361,'QALS - Inspection Lot Record'!$O$2:$O$361)</f>
        <v>Metformin Tablets (200 MG)</v>
      </c>
      <c r="D2583" s="31">
        <v>60</v>
      </c>
      <c r="E2583" s="29" t="s">
        <v>405</v>
      </c>
      <c r="F2583" s="29" t="str">
        <f>LOOKUP(A2583,'QALS - Inspection Lot Record'!A:A,'QALS - Inspection Lot Record'!G:G)</f>
        <v>TP397880</v>
      </c>
      <c r="G2583" s="59">
        <f ca="1">LOOKUP(A2583,'QALS - Inspection Lot Record'!A:A,'QALS - Inspection Lot Record'!E:E)</f>
        <v>46031</v>
      </c>
      <c r="H2583" s="34" t="str">
        <f t="shared" si="205"/>
        <v>A</v>
      </c>
      <c r="I2583" s="29" t="str">
        <f t="shared" si="201"/>
        <v>TP397880</v>
      </c>
      <c r="J2583" s="59">
        <f t="shared" ca="1" si="202"/>
        <v>46031</v>
      </c>
      <c r="K2583" s="30">
        <f ca="1">LOOKUP(A2583,'QALS - Inspection Lot Record'!A:A,'QALS - Inspection Lot Record'!I:I)</f>
        <v>0.93541666666666667</v>
      </c>
      <c r="L2583" s="59">
        <f t="shared" ca="1" si="203"/>
        <v>46031</v>
      </c>
      <c r="M2583" s="30">
        <f t="shared" ca="1" si="204"/>
        <v>0.96589120370370374</v>
      </c>
      <c r="N2583" s="31"/>
      <c r="O2583" s="31">
        <v>71.5</v>
      </c>
      <c r="P2583" s="29">
        <v>70</v>
      </c>
      <c r="Q2583" s="29">
        <v>85</v>
      </c>
    </row>
    <row r="2584" spans="1:17" x14ac:dyDescent="0.35">
      <c r="A2584" s="26">
        <v>40000002823</v>
      </c>
      <c r="B2584" s="31">
        <v>1</v>
      </c>
      <c r="C2584" s="29" t="str">
        <f>LOOKUP(A2584,'QALS - Inspection Lot Record'!$A$2:$A$361,'QALS - Inspection Lot Record'!$O$2:$O$361)</f>
        <v>Metformin Tablets (200 MG)</v>
      </c>
      <c r="D2584" s="31">
        <v>70</v>
      </c>
      <c r="E2584" s="29" t="s">
        <v>406</v>
      </c>
      <c r="F2584" s="29" t="str">
        <f>LOOKUP(A2584,'QALS - Inspection Lot Record'!A:A,'QALS - Inspection Lot Record'!G:G)</f>
        <v>TP397880</v>
      </c>
      <c r="G2584" s="59">
        <f ca="1">LOOKUP(A2584,'QALS - Inspection Lot Record'!A:A,'QALS - Inspection Lot Record'!E:E)</f>
        <v>46031</v>
      </c>
      <c r="H2584" s="34" t="str">
        <f t="shared" si="205"/>
        <v>A</v>
      </c>
      <c r="I2584" s="29" t="str">
        <f t="shared" si="201"/>
        <v>TP397880</v>
      </c>
      <c r="J2584" s="59">
        <f t="shared" ca="1" si="202"/>
        <v>46031</v>
      </c>
      <c r="K2584" s="30">
        <f ca="1">LOOKUP(A2584,'QALS - Inspection Lot Record'!A:A,'QALS - Inspection Lot Record'!I:I)</f>
        <v>0.93541666666666667</v>
      </c>
      <c r="L2584" s="59">
        <f t="shared" ca="1" si="203"/>
        <v>46031</v>
      </c>
      <c r="M2584" s="30">
        <f t="shared" ca="1" si="204"/>
        <v>0.96555555555555561</v>
      </c>
      <c r="N2584" s="31"/>
      <c r="O2584" s="31">
        <v>81.5</v>
      </c>
      <c r="P2584" s="29">
        <v>80</v>
      </c>
      <c r="Q2584" s="29">
        <v>90</v>
      </c>
    </row>
    <row r="2585" spans="1:17" x14ac:dyDescent="0.35">
      <c r="A2585" s="26">
        <v>40000002823</v>
      </c>
      <c r="B2585" s="31">
        <v>1</v>
      </c>
      <c r="C2585" s="29" t="str">
        <f>LOOKUP(A2585,'QALS - Inspection Lot Record'!$A$2:$A$361,'QALS - Inspection Lot Record'!$O$2:$O$361)</f>
        <v>Metformin Tablets (200 MG)</v>
      </c>
      <c r="D2585" s="31">
        <v>80</v>
      </c>
      <c r="E2585" s="29" t="s">
        <v>407</v>
      </c>
      <c r="F2585" s="29" t="str">
        <f>LOOKUP(A2585,'QALS - Inspection Lot Record'!A:A,'QALS - Inspection Lot Record'!G:G)</f>
        <v>TP397880</v>
      </c>
      <c r="G2585" s="59">
        <f ca="1">LOOKUP(A2585,'QALS - Inspection Lot Record'!A:A,'QALS - Inspection Lot Record'!E:E)</f>
        <v>46031</v>
      </c>
      <c r="H2585" s="34" t="str">
        <f t="shared" si="205"/>
        <v>A</v>
      </c>
      <c r="I2585" s="29" t="str">
        <f t="shared" si="201"/>
        <v>TP397880</v>
      </c>
      <c r="J2585" s="59">
        <f t="shared" ca="1" si="202"/>
        <v>46031</v>
      </c>
      <c r="K2585" s="30">
        <f ca="1">LOOKUP(A2585,'QALS - Inspection Lot Record'!A:A,'QALS - Inspection Lot Record'!I:I)</f>
        <v>0.93541666666666667</v>
      </c>
      <c r="L2585" s="59">
        <f t="shared" ca="1" si="203"/>
        <v>46031</v>
      </c>
      <c r="M2585" s="30">
        <f t="shared" ca="1" si="204"/>
        <v>0.95972222222222225</v>
      </c>
      <c r="N2585" s="31"/>
      <c r="O2585" s="31">
        <v>25.5</v>
      </c>
      <c r="P2585" s="29">
        <v>23</v>
      </c>
      <c r="Q2585" s="29">
        <v>28</v>
      </c>
    </row>
    <row r="2586" spans="1:17" x14ac:dyDescent="0.35">
      <c r="A2586" s="26">
        <v>40000002824</v>
      </c>
      <c r="B2586" s="27">
        <v>1</v>
      </c>
      <c r="C2586" s="29" t="str">
        <f>LOOKUP(A2586,'QALS - Inspection Lot Record'!$A$2:$A$361,'QALS - Inspection Lot Record'!$O$2:$O$361)</f>
        <v>Metformin Tablets (100 MG)</v>
      </c>
      <c r="D2586" s="27">
        <v>10</v>
      </c>
      <c r="E2586" s="26" t="s">
        <v>399</v>
      </c>
      <c r="F2586" s="29" t="str">
        <f>LOOKUP(A2586,'QALS - Inspection Lot Record'!A:A,'QALS - Inspection Lot Record'!G:G)</f>
        <v>TG509538</v>
      </c>
      <c r="G2586" s="59">
        <f ca="1">LOOKUP(A2586,'QALS - Inspection Lot Record'!A:A,'QALS - Inspection Lot Record'!E:E)</f>
        <v>46031</v>
      </c>
      <c r="H2586" s="34" t="str">
        <f t="shared" si="205"/>
        <v>A</v>
      </c>
      <c r="I2586" s="29" t="str">
        <f t="shared" si="201"/>
        <v>TG509538</v>
      </c>
      <c r="J2586" s="59">
        <f t="shared" ca="1" si="202"/>
        <v>46031</v>
      </c>
      <c r="K2586" s="30">
        <f ca="1">LOOKUP(A2586,'QALS - Inspection Lot Record'!A:A,'QALS - Inspection Lot Record'!I:I)</f>
        <v>0.29002314814814817</v>
      </c>
      <c r="L2586" s="59">
        <f t="shared" ca="1" si="203"/>
        <v>46031</v>
      </c>
      <c r="M2586" s="30">
        <f t="shared" ca="1" si="204"/>
        <v>0.31399305555555557</v>
      </c>
      <c r="N2586" s="31"/>
      <c r="O2586" s="31">
        <v>98.5</v>
      </c>
      <c r="P2586" s="29">
        <v>95</v>
      </c>
      <c r="Q2586" s="29">
        <v>102</v>
      </c>
    </row>
    <row r="2587" spans="1:17" x14ac:dyDescent="0.35">
      <c r="A2587" s="26">
        <v>40000002824</v>
      </c>
      <c r="B2587" s="27">
        <v>1</v>
      </c>
      <c r="C2587" s="29" t="str">
        <f>LOOKUP(A2587,'QALS - Inspection Lot Record'!$A$2:$A$361,'QALS - Inspection Lot Record'!$O$2:$O$361)</f>
        <v>Metformin Tablets (100 MG)</v>
      </c>
      <c r="D2587" s="31">
        <v>20</v>
      </c>
      <c r="E2587" s="29" t="s">
        <v>400</v>
      </c>
      <c r="F2587" s="29" t="str">
        <f>LOOKUP(A2587,'QALS - Inspection Lot Record'!A:A,'QALS - Inspection Lot Record'!G:G)</f>
        <v>TG509538</v>
      </c>
      <c r="G2587" s="59">
        <f ca="1">LOOKUP(A2587,'QALS - Inspection Lot Record'!A:A,'QALS - Inspection Lot Record'!E:E)</f>
        <v>46031</v>
      </c>
      <c r="H2587" s="34" t="str">
        <f t="shared" si="205"/>
        <v>A</v>
      </c>
      <c r="I2587" s="29" t="str">
        <f t="shared" si="201"/>
        <v>TG509538</v>
      </c>
      <c r="J2587" s="59">
        <f t="shared" ca="1" si="202"/>
        <v>46031</v>
      </c>
      <c r="K2587" s="30">
        <f ca="1">LOOKUP(A2587,'QALS - Inspection Lot Record'!A:A,'QALS - Inspection Lot Record'!I:I)</f>
        <v>0.29002314814814817</v>
      </c>
      <c r="L2587" s="59">
        <f t="shared" ca="1" si="203"/>
        <v>46031</v>
      </c>
      <c r="M2587" s="30">
        <f t="shared" ca="1" si="204"/>
        <v>0.32436342592592593</v>
      </c>
      <c r="N2587" s="31"/>
      <c r="O2587" s="31">
        <v>7.25</v>
      </c>
      <c r="P2587" s="29">
        <v>3.5</v>
      </c>
      <c r="Q2587" s="29">
        <v>11</v>
      </c>
    </row>
    <row r="2588" spans="1:17" x14ac:dyDescent="0.35">
      <c r="A2588" s="26">
        <v>40000002824</v>
      </c>
      <c r="B2588" s="31">
        <v>1</v>
      </c>
      <c r="C2588" s="29" t="str">
        <f>LOOKUP(A2588,'QALS - Inspection Lot Record'!$A$2:$A$361,'QALS - Inspection Lot Record'!$O$2:$O$361)</f>
        <v>Metformin Tablets (100 MG)</v>
      </c>
      <c r="D2588" s="31">
        <v>30</v>
      </c>
      <c r="E2588" s="29" t="s">
        <v>401</v>
      </c>
      <c r="F2588" s="29" t="str">
        <f>LOOKUP(A2588,'QALS - Inspection Lot Record'!A:A,'QALS - Inspection Lot Record'!G:G)</f>
        <v>TG509538</v>
      </c>
      <c r="G2588" s="59">
        <f ca="1">LOOKUP(A2588,'QALS - Inspection Lot Record'!A:A,'QALS - Inspection Lot Record'!E:E)</f>
        <v>46031</v>
      </c>
      <c r="H2588" s="34" t="str">
        <f t="shared" si="205"/>
        <v>A</v>
      </c>
      <c r="I2588" s="29" t="str">
        <f t="shared" si="201"/>
        <v>TG509538</v>
      </c>
      <c r="J2588" s="59">
        <f t="shared" ca="1" si="202"/>
        <v>46031</v>
      </c>
      <c r="K2588" s="30">
        <f ca="1">LOOKUP(A2588,'QALS - Inspection Lot Record'!A:A,'QALS - Inspection Lot Record'!I:I)</f>
        <v>0.29002314814814817</v>
      </c>
      <c r="L2588" s="59">
        <f t="shared" ca="1" si="203"/>
        <v>46031</v>
      </c>
      <c r="M2588" s="30">
        <f t="shared" ca="1" si="204"/>
        <v>0.3220601851851852</v>
      </c>
      <c r="N2588" s="11" t="s">
        <v>402</v>
      </c>
      <c r="O2588" s="31"/>
      <c r="P2588" s="29"/>
      <c r="Q2588" s="29"/>
    </row>
    <row r="2589" spans="1:17" x14ac:dyDescent="0.35">
      <c r="A2589" s="26">
        <v>40000002824</v>
      </c>
      <c r="B2589" s="31">
        <v>1</v>
      </c>
      <c r="C2589" s="29" t="str">
        <f>LOOKUP(A2589,'QALS - Inspection Lot Record'!$A$2:$A$361,'QALS - Inspection Lot Record'!$O$2:$O$361)</f>
        <v>Metformin Tablets (100 MG)</v>
      </c>
      <c r="D2589" s="31">
        <v>40</v>
      </c>
      <c r="E2589" s="29" t="s">
        <v>403</v>
      </c>
      <c r="F2589" s="29" t="str">
        <f>LOOKUP(A2589,'QALS - Inspection Lot Record'!A:A,'QALS - Inspection Lot Record'!G:G)</f>
        <v>TG509538</v>
      </c>
      <c r="G2589" s="59">
        <f ca="1">LOOKUP(A2589,'QALS - Inspection Lot Record'!A:A,'QALS - Inspection Lot Record'!E:E)</f>
        <v>46031</v>
      </c>
      <c r="H2589" s="34" t="str">
        <f t="shared" si="205"/>
        <v>A</v>
      </c>
      <c r="I2589" s="29" t="str">
        <f t="shared" si="201"/>
        <v>TG509538</v>
      </c>
      <c r="J2589" s="59">
        <f t="shared" ca="1" si="202"/>
        <v>46031</v>
      </c>
      <c r="K2589" s="30">
        <f ca="1">LOOKUP(A2589,'QALS - Inspection Lot Record'!A:A,'QALS - Inspection Lot Record'!I:I)</f>
        <v>0.29002314814814817</v>
      </c>
      <c r="L2589" s="59">
        <f t="shared" ca="1" si="203"/>
        <v>46031</v>
      </c>
      <c r="M2589" s="30">
        <f t="shared" ca="1" si="204"/>
        <v>0.32168981481481485</v>
      </c>
      <c r="N2589" s="31"/>
      <c r="O2589" s="31">
        <v>0.5</v>
      </c>
      <c r="P2589" s="29">
        <v>0</v>
      </c>
      <c r="Q2589" s="29">
        <v>1</v>
      </c>
    </row>
    <row r="2590" spans="1:17" x14ac:dyDescent="0.35">
      <c r="A2590" s="26">
        <v>40000002824</v>
      </c>
      <c r="B2590" s="31">
        <v>1</v>
      </c>
      <c r="C2590" s="29" t="str">
        <f>LOOKUP(A2590,'QALS - Inspection Lot Record'!$A$2:$A$361,'QALS - Inspection Lot Record'!$O$2:$O$361)</f>
        <v>Metformin Tablets (100 MG)</v>
      </c>
      <c r="D2590" s="31">
        <v>50</v>
      </c>
      <c r="E2590" s="29" t="s">
        <v>404</v>
      </c>
      <c r="F2590" s="29" t="str">
        <f>LOOKUP(A2590,'QALS - Inspection Lot Record'!A:A,'QALS - Inspection Lot Record'!G:G)</f>
        <v>TG509538</v>
      </c>
      <c r="G2590" s="59">
        <f ca="1">LOOKUP(A2590,'QALS - Inspection Lot Record'!A:A,'QALS - Inspection Lot Record'!E:E)</f>
        <v>46031</v>
      </c>
      <c r="H2590" s="34" t="str">
        <f t="shared" si="205"/>
        <v>A</v>
      </c>
      <c r="I2590" s="29" t="str">
        <f t="shared" si="201"/>
        <v>TG509538</v>
      </c>
      <c r="J2590" s="59">
        <f t="shared" ca="1" si="202"/>
        <v>46031</v>
      </c>
      <c r="K2590" s="30">
        <f ca="1">LOOKUP(A2590,'QALS - Inspection Lot Record'!A:A,'QALS - Inspection Lot Record'!I:I)</f>
        <v>0.29002314814814817</v>
      </c>
      <c r="L2590" s="59">
        <f t="shared" ca="1" si="203"/>
        <v>46031</v>
      </c>
      <c r="M2590" s="30">
        <f t="shared" ca="1" si="204"/>
        <v>0.30869212962962966</v>
      </c>
      <c r="N2590" s="31"/>
      <c r="O2590" s="31">
        <v>41.6</v>
      </c>
      <c r="P2590" s="29">
        <v>40</v>
      </c>
      <c r="Q2590" s="29">
        <v>60</v>
      </c>
    </row>
    <row r="2591" spans="1:17" x14ac:dyDescent="0.35">
      <c r="A2591" s="26">
        <v>40000002824</v>
      </c>
      <c r="B2591" s="31">
        <v>1</v>
      </c>
      <c r="C2591" s="29" t="str">
        <f>LOOKUP(A2591,'QALS - Inspection Lot Record'!$A$2:$A$361,'QALS - Inspection Lot Record'!$O$2:$O$361)</f>
        <v>Metformin Tablets (100 MG)</v>
      </c>
      <c r="D2591" s="31">
        <v>60</v>
      </c>
      <c r="E2591" s="29" t="s">
        <v>405</v>
      </c>
      <c r="F2591" s="29" t="str">
        <f>LOOKUP(A2591,'QALS - Inspection Lot Record'!A:A,'QALS - Inspection Lot Record'!G:G)</f>
        <v>TG509538</v>
      </c>
      <c r="G2591" s="59">
        <f ca="1">LOOKUP(A2591,'QALS - Inspection Lot Record'!A:A,'QALS - Inspection Lot Record'!E:E)</f>
        <v>46031</v>
      </c>
      <c r="H2591" s="34" t="str">
        <f t="shared" si="205"/>
        <v>A</v>
      </c>
      <c r="I2591" s="29" t="str">
        <f t="shared" si="201"/>
        <v>TG509538</v>
      </c>
      <c r="J2591" s="59">
        <f t="shared" ca="1" si="202"/>
        <v>46031</v>
      </c>
      <c r="K2591" s="30">
        <f ca="1">LOOKUP(A2591,'QALS - Inspection Lot Record'!A:A,'QALS - Inspection Lot Record'!I:I)</f>
        <v>0.29002314814814817</v>
      </c>
      <c r="L2591" s="59">
        <f t="shared" ca="1" si="203"/>
        <v>46031</v>
      </c>
      <c r="M2591" s="30">
        <f t="shared" ca="1" si="204"/>
        <v>0.31961805555555556</v>
      </c>
      <c r="N2591" s="31"/>
      <c r="O2591" s="31">
        <v>71.8</v>
      </c>
      <c r="P2591" s="29">
        <v>70</v>
      </c>
      <c r="Q2591" s="29">
        <v>85</v>
      </c>
    </row>
    <row r="2592" spans="1:17" x14ac:dyDescent="0.35">
      <c r="A2592" s="26">
        <v>40000002824</v>
      </c>
      <c r="B2592" s="31">
        <v>1</v>
      </c>
      <c r="C2592" s="29" t="str">
        <f>LOOKUP(A2592,'QALS - Inspection Lot Record'!$A$2:$A$361,'QALS - Inspection Lot Record'!$O$2:$O$361)</f>
        <v>Metformin Tablets (100 MG)</v>
      </c>
      <c r="D2592" s="31">
        <v>70</v>
      </c>
      <c r="E2592" s="29" t="s">
        <v>406</v>
      </c>
      <c r="F2592" s="29" t="str">
        <f>LOOKUP(A2592,'QALS - Inspection Lot Record'!A:A,'QALS - Inspection Lot Record'!G:G)</f>
        <v>TG509538</v>
      </c>
      <c r="G2592" s="59">
        <f ca="1">LOOKUP(A2592,'QALS - Inspection Lot Record'!A:A,'QALS - Inspection Lot Record'!E:E)</f>
        <v>46031</v>
      </c>
      <c r="H2592" s="34" t="str">
        <f t="shared" si="205"/>
        <v>A</v>
      </c>
      <c r="I2592" s="29" t="str">
        <f t="shared" si="201"/>
        <v>TG509538</v>
      </c>
      <c r="J2592" s="59">
        <f t="shared" ca="1" si="202"/>
        <v>46031</v>
      </c>
      <c r="K2592" s="30">
        <f ca="1">LOOKUP(A2592,'QALS - Inspection Lot Record'!A:A,'QALS - Inspection Lot Record'!I:I)</f>
        <v>0.29002314814814817</v>
      </c>
      <c r="L2592" s="59">
        <f t="shared" ca="1" si="203"/>
        <v>46031</v>
      </c>
      <c r="M2592" s="30">
        <f t="shared" ca="1" si="204"/>
        <v>0.32390046296296299</v>
      </c>
      <c r="N2592" s="31"/>
      <c r="O2592" s="31">
        <v>81.099999999999994</v>
      </c>
      <c r="P2592" s="29">
        <v>80</v>
      </c>
      <c r="Q2592" s="29">
        <v>90</v>
      </c>
    </row>
    <row r="2593" spans="1:17" x14ac:dyDescent="0.35">
      <c r="A2593" s="26">
        <v>40000002824</v>
      </c>
      <c r="B2593" s="31">
        <v>1</v>
      </c>
      <c r="C2593" s="29" t="str">
        <f>LOOKUP(A2593,'QALS - Inspection Lot Record'!$A$2:$A$361,'QALS - Inspection Lot Record'!$O$2:$O$361)</f>
        <v>Metformin Tablets (100 MG)</v>
      </c>
      <c r="D2593" s="31">
        <v>80</v>
      </c>
      <c r="E2593" s="29" t="s">
        <v>407</v>
      </c>
      <c r="F2593" s="29" t="str">
        <f>LOOKUP(A2593,'QALS - Inspection Lot Record'!A:A,'QALS - Inspection Lot Record'!G:G)</f>
        <v>TG509538</v>
      </c>
      <c r="G2593" s="59">
        <f ca="1">LOOKUP(A2593,'QALS - Inspection Lot Record'!A:A,'QALS - Inspection Lot Record'!E:E)</f>
        <v>46031</v>
      </c>
      <c r="H2593" s="34" t="str">
        <f t="shared" si="205"/>
        <v>A</v>
      </c>
      <c r="I2593" s="29" t="str">
        <f t="shared" si="201"/>
        <v>TG509538</v>
      </c>
      <c r="J2593" s="59">
        <f t="shared" ca="1" si="202"/>
        <v>46031</v>
      </c>
      <c r="K2593" s="30">
        <f ca="1">LOOKUP(A2593,'QALS - Inspection Lot Record'!A:A,'QALS - Inspection Lot Record'!I:I)</f>
        <v>0.29002314814814817</v>
      </c>
      <c r="L2593" s="59">
        <f t="shared" ca="1" si="203"/>
        <v>46031</v>
      </c>
      <c r="M2593" s="30">
        <f t="shared" ca="1" si="204"/>
        <v>0.30865740740740744</v>
      </c>
      <c r="N2593" s="31"/>
      <c r="O2593" s="31">
        <v>24</v>
      </c>
      <c r="P2593" s="29">
        <v>23</v>
      </c>
      <c r="Q2593" s="29">
        <v>25</v>
      </c>
    </row>
    <row r="2594" spans="1:17" x14ac:dyDescent="0.35">
      <c r="A2594" s="26">
        <v>40000002825</v>
      </c>
      <c r="B2594" s="27">
        <v>1</v>
      </c>
      <c r="C2594" s="29" t="str">
        <f>LOOKUP(A2594,'QALS - Inspection Lot Record'!$A$2:$A$361,'QALS - Inspection Lot Record'!$O$2:$O$361)</f>
        <v>Metformin Tablets (500 MG)</v>
      </c>
      <c r="D2594" s="27">
        <v>10</v>
      </c>
      <c r="E2594" s="26" t="s">
        <v>399</v>
      </c>
      <c r="F2594" s="29" t="str">
        <f>LOOKUP(A2594,'QALS - Inspection Lot Record'!A:A,'QALS - Inspection Lot Record'!G:G)</f>
        <v>ZK384180</v>
      </c>
      <c r="G2594" s="59">
        <f ca="1">LOOKUP(A2594,'QALS - Inspection Lot Record'!A:A,'QALS - Inspection Lot Record'!E:E)</f>
        <v>46032</v>
      </c>
      <c r="H2594" s="34" t="str">
        <f t="shared" si="205"/>
        <v>A</v>
      </c>
      <c r="I2594" s="29" t="str">
        <f t="shared" si="201"/>
        <v>ZK384180</v>
      </c>
      <c r="J2594" s="59">
        <f t="shared" ca="1" si="202"/>
        <v>46032</v>
      </c>
      <c r="K2594" s="30">
        <f ca="1">LOOKUP(A2594,'QALS - Inspection Lot Record'!A:A,'QALS - Inspection Lot Record'!I:I)</f>
        <v>0.5336805555555556</v>
      </c>
      <c r="L2594" s="59">
        <f t="shared" ca="1" si="203"/>
        <v>46032</v>
      </c>
      <c r="M2594" s="30">
        <f t="shared" ca="1" si="204"/>
        <v>0.55564814814814822</v>
      </c>
      <c r="N2594" s="31"/>
      <c r="O2594" s="31">
        <v>100</v>
      </c>
      <c r="P2594" s="29">
        <v>95</v>
      </c>
      <c r="Q2594" s="29">
        <v>105</v>
      </c>
    </row>
    <row r="2595" spans="1:17" x14ac:dyDescent="0.35">
      <c r="A2595" s="26">
        <v>40000002825</v>
      </c>
      <c r="B2595" s="27">
        <v>1</v>
      </c>
      <c r="C2595" s="29" t="str">
        <f>LOOKUP(A2595,'QALS - Inspection Lot Record'!$A$2:$A$361,'QALS - Inspection Lot Record'!$O$2:$O$361)</f>
        <v>Metformin Tablets (500 MG)</v>
      </c>
      <c r="D2595" s="31">
        <v>20</v>
      </c>
      <c r="E2595" s="29" t="s">
        <v>400</v>
      </c>
      <c r="F2595" s="29" t="str">
        <f>LOOKUP(A2595,'QALS - Inspection Lot Record'!A:A,'QALS - Inspection Lot Record'!G:G)</f>
        <v>ZK384180</v>
      </c>
      <c r="G2595" s="59">
        <f ca="1">LOOKUP(A2595,'QALS - Inspection Lot Record'!A:A,'QALS - Inspection Lot Record'!E:E)</f>
        <v>46032</v>
      </c>
      <c r="H2595" s="34" t="str">
        <f t="shared" si="205"/>
        <v>R</v>
      </c>
      <c r="I2595" s="29" t="str">
        <f t="shared" si="201"/>
        <v>ZK384180</v>
      </c>
      <c r="J2595" s="59">
        <f t="shared" ca="1" si="202"/>
        <v>46032</v>
      </c>
      <c r="K2595" s="30">
        <f ca="1">LOOKUP(A2595,'QALS - Inspection Lot Record'!A:A,'QALS - Inspection Lot Record'!I:I)</f>
        <v>0.5336805555555556</v>
      </c>
      <c r="L2595" s="59">
        <f t="shared" ca="1" si="203"/>
        <v>46032</v>
      </c>
      <c r="M2595" s="30">
        <f t="shared" ca="1" si="204"/>
        <v>0.56192129629629639</v>
      </c>
      <c r="N2595" s="31"/>
      <c r="O2595" s="31">
        <v>2.4</v>
      </c>
      <c r="P2595" s="29">
        <v>3.5</v>
      </c>
      <c r="Q2595" s="29">
        <v>11</v>
      </c>
    </row>
    <row r="2596" spans="1:17" x14ac:dyDescent="0.35">
      <c r="A2596" s="26">
        <v>40000002825</v>
      </c>
      <c r="B2596" s="31">
        <v>1</v>
      </c>
      <c r="C2596" s="29" t="str">
        <f>LOOKUP(A2596,'QALS - Inspection Lot Record'!$A$2:$A$361,'QALS - Inspection Lot Record'!$O$2:$O$361)</f>
        <v>Metformin Tablets (500 MG)</v>
      </c>
      <c r="D2596" s="31">
        <v>30</v>
      </c>
      <c r="E2596" s="29" t="s">
        <v>401</v>
      </c>
      <c r="F2596" s="29" t="str">
        <f>LOOKUP(A2596,'QALS - Inspection Lot Record'!A:A,'QALS - Inspection Lot Record'!G:G)</f>
        <v>ZK384180</v>
      </c>
      <c r="G2596" s="59">
        <f ca="1">LOOKUP(A2596,'QALS - Inspection Lot Record'!A:A,'QALS - Inspection Lot Record'!E:E)</f>
        <v>46032</v>
      </c>
      <c r="H2596" s="34" t="str">
        <f t="shared" si="205"/>
        <v>A</v>
      </c>
      <c r="I2596" s="29" t="str">
        <f t="shared" si="201"/>
        <v>ZK384180</v>
      </c>
      <c r="J2596" s="59">
        <f t="shared" ca="1" si="202"/>
        <v>46032</v>
      </c>
      <c r="K2596" s="30">
        <f ca="1">LOOKUP(A2596,'QALS - Inspection Lot Record'!A:A,'QALS - Inspection Lot Record'!I:I)</f>
        <v>0.5336805555555556</v>
      </c>
      <c r="L2596" s="59">
        <f t="shared" ca="1" si="203"/>
        <v>46032</v>
      </c>
      <c r="M2596" s="30">
        <f t="shared" ca="1" si="204"/>
        <v>0.56269675925925933</v>
      </c>
      <c r="N2596" s="11" t="s">
        <v>402</v>
      </c>
      <c r="O2596" s="31"/>
      <c r="P2596" s="29"/>
      <c r="Q2596" s="29"/>
    </row>
    <row r="2597" spans="1:17" x14ac:dyDescent="0.35">
      <c r="A2597" s="26">
        <v>40000002825</v>
      </c>
      <c r="B2597" s="31">
        <v>1</v>
      </c>
      <c r="C2597" s="29" t="str">
        <f>LOOKUP(A2597,'QALS - Inspection Lot Record'!$A$2:$A$361,'QALS - Inspection Lot Record'!$O$2:$O$361)</f>
        <v>Metformin Tablets (500 MG)</v>
      </c>
      <c r="D2597" s="31">
        <v>40</v>
      </c>
      <c r="E2597" s="29" t="s">
        <v>403</v>
      </c>
      <c r="F2597" s="29" t="str">
        <f>LOOKUP(A2597,'QALS - Inspection Lot Record'!A:A,'QALS - Inspection Lot Record'!G:G)</f>
        <v>ZK384180</v>
      </c>
      <c r="G2597" s="59">
        <f ca="1">LOOKUP(A2597,'QALS - Inspection Lot Record'!A:A,'QALS - Inspection Lot Record'!E:E)</f>
        <v>46032</v>
      </c>
      <c r="H2597" s="34" t="str">
        <f t="shared" si="205"/>
        <v>A</v>
      </c>
      <c r="I2597" s="29" t="str">
        <f t="shared" si="201"/>
        <v>ZK384180</v>
      </c>
      <c r="J2597" s="59">
        <f t="shared" ca="1" si="202"/>
        <v>46032</v>
      </c>
      <c r="K2597" s="30">
        <f ca="1">LOOKUP(A2597,'QALS - Inspection Lot Record'!A:A,'QALS - Inspection Lot Record'!I:I)</f>
        <v>0.5336805555555556</v>
      </c>
      <c r="L2597" s="59">
        <f t="shared" ca="1" si="203"/>
        <v>46032</v>
      </c>
      <c r="M2597" s="30">
        <f t="shared" ca="1" si="204"/>
        <v>0.5596296296296297</v>
      </c>
      <c r="N2597" s="31"/>
      <c r="O2597" s="31">
        <v>0</v>
      </c>
      <c r="P2597" s="29">
        <v>0</v>
      </c>
      <c r="Q2597" s="29">
        <v>2</v>
      </c>
    </row>
    <row r="2598" spans="1:17" x14ac:dyDescent="0.35">
      <c r="A2598" s="26">
        <v>40000002825</v>
      </c>
      <c r="B2598" s="31">
        <v>1</v>
      </c>
      <c r="C2598" s="29" t="str">
        <f>LOOKUP(A2598,'QALS - Inspection Lot Record'!$A$2:$A$361,'QALS - Inspection Lot Record'!$O$2:$O$361)</f>
        <v>Metformin Tablets (500 MG)</v>
      </c>
      <c r="D2598" s="31">
        <v>50</v>
      </c>
      <c r="E2598" s="29" t="s">
        <v>404</v>
      </c>
      <c r="F2598" s="29" t="str">
        <f>LOOKUP(A2598,'QALS - Inspection Lot Record'!A:A,'QALS - Inspection Lot Record'!G:G)</f>
        <v>ZK384180</v>
      </c>
      <c r="G2598" s="59">
        <f ca="1">LOOKUP(A2598,'QALS - Inspection Lot Record'!A:A,'QALS - Inspection Lot Record'!E:E)</f>
        <v>46032</v>
      </c>
      <c r="H2598" s="34" t="str">
        <f t="shared" si="205"/>
        <v>A</v>
      </c>
      <c r="I2598" s="29" t="str">
        <f t="shared" si="201"/>
        <v>ZK384180</v>
      </c>
      <c r="J2598" s="59">
        <f t="shared" ca="1" si="202"/>
        <v>46032</v>
      </c>
      <c r="K2598" s="30">
        <f ca="1">LOOKUP(A2598,'QALS - Inspection Lot Record'!A:A,'QALS - Inspection Lot Record'!I:I)</f>
        <v>0.5336805555555556</v>
      </c>
      <c r="L2598" s="59">
        <f t="shared" ca="1" si="203"/>
        <v>46032</v>
      </c>
      <c r="M2598" s="30">
        <f t="shared" ca="1" si="204"/>
        <v>0.5595486111111112</v>
      </c>
      <c r="N2598" s="31"/>
      <c r="O2598" s="31">
        <v>50</v>
      </c>
      <c r="P2598" s="29">
        <v>40</v>
      </c>
      <c r="Q2598" s="29">
        <v>60</v>
      </c>
    </row>
    <row r="2599" spans="1:17" x14ac:dyDescent="0.35">
      <c r="A2599" s="26">
        <v>40000002825</v>
      </c>
      <c r="B2599" s="31">
        <v>1</v>
      </c>
      <c r="C2599" s="29" t="str">
        <f>LOOKUP(A2599,'QALS - Inspection Lot Record'!$A$2:$A$361,'QALS - Inspection Lot Record'!$O$2:$O$361)</f>
        <v>Metformin Tablets (500 MG)</v>
      </c>
      <c r="D2599" s="31">
        <v>60</v>
      </c>
      <c r="E2599" s="29" t="s">
        <v>405</v>
      </c>
      <c r="F2599" s="29" t="str">
        <f>LOOKUP(A2599,'QALS - Inspection Lot Record'!A:A,'QALS - Inspection Lot Record'!G:G)</f>
        <v>ZK384180</v>
      </c>
      <c r="G2599" s="59">
        <f ca="1">LOOKUP(A2599,'QALS - Inspection Lot Record'!A:A,'QALS - Inspection Lot Record'!E:E)</f>
        <v>46032</v>
      </c>
      <c r="H2599" s="34" t="str">
        <f t="shared" si="205"/>
        <v>A</v>
      </c>
      <c r="I2599" s="29" t="str">
        <f t="shared" si="201"/>
        <v>ZK384180</v>
      </c>
      <c r="J2599" s="59">
        <f t="shared" ca="1" si="202"/>
        <v>46032</v>
      </c>
      <c r="K2599" s="30">
        <f ca="1">LOOKUP(A2599,'QALS - Inspection Lot Record'!A:A,'QALS - Inspection Lot Record'!I:I)</f>
        <v>0.5336805555555556</v>
      </c>
      <c r="L2599" s="59">
        <f t="shared" ca="1" si="203"/>
        <v>46032</v>
      </c>
      <c r="M2599" s="30">
        <f t="shared" ca="1" si="204"/>
        <v>0.56163194444444453</v>
      </c>
      <c r="N2599" s="31"/>
      <c r="O2599" s="31">
        <v>77.5</v>
      </c>
      <c r="P2599" s="29">
        <v>70</v>
      </c>
      <c r="Q2599" s="29">
        <v>85</v>
      </c>
    </row>
    <row r="2600" spans="1:17" x14ac:dyDescent="0.35">
      <c r="A2600" s="26">
        <v>40000002825</v>
      </c>
      <c r="B2600" s="31">
        <v>1</v>
      </c>
      <c r="C2600" s="29" t="str">
        <f>LOOKUP(A2600,'QALS - Inspection Lot Record'!$A$2:$A$361,'QALS - Inspection Lot Record'!$O$2:$O$361)</f>
        <v>Metformin Tablets (500 MG)</v>
      </c>
      <c r="D2600" s="31">
        <v>70</v>
      </c>
      <c r="E2600" s="29" t="s">
        <v>406</v>
      </c>
      <c r="F2600" s="29" t="str">
        <f>LOOKUP(A2600,'QALS - Inspection Lot Record'!A:A,'QALS - Inspection Lot Record'!G:G)</f>
        <v>ZK384180</v>
      </c>
      <c r="G2600" s="59">
        <f ca="1">LOOKUP(A2600,'QALS - Inspection Lot Record'!A:A,'QALS - Inspection Lot Record'!E:E)</f>
        <v>46032</v>
      </c>
      <c r="H2600" s="34" t="str">
        <f t="shared" si="205"/>
        <v>R</v>
      </c>
      <c r="I2600" s="29" t="str">
        <f t="shared" si="201"/>
        <v>ZK384180</v>
      </c>
      <c r="J2600" s="59">
        <f t="shared" ca="1" si="202"/>
        <v>46032</v>
      </c>
      <c r="K2600" s="30">
        <f ca="1">LOOKUP(A2600,'QALS - Inspection Lot Record'!A:A,'QALS - Inspection Lot Record'!I:I)</f>
        <v>0.5336805555555556</v>
      </c>
      <c r="L2600" s="59">
        <f t="shared" ca="1" si="203"/>
        <v>46032</v>
      </c>
      <c r="M2600" s="30">
        <f t="shared" ca="1" si="204"/>
        <v>0.56559027777777782</v>
      </c>
      <c r="N2600" s="31"/>
      <c r="O2600" s="31">
        <v>78.8</v>
      </c>
      <c r="P2600" s="29">
        <v>80</v>
      </c>
      <c r="Q2600" s="29">
        <v>90</v>
      </c>
    </row>
    <row r="2601" spans="1:17" x14ac:dyDescent="0.35">
      <c r="A2601" s="26">
        <v>40000002825</v>
      </c>
      <c r="B2601" s="31">
        <v>1</v>
      </c>
      <c r="C2601" s="29" t="str">
        <f>LOOKUP(A2601,'QALS - Inspection Lot Record'!$A$2:$A$361,'QALS - Inspection Lot Record'!$O$2:$O$361)</f>
        <v>Metformin Tablets (500 MG)</v>
      </c>
      <c r="D2601" s="31">
        <v>80</v>
      </c>
      <c r="E2601" s="29" t="s">
        <v>407</v>
      </c>
      <c r="F2601" s="29" t="str">
        <f>LOOKUP(A2601,'QALS - Inspection Lot Record'!A:A,'QALS - Inspection Lot Record'!G:G)</f>
        <v>ZK384180</v>
      </c>
      <c r="G2601" s="59">
        <f ca="1">LOOKUP(A2601,'QALS - Inspection Lot Record'!A:A,'QALS - Inspection Lot Record'!E:E)</f>
        <v>46032</v>
      </c>
      <c r="H2601" s="34" t="str">
        <f t="shared" si="205"/>
        <v>R</v>
      </c>
      <c r="I2601" s="29" t="str">
        <f t="shared" si="201"/>
        <v>ZK384180</v>
      </c>
      <c r="J2601" s="59">
        <f t="shared" ca="1" si="202"/>
        <v>46032</v>
      </c>
      <c r="K2601" s="30">
        <f ca="1">LOOKUP(A2601,'QALS - Inspection Lot Record'!A:A,'QALS - Inspection Lot Record'!I:I)</f>
        <v>0.5336805555555556</v>
      </c>
      <c r="L2601" s="59">
        <f t="shared" ca="1" si="203"/>
        <v>46032</v>
      </c>
      <c r="M2601" s="30">
        <f t="shared" ca="1" si="204"/>
        <v>0.56527777777777777</v>
      </c>
      <c r="N2601" s="31"/>
      <c r="O2601" s="31">
        <v>21.7</v>
      </c>
      <c r="P2601" s="29">
        <v>23</v>
      </c>
      <c r="Q2601" s="29">
        <v>28</v>
      </c>
    </row>
    <row r="2602" spans="1:17" x14ac:dyDescent="0.35">
      <c r="A2602" s="26">
        <v>40000002826</v>
      </c>
      <c r="B2602" s="27">
        <v>1</v>
      </c>
      <c r="C2602" s="29" t="str">
        <f>LOOKUP(A2602,'QALS - Inspection Lot Record'!$A$2:$A$361,'QALS - Inspection Lot Record'!$O$2:$O$361)</f>
        <v>Aspirin Tablets (500 MG)</v>
      </c>
      <c r="D2602" s="27">
        <v>10</v>
      </c>
      <c r="E2602" s="26" t="s">
        <v>399</v>
      </c>
      <c r="F2602" s="29" t="str">
        <f>LOOKUP(A2602,'QALS - Inspection Lot Record'!A:A,'QALS - Inspection Lot Record'!G:G)</f>
        <v>GC197258</v>
      </c>
      <c r="G2602" s="59">
        <f ca="1">LOOKUP(A2602,'QALS - Inspection Lot Record'!A:A,'QALS - Inspection Lot Record'!E:E)</f>
        <v>46032</v>
      </c>
      <c r="H2602" s="34" t="str">
        <f t="shared" si="205"/>
        <v>A</v>
      </c>
      <c r="I2602" s="29" t="str">
        <f t="shared" si="201"/>
        <v>GC197258</v>
      </c>
      <c r="J2602" s="59">
        <f t="shared" ca="1" si="202"/>
        <v>46032</v>
      </c>
      <c r="K2602" s="30">
        <f ca="1">LOOKUP(A2602,'QALS - Inspection Lot Record'!A:A,'QALS - Inspection Lot Record'!I:I)</f>
        <v>0.1840162037037037</v>
      </c>
      <c r="L2602" s="59">
        <f t="shared" ca="1" si="203"/>
        <v>46032</v>
      </c>
      <c r="M2602" s="30">
        <f t="shared" ca="1" si="204"/>
        <v>0.2185185185185185</v>
      </c>
      <c r="N2602" s="31"/>
      <c r="O2602" s="31">
        <v>100</v>
      </c>
      <c r="P2602" s="29">
        <v>95</v>
      </c>
      <c r="Q2602" s="29">
        <v>105</v>
      </c>
    </row>
    <row r="2603" spans="1:17" x14ac:dyDescent="0.35">
      <c r="A2603" s="26">
        <v>40000002826</v>
      </c>
      <c r="B2603" s="27">
        <v>1</v>
      </c>
      <c r="C2603" s="29" t="str">
        <f>LOOKUP(A2603,'QALS - Inspection Lot Record'!$A$2:$A$361,'QALS - Inspection Lot Record'!$O$2:$O$361)</f>
        <v>Aspirin Tablets (500 MG)</v>
      </c>
      <c r="D2603" s="31">
        <v>20</v>
      </c>
      <c r="E2603" s="29" t="s">
        <v>400</v>
      </c>
      <c r="F2603" s="29" t="str">
        <f>LOOKUP(A2603,'QALS - Inspection Lot Record'!A:A,'QALS - Inspection Lot Record'!G:G)</f>
        <v>GC197258</v>
      </c>
      <c r="G2603" s="59">
        <f ca="1">LOOKUP(A2603,'QALS - Inspection Lot Record'!A:A,'QALS - Inspection Lot Record'!E:E)</f>
        <v>46032</v>
      </c>
      <c r="H2603" s="34" t="str">
        <f t="shared" si="205"/>
        <v>A</v>
      </c>
      <c r="I2603" s="29" t="str">
        <f t="shared" si="201"/>
        <v>GC197258</v>
      </c>
      <c r="J2603" s="59">
        <f t="shared" ca="1" si="202"/>
        <v>46032</v>
      </c>
      <c r="K2603" s="30">
        <f ca="1">LOOKUP(A2603,'QALS - Inspection Lot Record'!A:A,'QALS - Inspection Lot Record'!I:I)</f>
        <v>0.1840162037037037</v>
      </c>
      <c r="L2603" s="59">
        <f t="shared" ca="1" si="203"/>
        <v>46032</v>
      </c>
      <c r="M2603" s="30">
        <f t="shared" ca="1" si="204"/>
        <v>0.20987268518518518</v>
      </c>
      <c r="N2603" s="31"/>
      <c r="O2603" s="31">
        <v>7.25</v>
      </c>
      <c r="P2603" s="29">
        <v>3.5</v>
      </c>
      <c r="Q2603" s="29">
        <v>11</v>
      </c>
    </row>
    <row r="2604" spans="1:17" x14ac:dyDescent="0.35">
      <c r="A2604" s="26">
        <v>40000002826</v>
      </c>
      <c r="B2604" s="31">
        <v>1</v>
      </c>
      <c r="C2604" s="29" t="str">
        <f>LOOKUP(A2604,'QALS - Inspection Lot Record'!$A$2:$A$361,'QALS - Inspection Lot Record'!$O$2:$O$361)</f>
        <v>Aspirin Tablets (500 MG)</v>
      </c>
      <c r="D2604" s="31">
        <v>30</v>
      </c>
      <c r="E2604" s="29" t="s">
        <v>401</v>
      </c>
      <c r="F2604" s="29" t="str">
        <f>LOOKUP(A2604,'QALS - Inspection Lot Record'!A:A,'QALS - Inspection Lot Record'!G:G)</f>
        <v>GC197258</v>
      </c>
      <c r="G2604" s="59">
        <f ca="1">LOOKUP(A2604,'QALS - Inspection Lot Record'!A:A,'QALS - Inspection Lot Record'!E:E)</f>
        <v>46032</v>
      </c>
      <c r="H2604" s="34" t="str">
        <f t="shared" si="205"/>
        <v>A</v>
      </c>
      <c r="I2604" s="29" t="str">
        <f t="shared" si="201"/>
        <v>GC197258</v>
      </c>
      <c r="J2604" s="59">
        <f t="shared" ca="1" si="202"/>
        <v>46032</v>
      </c>
      <c r="K2604" s="30">
        <f ca="1">LOOKUP(A2604,'QALS - Inspection Lot Record'!A:A,'QALS - Inspection Lot Record'!I:I)</f>
        <v>0.1840162037037037</v>
      </c>
      <c r="L2604" s="59">
        <f t="shared" ca="1" si="203"/>
        <v>46032</v>
      </c>
      <c r="M2604" s="30">
        <f t="shared" ca="1" si="204"/>
        <v>0.21103009259259259</v>
      </c>
      <c r="N2604" s="11" t="s">
        <v>402</v>
      </c>
      <c r="O2604" s="31"/>
      <c r="P2604" s="29"/>
      <c r="Q2604" s="29"/>
    </row>
    <row r="2605" spans="1:17" x14ac:dyDescent="0.35">
      <c r="A2605" s="26">
        <v>40000002826</v>
      </c>
      <c r="B2605" s="31">
        <v>1</v>
      </c>
      <c r="C2605" s="29" t="str">
        <f>LOOKUP(A2605,'QALS - Inspection Lot Record'!$A$2:$A$361,'QALS - Inspection Lot Record'!$O$2:$O$361)</f>
        <v>Aspirin Tablets (500 MG)</v>
      </c>
      <c r="D2605" s="31">
        <v>40</v>
      </c>
      <c r="E2605" s="29" t="s">
        <v>403</v>
      </c>
      <c r="F2605" s="29" t="str">
        <f>LOOKUP(A2605,'QALS - Inspection Lot Record'!A:A,'QALS - Inspection Lot Record'!G:G)</f>
        <v>GC197258</v>
      </c>
      <c r="G2605" s="59">
        <f ca="1">LOOKUP(A2605,'QALS - Inspection Lot Record'!A:A,'QALS - Inspection Lot Record'!E:E)</f>
        <v>46032</v>
      </c>
      <c r="H2605" s="34" t="str">
        <f t="shared" si="205"/>
        <v>A</v>
      </c>
      <c r="I2605" s="29" t="str">
        <f t="shared" si="201"/>
        <v>GC197258</v>
      </c>
      <c r="J2605" s="59">
        <f t="shared" ca="1" si="202"/>
        <v>46032</v>
      </c>
      <c r="K2605" s="30">
        <f ca="1">LOOKUP(A2605,'QALS - Inspection Lot Record'!A:A,'QALS - Inspection Lot Record'!I:I)</f>
        <v>0.1840162037037037</v>
      </c>
      <c r="L2605" s="59">
        <f t="shared" ca="1" si="203"/>
        <v>46032</v>
      </c>
      <c r="M2605" s="30">
        <f t="shared" ca="1" si="204"/>
        <v>0.21754629629629629</v>
      </c>
      <c r="N2605" s="31"/>
      <c r="O2605" s="31">
        <v>0</v>
      </c>
      <c r="P2605" s="29">
        <v>0</v>
      </c>
      <c r="Q2605" s="29">
        <v>2.5</v>
      </c>
    </row>
    <row r="2606" spans="1:17" x14ac:dyDescent="0.35">
      <c r="A2606" s="26">
        <v>40000002826</v>
      </c>
      <c r="B2606" s="31">
        <v>1</v>
      </c>
      <c r="C2606" s="29" t="str">
        <f>LOOKUP(A2606,'QALS - Inspection Lot Record'!$A$2:$A$361,'QALS - Inspection Lot Record'!$O$2:$O$361)</f>
        <v>Aspirin Tablets (500 MG)</v>
      </c>
      <c r="D2606" s="31">
        <v>50</v>
      </c>
      <c r="E2606" s="29" t="s">
        <v>404</v>
      </c>
      <c r="F2606" s="29" t="str">
        <f>LOOKUP(A2606,'QALS - Inspection Lot Record'!A:A,'QALS - Inspection Lot Record'!G:G)</f>
        <v>GC197258</v>
      </c>
      <c r="G2606" s="59">
        <f ca="1">LOOKUP(A2606,'QALS - Inspection Lot Record'!A:A,'QALS - Inspection Lot Record'!E:E)</f>
        <v>46032</v>
      </c>
      <c r="H2606" s="34" t="str">
        <f t="shared" si="205"/>
        <v>A</v>
      </c>
      <c r="I2606" s="29" t="str">
        <f t="shared" si="201"/>
        <v>GC197258</v>
      </c>
      <c r="J2606" s="59">
        <f t="shared" ca="1" si="202"/>
        <v>46032</v>
      </c>
      <c r="K2606" s="30">
        <f ca="1">LOOKUP(A2606,'QALS - Inspection Lot Record'!A:A,'QALS - Inspection Lot Record'!I:I)</f>
        <v>0.1840162037037037</v>
      </c>
      <c r="L2606" s="59">
        <f t="shared" ca="1" si="203"/>
        <v>46032</v>
      </c>
      <c r="M2606" s="30">
        <f t="shared" ca="1" si="204"/>
        <v>0.21420138888888887</v>
      </c>
      <c r="N2606" s="31"/>
      <c r="O2606" s="31">
        <v>50</v>
      </c>
      <c r="P2606" s="29">
        <v>40</v>
      </c>
      <c r="Q2606" s="29">
        <v>60</v>
      </c>
    </row>
    <row r="2607" spans="1:17" x14ac:dyDescent="0.35">
      <c r="A2607" s="26">
        <v>40000002826</v>
      </c>
      <c r="B2607" s="31">
        <v>1</v>
      </c>
      <c r="C2607" s="29" t="str">
        <f>LOOKUP(A2607,'QALS - Inspection Lot Record'!$A$2:$A$361,'QALS - Inspection Lot Record'!$O$2:$O$361)</f>
        <v>Aspirin Tablets (500 MG)</v>
      </c>
      <c r="D2607" s="31">
        <v>60</v>
      </c>
      <c r="E2607" s="29" t="s">
        <v>405</v>
      </c>
      <c r="F2607" s="29" t="str">
        <f>LOOKUP(A2607,'QALS - Inspection Lot Record'!A:A,'QALS - Inspection Lot Record'!G:G)</f>
        <v>GC197258</v>
      </c>
      <c r="G2607" s="59">
        <f ca="1">LOOKUP(A2607,'QALS - Inspection Lot Record'!A:A,'QALS - Inspection Lot Record'!E:E)</f>
        <v>46032</v>
      </c>
      <c r="H2607" s="34" t="str">
        <f t="shared" si="205"/>
        <v>A</v>
      </c>
      <c r="I2607" s="29" t="str">
        <f t="shared" si="201"/>
        <v>GC197258</v>
      </c>
      <c r="J2607" s="59">
        <f t="shared" ca="1" si="202"/>
        <v>46032</v>
      </c>
      <c r="K2607" s="30">
        <f ca="1">LOOKUP(A2607,'QALS - Inspection Lot Record'!A:A,'QALS - Inspection Lot Record'!I:I)</f>
        <v>0.1840162037037037</v>
      </c>
      <c r="L2607" s="59">
        <f t="shared" ca="1" si="203"/>
        <v>46032</v>
      </c>
      <c r="M2607" s="30">
        <f t="shared" ca="1" si="204"/>
        <v>0.21795138888888888</v>
      </c>
      <c r="N2607" s="31"/>
      <c r="O2607" s="31">
        <v>77.5</v>
      </c>
      <c r="P2607" s="29">
        <v>70</v>
      </c>
      <c r="Q2607" s="29">
        <v>85</v>
      </c>
    </row>
    <row r="2608" spans="1:17" x14ac:dyDescent="0.35">
      <c r="A2608" s="26">
        <v>40000002826</v>
      </c>
      <c r="B2608" s="31">
        <v>1</v>
      </c>
      <c r="C2608" s="29" t="str">
        <f>LOOKUP(A2608,'QALS - Inspection Lot Record'!$A$2:$A$361,'QALS - Inspection Lot Record'!$O$2:$O$361)</f>
        <v>Aspirin Tablets (500 MG)</v>
      </c>
      <c r="D2608" s="31">
        <v>70</v>
      </c>
      <c r="E2608" s="29" t="s">
        <v>406</v>
      </c>
      <c r="F2608" s="29" t="str">
        <f>LOOKUP(A2608,'QALS - Inspection Lot Record'!A:A,'QALS - Inspection Lot Record'!G:G)</f>
        <v>GC197258</v>
      </c>
      <c r="G2608" s="59">
        <f ca="1">LOOKUP(A2608,'QALS - Inspection Lot Record'!A:A,'QALS - Inspection Lot Record'!E:E)</f>
        <v>46032</v>
      </c>
      <c r="H2608" s="34" t="str">
        <f t="shared" si="205"/>
        <v>A</v>
      </c>
      <c r="I2608" s="29" t="str">
        <f t="shared" si="201"/>
        <v>GC197258</v>
      </c>
      <c r="J2608" s="59">
        <f t="shared" ca="1" si="202"/>
        <v>46032</v>
      </c>
      <c r="K2608" s="30">
        <f ca="1">LOOKUP(A2608,'QALS - Inspection Lot Record'!A:A,'QALS - Inspection Lot Record'!I:I)</f>
        <v>0.1840162037037037</v>
      </c>
      <c r="L2608" s="59">
        <f t="shared" ca="1" si="203"/>
        <v>46032</v>
      </c>
      <c r="M2608" s="30">
        <f t="shared" ca="1" si="204"/>
        <v>0.21224537037037036</v>
      </c>
      <c r="N2608" s="31"/>
      <c r="O2608" s="31">
        <v>85</v>
      </c>
      <c r="P2608" s="29">
        <v>80</v>
      </c>
      <c r="Q2608" s="29">
        <v>90</v>
      </c>
    </row>
    <row r="2609" spans="1:17" x14ac:dyDescent="0.35">
      <c r="A2609" s="26">
        <v>40000002826</v>
      </c>
      <c r="B2609" s="31">
        <v>1</v>
      </c>
      <c r="C2609" s="29" t="str">
        <f>LOOKUP(A2609,'QALS - Inspection Lot Record'!$A$2:$A$361,'QALS - Inspection Lot Record'!$O$2:$O$361)</f>
        <v>Aspirin Tablets (500 MG)</v>
      </c>
      <c r="D2609" s="31">
        <v>80</v>
      </c>
      <c r="E2609" s="29" t="s">
        <v>407</v>
      </c>
      <c r="F2609" s="29" t="str">
        <f>LOOKUP(A2609,'QALS - Inspection Lot Record'!A:A,'QALS - Inspection Lot Record'!G:G)</f>
        <v>GC197258</v>
      </c>
      <c r="G2609" s="59">
        <f ca="1">LOOKUP(A2609,'QALS - Inspection Lot Record'!A:A,'QALS - Inspection Lot Record'!E:E)</f>
        <v>46032</v>
      </c>
      <c r="H2609" s="34" t="str">
        <f t="shared" si="205"/>
        <v>A</v>
      </c>
      <c r="I2609" s="29" t="str">
        <f t="shared" si="201"/>
        <v>GC197258</v>
      </c>
      <c r="J2609" s="59">
        <f t="shared" ca="1" si="202"/>
        <v>46032</v>
      </c>
      <c r="K2609" s="30">
        <f ca="1">LOOKUP(A2609,'QALS - Inspection Lot Record'!A:A,'QALS - Inspection Lot Record'!I:I)</f>
        <v>0.1840162037037037</v>
      </c>
      <c r="L2609" s="59">
        <f t="shared" ca="1" si="203"/>
        <v>46032</v>
      </c>
      <c r="M2609" s="30">
        <f t="shared" ca="1" si="204"/>
        <v>0.21285879629629628</v>
      </c>
      <c r="N2609" s="31"/>
      <c r="O2609" s="31">
        <v>25.5</v>
      </c>
      <c r="P2609" s="29">
        <v>23</v>
      </c>
      <c r="Q2609" s="29">
        <v>28</v>
      </c>
    </row>
    <row r="2610" spans="1:17" x14ac:dyDescent="0.35">
      <c r="A2610" s="26">
        <v>40000002827</v>
      </c>
      <c r="B2610" s="27">
        <v>1</v>
      </c>
      <c r="C2610" s="29" t="str">
        <f>LOOKUP(A2610,'QALS - Inspection Lot Record'!$A$2:$A$361,'QALS - Inspection Lot Record'!$O$2:$O$361)</f>
        <v>Ibuprofen Tablets (100 MG)</v>
      </c>
      <c r="D2610" s="27">
        <v>10</v>
      </c>
      <c r="E2610" s="26" t="s">
        <v>399</v>
      </c>
      <c r="F2610" s="29" t="str">
        <f>LOOKUP(A2610,'QALS - Inspection Lot Record'!A:A,'QALS - Inspection Lot Record'!G:G)</f>
        <v>ZK384180</v>
      </c>
      <c r="G2610" s="59">
        <f ca="1">LOOKUP(A2610,'QALS - Inspection Lot Record'!A:A,'QALS - Inspection Lot Record'!E:E)</f>
        <v>46033</v>
      </c>
      <c r="H2610" s="34" t="str">
        <f t="shared" si="205"/>
        <v>A</v>
      </c>
      <c r="I2610" s="29" t="str">
        <f t="shared" si="201"/>
        <v>ZK384180</v>
      </c>
      <c r="J2610" s="59">
        <f t="shared" ca="1" si="202"/>
        <v>46033</v>
      </c>
      <c r="K2610" s="30">
        <f ca="1">LOOKUP(A2610,'QALS - Inspection Lot Record'!A:A,'QALS - Inspection Lot Record'!I:I)</f>
        <v>0.62495370370370373</v>
      </c>
      <c r="L2610" s="59">
        <f t="shared" ca="1" si="203"/>
        <v>46033</v>
      </c>
      <c r="M2610" s="30">
        <f t="shared" ca="1" si="204"/>
        <v>0.66027777777777785</v>
      </c>
      <c r="N2610" s="31"/>
      <c r="O2610" s="31">
        <v>98.5</v>
      </c>
      <c r="P2610" s="29">
        <v>95</v>
      </c>
      <c r="Q2610" s="29">
        <v>102</v>
      </c>
    </row>
    <row r="2611" spans="1:17" x14ac:dyDescent="0.35">
      <c r="A2611" s="26">
        <v>40000002827</v>
      </c>
      <c r="B2611" s="27">
        <v>1</v>
      </c>
      <c r="C2611" s="29" t="str">
        <f>LOOKUP(A2611,'QALS - Inspection Lot Record'!$A$2:$A$361,'QALS - Inspection Lot Record'!$O$2:$O$361)</f>
        <v>Ibuprofen Tablets (100 MG)</v>
      </c>
      <c r="D2611" s="31">
        <v>20</v>
      </c>
      <c r="E2611" s="29" t="s">
        <v>400</v>
      </c>
      <c r="F2611" s="29" t="str">
        <f>LOOKUP(A2611,'QALS - Inspection Lot Record'!A:A,'QALS - Inspection Lot Record'!G:G)</f>
        <v>ZK384180</v>
      </c>
      <c r="G2611" s="59">
        <f ca="1">LOOKUP(A2611,'QALS - Inspection Lot Record'!A:A,'QALS - Inspection Lot Record'!E:E)</f>
        <v>46033</v>
      </c>
      <c r="H2611" s="34" t="str">
        <f t="shared" si="205"/>
        <v>A</v>
      </c>
      <c r="I2611" s="29" t="str">
        <f t="shared" si="201"/>
        <v>ZK384180</v>
      </c>
      <c r="J2611" s="59">
        <f t="shared" ca="1" si="202"/>
        <v>46033</v>
      </c>
      <c r="K2611" s="30">
        <f ca="1">LOOKUP(A2611,'QALS - Inspection Lot Record'!A:A,'QALS - Inspection Lot Record'!I:I)</f>
        <v>0.62495370370370373</v>
      </c>
      <c r="L2611" s="59">
        <f t="shared" ca="1" si="203"/>
        <v>46033</v>
      </c>
      <c r="M2611" s="30">
        <f t="shared" ca="1" si="204"/>
        <v>0.65057870370370374</v>
      </c>
      <c r="N2611" s="31"/>
      <c r="O2611" s="31">
        <v>7.3</v>
      </c>
      <c r="P2611" s="29">
        <v>3.5</v>
      </c>
      <c r="Q2611" s="29">
        <v>11</v>
      </c>
    </row>
    <row r="2612" spans="1:17" x14ac:dyDescent="0.35">
      <c r="A2612" s="26">
        <v>40000002827</v>
      </c>
      <c r="B2612" s="31">
        <v>1</v>
      </c>
      <c r="C2612" s="29" t="str">
        <f>LOOKUP(A2612,'QALS - Inspection Lot Record'!$A$2:$A$361,'QALS - Inspection Lot Record'!$O$2:$O$361)</f>
        <v>Ibuprofen Tablets (100 MG)</v>
      </c>
      <c r="D2612" s="31">
        <v>30</v>
      </c>
      <c r="E2612" s="29" t="s">
        <v>401</v>
      </c>
      <c r="F2612" s="29" t="str">
        <f>LOOKUP(A2612,'QALS - Inspection Lot Record'!A:A,'QALS - Inspection Lot Record'!G:G)</f>
        <v>ZK384180</v>
      </c>
      <c r="G2612" s="59">
        <f ca="1">LOOKUP(A2612,'QALS - Inspection Lot Record'!A:A,'QALS - Inspection Lot Record'!E:E)</f>
        <v>46033</v>
      </c>
      <c r="H2612" s="34" t="str">
        <f t="shared" si="205"/>
        <v>A</v>
      </c>
      <c r="I2612" s="29" t="str">
        <f t="shared" si="201"/>
        <v>ZK384180</v>
      </c>
      <c r="J2612" s="59">
        <f t="shared" ca="1" si="202"/>
        <v>46033</v>
      </c>
      <c r="K2612" s="30">
        <f ca="1">LOOKUP(A2612,'QALS - Inspection Lot Record'!A:A,'QALS - Inspection Lot Record'!I:I)</f>
        <v>0.62495370370370373</v>
      </c>
      <c r="L2612" s="59">
        <f t="shared" ca="1" si="203"/>
        <v>46033</v>
      </c>
      <c r="M2612" s="30">
        <f t="shared" ca="1" si="204"/>
        <v>0.65246527777777785</v>
      </c>
      <c r="N2612" s="11" t="s">
        <v>402</v>
      </c>
      <c r="O2612" s="31"/>
      <c r="P2612" s="29"/>
      <c r="Q2612" s="29"/>
    </row>
    <row r="2613" spans="1:17" x14ac:dyDescent="0.35">
      <c r="A2613" s="26">
        <v>40000002827</v>
      </c>
      <c r="B2613" s="31">
        <v>1</v>
      </c>
      <c r="C2613" s="29" t="str">
        <f>LOOKUP(A2613,'QALS - Inspection Lot Record'!$A$2:$A$361,'QALS - Inspection Lot Record'!$O$2:$O$361)</f>
        <v>Ibuprofen Tablets (100 MG)</v>
      </c>
      <c r="D2613" s="31">
        <v>40</v>
      </c>
      <c r="E2613" s="29" t="s">
        <v>403</v>
      </c>
      <c r="F2613" s="29" t="str">
        <f>LOOKUP(A2613,'QALS - Inspection Lot Record'!A:A,'QALS - Inspection Lot Record'!G:G)</f>
        <v>ZK384180</v>
      </c>
      <c r="G2613" s="59">
        <f ca="1">LOOKUP(A2613,'QALS - Inspection Lot Record'!A:A,'QALS - Inspection Lot Record'!E:E)</f>
        <v>46033</v>
      </c>
      <c r="H2613" s="34" t="str">
        <f t="shared" si="205"/>
        <v>A</v>
      </c>
      <c r="I2613" s="29" t="str">
        <f t="shared" si="201"/>
        <v>ZK384180</v>
      </c>
      <c r="J2613" s="59">
        <f t="shared" ca="1" si="202"/>
        <v>46033</v>
      </c>
      <c r="K2613" s="30">
        <f ca="1">LOOKUP(A2613,'QALS - Inspection Lot Record'!A:A,'QALS - Inspection Lot Record'!I:I)</f>
        <v>0.62495370370370373</v>
      </c>
      <c r="L2613" s="59">
        <f t="shared" ca="1" si="203"/>
        <v>46033</v>
      </c>
      <c r="M2613" s="30">
        <f t="shared" ca="1" si="204"/>
        <v>0.65803240740740743</v>
      </c>
      <c r="N2613" s="31"/>
      <c r="O2613" s="31">
        <v>0.5</v>
      </c>
      <c r="P2613" s="29">
        <v>0</v>
      </c>
      <c r="Q2613" s="29">
        <v>1</v>
      </c>
    </row>
    <row r="2614" spans="1:17" x14ac:dyDescent="0.35">
      <c r="A2614" s="26">
        <v>40000002827</v>
      </c>
      <c r="B2614" s="31">
        <v>1</v>
      </c>
      <c r="C2614" s="29" t="str">
        <f>LOOKUP(A2614,'QALS - Inspection Lot Record'!$A$2:$A$361,'QALS - Inspection Lot Record'!$O$2:$O$361)</f>
        <v>Ibuprofen Tablets (100 MG)</v>
      </c>
      <c r="D2614" s="31">
        <v>50</v>
      </c>
      <c r="E2614" s="29" t="s">
        <v>404</v>
      </c>
      <c r="F2614" s="29" t="str">
        <f>LOOKUP(A2614,'QALS - Inspection Lot Record'!A:A,'QALS - Inspection Lot Record'!G:G)</f>
        <v>ZK384180</v>
      </c>
      <c r="G2614" s="59">
        <f ca="1">LOOKUP(A2614,'QALS - Inspection Lot Record'!A:A,'QALS - Inspection Lot Record'!E:E)</f>
        <v>46033</v>
      </c>
      <c r="H2614" s="34" t="str">
        <f t="shared" si="205"/>
        <v>A</v>
      </c>
      <c r="I2614" s="29" t="str">
        <f t="shared" si="201"/>
        <v>ZK384180</v>
      </c>
      <c r="J2614" s="59">
        <f t="shared" ca="1" si="202"/>
        <v>46033</v>
      </c>
      <c r="K2614" s="30">
        <f ca="1">LOOKUP(A2614,'QALS - Inspection Lot Record'!A:A,'QALS - Inspection Lot Record'!I:I)</f>
        <v>0.62495370370370373</v>
      </c>
      <c r="L2614" s="59">
        <f t="shared" ca="1" si="203"/>
        <v>46033</v>
      </c>
      <c r="M2614" s="30">
        <f t="shared" ca="1" si="204"/>
        <v>0.65511574074074075</v>
      </c>
      <c r="N2614" s="31"/>
      <c r="O2614" s="31">
        <v>41.4</v>
      </c>
      <c r="P2614" s="29">
        <v>40</v>
      </c>
      <c r="Q2614" s="29">
        <v>60</v>
      </c>
    </row>
    <row r="2615" spans="1:17" x14ac:dyDescent="0.35">
      <c r="A2615" s="26">
        <v>40000002827</v>
      </c>
      <c r="B2615" s="31">
        <v>1</v>
      </c>
      <c r="C2615" s="29" t="str">
        <f>LOOKUP(A2615,'QALS - Inspection Lot Record'!$A$2:$A$361,'QALS - Inspection Lot Record'!$O$2:$O$361)</f>
        <v>Ibuprofen Tablets (100 MG)</v>
      </c>
      <c r="D2615" s="31">
        <v>60</v>
      </c>
      <c r="E2615" s="29" t="s">
        <v>405</v>
      </c>
      <c r="F2615" s="29" t="str">
        <f>LOOKUP(A2615,'QALS - Inspection Lot Record'!A:A,'QALS - Inspection Lot Record'!G:G)</f>
        <v>ZK384180</v>
      </c>
      <c r="G2615" s="59">
        <f ca="1">LOOKUP(A2615,'QALS - Inspection Lot Record'!A:A,'QALS - Inspection Lot Record'!E:E)</f>
        <v>46033</v>
      </c>
      <c r="H2615" s="34" t="str">
        <f t="shared" si="205"/>
        <v>A</v>
      </c>
      <c r="I2615" s="29" t="str">
        <f t="shared" si="201"/>
        <v>ZK384180</v>
      </c>
      <c r="J2615" s="59">
        <f t="shared" ca="1" si="202"/>
        <v>46033</v>
      </c>
      <c r="K2615" s="30">
        <f ca="1">LOOKUP(A2615,'QALS - Inspection Lot Record'!A:A,'QALS - Inspection Lot Record'!I:I)</f>
        <v>0.62495370370370373</v>
      </c>
      <c r="L2615" s="59">
        <f t="shared" ca="1" si="203"/>
        <v>46033</v>
      </c>
      <c r="M2615" s="30">
        <f t="shared" ca="1" si="204"/>
        <v>0.66027777777777785</v>
      </c>
      <c r="N2615" s="31"/>
      <c r="O2615" s="31">
        <v>71</v>
      </c>
      <c r="P2615" s="29">
        <v>70</v>
      </c>
      <c r="Q2615" s="29">
        <v>85</v>
      </c>
    </row>
    <row r="2616" spans="1:17" x14ac:dyDescent="0.35">
      <c r="A2616" s="26">
        <v>40000002827</v>
      </c>
      <c r="B2616" s="31">
        <v>1</v>
      </c>
      <c r="C2616" s="29" t="str">
        <f>LOOKUP(A2616,'QALS - Inspection Lot Record'!$A$2:$A$361,'QALS - Inspection Lot Record'!$O$2:$O$361)</f>
        <v>Ibuprofen Tablets (100 MG)</v>
      </c>
      <c r="D2616" s="31">
        <v>70</v>
      </c>
      <c r="E2616" s="29" t="s">
        <v>406</v>
      </c>
      <c r="F2616" s="29" t="str">
        <f>LOOKUP(A2616,'QALS - Inspection Lot Record'!A:A,'QALS - Inspection Lot Record'!G:G)</f>
        <v>ZK384180</v>
      </c>
      <c r="G2616" s="59">
        <f ca="1">LOOKUP(A2616,'QALS - Inspection Lot Record'!A:A,'QALS - Inspection Lot Record'!E:E)</f>
        <v>46033</v>
      </c>
      <c r="H2616" s="34" t="str">
        <f t="shared" si="205"/>
        <v>A</v>
      </c>
      <c r="I2616" s="29" t="str">
        <f t="shared" si="201"/>
        <v>ZK384180</v>
      </c>
      <c r="J2616" s="59">
        <f t="shared" ca="1" si="202"/>
        <v>46033</v>
      </c>
      <c r="K2616" s="30">
        <f ca="1">LOOKUP(A2616,'QALS - Inspection Lot Record'!A:A,'QALS - Inspection Lot Record'!I:I)</f>
        <v>0.62495370370370373</v>
      </c>
      <c r="L2616" s="59">
        <f t="shared" ca="1" si="203"/>
        <v>46033</v>
      </c>
      <c r="M2616" s="30">
        <f t="shared" ca="1" si="204"/>
        <v>0.65181712962962968</v>
      </c>
      <c r="N2616" s="31"/>
      <c r="O2616" s="31">
        <v>81.900000000000006</v>
      </c>
      <c r="P2616" s="29">
        <v>80</v>
      </c>
      <c r="Q2616" s="29">
        <v>90</v>
      </c>
    </row>
    <row r="2617" spans="1:17" x14ac:dyDescent="0.35">
      <c r="A2617" s="26">
        <v>40000002827</v>
      </c>
      <c r="B2617" s="31">
        <v>1</v>
      </c>
      <c r="C2617" s="29" t="str">
        <f>LOOKUP(A2617,'QALS - Inspection Lot Record'!$A$2:$A$361,'QALS - Inspection Lot Record'!$O$2:$O$361)</f>
        <v>Ibuprofen Tablets (100 MG)</v>
      </c>
      <c r="D2617" s="31">
        <v>80</v>
      </c>
      <c r="E2617" s="29" t="s">
        <v>407</v>
      </c>
      <c r="F2617" s="29" t="str">
        <f>LOOKUP(A2617,'QALS - Inspection Lot Record'!A:A,'QALS - Inspection Lot Record'!G:G)</f>
        <v>ZK384180</v>
      </c>
      <c r="G2617" s="59">
        <f ca="1">LOOKUP(A2617,'QALS - Inspection Lot Record'!A:A,'QALS - Inspection Lot Record'!E:E)</f>
        <v>46033</v>
      </c>
      <c r="H2617" s="34" t="str">
        <f t="shared" si="205"/>
        <v>A</v>
      </c>
      <c r="I2617" s="29" t="str">
        <f t="shared" si="201"/>
        <v>ZK384180</v>
      </c>
      <c r="J2617" s="59">
        <f t="shared" ca="1" si="202"/>
        <v>46033</v>
      </c>
      <c r="K2617" s="30">
        <f ca="1">LOOKUP(A2617,'QALS - Inspection Lot Record'!A:A,'QALS - Inspection Lot Record'!I:I)</f>
        <v>0.62495370370370373</v>
      </c>
      <c r="L2617" s="59">
        <f t="shared" ca="1" si="203"/>
        <v>46033</v>
      </c>
      <c r="M2617" s="30">
        <f t="shared" ca="1" si="204"/>
        <v>0.64473379629629635</v>
      </c>
      <c r="N2617" s="31"/>
      <c r="O2617" s="31">
        <v>24</v>
      </c>
      <c r="P2617" s="29">
        <v>23</v>
      </c>
      <c r="Q2617" s="29">
        <v>25</v>
      </c>
    </row>
    <row r="2618" spans="1:17" x14ac:dyDescent="0.35">
      <c r="A2618" s="26">
        <v>40000002828</v>
      </c>
      <c r="B2618" s="27">
        <v>1</v>
      </c>
      <c r="C2618" s="29" t="str">
        <f>LOOKUP(A2618,'QALS - Inspection Lot Record'!$A$2:$A$361,'QALS - Inspection Lot Record'!$O$2:$O$361)</f>
        <v>Ibuprofen Tablets (100 MG)</v>
      </c>
      <c r="D2618" s="27">
        <v>10</v>
      </c>
      <c r="E2618" s="26" t="s">
        <v>399</v>
      </c>
      <c r="F2618" s="29" t="str">
        <f>LOOKUP(A2618,'QALS - Inspection Lot Record'!A:A,'QALS - Inspection Lot Record'!G:G)</f>
        <v>GC197258</v>
      </c>
      <c r="G2618" s="59">
        <f ca="1">LOOKUP(A2618,'QALS - Inspection Lot Record'!A:A,'QALS - Inspection Lot Record'!E:E)</f>
        <v>46033</v>
      </c>
      <c r="H2618" s="34" t="str">
        <f t="shared" si="205"/>
        <v>A</v>
      </c>
      <c r="I2618" s="29" t="str">
        <f t="shared" si="201"/>
        <v>GC197258</v>
      </c>
      <c r="J2618" s="59">
        <f t="shared" ca="1" si="202"/>
        <v>46033</v>
      </c>
      <c r="K2618" s="30">
        <f ca="1">LOOKUP(A2618,'QALS - Inspection Lot Record'!A:A,'QALS - Inspection Lot Record'!I:I)</f>
        <v>0.22750000000000001</v>
      </c>
      <c r="L2618" s="59">
        <f t="shared" ca="1" si="203"/>
        <v>46033</v>
      </c>
      <c r="M2618" s="30">
        <f t="shared" ca="1" si="204"/>
        <v>0.26115740740740739</v>
      </c>
      <c r="N2618" s="31"/>
      <c r="O2618" s="31">
        <v>98.5</v>
      </c>
      <c r="P2618" s="29">
        <v>95</v>
      </c>
      <c r="Q2618" s="29">
        <v>102</v>
      </c>
    </row>
    <row r="2619" spans="1:17" x14ac:dyDescent="0.35">
      <c r="A2619" s="26">
        <v>40000002828</v>
      </c>
      <c r="B2619" s="27">
        <v>1</v>
      </c>
      <c r="C2619" s="29" t="str">
        <f>LOOKUP(A2619,'QALS - Inspection Lot Record'!$A$2:$A$361,'QALS - Inspection Lot Record'!$O$2:$O$361)</f>
        <v>Ibuprofen Tablets (100 MG)</v>
      </c>
      <c r="D2619" s="31">
        <v>20</v>
      </c>
      <c r="E2619" s="29" t="s">
        <v>400</v>
      </c>
      <c r="F2619" s="29" t="str">
        <f>LOOKUP(A2619,'QALS - Inspection Lot Record'!A:A,'QALS - Inspection Lot Record'!G:G)</f>
        <v>GC197258</v>
      </c>
      <c r="G2619" s="59">
        <f ca="1">LOOKUP(A2619,'QALS - Inspection Lot Record'!A:A,'QALS - Inspection Lot Record'!E:E)</f>
        <v>46033</v>
      </c>
      <c r="H2619" s="34" t="str">
        <f t="shared" si="205"/>
        <v>A</v>
      </c>
      <c r="I2619" s="29" t="str">
        <f t="shared" si="201"/>
        <v>GC197258</v>
      </c>
      <c r="J2619" s="59">
        <f t="shared" ca="1" si="202"/>
        <v>46033</v>
      </c>
      <c r="K2619" s="30">
        <f ca="1">LOOKUP(A2619,'QALS - Inspection Lot Record'!A:A,'QALS - Inspection Lot Record'!I:I)</f>
        <v>0.22750000000000001</v>
      </c>
      <c r="L2619" s="59">
        <f t="shared" ca="1" si="203"/>
        <v>46033</v>
      </c>
      <c r="M2619" s="30">
        <f t="shared" ca="1" si="204"/>
        <v>0.24511574074074075</v>
      </c>
      <c r="N2619" s="31"/>
      <c r="O2619" s="31">
        <v>7.3</v>
      </c>
      <c r="P2619" s="29">
        <v>3.5</v>
      </c>
      <c r="Q2619" s="29">
        <v>11</v>
      </c>
    </row>
    <row r="2620" spans="1:17" x14ac:dyDescent="0.35">
      <c r="A2620" s="26">
        <v>40000002828</v>
      </c>
      <c r="B2620" s="31">
        <v>1</v>
      </c>
      <c r="C2620" s="29" t="str">
        <f>LOOKUP(A2620,'QALS - Inspection Lot Record'!$A$2:$A$361,'QALS - Inspection Lot Record'!$O$2:$O$361)</f>
        <v>Ibuprofen Tablets (100 MG)</v>
      </c>
      <c r="D2620" s="31">
        <v>30</v>
      </c>
      <c r="E2620" s="29" t="s">
        <v>401</v>
      </c>
      <c r="F2620" s="29" t="str">
        <f>LOOKUP(A2620,'QALS - Inspection Lot Record'!A:A,'QALS - Inspection Lot Record'!G:G)</f>
        <v>GC197258</v>
      </c>
      <c r="G2620" s="59">
        <f ca="1">LOOKUP(A2620,'QALS - Inspection Lot Record'!A:A,'QALS - Inspection Lot Record'!E:E)</f>
        <v>46033</v>
      </c>
      <c r="H2620" s="34" t="str">
        <f t="shared" si="205"/>
        <v>A</v>
      </c>
      <c r="I2620" s="29" t="str">
        <f t="shared" si="201"/>
        <v>GC197258</v>
      </c>
      <c r="J2620" s="59">
        <f t="shared" ca="1" si="202"/>
        <v>46033</v>
      </c>
      <c r="K2620" s="30">
        <f ca="1">LOOKUP(A2620,'QALS - Inspection Lot Record'!A:A,'QALS - Inspection Lot Record'!I:I)</f>
        <v>0.22750000000000001</v>
      </c>
      <c r="L2620" s="59">
        <f t="shared" ca="1" si="203"/>
        <v>46033</v>
      </c>
      <c r="M2620" s="30">
        <f t="shared" ca="1" si="204"/>
        <v>0.26033564814814814</v>
      </c>
      <c r="N2620" s="11" t="s">
        <v>402</v>
      </c>
      <c r="O2620" s="31"/>
      <c r="P2620" s="29"/>
      <c r="Q2620" s="29"/>
    </row>
    <row r="2621" spans="1:17" x14ac:dyDescent="0.35">
      <c r="A2621" s="26">
        <v>40000002828</v>
      </c>
      <c r="B2621" s="31">
        <v>1</v>
      </c>
      <c r="C2621" s="29" t="str">
        <f>LOOKUP(A2621,'QALS - Inspection Lot Record'!$A$2:$A$361,'QALS - Inspection Lot Record'!$O$2:$O$361)</f>
        <v>Ibuprofen Tablets (100 MG)</v>
      </c>
      <c r="D2621" s="31">
        <v>40</v>
      </c>
      <c r="E2621" s="29" t="s">
        <v>403</v>
      </c>
      <c r="F2621" s="29" t="str">
        <f>LOOKUP(A2621,'QALS - Inspection Lot Record'!A:A,'QALS - Inspection Lot Record'!G:G)</f>
        <v>GC197258</v>
      </c>
      <c r="G2621" s="59">
        <f ca="1">LOOKUP(A2621,'QALS - Inspection Lot Record'!A:A,'QALS - Inspection Lot Record'!E:E)</f>
        <v>46033</v>
      </c>
      <c r="H2621" s="34" t="str">
        <f t="shared" si="205"/>
        <v>A</v>
      </c>
      <c r="I2621" s="29" t="str">
        <f t="shared" si="201"/>
        <v>GC197258</v>
      </c>
      <c r="J2621" s="59">
        <f t="shared" ca="1" si="202"/>
        <v>46033</v>
      </c>
      <c r="K2621" s="30">
        <f ca="1">LOOKUP(A2621,'QALS - Inspection Lot Record'!A:A,'QALS - Inspection Lot Record'!I:I)</f>
        <v>0.22750000000000001</v>
      </c>
      <c r="L2621" s="59">
        <f t="shared" ca="1" si="203"/>
        <v>46033</v>
      </c>
      <c r="M2621" s="30">
        <f t="shared" ca="1" si="204"/>
        <v>0.25116898148148148</v>
      </c>
      <c r="N2621" s="31"/>
      <c r="O2621" s="31">
        <v>0.5</v>
      </c>
      <c r="P2621" s="29">
        <v>0</v>
      </c>
      <c r="Q2621" s="29">
        <v>1</v>
      </c>
    </row>
    <row r="2622" spans="1:17" x14ac:dyDescent="0.35">
      <c r="A2622" s="26">
        <v>40000002828</v>
      </c>
      <c r="B2622" s="31">
        <v>1</v>
      </c>
      <c r="C2622" s="29" t="str">
        <f>LOOKUP(A2622,'QALS - Inspection Lot Record'!$A$2:$A$361,'QALS - Inspection Lot Record'!$O$2:$O$361)</f>
        <v>Ibuprofen Tablets (100 MG)</v>
      </c>
      <c r="D2622" s="31">
        <v>50</v>
      </c>
      <c r="E2622" s="29" t="s">
        <v>404</v>
      </c>
      <c r="F2622" s="29" t="str">
        <f>LOOKUP(A2622,'QALS - Inspection Lot Record'!A:A,'QALS - Inspection Lot Record'!G:G)</f>
        <v>GC197258</v>
      </c>
      <c r="G2622" s="59">
        <f ca="1">LOOKUP(A2622,'QALS - Inspection Lot Record'!A:A,'QALS - Inspection Lot Record'!E:E)</f>
        <v>46033</v>
      </c>
      <c r="H2622" s="34" t="str">
        <f t="shared" si="205"/>
        <v>A</v>
      </c>
      <c r="I2622" s="29" t="str">
        <f t="shared" si="201"/>
        <v>GC197258</v>
      </c>
      <c r="J2622" s="59">
        <f t="shared" ca="1" si="202"/>
        <v>46033</v>
      </c>
      <c r="K2622" s="30">
        <f ca="1">LOOKUP(A2622,'QALS - Inspection Lot Record'!A:A,'QALS - Inspection Lot Record'!I:I)</f>
        <v>0.22750000000000001</v>
      </c>
      <c r="L2622" s="59">
        <f t="shared" ca="1" si="203"/>
        <v>46033</v>
      </c>
      <c r="M2622" s="30">
        <f t="shared" ca="1" si="204"/>
        <v>0.25898148148148148</v>
      </c>
      <c r="N2622" s="31"/>
      <c r="O2622" s="31">
        <v>41</v>
      </c>
      <c r="P2622" s="29">
        <v>40</v>
      </c>
      <c r="Q2622" s="29">
        <v>60</v>
      </c>
    </row>
    <row r="2623" spans="1:17" x14ac:dyDescent="0.35">
      <c r="A2623" s="26">
        <v>40000002828</v>
      </c>
      <c r="B2623" s="31">
        <v>1</v>
      </c>
      <c r="C2623" s="29" t="str">
        <f>LOOKUP(A2623,'QALS - Inspection Lot Record'!$A$2:$A$361,'QALS - Inspection Lot Record'!$O$2:$O$361)</f>
        <v>Ibuprofen Tablets (100 MG)</v>
      </c>
      <c r="D2623" s="31">
        <v>60</v>
      </c>
      <c r="E2623" s="29" t="s">
        <v>405</v>
      </c>
      <c r="F2623" s="29" t="str">
        <f>LOOKUP(A2623,'QALS - Inspection Lot Record'!A:A,'QALS - Inspection Lot Record'!G:G)</f>
        <v>GC197258</v>
      </c>
      <c r="G2623" s="59">
        <f ca="1">LOOKUP(A2623,'QALS - Inspection Lot Record'!A:A,'QALS - Inspection Lot Record'!E:E)</f>
        <v>46033</v>
      </c>
      <c r="H2623" s="34" t="str">
        <f t="shared" si="205"/>
        <v>A</v>
      </c>
      <c r="I2623" s="29" t="str">
        <f t="shared" si="201"/>
        <v>GC197258</v>
      </c>
      <c r="J2623" s="59">
        <f t="shared" ca="1" si="202"/>
        <v>46033</v>
      </c>
      <c r="K2623" s="30">
        <f ca="1">LOOKUP(A2623,'QALS - Inspection Lot Record'!A:A,'QALS - Inspection Lot Record'!I:I)</f>
        <v>0.22750000000000001</v>
      </c>
      <c r="L2623" s="59">
        <f t="shared" ca="1" si="203"/>
        <v>46033</v>
      </c>
      <c r="M2623" s="30">
        <f t="shared" ca="1" si="204"/>
        <v>0.2544791666666667</v>
      </c>
      <c r="N2623" s="31"/>
      <c r="O2623" s="31">
        <v>71.099999999999994</v>
      </c>
      <c r="P2623" s="29">
        <v>70</v>
      </c>
      <c r="Q2623" s="29">
        <v>85</v>
      </c>
    </row>
    <row r="2624" spans="1:17" x14ac:dyDescent="0.35">
      <c r="A2624" s="26">
        <v>40000002828</v>
      </c>
      <c r="B2624" s="31">
        <v>1</v>
      </c>
      <c r="C2624" s="29" t="str">
        <f>LOOKUP(A2624,'QALS - Inspection Lot Record'!$A$2:$A$361,'QALS - Inspection Lot Record'!$O$2:$O$361)</f>
        <v>Ibuprofen Tablets (100 MG)</v>
      </c>
      <c r="D2624" s="31">
        <v>70</v>
      </c>
      <c r="E2624" s="29" t="s">
        <v>406</v>
      </c>
      <c r="F2624" s="29" t="str">
        <f>LOOKUP(A2624,'QALS - Inspection Lot Record'!A:A,'QALS - Inspection Lot Record'!G:G)</f>
        <v>GC197258</v>
      </c>
      <c r="G2624" s="59">
        <f ca="1">LOOKUP(A2624,'QALS - Inspection Lot Record'!A:A,'QALS - Inspection Lot Record'!E:E)</f>
        <v>46033</v>
      </c>
      <c r="H2624" s="34" t="str">
        <f t="shared" si="205"/>
        <v>A</v>
      </c>
      <c r="I2624" s="29" t="str">
        <f t="shared" si="201"/>
        <v>GC197258</v>
      </c>
      <c r="J2624" s="59">
        <f t="shared" ca="1" si="202"/>
        <v>46033</v>
      </c>
      <c r="K2624" s="30">
        <f ca="1">LOOKUP(A2624,'QALS - Inspection Lot Record'!A:A,'QALS - Inspection Lot Record'!I:I)</f>
        <v>0.22750000000000001</v>
      </c>
      <c r="L2624" s="59">
        <f t="shared" ca="1" si="203"/>
        <v>46033</v>
      </c>
      <c r="M2624" s="30">
        <f t="shared" ca="1" si="204"/>
        <v>0.24903935185185186</v>
      </c>
      <c r="N2624" s="31"/>
      <c r="O2624" s="31">
        <v>81</v>
      </c>
      <c r="P2624" s="29">
        <v>80</v>
      </c>
      <c r="Q2624" s="29">
        <v>90</v>
      </c>
    </row>
    <row r="2625" spans="1:17" x14ac:dyDescent="0.35">
      <c r="A2625" s="26">
        <v>40000002828</v>
      </c>
      <c r="B2625" s="31">
        <v>1</v>
      </c>
      <c r="C2625" s="29" t="str">
        <f>LOOKUP(A2625,'QALS - Inspection Lot Record'!$A$2:$A$361,'QALS - Inspection Lot Record'!$O$2:$O$361)</f>
        <v>Ibuprofen Tablets (100 MG)</v>
      </c>
      <c r="D2625" s="31">
        <v>80</v>
      </c>
      <c r="E2625" s="29" t="s">
        <v>407</v>
      </c>
      <c r="F2625" s="29" t="str">
        <f>LOOKUP(A2625,'QALS - Inspection Lot Record'!A:A,'QALS - Inspection Lot Record'!G:G)</f>
        <v>GC197258</v>
      </c>
      <c r="G2625" s="59">
        <f ca="1">LOOKUP(A2625,'QALS - Inspection Lot Record'!A:A,'QALS - Inspection Lot Record'!E:E)</f>
        <v>46033</v>
      </c>
      <c r="H2625" s="34" t="str">
        <f t="shared" si="205"/>
        <v>A</v>
      </c>
      <c r="I2625" s="29" t="str">
        <f t="shared" si="201"/>
        <v>GC197258</v>
      </c>
      <c r="J2625" s="59">
        <f t="shared" ca="1" si="202"/>
        <v>46033</v>
      </c>
      <c r="K2625" s="30">
        <f ca="1">LOOKUP(A2625,'QALS - Inspection Lot Record'!A:A,'QALS - Inspection Lot Record'!I:I)</f>
        <v>0.22750000000000001</v>
      </c>
      <c r="L2625" s="59">
        <f t="shared" ca="1" si="203"/>
        <v>46033</v>
      </c>
      <c r="M2625" s="30">
        <f t="shared" ca="1" si="204"/>
        <v>0.25579861111111113</v>
      </c>
      <c r="N2625" s="31"/>
      <c r="O2625" s="31">
        <v>24</v>
      </c>
      <c r="P2625" s="29">
        <v>23</v>
      </c>
      <c r="Q2625" s="29">
        <v>25</v>
      </c>
    </row>
    <row r="2626" spans="1:17" x14ac:dyDescent="0.35">
      <c r="A2626" s="26">
        <v>40000002829</v>
      </c>
      <c r="B2626" s="27">
        <v>1</v>
      </c>
      <c r="C2626" s="29" t="str">
        <f>LOOKUP(A2626,'QALS - Inspection Lot Record'!$A$2:$A$361,'QALS - Inspection Lot Record'!$O$2:$O$361)</f>
        <v>Ibuprofen Tablets (100 MG)</v>
      </c>
      <c r="D2626" s="27">
        <v>10</v>
      </c>
      <c r="E2626" s="26" t="s">
        <v>399</v>
      </c>
      <c r="F2626" s="29" t="str">
        <f>LOOKUP(A2626,'QALS - Inspection Lot Record'!A:A,'QALS - Inspection Lot Record'!G:G)</f>
        <v>ZK384180</v>
      </c>
      <c r="G2626" s="59">
        <f ca="1">LOOKUP(A2626,'QALS - Inspection Lot Record'!A:A,'QALS - Inspection Lot Record'!E:E)</f>
        <v>46034</v>
      </c>
      <c r="H2626" s="34" t="str">
        <f t="shared" si="205"/>
        <v>A</v>
      </c>
      <c r="I2626" s="29" t="str">
        <f t="shared" ref="I2626:I2689" si="206">F2626</f>
        <v>ZK384180</v>
      </c>
      <c r="J2626" s="59">
        <f t="shared" ref="J2626:J2689" ca="1" si="207">G2626</f>
        <v>46034</v>
      </c>
      <c r="K2626" s="30">
        <f ca="1">LOOKUP(A2626,'QALS - Inspection Lot Record'!A:A,'QALS - Inspection Lot Record'!I:I)</f>
        <v>0.85821759259259256</v>
      </c>
      <c r="L2626" s="59">
        <f t="shared" ref="L2626:L2689" ca="1" si="208">G2626</f>
        <v>46034</v>
      </c>
      <c r="M2626" s="30">
        <f t="shared" ref="M2626:M2689" ca="1" si="209">K2626+TIME(0,RANDBETWEEN(25,50),RANDBETWEEN(0,59))</f>
        <v>0.87987268518518513</v>
      </c>
      <c r="N2626" s="31"/>
      <c r="O2626" s="31">
        <v>98.5</v>
      </c>
      <c r="P2626" s="29">
        <v>95</v>
      </c>
      <c r="Q2626" s="29">
        <v>102</v>
      </c>
    </row>
    <row r="2627" spans="1:17" x14ac:dyDescent="0.35">
      <c r="A2627" s="26">
        <v>40000002829</v>
      </c>
      <c r="B2627" s="27">
        <v>1</v>
      </c>
      <c r="C2627" s="29" t="str">
        <f>LOOKUP(A2627,'QALS - Inspection Lot Record'!$A$2:$A$361,'QALS - Inspection Lot Record'!$O$2:$O$361)</f>
        <v>Ibuprofen Tablets (100 MG)</v>
      </c>
      <c r="D2627" s="31">
        <v>20</v>
      </c>
      <c r="E2627" s="29" t="s">
        <v>400</v>
      </c>
      <c r="F2627" s="29" t="str">
        <f>LOOKUP(A2627,'QALS - Inspection Lot Record'!A:A,'QALS - Inspection Lot Record'!G:G)</f>
        <v>ZK384180</v>
      </c>
      <c r="G2627" s="59">
        <f ca="1">LOOKUP(A2627,'QALS - Inspection Lot Record'!A:A,'QALS - Inspection Lot Record'!E:E)</f>
        <v>46034</v>
      </c>
      <c r="H2627" s="34" t="str">
        <f t="shared" si="205"/>
        <v>A</v>
      </c>
      <c r="I2627" s="29" t="str">
        <f t="shared" si="206"/>
        <v>ZK384180</v>
      </c>
      <c r="J2627" s="59">
        <f t="shared" ca="1" si="207"/>
        <v>46034</v>
      </c>
      <c r="K2627" s="30">
        <f ca="1">LOOKUP(A2627,'QALS - Inspection Lot Record'!A:A,'QALS - Inspection Lot Record'!I:I)</f>
        <v>0.85821759259259256</v>
      </c>
      <c r="L2627" s="59">
        <f t="shared" ca="1" si="208"/>
        <v>46034</v>
      </c>
      <c r="M2627" s="30">
        <f t="shared" ca="1" si="209"/>
        <v>0.88980324074074069</v>
      </c>
      <c r="N2627" s="31"/>
      <c r="O2627" s="31">
        <v>7.25</v>
      </c>
      <c r="P2627" s="29">
        <v>3.5</v>
      </c>
      <c r="Q2627" s="29">
        <v>11</v>
      </c>
    </row>
    <row r="2628" spans="1:17" x14ac:dyDescent="0.35">
      <c r="A2628" s="26">
        <v>40000002829</v>
      </c>
      <c r="B2628" s="31">
        <v>1</v>
      </c>
      <c r="C2628" s="29" t="str">
        <f>LOOKUP(A2628,'QALS - Inspection Lot Record'!$A$2:$A$361,'QALS - Inspection Lot Record'!$O$2:$O$361)</f>
        <v>Ibuprofen Tablets (100 MG)</v>
      </c>
      <c r="D2628" s="31">
        <v>30</v>
      </c>
      <c r="E2628" s="29" t="s">
        <v>401</v>
      </c>
      <c r="F2628" s="29" t="str">
        <f>LOOKUP(A2628,'QALS - Inspection Lot Record'!A:A,'QALS - Inspection Lot Record'!G:G)</f>
        <v>ZK384180</v>
      </c>
      <c r="G2628" s="59">
        <f ca="1">LOOKUP(A2628,'QALS - Inspection Lot Record'!A:A,'QALS - Inspection Lot Record'!E:E)</f>
        <v>46034</v>
      </c>
      <c r="H2628" s="34" t="str">
        <f t="shared" si="205"/>
        <v>A</v>
      </c>
      <c r="I2628" s="29" t="str">
        <f t="shared" si="206"/>
        <v>ZK384180</v>
      </c>
      <c r="J2628" s="59">
        <f t="shared" ca="1" si="207"/>
        <v>46034</v>
      </c>
      <c r="K2628" s="30">
        <f ca="1">LOOKUP(A2628,'QALS - Inspection Lot Record'!A:A,'QALS - Inspection Lot Record'!I:I)</f>
        <v>0.85821759259259256</v>
      </c>
      <c r="L2628" s="59">
        <f t="shared" ca="1" si="208"/>
        <v>46034</v>
      </c>
      <c r="M2628" s="30">
        <f t="shared" ca="1" si="209"/>
        <v>0.88853009259259252</v>
      </c>
      <c r="N2628" s="11" t="s">
        <v>402</v>
      </c>
      <c r="O2628" s="31"/>
      <c r="P2628" s="29"/>
      <c r="Q2628" s="29"/>
    </row>
    <row r="2629" spans="1:17" x14ac:dyDescent="0.35">
      <c r="A2629" s="26">
        <v>40000002829</v>
      </c>
      <c r="B2629" s="31">
        <v>1</v>
      </c>
      <c r="C2629" s="29" t="str">
        <f>LOOKUP(A2629,'QALS - Inspection Lot Record'!$A$2:$A$361,'QALS - Inspection Lot Record'!$O$2:$O$361)</f>
        <v>Ibuprofen Tablets (100 MG)</v>
      </c>
      <c r="D2629" s="31">
        <v>40</v>
      </c>
      <c r="E2629" s="29" t="s">
        <v>403</v>
      </c>
      <c r="F2629" s="29" t="str">
        <f>LOOKUP(A2629,'QALS - Inspection Lot Record'!A:A,'QALS - Inspection Lot Record'!G:G)</f>
        <v>ZK384180</v>
      </c>
      <c r="G2629" s="59">
        <f ca="1">LOOKUP(A2629,'QALS - Inspection Lot Record'!A:A,'QALS - Inspection Lot Record'!E:E)</f>
        <v>46034</v>
      </c>
      <c r="H2629" s="34" t="str">
        <f t="shared" si="205"/>
        <v>A</v>
      </c>
      <c r="I2629" s="29" t="str">
        <f t="shared" si="206"/>
        <v>ZK384180</v>
      </c>
      <c r="J2629" s="59">
        <f t="shared" ca="1" si="207"/>
        <v>46034</v>
      </c>
      <c r="K2629" s="30">
        <f ca="1">LOOKUP(A2629,'QALS - Inspection Lot Record'!A:A,'QALS - Inspection Lot Record'!I:I)</f>
        <v>0.85821759259259256</v>
      </c>
      <c r="L2629" s="59">
        <f t="shared" ca="1" si="208"/>
        <v>46034</v>
      </c>
      <c r="M2629" s="30">
        <f t="shared" ca="1" si="209"/>
        <v>0.89187499999999997</v>
      </c>
      <c r="N2629" s="31"/>
      <c r="O2629" s="31">
        <v>0</v>
      </c>
      <c r="P2629" s="29">
        <v>0</v>
      </c>
      <c r="Q2629" s="29">
        <v>1</v>
      </c>
    </row>
    <row r="2630" spans="1:17" x14ac:dyDescent="0.35">
      <c r="A2630" s="26">
        <v>40000002829</v>
      </c>
      <c r="B2630" s="31">
        <v>1</v>
      </c>
      <c r="C2630" s="29" t="str">
        <f>LOOKUP(A2630,'QALS - Inspection Lot Record'!$A$2:$A$361,'QALS - Inspection Lot Record'!$O$2:$O$361)</f>
        <v>Ibuprofen Tablets (100 MG)</v>
      </c>
      <c r="D2630" s="31">
        <v>50</v>
      </c>
      <c r="E2630" s="29" t="s">
        <v>404</v>
      </c>
      <c r="F2630" s="29" t="str">
        <f>LOOKUP(A2630,'QALS - Inspection Lot Record'!A:A,'QALS - Inspection Lot Record'!G:G)</f>
        <v>ZK384180</v>
      </c>
      <c r="G2630" s="59">
        <f ca="1">LOOKUP(A2630,'QALS - Inspection Lot Record'!A:A,'QALS - Inspection Lot Record'!E:E)</f>
        <v>46034</v>
      </c>
      <c r="H2630" s="34" t="str">
        <f t="shared" si="205"/>
        <v>A</v>
      </c>
      <c r="I2630" s="29" t="str">
        <f t="shared" si="206"/>
        <v>ZK384180</v>
      </c>
      <c r="J2630" s="59">
        <f t="shared" ca="1" si="207"/>
        <v>46034</v>
      </c>
      <c r="K2630" s="30">
        <f ca="1">LOOKUP(A2630,'QALS - Inspection Lot Record'!A:A,'QALS - Inspection Lot Record'!I:I)</f>
        <v>0.85821759259259256</v>
      </c>
      <c r="L2630" s="59">
        <f t="shared" ca="1" si="208"/>
        <v>46034</v>
      </c>
      <c r="M2630" s="30">
        <f t="shared" ca="1" si="209"/>
        <v>0.88892361111111107</v>
      </c>
      <c r="N2630" s="31"/>
      <c r="O2630" s="31">
        <v>50</v>
      </c>
      <c r="P2630" s="29">
        <v>40</v>
      </c>
      <c r="Q2630" s="29">
        <v>60</v>
      </c>
    </row>
    <row r="2631" spans="1:17" x14ac:dyDescent="0.35">
      <c r="A2631" s="26">
        <v>40000002829</v>
      </c>
      <c r="B2631" s="31">
        <v>1</v>
      </c>
      <c r="C2631" s="29" t="str">
        <f>LOOKUP(A2631,'QALS - Inspection Lot Record'!$A$2:$A$361,'QALS - Inspection Lot Record'!$O$2:$O$361)</f>
        <v>Ibuprofen Tablets (100 MG)</v>
      </c>
      <c r="D2631" s="31">
        <v>60</v>
      </c>
      <c r="E2631" s="29" t="s">
        <v>405</v>
      </c>
      <c r="F2631" s="29" t="str">
        <f>LOOKUP(A2631,'QALS - Inspection Lot Record'!A:A,'QALS - Inspection Lot Record'!G:G)</f>
        <v>ZK384180</v>
      </c>
      <c r="G2631" s="59">
        <f ca="1">LOOKUP(A2631,'QALS - Inspection Lot Record'!A:A,'QALS - Inspection Lot Record'!E:E)</f>
        <v>46034</v>
      </c>
      <c r="H2631" s="34" t="str">
        <f t="shared" si="205"/>
        <v>A</v>
      </c>
      <c r="I2631" s="29" t="str">
        <f t="shared" si="206"/>
        <v>ZK384180</v>
      </c>
      <c r="J2631" s="59">
        <f t="shared" ca="1" si="207"/>
        <v>46034</v>
      </c>
      <c r="K2631" s="30">
        <f ca="1">LOOKUP(A2631,'QALS - Inspection Lot Record'!A:A,'QALS - Inspection Lot Record'!I:I)</f>
        <v>0.85821759259259256</v>
      </c>
      <c r="L2631" s="59">
        <f t="shared" ca="1" si="208"/>
        <v>46034</v>
      </c>
      <c r="M2631" s="30">
        <f t="shared" ca="1" si="209"/>
        <v>0.88307870370370367</v>
      </c>
      <c r="N2631" s="31"/>
      <c r="O2631" s="31">
        <v>77.5</v>
      </c>
      <c r="P2631" s="29">
        <v>70</v>
      </c>
      <c r="Q2631" s="29">
        <v>85</v>
      </c>
    </row>
    <row r="2632" spans="1:17" x14ac:dyDescent="0.35">
      <c r="A2632" s="26">
        <v>40000002829</v>
      </c>
      <c r="B2632" s="31">
        <v>1</v>
      </c>
      <c r="C2632" s="29" t="str">
        <f>LOOKUP(A2632,'QALS - Inspection Lot Record'!$A$2:$A$361,'QALS - Inspection Lot Record'!$O$2:$O$361)</f>
        <v>Ibuprofen Tablets (100 MG)</v>
      </c>
      <c r="D2632" s="31">
        <v>70</v>
      </c>
      <c r="E2632" s="29" t="s">
        <v>406</v>
      </c>
      <c r="F2632" s="29" t="str">
        <f>LOOKUP(A2632,'QALS - Inspection Lot Record'!A:A,'QALS - Inspection Lot Record'!G:G)</f>
        <v>ZK384180</v>
      </c>
      <c r="G2632" s="59">
        <f ca="1">LOOKUP(A2632,'QALS - Inspection Lot Record'!A:A,'QALS - Inspection Lot Record'!E:E)</f>
        <v>46034</v>
      </c>
      <c r="H2632" s="34" t="str">
        <f t="shared" si="205"/>
        <v>A</v>
      </c>
      <c r="I2632" s="29" t="str">
        <f t="shared" si="206"/>
        <v>ZK384180</v>
      </c>
      <c r="J2632" s="59">
        <f t="shared" ca="1" si="207"/>
        <v>46034</v>
      </c>
      <c r="K2632" s="30">
        <f ca="1">LOOKUP(A2632,'QALS - Inspection Lot Record'!A:A,'QALS - Inspection Lot Record'!I:I)</f>
        <v>0.85821759259259256</v>
      </c>
      <c r="L2632" s="59">
        <f t="shared" ca="1" si="208"/>
        <v>46034</v>
      </c>
      <c r="M2632" s="30">
        <f t="shared" ca="1" si="209"/>
        <v>0.87986111111111109</v>
      </c>
      <c r="N2632" s="31"/>
      <c r="O2632" s="31">
        <v>85</v>
      </c>
      <c r="P2632" s="29">
        <v>80</v>
      </c>
      <c r="Q2632" s="29">
        <v>90</v>
      </c>
    </row>
    <row r="2633" spans="1:17" x14ac:dyDescent="0.35">
      <c r="A2633" s="26">
        <v>40000002829</v>
      </c>
      <c r="B2633" s="31">
        <v>1</v>
      </c>
      <c r="C2633" s="29" t="str">
        <f>LOOKUP(A2633,'QALS - Inspection Lot Record'!$A$2:$A$361,'QALS - Inspection Lot Record'!$O$2:$O$361)</f>
        <v>Ibuprofen Tablets (100 MG)</v>
      </c>
      <c r="D2633" s="31">
        <v>80</v>
      </c>
      <c r="E2633" s="29" t="s">
        <v>407</v>
      </c>
      <c r="F2633" s="29" t="str">
        <f>LOOKUP(A2633,'QALS - Inspection Lot Record'!A:A,'QALS - Inspection Lot Record'!G:G)</f>
        <v>ZK384180</v>
      </c>
      <c r="G2633" s="59">
        <f ca="1">LOOKUP(A2633,'QALS - Inspection Lot Record'!A:A,'QALS - Inspection Lot Record'!E:E)</f>
        <v>46034</v>
      </c>
      <c r="H2633" s="34" t="str">
        <f t="shared" si="205"/>
        <v>A</v>
      </c>
      <c r="I2633" s="29" t="str">
        <f t="shared" si="206"/>
        <v>ZK384180</v>
      </c>
      <c r="J2633" s="59">
        <f t="shared" ca="1" si="207"/>
        <v>46034</v>
      </c>
      <c r="K2633" s="30">
        <f ca="1">LOOKUP(A2633,'QALS - Inspection Lot Record'!A:A,'QALS - Inspection Lot Record'!I:I)</f>
        <v>0.85821759259259256</v>
      </c>
      <c r="L2633" s="59">
        <f t="shared" ca="1" si="208"/>
        <v>46034</v>
      </c>
      <c r="M2633" s="30">
        <f t="shared" ca="1" si="209"/>
        <v>0.88275462962962958</v>
      </c>
      <c r="N2633" s="31"/>
      <c r="O2633" s="31">
        <v>24</v>
      </c>
      <c r="P2633" s="29">
        <v>23</v>
      </c>
      <c r="Q2633" s="29">
        <v>25</v>
      </c>
    </row>
    <row r="2634" spans="1:17" x14ac:dyDescent="0.35">
      <c r="A2634" s="26">
        <v>40000002830</v>
      </c>
      <c r="B2634" s="27">
        <v>1</v>
      </c>
      <c r="C2634" s="29" t="str">
        <f>LOOKUP(A2634,'QALS - Inspection Lot Record'!$A$2:$A$361,'QALS - Inspection Lot Record'!$O$2:$O$361)</f>
        <v>Metformin Tablets (200 MG)</v>
      </c>
      <c r="D2634" s="27">
        <v>10</v>
      </c>
      <c r="E2634" s="26" t="s">
        <v>399</v>
      </c>
      <c r="F2634" s="29" t="str">
        <f>LOOKUP(A2634,'QALS - Inspection Lot Record'!A:A,'QALS - Inspection Lot Record'!G:G)</f>
        <v>YA284176</v>
      </c>
      <c r="G2634" s="59">
        <f ca="1">LOOKUP(A2634,'QALS - Inspection Lot Record'!A:A,'QALS - Inspection Lot Record'!E:E)</f>
        <v>46034</v>
      </c>
      <c r="H2634" s="34" t="str">
        <f t="shared" ref="H2634:H2697" si="210">IF(AND(P2634&lt;=O2634,O2634&lt;=Q2634),"A","R")</f>
        <v>A</v>
      </c>
      <c r="I2634" s="29" t="str">
        <f t="shared" si="206"/>
        <v>YA284176</v>
      </c>
      <c r="J2634" s="59">
        <f t="shared" ca="1" si="207"/>
        <v>46034</v>
      </c>
      <c r="K2634" s="30">
        <f ca="1">LOOKUP(A2634,'QALS - Inspection Lot Record'!A:A,'QALS - Inspection Lot Record'!I:I)</f>
        <v>0.36126157407407405</v>
      </c>
      <c r="L2634" s="59">
        <f t="shared" ca="1" si="208"/>
        <v>46034</v>
      </c>
      <c r="M2634" s="30">
        <f t="shared" ca="1" si="209"/>
        <v>0.3848611111111111</v>
      </c>
      <c r="N2634" s="31"/>
      <c r="O2634" s="31">
        <v>99</v>
      </c>
      <c r="P2634" s="29">
        <v>95</v>
      </c>
      <c r="Q2634" s="29">
        <v>103</v>
      </c>
    </row>
    <row r="2635" spans="1:17" x14ac:dyDescent="0.35">
      <c r="A2635" s="26">
        <v>40000002830</v>
      </c>
      <c r="B2635" s="27">
        <v>1</v>
      </c>
      <c r="C2635" s="29" t="str">
        <f>LOOKUP(A2635,'QALS - Inspection Lot Record'!$A$2:$A$361,'QALS - Inspection Lot Record'!$O$2:$O$361)</f>
        <v>Metformin Tablets (200 MG)</v>
      </c>
      <c r="D2635" s="31">
        <v>20</v>
      </c>
      <c r="E2635" s="29" t="s">
        <v>400</v>
      </c>
      <c r="F2635" s="29" t="str">
        <f>LOOKUP(A2635,'QALS - Inspection Lot Record'!A:A,'QALS - Inspection Lot Record'!G:G)</f>
        <v>YA284176</v>
      </c>
      <c r="G2635" s="59">
        <f ca="1">LOOKUP(A2635,'QALS - Inspection Lot Record'!A:A,'QALS - Inspection Lot Record'!E:E)</f>
        <v>46034</v>
      </c>
      <c r="H2635" s="34" t="str">
        <f t="shared" si="210"/>
        <v>A</v>
      </c>
      <c r="I2635" s="29" t="str">
        <f t="shared" si="206"/>
        <v>YA284176</v>
      </c>
      <c r="J2635" s="59">
        <f t="shared" ca="1" si="207"/>
        <v>46034</v>
      </c>
      <c r="K2635" s="30">
        <f ca="1">LOOKUP(A2635,'QALS - Inspection Lot Record'!A:A,'QALS - Inspection Lot Record'!I:I)</f>
        <v>0.36126157407407405</v>
      </c>
      <c r="L2635" s="59">
        <f t="shared" ca="1" si="208"/>
        <v>46034</v>
      </c>
      <c r="M2635" s="30">
        <f t="shared" ca="1" si="209"/>
        <v>0.38805555555555554</v>
      </c>
      <c r="N2635" s="31"/>
      <c r="O2635" s="31">
        <v>7.75</v>
      </c>
      <c r="P2635" s="29">
        <v>6</v>
      </c>
      <c r="Q2635" s="29">
        <v>9.5</v>
      </c>
    </row>
    <row r="2636" spans="1:17" x14ac:dyDescent="0.35">
      <c r="A2636" s="26">
        <v>40000002830</v>
      </c>
      <c r="B2636" s="31">
        <v>1</v>
      </c>
      <c r="C2636" s="29" t="str">
        <f>LOOKUP(A2636,'QALS - Inspection Lot Record'!$A$2:$A$361,'QALS - Inspection Lot Record'!$O$2:$O$361)</f>
        <v>Metformin Tablets (200 MG)</v>
      </c>
      <c r="D2636" s="31">
        <v>30</v>
      </c>
      <c r="E2636" s="29" t="s">
        <v>401</v>
      </c>
      <c r="F2636" s="29" t="str">
        <f>LOOKUP(A2636,'QALS - Inspection Lot Record'!A:A,'QALS - Inspection Lot Record'!G:G)</f>
        <v>YA284176</v>
      </c>
      <c r="G2636" s="59">
        <f ca="1">LOOKUP(A2636,'QALS - Inspection Lot Record'!A:A,'QALS - Inspection Lot Record'!E:E)</f>
        <v>46034</v>
      </c>
      <c r="H2636" s="34" t="str">
        <f t="shared" si="210"/>
        <v>A</v>
      </c>
      <c r="I2636" s="29" t="str">
        <f t="shared" si="206"/>
        <v>YA284176</v>
      </c>
      <c r="J2636" s="59">
        <f t="shared" ca="1" si="207"/>
        <v>46034</v>
      </c>
      <c r="K2636" s="30">
        <f ca="1">LOOKUP(A2636,'QALS - Inspection Lot Record'!A:A,'QALS - Inspection Lot Record'!I:I)</f>
        <v>0.36126157407407405</v>
      </c>
      <c r="L2636" s="59">
        <f t="shared" ca="1" si="208"/>
        <v>46034</v>
      </c>
      <c r="M2636" s="30">
        <f t="shared" ca="1" si="209"/>
        <v>0.38192129629629629</v>
      </c>
      <c r="N2636" s="11" t="s">
        <v>402</v>
      </c>
      <c r="O2636" s="31"/>
      <c r="P2636" s="29"/>
      <c r="Q2636" s="29"/>
    </row>
    <row r="2637" spans="1:17" x14ac:dyDescent="0.35">
      <c r="A2637" s="26">
        <v>40000002830</v>
      </c>
      <c r="B2637" s="31">
        <v>1</v>
      </c>
      <c r="C2637" s="29" t="str">
        <f>LOOKUP(A2637,'QALS - Inspection Lot Record'!$A$2:$A$361,'QALS - Inspection Lot Record'!$O$2:$O$361)</f>
        <v>Metformin Tablets (200 MG)</v>
      </c>
      <c r="D2637" s="31">
        <v>40</v>
      </c>
      <c r="E2637" s="29" t="s">
        <v>403</v>
      </c>
      <c r="F2637" s="29" t="str">
        <f>LOOKUP(A2637,'QALS - Inspection Lot Record'!A:A,'QALS - Inspection Lot Record'!G:G)</f>
        <v>YA284176</v>
      </c>
      <c r="G2637" s="59">
        <f ca="1">LOOKUP(A2637,'QALS - Inspection Lot Record'!A:A,'QALS - Inspection Lot Record'!E:E)</f>
        <v>46034</v>
      </c>
      <c r="H2637" s="34" t="str">
        <f t="shared" si="210"/>
        <v>A</v>
      </c>
      <c r="I2637" s="29" t="str">
        <f t="shared" si="206"/>
        <v>YA284176</v>
      </c>
      <c r="J2637" s="59">
        <f t="shared" ca="1" si="207"/>
        <v>46034</v>
      </c>
      <c r="K2637" s="30">
        <f ca="1">LOOKUP(A2637,'QALS - Inspection Lot Record'!A:A,'QALS - Inspection Lot Record'!I:I)</f>
        <v>0.36126157407407405</v>
      </c>
      <c r="L2637" s="59">
        <f t="shared" ca="1" si="208"/>
        <v>46034</v>
      </c>
      <c r="M2637" s="30">
        <f t="shared" ca="1" si="209"/>
        <v>0.3896296296296296</v>
      </c>
      <c r="N2637" s="31"/>
      <c r="O2637" s="31">
        <v>0</v>
      </c>
      <c r="P2637" s="29">
        <v>0</v>
      </c>
      <c r="Q2637" s="29">
        <v>2</v>
      </c>
    </row>
    <row r="2638" spans="1:17" x14ac:dyDescent="0.35">
      <c r="A2638" s="26">
        <v>40000002830</v>
      </c>
      <c r="B2638" s="31">
        <v>1</v>
      </c>
      <c r="C2638" s="29" t="str">
        <f>LOOKUP(A2638,'QALS - Inspection Lot Record'!$A$2:$A$361,'QALS - Inspection Lot Record'!$O$2:$O$361)</f>
        <v>Metformin Tablets (200 MG)</v>
      </c>
      <c r="D2638" s="31">
        <v>50</v>
      </c>
      <c r="E2638" s="29" t="s">
        <v>404</v>
      </c>
      <c r="F2638" s="29" t="str">
        <f>LOOKUP(A2638,'QALS - Inspection Lot Record'!A:A,'QALS - Inspection Lot Record'!G:G)</f>
        <v>YA284176</v>
      </c>
      <c r="G2638" s="59">
        <f ca="1">LOOKUP(A2638,'QALS - Inspection Lot Record'!A:A,'QALS - Inspection Lot Record'!E:E)</f>
        <v>46034</v>
      </c>
      <c r="H2638" s="34" t="str">
        <f t="shared" si="210"/>
        <v>A</v>
      </c>
      <c r="I2638" s="29" t="str">
        <f t="shared" si="206"/>
        <v>YA284176</v>
      </c>
      <c r="J2638" s="59">
        <f t="shared" ca="1" si="207"/>
        <v>46034</v>
      </c>
      <c r="K2638" s="30">
        <f ca="1">LOOKUP(A2638,'QALS - Inspection Lot Record'!A:A,'QALS - Inspection Lot Record'!I:I)</f>
        <v>0.36126157407407405</v>
      </c>
      <c r="L2638" s="59">
        <f t="shared" ca="1" si="208"/>
        <v>46034</v>
      </c>
      <c r="M2638" s="30">
        <f t="shared" ca="1" si="209"/>
        <v>0.38753472222222218</v>
      </c>
      <c r="N2638" s="31"/>
      <c r="O2638" s="31">
        <v>50</v>
      </c>
      <c r="P2638" s="29">
        <v>40</v>
      </c>
      <c r="Q2638" s="29">
        <v>60</v>
      </c>
    </row>
    <row r="2639" spans="1:17" x14ac:dyDescent="0.35">
      <c r="A2639" s="26">
        <v>40000002830</v>
      </c>
      <c r="B2639" s="31">
        <v>1</v>
      </c>
      <c r="C2639" s="29" t="str">
        <f>LOOKUP(A2639,'QALS - Inspection Lot Record'!$A$2:$A$361,'QALS - Inspection Lot Record'!$O$2:$O$361)</f>
        <v>Metformin Tablets (200 MG)</v>
      </c>
      <c r="D2639" s="31">
        <v>60</v>
      </c>
      <c r="E2639" s="29" t="s">
        <v>405</v>
      </c>
      <c r="F2639" s="29" t="str">
        <f>LOOKUP(A2639,'QALS - Inspection Lot Record'!A:A,'QALS - Inspection Lot Record'!G:G)</f>
        <v>YA284176</v>
      </c>
      <c r="G2639" s="59">
        <f ca="1">LOOKUP(A2639,'QALS - Inspection Lot Record'!A:A,'QALS - Inspection Lot Record'!E:E)</f>
        <v>46034</v>
      </c>
      <c r="H2639" s="34" t="str">
        <f t="shared" si="210"/>
        <v>A</v>
      </c>
      <c r="I2639" s="29" t="str">
        <f t="shared" si="206"/>
        <v>YA284176</v>
      </c>
      <c r="J2639" s="59">
        <f t="shared" ca="1" si="207"/>
        <v>46034</v>
      </c>
      <c r="K2639" s="30">
        <f ca="1">LOOKUP(A2639,'QALS - Inspection Lot Record'!A:A,'QALS - Inspection Lot Record'!I:I)</f>
        <v>0.36126157407407405</v>
      </c>
      <c r="L2639" s="59">
        <f t="shared" ca="1" si="208"/>
        <v>46034</v>
      </c>
      <c r="M2639" s="30">
        <f t="shared" ca="1" si="209"/>
        <v>0.39660879629629631</v>
      </c>
      <c r="N2639" s="31"/>
      <c r="O2639" s="31">
        <v>77.5</v>
      </c>
      <c r="P2639" s="29">
        <v>70</v>
      </c>
      <c r="Q2639" s="29">
        <v>85</v>
      </c>
    </row>
    <row r="2640" spans="1:17" x14ac:dyDescent="0.35">
      <c r="A2640" s="26">
        <v>40000002830</v>
      </c>
      <c r="B2640" s="31">
        <v>1</v>
      </c>
      <c r="C2640" s="29" t="str">
        <f>LOOKUP(A2640,'QALS - Inspection Lot Record'!$A$2:$A$361,'QALS - Inspection Lot Record'!$O$2:$O$361)</f>
        <v>Metformin Tablets (200 MG)</v>
      </c>
      <c r="D2640" s="31">
        <v>70</v>
      </c>
      <c r="E2640" s="29" t="s">
        <v>406</v>
      </c>
      <c r="F2640" s="29" t="str">
        <f>LOOKUP(A2640,'QALS - Inspection Lot Record'!A:A,'QALS - Inspection Lot Record'!G:G)</f>
        <v>YA284176</v>
      </c>
      <c r="G2640" s="59">
        <f ca="1">LOOKUP(A2640,'QALS - Inspection Lot Record'!A:A,'QALS - Inspection Lot Record'!E:E)</f>
        <v>46034</v>
      </c>
      <c r="H2640" s="34" t="str">
        <f t="shared" si="210"/>
        <v>A</v>
      </c>
      <c r="I2640" s="29" t="str">
        <f t="shared" si="206"/>
        <v>YA284176</v>
      </c>
      <c r="J2640" s="59">
        <f t="shared" ca="1" si="207"/>
        <v>46034</v>
      </c>
      <c r="K2640" s="30">
        <f ca="1">LOOKUP(A2640,'QALS - Inspection Lot Record'!A:A,'QALS - Inspection Lot Record'!I:I)</f>
        <v>0.36126157407407405</v>
      </c>
      <c r="L2640" s="59">
        <f t="shared" ca="1" si="208"/>
        <v>46034</v>
      </c>
      <c r="M2640" s="30">
        <f t="shared" ca="1" si="209"/>
        <v>0.39459490740740738</v>
      </c>
      <c r="N2640" s="31"/>
      <c r="O2640" s="31">
        <v>85</v>
      </c>
      <c r="P2640" s="29">
        <v>80</v>
      </c>
      <c r="Q2640" s="29">
        <v>90</v>
      </c>
    </row>
    <row r="2641" spans="1:17" x14ac:dyDescent="0.35">
      <c r="A2641" s="26">
        <v>40000002830</v>
      </c>
      <c r="B2641" s="31">
        <v>1</v>
      </c>
      <c r="C2641" s="29" t="str">
        <f>LOOKUP(A2641,'QALS - Inspection Lot Record'!$A$2:$A$361,'QALS - Inspection Lot Record'!$O$2:$O$361)</f>
        <v>Metformin Tablets (200 MG)</v>
      </c>
      <c r="D2641" s="31">
        <v>80</v>
      </c>
      <c r="E2641" s="29" t="s">
        <v>407</v>
      </c>
      <c r="F2641" s="29" t="str">
        <f>LOOKUP(A2641,'QALS - Inspection Lot Record'!A:A,'QALS - Inspection Lot Record'!G:G)</f>
        <v>YA284176</v>
      </c>
      <c r="G2641" s="59">
        <f ca="1">LOOKUP(A2641,'QALS - Inspection Lot Record'!A:A,'QALS - Inspection Lot Record'!E:E)</f>
        <v>46034</v>
      </c>
      <c r="H2641" s="34" t="str">
        <f t="shared" si="210"/>
        <v>A</v>
      </c>
      <c r="I2641" s="29" t="str">
        <f t="shared" si="206"/>
        <v>YA284176</v>
      </c>
      <c r="J2641" s="59">
        <f t="shared" ca="1" si="207"/>
        <v>46034</v>
      </c>
      <c r="K2641" s="30">
        <f ca="1">LOOKUP(A2641,'QALS - Inspection Lot Record'!A:A,'QALS - Inspection Lot Record'!I:I)</f>
        <v>0.36126157407407405</v>
      </c>
      <c r="L2641" s="59">
        <f t="shared" ca="1" si="208"/>
        <v>46034</v>
      </c>
      <c r="M2641" s="30">
        <f t="shared" ca="1" si="209"/>
        <v>0.38310185185185186</v>
      </c>
      <c r="N2641" s="31"/>
      <c r="O2641" s="31">
        <v>25.5</v>
      </c>
      <c r="P2641" s="29">
        <v>23</v>
      </c>
      <c r="Q2641" s="29">
        <v>28</v>
      </c>
    </row>
    <row r="2642" spans="1:17" x14ac:dyDescent="0.35">
      <c r="A2642" s="26">
        <v>40000002831</v>
      </c>
      <c r="B2642" s="27">
        <v>1</v>
      </c>
      <c r="C2642" s="29" t="str">
        <f>LOOKUP(A2642,'QALS - Inspection Lot Record'!$A$2:$A$361,'QALS - Inspection Lot Record'!$O$2:$O$361)</f>
        <v>Metformin Tablets (100 MG)</v>
      </c>
      <c r="D2642" s="27">
        <v>10</v>
      </c>
      <c r="E2642" s="26" t="s">
        <v>399</v>
      </c>
      <c r="F2642" s="29" t="str">
        <f>LOOKUP(A2642,'QALS - Inspection Lot Record'!A:A,'QALS - Inspection Lot Record'!G:G)</f>
        <v>AB406550</v>
      </c>
      <c r="G2642" s="59">
        <f ca="1">LOOKUP(A2642,'QALS - Inspection Lot Record'!A:A,'QALS - Inspection Lot Record'!E:E)</f>
        <v>46035</v>
      </c>
      <c r="H2642" s="34" t="str">
        <f t="shared" si="210"/>
        <v>A</v>
      </c>
      <c r="I2642" s="29" t="str">
        <f t="shared" si="206"/>
        <v>AB406550</v>
      </c>
      <c r="J2642" s="59">
        <f t="shared" ca="1" si="207"/>
        <v>46035</v>
      </c>
      <c r="K2642" s="30">
        <f ca="1">LOOKUP(A2642,'QALS - Inspection Lot Record'!A:A,'QALS - Inspection Lot Record'!I:I)</f>
        <v>0.82694444444444448</v>
      </c>
      <c r="L2642" s="59">
        <f t="shared" ca="1" si="208"/>
        <v>46035</v>
      </c>
      <c r="M2642" s="30">
        <f t="shared" ca="1" si="209"/>
        <v>0.84623842592592591</v>
      </c>
      <c r="N2642" s="31"/>
      <c r="O2642" s="31">
        <v>98.5</v>
      </c>
      <c r="P2642" s="29">
        <v>95</v>
      </c>
      <c r="Q2642" s="29">
        <v>102</v>
      </c>
    </row>
    <row r="2643" spans="1:17" x14ac:dyDescent="0.35">
      <c r="A2643" s="26">
        <v>40000002831</v>
      </c>
      <c r="B2643" s="27">
        <v>1</v>
      </c>
      <c r="C2643" s="29" t="str">
        <f>LOOKUP(A2643,'QALS - Inspection Lot Record'!$A$2:$A$361,'QALS - Inspection Lot Record'!$O$2:$O$361)</f>
        <v>Metformin Tablets (100 MG)</v>
      </c>
      <c r="D2643" s="31">
        <v>20</v>
      </c>
      <c r="E2643" s="29" t="s">
        <v>400</v>
      </c>
      <c r="F2643" s="29" t="str">
        <f>LOOKUP(A2643,'QALS - Inspection Lot Record'!A:A,'QALS - Inspection Lot Record'!G:G)</f>
        <v>AB406550</v>
      </c>
      <c r="G2643" s="59">
        <f ca="1">LOOKUP(A2643,'QALS - Inspection Lot Record'!A:A,'QALS - Inspection Lot Record'!E:E)</f>
        <v>46035</v>
      </c>
      <c r="H2643" s="34" t="str">
        <f t="shared" si="210"/>
        <v>A</v>
      </c>
      <c r="I2643" s="29" t="str">
        <f t="shared" si="206"/>
        <v>AB406550</v>
      </c>
      <c r="J2643" s="59">
        <f t="shared" ca="1" si="207"/>
        <v>46035</v>
      </c>
      <c r="K2643" s="30">
        <f ca="1">LOOKUP(A2643,'QALS - Inspection Lot Record'!A:A,'QALS - Inspection Lot Record'!I:I)</f>
        <v>0.82694444444444448</v>
      </c>
      <c r="L2643" s="59">
        <f t="shared" ca="1" si="208"/>
        <v>46035</v>
      </c>
      <c r="M2643" s="30">
        <f t="shared" ca="1" si="209"/>
        <v>0.84884259259259265</v>
      </c>
      <c r="N2643" s="31"/>
      <c r="O2643" s="31">
        <v>7.25</v>
      </c>
      <c r="P2643" s="29">
        <v>3.5</v>
      </c>
      <c r="Q2643" s="29">
        <v>11</v>
      </c>
    </row>
    <row r="2644" spans="1:17" x14ac:dyDescent="0.35">
      <c r="A2644" s="26">
        <v>40000002831</v>
      </c>
      <c r="B2644" s="31">
        <v>1</v>
      </c>
      <c r="C2644" s="29" t="str">
        <f>LOOKUP(A2644,'QALS - Inspection Lot Record'!$A$2:$A$361,'QALS - Inspection Lot Record'!$O$2:$O$361)</f>
        <v>Metformin Tablets (100 MG)</v>
      </c>
      <c r="D2644" s="31">
        <v>30</v>
      </c>
      <c r="E2644" s="29" t="s">
        <v>401</v>
      </c>
      <c r="F2644" s="29" t="str">
        <f>LOOKUP(A2644,'QALS - Inspection Lot Record'!A:A,'QALS - Inspection Lot Record'!G:G)</f>
        <v>AB406550</v>
      </c>
      <c r="G2644" s="59">
        <f ca="1">LOOKUP(A2644,'QALS - Inspection Lot Record'!A:A,'QALS - Inspection Lot Record'!E:E)</f>
        <v>46035</v>
      </c>
      <c r="H2644" s="34" t="str">
        <f t="shared" si="210"/>
        <v>A</v>
      </c>
      <c r="I2644" s="29" t="str">
        <f t="shared" si="206"/>
        <v>AB406550</v>
      </c>
      <c r="J2644" s="59">
        <f t="shared" ca="1" si="207"/>
        <v>46035</v>
      </c>
      <c r="K2644" s="30">
        <f ca="1">LOOKUP(A2644,'QALS - Inspection Lot Record'!A:A,'QALS - Inspection Lot Record'!I:I)</f>
        <v>0.82694444444444448</v>
      </c>
      <c r="L2644" s="59">
        <f t="shared" ca="1" si="208"/>
        <v>46035</v>
      </c>
      <c r="M2644" s="30">
        <f t="shared" ca="1" si="209"/>
        <v>0.84452546296296305</v>
      </c>
      <c r="N2644" s="11" t="s">
        <v>402</v>
      </c>
      <c r="O2644" s="31"/>
      <c r="P2644" s="29"/>
      <c r="Q2644" s="29"/>
    </row>
    <row r="2645" spans="1:17" x14ac:dyDescent="0.35">
      <c r="A2645" s="26">
        <v>40000002831</v>
      </c>
      <c r="B2645" s="31">
        <v>1</v>
      </c>
      <c r="C2645" s="29" t="str">
        <f>LOOKUP(A2645,'QALS - Inspection Lot Record'!$A$2:$A$361,'QALS - Inspection Lot Record'!$O$2:$O$361)</f>
        <v>Metformin Tablets (100 MG)</v>
      </c>
      <c r="D2645" s="31">
        <v>40</v>
      </c>
      <c r="E2645" s="29" t="s">
        <v>403</v>
      </c>
      <c r="F2645" s="29" t="str">
        <f>LOOKUP(A2645,'QALS - Inspection Lot Record'!A:A,'QALS - Inspection Lot Record'!G:G)</f>
        <v>AB406550</v>
      </c>
      <c r="G2645" s="59">
        <f ca="1">LOOKUP(A2645,'QALS - Inspection Lot Record'!A:A,'QALS - Inspection Lot Record'!E:E)</f>
        <v>46035</v>
      </c>
      <c r="H2645" s="34" t="str">
        <f t="shared" si="210"/>
        <v>A</v>
      </c>
      <c r="I2645" s="29" t="str">
        <f t="shared" si="206"/>
        <v>AB406550</v>
      </c>
      <c r="J2645" s="59">
        <f t="shared" ca="1" si="207"/>
        <v>46035</v>
      </c>
      <c r="K2645" s="30">
        <f ca="1">LOOKUP(A2645,'QALS - Inspection Lot Record'!A:A,'QALS - Inspection Lot Record'!I:I)</f>
        <v>0.82694444444444448</v>
      </c>
      <c r="L2645" s="59">
        <f t="shared" ca="1" si="208"/>
        <v>46035</v>
      </c>
      <c r="M2645" s="30">
        <f t="shared" ca="1" si="209"/>
        <v>0.84673611111111113</v>
      </c>
      <c r="N2645" s="31"/>
      <c r="O2645" s="31">
        <v>0</v>
      </c>
      <c r="P2645" s="29">
        <v>0</v>
      </c>
      <c r="Q2645" s="29">
        <v>1</v>
      </c>
    </row>
    <row r="2646" spans="1:17" x14ac:dyDescent="0.35">
      <c r="A2646" s="26">
        <v>40000002831</v>
      </c>
      <c r="B2646" s="31">
        <v>1</v>
      </c>
      <c r="C2646" s="29" t="str">
        <f>LOOKUP(A2646,'QALS - Inspection Lot Record'!$A$2:$A$361,'QALS - Inspection Lot Record'!$O$2:$O$361)</f>
        <v>Metformin Tablets (100 MG)</v>
      </c>
      <c r="D2646" s="31">
        <v>50</v>
      </c>
      <c r="E2646" s="29" t="s">
        <v>404</v>
      </c>
      <c r="F2646" s="29" t="str">
        <f>LOOKUP(A2646,'QALS - Inspection Lot Record'!A:A,'QALS - Inspection Lot Record'!G:G)</f>
        <v>AB406550</v>
      </c>
      <c r="G2646" s="59">
        <f ca="1">LOOKUP(A2646,'QALS - Inspection Lot Record'!A:A,'QALS - Inspection Lot Record'!E:E)</f>
        <v>46035</v>
      </c>
      <c r="H2646" s="34" t="str">
        <f t="shared" si="210"/>
        <v>A</v>
      </c>
      <c r="I2646" s="29" t="str">
        <f t="shared" si="206"/>
        <v>AB406550</v>
      </c>
      <c r="J2646" s="59">
        <f t="shared" ca="1" si="207"/>
        <v>46035</v>
      </c>
      <c r="K2646" s="30">
        <f ca="1">LOOKUP(A2646,'QALS - Inspection Lot Record'!A:A,'QALS - Inspection Lot Record'!I:I)</f>
        <v>0.82694444444444448</v>
      </c>
      <c r="L2646" s="59">
        <f t="shared" ca="1" si="208"/>
        <v>46035</v>
      </c>
      <c r="M2646" s="30">
        <f t="shared" ca="1" si="209"/>
        <v>0.85585648148148152</v>
      </c>
      <c r="N2646" s="31"/>
      <c r="O2646" s="31">
        <v>50</v>
      </c>
      <c r="P2646" s="29">
        <v>40</v>
      </c>
      <c r="Q2646" s="29">
        <v>60</v>
      </c>
    </row>
    <row r="2647" spans="1:17" x14ac:dyDescent="0.35">
      <c r="A2647" s="26">
        <v>40000002831</v>
      </c>
      <c r="B2647" s="31">
        <v>1</v>
      </c>
      <c r="C2647" s="29" t="str">
        <f>LOOKUP(A2647,'QALS - Inspection Lot Record'!$A$2:$A$361,'QALS - Inspection Lot Record'!$O$2:$O$361)</f>
        <v>Metformin Tablets (100 MG)</v>
      </c>
      <c r="D2647" s="31">
        <v>60</v>
      </c>
      <c r="E2647" s="29" t="s">
        <v>405</v>
      </c>
      <c r="F2647" s="29" t="str">
        <f>LOOKUP(A2647,'QALS - Inspection Lot Record'!A:A,'QALS - Inspection Lot Record'!G:G)</f>
        <v>AB406550</v>
      </c>
      <c r="G2647" s="59">
        <f ca="1">LOOKUP(A2647,'QALS - Inspection Lot Record'!A:A,'QALS - Inspection Lot Record'!E:E)</f>
        <v>46035</v>
      </c>
      <c r="H2647" s="34" t="str">
        <f t="shared" si="210"/>
        <v>A</v>
      </c>
      <c r="I2647" s="29" t="str">
        <f t="shared" si="206"/>
        <v>AB406550</v>
      </c>
      <c r="J2647" s="59">
        <f t="shared" ca="1" si="207"/>
        <v>46035</v>
      </c>
      <c r="K2647" s="30">
        <f ca="1">LOOKUP(A2647,'QALS - Inspection Lot Record'!A:A,'QALS - Inspection Lot Record'!I:I)</f>
        <v>0.82694444444444448</v>
      </c>
      <c r="L2647" s="59">
        <f t="shared" ca="1" si="208"/>
        <v>46035</v>
      </c>
      <c r="M2647" s="30">
        <f t="shared" ca="1" si="209"/>
        <v>0.84442129629629636</v>
      </c>
      <c r="N2647" s="31"/>
      <c r="O2647" s="31">
        <v>77.5</v>
      </c>
      <c r="P2647" s="29">
        <v>70</v>
      </c>
      <c r="Q2647" s="29">
        <v>85</v>
      </c>
    </row>
    <row r="2648" spans="1:17" x14ac:dyDescent="0.35">
      <c r="A2648" s="26">
        <v>40000002831</v>
      </c>
      <c r="B2648" s="31">
        <v>1</v>
      </c>
      <c r="C2648" s="29" t="str">
        <f>LOOKUP(A2648,'QALS - Inspection Lot Record'!$A$2:$A$361,'QALS - Inspection Lot Record'!$O$2:$O$361)</f>
        <v>Metformin Tablets (100 MG)</v>
      </c>
      <c r="D2648" s="31">
        <v>70</v>
      </c>
      <c r="E2648" s="29" t="s">
        <v>406</v>
      </c>
      <c r="F2648" s="29" t="str">
        <f>LOOKUP(A2648,'QALS - Inspection Lot Record'!A:A,'QALS - Inspection Lot Record'!G:G)</f>
        <v>AB406550</v>
      </c>
      <c r="G2648" s="59">
        <f ca="1">LOOKUP(A2648,'QALS - Inspection Lot Record'!A:A,'QALS - Inspection Lot Record'!E:E)</f>
        <v>46035</v>
      </c>
      <c r="H2648" s="34" t="str">
        <f t="shared" si="210"/>
        <v>A</v>
      </c>
      <c r="I2648" s="29" t="str">
        <f t="shared" si="206"/>
        <v>AB406550</v>
      </c>
      <c r="J2648" s="59">
        <f t="shared" ca="1" si="207"/>
        <v>46035</v>
      </c>
      <c r="K2648" s="30">
        <f ca="1">LOOKUP(A2648,'QALS - Inspection Lot Record'!A:A,'QALS - Inspection Lot Record'!I:I)</f>
        <v>0.82694444444444448</v>
      </c>
      <c r="L2648" s="59">
        <f t="shared" ca="1" si="208"/>
        <v>46035</v>
      </c>
      <c r="M2648" s="30">
        <f t="shared" ca="1" si="209"/>
        <v>0.8576273148148148</v>
      </c>
      <c r="N2648" s="31"/>
      <c r="O2648" s="31">
        <v>85</v>
      </c>
      <c r="P2648" s="29">
        <v>80</v>
      </c>
      <c r="Q2648" s="29">
        <v>90</v>
      </c>
    </row>
    <row r="2649" spans="1:17" x14ac:dyDescent="0.35">
      <c r="A2649" s="26">
        <v>40000002831</v>
      </c>
      <c r="B2649" s="31">
        <v>1</v>
      </c>
      <c r="C2649" s="29" t="str">
        <f>LOOKUP(A2649,'QALS - Inspection Lot Record'!$A$2:$A$361,'QALS - Inspection Lot Record'!$O$2:$O$361)</f>
        <v>Metformin Tablets (100 MG)</v>
      </c>
      <c r="D2649" s="31">
        <v>80</v>
      </c>
      <c r="E2649" s="29" t="s">
        <v>407</v>
      </c>
      <c r="F2649" s="29" t="str">
        <f>LOOKUP(A2649,'QALS - Inspection Lot Record'!A:A,'QALS - Inspection Lot Record'!G:G)</f>
        <v>AB406550</v>
      </c>
      <c r="G2649" s="59">
        <f ca="1">LOOKUP(A2649,'QALS - Inspection Lot Record'!A:A,'QALS - Inspection Lot Record'!E:E)</f>
        <v>46035</v>
      </c>
      <c r="H2649" s="34" t="str">
        <f t="shared" si="210"/>
        <v>A</v>
      </c>
      <c r="I2649" s="29" t="str">
        <f t="shared" si="206"/>
        <v>AB406550</v>
      </c>
      <c r="J2649" s="59">
        <f t="shared" ca="1" si="207"/>
        <v>46035</v>
      </c>
      <c r="K2649" s="30">
        <f ca="1">LOOKUP(A2649,'QALS - Inspection Lot Record'!A:A,'QALS - Inspection Lot Record'!I:I)</f>
        <v>0.82694444444444448</v>
      </c>
      <c r="L2649" s="59">
        <f t="shared" ca="1" si="208"/>
        <v>46035</v>
      </c>
      <c r="M2649" s="30">
        <f t="shared" ca="1" si="209"/>
        <v>0.86200231481481482</v>
      </c>
      <c r="N2649" s="31"/>
      <c r="O2649" s="31">
        <v>24</v>
      </c>
      <c r="P2649" s="29">
        <v>23</v>
      </c>
      <c r="Q2649" s="29">
        <v>25</v>
      </c>
    </row>
    <row r="2650" spans="1:17" x14ac:dyDescent="0.35">
      <c r="A2650" s="26">
        <v>40000002832</v>
      </c>
      <c r="B2650" s="27">
        <v>1</v>
      </c>
      <c r="C2650" s="29" t="str">
        <f>LOOKUP(A2650,'QALS - Inspection Lot Record'!$A$2:$A$361,'QALS - Inspection Lot Record'!$O$2:$O$361)</f>
        <v>Aspirin Tablets (500 MG)</v>
      </c>
      <c r="D2650" s="27">
        <v>10</v>
      </c>
      <c r="E2650" s="26" t="s">
        <v>399</v>
      </c>
      <c r="F2650" s="29" t="str">
        <f>LOOKUP(A2650,'QALS - Inspection Lot Record'!A:A,'QALS - Inspection Lot Record'!G:G)</f>
        <v>GC197258</v>
      </c>
      <c r="G2650" s="59">
        <f ca="1">LOOKUP(A2650,'QALS - Inspection Lot Record'!A:A,'QALS - Inspection Lot Record'!E:E)</f>
        <v>46035</v>
      </c>
      <c r="H2650" s="34" t="str">
        <f t="shared" si="210"/>
        <v>A</v>
      </c>
      <c r="I2650" s="29" t="str">
        <f t="shared" si="206"/>
        <v>GC197258</v>
      </c>
      <c r="J2650" s="59">
        <f t="shared" ca="1" si="207"/>
        <v>46035</v>
      </c>
      <c r="K2650" s="30">
        <f ca="1">LOOKUP(A2650,'QALS - Inspection Lot Record'!A:A,'QALS - Inspection Lot Record'!I:I)</f>
        <v>0.1489236111111111</v>
      </c>
      <c r="L2650" s="59">
        <f t="shared" ca="1" si="208"/>
        <v>46035</v>
      </c>
      <c r="M2650" s="30">
        <f t="shared" ca="1" si="209"/>
        <v>0.16862268518518517</v>
      </c>
      <c r="N2650" s="31"/>
      <c r="O2650" s="31">
        <v>100</v>
      </c>
      <c r="P2650" s="29">
        <v>95</v>
      </c>
      <c r="Q2650" s="29">
        <v>105</v>
      </c>
    </row>
    <row r="2651" spans="1:17" x14ac:dyDescent="0.35">
      <c r="A2651" s="26">
        <v>40000002832</v>
      </c>
      <c r="B2651" s="27">
        <v>1</v>
      </c>
      <c r="C2651" s="29" t="str">
        <f>LOOKUP(A2651,'QALS - Inspection Lot Record'!$A$2:$A$361,'QALS - Inspection Lot Record'!$O$2:$O$361)</f>
        <v>Aspirin Tablets (500 MG)</v>
      </c>
      <c r="D2651" s="31">
        <v>20</v>
      </c>
      <c r="E2651" s="29" t="s">
        <v>400</v>
      </c>
      <c r="F2651" s="29" t="str">
        <f>LOOKUP(A2651,'QALS - Inspection Lot Record'!A:A,'QALS - Inspection Lot Record'!G:G)</f>
        <v>GC197258</v>
      </c>
      <c r="G2651" s="59">
        <f ca="1">LOOKUP(A2651,'QALS - Inspection Lot Record'!A:A,'QALS - Inspection Lot Record'!E:E)</f>
        <v>46035</v>
      </c>
      <c r="H2651" s="34" t="str">
        <f t="shared" si="210"/>
        <v>A</v>
      </c>
      <c r="I2651" s="29" t="str">
        <f t="shared" si="206"/>
        <v>GC197258</v>
      </c>
      <c r="J2651" s="59">
        <f t="shared" ca="1" si="207"/>
        <v>46035</v>
      </c>
      <c r="K2651" s="30">
        <f ca="1">LOOKUP(A2651,'QALS - Inspection Lot Record'!A:A,'QALS - Inspection Lot Record'!I:I)</f>
        <v>0.1489236111111111</v>
      </c>
      <c r="L2651" s="59">
        <f t="shared" ca="1" si="208"/>
        <v>46035</v>
      </c>
      <c r="M2651" s="30">
        <f t="shared" ca="1" si="209"/>
        <v>0.17594907407407406</v>
      </c>
      <c r="N2651" s="31"/>
      <c r="O2651" s="31">
        <v>7.25</v>
      </c>
      <c r="P2651" s="29">
        <v>3.5</v>
      </c>
      <c r="Q2651" s="29">
        <v>11</v>
      </c>
    </row>
    <row r="2652" spans="1:17" x14ac:dyDescent="0.35">
      <c r="A2652" s="26">
        <v>40000002832</v>
      </c>
      <c r="B2652" s="31">
        <v>1</v>
      </c>
      <c r="C2652" s="29" t="str">
        <f>LOOKUP(A2652,'QALS - Inspection Lot Record'!$A$2:$A$361,'QALS - Inspection Lot Record'!$O$2:$O$361)</f>
        <v>Aspirin Tablets (500 MG)</v>
      </c>
      <c r="D2652" s="31">
        <v>30</v>
      </c>
      <c r="E2652" s="29" t="s">
        <v>401</v>
      </c>
      <c r="F2652" s="29" t="str">
        <f>LOOKUP(A2652,'QALS - Inspection Lot Record'!A:A,'QALS - Inspection Lot Record'!G:G)</f>
        <v>GC197258</v>
      </c>
      <c r="G2652" s="59">
        <f ca="1">LOOKUP(A2652,'QALS - Inspection Lot Record'!A:A,'QALS - Inspection Lot Record'!E:E)</f>
        <v>46035</v>
      </c>
      <c r="H2652" s="34" t="str">
        <f t="shared" si="210"/>
        <v>A</v>
      </c>
      <c r="I2652" s="29" t="str">
        <f t="shared" si="206"/>
        <v>GC197258</v>
      </c>
      <c r="J2652" s="59">
        <f t="shared" ca="1" si="207"/>
        <v>46035</v>
      </c>
      <c r="K2652" s="30">
        <f ca="1">LOOKUP(A2652,'QALS - Inspection Lot Record'!A:A,'QALS - Inspection Lot Record'!I:I)</f>
        <v>0.1489236111111111</v>
      </c>
      <c r="L2652" s="59">
        <f t="shared" ca="1" si="208"/>
        <v>46035</v>
      </c>
      <c r="M2652" s="30">
        <f t="shared" ca="1" si="209"/>
        <v>0.17261574074074074</v>
      </c>
      <c r="N2652" s="11" t="s">
        <v>402</v>
      </c>
      <c r="O2652" s="31"/>
      <c r="P2652" s="29"/>
      <c r="Q2652" s="29"/>
    </row>
    <row r="2653" spans="1:17" x14ac:dyDescent="0.35">
      <c r="A2653" s="26">
        <v>40000002832</v>
      </c>
      <c r="B2653" s="31">
        <v>1</v>
      </c>
      <c r="C2653" s="29" t="str">
        <f>LOOKUP(A2653,'QALS - Inspection Lot Record'!$A$2:$A$361,'QALS - Inspection Lot Record'!$O$2:$O$361)</f>
        <v>Aspirin Tablets (500 MG)</v>
      </c>
      <c r="D2653" s="31">
        <v>40</v>
      </c>
      <c r="E2653" s="29" t="s">
        <v>403</v>
      </c>
      <c r="F2653" s="29" t="str">
        <f>LOOKUP(A2653,'QALS - Inspection Lot Record'!A:A,'QALS - Inspection Lot Record'!G:G)</f>
        <v>GC197258</v>
      </c>
      <c r="G2653" s="59">
        <f ca="1">LOOKUP(A2653,'QALS - Inspection Lot Record'!A:A,'QALS - Inspection Lot Record'!E:E)</f>
        <v>46035</v>
      </c>
      <c r="H2653" s="34" t="str">
        <f t="shared" si="210"/>
        <v>A</v>
      </c>
      <c r="I2653" s="29" t="str">
        <f t="shared" si="206"/>
        <v>GC197258</v>
      </c>
      <c r="J2653" s="59">
        <f t="shared" ca="1" si="207"/>
        <v>46035</v>
      </c>
      <c r="K2653" s="30">
        <f ca="1">LOOKUP(A2653,'QALS - Inspection Lot Record'!A:A,'QALS - Inspection Lot Record'!I:I)</f>
        <v>0.1489236111111111</v>
      </c>
      <c r="L2653" s="59">
        <f t="shared" ca="1" si="208"/>
        <v>46035</v>
      </c>
      <c r="M2653" s="30">
        <f t="shared" ca="1" si="209"/>
        <v>0.17040509259259259</v>
      </c>
      <c r="N2653" s="31"/>
      <c r="O2653" s="31">
        <v>0</v>
      </c>
      <c r="P2653" s="29">
        <v>0</v>
      </c>
      <c r="Q2653" s="29">
        <v>2.5</v>
      </c>
    </row>
    <row r="2654" spans="1:17" x14ac:dyDescent="0.35">
      <c r="A2654" s="26">
        <v>40000002832</v>
      </c>
      <c r="B2654" s="31">
        <v>1</v>
      </c>
      <c r="C2654" s="29" t="str">
        <f>LOOKUP(A2654,'QALS - Inspection Lot Record'!$A$2:$A$361,'QALS - Inspection Lot Record'!$O$2:$O$361)</f>
        <v>Aspirin Tablets (500 MG)</v>
      </c>
      <c r="D2654" s="31">
        <v>50</v>
      </c>
      <c r="E2654" s="29" t="s">
        <v>404</v>
      </c>
      <c r="F2654" s="29" t="str">
        <f>LOOKUP(A2654,'QALS - Inspection Lot Record'!A:A,'QALS - Inspection Lot Record'!G:G)</f>
        <v>GC197258</v>
      </c>
      <c r="G2654" s="59">
        <f ca="1">LOOKUP(A2654,'QALS - Inspection Lot Record'!A:A,'QALS - Inspection Lot Record'!E:E)</f>
        <v>46035</v>
      </c>
      <c r="H2654" s="34" t="str">
        <f t="shared" si="210"/>
        <v>A</v>
      </c>
      <c r="I2654" s="29" t="str">
        <f t="shared" si="206"/>
        <v>GC197258</v>
      </c>
      <c r="J2654" s="59">
        <f t="shared" ca="1" si="207"/>
        <v>46035</v>
      </c>
      <c r="K2654" s="30">
        <f ca="1">LOOKUP(A2654,'QALS - Inspection Lot Record'!A:A,'QALS - Inspection Lot Record'!I:I)</f>
        <v>0.1489236111111111</v>
      </c>
      <c r="L2654" s="59">
        <f t="shared" ca="1" si="208"/>
        <v>46035</v>
      </c>
      <c r="M2654" s="30">
        <f t="shared" ca="1" si="209"/>
        <v>0.17229166666666665</v>
      </c>
      <c r="N2654" s="31"/>
      <c r="O2654" s="31">
        <v>50</v>
      </c>
      <c r="P2654" s="29">
        <v>40</v>
      </c>
      <c r="Q2654" s="29">
        <v>60</v>
      </c>
    </row>
    <row r="2655" spans="1:17" x14ac:dyDescent="0.35">
      <c r="A2655" s="26">
        <v>40000002832</v>
      </c>
      <c r="B2655" s="31">
        <v>1</v>
      </c>
      <c r="C2655" s="29" t="str">
        <f>LOOKUP(A2655,'QALS - Inspection Lot Record'!$A$2:$A$361,'QALS - Inspection Lot Record'!$O$2:$O$361)</f>
        <v>Aspirin Tablets (500 MG)</v>
      </c>
      <c r="D2655" s="31">
        <v>60</v>
      </c>
      <c r="E2655" s="29" t="s">
        <v>405</v>
      </c>
      <c r="F2655" s="29" t="str">
        <f>LOOKUP(A2655,'QALS - Inspection Lot Record'!A:A,'QALS - Inspection Lot Record'!G:G)</f>
        <v>GC197258</v>
      </c>
      <c r="G2655" s="59">
        <f ca="1">LOOKUP(A2655,'QALS - Inspection Lot Record'!A:A,'QALS - Inspection Lot Record'!E:E)</f>
        <v>46035</v>
      </c>
      <c r="H2655" s="34" t="str">
        <f t="shared" si="210"/>
        <v>A</v>
      </c>
      <c r="I2655" s="29" t="str">
        <f t="shared" si="206"/>
        <v>GC197258</v>
      </c>
      <c r="J2655" s="59">
        <f t="shared" ca="1" si="207"/>
        <v>46035</v>
      </c>
      <c r="K2655" s="30">
        <f ca="1">LOOKUP(A2655,'QALS - Inspection Lot Record'!A:A,'QALS - Inspection Lot Record'!I:I)</f>
        <v>0.1489236111111111</v>
      </c>
      <c r="L2655" s="59">
        <f t="shared" ca="1" si="208"/>
        <v>46035</v>
      </c>
      <c r="M2655" s="30">
        <f t="shared" ca="1" si="209"/>
        <v>0.17813657407407407</v>
      </c>
      <c r="N2655" s="31"/>
      <c r="O2655" s="31">
        <v>77.5</v>
      </c>
      <c r="P2655" s="29">
        <v>70</v>
      </c>
      <c r="Q2655" s="29">
        <v>85</v>
      </c>
    </row>
    <row r="2656" spans="1:17" x14ac:dyDescent="0.35">
      <c r="A2656" s="26">
        <v>40000002832</v>
      </c>
      <c r="B2656" s="31">
        <v>1</v>
      </c>
      <c r="C2656" s="29" t="str">
        <f>LOOKUP(A2656,'QALS - Inspection Lot Record'!$A$2:$A$361,'QALS - Inspection Lot Record'!$O$2:$O$361)</f>
        <v>Aspirin Tablets (500 MG)</v>
      </c>
      <c r="D2656" s="31">
        <v>70</v>
      </c>
      <c r="E2656" s="29" t="s">
        <v>406</v>
      </c>
      <c r="F2656" s="29" t="str">
        <f>LOOKUP(A2656,'QALS - Inspection Lot Record'!A:A,'QALS - Inspection Lot Record'!G:G)</f>
        <v>GC197258</v>
      </c>
      <c r="G2656" s="59">
        <f ca="1">LOOKUP(A2656,'QALS - Inspection Lot Record'!A:A,'QALS - Inspection Lot Record'!E:E)</f>
        <v>46035</v>
      </c>
      <c r="H2656" s="34" t="str">
        <f t="shared" si="210"/>
        <v>A</v>
      </c>
      <c r="I2656" s="29" t="str">
        <f t="shared" si="206"/>
        <v>GC197258</v>
      </c>
      <c r="J2656" s="59">
        <f t="shared" ca="1" si="207"/>
        <v>46035</v>
      </c>
      <c r="K2656" s="30">
        <f ca="1">LOOKUP(A2656,'QALS - Inspection Lot Record'!A:A,'QALS - Inspection Lot Record'!I:I)</f>
        <v>0.1489236111111111</v>
      </c>
      <c r="L2656" s="59">
        <f t="shared" ca="1" si="208"/>
        <v>46035</v>
      </c>
      <c r="M2656" s="30">
        <f t="shared" ca="1" si="209"/>
        <v>0.16791666666666666</v>
      </c>
      <c r="N2656" s="31"/>
      <c r="O2656" s="31">
        <v>85</v>
      </c>
      <c r="P2656" s="29">
        <v>80</v>
      </c>
      <c r="Q2656" s="29">
        <v>90</v>
      </c>
    </row>
    <row r="2657" spans="1:17" x14ac:dyDescent="0.35">
      <c r="A2657" s="26">
        <v>40000002832</v>
      </c>
      <c r="B2657" s="31">
        <v>1</v>
      </c>
      <c r="C2657" s="29" t="str">
        <f>LOOKUP(A2657,'QALS - Inspection Lot Record'!$A$2:$A$361,'QALS - Inspection Lot Record'!$O$2:$O$361)</f>
        <v>Aspirin Tablets (500 MG)</v>
      </c>
      <c r="D2657" s="31">
        <v>80</v>
      </c>
      <c r="E2657" s="29" t="s">
        <v>407</v>
      </c>
      <c r="F2657" s="29" t="str">
        <f>LOOKUP(A2657,'QALS - Inspection Lot Record'!A:A,'QALS - Inspection Lot Record'!G:G)</f>
        <v>GC197258</v>
      </c>
      <c r="G2657" s="59">
        <f ca="1">LOOKUP(A2657,'QALS - Inspection Lot Record'!A:A,'QALS - Inspection Lot Record'!E:E)</f>
        <v>46035</v>
      </c>
      <c r="H2657" s="34" t="str">
        <f t="shared" si="210"/>
        <v>A</v>
      </c>
      <c r="I2657" s="29" t="str">
        <f t="shared" si="206"/>
        <v>GC197258</v>
      </c>
      <c r="J2657" s="59">
        <f t="shared" ca="1" si="207"/>
        <v>46035</v>
      </c>
      <c r="K2657" s="30">
        <f ca="1">LOOKUP(A2657,'QALS - Inspection Lot Record'!A:A,'QALS - Inspection Lot Record'!I:I)</f>
        <v>0.1489236111111111</v>
      </c>
      <c r="L2657" s="59">
        <f t="shared" ca="1" si="208"/>
        <v>46035</v>
      </c>
      <c r="M2657" s="30">
        <f t="shared" ca="1" si="209"/>
        <v>0.17008101851851851</v>
      </c>
      <c r="N2657" s="31"/>
      <c r="O2657" s="31">
        <v>25.5</v>
      </c>
      <c r="P2657" s="29">
        <v>23</v>
      </c>
      <c r="Q2657" s="29">
        <v>28</v>
      </c>
    </row>
    <row r="2658" spans="1:17" x14ac:dyDescent="0.35">
      <c r="A2658" s="26">
        <v>40000002833</v>
      </c>
      <c r="B2658" s="27">
        <v>1</v>
      </c>
      <c r="C2658" s="29" t="str">
        <f>LOOKUP(A2658,'QALS - Inspection Lot Record'!$A$2:$A$361,'QALS - Inspection Lot Record'!$O$2:$O$361)</f>
        <v>Metformin Tablets (100 MG)</v>
      </c>
      <c r="D2658" s="27">
        <v>10</v>
      </c>
      <c r="E2658" s="26" t="s">
        <v>399</v>
      </c>
      <c r="F2658" s="29" t="str">
        <f>LOOKUP(A2658,'QALS - Inspection Lot Record'!A:A,'QALS - Inspection Lot Record'!G:G)</f>
        <v>TP397880</v>
      </c>
      <c r="G2658" s="59">
        <f ca="1">LOOKUP(A2658,'QALS - Inspection Lot Record'!A:A,'QALS - Inspection Lot Record'!E:E)</f>
        <v>46036</v>
      </c>
      <c r="H2658" s="34" t="str">
        <f t="shared" si="210"/>
        <v>A</v>
      </c>
      <c r="I2658" s="29" t="str">
        <f t="shared" si="206"/>
        <v>TP397880</v>
      </c>
      <c r="J2658" s="59">
        <f t="shared" ca="1" si="207"/>
        <v>46036</v>
      </c>
      <c r="K2658" s="30">
        <f ca="1">LOOKUP(A2658,'QALS - Inspection Lot Record'!A:A,'QALS - Inspection Lot Record'!I:I)</f>
        <v>0.74729166666666669</v>
      </c>
      <c r="L2658" s="59">
        <f t="shared" ca="1" si="208"/>
        <v>46036</v>
      </c>
      <c r="M2658" s="30">
        <f t="shared" ca="1" si="209"/>
        <v>0.78049768518518525</v>
      </c>
      <c r="N2658" s="31"/>
      <c r="O2658" s="31">
        <v>98.5</v>
      </c>
      <c r="P2658" s="29">
        <v>95</v>
      </c>
      <c r="Q2658" s="29">
        <v>102</v>
      </c>
    </row>
    <row r="2659" spans="1:17" x14ac:dyDescent="0.35">
      <c r="A2659" s="26">
        <v>40000002833</v>
      </c>
      <c r="B2659" s="27">
        <v>1</v>
      </c>
      <c r="C2659" s="29" t="str">
        <f>LOOKUP(A2659,'QALS - Inspection Lot Record'!$A$2:$A$361,'QALS - Inspection Lot Record'!$O$2:$O$361)</f>
        <v>Metformin Tablets (100 MG)</v>
      </c>
      <c r="D2659" s="31">
        <v>20</v>
      </c>
      <c r="E2659" s="29" t="s">
        <v>400</v>
      </c>
      <c r="F2659" s="29" t="str">
        <f>LOOKUP(A2659,'QALS - Inspection Lot Record'!A:A,'QALS - Inspection Lot Record'!G:G)</f>
        <v>TP397880</v>
      </c>
      <c r="G2659" s="59">
        <f ca="1">LOOKUP(A2659,'QALS - Inspection Lot Record'!A:A,'QALS - Inspection Lot Record'!E:E)</f>
        <v>46036</v>
      </c>
      <c r="H2659" s="34" t="str">
        <f t="shared" si="210"/>
        <v>A</v>
      </c>
      <c r="I2659" s="29" t="str">
        <f t="shared" si="206"/>
        <v>TP397880</v>
      </c>
      <c r="J2659" s="59">
        <f t="shared" ca="1" si="207"/>
        <v>46036</v>
      </c>
      <c r="K2659" s="30">
        <f ca="1">LOOKUP(A2659,'QALS - Inspection Lot Record'!A:A,'QALS - Inspection Lot Record'!I:I)</f>
        <v>0.74729166666666669</v>
      </c>
      <c r="L2659" s="59">
        <f t="shared" ca="1" si="208"/>
        <v>46036</v>
      </c>
      <c r="M2659" s="30">
        <f t="shared" ca="1" si="209"/>
        <v>0.76616898148148149</v>
      </c>
      <c r="N2659" s="31"/>
      <c r="O2659" s="31">
        <v>7.25</v>
      </c>
      <c r="P2659" s="29">
        <v>3.5</v>
      </c>
      <c r="Q2659" s="29">
        <v>11</v>
      </c>
    </row>
    <row r="2660" spans="1:17" x14ac:dyDescent="0.35">
      <c r="A2660" s="26">
        <v>40000002833</v>
      </c>
      <c r="B2660" s="31">
        <v>1</v>
      </c>
      <c r="C2660" s="29" t="str">
        <f>LOOKUP(A2660,'QALS - Inspection Lot Record'!$A$2:$A$361,'QALS - Inspection Lot Record'!$O$2:$O$361)</f>
        <v>Metformin Tablets (100 MG)</v>
      </c>
      <c r="D2660" s="31">
        <v>30</v>
      </c>
      <c r="E2660" s="29" t="s">
        <v>401</v>
      </c>
      <c r="F2660" s="29" t="str">
        <f>LOOKUP(A2660,'QALS - Inspection Lot Record'!A:A,'QALS - Inspection Lot Record'!G:G)</f>
        <v>TP397880</v>
      </c>
      <c r="G2660" s="59">
        <f ca="1">LOOKUP(A2660,'QALS - Inspection Lot Record'!A:A,'QALS - Inspection Lot Record'!E:E)</f>
        <v>46036</v>
      </c>
      <c r="H2660" s="34" t="str">
        <f t="shared" si="210"/>
        <v>A</v>
      </c>
      <c r="I2660" s="29" t="str">
        <f t="shared" si="206"/>
        <v>TP397880</v>
      </c>
      <c r="J2660" s="59">
        <f t="shared" ca="1" si="207"/>
        <v>46036</v>
      </c>
      <c r="K2660" s="30">
        <f ca="1">LOOKUP(A2660,'QALS - Inspection Lot Record'!A:A,'QALS - Inspection Lot Record'!I:I)</f>
        <v>0.74729166666666669</v>
      </c>
      <c r="L2660" s="59">
        <f t="shared" ca="1" si="208"/>
        <v>46036</v>
      </c>
      <c r="M2660" s="30">
        <f t="shared" ca="1" si="209"/>
        <v>0.77057870370370374</v>
      </c>
      <c r="N2660" s="11" t="s">
        <v>402</v>
      </c>
      <c r="O2660" s="31"/>
      <c r="P2660" s="29"/>
      <c r="Q2660" s="29"/>
    </row>
    <row r="2661" spans="1:17" x14ac:dyDescent="0.35">
      <c r="A2661" s="26">
        <v>40000002833</v>
      </c>
      <c r="B2661" s="31">
        <v>1</v>
      </c>
      <c r="C2661" s="29" t="str">
        <f>LOOKUP(A2661,'QALS - Inspection Lot Record'!$A$2:$A$361,'QALS - Inspection Lot Record'!$O$2:$O$361)</f>
        <v>Metformin Tablets (100 MG)</v>
      </c>
      <c r="D2661" s="31">
        <v>40</v>
      </c>
      <c r="E2661" s="29" t="s">
        <v>403</v>
      </c>
      <c r="F2661" s="29" t="str">
        <f>LOOKUP(A2661,'QALS - Inspection Lot Record'!A:A,'QALS - Inspection Lot Record'!G:G)</f>
        <v>TP397880</v>
      </c>
      <c r="G2661" s="59">
        <f ca="1">LOOKUP(A2661,'QALS - Inspection Lot Record'!A:A,'QALS - Inspection Lot Record'!E:E)</f>
        <v>46036</v>
      </c>
      <c r="H2661" s="34" t="str">
        <f t="shared" si="210"/>
        <v>A</v>
      </c>
      <c r="I2661" s="29" t="str">
        <f t="shared" si="206"/>
        <v>TP397880</v>
      </c>
      <c r="J2661" s="59">
        <f t="shared" ca="1" si="207"/>
        <v>46036</v>
      </c>
      <c r="K2661" s="30">
        <f ca="1">LOOKUP(A2661,'QALS - Inspection Lot Record'!A:A,'QALS - Inspection Lot Record'!I:I)</f>
        <v>0.74729166666666669</v>
      </c>
      <c r="L2661" s="59">
        <f t="shared" ca="1" si="208"/>
        <v>46036</v>
      </c>
      <c r="M2661" s="30">
        <f t="shared" ca="1" si="209"/>
        <v>0.77</v>
      </c>
      <c r="N2661" s="31"/>
      <c r="O2661" s="31">
        <v>0</v>
      </c>
      <c r="P2661" s="29">
        <v>0</v>
      </c>
      <c r="Q2661" s="29">
        <v>1</v>
      </c>
    </row>
    <row r="2662" spans="1:17" x14ac:dyDescent="0.35">
      <c r="A2662" s="26">
        <v>40000002833</v>
      </c>
      <c r="B2662" s="31">
        <v>1</v>
      </c>
      <c r="C2662" s="29" t="str">
        <f>LOOKUP(A2662,'QALS - Inspection Lot Record'!$A$2:$A$361,'QALS - Inspection Lot Record'!$O$2:$O$361)</f>
        <v>Metformin Tablets (100 MG)</v>
      </c>
      <c r="D2662" s="31">
        <v>50</v>
      </c>
      <c r="E2662" s="29" t="s">
        <v>404</v>
      </c>
      <c r="F2662" s="29" t="str">
        <f>LOOKUP(A2662,'QALS - Inspection Lot Record'!A:A,'QALS - Inspection Lot Record'!G:G)</f>
        <v>TP397880</v>
      </c>
      <c r="G2662" s="59">
        <f ca="1">LOOKUP(A2662,'QALS - Inspection Lot Record'!A:A,'QALS - Inspection Lot Record'!E:E)</f>
        <v>46036</v>
      </c>
      <c r="H2662" s="34" t="str">
        <f t="shared" si="210"/>
        <v>A</v>
      </c>
      <c r="I2662" s="29" t="str">
        <f t="shared" si="206"/>
        <v>TP397880</v>
      </c>
      <c r="J2662" s="59">
        <f t="shared" ca="1" si="207"/>
        <v>46036</v>
      </c>
      <c r="K2662" s="30">
        <f ca="1">LOOKUP(A2662,'QALS - Inspection Lot Record'!A:A,'QALS - Inspection Lot Record'!I:I)</f>
        <v>0.74729166666666669</v>
      </c>
      <c r="L2662" s="59">
        <f t="shared" ca="1" si="208"/>
        <v>46036</v>
      </c>
      <c r="M2662" s="30">
        <f t="shared" ca="1" si="209"/>
        <v>0.77910879629629637</v>
      </c>
      <c r="N2662" s="31"/>
      <c r="O2662" s="31">
        <v>50</v>
      </c>
      <c r="P2662" s="29">
        <v>40</v>
      </c>
      <c r="Q2662" s="29">
        <v>60</v>
      </c>
    </row>
    <row r="2663" spans="1:17" x14ac:dyDescent="0.35">
      <c r="A2663" s="26">
        <v>40000002833</v>
      </c>
      <c r="B2663" s="31">
        <v>1</v>
      </c>
      <c r="C2663" s="29" t="str">
        <f>LOOKUP(A2663,'QALS - Inspection Lot Record'!$A$2:$A$361,'QALS - Inspection Lot Record'!$O$2:$O$361)</f>
        <v>Metformin Tablets (100 MG)</v>
      </c>
      <c r="D2663" s="31">
        <v>60</v>
      </c>
      <c r="E2663" s="29" t="s">
        <v>405</v>
      </c>
      <c r="F2663" s="29" t="str">
        <f>LOOKUP(A2663,'QALS - Inspection Lot Record'!A:A,'QALS - Inspection Lot Record'!G:G)</f>
        <v>TP397880</v>
      </c>
      <c r="G2663" s="59">
        <f ca="1">LOOKUP(A2663,'QALS - Inspection Lot Record'!A:A,'QALS - Inspection Lot Record'!E:E)</f>
        <v>46036</v>
      </c>
      <c r="H2663" s="34" t="str">
        <f t="shared" si="210"/>
        <v>A</v>
      </c>
      <c r="I2663" s="29" t="str">
        <f t="shared" si="206"/>
        <v>TP397880</v>
      </c>
      <c r="J2663" s="59">
        <f t="shared" ca="1" si="207"/>
        <v>46036</v>
      </c>
      <c r="K2663" s="30">
        <f ca="1">LOOKUP(A2663,'QALS - Inspection Lot Record'!A:A,'QALS - Inspection Lot Record'!I:I)</f>
        <v>0.74729166666666669</v>
      </c>
      <c r="L2663" s="59">
        <f t="shared" ca="1" si="208"/>
        <v>46036</v>
      </c>
      <c r="M2663" s="30">
        <f t="shared" ca="1" si="209"/>
        <v>0.77554398148148151</v>
      </c>
      <c r="N2663" s="31"/>
      <c r="O2663" s="31">
        <v>77.5</v>
      </c>
      <c r="P2663" s="29">
        <v>70</v>
      </c>
      <c r="Q2663" s="29">
        <v>85</v>
      </c>
    </row>
    <row r="2664" spans="1:17" x14ac:dyDescent="0.35">
      <c r="A2664" s="26">
        <v>40000002833</v>
      </c>
      <c r="B2664" s="31">
        <v>1</v>
      </c>
      <c r="C2664" s="29" t="str">
        <f>LOOKUP(A2664,'QALS - Inspection Lot Record'!$A$2:$A$361,'QALS - Inspection Lot Record'!$O$2:$O$361)</f>
        <v>Metformin Tablets (100 MG)</v>
      </c>
      <c r="D2664" s="31">
        <v>70</v>
      </c>
      <c r="E2664" s="29" t="s">
        <v>406</v>
      </c>
      <c r="F2664" s="29" t="str">
        <f>LOOKUP(A2664,'QALS - Inspection Lot Record'!A:A,'QALS - Inspection Lot Record'!G:G)</f>
        <v>TP397880</v>
      </c>
      <c r="G2664" s="59">
        <f ca="1">LOOKUP(A2664,'QALS - Inspection Lot Record'!A:A,'QALS - Inspection Lot Record'!E:E)</f>
        <v>46036</v>
      </c>
      <c r="H2664" s="34" t="str">
        <f t="shared" si="210"/>
        <v>A</v>
      </c>
      <c r="I2664" s="29" t="str">
        <f t="shared" si="206"/>
        <v>TP397880</v>
      </c>
      <c r="J2664" s="59">
        <f t="shared" ca="1" si="207"/>
        <v>46036</v>
      </c>
      <c r="K2664" s="30">
        <f ca="1">LOOKUP(A2664,'QALS - Inspection Lot Record'!A:A,'QALS - Inspection Lot Record'!I:I)</f>
        <v>0.74729166666666669</v>
      </c>
      <c r="L2664" s="59">
        <f t="shared" ca="1" si="208"/>
        <v>46036</v>
      </c>
      <c r="M2664" s="30">
        <f t="shared" ca="1" si="209"/>
        <v>0.7681365740740741</v>
      </c>
      <c r="N2664" s="31"/>
      <c r="O2664" s="31">
        <v>85</v>
      </c>
      <c r="P2664" s="29">
        <v>80</v>
      </c>
      <c r="Q2664" s="29">
        <v>90</v>
      </c>
    </row>
    <row r="2665" spans="1:17" x14ac:dyDescent="0.35">
      <c r="A2665" s="26">
        <v>40000002833</v>
      </c>
      <c r="B2665" s="31">
        <v>1</v>
      </c>
      <c r="C2665" s="29" t="str">
        <f>LOOKUP(A2665,'QALS - Inspection Lot Record'!$A$2:$A$361,'QALS - Inspection Lot Record'!$O$2:$O$361)</f>
        <v>Metformin Tablets (100 MG)</v>
      </c>
      <c r="D2665" s="31">
        <v>80</v>
      </c>
      <c r="E2665" s="29" t="s">
        <v>407</v>
      </c>
      <c r="F2665" s="29" t="str">
        <f>LOOKUP(A2665,'QALS - Inspection Lot Record'!A:A,'QALS - Inspection Lot Record'!G:G)</f>
        <v>TP397880</v>
      </c>
      <c r="G2665" s="59">
        <f ca="1">LOOKUP(A2665,'QALS - Inspection Lot Record'!A:A,'QALS - Inspection Lot Record'!E:E)</f>
        <v>46036</v>
      </c>
      <c r="H2665" s="34" t="str">
        <f t="shared" si="210"/>
        <v>A</v>
      </c>
      <c r="I2665" s="29" t="str">
        <f t="shared" si="206"/>
        <v>TP397880</v>
      </c>
      <c r="J2665" s="59">
        <f t="shared" ca="1" si="207"/>
        <v>46036</v>
      </c>
      <c r="K2665" s="30">
        <f ca="1">LOOKUP(A2665,'QALS - Inspection Lot Record'!A:A,'QALS - Inspection Lot Record'!I:I)</f>
        <v>0.74729166666666669</v>
      </c>
      <c r="L2665" s="59">
        <f t="shared" ca="1" si="208"/>
        <v>46036</v>
      </c>
      <c r="M2665" s="30">
        <f t="shared" ca="1" si="209"/>
        <v>0.78167824074074077</v>
      </c>
      <c r="N2665" s="31"/>
      <c r="O2665" s="31">
        <v>24</v>
      </c>
      <c r="P2665" s="29">
        <v>23</v>
      </c>
      <c r="Q2665" s="29">
        <v>25</v>
      </c>
    </row>
    <row r="2666" spans="1:17" x14ac:dyDescent="0.35">
      <c r="A2666" s="26">
        <v>40000002834</v>
      </c>
      <c r="B2666" s="27">
        <v>1</v>
      </c>
      <c r="C2666" s="29" t="str">
        <f>LOOKUP(A2666,'QALS - Inspection Lot Record'!$A$2:$A$361,'QALS - Inspection Lot Record'!$O$2:$O$361)</f>
        <v>Aspirin Tablets (500 MG)</v>
      </c>
      <c r="D2666" s="27">
        <v>10</v>
      </c>
      <c r="E2666" s="26" t="s">
        <v>399</v>
      </c>
      <c r="F2666" s="29" t="str">
        <f>LOOKUP(A2666,'QALS - Inspection Lot Record'!A:A,'QALS - Inspection Lot Record'!G:G)</f>
        <v>TG509538</v>
      </c>
      <c r="G2666" s="59">
        <f ca="1">LOOKUP(A2666,'QALS - Inspection Lot Record'!A:A,'QALS - Inspection Lot Record'!E:E)</f>
        <v>46036</v>
      </c>
      <c r="H2666" s="34" t="str">
        <f t="shared" si="210"/>
        <v>A</v>
      </c>
      <c r="I2666" s="29" t="str">
        <f t="shared" si="206"/>
        <v>TG509538</v>
      </c>
      <c r="J2666" s="59">
        <f t="shared" ca="1" si="207"/>
        <v>46036</v>
      </c>
      <c r="K2666" s="30">
        <f ca="1">LOOKUP(A2666,'QALS - Inspection Lot Record'!A:A,'QALS - Inspection Lot Record'!I:I)</f>
        <v>0.27491898148148147</v>
      </c>
      <c r="L2666" s="59">
        <f t="shared" ca="1" si="208"/>
        <v>46036</v>
      </c>
      <c r="M2666" s="30">
        <f t="shared" ca="1" si="209"/>
        <v>0.30090277777777774</v>
      </c>
      <c r="N2666" s="31"/>
      <c r="O2666" s="31">
        <v>100</v>
      </c>
      <c r="P2666" s="29">
        <v>95</v>
      </c>
      <c r="Q2666" s="29">
        <v>105</v>
      </c>
    </row>
    <row r="2667" spans="1:17" x14ac:dyDescent="0.35">
      <c r="A2667" s="26">
        <v>40000002834</v>
      </c>
      <c r="B2667" s="27">
        <v>1</v>
      </c>
      <c r="C2667" s="29" t="str">
        <f>LOOKUP(A2667,'QALS - Inspection Lot Record'!$A$2:$A$361,'QALS - Inspection Lot Record'!$O$2:$O$361)</f>
        <v>Aspirin Tablets (500 MG)</v>
      </c>
      <c r="D2667" s="31">
        <v>20</v>
      </c>
      <c r="E2667" s="29" t="s">
        <v>400</v>
      </c>
      <c r="F2667" s="29" t="str">
        <f>LOOKUP(A2667,'QALS - Inspection Lot Record'!A:A,'QALS - Inspection Lot Record'!G:G)</f>
        <v>TG509538</v>
      </c>
      <c r="G2667" s="59">
        <f ca="1">LOOKUP(A2667,'QALS - Inspection Lot Record'!A:A,'QALS - Inspection Lot Record'!E:E)</f>
        <v>46036</v>
      </c>
      <c r="H2667" s="34" t="str">
        <f t="shared" si="210"/>
        <v>A</v>
      </c>
      <c r="I2667" s="29" t="str">
        <f t="shared" si="206"/>
        <v>TG509538</v>
      </c>
      <c r="J2667" s="59">
        <f t="shared" ca="1" si="207"/>
        <v>46036</v>
      </c>
      <c r="K2667" s="30">
        <f ca="1">LOOKUP(A2667,'QALS - Inspection Lot Record'!A:A,'QALS - Inspection Lot Record'!I:I)</f>
        <v>0.27491898148148147</v>
      </c>
      <c r="L2667" s="59">
        <f t="shared" ca="1" si="208"/>
        <v>46036</v>
      </c>
      <c r="M2667" s="30">
        <f t="shared" ca="1" si="209"/>
        <v>0.30646990740740743</v>
      </c>
      <c r="N2667" s="31"/>
      <c r="O2667" s="31">
        <v>7.25</v>
      </c>
      <c r="P2667" s="29">
        <v>3.5</v>
      </c>
      <c r="Q2667" s="29">
        <v>11</v>
      </c>
    </row>
    <row r="2668" spans="1:17" x14ac:dyDescent="0.35">
      <c r="A2668" s="26">
        <v>40000002834</v>
      </c>
      <c r="B2668" s="31">
        <v>1</v>
      </c>
      <c r="C2668" s="29" t="str">
        <f>LOOKUP(A2668,'QALS - Inspection Lot Record'!$A$2:$A$361,'QALS - Inspection Lot Record'!$O$2:$O$361)</f>
        <v>Aspirin Tablets (500 MG)</v>
      </c>
      <c r="D2668" s="31">
        <v>30</v>
      </c>
      <c r="E2668" s="29" t="s">
        <v>401</v>
      </c>
      <c r="F2668" s="29" t="str">
        <f>LOOKUP(A2668,'QALS - Inspection Lot Record'!A:A,'QALS - Inspection Lot Record'!G:G)</f>
        <v>TG509538</v>
      </c>
      <c r="G2668" s="59">
        <f ca="1">LOOKUP(A2668,'QALS - Inspection Lot Record'!A:A,'QALS - Inspection Lot Record'!E:E)</f>
        <v>46036</v>
      </c>
      <c r="H2668" s="34" t="str">
        <f t="shared" si="210"/>
        <v>A</v>
      </c>
      <c r="I2668" s="29" t="str">
        <f t="shared" si="206"/>
        <v>TG509538</v>
      </c>
      <c r="J2668" s="59">
        <f t="shared" ca="1" si="207"/>
        <v>46036</v>
      </c>
      <c r="K2668" s="30">
        <f ca="1">LOOKUP(A2668,'QALS - Inspection Lot Record'!A:A,'QALS - Inspection Lot Record'!I:I)</f>
        <v>0.27491898148148147</v>
      </c>
      <c r="L2668" s="59">
        <f t="shared" ca="1" si="208"/>
        <v>46036</v>
      </c>
      <c r="M2668" s="30">
        <f t="shared" ca="1" si="209"/>
        <v>0.29465277777777776</v>
      </c>
      <c r="N2668" s="11" t="s">
        <v>402</v>
      </c>
      <c r="O2668" s="31"/>
      <c r="P2668" s="29"/>
      <c r="Q2668" s="29"/>
    </row>
    <row r="2669" spans="1:17" x14ac:dyDescent="0.35">
      <c r="A2669" s="26">
        <v>40000002834</v>
      </c>
      <c r="B2669" s="31">
        <v>1</v>
      </c>
      <c r="C2669" s="29" t="str">
        <f>LOOKUP(A2669,'QALS - Inspection Lot Record'!$A$2:$A$361,'QALS - Inspection Lot Record'!$O$2:$O$361)</f>
        <v>Aspirin Tablets (500 MG)</v>
      </c>
      <c r="D2669" s="31">
        <v>40</v>
      </c>
      <c r="E2669" s="29" t="s">
        <v>403</v>
      </c>
      <c r="F2669" s="29" t="str">
        <f>LOOKUP(A2669,'QALS - Inspection Lot Record'!A:A,'QALS - Inspection Lot Record'!G:G)</f>
        <v>TG509538</v>
      </c>
      <c r="G2669" s="59">
        <f ca="1">LOOKUP(A2669,'QALS - Inspection Lot Record'!A:A,'QALS - Inspection Lot Record'!E:E)</f>
        <v>46036</v>
      </c>
      <c r="H2669" s="34" t="str">
        <f t="shared" si="210"/>
        <v>A</v>
      </c>
      <c r="I2669" s="29" t="str">
        <f t="shared" si="206"/>
        <v>TG509538</v>
      </c>
      <c r="J2669" s="59">
        <f t="shared" ca="1" si="207"/>
        <v>46036</v>
      </c>
      <c r="K2669" s="30">
        <f ca="1">LOOKUP(A2669,'QALS - Inspection Lot Record'!A:A,'QALS - Inspection Lot Record'!I:I)</f>
        <v>0.27491898148148147</v>
      </c>
      <c r="L2669" s="59">
        <f t="shared" ca="1" si="208"/>
        <v>46036</v>
      </c>
      <c r="M2669" s="30">
        <f t="shared" ca="1" si="209"/>
        <v>0.29682870370370368</v>
      </c>
      <c r="N2669" s="31"/>
      <c r="O2669" s="31">
        <v>0</v>
      </c>
      <c r="P2669" s="29">
        <v>0</v>
      </c>
      <c r="Q2669" s="29">
        <v>2.5</v>
      </c>
    </row>
    <row r="2670" spans="1:17" x14ac:dyDescent="0.35">
      <c r="A2670" s="26">
        <v>40000002834</v>
      </c>
      <c r="B2670" s="31">
        <v>1</v>
      </c>
      <c r="C2670" s="29" t="str">
        <f>LOOKUP(A2670,'QALS - Inspection Lot Record'!$A$2:$A$361,'QALS - Inspection Lot Record'!$O$2:$O$361)</f>
        <v>Aspirin Tablets (500 MG)</v>
      </c>
      <c r="D2670" s="31">
        <v>50</v>
      </c>
      <c r="E2670" s="29" t="s">
        <v>404</v>
      </c>
      <c r="F2670" s="29" t="str">
        <f>LOOKUP(A2670,'QALS - Inspection Lot Record'!A:A,'QALS - Inspection Lot Record'!G:G)</f>
        <v>TG509538</v>
      </c>
      <c r="G2670" s="59">
        <f ca="1">LOOKUP(A2670,'QALS - Inspection Lot Record'!A:A,'QALS - Inspection Lot Record'!E:E)</f>
        <v>46036</v>
      </c>
      <c r="H2670" s="34" t="str">
        <f t="shared" si="210"/>
        <v>A</v>
      </c>
      <c r="I2670" s="29" t="str">
        <f t="shared" si="206"/>
        <v>TG509538</v>
      </c>
      <c r="J2670" s="59">
        <f t="shared" ca="1" si="207"/>
        <v>46036</v>
      </c>
      <c r="K2670" s="30">
        <f ca="1">LOOKUP(A2670,'QALS - Inspection Lot Record'!A:A,'QALS - Inspection Lot Record'!I:I)</f>
        <v>0.27491898148148147</v>
      </c>
      <c r="L2670" s="59">
        <f t="shared" ca="1" si="208"/>
        <v>46036</v>
      </c>
      <c r="M2670" s="30">
        <f t="shared" ca="1" si="209"/>
        <v>0.30934027777777778</v>
      </c>
      <c r="N2670" s="31"/>
      <c r="O2670" s="31">
        <v>50</v>
      </c>
      <c r="P2670" s="29">
        <v>40</v>
      </c>
      <c r="Q2670" s="29">
        <v>60</v>
      </c>
    </row>
    <row r="2671" spans="1:17" x14ac:dyDescent="0.35">
      <c r="A2671" s="26">
        <v>40000002834</v>
      </c>
      <c r="B2671" s="31">
        <v>1</v>
      </c>
      <c r="C2671" s="29" t="str">
        <f>LOOKUP(A2671,'QALS - Inspection Lot Record'!$A$2:$A$361,'QALS - Inspection Lot Record'!$O$2:$O$361)</f>
        <v>Aspirin Tablets (500 MG)</v>
      </c>
      <c r="D2671" s="31">
        <v>60</v>
      </c>
      <c r="E2671" s="29" t="s">
        <v>405</v>
      </c>
      <c r="F2671" s="29" t="str">
        <f>LOOKUP(A2671,'QALS - Inspection Lot Record'!A:A,'QALS - Inspection Lot Record'!G:G)</f>
        <v>TG509538</v>
      </c>
      <c r="G2671" s="59">
        <f ca="1">LOOKUP(A2671,'QALS - Inspection Lot Record'!A:A,'QALS - Inspection Lot Record'!E:E)</f>
        <v>46036</v>
      </c>
      <c r="H2671" s="34" t="str">
        <f t="shared" si="210"/>
        <v>A</v>
      </c>
      <c r="I2671" s="29" t="str">
        <f t="shared" si="206"/>
        <v>TG509538</v>
      </c>
      <c r="J2671" s="59">
        <f t="shared" ca="1" si="207"/>
        <v>46036</v>
      </c>
      <c r="K2671" s="30">
        <f ca="1">LOOKUP(A2671,'QALS - Inspection Lot Record'!A:A,'QALS - Inspection Lot Record'!I:I)</f>
        <v>0.27491898148148147</v>
      </c>
      <c r="L2671" s="59">
        <f t="shared" ca="1" si="208"/>
        <v>46036</v>
      </c>
      <c r="M2671" s="30">
        <f t="shared" ca="1" si="209"/>
        <v>0.30788194444444444</v>
      </c>
      <c r="N2671" s="31"/>
      <c r="O2671" s="31">
        <v>77.5</v>
      </c>
      <c r="P2671" s="29">
        <v>70</v>
      </c>
      <c r="Q2671" s="29">
        <v>85</v>
      </c>
    </row>
    <row r="2672" spans="1:17" x14ac:dyDescent="0.35">
      <c r="A2672" s="26">
        <v>40000002834</v>
      </c>
      <c r="B2672" s="31">
        <v>1</v>
      </c>
      <c r="C2672" s="29" t="str">
        <f>LOOKUP(A2672,'QALS - Inspection Lot Record'!$A$2:$A$361,'QALS - Inspection Lot Record'!$O$2:$O$361)</f>
        <v>Aspirin Tablets (500 MG)</v>
      </c>
      <c r="D2672" s="31">
        <v>70</v>
      </c>
      <c r="E2672" s="29" t="s">
        <v>406</v>
      </c>
      <c r="F2672" s="29" t="str">
        <f>LOOKUP(A2672,'QALS - Inspection Lot Record'!A:A,'QALS - Inspection Lot Record'!G:G)</f>
        <v>TG509538</v>
      </c>
      <c r="G2672" s="59">
        <f ca="1">LOOKUP(A2672,'QALS - Inspection Lot Record'!A:A,'QALS - Inspection Lot Record'!E:E)</f>
        <v>46036</v>
      </c>
      <c r="H2672" s="34" t="str">
        <f t="shared" si="210"/>
        <v>A</v>
      </c>
      <c r="I2672" s="29" t="str">
        <f t="shared" si="206"/>
        <v>TG509538</v>
      </c>
      <c r="J2672" s="59">
        <f t="shared" ca="1" si="207"/>
        <v>46036</v>
      </c>
      <c r="K2672" s="30">
        <f ca="1">LOOKUP(A2672,'QALS - Inspection Lot Record'!A:A,'QALS - Inspection Lot Record'!I:I)</f>
        <v>0.27491898148148147</v>
      </c>
      <c r="L2672" s="59">
        <f t="shared" ca="1" si="208"/>
        <v>46036</v>
      </c>
      <c r="M2672" s="30">
        <f t="shared" ca="1" si="209"/>
        <v>0.29422453703703705</v>
      </c>
      <c r="N2672" s="31"/>
      <c r="O2672" s="31">
        <v>85</v>
      </c>
      <c r="P2672" s="29">
        <v>80</v>
      </c>
      <c r="Q2672" s="29">
        <v>90</v>
      </c>
    </row>
    <row r="2673" spans="1:17" x14ac:dyDescent="0.35">
      <c r="A2673" s="26">
        <v>40000002834</v>
      </c>
      <c r="B2673" s="31">
        <v>1</v>
      </c>
      <c r="C2673" s="29" t="str">
        <f>LOOKUP(A2673,'QALS - Inspection Lot Record'!$A$2:$A$361,'QALS - Inspection Lot Record'!$O$2:$O$361)</f>
        <v>Aspirin Tablets (500 MG)</v>
      </c>
      <c r="D2673" s="31">
        <v>80</v>
      </c>
      <c r="E2673" s="29" t="s">
        <v>407</v>
      </c>
      <c r="F2673" s="29" t="str">
        <f>LOOKUP(A2673,'QALS - Inspection Lot Record'!A:A,'QALS - Inspection Lot Record'!G:G)</f>
        <v>TG509538</v>
      </c>
      <c r="G2673" s="59">
        <f ca="1">LOOKUP(A2673,'QALS - Inspection Lot Record'!A:A,'QALS - Inspection Lot Record'!E:E)</f>
        <v>46036</v>
      </c>
      <c r="H2673" s="34" t="str">
        <f t="shared" si="210"/>
        <v>A</v>
      </c>
      <c r="I2673" s="29" t="str">
        <f t="shared" si="206"/>
        <v>TG509538</v>
      </c>
      <c r="J2673" s="59">
        <f t="shared" ca="1" si="207"/>
        <v>46036</v>
      </c>
      <c r="K2673" s="30">
        <f ca="1">LOOKUP(A2673,'QALS - Inspection Lot Record'!A:A,'QALS - Inspection Lot Record'!I:I)</f>
        <v>0.27491898148148147</v>
      </c>
      <c r="L2673" s="59">
        <f t="shared" ca="1" si="208"/>
        <v>46036</v>
      </c>
      <c r="M2673" s="30">
        <f t="shared" ca="1" si="209"/>
        <v>0.31027777777777776</v>
      </c>
      <c r="N2673" s="31"/>
      <c r="O2673" s="31">
        <v>25.5</v>
      </c>
      <c r="P2673" s="29">
        <v>23</v>
      </c>
      <c r="Q2673" s="29">
        <v>28</v>
      </c>
    </row>
    <row r="2674" spans="1:17" x14ac:dyDescent="0.35">
      <c r="A2674" s="26">
        <v>40000002835</v>
      </c>
      <c r="B2674" s="27">
        <v>1</v>
      </c>
      <c r="C2674" s="29" t="str">
        <f>LOOKUP(A2674,'QALS - Inspection Lot Record'!$A$2:$A$361,'QALS - Inspection Lot Record'!$O$2:$O$361)</f>
        <v>Metformin Tablets (200 MG)</v>
      </c>
      <c r="D2674" s="27">
        <v>10</v>
      </c>
      <c r="E2674" s="26" t="s">
        <v>399</v>
      </c>
      <c r="F2674" s="29" t="str">
        <f>LOOKUP(A2674,'QALS - Inspection Lot Record'!A:A,'QALS - Inspection Lot Record'!G:G)</f>
        <v>ZK384180</v>
      </c>
      <c r="G2674" s="59">
        <f ca="1">LOOKUP(A2674,'QALS - Inspection Lot Record'!A:A,'QALS - Inspection Lot Record'!E:E)</f>
        <v>46037</v>
      </c>
      <c r="H2674" s="34" t="str">
        <f t="shared" si="210"/>
        <v>A</v>
      </c>
      <c r="I2674" s="29" t="str">
        <f t="shared" si="206"/>
        <v>ZK384180</v>
      </c>
      <c r="J2674" s="59">
        <f t="shared" ca="1" si="207"/>
        <v>46037</v>
      </c>
      <c r="K2674" s="30">
        <f ca="1">LOOKUP(A2674,'QALS - Inspection Lot Record'!A:A,'QALS - Inspection Lot Record'!I:I)</f>
        <v>0.70177083333333334</v>
      </c>
      <c r="L2674" s="59">
        <f t="shared" ca="1" si="208"/>
        <v>46037</v>
      </c>
      <c r="M2674" s="30">
        <f t="shared" ca="1" si="209"/>
        <v>0.72162037037037041</v>
      </c>
      <c r="N2674" s="31"/>
      <c r="O2674" s="31">
        <v>99</v>
      </c>
      <c r="P2674" s="29">
        <v>95</v>
      </c>
      <c r="Q2674" s="29">
        <v>103</v>
      </c>
    </row>
    <row r="2675" spans="1:17" x14ac:dyDescent="0.35">
      <c r="A2675" s="26">
        <v>40000002835</v>
      </c>
      <c r="B2675" s="27">
        <v>1</v>
      </c>
      <c r="C2675" s="29" t="str">
        <f>LOOKUP(A2675,'QALS - Inspection Lot Record'!$A$2:$A$361,'QALS - Inspection Lot Record'!$O$2:$O$361)</f>
        <v>Metformin Tablets (200 MG)</v>
      </c>
      <c r="D2675" s="31">
        <v>20</v>
      </c>
      <c r="E2675" s="29" t="s">
        <v>400</v>
      </c>
      <c r="F2675" s="29" t="str">
        <f>LOOKUP(A2675,'QALS - Inspection Lot Record'!A:A,'QALS - Inspection Lot Record'!G:G)</f>
        <v>ZK384180</v>
      </c>
      <c r="G2675" s="59">
        <f ca="1">LOOKUP(A2675,'QALS - Inspection Lot Record'!A:A,'QALS - Inspection Lot Record'!E:E)</f>
        <v>46037</v>
      </c>
      <c r="H2675" s="34" t="str">
        <f t="shared" si="210"/>
        <v>A</v>
      </c>
      <c r="I2675" s="29" t="str">
        <f t="shared" si="206"/>
        <v>ZK384180</v>
      </c>
      <c r="J2675" s="59">
        <f t="shared" ca="1" si="207"/>
        <v>46037</v>
      </c>
      <c r="K2675" s="30">
        <f ca="1">LOOKUP(A2675,'QALS - Inspection Lot Record'!A:A,'QALS - Inspection Lot Record'!I:I)</f>
        <v>0.70177083333333334</v>
      </c>
      <c r="L2675" s="59">
        <f t="shared" ca="1" si="208"/>
        <v>46037</v>
      </c>
      <c r="M2675" s="30">
        <f t="shared" ca="1" si="209"/>
        <v>0.73012731481481485</v>
      </c>
      <c r="N2675" s="31"/>
      <c r="O2675" s="31">
        <v>7.75</v>
      </c>
      <c r="P2675" s="29">
        <v>6</v>
      </c>
      <c r="Q2675" s="29">
        <v>9.5</v>
      </c>
    </row>
    <row r="2676" spans="1:17" x14ac:dyDescent="0.35">
      <c r="A2676" s="26">
        <v>40000002835</v>
      </c>
      <c r="B2676" s="31">
        <v>1</v>
      </c>
      <c r="C2676" s="29" t="str">
        <f>LOOKUP(A2676,'QALS - Inspection Lot Record'!$A$2:$A$361,'QALS - Inspection Lot Record'!$O$2:$O$361)</f>
        <v>Metformin Tablets (200 MG)</v>
      </c>
      <c r="D2676" s="31">
        <v>30</v>
      </c>
      <c r="E2676" s="29" t="s">
        <v>401</v>
      </c>
      <c r="F2676" s="29" t="str">
        <f>LOOKUP(A2676,'QALS - Inspection Lot Record'!A:A,'QALS - Inspection Lot Record'!G:G)</f>
        <v>ZK384180</v>
      </c>
      <c r="G2676" s="59">
        <f ca="1">LOOKUP(A2676,'QALS - Inspection Lot Record'!A:A,'QALS - Inspection Lot Record'!E:E)</f>
        <v>46037</v>
      </c>
      <c r="H2676" s="34" t="str">
        <f t="shared" si="210"/>
        <v>A</v>
      </c>
      <c r="I2676" s="29" t="str">
        <f t="shared" si="206"/>
        <v>ZK384180</v>
      </c>
      <c r="J2676" s="59">
        <f t="shared" ca="1" si="207"/>
        <v>46037</v>
      </c>
      <c r="K2676" s="30">
        <f ca="1">LOOKUP(A2676,'QALS - Inspection Lot Record'!A:A,'QALS - Inspection Lot Record'!I:I)</f>
        <v>0.70177083333333334</v>
      </c>
      <c r="L2676" s="59">
        <f t="shared" ca="1" si="208"/>
        <v>46037</v>
      </c>
      <c r="M2676" s="30">
        <f t="shared" ca="1" si="209"/>
        <v>0.7251967592592593</v>
      </c>
      <c r="N2676" s="11" t="s">
        <v>402</v>
      </c>
      <c r="O2676" s="31"/>
      <c r="P2676" s="29"/>
      <c r="Q2676" s="29"/>
    </row>
    <row r="2677" spans="1:17" x14ac:dyDescent="0.35">
      <c r="A2677" s="26">
        <v>40000002835</v>
      </c>
      <c r="B2677" s="31">
        <v>1</v>
      </c>
      <c r="C2677" s="29" t="str">
        <f>LOOKUP(A2677,'QALS - Inspection Lot Record'!$A$2:$A$361,'QALS - Inspection Lot Record'!$O$2:$O$361)</f>
        <v>Metformin Tablets (200 MG)</v>
      </c>
      <c r="D2677" s="31">
        <v>40</v>
      </c>
      <c r="E2677" s="29" t="s">
        <v>403</v>
      </c>
      <c r="F2677" s="29" t="str">
        <f>LOOKUP(A2677,'QALS - Inspection Lot Record'!A:A,'QALS - Inspection Lot Record'!G:G)</f>
        <v>ZK384180</v>
      </c>
      <c r="G2677" s="59">
        <f ca="1">LOOKUP(A2677,'QALS - Inspection Lot Record'!A:A,'QALS - Inspection Lot Record'!E:E)</f>
        <v>46037</v>
      </c>
      <c r="H2677" s="34" t="str">
        <f t="shared" si="210"/>
        <v>A</v>
      </c>
      <c r="I2677" s="29" t="str">
        <f t="shared" si="206"/>
        <v>ZK384180</v>
      </c>
      <c r="J2677" s="59">
        <f t="shared" ca="1" si="207"/>
        <v>46037</v>
      </c>
      <c r="K2677" s="30">
        <f ca="1">LOOKUP(A2677,'QALS - Inspection Lot Record'!A:A,'QALS - Inspection Lot Record'!I:I)</f>
        <v>0.70177083333333334</v>
      </c>
      <c r="L2677" s="59">
        <f t="shared" ca="1" si="208"/>
        <v>46037</v>
      </c>
      <c r="M2677" s="30">
        <f t="shared" ca="1" si="209"/>
        <v>0.71990740740740744</v>
      </c>
      <c r="N2677" s="31"/>
      <c r="O2677" s="31">
        <v>0</v>
      </c>
      <c r="P2677" s="29">
        <v>0</v>
      </c>
      <c r="Q2677" s="29">
        <v>2</v>
      </c>
    </row>
    <row r="2678" spans="1:17" x14ac:dyDescent="0.35">
      <c r="A2678" s="26">
        <v>40000002835</v>
      </c>
      <c r="B2678" s="31">
        <v>1</v>
      </c>
      <c r="C2678" s="29" t="str">
        <f>LOOKUP(A2678,'QALS - Inspection Lot Record'!$A$2:$A$361,'QALS - Inspection Lot Record'!$O$2:$O$361)</f>
        <v>Metformin Tablets (200 MG)</v>
      </c>
      <c r="D2678" s="31">
        <v>50</v>
      </c>
      <c r="E2678" s="29" t="s">
        <v>404</v>
      </c>
      <c r="F2678" s="29" t="str">
        <f>LOOKUP(A2678,'QALS - Inspection Lot Record'!A:A,'QALS - Inspection Lot Record'!G:G)</f>
        <v>ZK384180</v>
      </c>
      <c r="G2678" s="59">
        <f ca="1">LOOKUP(A2678,'QALS - Inspection Lot Record'!A:A,'QALS - Inspection Lot Record'!E:E)</f>
        <v>46037</v>
      </c>
      <c r="H2678" s="34" t="str">
        <f t="shared" si="210"/>
        <v>A</v>
      </c>
      <c r="I2678" s="29" t="str">
        <f t="shared" si="206"/>
        <v>ZK384180</v>
      </c>
      <c r="J2678" s="59">
        <f t="shared" ca="1" si="207"/>
        <v>46037</v>
      </c>
      <c r="K2678" s="30">
        <f ca="1">LOOKUP(A2678,'QALS - Inspection Lot Record'!A:A,'QALS - Inspection Lot Record'!I:I)</f>
        <v>0.70177083333333334</v>
      </c>
      <c r="L2678" s="59">
        <f t="shared" ca="1" si="208"/>
        <v>46037</v>
      </c>
      <c r="M2678" s="30">
        <f t="shared" ca="1" si="209"/>
        <v>0.72658564814814819</v>
      </c>
      <c r="N2678" s="31"/>
      <c r="O2678" s="31">
        <v>50</v>
      </c>
      <c r="P2678" s="29">
        <v>40</v>
      </c>
      <c r="Q2678" s="29">
        <v>60</v>
      </c>
    </row>
    <row r="2679" spans="1:17" x14ac:dyDescent="0.35">
      <c r="A2679" s="26">
        <v>40000002835</v>
      </c>
      <c r="B2679" s="31">
        <v>1</v>
      </c>
      <c r="C2679" s="29" t="str">
        <f>LOOKUP(A2679,'QALS - Inspection Lot Record'!$A$2:$A$361,'QALS - Inspection Lot Record'!$O$2:$O$361)</f>
        <v>Metformin Tablets (200 MG)</v>
      </c>
      <c r="D2679" s="31">
        <v>60</v>
      </c>
      <c r="E2679" s="29" t="s">
        <v>405</v>
      </c>
      <c r="F2679" s="29" t="str">
        <f>LOOKUP(A2679,'QALS - Inspection Lot Record'!A:A,'QALS - Inspection Lot Record'!G:G)</f>
        <v>ZK384180</v>
      </c>
      <c r="G2679" s="59">
        <f ca="1">LOOKUP(A2679,'QALS - Inspection Lot Record'!A:A,'QALS - Inspection Lot Record'!E:E)</f>
        <v>46037</v>
      </c>
      <c r="H2679" s="34" t="str">
        <f t="shared" si="210"/>
        <v>A</v>
      </c>
      <c r="I2679" s="29" t="str">
        <f t="shared" si="206"/>
        <v>ZK384180</v>
      </c>
      <c r="J2679" s="59">
        <f t="shared" ca="1" si="207"/>
        <v>46037</v>
      </c>
      <c r="K2679" s="30">
        <f ca="1">LOOKUP(A2679,'QALS - Inspection Lot Record'!A:A,'QALS - Inspection Lot Record'!I:I)</f>
        <v>0.70177083333333334</v>
      </c>
      <c r="L2679" s="59">
        <f t="shared" ca="1" si="208"/>
        <v>46037</v>
      </c>
      <c r="M2679" s="30">
        <f t="shared" ca="1" si="209"/>
        <v>0.72837962962962965</v>
      </c>
      <c r="N2679" s="31"/>
      <c r="O2679" s="31">
        <v>77.5</v>
      </c>
      <c r="P2679" s="29">
        <v>70</v>
      </c>
      <c r="Q2679" s="29">
        <v>85</v>
      </c>
    </row>
    <row r="2680" spans="1:17" x14ac:dyDescent="0.35">
      <c r="A2680" s="26">
        <v>40000002835</v>
      </c>
      <c r="B2680" s="31">
        <v>1</v>
      </c>
      <c r="C2680" s="29" t="str">
        <f>LOOKUP(A2680,'QALS - Inspection Lot Record'!$A$2:$A$361,'QALS - Inspection Lot Record'!$O$2:$O$361)</f>
        <v>Metformin Tablets (200 MG)</v>
      </c>
      <c r="D2680" s="31">
        <v>70</v>
      </c>
      <c r="E2680" s="29" t="s">
        <v>406</v>
      </c>
      <c r="F2680" s="29" t="str">
        <f>LOOKUP(A2680,'QALS - Inspection Lot Record'!A:A,'QALS - Inspection Lot Record'!G:G)</f>
        <v>ZK384180</v>
      </c>
      <c r="G2680" s="59">
        <f ca="1">LOOKUP(A2680,'QALS - Inspection Lot Record'!A:A,'QALS - Inspection Lot Record'!E:E)</f>
        <v>46037</v>
      </c>
      <c r="H2680" s="34" t="str">
        <f t="shared" si="210"/>
        <v>A</v>
      </c>
      <c r="I2680" s="29" t="str">
        <f t="shared" si="206"/>
        <v>ZK384180</v>
      </c>
      <c r="J2680" s="59">
        <f t="shared" ca="1" si="207"/>
        <v>46037</v>
      </c>
      <c r="K2680" s="30">
        <f ca="1">LOOKUP(A2680,'QALS - Inspection Lot Record'!A:A,'QALS - Inspection Lot Record'!I:I)</f>
        <v>0.70177083333333334</v>
      </c>
      <c r="L2680" s="59">
        <f t="shared" ca="1" si="208"/>
        <v>46037</v>
      </c>
      <c r="M2680" s="30">
        <f t="shared" ca="1" si="209"/>
        <v>0.73349537037037038</v>
      </c>
      <c r="N2680" s="31"/>
      <c r="O2680" s="31">
        <v>85</v>
      </c>
      <c r="P2680" s="29">
        <v>80</v>
      </c>
      <c r="Q2680" s="29">
        <v>90</v>
      </c>
    </row>
    <row r="2681" spans="1:17" x14ac:dyDescent="0.35">
      <c r="A2681" s="26">
        <v>40000002835</v>
      </c>
      <c r="B2681" s="31">
        <v>1</v>
      </c>
      <c r="C2681" s="29" t="str">
        <f>LOOKUP(A2681,'QALS - Inspection Lot Record'!$A$2:$A$361,'QALS - Inspection Lot Record'!$O$2:$O$361)</f>
        <v>Metformin Tablets (200 MG)</v>
      </c>
      <c r="D2681" s="31">
        <v>80</v>
      </c>
      <c r="E2681" s="29" t="s">
        <v>407</v>
      </c>
      <c r="F2681" s="29" t="str">
        <f>LOOKUP(A2681,'QALS - Inspection Lot Record'!A:A,'QALS - Inspection Lot Record'!G:G)</f>
        <v>ZK384180</v>
      </c>
      <c r="G2681" s="59">
        <f ca="1">LOOKUP(A2681,'QALS - Inspection Lot Record'!A:A,'QALS - Inspection Lot Record'!E:E)</f>
        <v>46037</v>
      </c>
      <c r="H2681" s="34" t="str">
        <f t="shared" si="210"/>
        <v>A</v>
      </c>
      <c r="I2681" s="29" t="str">
        <f t="shared" si="206"/>
        <v>ZK384180</v>
      </c>
      <c r="J2681" s="59">
        <f t="shared" ca="1" si="207"/>
        <v>46037</v>
      </c>
      <c r="K2681" s="30">
        <f ca="1">LOOKUP(A2681,'QALS - Inspection Lot Record'!A:A,'QALS - Inspection Lot Record'!I:I)</f>
        <v>0.70177083333333334</v>
      </c>
      <c r="L2681" s="59">
        <f t="shared" ca="1" si="208"/>
        <v>46037</v>
      </c>
      <c r="M2681" s="30">
        <f t="shared" ca="1" si="209"/>
        <v>0.72388888888888892</v>
      </c>
      <c r="N2681" s="31"/>
      <c r="O2681" s="31">
        <v>25.5</v>
      </c>
      <c r="P2681" s="29">
        <v>23</v>
      </c>
      <c r="Q2681" s="29">
        <v>28</v>
      </c>
    </row>
    <row r="2682" spans="1:17" x14ac:dyDescent="0.35">
      <c r="A2682" s="26">
        <v>40000002836</v>
      </c>
      <c r="B2682" s="27">
        <v>1</v>
      </c>
      <c r="C2682" s="29" t="str">
        <f>LOOKUP(A2682,'QALS - Inspection Lot Record'!$A$2:$A$361,'QALS - Inspection Lot Record'!$O$2:$O$361)</f>
        <v>Metformin Tablets (200 MG)</v>
      </c>
      <c r="D2682" s="27">
        <v>10</v>
      </c>
      <c r="E2682" s="26" t="s">
        <v>399</v>
      </c>
      <c r="F2682" s="29" t="str">
        <f>LOOKUP(A2682,'QALS - Inspection Lot Record'!A:A,'QALS - Inspection Lot Record'!G:G)</f>
        <v>YA284176</v>
      </c>
      <c r="G2682" s="59">
        <f ca="1">LOOKUP(A2682,'QALS - Inspection Lot Record'!A:A,'QALS - Inspection Lot Record'!E:E)</f>
        <v>46037</v>
      </c>
      <c r="H2682" s="34" t="str">
        <f t="shared" si="210"/>
        <v>A</v>
      </c>
      <c r="I2682" s="29" t="str">
        <f t="shared" si="206"/>
        <v>YA284176</v>
      </c>
      <c r="J2682" s="59">
        <f t="shared" ca="1" si="207"/>
        <v>46037</v>
      </c>
      <c r="K2682" s="30">
        <f ca="1">LOOKUP(A2682,'QALS - Inspection Lot Record'!A:A,'QALS - Inspection Lot Record'!I:I)</f>
        <v>0.4534259259259259</v>
      </c>
      <c r="L2682" s="59">
        <f t="shared" ca="1" si="208"/>
        <v>46037</v>
      </c>
      <c r="M2682" s="30">
        <f t="shared" ca="1" si="209"/>
        <v>0.48430555555555554</v>
      </c>
      <c r="N2682" s="31"/>
      <c r="O2682" s="31">
        <v>99</v>
      </c>
      <c r="P2682" s="29">
        <v>95</v>
      </c>
      <c r="Q2682" s="29">
        <v>103</v>
      </c>
    </row>
    <row r="2683" spans="1:17" x14ac:dyDescent="0.35">
      <c r="A2683" s="26">
        <v>40000002836</v>
      </c>
      <c r="B2683" s="27">
        <v>1</v>
      </c>
      <c r="C2683" s="29" t="str">
        <f>LOOKUP(A2683,'QALS - Inspection Lot Record'!$A$2:$A$361,'QALS - Inspection Lot Record'!$O$2:$O$361)</f>
        <v>Metformin Tablets (200 MG)</v>
      </c>
      <c r="D2683" s="31">
        <v>20</v>
      </c>
      <c r="E2683" s="29" t="s">
        <v>400</v>
      </c>
      <c r="F2683" s="29" t="str">
        <f>LOOKUP(A2683,'QALS - Inspection Lot Record'!A:A,'QALS - Inspection Lot Record'!G:G)</f>
        <v>YA284176</v>
      </c>
      <c r="G2683" s="59">
        <f ca="1">LOOKUP(A2683,'QALS - Inspection Lot Record'!A:A,'QALS - Inspection Lot Record'!E:E)</f>
        <v>46037</v>
      </c>
      <c r="H2683" s="34" t="str">
        <f t="shared" si="210"/>
        <v>A</v>
      </c>
      <c r="I2683" s="29" t="str">
        <f t="shared" si="206"/>
        <v>YA284176</v>
      </c>
      <c r="J2683" s="59">
        <f t="shared" ca="1" si="207"/>
        <v>46037</v>
      </c>
      <c r="K2683" s="30">
        <f ca="1">LOOKUP(A2683,'QALS - Inspection Lot Record'!A:A,'QALS - Inspection Lot Record'!I:I)</f>
        <v>0.4534259259259259</v>
      </c>
      <c r="L2683" s="59">
        <f t="shared" ca="1" si="208"/>
        <v>46037</v>
      </c>
      <c r="M2683" s="30">
        <f t="shared" ca="1" si="209"/>
        <v>0.48561342592592588</v>
      </c>
      <c r="N2683" s="31"/>
      <c r="O2683" s="31">
        <v>7.75</v>
      </c>
      <c r="P2683" s="29">
        <v>6</v>
      </c>
      <c r="Q2683" s="29">
        <v>9.5</v>
      </c>
    </row>
    <row r="2684" spans="1:17" x14ac:dyDescent="0.35">
      <c r="A2684" s="26">
        <v>40000002836</v>
      </c>
      <c r="B2684" s="31">
        <v>1</v>
      </c>
      <c r="C2684" s="29" t="str">
        <f>LOOKUP(A2684,'QALS - Inspection Lot Record'!$A$2:$A$361,'QALS - Inspection Lot Record'!$O$2:$O$361)</f>
        <v>Metformin Tablets (200 MG)</v>
      </c>
      <c r="D2684" s="31">
        <v>30</v>
      </c>
      <c r="E2684" s="29" t="s">
        <v>401</v>
      </c>
      <c r="F2684" s="29" t="str">
        <f>LOOKUP(A2684,'QALS - Inspection Lot Record'!A:A,'QALS - Inspection Lot Record'!G:G)</f>
        <v>YA284176</v>
      </c>
      <c r="G2684" s="59">
        <f ca="1">LOOKUP(A2684,'QALS - Inspection Lot Record'!A:A,'QALS - Inspection Lot Record'!E:E)</f>
        <v>46037</v>
      </c>
      <c r="H2684" s="34" t="str">
        <f t="shared" si="210"/>
        <v>A</v>
      </c>
      <c r="I2684" s="29" t="str">
        <f t="shared" si="206"/>
        <v>YA284176</v>
      </c>
      <c r="J2684" s="59">
        <f t="shared" ca="1" si="207"/>
        <v>46037</v>
      </c>
      <c r="K2684" s="30">
        <f ca="1">LOOKUP(A2684,'QALS - Inspection Lot Record'!A:A,'QALS - Inspection Lot Record'!I:I)</f>
        <v>0.4534259259259259</v>
      </c>
      <c r="L2684" s="59">
        <f t="shared" ca="1" si="208"/>
        <v>46037</v>
      </c>
      <c r="M2684" s="30">
        <f t="shared" ca="1" si="209"/>
        <v>0.47362268518518513</v>
      </c>
      <c r="N2684" s="11" t="s">
        <v>402</v>
      </c>
      <c r="O2684" s="31"/>
      <c r="P2684" s="29"/>
      <c r="Q2684" s="29"/>
    </row>
    <row r="2685" spans="1:17" x14ac:dyDescent="0.35">
      <c r="A2685" s="26">
        <v>40000002836</v>
      </c>
      <c r="B2685" s="31">
        <v>1</v>
      </c>
      <c r="C2685" s="29" t="str">
        <f>LOOKUP(A2685,'QALS - Inspection Lot Record'!$A$2:$A$361,'QALS - Inspection Lot Record'!$O$2:$O$361)</f>
        <v>Metformin Tablets (200 MG)</v>
      </c>
      <c r="D2685" s="31">
        <v>40</v>
      </c>
      <c r="E2685" s="29" t="s">
        <v>403</v>
      </c>
      <c r="F2685" s="29" t="str">
        <f>LOOKUP(A2685,'QALS - Inspection Lot Record'!A:A,'QALS - Inspection Lot Record'!G:G)</f>
        <v>YA284176</v>
      </c>
      <c r="G2685" s="59">
        <f ca="1">LOOKUP(A2685,'QALS - Inspection Lot Record'!A:A,'QALS - Inspection Lot Record'!E:E)</f>
        <v>46037</v>
      </c>
      <c r="H2685" s="34" t="str">
        <f t="shared" si="210"/>
        <v>A</v>
      </c>
      <c r="I2685" s="29" t="str">
        <f t="shared" si="206"/>
        <v>YA284176</v>
      </c>
      <c r="J2685" s="59">
        <f t="shared" ca="1" si="207"/>
        <v>46037</v>
      </c>
      <c r="K2685" s="30">
        <f ca="1">LOOKUP(A2685,'QALS - Inspection Lot Record'!A:A,'QALS - Inspection Lot Record'!I:I)</f>
        <v>0.4534259259259259</v>
      </c>
      <c r="L2685" s="59">
        <f t="shared" ca="1" si="208"/>
        <v>46037</v>
      </c>
      <c r="M2685" s="30">
        <f t="shared" ca="1" si="209"/>
        <v>0.47932870370370367</v>
      </c>
      <c r="N2685" s="31"/>
      <c r="O2685" s="31">
        <v>0</v>
      </c>
      <c r="P2685" s="29">
        <v>0</v>
      </c>
      <c r="Q2685" s="29">
        <v>2</v>
      </c>
    </row>
    <row r="2686" spans="1:17" x14ac:dyDescent="0.35">
      <c r="A2686" s="26">
        <v>40000002836</v>
      </c>
      <c r="B2686" s="31">
        <v>1</v>
      </c>
      <c r="C2686" s="29" t="str">
        <f>LOOKUP(A2686,'QALS - Inspection Lot Record'!$A$2:$A$361,'QALS - Inspection Lot Record'!$O$2:$O$361)</f>
        <v>Metformin Tablets (200 MG)</v>
      </c>
      <c r="D2686" s="31">
        <v>50</v>
      </c>
      <c r="E2686" s="29" t="s">
        <v>404</v>
      </c>
      <c r="F2686" s="29" t="str">
        <f>LOOKUP(A2686,'QALS - Inspection Lot Record'!A:A,'QALS - Inspection Lot Record'!G:G)</f>
        <v>YA284176</v>
      </c>
      <c r="G2686" s="59">
        <f ca="1">LOOKUP(A2686,'QALS - Inspection Lot Record'!A:A,'QALS - Inspection Lot Record'!E:E)</f>
        <v>46037</v>
      </c>
      <c r="H2686" s="34" t="str">
        <f t="shared" si="210"/>
        <v>A</v>
      </c>
      <c r="I2686" s="29" t="str">
        <f t="shared" si="206"/>
        <v>YA284176</v>
      </c>
      <c r="J2686" s="59">
        <f t="shared" ca="1" si="207"/>
        <v>46037</v>
      </c>
      <c r="K2686" s="30">
        <f ca="1">LOOKUP(A2686,'QALS - Inspection Lot Record'!A:A,'QALS - Inspection Lot Record'!I:I)</f>
        <v>0.4534259259259259</v>
      </c>
      <c r="L2686" s="59">
        <f t="shared" ca="1" si="208"/>
        <v>46037</v>
      </c>
      <c r="M2686" s="30">
        <f t="shared" ca="1" si="209"/>
        <v>0.48138888888888887</v>
      </c>
      <c r="N2686" s="31"/>
      <c r="O2686" s="31">
        <v>50</v>
      </c>
      <c r="P2686" s="29">
        <v>40</v>
      </c>
      <c r="Q2686" s="29">
        <v>60</v>
      </c>
    </row>
    <row r="2687" spans="1:17" x14ac:dyDescent="0.35">
      <c r="A2687" s="26">
        <v>40000002836</v>
      </c>
      <c r="B2687" s="31">
        <v>1</v>
      </c>
      <c r="C2687" s="29" t="str">
        <f>LOOKUP(A2687,'QALS - Inspection Lot Record'!$A$2:$A$361,'QALS - Inspection Lot Record'!$O$2:$O$361)</f>
        <v>Metformin Tablets (200 MG)</v>
      </c>
      <c r="D2687" s="31">
        <v>60</v>
      </c>
      <c r="E2687" s="29" t="s">
        <v>405</v>
      </c>
      <c r="F2687" s="29" t="str">
        <f>LOOKUP(A2687,'QALS - Inspection Lot Record'!A:A,'QALS - Inspection Lot Record'!G:G)</f>
        <v>YA284176</v>
      </c>
      <c r="G2687" s="59">
        <f ca="1">LOOKUP(A2687,'QALS - Inspection Lot Record'!A:A,'QALS - Inspection Lot Record'!E:E)</f>
        <v>46037</v>
      </c>
      <c r="H2687" s="34" t="str">
        <f t="shared" si="210"/>
        <v>A</v>
      </c>
      <c r="I2687" s="29" t="str">
        <f t="shared" si="206"/>
        <v>YA284176</v>
      </c>
      <c r="J2687" s="59">
        <f t="shared" ca="1" si="207"/>
        <v>46037</v>
      </c>
      <c r="K2687" s="30">
        <f ca="1">LOOKUP(A2687,'QALS - Inspection Lot Record'!A:A,'QALS - Inspection Lot Record'!I:I)</f>
        <v>0.4534259259259259</v>
      </c>
      <c r="L2687" s="59">
        <f t="shared" ca="1" si="208"/>
        <v>46037</v>
      </c>
      <c r="M2687" s="30">
        <f t="shared" ca="1" si="209"/>
        <v>0.47575231481481478</v>
      </c>
      <c r="N2687" s="31"/>
      <c r="O2687" s="31">
        <v>77.5</v>
      </c>
      <c r="P2687" s="29">
        <v>70</v>
      </c>
      <c r="Q2687" s="29">
        <v>85</v>
      </c>
    </row>
    <row r="2688" spans="1:17" x14ac:dyDescent="0.35">
      <c r="A2688" s="26">
        <v>40000002836</v>
      </c>
      <c r="B2688" s="31">
        <v>1</v>
      </c>
      <c r="C2688" s="29" t="str">
        <f>LOOKUP(A2688,'QALS - Inspection Lot Record'!$A$2:$A$361,'QALS - Inspection Lot Record'!$O$2:$O$361)</f>
        <v>Metformin Tablets (200 MG)</v>
      </c>
      <c r="D2688" s="31">
        <v>70</v>
      </c>
      <c r="E2688" s="29" t="s">
        <v>406</v>
      </c>
      <c r="F2688" s="29" t="str">
        <f>LOOKUP(A2688,'QALS - Inspection Lot Record'!A:A,'QALS - Inspection Lot Record'!G:G)</f>
        <v>YA284176</v>
      </c>
      <c r="G2688" s="59">
        <f ca="1">LOOKUP(A2688,'QALS - Inspection Lot Record'!A:A,'QALS - Inspection Lot Record'!E:E)</f>
        <v>46037</v>
      </c>
      <c r="H2688" s="34" t="str">
        <f t="shared" si="210"/>
        <v>A</v>
      </c>
      <c r="I2688" s="29" t="str">
        <f t="shared" si="206"/>
        <v>YA284176</v>
      </c>
      <c r="J2688" s="59">
        <f t="shared" ca="1" si="207"/>
        <v>46037</v>
      </c>
      <c r="K2688" s="30">
        <f ca="1">LOOKUP(A2688,'QALS - Inspection Lot Record'!A:A,'QALS - Inspection Lot Record'!I:I)</f>
        <v>0.4534259259259259</v>
      </c>
      <c r="L2688" s="59">
        <f t="shared" ca="1" si="208"/>
        <v>46037</v>
      </c>
      <c r="M2688" s="30">
        <f t="shared" ca="1" si="209"/>
        <v>0.47518518518518515</v>
      </c>
      <c r="N2688" s="31"/>
      <c r="O2688" s="31">
        <v>85</v>
      </c>
      <c r="P2688" s="29">
        <v>80</v>
      </c>
      <c r="Q2688" s="29">
        <v>90</v>
      </c>
    </row>
    <row r="2689" spans="1:17" x14ac:dyDescent="0.35">
      <c r="A2689" s="26">
        <v>40000002836</v>
      </c>
      <c r="B2689" s="31">
        <v>1</v>
      </c>
      <c r="C2689" s="29" t="str">
        <f>LOOKUP(A2689,'QALS - Inspection Lot Record'!$A$2:$A$361,'QALS - Inspection Lot Record'!$O$2:$O$361)</f>
        <v>Metformin Tablets (200 MG)</v>
      </c>
      <c r="D2689" s="31">
        <v>80</v>
      </c>
      <c r="E2689" s="29" t="s">
        <v>407</v>
      </c>
      <c r="F2689" s="29" t="str">
        <f>LOOKUP(A2689,'QALS - Inspection Lot Record'!A:A,'QALS - Inspection Lot Record'!G:G)</f>
        <v>YA284176</v>
      </c>
      <c r="G2689" s="59">
        <f ca="1">LOOKUP(A2689,'QALS - Inspection Lot Record'!A:A,'QALS - Inspection Lot Record'!E:E)</f>
        <v>46037</v>
      </c>
      <c r="H2689" s="34" t="str">
        <f t="shared" si="210"/>
        <v>A</v>
      </c>
      <c r="I2689" s="29" t="str">
        <f t="shared" si="206"/>
        <v>YA284176</v>
      </c>
      <c r="J2689" s="59">
        <f t="shared" ca="1" si="207"/>
        <v>46037</v>
      </c>
      <c r="K2689" s="30">
        <f ca="1">LOOKUP(A2689,'QALS - Inspection Lot Record'!A:A,'QALS - Inspection Lot Record'!I:I)</f>
        <v>0.4534259259259259</v>
      </c>
      <c r="L2689" s="59">
        <f t="shared" ca="1" si="208"/>
        <v>46037</v>
      </c>
      <c r="M2689" s="30">
        <f t="shared" ca="1" si="209"/>
        <v>0.4869444444444444</v>
      </c>
      <c r="N2689" s="31"/>
      <c r="O2689" s="31">
        <v>25.5</v>
      </c>
      <c r="P2689" s="29">
        <v>23</v>
      </c>
      <c r="Q2689" s="29">
        <v>28</v>
      </c>
    </row>
    <row r="2690" spans="1:17" x14ac:dyDescent="0.35">
      <c r="A2690" s="26">
        <v>40000002837</v>
      </c>
      <c r="B2690" s="27">
        <v>1</v>
      </c>
      <c r="C2690" s="29" t="str">
        <f>LOOKUP(A2690,'QALS - Inspection Lot Record'!$A$2:$A$361,'QALS - Inspection Lot Record'!$O$2:$O$361)</f>
        <v>Aspirin Tablets (500 MG)</v>
      </c>
      <c r="D2690" s="27">
        <v>10</v>
      </c>
      <c r="E2690" s="26" t="s">
        <v>399</v>
      </c>
      <c r="F2690" s="29" t="str">
        <f>LOOKUP(A2690,'QALS - Inspection Lot Record'!A:A,'QALS - Inspection Lot Record'!G:G)</f>
        <v>TP397880</v>
      </c>
      <c r="G2690" s="59">
        <f ca="1">LOOKUP(A2690,'QALS - Inspection Lot Record'!A:A,'QALS - Inspection Lot Record'!E:E)</f>
        <v>46038</v>
      </c>
      <c r="H2690" s="34" t="str">
        <f t="shared" si="210"/>
        <v>A</v>
      </c>
      <c r="I2690" s="29" t="str">
        <f t="shared" ref="I2690:I2753" si="211">F2690</f>
        <v>TP397880</v>
      </c>
      <c r="J2690" s="59">
        <f t="shared" ref="J2690:J2753" ca="1" si="212">G2690</f>
        <v>46038</v>
      </c>
      <c r="K2690" s="30">
        <f ca="1">LOOKUP(A2690,'QALS - Inspection Lot Record'!A:A,'QALS - Inspection Lot Record'!I:I)</f>
        <v>0.87467592592592591</v>
      </c>
      <c r="L2690" s="59">
        <f t="shared" ref="L2690:L2753" ca="1" si="213">G2690</f>
        <v>46038</v>
      </c>
      <c r="M2690" s="30">
        <f t="shared" ref="M2690:M2753" ca="1" si="214">K2690+TIME(0,RANDBETWEEN(25,50),RANDBETWEEN(0,59))</f>
        <v>0.90195601851851848</v>
      </c>
      <c r="N2690" s="31"/>
      <c r="O2690" s="31">
        <v>100</v>
      </c>
      <c r="P2690" s="29">
        <v>95</v>
      </c>
      <c r="Q2690" s="29">
        <v>105</v>
      </c>
    </row>
    <row r="2691" spans="1:17" x14ac:dyDescent="0.35">
      <c r="A2691" s="26">
        <v>40000002837</v>
      </c>
      <c r="B2691" s="27">
        <v>1</v>
      </c>
      <c r="C2691" s="29" t="str">
        <f>LOOKUP(A2691,'QALS - Inspection Lot Record'!$A$2:$A$361,'QALS - Inspection Lot Record'!$O$2:$O$361)</f>
        <v>Aspirin Tablets (500 MG)</v>
      </c>
      <c r="D2691" s="31">
        <v>20</v>
      </c>
      <c r="E2691" s="29" t="s">
        <v>400</v>
      </c>
      <c r="F2691" s="29" t="str">
        <f>LOOKUP(A2691,'QALS - Inspection Lot Record'!A:A,'QALS - Inspection Lot Record'!G:G)</f>
        <v>TP397880</v>
      </c>
      <c r="G2691" s="59">
        <f ca="1">LOOKUP(A2691,'QALS - Inspection Lot Record'!A:A,'QALS - Inspection Lot Record'!E:E)</f>
        <v>46038</v>
      </c>
      <c r="H2691" s="34" t="str">
        <f t="shared" si="210"/>
        <v>R</v>
      </c>
      <c r="I2691" s="29" t="str">
        <f t="shared" si="211"/>
        <v>TP397880</v>
      </c>
      <c r="J2691" s="59">
        <f t="shared" ca="1" si="212"/>
        <v>46038</v>
      </c>
      <c r="K2691" s="30">
        <f ca="1">LOOKUP(A2691,'QALS - Inspection Lot Record'!A:A,'QALS - Inspection Lot Record'!I:I)</f>
        <v>0.87467592592592591</v>
      </c>
      <c r="L2691" s="59">
        <f t="shared" ca="1" si="213"/>
        <v>46038</v>
      </c>
      <c r="M2691" s="30">
        <f t="shared" ca="1" si="214"/>
        <v>0.90483796296296293</v>
      </c>
      <c r="N2691" s="31"/>
      <c r="O2691" s="31">
        <v>2.2000000000000002</v>
      </c>
      <c r="P2691" s="29">
        <v>3.5</v>
      </c>
      <c r="Q2691" s="29">
        <v>11</v>
      </c>
    </row>
    <row r="2692" spans="1:17" x14ac:dyDescent="0.35">
      <c r="A2692" s="26">
        <v>40000002837</v>
      </c>
      <c r="B2692" s="31">
        <v>1</v>
      </c>
      <c r="C2692" s="29" t="str">
        <f>LOOKUP(A2692,'QALS - Inspection Lot Record'!$A$2:$A$361,'QALS - Inspection Lot Record'!$O$2:$O$361)</f>
        <v>Aspirin Tablets (500 MG)</v>
      </c>
      <c r="D2692" s="31">
        <v>30</v>
      </c>
      <c r="E2692" s="29" t="s">
        <v>401</v>
      </c>
      <c r="F2692" s="29" t="str">
        <f>LOOKUP(A2692,'QALS - Inspection Lot Record'!A:A,'QALS - Inspection Lot Record'!G:G)</f>
        <v>TP397880</v>
      </c>
      <c r="G2692" s="59">
        <f ca="1">LOOKUP(A2692,'QALS - Inspection Lot Record'!A:A,'QALS - Inspection Lot Record'!E:E)</f>
        <v>46038</v>
      </c>
      <c r="H2692" s="34" t="str">
        <f t="shared" si="210"/>
        <v>A</v>
      </c>
      <c r="I2692" s="29" t="str">
        <f t="shared" si="211"/>
        <v>TP397880</v>
      </c>
      <c r="J2692" s="59">
        <f t="shared" ca="1" si="212"/>
        <v>46038</v>
      </c>
      <c r="K2692" s="30">
        <f ca="1">LOOKUP(A2692,'QALS - Inspection Lot Record'!A:A,'QALS - Inspection Lot Record'!I:I)</f>
        <v>0.87467592592592591</v>
      </c>
      <c r="L2692" s="59">
        <f t="shared" ca="1" si="213"/>
        <v>46038</v>
      </c>
      <c r="M2692" s="30">
        <f t="shared" ca="1" si="214"/>
        <v>0.89631944444444445</v>
      </c>
      <c r="N2692" s="11" t="s">
        <v>402</v>
      </c>
      <c r="O2692" s="31"/>
      <c r="P2692" s="29"/>
      <c r="Q2692" s="29"/>
    </row>
    <row r="2693" spans="1:17" x14ac:dyDescent="0.35">
      <c r="A2693" s="26">
        <v>40000002837</v>
      </c>
      <c r="B2693" s="31">
        <v>1</v>
      </c>
      <c r="C2693" s="29" t="str">
        <f>LOOKUP(A2693,'QALS - Inspection Lot Record'!$A$2:$A$361,'QALS - Inspection Lot Record'!$O$2:$O$361)</f>
        <v>Aspirin Tablets (500 MG)</v>
      </c>
      <c r="D2693" s="31">
        <v>40</v>
      </c>
      <c r="E2693" s="29" t="s">
        <v>403</v>
      </c>
      <c r="F2693" s="29" t="str">
        <f>LOOKUP(A2693,'QALS - Inspection Lot Record'!A:A,'QALS - Inspection Lot Record'!G:G)</f>
        <v>TP397880</v>
      </c>
      <c r="G2693" s="59">
        <f ca="1">LOOKUP(A2693,'QALS - Inspection Lot Record'!A:A,'QALS - Inspection Lot Record'!E:E)</f>
        <v>46038</v>
      </c>
      <c r="H2693" s="34" t="str">
        <f t="shared" si="210"/>
        <v>A</v>
      </c>
      <c r="I2693" s="29" t="str">
        <f t="shared" si="211"/>
        <v>TP397880</v>
      </c>
      <c r="J2693" s="59">
        <f t="shared" ca="1" si="212"/>
        <v>46038</v>
      </c>
      <c r="K2693" s="30">
        <f ca="1">LOOKUP(A2693,'QALS - Inspection Lot Record'!A:A,'QALS - Inspection Lot Record'!I:I)</f>
        <v>0.87467592592592591</v>
      </c>
      <c r="L2693" s="59">
        <f t="shared" ca="1" si="213"/>
        <v>46038</v>
      </c>
      <c r="M2693" s="30">
        <f t="shared" ca="1" si="214"/>
        <v>0.90081018518518519</v>
      </c>
      <c r="N2693" s="31"/>
      <c r="O2693" s="31">
        <v>0</v>
      </c>
      <c r="P2693" s="29">
        <v>0</v>
      </c>
      <c r="Q2693" s="29">
        <v>2.5</v>
      </c>
    </row>
    <row r="2694" spans="1:17" x14ac:dyDescent="0.35">
      <c r="A2694" s="26">
        <v>40000002837</v>
      </c>
      <c r="B2694" s="31">
        <v>1</v>
      </c>
      <c r="C2694" s="29" t="str">
        <f>LOOKUP(A2694,'QALS - Inspection Lot Record'!$A$2:$A$361,'QALS - Inspection Lot Record'!$O$2:$O$361)</f>
        <v>Aspirin Tablets (500 MG)</v>
      </c>
      <c r="D2694" s="31">
        <v>50</v>
      </c>
      <c r="E2694" s="29" t="s">
        <v>404</v>
      </c>
      <c r="F2694" s="29" t="str">
        <f>LOOKUP(A2694,'QALS - Inspection Lot Record'!A:A,'QALS - Inspection Lot Record'!G:G)</f>
        <v>TP397880</v>
      </c>
      <c r="G2694" s="59">
        <f ca="1">LOOKUP(A2694,'QALS - Inspection Lot Record'!A:A,'QALS - Inspection Lot Record'!E:E)</f>
        <v>46038</v>
      </c>
      <c r="H2694" s="34" t="str">
        <f t="shared" si="210"/>
        <v>A</v>
      </c>
      <c r="I2694" s="29" t="str">
        <f t="shared" si="211"/>
        <v>TP397880</v>
      </c>
      <c r="J2694" s="59">
        <f t="shared" ca="1" si="212"/>
        <v>46038</v>
      </c>
      <c r="K2694" s="30">
        <f ca="1">LOOKUP(A2694,'QALS - Inspection Lot Record'!A:A,'QALS - Inspection Lot Record'!I:I)</f>
        <v>0.87467592592592591</v>
      </c>
      <c r="L2694" s="59">
        <f t="shared" ca="1" si="213"/>
        <v>46038</v>
      </c>
      <c r="M2694" s="30">
        <f t="shared" ca="1" si="214"/>
        <v>0.90141203703703698</v>
      </c>
      <c r="N2694" s="31"/>
      <c r="O2694" s="31">
        <v>50</v>
      </c>
      <c r="P2694" s="29">
        <v>40</v>
      </c>
      <c r="Q2694" s="29">
        <v>60</v>
      </c>
    </row>
    <row r="2695" spans="1:17" x14ac:dyDescent="0.35">
      <c r="A2695" s="26">
        <v>40000002837</v>
      </c>
      <c r="B2695" s="31">
        <v>1</v>
      </c>
      <c r="C2695" s="29" t="str">
        <f>LOOKUP(A2695,'QALS - Inspection Lot Record'!$A$2:$A$361,'QALS - Inspection Lot Record'!$O$2:$O$361)</f>
        <v>Aspirin Tablets (500 MG)</v>
      </c>
      <c r="D2695" s="31">
        <v>60</v>
      </c>
      <c r="E2695" s="29" t="s">
        <v>405</v>
      </c>
      <c r="F2695" s="29" t="str">
        <f>LOOKUP(A2695,'QALS - Inspection Lot Record'!A:A,'QALS - Inspection Lot Record'!G:G)</f>
        <v>TP397880</v>
      </c>
      <c r="G2695" s="59">
        <f ca="1">LOOKUP(A2695,'QALS - Inspection Lot Record'!A:A,'QALS - Inspection Lot Record'!E:E)</f>
        <v>46038</v>
      </c>
      <c r="H2695" s="34" t="str">
        <f t="shared" si="210"/>
        <v>R</v>
      </c>
      <c r="I2695" s="29" t="str">
        <f t="shared" si="211"/>
        <v>TP397880</v>
      </c>
      <c r="J2695" s="59">
        <f t="shared" ca="1" si="212"/>
        <v>46038</v>
      </c>
      <c r="K2695" s="30">
        <f ca="1">LOOKUP(A2695,'QALS - Inspection Lot Record'!A:A,'QALS - Inspection Lot Record'!I:I)</f>
        <v>0.87467592592592591</v>
      </c>
      <c r="L2695" s="59">
        <f t="shared" ca="1" si="213"/>
        <v>46038</v>
      </c>
      <c r="M2695" s="30">
        <f t="shared" ca="1" si="214"/>
        <v>0.90203703703703697</v>
      </c>
      <c r="N2695" s="31"/>
      <c r="O2695" s="31">
        <v>68.400000000000006</v>
      </c>
      <c r="P2695" s="29">
        <v>70</v>
      </c>
      <c r="Q2695" s="29">
        <v>85</v>
      </c>
    </row>
    <row r="2696" spans="1:17" x14ac:dyDescent="0.35">
      <c r="A2696" s="26">
        <v>40000002837</v>
      </c>
      <c r="B2696" s="31">
        <v>1</v>
      </c>
      <c r="C2696" s="29" t="str">
        <f>LOOKUP(A2696,'QALS - Inspection Lot Record'!$A$2:$A$361,'QALS - Inspection Lot Record'!$O$2:$O$361)</f>
        <v>Aspirin Tablets (500 MG)</v>
      </c>
      <c r="D2696" s="31">
        <v>70</v>
      </c>
      <c r="E2696" s="29" t="s">
        <v>406</v>
      </c>
      <c r="F2696" s="29" t="str">
        <f>LOOKUP(A2696,'QALS - Inspection Lot Record'!A:A,'QALS - Inspection Lot Record'!G:G)</f>
        <v>TP397880</v>
      </c>
      <c r="G2696" s="59">
        <f ca="1">LOOKUP(A2696,'QALS - Inspection Lot Record'!A:A,'QALS - Inspection Lot Record'!E:E)</f>
        <v>46038</v>
      </c>
      <c r="H2696" s="34" t="str">
        <f t="shared" si="210"/>
        <v>A</v>
      </c>
      <c r="I2696" s="29" t="str">
        <f t="shared" si="211"/>
        <v>TP397880</v>
      </c>
      <c r="J2696" s="59">
        <f t="shared" ca="1" si="212"/>
        <v>46038</v>
      </c>
      <c r="K2696" s="30">
        <f ca="1">LOOKUP(A2696,'QALS - Inspection Lot Record'!A:A,'QALS - Inspection Lot Record'!I:I)</f>
        <v>0.87467592592592591</v>
      </c>
      <c r="L2696" s="59">
        <f t="shared" ca="1" si="213"/>
        <v>46038</v>
      </c>
      <c r="M2696" s="30">
        <f t="shared" ca="1" si="214"/>
        <v>0.896087962962963</v>
      </c>
      <c r="N2696" s="31"/>
      <c r="O2696" s="31">
        <v>85</v>
      </c>
      <c r="P2696" s="29">
        <v>80</v>
      </c>
      <c r="Q2696" s="29">
        <v>90</v>
      </c>
    </row>
    <row r="2697" spans="1:17" x14ac:dyDescent="0.35">
      <c r="A2697" s="26">
        <v>40000002837</v>
      </c>
      <c r="B2697" s="31">
        <v>1</v>
      </c>
      <c r="C2697" s="29" t="str">
        <f>LOOKUP(A2697,'QALS - Inspection Lot Record'!$A$2:$A$361,'QALS - Inspection Lot Record'!$O$2:$O$361)</f>
        <v>Aspirin Tablets (500 MG)</v>
      </c>
      <c r="D2697" s="31">
        <v>80</v>
      </c>
      <c r="E2697" s="29" t="s">
        <v>407</v>
      </c>
      <c r="F2697" s="29" t="str">
        <f>LOOKUP(A2697,'QALS - Inspection Lot Record'!A:A,'QALS - Inspection Lot Record'!G:G)</f>
        <v>TP397880</v>
      </c>
      <c r="G2697" s="59">
        <f ca="1">LOOKUP(A2697,'QALS - Inspection Lot Record'!A:A,'QALS - Inspection Lot Record'!E:E)</f>
        <v>46038</v>
      </c>
      <c r="H2697" s="34" t="str">
        <f t="shared" si="210"/>
        <v>A</v>
      </c>
      <c r="I2697" s="29" t="str">
        <f t="shared" si="211"/>
        <v>TP397880</v>
      </c>
      <c r="J2697" s="59">
        <f t="shared" ca="1" si="212"/>
        <v>46038</v>
      </c>
      <c r="K2697" s="30">
        <f ca="1">LOOKUP(A2697,'QALS - Inspection Lot Record'!A:A,'QALS - Inspection Lot Record'!I:I)</f>
        <v>0.87467592592592591</v>
      </c>
      <c r="L2697" s="59">
        <f t="shared" ca="1" si="213"/>
        <v>46038</v>
      </c>
      <c r="M2697" s="30">
        <f t="shared" ca="1" si="214"/>
        <v>0.89429398148148143</v>
      </c>
      <c r="N2697" s="31"/>
      <c r="O2697" s="31">
        <v>25.5</v>
      </c>
      <c r="P2697" s="29">
        <v>23</v>
      </c>
      <c r="Q2697" s="29">
        <v>28</v>
      </c>
    </row>
    <row r="2698" spans="1:17" x14ac:dyDescent="0.35">
      <c r="A2698" s="26">
        <v>40000002838</v>
      </c>
      <c r="B2698" s="27">
        <v>1</v>
      </c>
      <c r="C2698" s="29" t="str">
        <f>LOOKUP(A2698,'QALS - Inspection Lot Record'!$A$2:$A$361,'QALS - Inspection Lot Record'!$O$2:$O$361)</f>
        <v>Aspirin Tablets (500 MG)</v>
      </c>
      <c r="D2698" s="27">
        <v>10</v>
      </c>
      <c r="E2698" s="26" t="s">
        <v>399</v>
      </c>
      <c r="F2698" s="29" t="str">
        <f>LOOKUP(A2698,'QALS - Inspection Lot Record'!A:A,'QALS - Inspection Lot Record'!G:G)</f>
        <v>TG509538</v>
      </c>
      <c r="G2698" s="59">
        <f ca="1">LOOKUP(A2698,'QALS - Inspection Lot Record'!A:A,'QALS - Inspection Lot Record'!E:E)</f>
        <v>46038</v>
      </c>
      <c r="H2698" s="34" t="str">
        <f t="shared" ref="H2698:H2761" si="215">IF(AND(P2698&lt;=O2698,O2698&lt;=Q2698),"A","R")</f>
        <v>A</v>
      </c>
      <c r="I2698" s="29" t="str">
        <f t="shared" si="211"/>
        <v>TG509538</v>
      </c>
      <c r="J2698" s="59">
        <f t="shared" ca="1" si="212"/>
        <v>46038</v>
      </c>
      <c r="K2698" s="30">
        <f ca="1">LOOKUP(A2698,'QALS - Inspection Lot Record'!A:A,'QALS - Inspection Lot Record'!I:I)</f>
        <v>0.22465277777777778</v>
      </c>
      <c r="L2698" s="59">
        <f t="shared" ca="1" si="213"/>
        <v>46038</v>
      </c>
      <c r="M2698" s="30">
        <f t="shared" ca="1" si="214"/>
        <v>0.24383101851851852</v>
      </c>
      <c r="N2698" s="31"/>
      <c r="O2698" s="31">
        <v>100</v>
      </c>
      <c r="P2698" s="29">
        <v>95</v>
      </c>
      <c r="Q2698" s="29">
        <v>105</v>
      </c>
    </row>
    <row r="2699" spans="1:17" x14ac:dyDescent="0.35">
      <c r="A2699" s="26">
        <v>40000002838</v>
      </c>
      <c r="B2699" s="27">
        <v>1</v>
      </c>
      <c r="C2699" s="29" t="str">
        <f>LOOKUP(A2699,'QALS - Inspection Lot Record'!$A$2:$A$361,'QALS - Inspection Lot Record'!$O$2:$O$361)</f>
        <v>Aspirin Tablets (500 MG)</v>
      </c>
      <c r="D2699" s="31">
        <v>20</v>
      </c>
      <c r="E2699" s="29" t="s">
        <v>400</v>
      </c>
      <c r="F2699" s="29" t="str">
        <f>LOOKUP(A2699,'QALS - Inspection Lot Record'!A:A,'QALS - Inspection Lot Record'!G:G)</f>
        <v>TG509538</v>
      </c>
      <c r="G2699" s="59">
        <f ca="1">LOOKUP(A2699,'QALS - Inspection Lot Record'!A:A,'QALS - Inspection Lot Record'!E:E)</f>
        <v>46038</v>
      </c>
      <c r="H2699" s="34" t="str">
        <f t="shared" si="215"/>
        <v>A</v>
      </c>
      <c r="I2699" s="29" t="str">
        <f t="shared" si="211"/>
        <v>TG509538</v>
      </c>
      <c r="J2699" s="59">
        <f t="shared" ca="1" si="212"/>
        <v>46038</v>
      </c>
      <c r="K2699" s="30">
        <f ca="1">LOOKUP(A2699,'QALS - Inspection Lot Record'!A:A,'QALS - Inspection Lot Record'!I:I)</f>
        <v>0.22465277777777778</v>
      </c>
      <c r="L2699" s="59">
        <f t="shared" ca="1" si="213"/>
        <v>46038</v>
      </c>
      <c r="M2699" s="30">
        <f t="shared" ca="1" si="214"/>
        <v>0.24932870370370372</v>
      </c>
      <c r="N2699" s="31"/>
      <c r="O2699" s="31">
        <v>7.25</v>
      </c>
      <c r="P2699" s="29">
        <v>3.5</v>
      </c>
      <c r="Q2699" s="29">
        <v>11</v>
      </c>
    </row>
    <row r="2700" spans="1:17" x14ac:dyDescent="0.35">
      <c r="A2700" s="26">
        <v>40000002838</v>
      </c>
      <c r="B2700" s="31">
        <v>1</v>
      </c>
      <c r="C2700" s="29" t="str">
        <f>LOOKUP(A2700,'QALS - Inspection Lot Record'!$A$2:$A$361,'QALS - Inspection Lot Record'!$O$2:$O$361)</f>
        <v>Aspirin Tablets (500 MG)</v>
      </c>
      <c r="D2700" s="31">
        <v>30</v>
      </c>
      <c r="E2700" s="29" t="s">
        <v>401</v>
      </c>
      <c r="F2700" s="29" t="str">
        <f>LOOKUP(A2700,'QALS - Inspection Lot Record'!A:A,'QALS - Inspection Lot Record'!G:G)</f>
        <v>TG509538</v>
      </c>
      <c r="G2700" s="59">
        <f ca="1">LOOKUP(A2700,'QALS - Inspection Lot Record'!A:A,'QALS - Inspection Lot Record'!E:E)</f>
        <v>46038</v>
      </c>
      <c r="H2700" s="34" t="str">
        <f t="shared" si="215"/>
        <v>A</v>
      </c>
      <c r="I2700" s="29" t="str">
        <f t="shared" si="211"/>
        <v>TG509538</v>
      </c>
      <c r="J2700" s="59">
        <f t="shared" ca="1" si="212"/>
        <v>46038</v>
      </c>
      <c r="K2700" s="30">
        <f ca="1">LOOKUP(A2700,'QALS - Inspection Lot Record'!A:A,'QALS - Inspection Lot Record'!I:I)</f>
        <v>0.22465277777777778</v>
      </c>
      <c r="L2700" s="59">
        <f t="shared" ca="1" si="213"/>
        <v>46038</v>
      </c>
      <c r="M2700" s="30">
        <f t="shared" ca="1" si="214"/>
        <v>0.25788194444444446</v>
      </c>
      <c r="N2700" s="11" t="s">
        <v>402</v>
      </c>
      <c r="O2700" s="31"/>
      <c r="P2700" s="29"/>
      <c r="Q2700" s="29"/>
    </row>
    <row r="2701" spans="1:17" x14ac:dyDescent="0.35">
      <c r="A2701" s="26">
        <v>40000002838</v>
      </c>
      <c r="B2701" s="31">
        <v>1</v>
      </c>
      <c r="C2701" s="29" t="str">
        <f>LOOKUP(A2701,'QALS - Inspection Lot Record'!$A$2:$A$361,'QALS - Inspection Lot Record'!$O$2:$O$361)</f>
        <v>Aspirin Tablets (500 MG)</v>
      </c>
      <c r="D2701" s="31">
        <v>40</v>
      </c>
      <c r="E2701" s="29" t="s">
        <v>403</v>
      </c>
      <c r="F2701" s="29" t="str">
        <f>LOOKUP(A2701,'QALS - Inspection Lot Record'!A:A,'QALS - Inspection Lot Record'!G:G)</f>
        <v>TG509538</v>
      </c>
      <c r="G2701" s="59">
        <f ca="1">LOOKUP(A2701,'QALS - Inspection Lot Record'!A:A,'QALS - Inspection Lot Record'!E:E)</f>
        <v>46038</v>
      </c>
      <c r="H2701" s="34" t="str">
        <f t="shared" si="215"/>
        <v>A</v>
      </c>
      <c r="I2701" s="29" t="str">
        <f t="shared" si="211"/>
        <v>TG509538</v>
      </c>
      <c r="J2701" s="59">
        <f t="shared" ca="1" si="212"/>
        <v>46038</v>
      </c>
      <c r="K2701" s="30">
        <f ca="1">LOOKUP(A2701,'QALS - Inspection Lot Record'!A:A,'QALS - Inspection Lot Record'!I:I)</f>
        <v>0.22465277777777778</v>
      </c>
      <c r="L2701" s="59">
        <f t="shared" ca="1" si="213"/>
        <v>46038</v>
      </c>
      <c r="M2701" s="30">
        <f t="shared" ca="1" si="214"/>
        <v>0.25714120370370369</v>
      </c>
      <c r="N2701" s="31"/>
      <c r="O2701" s="31">
        <v>0</v>
      </c>
      <c r="P2701" s="29">
        <v>0</v>
      </c>
      <c r="Q2701" s="29">
        <v>2.5</v>
      </c>
    </row>
    <row r="2702" spans="1:17" x14ac:dyDescent="0.35">
      <c r="A2702" s="26">
        <v>40000002838</v>
      </c>
      <c r="B2702" s="31">
        <v>1</v>
      </c>
      <c r="C2702" s="29" t="str">
        <f>LOOKUP(A2702,'QALS - Inspection Lot Record'!$A$2:$A$361,'QALS - Inspection Lot Record'!$O$2:$O$361)</f>
        <v>Aspirin Tablets (500 MG)</v>
      </c>
      <c r="D2702" s="31">
        <v>50</v>
      </c>
      <c r="E2702" s="29" t="s">
        <v>404</v>
      </c>
      <c r="F2702" s="29" t="str">
        <f>LOOKUP(A2702,'QALS - Inspection Lot Record'!A:A,'QALS - Inspection Lot Record'!G:G)</f>
        <v>TG509538</v>
      </c>
      <c r="G2702" s="59">
        <f ca="1">LOOKUP(A2702,'QALS - Inspection Lot Record'!A:A,'QALS - Inspection Lot Record'!E:E)</f>
        <v>46038</v>
      </c>
      <c r="H2702" s="34" t="str">
        <f t="shared" si="215"/>
        <v>A</v>
      </c>
      <c r="I2702" s="29" t="str">
        <f t="shared" si="211"/>
        <v>TG509538</v>
      </c>
      <c r="J2702" s="59">
        <f t="shared" ca="1" si="212"/>
        <v>46038</v>
      </c>
      <c r="K2702" s="30">
        <f ca="1">LOOKUP(A2702,'QALS - Inspection Lot Record'!A:A,'QALS - Inspection Lot Record'!I:I)</f>
        <v>0.22465277777777778</v>
      </c>
      <c r="L2702" s="59">
        <f t="shared" ca="1" si="213"/>
        <v>46038</v>
      </c>
      <c r="M2702" s="30">
        <f t="shared" ca="1" si="214"/>
        <v>0.25710648148148152</v>
      </c>
      <c r="N2702" s="31"/>
      <c r="O2702" s="31">
        <v>50</v>
      </c>
      <c r="P2702" s="29">
        <v>40</v>
      </c>
      <c r="Q2702" s="29">
        <v>60</v>
      </c>
    </row>
    <row r="2703" spans="1:17" x14ac:dyDescent="0.35">
      <c r="A2703" s="26">
        <v>40000002838</v>
      </c>
      <c r="B2703" s="31">
        <v>1</v>
      </c>
      <c r="C2703" s="29" t="str">
        <f>LOOKUP(A2703,'QALS - Inspection Lot Record'!$A$2:$A$361,'QALS - Inspection Lot Record'!$O$2:$O$361)</f>
        <v>Aspirin Tablets (500 MG)</v>
      </c>
      <c r="D2703" s="31">
        <v>60</v>
      </c>
      <c r="E2703" s="29" t="s">
        <v>405</v>
      </c>
      <c r="F2703" s="29" t="str">
        <f>LOOKUP(A2703,'QALS - Inspection Lot Record'!A:A,'QALS - Inspection Lot Record'!G:G)</f>
        <v>TG509538</v>
      </c>
      <c r="G2703" s="59">
        <f ca="1">LOOKUP(A2703,'QALS - Inspection Lot Record'!A:A,'QALS - Inspection Lot Record'!E:E)</f>
        <v>46038</v>
      </c>
      <c r="H2703" s="34" t="str">
        <f t="shared" si="215"/>
        <v>A</v>
      </c>
      <c r="I2703" s="29" t="str">
        <f t="shared" si="211"/>
        <v>TG509538</v>
      </c>
      <c r="J2703" s="59">
        <f t="shared" ca="1" si="212"/>
        <v>46038</v>
      </c>
      <c r="K2703" s="30">
        <f ca="1">LOOKUP(A2703,'QALS - Inspection Lot Record'!A:A,'QALS - Inspection Lot Record'!I:I)</f>
        <v>0.22465277777777778</v>
      </c>
      <c r="L2703" s="59">
        <f t="shared" ca="1" si="213"/>
        <v>46038</v>
      </c>
      <c r="M2703" s="30">
        <f t="shared" ca="1" si="214"/>
        <v>0.24509259259259258</v>
      </c>
      <c r="N2703" s="31"/>
      <c r="O2703" s="31">
        <v>77.5</v>
      </c>
      <c r="P2703" s="29">
        <v>70</v>
      </c>
      <c r="Q2703" s="29">
        <v>85</v>
      </c>
    </row>
    <row r="2704" spans="1:17" x14ac:dyDescent="0.35">
      <c r="A2704" s="26">
        <v>40000002838</v>
      </c>
      <c r="B2704" s="31">
        <v>1</v>
      </c>
      <c r="C2704" s="29" t="str">
        <f>LOOKUP(A2704,'QALS - Inspection Lot Record'!$A$2:$A$361,'QALS - Inspection Lot Record'!$O$2:$O$361)</f>
        <v>Aspirin Tablets (500 MG)</v>
      </c>
      <c r="D2704" s="31">
        <v>70</v>
      </c>
      <c r="E2704" s="29" t="s">
        <v>406</v>
      </c>
      <c r="F2704" s="29" t="str">
        <f>LOOKUP(A2704,'QALS - Inspection Lot Record'!A:A,'QALS - Inspection Lot Record'!G:G)</f>
        <v>TG509538</v>
      </c>
      <c r="G2704" s="59">
        <f ca="1">LOOKUP(A2704,'QALS - Inspection Lot Record'!A:A,'QALS - Inspection Lot Record'!E:E)</f>
        <v>46038</v>
      </c>
      <c r="H2704" s="34" t="str">
        <f t="shared" si="215"/>
        <v>R</v>
      </c>
      <c r="I2704" s="29" t="str">
        <f t="shared" si="211"/>
        <v>TG509538</v>
      </c>
      <c r="J2704" s="59">
        <f t="shared" ca="1" si="212"/>
        <v>46038</v>
      </c>
      <c r="K2704" s="30">
        <f ca="1">LOOKUP(A2704,'QALS - Inspection Lot Record'!A:A,'QALS - Inspection Lot Record'!I:I)</f>
        <v>0.22465277777777778</v>
      </c>
      <c r="L2704" s="59">
        <f t="shared" ca="1" si="213"/>
        <v>46038</v>
      </c>
      <c r="M2704" s="30">
        <f t="shared" ca="1" si="214"/>
        <v>0.25016203703703704</v>
      </c>
      <c r="N2704" s="31"/>
      <c r="O2704" s="31">
        <v>78.7</v>
      </c>
      <c r="P2704" s="29">
        <v>80</v>
      </c>
      <c r="Q2704" s="29">
        <v>90</v>
      </c>
    </row>
    <row r="2705" spans="1:17" x14ac:dyDescent="0.35">
      <c r="A2705" s="26">
        <v>40000002838</v>
      </c>
      <c r="B2705" s="31">
        <v>1</v>
      </c>
      <c r="C2705" s="29" t="str">
        <f>LOOKUP(A2705,'QALS - Inspection Lot Record'!$A$2:$A$361,'QALS - Inspection Lot Record'!$O$2:$O$361)</f>
        <v>Aspirin Tablets (500 MG)</v>
      </c>
      <c r="D2705" s="31">
        <v>80</v>
      </c>
      <c r="E2705" s="29" t="s">
        <v>407</v>
      </c>
      <c r="F2705" s="29" t="str">
        <f>LOOKUP(A2705,'QALS - Inspection Lot Record'!A:A,'QALS - Inspection Lot Record'!G:G)</f>
        <v>TG509538</v>
      </c>
      <c r="G2705" s="59">
        <f ca="1">LOOKUP(A2705,'QALS - Inspection Lot Record'!A:A,'QALS - Inspection Lot Record'!E:E)</f>
        <v>46038</v>
      </c>
      <c r="H2705" s="34" t="str">
        <f t="shared" si="215"/>
        <v>A</v>
      </c>
      <c r="I2705" s="29" t="str">
        <f t="shared" si="211"/>
        <v>TG509538</v>
      </c>
      <c r="J2705" s="59">
        <f t="shared" ca="1" si="212"/>
        <v>46038</v>
      </c>
      <c r="K2705" s="30">
        <f ca="1">LOOKUP(A2705,'QALS - Inspection Lot Record'!A:A,'QALS - Inspection Lot Record'!I:I)</f>
        <v>0.22465277777777778</v>
      </c>
      <c r="L2705" s="59">
        <f t="shared" ca="1" si="213"/>
        <v>46038</v>
      </c>
      <c r="M2705" s="30">
        <f t="shared" ca="1" si="214"/>
        <v>0.24579861111111112</v>
      </c>
      <c r="N2705" s="31"/>
      <c r="O2705" s="31">
        <v>25.5</v>
      </c>
      <c r="P2705" s="29">
        <v>23</v>
      </c>
      <c r="Q2705" s="29">
        <v>28</v>
      </c>
    </row>
    <row r="2706" spans="1:17" x14ac:dyDescent="0.35">
      <c r="A2706" s="26">
        <v>40000002839</v>
      </c>
      <c r="B2706" s="27">
        <v>1</v>
      </c>
      <c r="C2706" s="29" t="str">
        <f>LOOKUP(A2706,'QALS - Inspection Lot Record'!$A$2:$A$361,'QALS - Inspection Lot Record'!$O$2:$O$361)</f>
        <v>Metformin Tablets (200 MG)</v>
      </c>
      <c r="D2706" s="27">
        <v>10</v>
      </c>
      <c r="E2706" s="26" t="s">
        <v>399</v>
      </c>
      <c r="F2706" s="29" t="str">
        <f>LOOKUP(A2706,'QALS - Inspection Lot Record'!A:A,'QALS - Inspection Lot Record'!G:G)</f>
        <v>TP397880</v>
      </c>
      <c r="G2706" s="59">
        <f ca="1">LOOKUP(A2706,'QALS - Inspection Lot Record'!A:A,'QALS - Inspection Lot Record'!E:E)</f>
        <v>46039</v>
      </c>
      <c r="H2706" s="34" t="str">
        <f t="shared" si="215"/>
        <v>A</v>
      </c>
      <c r="I2706" s="29" t="str">
        <f t="shared" si="211"/>
        <v>TP397880</v>
      </c>
      <c r="J2706" s="59">
        <f t="shared" ca="1" si="212"/>
        <v>46039</v>
      </c>
      <c r="K2706" s="30">
        <f ca="1">LOOKUP(A2706,'QALS - Inspection Lot Record'!A:A,'QALS - Inspection Lot Record'!I:I)</f>
        <v>0.87461805555555561</v>
      </c>
      <c r="L2706" s="59">
        <f t="shared" ca="1" si="213"/>
        <v>46039</v>
      </c>
      <c r="M2706" s="30">
        <f t="shared" ca="1" si="214"/>
        <v>0.89744212962962966</v>
      </c>
      <c r="N2706" s="31"/>
      <c r="O2706" s="31">
        <v>99</v>
      </c>
      <c r="P2706" s="29">
        <v>95</v>
      </c>
      <c r="Q2706" s="29">
        <v>103</v>
      </c>
    </row>
    <row r="2707" spans="1:17" x14ac:dyDescent="0.35">
      <c r="A2707" s="26">
        <v>40000002839</v>
      </c>
      <c r="B2707" s="27">
        <v>1</v>
      </c>
      <c r="C2707" s="29" t="str">
        <f>LOOKUP(A2707,'QALS - Inspection Lot Record'!$A$2:$A$361,'QALS - Inspection Lot Record'!$O$2:$O$361)</f>
        <v>Metformin Tablets (200 MG)</v>
      </c>
      <c r="D2707" s="31">
        <v>20</v>
      </c>
      <c r="E2707" s="29" t="s">
        <v>400</v>
      </c>
      <c r="F2707" s="29" t="str">
        <f>LOOKUP(A2707,'QALS - Inspection Lot Record'!A:A,'QALS - Inspection Lot Record'!G:G)</f>
        <v>TP397880</v>
      </c>
      <c r="G2707" s="59">
        <f ca="1">LOOKUP(A2707,'QALS - Inspection Lot Record'!A:A,'QALS - Inspection Lot Record'!E:E)</f>
        <v>46039</v>
      </c>
      <c r="H2707" s="34" t="str">
        <f t="shared" si="215"/>
        <v>A</v>
      </c>
      <c r="I2707" s="29" t="str">
        <f t="shared" si="211"/>
        <v>TP397880</v>
      </c>
      <c r="J2707" s="59">
        <f t="shared" ca="1" si="212"/>
        <v>46039</v>
      </c>
      <c r="K2707" s="30">
        <f ca="1">LOOKUP(A2707,'QALS - Inspection Lot Record'!A:A,'QALS - Inspection Lot Record'!I:I)</f>
        <v>0.87461805555555561</v>
      </c>
      <c r="L2707" s="59">
        <f t="shared" ca="1" si="213"/>
        <v>46039</v>
      </c>
      <c r="M2707" s="30">
        <f t="shared" ca="1" si="214"/>
        <v>0.89804398148148157</v>
      </c>
      <c r="N2707" s="31"/>
      <c r="O2707" s="31">
        <v>7.75</v>
      </c>
      <c r="P2707" s="29">
        <v>6</v>
      </c>
      <c r="Q2707" s="29">
        <v>9.5</v>
      </c>
    </row>
    <row r="2708" spans="1:17" x14ac:dyDescent="0.35">
      <c r="A2708" s="26">
        <v>40000002839</v>
      </c>
      <c r="B2708" s="31">
        <v>1</v>
      </c>
      <c r="C2708" s="29" t="str">
        <f>LOOKUP(A2708,'QALS - Inspection Lot Record'!$A$2:$A$361,'QALS - Inspection Lot Record'!$O$2:$O$361)</f>
        <v>Metformin Tablets (200 MG)</v>
      </c>
      <c r="D2708" s="31">
        <v>30</v>
      </c>
      <c r="E2708" s="29" t="s">
        <v>401</v>
      </c>
      <c r="F2708" s="29" t="str">
        <f>LOOKUP(A2708,'QALS - Inspection Lot Record'!A:A,'QALS - Inspection Lot Record'!G:G)</f>
        <v>TP397880</v>
      </c>
      <c r="G2708" s="59">
        <f ca="1">LOOKUP(A2708,'QALS - Inspection Lot Record'!A:A,'QALS - Inspection Lot Record'!E:E)</f>
        <v>46039</v>
      </c>
      <c r="H2708" s="34" t="str">
        <f t="shared" si="215"/>
        <v>A</v>
      </c>
      <c r="I2708" s="29" t="str">
        <f t="shared" si="211"/>
        <v>TP397880</v>
      </c>
      <c r="J2708" s="59">
        <f t="shared" ca="1" si="212"/>
        <v>46039</v>
      </c>
      <c r="K2708" s="30">
        <f ca="1">LOOKUP(A2708,'QALS - Inspection Lot Record'!A:A,'QALS - Inspection Lot Record'!I:I)</f>
        <v>0.87461805555555561</v>
      </c>
      <c r="L2708" s="59">
        <f t="shared" ca="1" si="213"/>
        <v>46039</v>
      </c>
      <c r="M2708" s="30">
        <f t="shared" ca="1" si="214"/>
        <v>0.8946412037037037</v>
      </c>
      <c r="N2708" s="11" t="s">
        <v>402</v>
      </c>
      <c r="O2708" s="31"/>
      <c r="P2708" s="29"/>
      <c r="Q2708" s="29"/>
    </row>
    <row r="2709" spans="1:17" x14ac:dyDescent="0.35">
      <c r="A2709" s="26">
        <v>40000002839</v>
      </c>
      <c r="B2709" s="31">
        <v>1</v>
      </c>
      <c r="C2709" s="29" t="str">
        <f>LOOKUP(A2709,'QALS - Inspection Lot Record'!$A$2:$A$361,'QALS - Inspection Lot Record'!$O$2:$O$361)</f>
        <v>Metformin Tablets (200 MG)</v>
      </c>
      <c r="D2709" s="31">
        <v>40</v>
      </c>
      <c r="E2709" s="29" t="s">
        <v>403</v>
      </c>
      <c r="F2709" s="29" t="str">
        <f>LOOKUP(A2709,'QALS - Inspection Lot Record'!A:A,'QALS - Inspection Lot Record'!G:G)</f>
        <v>TP397880</v>
      </c>
      <c r="G2709" s="59">
        <f ca="1">LOOKUP(A2709,'QALS - Inspection Lot Record'!A:A,'QALS - Inspection Lot Record'!E:E)</f>
        <v>46039</v>
      </c>
      <c r="H2709" s="34" t="str">
        <f t="shared" si="215"/>
        <v>A</v>
      </c>
      <c r="I2709" s="29" t="str">
        <f t="shared" si="211"/>
        <v>TP397880</v>
      </c>
      <c r="J2709" s="59">
        <f t="shared" ca="1" si="212"/>
        <v>46039</v>
      </c>
      <c r="K2709" s="30">
        <f ca="1">LOOKUP(A2709,'QALS - Inspection Lot Record'!A:A,'QALS - Inspection Lot Record'!I:I)</f>
        <v>0.87461805555555561</v>
      </c>
      <c r="L2709" s="59">
        <f t="shared" ca="1" si="213"/>
        <v>46039</v>
      </c>
      <c r="M2709" s="30">
        <f t="shared" ca="1" si="214"/>
        <v>0.90758101851851858</v>
      </c>
      <c r="N2709" s="31"/>
      <c r="O2709" s="31">
        <v>1.6</v>
      </c>
      <c r="P2709" s="29">
        <v>0</v>
      </c>
      <c r="Q2709" s="29">
        <v>2</v>
      </c>
    </row>
    <row r="2710" spans="1:17" x14ac:dyDescent="0.35">
      <c r="A2710" s="26">
        <v>40000002839</v>
      </c>
      <c r="B2710" s="31">
        <v>1</v>
      </c>
      <c r="C2710" s="29" t="str">
        <f>LOOKUP(A2710,'QALS - Inspection Lot Record'!$A$2:$A$361,'QALS - Inspection Lot Record'!$O$2:$O$361)</f>
        <v>Metformin Tablets (200 MG)</v>
      </c>
      <c r="D2710" s="31">
        <v>50</v>
      </c>
      <c r="E2710" s="29" t="s">
        <v>404</v>
      </c>
      <c r="F2710" s="29" t="str">
        <f>LOOKUP(A2710,'QALS - Inspection Lot Record'!A:A,'QALS - Inspection Lot Record'!G:G)</f>
        <v>TP397880</v>
      </c>
      <c r="G2710" s="59">
        <f ca="1">LOOKUP(A2710,'QALS - Inspection Lot Record'!A:A,'QALS - Inspection Lot Record'!E:E)</f>
        <v>46039</v>
      </c>
      <c r="H2710" s="34" t="str">
        <f t="shared" si="215"/>
        <v>A</v>
      </c>
      <c r="I2710" s="29" t="str">
        <f t="shared" si="211"/>
        <v>TP397880</v>
      </c>
      <c r="J2710" s="59">
        <f t="shared" ca="1" si="212"/>
        <v>46039</v>
      </c>
      <c r="K2710" s="30">
        <f ca="1">LOOKUP(A2710,'QALS - Inspection Lot Record'!A:A,'QALS - Inspection Lot Record'!I:I)</f>
        <v>0.87461805555555561</v>
      </c>
      <c r="L2710" s="59">
        <f t="shared" ca="1" si="213"/>
        <v>46039</v>
      </c>
      <c r="M2710" s="30">
        <f t="shared" ca="1" si="214"/>
        <v>0.89315972222222229</v>
      </c>
      <c r="N2710" s="31"/>
      <c r="O2710" s="31">
        <v>41.8</v>
      </c>
      <c r="P2710" s="29">
        <v>40</v>
      </c>
      <c r="Q2710" s="29">
        <v>60</v>
      </c>
    </row>
    <row r="2711" spans="1:17" x14ac:dyDescent="0.35">
      <c r="A2711" s="26">
        <v>40000002839</v>
      </c>
      <c r="B2711" s="31">
        <v>1</v>
      </c>
      <c r="C2711" s="29" t="str">
        <f>LOOKUP(A2711,'QALS - Inspection Lot Record'!$A$2:$A$361,'QALS - Inspection Lot Record'!$O$2:$O$361)</f>
        <v>Metformin Tablets (200 MG)</v>
      </c>
      <c r="D2711" s="31">
        <v>60</v>
      </c>
      <c r="E2711" s="29" t="s">
        <v>405</v>
      </c>
      <c r="F2711" s="29" t="str">
        <f>LOOKUP(A2711,'QALS - Inspection Lot Record'!A:A,'QALS - Inspection Lot Record'!G:G)</f>
        <v>TP397880</v>
      </c>
      <c r="G2711" s="59">
        <f ca="1">LOOKUP(A2711,'QALS - Inspection Lot Record'!A:A,'QALS - Inspection Lot Record'!E:E)</f>
        <v>46039</v>
      </c>
      <c r="H2711" s="34" t="str">
        <f t="shared" si="215"/>
        <v>A</v>
      </c>
      <c r="I2711" s="29" t="str">
        <f t="shared" si="211"/>
        <v>TP397880</v>
      </c>
      <c r="J2711" s="59">
        <f t="shared" ca="1" si="212"/>
        <v>46039</v>
      </c>
      <c r="K2711" s="30">
        <f ca="1">LOOKUP(A2711,'QALS - Inspection Lot Record'!A:A,'QALS - Inspection Lot Record'!I:I)</f>
        <v>0.87461805555555561</v>
      </c>
      <c r="L2711" s="59">
        <f t="shared" ca="1" si="213"/>
        <v>46039</v>
      </c>
      <c r="M2711" s="30">
        <f t="shared" ca="1" si="214"/>
        <v>0.90476851851851858</v>
      </c>
      <c r="N2711" s="31"/>
      <c r="O2711" s="31">
        <v>71.099999999999994</v>
      </c>
      <c r="P2711" s="29">
        <v>70</v>
      </c>
      <c r="Q2711" s="29">
        <v>85</v>
      </c>
    </row>
    <row r="2712" spans="1:17" x14ac:dyDescent="0.35">
      <c r="A2712" s="26">
        <v>40000002839</v>
      </c>
      <c r="B2712" s="31">
        <v>1</v>
      </c>
      <c r="C2712" s="29" t="str">
        <f>LOOKUP(A2712,'QALS - Inspection Lot Record'!$A$2:$A$361,'QALS - Inspection Lot Record'!$O$2:$O$361)</f>
        <v>Metformin Tablets (200 MG)</v>
      </c>
      <c r="D2712" s="31">
        <v>70</v>
      </c>
      <c r="E2712" s="29" t="s">
        <v>406</v>
      </c>
      <c r="F2712" s="29" t="str">
        <f>LOOKUP(A2712,'QALS - Inspection Lot Record'!A:A,'QALS - Inspection Lot Record'!G:G)</f>
        <v>TP397880</v>
      </c>
      <c r="G2712" s="59">
        <f ca="1">LOOKUP(A2712,'QALS - Inspection Lot Record'!A:A,'QALS - Inspection Lot Record'!E:E)</f>
        <v>46039</v>
      </c>
      <c r="H2712" s="34" t="str">
        <f t="shared" si="215"/>
        <v>A</v>
      </c>
      <c r="I2712" s="29" t="str">
        <f t="shared" si="211"/>
        <v>TP397880</v>
      </c>
      <c r="J2712" s="59">
        <f t="shared" ca="1" si="212"/>
        <v>46039</v>
      </c>
      <c r="K2712" s="30">
        <f ca="1">LOOKUP(A2712,'QALS - Inspection Lot Record'!A:A,'QALS - Inspection Lot Record'!I:I)</f>
        <v>0.87461805555555561</v>
      </c>
      <c r="L2712" s="59">
        <f t="shared" ca="1" si="213"/>
        <v>46039</v>
      </c>
      <c r="M2712" s="30">
        <f t="shared" ca="1" si="214"/>
        <v>0.89840277777777788</v>
      </c>
      <c r="N2712" s="31"/>
      <c r="O2712" s="31">
        <v>81.7</v>
      </c>
      <c r="P2712" s="29">
        <v>80</v>
      </c>
      <c r="Q2712" s="29">
        <v>90</v>
      </c>
    </row>
    <row r="2713" spans="1:17" x14ac:dyDescent="0.35">
      <c r="A2713" s="26">
        <v>40000002839</v>
      </c>
      <c r="B2713" s="31">
        <v>1</v>
      </c>
      <c r="C2713" s="29" t="str">
        <f>LOOKUP(A2713,'QALS - Inspection Lot Record'!$A$2:$A$361,'QALS - Inspection Lot Record'!$O$2:$O$361)</f>
        <v>Metformin Tablets (200 MG)</v>
      </c>
      <c r="D2713" s="31">
        <v>80</v>
      </c>
      <c r="E2713" s="29" t="s">
        <v>407</v>
      </c>
      <c r="F2713" s="29" t="str">
        <f>LOOKUP(A2713,'QALS - Inspection Lot Record'!A:A,'QALS - Inspection Lot Record'!G:G)</f>
        <v>TP397880</v>
      </c>
      <c r="G2713" s="59">
        <f ca="1">LOOKUP(A2713,'QALS - Inspection Lot Record'!A:A,'QALS - Inspection Lot Record'!E:E)</f>
        <v>46039</v>
      </c>
      <c r="H2713" s="34" t="str">
        <f t="shared" si="215"/>
        <v>A</v>
      </c>
      <c r="I2713" s="29" t="str">
        <f t="shared" si="211"/>
        <v>TP397880</v>
      </c>
      <c r="J2713" s="59">
        <f t="shared" ca="1" si="212"/>
        <v>46039</v>
      </c>
      <c r="K2713" s="30">
        <f ca="1">LOOKUP(A2713,'QALS - Inspection Lot Record'!A:A,'QALS - Inspection Lot Record'!I:I)</f>
        <v>0.87461805555555561</v>
      </c>
      <c r="L2713" s="59">
        <f t="shared" ca="1" si="213"/>
        <v>46039</v>
      </c>
      <c r="M2713" s="30">
        <f t="shared" ca="1" si="214"/>
        <v>0.90408564814814818</v>
      </c>
      <c r="N2713" s="31"/>
      <c r="O2713" s="31">
        <v>25.5</v>
      </c>
      <c r="P2713" s="29">
        <v>23</v>
      </c>
      <c r="Q2713" s="29">
        <v>28</v>
      </c>
    </row>
    <row r="2714" spans="1:17" x14ac:dyDescent="0.35">
      <c r="A2714" s="26">
        <v>40000002840</v>
      </c>
      <c r="B2714" s="27">
        <v>1</v>
      </c>
      <c r="C2714" s="29" t="str">
        <f>LOOKUP(A2714,'QALS - Inspection Lot Record'!$A$2:$A$361,'QALS - Inspection Lot Record'!$O$2:$O$361)</f>
        <v>Aspirin Tablets (500 MG)</v>
      </c>
      <c r="D2714" s="27">
        <v>10</v>
      </c>
      <c r="E2714" s="26" t="s">
        <v>399</v>
      </c>
      <c r="F2714" s="29" t="str">
        <f>LOOKUP(A2714,'QALS - Inspection Lot Record'!A:A,'QALS - Inspection Lot Record'!G:G)</f>
        <v>YA284176</v>
      </c>
      <c r="G2714" s="59">
        <f ca="1">LOOKUP(A2714,'QALS - Inspection Lot Record'!A:A,'QALS - Inspection Lot Record'!E:E)</f>
        <v>46039</v>
      </c>
      <c r="H2714" s="34" t="str">
        <f t="shared" si="215"/>
        <v>A</v>
      </c>
      <c r="I2714" s="29" t="str">
        <f t="shared" si="211"/>
        <v>YA284176</v>
      </c>
      <c r="J2714" s="59">
        <f t="shared" ca="1" si="212"/>
        <v>46039</v>
      </c>
      <c r="K2714" s="30">
        <f ca="1">LOOKUP(A2714,'QALS - Inspection Lot Record'!A:A,'QALS - Inspection Lot Record'!I:I)</f>
        <v>8.8402777777777775E-2</v>
      </c>
      <c r="L2714" s="59">
        <f t="shared" ca="1" si="213"/>
        <v>46039</v>
      </c>
      <c r="M2714" s="30">
        <f t="shared" ca="1" si="214"/>
        <v>0.12116898148148147</v>
      </c>
      <c r="N2714" s="31"/>
      <c r="O2714" s="31">
        <v>100</v>
      </c>
      <c r="P2714" s="29">
        <v>95</v>
      </c>
      <c r="Q2714" s="29">
        <v>105</v>
      </c>
    </row>
    <row r="2715" spans="1:17" x14ac:dyDescent="0.35">
      <c r="A2715" s="26">
        <v>40000002840</v>
      </c>
      <c r="B2715" s="27">
        <v>1</v>
      </c>
      <c r="C2715" s="29" t="str">
        <f>LOOKUP(A2715,'QALS - Inspection Lot Record'!$A$2:$A$361,'QALS - Inspection Lot Record'!$O$2:$O$361)</f>
        <v>Aspirin Tablets (500 MG)</v>
      </c>
      <c r="D2715" s="31">
        <v>20</v>
      </c>
      <c r="E2715" s="29" t="s">
        <v>400</v>
      </c>
      <c r="F2715" s="29" t="str">
        <f>LOOKUP(A2715,'QALS - Inspection Lot Record'!A:A,'QALS - Inspection Lot Record'!G:G)</f>
        <v>YA284176</v>
      </c>
      <c r="G2715" s="59">
        <f ca="1">LOOKUP(A2715,'QALS - Inspection Lot Record'!A:A,'QALS - Inspection Lot Record'!E:E)</f>
        <v>46039</v>
      </c>
      <c r="H2715" s="34" t="str">
        <f t="shared" si="215"/>
        <v>A</v>
      </c>
      <c r="I2715" s="29" t="str">
        <f t="shared" si="211"/>
        <v>YA284176</v>
      </c>
      <c r="J2715" s="59">
        <f t="shared" ca="1" si="212"/>
        <v>46039</v>
      </c>
      <c r="K2715" s="30">
        <f ca="1">LOOKUP(A2715,'QALS - Inspection Lot Record'!A:A,'QALS - Inspection Lot Record'!I:I)</f>
        <v>8.8402777777777775E-2</v>
      </c>
      <c r="L2715" s="59">
        <f t="shared" ca="1" si="213"/>
        <v>46039</v>
      </c>
      <c r="M2715" s="30">
        <f t="shared" ca="1" si="214"/>
        <v>0.10751157407407408</v>
      </c>
      <c r="N2715" s="31"/>
      <c r="O2715" s="31">
        <v>7.3</v>
      </c>
      <c r="P2715" s="29">
        <v>3.5</v>
      </c>
      <c r="Q2715" s="29">
        <v>11</v>
      </c>
    </row>
    <row r="2716" spans="1:17" x14ac:dyDescent="0.35">
      <c r="A2716" s="26">
        <v>40000002840</v>
      </c>
      <c r="B2716" s="31">
        <v>1</v>
      </c>
      <c r="C2716" s="29" t="str">
        <f>LOOKUP(A2716,'QALS - Inspection Lot Record'!$A$2:$A$361,'QALS - Inspection Lot Record'!$O$2:$O$361)</f>
        <v>Aspirin Tablets (500 MG)</v>
      </c>
      <c r="D2716" s="31">
        <v>30</v>
      </c>
      <c r="E2716" s="29" t="s">
        <v>401</v>
      </c>
      <c r="F2716" s="29" t="str">
        <f>LOOKUP(A2716,'QALS - Inspection Lot Record'!A:A,'QALS - Inspection Lot Record'!G:G)</f>
        <v>YA284176</v>
      </c>
      <c r="G2716" s="59">
        <f ca="1">LOOKUP(A2716,'QALS - Inspection Lot Record'!A:A,'QALS - Inspection Lot Record'!E:E)</f>
        <v>46039</v>
      </c>
      <c r="H2716" s="34" t="str">
        <f t="shared" si="215"/>
        <v>A</v>
      </c>
      <c r="I2716" s="29" t="str">
        <f t="shared" si="211"/>
        <v>YA284176</v>
      </c>
      <c r="J2716" s="59">
        <f t="shared" ca="1" si="212"/>
        <v>46039</v>
      </c>
      <c r="K2716" s="30">
        <f ca="1">LOOKUP(A2716,'QALS - Inspection Lot Record'!A:A,'QALS - Inspection Lot Record'!I:I)</f>
        <v>8.8402777777777775E-2</v>
      </c>
      <c r="L2716" s="59">
        <f t="shared" ca="1" si="213"/>
        <v>46039</v>
      </c>
      <c r="M2716" s="30">
        <f t="shared" ca="1" si="214"/>
        <v>0.11679398148148148</v>
      </c>
      <c r="N2716" s="11" t="s">
        <v>402</v>
      </c>
      <c r="O2716" s="31"/>
      <c r="P2716" s="29"/>
      <c r="Q2716" s="29"/>
    </row>
    <row r="2717" spans="1:17" x14ac:dyDescent="0.35">
      <c r="A2717" s="26">
        <v>40000002840</v>
      </c>
      <c r="B2717" s="31">
        <v>1</v>
      </c>
      <c r="C2717" s="29" t="str">
        <f>LOOKUP(A2717,'QALS - Inspection Lot Record'!$A$2:$A$361,'QALS - Inspection Lot Record'!$O$2:$O$361)</f>
        <v>Aspirin Tablets (500 MG)</v>
      </c>
      <c r="D2717" s="31">
        <v>40</v>
      </c>
      <c r="E2717" s="29" t="s">
        <v>403</v>
      </c>
      <c r="F2717" s="29" t="str">
        <f>LOOKUP(A2717,'QALS - Inspection Lot Record'!A:A,'QALS - Inspection Lot Record'!G:G)</f>
        <v>YA284176</v>
      </c>
      <c r="G2717" s="59">
        <f ca="1">LOOKUP(A2717,'QALS - Inspection Lot Record'!A:A,'QALS - Inspection Lot Record'!E:E)</f>
        <v>46039</v>
      </c>
      <c r="H2717" s="34" t="str">
        <f t="shared" si="215"/>
        <v>A</v>
      </c>
      <c r="I2717" s="29" t="str">
        <f t="shared" si="211"/>
        <v>YA284176</v>
      </c>
      <c r="J2717" s="59">
        <f t="shared" ca="1" si="212"/>
        <v>46039</v>
      </c>
      <c r="K2717" s="30">
        <f ca="1">LOOKUP(A2717,'QALS - Inspection Lot Record'!A:A,'QALS - Inspection Lot Record'!I:I)</f>
        <v>8.8402777777777775E-2</v>
      </c>
      <c r="L2717" s="59">
        <f t="shared" ca="1" si="213"/>
        <v>46039</v>
      </c>
      <c r="M2717" s="30">
        <f t="shared" ca="1" si="214"/>
        <v>0.10879629629629629</v>
      </c>
      <c r="N2717" s="31"/>
      <c r="O2717" s="31">
        <v>1.8</v>
      </c>
      <c r="P2717" s="29">
        <v>0</v>
      </c>
      <c r="Q2717" s="29">
        <v>2.5</v>
      </c>
    </row>
    <row r="2718" spans="1:17" x14ac:dyDescent="0.35">
      <c r="A2718" s="26">
        <v>40000002840</v>
      </c>
      <c r="B2718" s="31">
        <v>1</v>
      </c>
      <c r="C2718" s="29" t="str">
        <f>LOOKUP(A2718,'QALS - Inspection Lot Record'!$A$2:$A$361,'QALS - Inspection Lot Record'!$O$2:$O$361)</f>
        <v>Aspirin Tablets (500 MG)</v>
      </c>
      <c r="D2718" s="31">
        <v>50</v>
      </c>
      <c r="E2718" s="29" t="s">
        <v>404</v>
      </c>
      <c r="F2718" s="29" t="str">
        <f>LOOKUP(A2718,'QALS - Inspection Lot Record'!A:A,'QALS - Inspection Lot Record'!G:G)</f>
        <v>YA284176</v>
      </c>
      <c r="G2718" s="59">
        <f ca="1">LOOKUP(A2718,'QALS - Inspection Lot Record'!A:A,'QALS - Inspection Lot Record'!E:E)</f>
        <v>46039</v>
      </c>
      <c r="H2718" s="34" t="str">
        <f t="shared" si="215"/>
        <v>A</v>
      </c>
      <c r="I2718" s="29" t="str">
        <f t="shared" si="211"/>
        <v>YA284176</v>
      </c>
      <c r="J2718" s="59">
        <f t="shared" ca="1" si="212"/>
        <v>46039</v>
      </c>
      <c r="K2718" s="30">
        <f ca="1">LOOKUP(A2718,'QALS - Inspection Lot Record'!A:A,'QALS - Inspection Lot Record'!I:I)</f>
        <v>8.8402777777777775E-2</v>
      </c>
      <c r="L2718" s="59">
        <f t="shared" ca="1" si="213"/>
        <v>46039</v>
      </c>
      <c r="M2718" s="30">
        <f t="shared" ca="1" si="214"/>
        <v>0.106875</v>
      </c>
      <c r="N2718" s="31"/>
      <c r="O2718" s="31">
        <v>41.8</v>
      </c>
      <c r="P2718" s="29">
        <v>40</v>
      </c>
      <c r="Q2718" s="29">
        <v>60</v>
      </c>
    </row>
    <row r="2719" spans="1:17" x14ac:dyDescent="0.35">
      <c r="A2719" s="26">
        <v>40000002840</v>
      </c>
      <c r="B2719" s="31">
        <v>1</v>
      </c>
      <c r="C2719" s="29" t="str">
        <f>LOOKUP(A2719,'QALS - Inspection Lot Record'!$A$2:$A$361,'QALS - Inspection Lot Record'!$O$2:$O$361)</f>
        <v>Aspirin Tablets (500 MG)</v>
      </c>
      <c r="D2719" s="31">
        <v>60</v>
      </c>
      <c r="E2719" s="29" t="s">
        <v>405</v>
      </c>
      <c r="F2719" s="29" t="str">
        <f>LOOKUP(A2719,'QALS - Inspection Lot Record'!A:A,'QALS - Inspection Lot Record'!G:G)</f>
        <v>YA284176</v>
      </c>
      <c r="G2719" s="59">
        <f ca="1">LOOKUP(A2719,'QALS - Inspection Lot Record'!A:A,'QALS - Inspection Lot Record'!E:E)</f>
        <v>46039</v>
      </c>
      <c r="H2719" s="34" t="str">
        <f t="shared" si="215"/>
        <v>A</v>
      </c>
      <c r="I2719" s="29" t="str">
        <f t="shared" si="211"/>
        <v>YA284176</v>
      </c>
      <c r="J2719" s="59">
        <f t="shared" ca="1" si="212"/>
        <v>46039</v>
      </c>
      <c r="K2719" s="30">
        <f ca="1">LOOKUP(A2719,'QALS - Inspection Lot Record'!A:A,'QALS - Inspection Lot Record'!I:I)</f>
        <v>8.8402777777777775E-2</v>
      </c>
      <c r="L2719" s="59">
        <f t="shared" ca="1" si="213"/>
        <v>46039</v>
      </c>
      <c r="M2719" s="30">
        <f t="shared" ca="1" si="214"/>
        <v>0.10863425925925926</v>
      </c>
      <c r="N2719" s="31"/>
      <c r="O2719" s="31">
        <v>71.900000000000006</v>
      </c>
      <c r="P2719" s="29">
        <v>70</v>
      </c>
      <c r="Q2719" s="29">
        <v>85</v>
      </c>
    </row>
    <row r="2720" spans="1:17" x14ac:dyDescent="0.35">
      <c r="A2720" s="26">
        <v>40000002840</v>
      </c>
      <c r="B2720" s="31">
        <v>1</v>
      </c>
      <c r="C2720" s="29" t="str">
        <f>LOOKUP(A2720,'QALS - Inspection Lot Record'!$A$2:$A$361,'QALS - Inspection Lot Record'!$O$2:$O$361)</f>
        <v>Aspirin Tablets (500 MG)</v>
      </c>
      <c r="D2720" s="31">
        <v>70</v>
      </c>
      <c r="E2720" s="29" t="s">
        <v>406</v>
      </c>
      <c r="F2720" s="29" t="str">
        <f>LOOKUP(A2720,'QALS - Inspection Lot Record'!A:A,'QALS - Inspection Lot Record'!G:G)</f>
        <v>YA284176</v>
      </c>
      <c r="G2720" s="59">
        <f ca="1">LOOKUP(A2720,'QALS - Inspection Lot Record'!A:A,'QALS - Inspection Lot Record'!E:E)</f>
        <v>46039</v>
      </c>
      <c r="H2720" s="34" t="str">
        <f t="shared" si="215"/>
        <v>A</v>
      </c>
      <c r="I2720" s="29" t="str">
        <f t="shared" si="211"/>
        <v>YA284176</v>
      </c>
      <c r="J2720" s="59">
        <f t="shared" ca="1" si="212"/>
        <v>46039</v>
      </c>
      <c r="K2720" s="30">
        <f ca="1">LOOKUP(A2720,'QALS - Inspection Lot Record'!A:A,'QALS - Inspection Lot Record'!I:I)</f>
        <v>8.8402777777777775E-2</v>
      </c>
      <c r="L2720" s="59">
        <f t="shared" ca="1" si="213"/>
        <v>46039</v>
      </c>
      <c r="M2720" s="30">
        <f t="shared" ca="1" si="214"/>
        <v>0.11763888888888889</v>
      </c>
      <c r="N2720" s="31"/>
      <c r="O2720" s="31">
        <v>81.3</v>
      </c>
      <c r="P2720" s="29">
        <v>80</v>
      </c>
      <c r="Q2720" s="29">
        <v>90</v>
      </c>
    </row>
    <row r="2721" spans="1:17" x14ac:dyDescent="0.35">
      <c r="A2721" s="26">
        <v>40000002840</v>
      </c>
      <c r="B2721" s="31">
        <v>1</v>
      </c>
      <c r="C2721" s="29" t="str">
        <f>LOOKUP(A2721,'QALS - Inspection Lot Record'!$A$2:$A$361,'QALS - Inspection Lot Record'!$O$2:$O$361)</f>
        <v>Aspirin Tablets (500 MG)</v>
      </c>
      <c r="D2721" s="31">
        <v>80</v>
      </c>
      <c r="E2721" s="29" t="s">
        <v>407</v>
      </c>
      <c r="F2721" s="29" t="str">
        <f>LOOKUP(A2721,'QALS - Inspection Lot Record'!A:A,'QALS - Inspection Lot Record'!G:G)</f>
        <v>YA284176</v>
      </c>
      <c r="G2721" s="59">
        <f ca="1">LOOKUP(A2721,'QALS - Inspection Lot Record'!A:A,'QALS - Inspection Lot Record'!E:E)</f>
        <v>46039</v>
      </c>
      <c r="H2721" s="34" t="str">
        <f t="shared" si="215"/>
        <v>A</v>
      </c>
      <c r="I2721" s="29" t="str">
        <f t="shared" si="211"/>
        <v>YA284176</v>
      </c>
      <c r="J2721" s="59">
        <f t="shared" ca="1" si="212"/>
        <v>46039</v>
      </c>
      <c r="K2721" s="30">
        <f ca="1">LOOKUP(A2721,'QALS - Inspection Lot Record'!A:A,'QALS - Inspection Lot Record'!I:I)</f>
        <v>8.8402777777777775E-2</v>
      </c>
      <c r="L2721" s="59">
        <f t="shared" ca="1" si="213"/>
        <v>46039</v>
      </c>
      <c r="M2721" s="30">
        <f t="shared" ca="1" si="214"/>
        <v>0.1136574074074074</v>
      </c>
      <c r="N2721" s="31"/>
      <c r="O2721" s="31">
        <v>25.5</v>
      </c>
      <c r="P2721" s="29">
        <v>23</v>
      </c>
      <c r="Q2721" s="29">
        <v>28</v>
      </c>
    </row>
    <row r="2722" spans="1:17" x14ac:dyDescent="0.35">
      <c r="A2722" s="26">
        <v>40000002841</v>
      </c>
      <c r="B2722" s="27">
        <v>1</v>
      </c>
      <c r="C2722" s="29" t="str">
        <f>LOOKUP(A2722,'QALS - Inspection Lot Record'!$A$2:$A$361,'QALS - Inspection Lot Record'!$O$2:$O$361)</f>
        <v>Metformin Tablets (200 MG)</v>
      </c>
      <c r="D2722" s="27">
        <v>10</v>
      </c>
      <c r="E2722" s="26" t="s">
        <v>399</v>
      </c>
      <c r="F2722" s="29" t="str">
        <f>LOOKUP(A2722,'QALS - Inspection Lot Record'!A:A,'QALS - Inspection Lot Record'!G:G)</f>
        <v>ZK384180</v>
      </c>
      <c r="G2722" s="59">
        <f ca="1">LOOKUP(A2722,'QALS - Inspection Lot Record'!A:A,'QALS - Inspection Lot Record'!E:E)</f>
        <v>46040</v>
      </c>
      <c r="H2722" s="34" t="str">
        <f t="shared" si="215"/>
        <v>R</v>
      </c>
      <c r="I2722" s="29" t="str">
        <f t="shared" si="211"/>
        <v>ZK384180</v>
      </c>
      <c r="J2722" s="59">
        <f t="shared" ca="1" si="212"/>
        <v>46040</v>
      </c>
      <c r="K2722" s="30">
        <f ca="1">LOOKUP(A2722,'QALS - Inspection Lot Record'!A:A,'QALS - Inspection Lot Record'!I:I)</f>
        <v>0.94721064814814815</v>
      </c>
      <c r="L2722" s="59">
        <f t="shared" ca="1" si="213"/>
        <v>46040</v>
      </c>
      <c r="M2722" s="30">
        <f t="shared" ca="1" si="214"/>
        <v>0.97818287037037033</v>
      </c>
      <c r="N2722" s="31"/>
      <c r="O2722" s="31">
        <v>94</v>
      </c>
      <c r="P2722" s="29">
        <v>95</v>
      </c>
      <c r="Q2722" s="29">
        <v>103</v>
      </c>
    </row>
    <row r="2723" spans="1:17" x14ac:dyDescent="0.35">
      <c r="A2723" s="26">
        <v>40000002841</v>
      </c>
      <c r="B2723" s="27">
        <v>1</v>
      </c>
      <c r="C2723" s="29" t="str">
        <f>LOOKUP(A2723,'QALS - Inspection Lot Record'!$A$2:$A$361,'QALS - Inspection Lot Record'!$O$2:$O$361)</f>
        <v>Metformin Tablets (200 MG)</v>
      </c>
      <c r="D2723" s="31">
        <v>20</v>
      </c>
      <c r="E2723" s="29" t="s">
        <v>400</v>
      </c>
      <c r="F2723" s="29" t="str">
        <f>LOOKUP(A2723,'QALS - Inspection Lot Record'!A:A,'QALS - Inspection Lot Record'!G:G)</f>
        <v>ZK384180</v>
      </c>
      <c r="G2723" s="59">
        <f ca="1">LOOKUP(A2723,'QALS - Inspection Lot Record'!A:A,'QALS - Inspection Lot Record'!E:E)</f>
        <v>46040</v>
      </c>
      <c r="H2723" s="34" t="str">
        <f t="shared" si="215"/>
        <v>A</v>
      </c>
      <c r="I2723" s="29" t="str">
        <f t="shared" si="211"/>
        <v>ZK384180</v>
      </c>
      <c r="J2723" s="59">
        <f t="shared" ca="1" si="212"/>
        <v>46040</v>
      </c>
      <c r="K2723" s="30">
        <f ca="1">LOOKUP(A2723,'QALS - Inspection Lot Record'!A:A,'QALS - Inspection Lot Record'!I:I)</f>
        <v>0.94721064814814815</v>
      </c>
      <c r="L2723" s="59">
        <f t="shared" ca="1" si="213"/>
        <v>46040</v>
      </c>
      <c r="M2723" s="30">
        <f t="shared" ca="1" si="214"/>
        <v>0.97392361111111114</v>
      </c>
      <c r="N2723" s="31"/>
      <c r="O2723" s="31">
        <v>7.75</v>
      </c>
      <c r="P2723" s="29">
        <v>6</v>
      </c>
      <c r="Q2723" s="29">
        <v>9.5</v>
      </c>
    </row>
    <row r="2724" spans="1:17" x14ac:dyDescent="0.35">
      <c r="A2724" s="26">
        <v>40000002841</v>
      </c>
      <c r="B2724" s="31">
        <v>1</v>
      </c>
      <c r="C2724" s="29" t="str">
        <f>LOOKUP(A2724,'QALS - Inspection Lot Record'!$A$2:$A$361,'QALS - Inspection Lot Record'!$O$2:$O$361)</f>
        <v>Metformin Tablets (200 MG)</v>
      </c>
      <c r="D2724" s="31">
        <v>30</v>
      </c>
      <c r="E2724" s="29" t="s">
        <v>401</v>
      </c>
      <c r="F2724" s="29" t="str">
        <f>LOOKUP(A2724,'QALS - Inspection Lot Record'!A:A,'QALS - Inspection Lot Record'!G:G)</f>
        <v>ZK384180</v>
      </c>
      <c r="G2724" s="59">
        <f ca="1">LOOKUP(A2724,'QALS - Inspection Lot Record'!A:A,'QALS - Inspection Lot Record'!E:E)</f>
        <v>46040</v>
      </c>
      <c r="H2724" s="34" t="str">
        <f t="shared" si="215"/>
        <v>A</v>
      </c>
      <c r="I2724" s="29" t="str">
        <f t="shared" si="211"/>
        <v>ZK384180</v>
      </c>
      <c r="J2724" s="59">
        <f t="shared" ca="1" si="212"/>
        <v>46040</v>
      </c>
      <c r="K2724" s="30">
        <f ca="1">LOOKUP(A2724,'QALS - Inspection Lot Record'!A:A,'QALS - Inspection Lot Record'!I:I)</f>
        <v>0.94721064814814815</v>
      </c>
      <c r="L2724" s="59">
        <f t="shared" ca="1" si="213"/>
        <v>46040</v>
      </c>
      <c r="M2724" s="30">
        <f t="shared" ca="1" si="214"/>
        <v>0.96515046296296292</v>
      </c>
      <c r="N2724" s="11" t="s">
        <v>402</v>
      </c>
      <c r="O2724" s="31"/>
      <c r="P2724" s="29"/>
      <c r="Q2724" s="29"/>
    </row>
    <row r="2725" spans="1:17" x14ac:dyDescent="0.35">
      <c r="A2725" s="26">
        <v>40000002841</v>
      </c>
      <c r="B2725" s="31">
        <v>1</v>
      </c>
      <c r="C2725" s="29" t="str">
        <f>LOOKUP(A2725,'QALS - Inspection Lot Record'!$A$2:$A$361,'QALS - Inspection Lot Record'!$O$2:$O$361)</f>
        <v>Metformin Tablets (200 MG)</v>
      </c>
      <c r="D2725" s="31">
        <v>40</v>
      </c>
      <c r="E2725" s="29" t="s">
        <v>403</v>
      </c>
      <c r="F2725" s="29" t="str">
        <f>LOOKUP(A2725,'QALS - Inspection Lot Record'!A:A,'QALS - Inspection Lot Record'!G:G)</f>
        <v>ZK384180</v>
      </c>
      <c r="G2725" s="59">
        <f ca="1">LOOKUP(A2725,'QALS - Inspection Lot Record'!A:A,'QALS - Inspection Lot Record'!E:E)</f>
        <v>46040</v>
      </c>
      <c r="H2725" s="34" t="str">
        <f t="shared" si="215"/>
        <v>A</v>
      </c>
      <c r="I2725" s="29" t="str">
        <f t="shared" si="211"/>
        <v>ZK384180</v>
      </c>
      <c r="J2725" s="59">
        <f t="shared" ca="1" si="212"/>
        <v>46040</v>
      </c>
      <c r="K2725" s="30">
        <f ca="1">LOOKUP(A2725,'QALS - Inspection Lot Record'!A:A,'QALS - Inspection Lot Record'!I:I)</f>
        <v>0.94721064814814815</v>
      </c>
      <c r="L2725" s="59">
        <f t="shared" ca="1" si="213"/>
        <v>46040</v>
      </c>
      <c r="M2725" s="30">
        <f t="shared" ca="1" si="214"/>
        <v>0.96994212962962967</v>
      </c>
      <c r="N2725" s="31"/>
      <c r="O2725" s="31">
        <v>0</v>
      </c>
      <c r="P2725" s="29">
        <v>0</v>
      </c>
      <c r="Q2725" s="29">
        <v>2</v>
      </c>
    </row>
    <row r="2726" spans="1:17" x14ac:dyDescent="0.35">
      <c r="A2726" s="26">
        <v>40000002841</v>
      </c>
      <c r="B2726" s="31">
        <v>1</v>
      </c>
      <c r="C2726" s="29" t="str">
        <f>LOOKUP(A2726,'QALS - Inspection Lot Record'!$A$2:$A$361,'QALS - Inspection Lot Record'!$O$2:$O$361)</f>
        <v>Metformin Tablets (200 MG)</v>
      </c>
      <c r="D2726" s="31">
        <v>50</v>
      </c>
      <c r="E2726" s="29" t="s">
        <v>404</v>
      </c>
      <c r="F2726" s="29" t="str">
        <f>LOOKUP(A2726,'QALS - Inspection Lot Record'!A:A,'QALS - Inspection Lot Record'!G:G)</f>
        <v>ZK384180</v>
      </c>
      <c r="G2726" s="59">
        <f ca="1">LOOKUP(A2726,'QALS - Inspection Lot Record'!A:A,'QALS - Inspection Lot Record'!E:E)</f>
        <v>46040</v>
      </c>
      <c r="H2726" s="34" t="str">
        <f t="shared" si="215"/>
        <v>A</v>
      </c>
      <c r="I2726" s="29" t="str">
        <f t="shared" si="211"/>
        <v>ZK384180</v>
      </c>
      <c r="J2726" s="59">
        <f t="shared" ca="1" si="212"/>
        <v>46040</v>
      </c>
      <c r="K2726" s="30">
        <f ca="1">LOOKUP(A2726,'QALS - Inspection Lot Record'!A:A,'QALS - Inspection Lot Record'!I:I)</f>
        <v>0.94721064814814815</v>
      </c>
      <c r="L2726" s="59">
        <f t="shared" ca="1" si="213"/>
        <v>46040</v>
      </c>
      <c r="M2726" s="30">
        <f t="shared" ca="1" si="214"/>
        <v>0.96859953703703705</v>
      </c>
      <c r="N2726" s="31"/>
      <c r="O2726" s="31">
        <v>50</v>
      </c>
      <c r="P2726" s="29">
        <v>40</v>
      </c>
      <c r="Q2726" s="29">
        <v>60</v>
      </c>
    </row>
    <row r="2727" spans="1:17" x14ac:dyDescent="0.35">
      <c r="A2727" s="26">
        <v>40000002841</v>
      </c>
      <c r="B2727" s="31">
        <v>1</v>
      </c>
      <c r="C2727" s="29" t="str">
        <f>LOOKUP(A2727,'QALS - Inspection Lot Record'!$A$2:$A$361,'QALS - Inspection Lot Record'!$O$2:$O$361)</f>
        <v>Metformin Tablets (200 MG)</v>
      </c>
      <c r="D2727" s="31">
        <v>60</v>
      </c>
      <c r="E2727" s="29" t="s">
        <v>405</v>
      </c>
      <c r="F2727" s="29" t="str">
        <f>LOOKUP(A2727,'QALS - Inspection Lot Record'!A:A,'QALS - Inspection Lot Record'!G:G)</f>
        <v>ZK384180</v>
      </c>
      <c r="G2727" s="59">
        <f ca="1">LOOKUP(A2727,'QALS - Inspection Lot Record'!A:A,'QALS - Inspection Lot Record'!E:E)</f>
        <v>46040</v>
      </c>
      <c r="H2727" s="34" t="str">
        <f t="shared" si="215"/>
        <v>A</v>
      </c>
      <c r="I2727" s="29" t="str">
        <f t="shared" si="211"/>
        <v>ZK384180</v>
      </c>
      <c r="J2727" s="59">
        <f t="shared" ca="1" si="212"/>
        <v>46040</v>
      </c>
      <c r="K2727" s="30">
        <f ca="1">LOOKUP(A2727,'QALS - Inspection Lot Record'!A:A,'QALS - Inspection Lot Record'!I:I)</f>
        <v>0.94721064814814815</v>
      </c>
      <c r="L2727" s="59">
        <f t="shared" ca="1" si="213"/>
        <v>46040</v>
      </c>
      <c r="M2727" s="30">
        <f t="shared" ca="1" si="214"/>
        <v>0.97537037037037033</v>
      </c>
      <c r="N2727" s="31"/>
      <c r="O2727" s="31">
        <v>77.5</v>
      </c>
      <c r="P2727" s="29">
        <v>70</v>
      </c>
      <c r="Q2727" s="29">
        <v>85</v>
      </c>
    </row>
    <row r="2728" spans="1:17" x14ac:dyDescent="0.35">
      <c r="A2728" s="26">
        <v>40000002841</v>
      </c>
      <c r="B2728" s="31">
        <v>1</v>
      </c>
      <c r="C2728" s="29" t="str">
        <f>LOOKUP(A2728,'QALS - Inspection Lot Record'!$A$2:$A$361,'QALS - Inspection Lot Record'!$O$2:$O$361)</f>
        <v>Metformin Tablets (200 MG)</v>
      </c>
      <c r="D2728" s="31">
        <v>70</v>
      </c>
      <c r="E2728" s="29" t="s">
        <v>406</v>
      </c>
      <c r="F2728" s="29" t="str">
        <f>LOOKUP(A2728,'QALS - Inspection Lot Record'!A:A,'QALS - Inspection Lot Record'!G:G)</f>
        <v>ZK384180</v>
      </c>
      <c r="G2728" s="59">
        <f ca="1">LOOKUP(A2728,'QALS - Inspection Lot Record'!A:A,'QALS - Inspection Lot Record'!E:E)</f>
        <v>46040</v>
      </c>
      <c r="H2728" s="34" t="str">
        <f t="shared" si="215"/>
        <v>A</v>
      </c>
      <c r="I2728" s="29" t="str">
        <f t="shared" si="211"/>
        <v>ZK384180</v>
      </c>
      <c r="J2728" s="59">
        <f t="shared" ca="1" si="212"/>
        <v>46040</v>
      </c>
      <c r="K2728" s="30">
        <f ca="1">LOOKUP(A2728,'QALS - Inspection Lot Record'!A:A,'QALS - Inspection Lot Record'!I:I)</f>
        <v>0.94721064814814815</v>
      </c>
      <c r="L2728" s="59">
        <f t="shared" ca="1" si="213"/>
        <v>46040</v>
      </c>
      <c r="M2728" s="30">
        <f t="shared" ca="1" si="214"/>
        <v>0.97311342592592598</v>
      </c>
      <c r="N2728" s="31"/>
      <c r="O2728" s="31">
        <v>85</v>
      </c>
      <c r="P2728" s="29">
        <v>80</v>
      </c>
      <c r="Q2728" s="29">
        <v>90</v>
      </c>
    </row>
    <row r="2729" spans="1:17" x14ac:dyDescent="0.35">
      <c r="A2729" s="26">
        <v>40000002841</v>
      </c>
      <c r="B2729" s="31">
        <v>1</v>
      </c>
      <c r="C2729" s="29" t="str">
        <f>LOOKUP(A2729,'QALS - Inspection Lot Record'!$A$2:$A$361,'QALS - Inspection Lot Record'!$O$2:$O$361)</f>
        <v>Metformin Tablets (200 MG)</v>
      </c>
      <c r="D2729" s="31">
        <v>80</v>
      </c>
      <c r="E2729" s="29" t="s">
        <v>407</v>
      </c>
      <c r="F2729" s="29" t="str">
        <f>LOOKUP(A2729,'QALS - Inspection Lot Record'!A:A,'QALS - Inspection Lot Record'!G:G)</f>
        <v>ZK384180</v>
      </c>
      <c r="G2729" s="59">
        <f ca="1">LOOKUP(A2729,'QALS - Inspection Lot Record'!A:A,'QALS - Inspection Lot Record'!E:E)</f>
        <v>46040</v>
      </c>
      <c r="H2729" s="34" t="str">
        <f t="shared" si="215"/>
        <v>A</v>
      </c>
      <c r="I2729" s="29" t="str">
        <f t="shared" si="211"/>
        <v>ZK384180</v>
      </c>
      <c r="J2729" s="59">
        <f t="shared" ca="1" si="212"/>
        <v>46040</v>
      </c>
      <c r="K2729" s="30">
        <f ca="1">LOOKUP(A2729,'QALS - Inspection Lot Record'!A:A,'QALS - Inspection Lot Record'!I:I)</f>
        <v>0.94721064814814815</v>
      </c>
      <c r="L2729" s="59">
        <f t="shared" ca="1" si="213"/>
        <v>46040</v>
      </c>
      <c r="M2729" s="30">
        <f t="shared" ca="1" si="214"/>
        <v>0.9657175925925926</v>
      </c>
      <c r="N2729" s="31"/>
      <c r="O2729" s="31">
        <v>25.5</v>
      </c>
      <c r="P2729" s="29">
        <v>23</v>
      </c>
      <c r="Q2729" s="29">
        <v>28</v>
      </c>
    </row>
    <row r="2730" spans="1:17" x14ac:dyDescent="0.35">
      <c r="A2730" s="26">
        <v>40000002842</v>
      </c>
      <c r="B2730" s="27">
        <v>1</v>
      </c>
      <c r="C2730" s="29" t="str">
        <f>LOOKUP(A2730,'QALS - Inspection Lot Record'!$A$2:$A$361,'QALS - Inspection Lot Record'!$O$2:$O$361)</f>
        <v>Ibuprofen Tablets (100 MG)</v>
      </c>
      <c r="D2730" s="27">
        <v>10</v>
      </c>
      <c r="E2730" s="26" t="s">
        <v>399</v>
      </c>
      <c r="F2730" s="29" t="str">
        <f>LOOKUP(A2730,'QALS - Inspection Lot Record'!A:A,'QALS - Inspection Lot Record'!G:G)</f>
        <v>YA284176</v>
      </c>
      <c r="G2730" s="59">
        <f ca="1">LOOKUP(A2730,'QALS - Inspection Lot Record'!A:A,'QALS - Inspection Lot Record'!E:E)</f>
        <v>46040</v>
      </c>
      <c r="H2730" s="34" t="str">
        <f t="shared" si="215"/>
        <v>A</v>
      </c>
      <c r="I2730" s="29" t="str">
        <f t="shared" si="211"/>
        <v>YA284176</v>
      </c>
      <c r="J2730" s="59">
        <f t="shared" ca="1" si="212"/>
        <v>46040</v>
      </c>
      <c r="K2730" s="30">
        <f ca="1">LOOKUP(A2730,'QALS - Inspection Lot Record'!A:A,'QALS - Inspection Lot Record'!I:I)</f>
        <v>0.22190972222222222</v>
      </c>
      <c r="L2730" s="59">
        <f t="shared" ca="1" si="213"/>
        <v>46040</v>
      </c>
      <c r="M2730" s="30">
        <f t="shared" ca="1" si="214"/>
        <v>0.24054398148148148</v>
      </c>
      <c r="N2730" s="31"/>
      <c r="O2730" s="31">
        <v>98.5</v>
      </c>
      <c r="P2730" s="29">
        <v>95</v>
      </c>
      <c r="Q2730" s="29">
        <v>102</v>
      </c>
    </row>
    <row r="2731" spans="1:17" x14ac:dyDescent="0.35">
      <c r="A2731" s="26">
        <v>40000002842</v>
      </c>
      <c r="B2731" s="27">
        <v>1</v>
      </c>
      <c r="C2731" s="29" t="str">
        <f>LOOKUP(A2731,'QALS - Inspection Lot Record'!$A$2:$A$361,'QALS - Inspection Lot Record'!$O$2:$O$361)</f>
        <v>Ibuprofen Tablets (100 MG)</v>
      </c>
      <c r="D2731" s="31">
        <v>20</v>
      </c>
      <c r="E2731" s="29" t="s">
        <v>400</v>
      </c>
      <c r="F2731" s="29" t="str">
        <f>LOOKUP(A2731,'QALS - Inspection Lot Record'!A:A,'QALS - Inspection Lot Record'!G:G)</f>
        <v>YA284176</v>
      </c>
      <c r="G2731" s="59">
        <f ca="1">LOOKUP(A2731,'QALS - Inspection Lot Record'!A:A,'QALS - Inspection Lot Record'!E:E)</f>
        <v>46040</v>
      </c>
      <c r="H2731" s="34" t="str">
        <f t="shared" si="215"/>
        <v>A</v>
      </c>
      <c r="I2731" s="29" t="str">
        <f t="shared" si="211"/>
        <v>YA284176</v>
      </c>
      <c r="J2731" s="59">
        <f t="shared" ca="1" si="212"/>
        <v>46040</v>
      </c>
      <c r="K2731" s="30">
        <f ca="1">LOOKUP(A2731,'QALS - Inspection Lot Record'!A:A,'QALS - Inspection Lot Record'!I:I)</f>
        <v>0.22190972222222222</v>
      </c>
      <c r="L2731" s="59">
        <f t="shared" ca="1" si="213"/>
        <v>46040</v>
      </c>
      <c r="M2731" s="30">
        <f t="shared" ca="1" si="214"/>
        <v>0.24540509259259258</v>
      </c>
      <c r="N2731" s="31"/>
      <c r="O2731" s="31">
        <v>7.25</v>
      </c>
      <c r="P2731" s="29">
        <v>3.5</v>
      </c>
      <c r="Q2731" s="29">
        <v>11</v>
      </c>
    </row>
    <row r="2732" spans="1:17" x14ac:dyDescent="0.35">
      <c r="A2732" s="26">
        <v>40000002842</v>
      </c>
      <c r="B2732" s="31">
        <v>1</v>
      </c>
      <c r="C2732" s="29" t="str">
        <f>LOOKUP(A2732,'QALS - Inspection Lot Record'!$A$2:$A$361,'QALS - Inspection Lot Record'!$O$2:$O$361)</f>
        <v>Ibuprofen Tablets (100 MG)</v>
      </c>
      <c r="D2732" s="31">
        <v>30</v>
      </c>
      <c r="E2732" s="29" t="s">
        <v>401</v>
      </c>
      <c r="F2732" s="29" t="str">
        <f>LOOKUP(A2732,'QALS - Inspection Lot Record'!A:A,'QALS - Inspection Lot Record'!G:G)</f>
        <v>YA284176</v>
      </c>
      <c r="G2732" s="59">
        <f ca="1">LOOKUP(A2732,'QALS - Inspection Lot Record'!A:A,'QALS - Inspection Lot Record'!E:E)</f>
        <v>46040</v>
      </c>
      <c r="H2732" s="34" t="str">
        <f t="shared" si="215"/>
        <v>A</v>
      </c>
      <c r="I2732" s="29" t="str">
        <f t="shared" si="211"/>
        <v>YA284176</v>
      </c>
      <c r="J2732" s="59">
        <f t="shared" ca="1" si="212"/>
        <v>46040</v>
      </c>
      <c r="K2732" s="30">
        <f ca="1">LOOKUP(A2732,'QALS - Inspection Lot Record'!A:A,'QALS - Inspection Lot Record'!I:I)</f>
        <v>0.22190972222222222</v>
      </c>
      <c r="L2732" s="59">
        <f t="shared" ca="1" si="213"/>
        <v>46040</v>
      </c>
      <c r="M2732" s="30">
        <f t="shared" ca="1" si="214"/>
        <v>0.2409375</v>
      </c>
      <c r="N2732" s="11" t="s">
        <v>402</v>
      </c>
      <c r="O2732" s="31"/>
      <c r="P2732" s="29"/>
      <c r="Q2732" s="29"/>
    </row>
    <row r="2733" spans="1:17" x14ac:dyDescent="0.35">
      <c r="A2733" s="26">
        <v>40000002842</v>
      </c>
      <c r="B2733" s="31">
        <v>1</v>
      </c>
      <c r="C2733" s="29" t="str">
        <f>LOOKUP(A2733,'QALS - Inspection Lot Record'!$A$2:$A$361,'QALS - Inspection Lot Record'!$O$2:$O$361)</f>
        <v>Ibuprofen Tablets (100 MG)</v>
      </c>
      <c r="D2733" s="31">
        <v>40</v>
      </c>
      <c r="E2733" s="29" t="s">
        <v>403</v>
      </c>
      <c r="F2733" s="29" t="str">
        <f>LOOKUP(A2733,'QALS - Inspection Lot Record'!A:A,'QALS - Inspection Lot Record'!G:G)</f>
        <v>YA284176</v>
      </c>
      <c r="G2733" s="59">
        <f ca="1">LOOKUP(A2733,'QALS - Inspection Lot Record'!A:A,'QALS - Inspection Lot Record'!E:E)</f>
        <v>46040</v>
      </c>
      <c r="H2733" s="34" t="str">
        <f t="shared" si="215"/>
        <v>A</v>
      </c>
      <c r="I2733" s="29" t="str">
        <f t="shared" si="211"/>
        <v>YA284176</v>
      </c>
      <c r="J2733" s="59">
        <f t="shared" ca="1" si="212"/>
        <v>46040</v>
      </c>
      <c r="K2733" s="30">
        <f ca="1">LOOKUP(A2733,'QALS - Inspection Lot Record'!A:A,'QALS - Inspection Lot Record'!I:I)</f>
        <v>0.22190972222222222</v>
      </c>
      <c r="L2733" s="59">
        <f t="shared" ca="1" si="213"/>
        <v>46040</v>
      </c>
      <c r="M2733" s="30">
        <f t="shared" ca="1" si="214"/>
        <v>0.25291666666666668</v>
      </c>
      <c r="N2733" s="31"/>
      <c r="O2733" s="31">
        <v>0</v>
      </c>
      <c r="P2733" s="29">
        <v>0</v>
      </c>
      <c r="Q2733" s="29">
        <v>1</v>
      </c>
    </row>
    <row r="2734" spans="1:17" x14ac:dyDescent="0.35">
      <c r="A2734" s="26">
        <v>40000002842</v>
      </c>
      <c r="B2734" s="31">
        <v>1</v>
      </c>
      <c r="C2734" s="29" t="str">
        <f>LOOKUP(A2734,'QALS - Inspection Lot Record'!$A$2:$A$361,'QALS - Inspection Lot Record'!$O$2:$O$361)</f>
        <v>Ibuprofen Tablets (100 MG)</v>
      </c>
      <c r="D2734" s="31">
        <v>50</v>
      </c>
      <c r="E2734" s="29" t="s">
        <v>404</v>
      </c>
      <c r="F2734" s="29" t="str">
        <f>LOOKUP(A2734,'QALS - Inspection Lot Record'!A:A,'QALS - Inspection Lot Record'!G:G)</f>
        <v>YA284176</v>
      </c>
      <c r="G2734" s="59">
        <f ca="1">LOOKUP(A2734,'QALS - Inspection Lot Record'!A:A,'QALS - Inspection Lot Record'!E:E)</f>
        <v>46040</v>
      </c>
      <c r="H2734" s="34" t="str">
        <f t="shared" si="215"/>
        <v>A</v>
      </c>
      <c r="I2734" s="29" t="str">
        <f t="shared" si="211"/>
        <v>YA284176</v>
      </c>
      <c r="J2734" s="59">
        <f t="shared" ca="1" si="212"/>
        <v>46040</v>
      </c>
      <c r="K2734" s="30">
        <f ca="1">LOOKUP(A2734,'QALS - Inspection Lot Record'!A:A,'QALS - Inspection Lot Record'!I:I)</f>
        <v>0.22190972222222222</v>
      </c>
      <c r="L2734" s="59">
        <f t="shared" ca="1" si="213"/>
        <v>46040</v>
      </c>
      <c r="M2734" s="30">
        <f t="shared" ca="1" si="214"/>
        <v>0.24994212962962964</v>
      </c>
      <c r="N2734" s="31"/>
      <c r="O2734" s="31">
        <v>50</v>
      </c>
      <c r="P2734" s="29">
        <v>40</v>
      </c>
      <c r="Q2734" s="29">
        <v>60</v>
      </c>
    </row>
    <row r="2735" spans="1:17" x14ac:dyDescent="0.35">
      <c r="A2735" s="26">
        <v>40000002842</v>
      </c>
      <c r="B2735" s="31">
        <v>1</v>
      </c>
      <c r="C2735" s="29" t="str">
        <f>LOOKUP(A2735,'QALS - Inspection Lot Record'!$A$2:$A$361,'QALS - Inspection Lot Record'!$O$2:$O$361)</f>
        <v>Ibuprofen Tablets (100 MG)</v>
      </c>
      <c r="D2735" s="31">
        <v>60</v>
      </c>
      <c r="E2735" s="29" t="s">
        <v>405</v>
      </c>
      <c r="F2735" s="29" t="str">
        <f>LOOKUP(A2735,'QALS - Inspection Lot Record'!A:A,'QALS - Inspection Lot Record'!G:G)</f>
        <v>YA284176</v>
      </c>
      <c r="G2735" s="59">
        <f ca="1">LOOKUP(A2735,'QALS - Inspection Lot Record'!A:A,'QALS - Inspection Lot Record'!E:E)</f>
        <v>46040</v>
      </c>
      <c r="H2735" s="34" t="str">
        <f t="shared" si="215"/>
        <v>R</v>
      </c>
      <c r="I2735" s="29" t="str">
        <f t="shared" si="211"/>
        <v>YA284176</v>
      </c>
      <c r="J2735" s="59">
        <f t="shared" ca="1" si="212"/>
        <v>46040</v>
      </c>
      <c r="K2735" s="30">
        <f ca="1">LOOKUP(A2735,'QALS - Inspection Lot Record'!A:A,'QALS - Inspection Lot Record'!I:I)</f>
        <v>0.22190972222222222</v>
      </c>
      <c r="L2735" s="59">
        <f t="shared" ca="1" si="213"/>
        <v>46040</v>
      </c>
      <c r="M2735" s="30">
        <f t="shared" ca="1" si="214"/>
        <v>0.25039351851851849</v>
      </c>
      <c r="N2735" s="31"/>
      <c r="O2735" s="31">
        <v>68.8</v>
      </c>
      <c r="P2735" s="29">
        <v>70</v>
      </c>
      <c r="Q2735" s="29">
        <v>85</v>
      </c>
    </row>
    <row r="2736" spans="1:17" x14ac:dyDescent="0.35">
      <c r="A2736" s="26">
        <v>40000002842</v>
      </c>
      <c r="B2736" s="31">
        <v>1</v>
      </c>
      <c r="C2736" s="29" t="str">
        <f>LOOKUP(A2736,'QALS - Inspection Lot Record'!$A$2:$A$361,'QALS - Inspection Lot Record'!$O$2:$O$361)</f>
        <v>Ibuprofen Tablets (100 MG)</v>
      </c>
      <c r="D2736" s="31">
        <v>70</v>
      </c>
      <c r="E2736" s="29" t="s">
        <v>406</v>
      </c>
      <c r="F2736" s="29" t="str">
        <f>LOOKUP(A2736,'QALS - Inspection Lot Record'!A:A,'QALS - Inspection Lot Record'!G:G)</f>
        <v>YA284176</v>
      </c>
      <c r="G2736" s="59">
        <f ca="1">LOOKUP(A2736,'QALS - Inspection Lot Record'!A:A,'QALS - Inspection Lot Record'!E:E)</f>
        <v>46040</v>
      </c>
      <c r="H2736" s="34" t="str">
        <f t="shared" si="215"/>
        <v>A</v>
      </c>
      <c r="I2736" s="29" t="str">
        <f t="shared" si="211"/>
        <v>YA284176</v>
      </c>
      <c r="J2736" s="59">
        <f t="shared" ca="1" si="212"/>
        <v>46040</v>
      </c>
      <c r="K2736" s="30">
        <f ca="1">LOOKUP(A2736,'QALS - Inspection Lot Record'!A:A,'QALS - Inspection Lot Record'!I:I)</f>
        <v>0.22190972222222222</v>
      </c>
      <c r="L2736" s="59">
        <f t="shared" ca="1" si="213"/>
        <v>46040</v>
      </c>
      <c r="M2736" s="30">
        <f t="shared" ca="1" si="214"/>
        <v>0.25159722222222219</v>
      </c>
      <c r="N2736" s="31"/>
      <c r="O2736" s="31">
        <v>85</v>
      </c>
      <c r="P2736" s="29">
        <v>80</v>
      </c>
      <c r="Q2736" s="29">
        <v>90</v>
      </c>
    </row>
    <row r="2737" spans="1:17" x14ac:dyDescent="0.35">
      <c r="A2737" s="26">
        <v>40000002842</v>
      </c>
      <c r="B2737" s="31">
        <v>1</v>
      </c>
      <c r="C2737" s="29" t="str">
        <f>LOOKUP(A2737,'QALS - Inspection Lot Record'!$A$2:$A$361,'QALS - Inspection Lot Record'!$O$2:$O$361)</f>
        <v>Ibuprofen Tablets (100 MG)</v>
      </c>
      <c r="D2737" s="31">
        <v>80</v>
      </c>
      <c r="E2737" s="29" t="s">
        <v>407</v>
      </c>
      <c r="F2737" s="29" t="str">
        <f>LOOKUP(A2737,'QALS - Inspection Lot Record'!A:A,'QALS - Inspection Lot Record'!G:G)</f>
        <v>YA284176</v>
      </c>
      <c r="G2737" s="59">
        <f ca="1">LOOKUP(A2737,'QALS - Inspection Lot Record'!A:A,'QALS - Inspection Lot Record'!E:E)</f>
        <v>46040</v>
      </c>
      <c r="H2737" s="34" t="str">
        <f t="shared" si="215"/>
        <v>R</v>
      </c>
      <c r="I2737" s="29" t="str">
        <f t="shared" si="211"/>
        <v>YA284176</v>
      </c>
      <c r="J2737" s="59">
        <f t="shared" ca="1" si="212"/>
        <v>46040</v>
      </c>
      <c r="K2737" s="30">
        <f ca="1">LOOKUP(A2737,'QALS - Inspection Lot Record'!A:A,'QALS - Inspection Lot Record'!I:I)</f>
        <v>0.22190972222222222</v>
      </c>
      <c r="L2737" s="59">
        <f t="shared" ca="1" si="213"/>
        <v>46040</v>
      </c>
      <c r="M2737" s="30">
        <f t="shared" ca="1" si="214"/>
        <v>0.24438657407407408</v>
      </c>
      <c r="N2737" s="31"/>
      <c r="O2737" s="31">
        <v>21.9</v>
      </c>
      <c r="P2737" s="29">
        <v>23</v>
      </c>
      <c r="Q2737" s="29">
        <v>25</v>
      </c>
    </row>
    <row r="2738" spans="1:17" x14ac:dyDescent="0.35">
      <c r="A2738" s="26">
        <v>40000002843</v>
      </c>
      <c r="B2738" s="27">
        <v>1</v>
      </c>
      <c r="C2738" s="29" t="str">
        <f>LOOKUP(A2738,'QALS - Inspection Lot Record'!$A$2:$A$361,'QALS - Inspection Lot Record'!$O$2:$O$361)</f>
        <v>Aspirin Tablets (500 MG)</v>
      </c>
      <c r="D2738" s="27">
        <v>10</v>
      </c>
      <c r="E2738" s="26" t="s">
        <v>399</v>
      </c>
      <c r="F2738" s="29" t="str">
        <f>LOOKUP(A2738,'QALS - Inspection Lot Record'!A:A,'QALS - Inspection Lot Record'!G:G)</f>
        <v>AB406550</v>
      </c>
      <c r="G2738" s="59">
        <f ca="1">LOOKUP(A2738,'QALS - Inspection Lot Record'!A:A,'QALS - Inspection Lot Record'!E:E)</f>
        <v>46041</v>
      </c>
      <c r="H2738" s="34" t="str">
        <f t="shared" si="215"/>
        <v>A</v>
      </c>
      <c r="I2738" s="29" t="str">
        <f t="shared" si="211"/>
        <v>AB406550</v>
      </c>
      <c r="J2738" s="59">
        <f t="shared" ca="1" si="212"/>
        <v>46041</v>
      </c>
      <c r="K2738" s="30">
        <f ca="1">LOOKUP(A2738,'QALS - Inspection Lot Record'!A:A,'QALS - Inspection Lot Record'!I:I)</f>
        <v>0.71239583333333334</v>
      </c>
      <c r="L2738" s="59">
        <f t="shared" ca="1" si="213"/>
        <v>46041</v>
      </c>
      <c r="M2738" s="30">
        <f t="shared" ca="1" si="214"/>
        <v>0.74510416666666668</v>
      </c>
      <c r="N2738" s="31"/>
      <c r="O2738" s="31">
        <v>100</v>
      </c>
      <c r="P2738" s="29">
        <v>95</v>
      </c>
      <c r="Q2738" s="29">
        <v>105</v>
      </c>
    </row>
    <row r="2739" spans="1:17" x14ac:dyDescent="0.35">
      <c r="A2739" s="26">
        <v>40000002843</v>
      </c>
      <c r="B2739" s="27">
        <v>1</v>
      </c>
      <c r="C2739" s="29" t="str">
        <f>LOOKUP(A2739,'QALS - Inspection Lot Record'!$A$2:$A$361,'QALS - Inspection Lot Record'!$O$2:$O$361)</f>
        <v>Aspirin Tablets (500 MG)</v>
      </c>
      <c r="D2739" s="31">
        <v>20</v>
      </c>
      <c r="E2739" s="29" t="s">
        <v>400</v>
      </c>
      <c r="F2739" s="29" t="str">
        <f>LOOKUP(A2739,'QALS - Inspection Lot Record'!A:A,'QALS - Inspection Lot Record'!G:G)</f>
        <v>AB406550</v>
      </c>
      <c r="G2739" s="59">
        <f ca="1">LOOKUP(A2739,'QALS - Inspection Lot Record'!A:A,'QALS - Inspection Lot Record'!E:E)</f>
        <v>46041</v>
      </c>
      <c r="H2739" s="34" t="str">
        <f t="shared" si="215"/>
        <v>A</v>
      </c>
      <c r="I2739" s="29" t="str">
        <f t="shared" si="211"/>
        <v>AB406550</v>
      </c>
      <c r="J2739" s="59">
        <f t="shared" ca="1" si="212"/>
        <v>46041</v>
      </c>
      <c r="K2739" s="30">
        <f ca="1">LOOKUP(A2739,'QALS - Inspection Lot Record'!A:A,'QALS - Inspection Lot Record'!I:I)</f>
        <v>0.71239583333333334</v>
      </c>
      <c r="L2739" s="59">
        <f t="shared" ca="1" si="213"/>
        <v>46041</v>
      </c>
      <c r="M2739" s="30">
        <f t="shared" ca="1" si="214"/>
        <v>0.73144675925925928</v>
      </c>
      <c r="N2739" s="31"/>
      <c r="O2739" s="31">
        <v>7.3</v>
      </c>
      <c r="P2739" s="29">
        <v>3.5</v>
      </c>
      <c r="Q2739" s="29">
        <v>11</v>
      </c>
    </row>
    <row r="2740" spans="1:17" x14ac:dyDescent="0.35">
      <c r="A2740" s="26">
        <v>40000002843</v>
      </c>
      <c r="B2740" s="31">
        <v>1</v>
      </c>
      <c r="C2740" s="29" t="str">
        <f>LOOKUP(A2740,'QALS - Inspection Lot Record'!$A$2:$A$361,'QALS - Inspection Lot Record'!$O$2:$O$361)</f>
        <v>Aspirin Tablets (500 MG)</v>
      </c>
      <c r="D2740" s="31">
        <v>30</v>
      </c>
      <c r="E2740" s="29" t="s">
        <v>401</v>
      </c>
      <c r="F2740" s="29" t="str">
        <f>LOOKUP(A2740,'QALS - Inspection Lot Record'!A:A,'QALS - Inspection Lot Record'!G:G)</f>
        <v>AB406550</v>
      </c>
      <c r="G2740" s="59">
        <f ca="1">LOOKUP(A2740,'QALS - Inspection Lot Record'!A:A,'QALS - Inspection Lot Record'!E:E)</f>
        <v>46041</v>
      </c>
      <c r="H2740" s="34" t="str">
        <f t="shared" si="215"/>
        <v>A</v>
      </c>
      <c r="I2740" s="29" t="str">
        <f t="shared" si="211"/>
        <v>AB406550</v>
      </c>
      <c r="J2740" s="59">
        <f t="shared" ca="1" si="212"/>
        <v>46041</v>
      </c>
      <c r="K2740" s="30">
        <f ca="1">LOOKUP(A2740,'QALS - Inspection Lot Record'!A:A,'QALS - Inspection Lot Record'!I:I)</f>
        <v>0.71239583333333334</v>
      </c>
      <c r="L2740" s="59">
        <f t="shared" ca="1" si="213"/>
        <v>46041</v>
      </c>
      <c r="M2740" s="30">
        <f t="shared" ca="1" si="214"/>
        <v>0.74046296296296299</v>
      </c>
      <c r="N2740" s="11" t="s">
        <v>402</v>
      </c>
      <c r="O2740" s="31"/>
      <c r="P2740" s="29"/>
      <c r="Q2740" s="29"/>
    </row>
    <row r="2741" spans="1:17" x14ac:dyDescent="0.35">
      <c r="A2741" s="26">
        <v>40000002843</v>
      </c>
      <c r="B2741" s="31">
        <v>1</v>
      </c>
      <c r="C2741" s="29" t="str">
        <f>LOOKUP(A2741,'QALS - Inspection Lot Record'!$A$2:$A$361,'QALS - Inspection Lot Record'!$O$2:$O$361)</f>
        <v>Aspirin Tablets (500 MG)</v>
      </c>
      <c r="D2741" s="31">
        <v>40</v>
      </c>
      <c r="E2741" s="29" t="s">
        <v>403</v>
      </c>
      <c r="F2741" s="29" t="str">
        <f>LOOKUP(A2741,'QALS - Inspection Lot Record'!A:A,'QALS - Inspection Lot Record'!G:G)</f>
        <v>AB406550</v>
      </c>
      <c r="G2741" s="59">
        <f ca="1">LOOKUP(A2741,'QALS - Inspection Lot Record'!A:A,'QALS - Inspection Lot Record'!E:E)</f>
        <v>46041</v>
      </c>
      <c r="H2741" s="34" t="str">
        <f t="shared" si="215"/>
        <v>A</v>
      </c>
      <c r="I2741" s="29" t="str">
        <f t="shared" si="211"/>
        <v>AB406550</v>
      </c>
      <c r="J2741" s="59">
        <f t="shared" ca="1" si="212"/>
        <v>46041</v>
      </c>
      <c r="K2741" s="30">
        <f ca="1">LOOKUP(A2741,'QALS - Inspection Lot Record'!A:A,'QALS - Inspection Lot Record'!I:I)</f>
        <v>0.71239583333333334</v>
      </c>
      <c r="L2741" s="59">
        <f t="shared" ca="1" si="213"/>
        <v>46041</v>
      </c>
      <c r="M2741" s="30">
        <f t="shared" ca="1" si="214"/>
        <v>0.73695601851851855</v>
      </c>
      <c r="N2741" s="31"/>
      <c r="O2741" s="31">
        <v>1.8</v>
      </c>
      <c r="P2741" s="29">
        <v>0</v>
      </c>
      <c r="Q2741" s="29">
        <v>2.5</v>
      </c>
    </row>
    <row r="2742" spans="1:17" x14ac:dyDescent="0.35">
      <c r="A2742" s="26">
        <v>40000002843</v>
      </c>
      <c r="B2742" s="31">
        <v>1</v>
      </c>
      <c r="C2742" s="29" t="str">
        <f>LOOKUP(A2742,'QALS - Inspection Lot Record'!$A$2:$A$361,'QALS - Inspection Lot Record'!$O$2:$O$361)</f>
        <v>Aspirin Tablets (500 MG)</v>
      </c>
      <c r="D2742" s="31">
        <v>50</v>
      </c>
      <c r="E2742" s="29" t="s">
        <v>404</v>
      </c>
      <c r="F2742" s="29" t="str">
        <f>LOOKUP(A2742,'QALS - Inspection Lot Record'!A:A,'QALS - Inspection Lot Record'!G:G)</f>
        <v>AB406550</v>
      </c>
      <c r="G2742" s="59">
        <f ca="1">LOOKUP(A2742,'QALS - Inspection Lot Record'!A:A,'QALS - Inspection Lot Record'!E:E)</f>
        <v>46041</v>
      </c>
      <c r="H2742" s="34" t="str">
        <f t="shared" si="215"/>
        <v>A</v>
      </c>
      <c r="I2742" s="29" t="str">
        <f t="shared" si="211"/>
        <v>AB406550</v>
      </c>
      <c r="J2742" s="59">
        <f t="shared" ca="1" si="212"/>
        <v>46041</v>
      </c>
      <c r="K2742" s="30">
        <f ca="1">LOOKUP(A2742,'QALS - Inspection Lot Record'!A:A,'QALS - Inspection Lot Record'!I:I)</f>
        <v>0.71239583333333334</v>
      </c>
      <c r="L2742" s="59">
        <f t="shared" ca="1" si="213"/>
        <v>46041</v>
      </c>
      <c r="M2742" s="30">
        <f t="shared" ca="1" si="214"/>
        <v>0.74005787037037041</v>
      </c>
      <c r="N2742" s="31"/>
      <c r="O2742" s="31">
        <v>41.2</v>
      </c>
      <c r="P2742" s="29">
        <v>40</v>
      </c>
      <c r="Q2742" s="29">
        <v>60</v>
      </c>
    </row>
    <row r="2743" spans="1:17" x14ac:dyDescent="0.35">
      <c r="A2743" s="26">
        <v>40000002843</v>
      </c>
      <c r="B2743" s="31">
        <v>1</v>
      </c>
      <c r="C2743" s="29" t="str">
        <f>LOOKUP(A2743,'QALS - Inspection Lot Record'!$A$2:$A$361,'QALS - Inspection Lot Record'!$O$2:$O$361)</f>
        <v>Aspirin Tablets (500 MG)</v>
      </c>
      <c r="D2743" s="31">
        <v>60</v>
      </c>
      <c r="E2743" s="29" t="s">
        <v>405</v>
      </c>
      <c r="F2743" s="29" t="str">
        <f>LOOKUP(A2743,'QALS - Inspection Lot Record'!A:A,'QALS - Inspection Lot Record'!G:G)</f>
        <v>AB406550</v>
      </c>
      <c r="G2743" s="59">
        <f ca="1">LOOKUP(A2743,'QALS - Inspection Lot Record'!A:A,'QALS - Inspection Lot Record'!E:E)</f>
        <v>46041</v>
      </c>
      <c r="H2743" s="34" t="str">
        <f t="shared" si="215"/>
        <v>A</v>
      </c>
      <c r="I2743" s="29" t="str">
        <f t="shared" si="211"/>
        <v>AB406550</v>
      </c>
      <c r="J2743" s="59">
        <f t="shared" ca="1" si="212"/>
        <v>46041</v>
      </c>
      <c r="K2743" s="30">
        <f ca="1">LOOKUP(A2743,'QALS - Inspection Lot Record'!A:A,'QALS - Inspection Lot Record'!I:I)</f>
        <v>0.71239583333333334</v>
      </c>
      <c r="L2743" s="59">
        <f t="shared" ca="1" si="213"/>
        <v>46041</v>
      </c>
      <c r="M2743" s="30">
        <f t="shared" ca="1" si="214"/>
        <v>0.73105324074074074</v>
      </c>
      <c r="N2743" s="31"/>
      <c r="O2743" s="31">
        <v>71.099999999999994</v>
      </c>
      <c r="P2743" s="29">
        <v>70</v>
      </c>
      <c r="Q2743" s="29">
        <v>85</v>
      </c>
    </row>
    <row r="2744" spans="1:17" x14ac:dyDescent="0.35">
      <c r="A2744" s="26">
        <v>40000002843</v>
      </c>
      <c r="B2744" s="31">
        <v>1</v>
      </c>
      <c r="C2744" s="29" t="str">
        <f>LOOKUP(A2744,'QALS - Inspection Lot Record'!$A$2:$A$361,'QALS - Inspection Lot Record'!$O$2:$O$361)</f>
        <v>Aspirin Tablets (500 MG)</v>
      </c>
      <c r="D2744" s="31">
        <v>70</v>
      </c>
      <c r="E2744" s="29" t="s">
        <v>406</v>
      </c>
      <c r="F2744" s="29" t="str">
        <f>LOOKUP(A2744,'QALS - Inspection Lot Record'!A:A,'QALS - Inspection Lot Record'!G:G)</f>
        <v>AB406550</v>
      </c>
      <c r="G2744" s="59">
        <f ca="1">LOOKUP(A2744,'QALS - Inspection Lot Record'!A:A,'QALS - Inspection Lot Record'!E:E)</f>
        <v>46041</v>
      </c>
      <c r="H2744" s="34" t="str">
        <f t="shared" si="215"/>
        <v>A</v>
      </c>
      <c r="I2744" s="29" t="str">
        <f t="shared" si="211"/>
        <v>AB406550</v>
      </c>
      <c r="J2744" s="59">
        <f t="shared" ca="1" si="212"/>
        <v>46041</v>
      </c>
      <c r="K2744" s="30">
        <f ca="1">LOOKUP(A2744,'QALS - Inspection Lot Record'!A:A,'QALS - Inspection Lot Record'!I:I)</f>
        <v>0.71239583333333334</v>
      </c>
      <c r="L2744" s="59">
        <f t="shared" ca="1" si="213"/>
        <v>46041</v>
      </c>
      <c r="M2744" s="30">
        <f t="shared" ca="1" si="214"/>
        <v>0.74634259259259261</v>
      </c>
      <c r="N2744" s="31"/>
      <c r="O2744" s="31">
        <v>81.2</v>
      </c>
      <c r="P2744" s="29">
        <v>80</v>
      </c>
      <c r="Q2744" s="29">
        <v>90</v>
      </c>
    </row>
    <row r="2745" spans="1:17" x14ac:dyDescent="0.35">
      <c r="A2745" s="26">
        <v>40000002843</v>
      </c>
      <c r="B2745" s="31">
        <v>1</v>
      </c>
      <c r="C2745" s="29" t="str">
        <f>LOOKUP(A2745,'QALS - Inspection Lot Record'!$A$2:$A$361,'QALS - Inspection Lot Record'!$O$2:$O$361)</f>
        <v>Aspirin Tablets (500 MG)</v>
      </c>
      <c r="D2745" s="31">
        <v>80</v>
      </c>
      <c r="E2745" s="29" t="s">
        <v>407</v>
      </c>
      <c r="F2745" s="29" t="str">
        <f>LOOKUP(A2745,'QALS - Inspection Lot Record'!A:A,'QALS - Inspection Lot Record'!G:G)</f>
        <v>AB406550</v>
      </c>
      <c r="G2745" s="59">
        <f ca="1">LOOKUP(A2745,'QALS - Inspection Lot Record'!A:A,'QALS - Inspection Lot Record'!E:E)</f>
        <v>46041</v>
      </c>
      <c r="H2745" s="34" t="str">
        <f t="shared" si="215"/>
        <v>A</v>
      </c>
      <c r="I2745" s="29" t="str">
        <f t="shared" si="211"/>
        <v>AB406550</v>
      </c>
      <c r="J2745" s="59">
        <f t="shared" ca="1" si="212"/>
        <v>46041</v>
      </c>
      <c r="K2745" s="30">
        <f ca="1">LOOKUP(A2745,'QALS - Inspection Lot Record'!A:A,'QALS - Inspection Lot Record'!I:I)</f>
        <v>0.71239583333333334</v>
      </c>
      <c r="L2745" s="59">
        <f t="shared" ca="1" si="213"/>
        <v>46041</v>
      </c>
      <c r="M2745" s="30">
        <f t="shared" ca="1" si="214"/>
        <v>0.73025462962962961</v>
      </c>
      <c r="N2745" s="31"/>
      <c r="O2745" s="31">
        <v>25.5</v>
      </c>
      <c r="P2745" s="29">
        <v>23</v>
      </c>
      <c r="Q2745" s="29">
        <v>28</v>
      </c>
    </row>
    <row r="2746" spans="1:17" x14ac:dyDescent="0.35">
      <c r="A2746" s="26">
        <v>40000002844</v>
      </c>
      <c r="B2746" s="27">
        <v>1</v>
      </c>
      <c r="C2746" s="29" t="str">
        <f>LOOKUP(A2746,'QALS - Inspection Lot Record'!$A$2:$A$361,'QALS - Inspection Lot Record'!$O$2:$O$361)</f>
        <v>Metformin Tablets (500 MG)</v>
      </c>
      <c r="D2746" s="27">
        <v>10</v>
      </c>
      <c r="E2746" s="26" t="s">
        <v>399</v>
      </c>
      <c r="F2746" s="29" t="str">
        <f>LOOKUP(A2746,'QALS - Inspection Lot Record'!A:A,'QALS - Inspection Lot Record'!G:G)</f>
        <v>TG509538</v>
      </c>
      <c r="G2746" s="59">
        <f ca="1">LOOKUP(A2746,'QALS - Inspection Lot Record'!A:A,'QALS - Inspection Lot Record'!E:E)</f>
        <v>46041</v>
      </c>
      <c r="H2746" s="34" t="str">
        <f t="shared" si="215"/>
        <v>A</v>
      </c>
      <c r="I2746" s="29" t="str">
        <f t="shared" si="211"/>
        <v>TG509538</v>
      </c>
      <c r="J2746" s="59">
        <f t="shared" ca="1" si="212"/>
        <v>46041</v>
      </c>
      <c r="K2746" s="30">
        <f ca="1">LOOKUP(A2746,'QALS - Inspection Lot Record'!A:A,'QALS - Inspection Lot Record'!I:I)</f>
        <v>0.12371527777777777</v>
      </c>
      <c r="L2746" s="59">
        <f t="shared" ca="1" si="213"/>
        <v>46041</v>
      </c>
      <c r="M2746" s="30">
        <f t="shared" ca="1" si="214"/>
        <v>0.14900462962962963</v>
      </c>
      <c r="N2746" s="31"/>
      <c r="O2746" s="31">
        <v>100</v>
      </c>
      <c r="P2746" s="29">
        <v>95</v>
      </c>
      <c r="Q2746" s="29">
        <v>105</v>
      </c>
    </row>
    <row r="2747" spans="1:17" x14ac:dyDescent="0.35">
      <c r="A2747" s="26">
        <v>40000002844</v>
      </c>
      <c r="B2747" s="27">
        <v>1</v>
      </c>
      <c r="C2747" s="29" t="str">
        <f>LOOKUP(A2747,'QALS - Inspection Lot Record'!$A$2:$A$361,'QALS - Inspection Lot Record'!$O$2:$O$361)</f>
        <v>Metformin Tablets (500 MG)</v>
      </c>
      <c r="D2747" s="31">
        <v>20</v>
      </c>
      <c r="E2747" s="29" t="s">
        <v>400</v>
      </c>
      <c r="F2747" s="29" t="str">
        <f>LOOKUP(A2747,'QALS - Inspection Lot Record'!A:A,'QALS - Inspection Lot Record'!G:G)</f>
        <v>TG509538</v>
      </c>
      <c r="G2747" s="59">
        <f ca="1">LOOKUP(A2747,'QALS - Inspection Lot Record'!A:A,'QALS - Inspection Lot Record'!E:E)</f>
        <v>46041</v>
      </c>
      <c r="H2747" s="34" t="str">
        <f t="shared" si="215"/>
        <v>A</v>
      </c>
      <c r="I2747" s="29" t="str">
        <f t="shared" si="211"/>
        <v>TG509538</v>
      </c>
      <c r="J2747" s="59">
        <f t="shared" ca="1" si="212"/>
        <v>46041</v>
      </c>
      <c r="K2747" s="30">
        <f ca="1">LOOKUP(A2747,'QALS - Inspection Lot Record'!A:A,'QALS - Inspection Lot Record'!I:I)</f>
        <v>0.12371527777777777</v>
      </c>
      <c r="L2747" s="59">
        <f t="shared" ca="1" si="213"/>
        <v>46041</v>
      </c>
      <c r="M2747" s="30">
        <f t="shared" ca="1" si="214"/>
        <v>0.1492361111111111</v>
      </c>
      <c r="N2747" s="31"/>
      <c r="O2747" s="31">
        <v>7.3</v>
      </c>
      <c r="P2747" s="29">
        <v>3.5</v>
      </c>
      <c r="Q2747" s="29">
        <v>11</v>
      </c>
    </row>
    <row r="2748" spans="1:17" x14ac:dyDescent="0.35">
      <c r="A2748" s="26">
        <v>40000002844</v>
      </c>
      <c r="B2748" s="31">
        <v>1</v>
      </c>
      <c r="C2748" s="29" t="str">
        <f>LOOKUP(A2748,'QALS - Inspection Lot Record'!$A$2:$A$361,'QALS - Inspection Lot Record'!$O$2:$O$361)</f>
        <v>Metformin Tablets (500 MG)</v>
      </c>
      <c r="D2748" s="31">
        <v>30</v>
      </c>
      <c r="E2748" s="29" t="s">
        <v>401</v>
      </c>
      <c r="F2748" s="29" t="str">
        <f>LOOKUP(A2748,'QALS - Inspection Lot Record'!A:A,'QALS - Inspection Lot Record'!G:G)</f>
        <v>TG509538</v>
      </c>
      <c r="G2748" s="59">
        <f ca="1">LOOKUP(A2748,'QALS - Inspection Lot Record'!A:A,'QALS - Inspection Lot Record'!E:E)</f>
        <v>46041</v>
      </c>
      <c r="H2748" s="34" t="str">
        <f t="shared" si="215"/>
        <v>A</v>
      </c>
      <c r="I2748" s="29" t="str">
        <f t="shared" si="211"/>
        <v>TG509538</v>
      </c>
      <c r="J2748" s="59">
        <f t="shared" ca="1" si="212"/>
        <v>46041</v>
      </c>
      <c r="K2748" s="30">
        <f ca="1">LOOKUP(A2748,'QALS - Inspection Lot Record'!A:A,'QALS - Inspection Lot Record'!I:I)</f>
        <v>0.12371527777777777</v>
      </c>
      <c r="L2748" s="59">
        <f t="shared" ca="1" si="213"/>
        <v>46041</v>
      </c>
      <c r="M2748" s="30">
        <f t="shared" ca="1" si="214"/>
        <v>0.14822916666666666</v>
      </c>
      <c r="N2748" s="11" t="s">
        <v>402</v>
      </c>
      <c r="O2748" s="31"/>
      <c r="P2748" s="29"/>
      <c r="Q2748" s="29"/>
    </row>
    <row r="2749" spans="1:17" x14ac:dyDescent="0.35">
      <c r="A2749" s="26">
        <v>40000002844</v>
      </c>
      <c r="B2749" s="31">
        <v>1</v>
      </c>
      <c r="C2749" s="29" t="str">
        <f>LOOKUP(A2749,'QALS - Inspection Lot Record'!$A$2:$A$361,'QALS - Inspection Lot Record'!$O$2:$O$361)</f>
        <v>Metformin Tablets (500 MG)</v>
      </c>
      <c r="D2749" s="31">
        <v>40</v>
      </c>
      <c r="E2749" s="29" t="s">
        <v>403</v>
      </c>
      <c r="F2749" s="29" t="str">
        <f>LOOKUP(A2749,'QALS - Inspection Lot Record'!A:A,'QALS - Inspection Lot Record'!G:G)</f>
        <v>TG509538</v>
      </c>
      <c r="G2749" s="59">
        <f ca="1">LOOKUP(A2749,'QALS - Inspection Lot Record'!A:A,'QALS - Inspection Lot Record'!E:E)</f>
        <v>46041</v>
      </c>
      <c r="H2749" s="34" t="str">
        <f t="shared" si="215"/>
        <v>A</v>
      </c>
      <c r="I2749" s="29" t="str">
        <f t="shared" si="211"/>
        <v>TG509538</v>
      </c>
      <c r="J2749" s="59">
        <f t="shared" ca="1" si="212"/>
        <v>46041</v>
      </c>
      <c r="K2749" s="30">
        <f ca="1">LOOKUP(A2749,'QALS - Inspection Lot Record'!A:A,'QALS - Inspection Lot Record'!I:I)</f>
        <v>0.12371527777777777</v>
      </c>
      <c r="L2749" s="59">
        <f t="shared" ca="1" si="213"/>
        <v>46041</v>
      </c>
      <c r="M2749" s="30">
        <f t="shared" ca="1" si="214"/>
        <v>0.15490740740740741</v>
      </c>
      <c r="N2749" s="31"/>
      <c r="O2749" s="31">
        <v>1.6</v>
      </c>
      <c r="P2749" s="29">
        <v>0</v>
      </c>
      <c r="Q2749" s="29">
        <v>2</v>
      </c>
    </row>
    <row r="2750" spans="1:17" x14ac:dyDescent="0.35">
      <c r="A2750" s="26">
        <v>40000002844</v>
      </c>
      <c r="B2750" s="31">
        <v>1</v>
      </c>
      <c r="C2750" s="29" t="str">
        <f>LOOKUP(A2750,'QALS - Inspection Lot Record'!$A$2:$A$361,'QALS - Inspection Lot Record'!$O$2:$O$361)</f>
        <v>Metformin Tablets (500 MG)</v>
      </c>
      <c r="D2750" s="31">
        <v>50</v>
      </c>
      <c r="E2750" s="29" t="s">
        <v>404</v>
      </c>
      <c r="F2750" s="29" t="str">
        <f>LOOKUP(A2750,'QALS - Inspection Lot Record'!A:A,'QALS - Inspection Lot Record'!G:G)</f>
        <v>TG509538</v>
      </c>
      <c r="G2750" s="59">
        <f ca="1">LOOKUP(A2750,'QALS - Inspection Lot Record'!A:A,'QALS - Inspection Lot Record'!E:E)</f>
        <v>46041</v>
      </c>
      <c r="H2750" s="34" t="str">
        <f t="shared" si="215"/>
        <v>A</v>
      </c>
      <c r="I2750" s="29" t="str">
        <f t="shared" si="211"/>
        <v>TG509538</v>
      </c>
      <c r="J2750" s="59">
        <f t="shared" ca="1" si="212"/>
        <v>46041</v>
      </c>
      <c r="K2750" s="30">
        <f ca="1">LOOKUP(A2750,'QALS - Inspection Lot Record'!A:A,'QALS - Inspection Lot Record'!I:I)</f>
        <v>0.12371527777777777</v>
      </c>
      <c r="L2750" s="59">
        <f t="shared" ca="1" si="213"/>
        <v>46041</v>
      </c>
      <c r="M2750" s="30">
        <f t="shared" ca="1" si="214"/>
        <v>0.14427083333333332</v>
      </c>
      <c r="N2750" s="31"/>
      <c r="O2750" s="31">
        <v>41.9</v>
      </c>
      <c r="P2750" s="29">
        <v>40</v>
      </c>
      <c r="Q2750" s="29">
        <v>60</v>
      </c>
    </row>
    <row r="2751" spans="1:17" x14ac:dyDescent="0.35">
      <c r="A2751" s="26">
        <v>40000002844</v>
      </c>
      <c r="B2751" s="31">
        <v>1</v>
      </c>
      <c r="C2751" s="29" t="str">
        <f>LOOKUP(A2751,'QALS - Inspection Lot Record'!$A$2:$A$361,'QALS - Inspection Lot Record'!$O$2:$O$361)</f>
        <v>Metformin Tablets (500 MG)</v>
      </c>
      <c r="D2751" s="31">
        <v>60</v>
      </c>
      <c r="E2751" s="29" t="s">
        <v>405</v>
      </c>
      <c r="F2751" s="29" t="str">
        <f>LOOKUP(A2751,'QALS - Inspection Lot Record'!A:A,'QALS - Inspection Lot Record'!G:G)</f>
        <v>TG509538</v>
      </c>
      <c r="G2751" s="59">
        <f ca="1">LOOKUP(A2751,'QALS - Inspection Lot Record'!A:A,'QALS - Inspection Lot Record'!E:E)</f>
        <v>46041</v>
      </c>
      <c r="H2751" s="34" t="str">
        <f t="shared" si="215"/>
        <v>A</v>
      </c>
      <c r="I2751" s="29" t="str">
        <f t="shared" si="211"/>
        <v>TG509538</v>
      </c>
      <c r="J2751" s="59">
        <f t="shared" ca="1" si="212"/>
        <v>46041</v>
      </c>
      <c r="K2751" s="30">
        <f ca="1">LOOKUP(A2751,'QALS - Inspection Lot Record'!A:A,'QALS - Inspection Lot Record'!I:I)</f>
        <v>0.12371527777777777</v>
      </c>
      <c r="L2751" s="59">
        <f t="shared" ca="1" si="213"/>
        <v>46041</v>
      </c>
      <c r="M2751" s="30">
        <f t="shared" ca="1" si="214"/>
        <v>0.1555324074074074</v>
      </c>
      <c r="N2751" s="31"/>
      <c r="O2751" s="31">
        <v>71.5</v>
      </c>
      <c r="P2751" s="29">
        <v>70</v>
      </c>
      <c r="Q2751" s="29">
        <v>85</v>
      </c>
    </row>
    <row r="2752" spans="1:17" x14ac:dyDescent="0.35">
      <c r="A2752" s="26">
        <v>40000002844</v>
      </c>
      <c r="B2752" s="31">
        <v>1</v>
      </c>
      <c r="C2752" s="29" t="str">
        <f>LOOKUP(A2752,'QALS - Inspection Lot Record'!$A$2:$A$361,'QALS - Inspection Lot Record'!$O$2:$O$361)</f>
        <v>Metformin Tablets (500 MG)</v>
      </c>
      <c r="D2752" s="31">
        <v>70</v>
      </c>
      <c r="E2752" s="29" t="s">
        <v>406</v>
      </c>
      <c r="F2752" s="29" t="str">
        <f>LOOKUP(A2752,'QALS - Inspection Lot Record'!A:A,'QALS - Inspection Lot Record'!G:G)</f>
        <v>TG509538</v>
      </c>
      <c r="G2752" s="59">
        <f ca="1">LOOKUP(A2752,'QALS - Inspection Lot Record'!A:A,'QALS - Inspection Lot Record'!E:E)</f>
        <v>46041</v>
      </c>
      <c r="H2752" s="34" t="str">
        <f t="shared" si="215"/>
        <v>A</v>
      </c>
      <c r="I2752" s="29" t="str">
        <f t="shared" si="211"/>
        <v>TG509538</v>
      </c>
      <c r="J2752" s="59">
        <f t="shared" ca="1" si="212"/>
        <v>46041</v>
      </c>
      <c r="K2752" s="30">
        <f ca="1">LOOKUP(A2752,'QALS - Inspection Lot Record'!A:A,'QALS - Inspection Lot Record'!I:I)</f>
        <v>0.12371527777777777</v>
      </c>
      <c r="L2752" s="59">
        <f t="shared" ca="1" si="213"/>
        <v>46041</v>
      </c>
      <c r="M2752" s="30">
        <f t="shared" ca="1" si="214"/>
        <v>0.15540509259259258</v>
      </c>
      <c r="N2752" s="31"/>
      <c r="O2752" s="31">
        <v>81.7</v>
      </c>
      <c r="P2752" s="29">
        <v>80</v>
      </c>
      <c r="Q2752" s="29">
        <v>90</v>
      </c>
    </row>
    <row r="2753" spans="1:17" x14ac:dyDescent="0.35">
      <c r="A2753" s="26">
        <v>40000002844</v>
      </c>
      <c r="B2753" s="31">
        <v>1</v>
      </c>
      <c r="C2753" s="29" t="str">
        <f>LOOKUP(A2753,'QALS - Inspection Lot Record'!$A$2:$A$361,'QALS - Inspection Lot Record'!$O$2:$O$361)</f>
        <v>Metformin Tablets (500 MG)</v>
      </c>
      <c r="D2753" s="31">
        <v>80</v>
      </c>
      <c r="E2753" s="29" t="s">
        <v>407</v>
      </c>
      <c r="F2753" s="29" t="str">
        <f>LOOKUP(A2753,'QALS - Inspection Lot Record'!A:A,'QALS - Inspection Lot Record'!G:G)</f>
        <v>TG509538</v>
      </c>
      <c r="G2753" s="59">
        <f ca="1">LOOKUP(A2753,'QALS - Inspection Lot Record'!A:A,'QALS - Inspection Lot Record'!E:E)</f>
        <v>46041</v>
      </c>
      <c r="H2753" s="34" t="str">
        <f t="shared" si="215"/>
        <v>A</v>
      </c>
      <c r="I2753" s="29" t="str">
        <f t="shared" si="211"/>
        <v>TG509538</v>
      </c>
      <c r="J2753" s="59">
        <f t="shared" ca="1" si="212"/>
        <v>46041</v>
      </c>
      <c r="K2753" s="30">
        <f ca="1">LOOKUP(A2753,'QALS - Inspection Lot Record'!A:A,'QALS - Inspection Lot Record'!I:I)</f>
        <v>0.12371527777777777</v>
      </c>
      <c r="L2753" s="59">
        <f t="shared" ca="1" si="213"/>
        <v>46041</v>
      </c>
      <c r="M2753" s="30">
        <f t="shared" ca="1" si="214"/>
        <v>0.14273148148148149</v>
      </c>
      <c r="N2753" s="31"/>
      <c r="O2753" s="31">
        <v>25.5</v>
      </c>
      <c r="P2753" s="29">
        <v>23</v>
      </c>
      <c r="Q2753" s="29">
        <v>28</v>
      </c>
    </row>
    <row r="2754" spans="1:17" x14ac:dyDescent="0.35">
      <c r="A2754" s="26">
        <v>40000002845</v>
      </c>
      <c r="B2754" s="27">
        <v>1</v>
      </c>
      <c r="C2754" s="29" t="str">
        <f>LOOKUP(A2754,'QALS - Inspection Lot Record'!$A$2:$A$361,'QALS - Inspection Lot Record'!$O$2:$O$361)</f>
        <v>Metformin Tablets (200 MG)</v>
      </c>
      <c r="D2754" s="27">
        <v>10</v>
      </c>
      <c r="E2754" s="26" t="s">
        <v>399</v>
      </c>
      <c r="F2754" s="29" t="str">
        <f>LOOKUP(A2754,'QALS - Inspection Lot Record'!A:A,'QALS - Inspection Lot Record'!G:G)</f>
        <v>AB406550</v>
      </c>
      <c r="G2754" s="59">
        <f ca="1">LOOKUP(A2754,'QALS - Inspection Lot Record'!A:A,'QALS - Inspection Lot Record'!E:E)</f>
        <v>46042</v>
      </c>
      <c r="H2754" s="34" t="str">
        <f t="shared" si="215"/>
        <v>A</v>
      </c>
      <c r="I2754" s="29" t="str">
        <f t="shared" ref="I2754:I2817" si="216">F2754</f>
        <v>AB406550</v>
      </c>
      <c r="J2754" s="59">
        <f t="shared" ref="J2754:J2817" ca="1" si="217">G2754</f>
        <v>46042</v>
      </c>
      <c r="K2754" s="30">
        <f ca="1">LOOKUP(A2754,'QALS - Inspection Lot Record'!A:A,'QALS - Inspection Lot Record'!I:I)</f>
        <v>0.8167592592592593</v>
      </c>
      <c r="L2754" s="59">
        <f t="shared" ref="L2754:L2817" ca="1" si="218">G2754</f>
        <v>46042</v>
      </c>
      <c r="M2754" s="30">
        <f t="shared" ref="M2754:M2817" ca="1" si="219">K2754+TIME(0,RANDBETWEEN(25,50),RANDBETWEEN(0,59))</f>
        <v>0.84500000000000008</v>
      </c>
      <c r="N2754" s="31"/>
      <c r="O2754" s="31">
        <v>99</v>
      </c>
      <c r="P2754" s="29">
        <v>95</v>
      </c>
      <c r="Q2754" s="29">
        <v>103</v>
      </c>
    </row>
    <row r="2755" spans="1:17" x14ac:dyDescent="0.35">
      <c r="A2755" s="26">
        <v>40000002845</v>
      </c>
      <c r="B2755" s="27">
        <v>1</v>
      </c>
      <c r="C2755" s="29" t="str">
        <f>LOOKUP(A2755,'QALS - Inspection Lot Record'!$A$2:$A$361,'QALS - Inspection Lot Record'!$O$2:$O$361)</f>
        <v>Metformin Tablets (200 MG)</v>
      </c>
      <c r="D2755" s="31">
        <v>20</v>
      </c>
      <c r="E2755" s="29" t="s">
        <v>400</v>
      </c>
      <c r="F2755" s="29" t="str">
        <f>LOOKUP(A2755,'QALS - Inspection Lot Record'!A:A,'QALS - Inspection Lot Record'!G:G)</f>
        <v>AB406550</v>
      </c>
      <c r="G2755" s="59">
        <f ca="1">LOOKUP(A2755,'QALS - Inspection Lot Record'!A:A,'QALS - Inspection Lot Record'!E:E)</f>
        <v>46042</v>
      </c>
      <c r="H2755" s="34" t="str">
        <f t="shared" si="215"/>
        <v>A</v>
      </c>
      <c r="I2755" s="29" t="str">
        <f t="shared" si="216"/>
        <v>AB406550</v>
      </c>
      <c r="J2755" s="59">
        <f t="shared" ca="1" si="217"/>
        <v>46042</v>
      </c>
      <c r="K2755" s="30">
        <f ca="1">LOOKUP(A2755,'QALS - Inspection Lot Record'!A:A,'QALS - Inspection Lot Record'!I:I)</f>
        <v>0.8167592592592593</v>
      </c>
      <c r="L2755" s="59">
        <f t="shared" ca="1" si="218"/>
        <v>46042</v>
      </c>
      <c r="M2755" s="30">
        <f t="shared" ca="1" si="219"/>
        <v>0.84452546296296305</v>
      </c>
      <c r="N2755" s="31"/>
      <c r="O2755" s="31">
        <v>7.75</v>
      </c>
      <c r="P2755" s="29">
        <v>6</v>
      </c>
      <c r="Q2755" s="29">
        <v>9.5</v>
      </c>
    </row>
    <row r="2756" spans="1:17" x14ac:dyDescent="0.35">
      <c r="A2756" s="26">
        <v>40000002845</v>
      </c>
      <c r="B2756" s="31">
        <v>1</v>
      </c>
      <c r="C2756" s="29" t="str">
        <f>LOOKUP(A2756,'QALS - Inspection Lot Record'!$A$2:$A$361,'QALS - Inspection Lot Record'!$O$2:$O$361)</f>
        <v>Metformin Tablets (200 MG)</v>
      </c>
      <c r="D2756" s="31">
        <v>30</v>
      </c>
      <c r="E2756" s="29" t="s">
        <v>401</v>
      </c>
      <c r="F2756" s="29" t="str">
        <f>LOOKUP(A2756,'QALS - Inspection Lot Record'!A:A,'QALS - Inspection Lot Record'!G:G)</f>
        <v>AB406550</v>
      </c>
      <c r="G2756" s="59">
        <f ca="1">LOOKUP(A2756,'QALS - Inspection Lot Record'!A:A,'QALS - Inspection Lot Record'!E:E)</f>
        <v>46042</v>
      </c>
      <c r="H2756" s="34" t="str">
        <f t="shared" si="215"/>
        <v>A</v>
      </c>
      <c r="I2756" s="29" t="str">
        <f t="shared" si="216"/>
        <v>AB406550</v>
      </c>
      <c r="J2756" s="59">
        <f t="shared" ca="1" si="217"/>
        <v>46042</v>
      </c>
      <c r="K2756" s="30">
        <f ca="1">LOOKUP(A2756,'QALS - Inspection Lot Record'!A:A,'QALS - Inspection Lot Record'!I:I)</f>
        <v>0.8167592592592593</v>
      </c>
      <c r="L2756" s="59">
        <f t="shared" ca="1" si="218"/>
        <v>46042</v>
      </c>
      <c r="M2756" s="30">
        <f t="shared" ca="1" si="219"/>
        <v>0.8380671296296297</v>
      </c>
      <c r="N2756" s="11" t="s">
        <v>402</v>
      </c>
      <c r="O2756" s="31"/>
      <c r="P2756" s="29"/>
      <c r="Q2756" s="29"/>
    </row>
    <row r="2757" spans="1:17" x14ac:dyDescent="0.35">
      <c r="A2757" s="26">
        <v>40000002845</v>
      </c>
      <c r="B2757" s="31">
        <v>1</v>
      </c>
      <c r="C2757" s="29" t="str">
        <f>LOOKUP(A2757,'QALS - Inspection Lot Record'!$A$2:$A$361,'QALS - Inspection Lot Record'!$O$2:$O$361)</f>
        <v>Metformin Tablets (200 MG)</v>
      </c>
      <c r="D2757" s="31">
        <v>40</v>
      </c>
      <c r="E2757" s="29" t="s">
        <v>403</v>
      </c>
      <c r="F2757" s="29" t="str">
        <f>LOOKUP(A2757,'QALS - Inspection Lot Record'!A:A,'QALS - Inspection Lot Record'!G:G)</f>
        <v>AB406550</v>
      </c>
      <c r="G2757" s="59">
        <f ca="1">LOOKUP(A2757,'QALS - Inspection Lot Record'!A:A,'QALS - Inspection Lot Record'!E:E)</f>
        <v>46042</v>
      </c>
      <c r="H2757" s="34" t="str">
        <f t="shared" si="215"/>
        <v>A</v>
      </c>
      <c r="I2757" s="29" t="str">
        <f t="shared" si="216"/>
        <v>AB406550</v>
      </c>
      <c r="J2757" s="59">
        <f t="shared" ca="1" si="217"/>
        <v>46042</v>
      </c>
      <c r="K2757" s="30">
        <f ca="1">LOOKUP(A2757,'QALS - Inspection Lot Record'!A:A,'QALS - Inspection Lot Record'!I:I)</f>
        <v>0.8167592592592593</v>
      </c>
      <c r="L2757" s="59">
        <f t="shared" ca="1" si="218"/>
        <v>46042</v>
      </c>
      <c r="M2757" s="30">
        <f t="shared" ca="1" si="219"/>
        <v>0.83942129629629636</v>
      </c>
      <c r="N2757" s="31"/>
      <c r="O2757" s="31">
        <v>0</v>
      </c>
      <c r="P2757" s="29">
        <v>0</v>
      </c>
      <c r="Q2757" s="29">
        <v>2</v>
      </c>
    </row>
    <row r="2758" spans="1:17" x14ac:dyDescent="0.35">
      <c r="A2758" s="26">
        <v>40000002845</v>
      </c>
      <c r="B2758" s="31">
        <v>1</v>
      </c>
      <c r="C2758" s="29" t="str">
        <f>LOOKUP(A2758,'QALS - Inspection Lot Record'!$A$2:$A$361,'QALS - Inspection Lot Record'!$O$2:$O$361)</f>
        <v>Metformin Tablets (200 MG)</v>
      </c>
      <c r="D2758" s="31">
        <v>50</v>
      </c>
      <c r="E2758" s="29" t="s">
        <v>404</v>
      </c>
      <c r="F2758" s="29" t="str">
        <f>LOOKUP(A2758,'QALS - Inspection Lot Record'!A:A,'QALS - Inspection Lot Record'!G:G)</f>
        <v>AB406550</v>
      </c>
      <c r="G2758" s="59">
        <f ca="1">LOOKUP(A2758,'QALS - Inspection Lot Record'!A:A,'QALS - Inspection Lot Record'!E:E)</f>
        <v>46042</v>
      </c>
      <c r="H2758" s="34" t="str">
        <f t="shared" si="215"/>
        <v>A</v>
      </c>
      <c r="I2758" s="29" t="str">
        <f t="shared" si="216"/>
        <v>AB406550</v>
      </c>
      <c r="J2758" s="59">
        <f t="shared" ca="1" si="217"/>
        <v>46042</v>
      </c>
      <c r="K2758" s="30">
        <f ca="1">LOOKUP(A2758,'QALS - Inspection Lot Record'!A:A,'QALS - Inspection Lot Record'!I:I)</f>
        <v>0.8167592592592593</v>
      </c>
      <c r="L2758" s="59">
        <f t="shared" ca="1" si="218"/>
        <v>46042</v>
      </c>
      <c r="M2758" s="30">
        <f t="shared" ca="1" si="219"/>
        <v>0.83763888888888893</v>
      </c>
      <c r="N2758" s="31"/>
      <c r="O2758" s="31">
        <v>50</v>
      </c>
      <c r="P2758" s="29">
        <v>40</v>
      </c>
      <c r="Q2758" s="29">
        <v>60</v>
      </c>
    </row>
    <row r="2759" spans="1:17" x14ac:dyDescent="0.35">
      <c r="A2759" s="26">
        <v>40000002845</v>
      </c>
      <c r="B2759" s="31">
        <v>1</v>
      </c>
      <c r="C2759" s="29" t="str">
        <f>LOOKUP(A2759,'QALS - Inspection Lot Record'!$A$2:$A$361,'QALS - Inspection Lot Record'!$O$2:$O$361)</f>
        <v>Metformin Tablets (200 MG)</v>
      </c>
      <c r="D2759" s="31">
        <v>60</v>
      </c>
      <c r="E2759" s="29" t="s">
        <v>405</v>
      </c>
      <c r="F2759" s="29" t="str">
        <f>LOOKUP(A2759,'QALS - Inspection Lot Record'!A:A,'QALS - Inspection Lot Record'!G:G)</f>
        <v>AB406550</v>
      </c>
      <c r="G2759" s="59">
        <f ca="1">LOOKUP(A2759,'QALS - Inspection Lot Record'!A:A,'QALS - Inspection Lot Record'!E:E)</f>
        <v>46042</v>
      </c>
      <c r="H2759" s="34" t="str">
        <f t="shared" si="215"/>
        <v>A</v>
      </c>
      <c r="I2759" s="29" t="str">
        <f t="shared" si="216"/>
        <v>AB406550</v>
      </c>
      <c r="J2759" s="59">
        <f t="shared" ca="1" si="217"/>
        <v>46042</v>
      </c>
      <c r="K2759" s="30">
        <f ca="1">LOOKUP(A2759,'QALS - Inspection Lot Record'!A:A,'QALS - Inspection Lot Record'!I:I)</f>
        <v>0.8167592592592593</v>
      </c>
      <c r="L2759" s="59">
        <f t="shared" ca="1" si="218"/>
        <v>46042</v>
      </c>
      <c r="M2759" s="30">
        <f t="shared" ca="1" si="219"/>
        <v>0.84783564814814816</v>
      </c>
      <c r="N2759" s="31"/>
      <c r="O2759" s="31">
        <v>77.5</v>
      </c>
      <c r="P2759" s="29">
        <v>70</v>
      </c>
      <c r="Q2759" s="29">
        <v>85</v>
      </c>
    </row>
    <row r="2760" spans="1:17" x14ac:dyDescent="0.35">
      <c r="A2760" s="26">
        <v>40000002845</v>
      </c>
      <c r="B2760" s="31">
        <v>1</v>
      </c>
      <c r="C2760" s="29" t="str">
        <f>LOOKUP(A2760,'QALS - Inspection Lot Record'!$A$2:$A$361,'QALS - Inspection Lot Record'!$O$2:$O$361)</f>
        <v>Metformin Tablets (200 MG)</v>
      </c>
      <c r="D2760" s="31">
        <v>70</v>
      </c>
      <c r="E2760" s="29" t="s">
        <v>406</v>
      </c>
      <c r="F2760" s="29" t="str">
        <f>LOOKUP(A2760,'QALS - Inspection Lot Record'!A:A,'QALS - Inspection Lot Record'!G:G)</f>
        <v>AB406550</v>
      </c>
      <c r="G2760" s="59">
        <f ca="1">LOOKUP(A2760,'QALS - Inspection Lot Record'!A:A,'QALS - Inspection Lot Record'!E:E)</f>
        <v>46042</v>
      </c>
      <c r="H2760" s="34" t="str">
        <f t="shared" si="215"/>
        <v>A</v>
      </c>
      <c r="I2760" s="29" t="str">
        <f t="shared" si="216"/>
        <v>AB406550</v>
      </c>
      <c r="J2760" s="59">
        <f t="shared" ca="1" si="217"/>
        <v>46042</v>
      </c>
      <c r="K2760" s="30">
        <f ca="1">LOOKUP(A2760,'QALS - Inspection Lot Record'!A:A,'QALS - Inspection Lot Record'!I:I)</f>
        <v>0.8167592592592593</v>
      </c>
      <c r="L2760" s="59">
        <f t="shared" ca="1" si="218"/>
        <v>46042</v>
      </c>
      <c r="M2760" s="30">
        <f t="shared" ca="1" si="219"/>
        <v>0.84212962962962967</v>
      </c>
      <c r="N2760" s="31"/>
      <c r="O2760" s="31">
        <v>85</v>
      </c>
      <c r="P2760" s="29">
        <v>80</v>
      </c>
      <c r="Q2760" s="29">
        <v>90</v>
      </c>
    </row>
    <row r="2761" spans="1:17" x14ac:dyDescent="0.35">
      <c r="A2761" s="26">
        <v>40000002845</v>
      </c>
      <c r="B2761" s="31">
        <v>1</v>
      </c>
      <c r="C2761" s="29" t="str">
        <f>LOOKUP(A2761,'QALS - Inspection Lot Record'!$A$2:$A$361,'QALS - Inspection Lot Record'!$O$2:$O$361)</f>
        <v>Metformin Tablets (200 MG)</v>
      </c>
      <c r="D2761" s="31">
        <v>80</v>
      </c>
      <c r="E2761" s="29" t="s">
        <v>407</v>
      </c>
      <c r="F2761" s="29" t="str">
        <f>LOOKUP(A2761,'QALS - Inspection Lot Record'!A:A,'QALS - Inspection Lot Record'!G:G)</f>
        <v>AB406550</v>
      </c>
      <c r="G2761" s="59">
        <f ca="1">LOOKUP(A2761,'QALS - Inspection Lot Record'!A:A,'QALS - Inspection Lot Record'!E:E)</f>
        <v>46042</v>
      </c>
      <c r="H2761" s="34" t="str">
        <f t="shared" si="215"/>
        <v>A</v>
      </c>
      <c r="I2761" s="29" t="str">
        <f t="shared" si="216"/>
        <v>AB406550</v>
      </c>
      <c r="J2761" s="59">
        <f t="shared" ca="1" si="217"/>
        <v>46042</v>
      </c>
      <c r="K2761" s="30">
        <f ca="1">LOOKUP(A2761,'QALS - Inspection Lot Record'!A:A,'QALS - Inspection Lot Record'!I:I)</f>
        <v>0.8167592592592593</v>
      </c>
      <c r="L2761" s="59">
        <f t="shared" ca="1" si="218"/>
        <v>46042</v>
      </c>
      <c r="M2761" s="30">
        <f t="shared" ca="1" si="219"/>
        <v>0.83652777777777776</v>
      </c>
      <c r="N2761" s="31"/>
      <c r="O2761" s="31">
        <v>25.5</v>
      </c>
      <c r="P2761" s="29">
        <v>23</v>
      </c>
      <c r="Q2761" s="29">
        <v>28</v>
      </c>
    </row>
    <row r="2762" spans="1:17" x14ac:dyDescent="0.35">
      <c r="A2762" s="26">
        <v>40000002846</v>
      </c>
      <c r="B2762" s="27">
        <v>1</v>
      </c>
      <c r="C2762" s="29" t="str">
        <f>LOOKUP(A2762,'QALS - Inspection Lot Record'!$A$2:$A$361,'QALS - Inspection Lot Record'!$O$2:$O$361)</f>
        <v>Metformin Tablets (500 MG)</v>
      </c>
      <c r="D2762" s="27">
        <v>10</v>
      </c>
      <c r="E2762" s="26" t="s">
        <v>399</v>
      </c>
      <c r="F2762" s="29" t="str">
        <f>LOOKUP(A2762,'QALS - Inspection Lot Record'!A:A,'QALS - Inspection Lot Record'!G:G)</f>
        <v>TG509538</v>
      </c>
      <c r="G2762" s="59">
        <f ca="1">LOOKUP(A2762,'QALS - Inspection Lot Record'!A:A,'QALS - Inspection Lot Record'!E:E)</f>
        <v>46042</v>
      </c>
      <c r="H2762" s="34" t="str">
        <f t="shared" ref="H2762:H2825" si="220">IF(AND(P2762&lt;=O2762,O2762&lt;=Q2762),"A","R")</f>
        <v>A</v>
      </c>
      <c r="I2762" s="29" t="str">
        <f t="shared" si="216"/>
        <v>TG509538</v>
      </c>
      <c r="J2762" s="59">
        <f t="shared" ca="1" si="217"/>
        <v>46042</v>
      </c>
      <c r="K2762" s="30">
        <f ca="1">LOOKUP(A2762,'QALS - Inspection Lot Record'!A:A,'QALS - Inspection Lot Record'!I:I)</f>
        <v>0.28759259259259257</v>
      </c>
      <c r="L2762" s="59">
        <f t="shared" ca="1" si="218"/>
        <v>46042</v>
      </c>
      <c r="M2762" s="30">
        <f t="shared" ca="1" si="219"/>
        <v>0.3112847222222222</v>
      </c>
      <c r="N2762" s="31"/>
      <c r="O2762" s="31">
        <v>100</v>
      </c>
      <c r="P2762" s="29">
        <v>95</v>
      </c>
      <c r="Q2762" s="29">
        <v>105</v>
      </c>
    </row>
    <row r="2763" spans="1:17" x14ac:dyDescent="0.35">
      <c r="A2763" s="26">
        <v>40000002846</v>
      </c>
      <c r="B2763" s="27">
        <v>1</v>
      </c>
      <c r="C2763" s="29" t="str">
        <f>LOOKUP(A2763,'QALS - Inspection Lot Record'!$A$2:$A$361,'QALS - Inspection Lot Record'!$O$2:$O$361)</f>
        <v>Metformin Tablets (500 MG)</v>
      </c>
      <c r="D2763" s="31">
        <v>20</v>
      </c>
      <c r="E2763" s="29" t="s">
        <v>400</v>
      </c>
      <c r="F2763" s="29" t="str">
        <f>LOOKUP(A2763,'QALS - Inspection Lot Record'!A:A,'QALS - Inspection Lot Record'!G:G)</f>
        <v>TG509538</v>
      </c>
      <c r="G2763" s="59">
        <f ca="1">LOOKUP(A2763,'QALS - Inspection Lot Record'!A:A,'QALS - Inspection Lot Record'!E:E)</f>
        <v>46042</v>
      </c>
      <c r="H2763" s="34" t="str">
        <f t="shared" si="220"/>
        <v>A</v>
      </c>
      <c r="I2763" s="29" t="str">
        <f t="shared" si="216"/>
        <v>TG509538</v>
      </c>
      <c r="J2763" s="59">
        <f t="shared" ca="1" si="217"/>
        <v>46042</v>
      </c>
      <c r="K2763" s="30">
        <f ca="1">LOOKUP(A2763,'QALS - Inspection Lot Record'!A:A,'QALS - Inspection Lot Record'!I:I)</f>
        <v>0.28759259259259257</v>
      </c>
      <c r="L2763" s="59">
        <f t="shared" ca="1" si="218"/>
        <v>46042</v>
      </c>
      <c r="M2763" s="30">
        <f t="shared" ca="1" si="219"/>
        <v>0.31545138888888885</v>
      </c>
      <c r="N2763" s="31"/>
      <c r="O2763" s="31">
        <v>7.25</v>
      </c>
      <c r="P2763" s="29">
        <v>3.5</v>
      </c>
      <c r="Q2763" s="29">
        <v>11</v>
      </c>
    </row>
    <row r="2764" spans="1:17" x14ac:dyDescent="0.35">
      <c r="A2764" s="26">
        <v>40000002846</v>
      </c>
      <c r="B2764" s="31">
        <v>1</v>
      </c>
      <c r="C2764" s="29" t="str">
        <f>LOOKUP(A2764,'QALS - Inspection Lot Record'!$A$2:$A$361,'QALS - Inspection Lot Record'!$O$2:$O$361)</f>
        <v>Metformin Tablets (500 MG)</v>
      </c>
      <c r="D2764" s="31">
        <v>30</v>
      </c>
      <c r="E2764" s="29" t="s">
        <v>401</v>
      </c>
      <c r="F2764" s="29" t="str">
        <f>LOOKUP(A2764,'QALS - Inspection Lot Record'!A:A,'QALS - Inspection Lot Record'!G:G)</f>
        <v>TG509538</v>
      </c>
      <c r="G2764" s="59">
        <f ca="1">LOOKUP(A2764,'QALS - Inspection Lot Record'!A:A,'QALS - Inspection Lot Record'!E:E)</f>
        <v>46042</v>
      </c>
      <c r="H2764" s="34" t="str">
        <f t="shared" si="220"/>
        <v>A</v>
      </c>
      <c r="I2764" s="29" t="str">
        <f t="shared" si="216"/>
        <v>TG509538</v>
      </c>
      <c r="J2764" s="59">
        <f t="shared" ca="1" si="217"/>
        <v>46042</v>
      </c>
      <c r="K2764" s="30">
        <f ca="1">LOOKUP(A2764,'QALS - Inspection Lot Record'!A:A,'QALS - Inspection Lot Record'!I:I)</f>
        <v>0.28759259259259257</v>
      </c>
      <c r="L2764" s="59">
        <f t="shared" ca="1" si="218"/>
        <v>46042</v>
      </c>
      <c r="M2764" s="30">
        <f t="shared" ca="1" si="219"/>
        <v>0.32298611111111108</v>
      </c>
      <c r="N2764" s="11" t="s">
        <v>402</v>
      </c>
      <c r="O2764" s="31"/>
      <c r="P2764" s="29"/>
      <c r="Q2764" s="29"/>
    </row>
    <row r="2765" spans="1:17" x14ac:dyDescent="0.35">
      <c r="A2765" s="26">
        <v>40000002846</v>
      </c>
      <c r="B2765" s="31">
        <v>1</v>
      </c>
      <c r="C2765" s="29" t="str">
        <f>LOOKUP(A2765,'QALS - Inspection Lot Record'!$A$2:$A$361,'QALS - Inspection Lot Record'!$O$2:$O$361)</f>
        <v>Metformin Tablets (500 MG)</v>
      </c>
      <c r="D2765" s="31">
        <v>40</v>
      </c>
      <c r="E2765" s="29" t="s">
        <v>403</v>
      </c>
      <c r="F2765" s="29" t="str">
        <f>LOOKUP(A2765,'QALS - Inspection Lot Record'!A:A,'QALS - Inspection Lot Record'!G:G)</f>
        <v>TG509538</v>
      </c>
      <c r="G2765" s="59">
        <f ca="1">LOOKUP(A2765,'QALS - Inspection Lot Record'!A:A,'QALS - Inspection Lot Record'!E:E)</f>
        <v>46042</v>
      </c>
      <c r="H2765" s="34" t="str">
        <f t="shared" si="220"/>
        <v>A</v>
      </c>
      <c r="I2765" s="29" t="str">
        <f t="shared" si="216"/>
        <v>TG509538</v>
      </c>
      <c r="J2765" s="59">
        <f t="shared" ca="1" si="217"/>
        <v>46042</v>
      </c>
      <c r="K2765" s="30">
        <f ca="1">LOOKUP(A2765,'QALS - Inspection Lot Record'!A:A,'QALS - Inspection Lot Record'!I:I)</f>
        <v>0.28759259259259257</v>
      </c>
      <c r="L2765" s="59">
        <f t="shared" ca="1" si="218"/>
        <v>46042</v>
      </c>
      <c r="M2765" s="30">
        <f t="shared" ca="1" si="219"/>
        <v>0.32071759259259258</v>
      </c>
      <c r="N2765" s="31"/>
      <c r="O2765" s="31">
        <v>0</v>
      </c>
      <c r="P2765" s="29">
        <v>0</v>
      </c>
      <c r="Q2765" s="29">
        <v>2</v>
      </c>
    </row>
    <row r="2766" spans="1:17" x14ac:dyDescent="0.35">
      <c r="A2766" s="26">
        <v>40000002846</v>
      </c>
      <c r="B2766" s="31">
        <v>1</v>
      </c>
      <c r="C2766" s="29" t="str">
        <f>LOOKUP(A2766,'QALS - Inspection Lot Record'!$A$2:$A$361,'QALS - Inspection Lot Record'!$O$2:$O$361)</f>
        <v>Metformin Tablets (500 MG)</v>
      </c>
      <c r="D2766" s="31">
        <v>50</v>
      </c>
      <c r="E2766" s="29" t="s">
        <v>404</v>
      </c>
      <c r="F2766" s="29" t="str">
        <f>LOOKUP(A2766,'QALS - Inspection Lot Record'!A:A,'QALS - Inspection Lot Record'!G:G)</f>
        <v>TG509538</v>
      </c>
      <c r="G2766" s="59">
        <f ca="1">LOOKUP(A2766,'QALS - Inspection Lot Record'!A:A,'QALS - Inspection Lot Record'!E:E)</f>
        <v>46042</v>
      </c>
      <c r="H2766" s="34" t="str">
        <f t="shared" si="220"/>
        <v>A</v>
      </c>
      <c r="I2766" s="29" t="str">
        <f t="shared" si="216"/>
        <v>TG509538</v>
      </c>
      <c r="J2766" s="59">
        <f t="shared" ca="1" si="217"/>
        <v>46042</v>
      </c>
      <c r="K2766" s="30">
        <f ca="1">LOOKUP(A2766,'QALS - Inspection Lot Record'!A:A,'QALS - Inspection Lot Record'!I:I)</f>
        <v>0.28759259259259257</v>
      </c>
      <c r="L2766" s="59">
        <f t="shared" ca="1" si="218"/>
        <v>46042</v>
      </c>
      <c r="M2766" s="30">
        <f t="shared" ca="1" si="219"/>
        <v>0.32034722222222217</v>
      </c>
      <c r="N2766" s="31"/>
      <c r="O2766" s="31">
        <v>50</v>
      </c>
      <c r="P2766" s="29">
        <v>40</v>
      </c>
      <c r="Q2766" s="29">
        <v>60</v>
      </c>
    </row>
    <row r="2767" spans="1:17" x14ac:dyDescent="0.35">
      <c r="A2767" s="26">
        <v>40000002846</v>
      </c>
      <c r="B2767" s="31">
        <v>1</v>
      </c>
      <c r="C2767" s="29" t="str">
        <f>LOOKUP(A2767,'QALS - Inspection Lot Record'!$A$2:$A$361,'QALS - Inspection Lot Record'!$O$2:$O$361)</f>
        <v>Metformin Tablets (500 MG)</v>
      </c>
      <c r="D2767" s="31">
        <v>60</v>
      </c>
      <c r="E2767" s="29" t="s">
        <v>405</v>
      </c>
      <c r="F2767" s="29" t="str">
        <f>LOOKUP(A2767,'QALS - Inspection Lot Record'!A:A,'QALS - Inspection Lot Record'!G:G)</f>
        <v>TG509538</v>
      </c>
      <c r="G2767" s="59">
        <f ca="1">LOOKUP(A2767,'QALS - Inspection Lot Record'!A:A,'QALS - Inspection Lot Record'!E:E)</f>
        <v>46042</v>
      </c>
      <c r="H2767" s="34" t="str">
        <f t="shared" si="220"/>
        <v>A</v>
      </c>
      <c r="I2767" s="29" t="str">
        <f t="shared" si="216"/>
        <v>TG509538</v>
      </c>
      <c r="J2767" s="59">
        <f t="shared" ca="1" si="217"/>
        <v>46042</v>
      </c>
      <c r="K2767" s="30">
        <f ca="1">LOOKUP(A2767,'QALS - Inspection Lot Record'!A:A,'QALS - Inspection Lot Record'!I:I)</f>
        <v>0.28759259259259257</v>
      </c>
      <c r="L2767" s="59">
        <f t="shared" ca="1" si="218"/>
        <v>46042</v>
      </c>
      <c r="M2767" s="30">
        <f t="shared" ca="1" si="219"/>
        <v>0.31236111111111109</v>
      </c>
      <c r="N2767" s="31"/>
      <c r="O2767" s="31">
        <v>77.5</v>
      </c>
      <c r="P2767" s="29">
        <v>70</v>
      </c>
      <c r="Q2767" s="29">
        <v>85</v>
      </c>
    </row>
    <row r="2768" spans="1:17" x14ac:dyDescent="0.35">
      <c r="A2768" s="26">
        <v>40000002846</v>
      </c>
      <c r="B2768" s="31">
        <v>1</v>
      </c>
      <c r="C2768" s="29" t="str">
        <f>LOOKUP(A2768,'QALS - Inspection Lot Record'!$A$2:$A$361,'QALS - Inspection Lot Record'!$O$2:$O$361)</f>
        <v>Metformin Tablets (500 MG)</v>
      </c>
      <c r="D2768" s="31">
        <v>70</v>
      </c>
      <c r="E2768" s="29" t="s">
        <v>406</v>
      </c>
      <c r="F2768" s="29" t="str">
        <f>LOOKUP(A2768,'QALS - Inspection Lot Record'!A:A,'QALS - Inspection Lot Record'!G:G)</f>
        <v>TG509538</v>
      </c>
      <c r="G2768" s="59">
        <f ca="1">LOOKUP(A2768,'QALS - Inspection Lot Record'!A:A,'QALS - Inspection Lot Record'!E:E)</f>
        <v>46042</v>
      </c>
      <c r="H2768" s="34" t="str">
        <f t="shared" si="220"/>
        <v>A</v>
      </c>
      <c r="I2768" s="29" t="str">
        <f t="shared" si="216"/>
        <v>TG509538</v>
      </c>
      <c r="J2768" s="59">
        <f t="shared" ca="1" si="217"/>
        <v>46042</v>
      </c>
      <c r="K2768" s="30">
        <f ca="1">LOOKUP(A2768,'QALS - Inspection Lot Record'!A:A,'QALS - Inspection Lot Record'!I:I)</f>
        <v>0.28759259259259257</v>
      </c>
      <c r="L2768" s="59">
        <f t="shared" ca="1" si="218"/>
        <v>46042</v>
      </c>
      <c r="M2768" s="30">
        <f t="shared" ca="1" si="219"/>
        <v>0.31712962962962959</v>
      </c>
      <c r="N2768" s="31"/>
      <c r="O2768" s="31">
        <v>85</v>
      </c>
      <c r="P2768" s="29">
        <v>80</v>
      </c>
      <c r="Q2768" s="29">
        <v>90</v>
      </c>
    </row>
    <row r="2769" spans="1:17" x14ac:dyDescent="0.35">
      <c r="A2769" s="26">
        <v>40000002846</v>
      </c>
      <c r="B2769" s="31">
        <v>1</v>
      </c>
      <c r="C2769" s="29" t="str">
        <f>LOOKUP(A2769,'QALS - Inspection Lot Record'!$A$2:$A$361,'QALS - Inspection Lot Record'!$O$2:$O$361)</f>
        <v>Metformin Tablets (500 MG)</v>
      </c>
      <c r="D2769" s="31">
        <v>80</v>
      </c>
      <c r="E2769" s="29" t="s">
        <v>407</v>
      </c>
      <c r="F2769" s="29" t="str">
        <f>LOOKUP(A2769,'QALS - Inspection Lot Record'!A:A,'QALS - Inspection Lot Record'!G:G)</f>
        <v>TG509538</v>
      </c>
      <c r="G2769" s="59">
        <f ca="1">LOOKUP(A2769,'QALS - Inspection Lot Record'!A:A,'QALS - Inspection Lot Record'!E:E)</f>
        <v>46042</v>
      </c>
      <c r="H2769" s="34" t="str">
        <f t="shared" si="220"/>
        <v>A</v>
      </c>
      <c r="I2769" s="29" t="str">
        <f t="shared" si="216"/>
        <v>TG509538</v>
      </c>
      <c r="J2769" s="59">
        <f t="shared" ca="1" si="217"/>
        <v>46042</v>
      </c>
      <c r="K2769" s="30">
        <f ca="1">LOOKUP(A2769,'QALS - Inspection Lot Record'!A:A,'QALS - Inspection Lot Record'!I:I)</f>
        <v>0.28759259259259257</v>
      </c>
      <c r="L2769" s="59">
        <f t="shared" ca="1" si="218"/>
        <v>46042</v>
      </c>
      <c r="M2769" s="30">
        <f t="shared" ca="1" si="219"/>
        <v>0.31479166666666664</v>
      </c>
      <c r="N2769" s="31"/>
      <c r="O2769" s="31">
        <v>25.5</v>
      </c>
      <c r="P2769" s="29">
        <v>23</v>
      </c>
      <c r="Q2769" s="29">
        <v>28</v>
      </c>
    </row>
    <row r="2770" spans="1:17" x14ac:dyDescent="0.35">
      <c r="A2770" s="26">
        <v>40000002847</v>
      </c>
      <c r="B2770" s="27">
        <v>1</v>
      </c>
      <c r="C2770" s="29" t="str">
        <f>LOOKUP(A2770,'QALS - Inspection Lot Record'!$A$2:$A$361,'QALS - Inspection Lot Record'!$O$2:$O$361)</f>
        <v>Metformin Tablets (500 MG)</v>
      </c>
      <c r="D2770" s="27">
        <v>10</v>
      </c>
      <c r="E2770" s="26" t="s">
        <v>399</v>
      </c>
      <c r="F2770" s="29" t="str">
        <f>LOOKUP(A2770,'QALS - Inspection Lot Record'!A:A,'QALS - Inspection Lot Record'!G:G)</f>
        <v>TP397880</v>
      </c>
      <c r="G2770" s="59">
        <f ca="1">LOOKUP(A2770,'QALS - Inspection Lot Record'!A:A,'QALS - Inspection Lot Record'!E:E)</f>
        <v>46043</v>
      </c>
      <c r="H2770" s="34" t="str">
        <f t="shared" si="220"/>
        <v>A</v>
      </c>
      <c r="I2770" s="29" t="str">
        <f t="shared" si="216"/>
        <v>TP397880</v>
      </c>
      <c r="J2770" s="59">
        <f t="shared" ca="1" si="217"/>
        <v>46043</v>
      </c>
      <c r="K2770" s="30">
        <f ca="1">LOOKUP(A2770,'QALS - Inspection Lot Record'!A:A,'QALS - Inspection Lot Record'!I:I)</f>
        <v>0.91506944444444449</v>
      </c>
      <c r="L2770" s="59">
        <f t="shared" ca="1" si="218"/>
        <v>46043</v>
      </c>
      <c r="M2770" s="30">
        <f t="shared" ca="1" si="219"/>
        <v>0.94363425925925926</v>
      </c>
      <c r="N2770" s="31"/>
      <c r="O2770" s="31">
        <v>100</v>
      </c>
      <c r="P2770" s="29">
        <v>95</v>
      </c>
      <c r="Q2770" s="29">
        <v>105</v>
      </c>
    </row>
    <row r="2771" spans="1:17" x14ac:dyDescent="0.35">
      <c r="A2771" s="26">
        <v>40000002847</v>
      </c>
      <c r="B2771" s="27">
        <v>1</v>
      </c>
      <c r="C2771" s="29" t="str">
        <f>LOOKUP(A2771,'QALS - Inspection Lot Record'!$A$2:$A$361,'QALS - Inspection Lot Record'!$O$2:$O$361)</f>
        <v>Metformin Tablets (500 MG)</v>
      </c>
      <c r="D2771" s="31">
        <v>20</v>
      </c>
      <c r="E2771" s="29" t="s">
        <v>400</v>
      </c>
      <c r="F2771" s="29" t="str">
        <f>LOOKUP(A2771,'QALS - Inspection Lot Record'!A:A,'QALS - Inspection Lot Record'!G:G)</f>
        <v>TP397880</v>
      </c>
      <c r="G2771" s="59">
        <f ca="1">LOOKUP(A2771,'QALS - Inspection Lot Record'!A:A,'QALS - Inspection Lot Record'!E:E)</f>
        <v>46043</v>
      </c>
      <c r="H2771" s="34" t="str">
        <f t="shared" si="220"/>
        <v>A</v>
      </c>
      <c r="I2771" s="29" t="str">
        <f t="shared" si="216"/>
        <v>TP397880</v>
      </c>
      <c r="J2771" s="59">
        <f t="shared" ca="1" si="217"/>
        <v>46043</v>
      </c>
      <c r="K2771" s="30">
        <f ca="1">LOOKUP(A2771,'QALS - Inspection Lot Record'!A:A,'QALS - Inspection Lot Record'!I:I)</f>
        <v>0.91506944444444449</v>
      </c>
      <c r="L2771" s="59">
        <f t="shared" ca="1" si="218"/>
        <v>46043</v>
      </c>
      <c r="M2771" s="30">
        <f t="shared" ca="1" si="219"/>
        <v>0.94136574074074075</v>
      </c>
      <c r="N2771" s="31"/>
      <c r="O2771" s="31">
        <v>7.25</v>
      </c>
      <c r="P2771" s="29">
        <v>3.5</v>
      </c>
      <c r="Q2771" s="29">
        <v>11</v>
      </c>
    </row>
    <row r="2772" spans="1:17" x14ac:dyDescent="0.35">
      <c r="A2772" s="26">
        <v>40000002847</v>
      </c>
      <c r="B2772" s="31">
        <v>1</v>
      </c>
      <c r="C2772" s="29" t="str">
        <f>LOOKUP(A2772,'QALS - Inspection Lot Record'!$A$2:$A$361,'QALS - Inspection Lot Record'!$O$2:$O$361)</f>
        <v>Metformin Tablets (500 MG)</v>
      </c>
      <c r="D2772" s="31">
        <v>30</v>
      </c>
      <c r="E2772" s="29" t="s">
        <v>401</v>
      </c>
      <c r="F2772" s="29" t="str">
        <f>LOOKUP(A2772,'QALS - Inspection Lot Record'!A:A,'QALS - Inspection Lot Record'!G:G)</f>
        <v>TP397880</v>
      </c>
      <c r="G2772" s="59">
        <f ca="1">LOOKUP(A2772,'QALS - Inspection Lot Record'!A:A,'QALS - Inspection Lot Record'!E:E)</f>
        <v>46043</v>
      </c>
      <c r="H2772" s="34" t="str">
        <f t="shared" si="220"/>
        <v>A</v>
      </c>
      <c r="I2772" s="29" t="str">
        <f t="shared" si="216"/>
        <v>TP397880</v>
      </c>
      <c r="J2772" s="59">
        <f t="shared" ca="1" si="217"/>
        <v>46043</v>
      </c>
      <c r="K2772" s="30">
        <f ca="1">LOOKUP(A2772,'QALS - Inspection Lot Record'!A:A,'QALS - Inspection Lot Record'!I:I)</f>
        <v>0.91506944444444449</v>
      </c>
      <c r="L2772" s="59">
        <f t="shared" ca="1" si="218"/>
        <v>46043</v>
      </c>
      <c r="M2772" s="30">
        <f t="shared" ca="1" si="219"/>
        <v>0.94831018518518517</v>
      </c>
      <c r="N2772" s="11" t="s">
        <v>402</v>
      </c>
      <c r="O2772" s="31"/>
      <c r="P2772" s="29"/>
      <c r="Q2772" s="29"/>
    </row>
    <row r="2773" spans="1:17" x14ac:dyDescent="0.35">
      <c r="A2773" s="26">
        <v>40000002847</v>
      </c>
      <c r="B2773" s="31">
        <v>1</v>
      </c>
      <c r="C2773" s="29" t="str">
        <f>LOOKUP(A2773,'QALS - Inspection Lot Record'!$A$2:$A$361,'QALS - Inspection Lot Record'!$O$2:$O$361)</f>
        <v>Metformin Tablets (500 MG)</v>
      </c>
      <c r="D2773" s="31">
        <v>40</v>
      </c>
      <c r="E2773" s="29" t="s">
        <v>403</v>
      </c>
      <c r="F2773" s="29" t="str">
        <f>LOOKUP(A2773,'QALS - Inspection Lot Record'!A:A,'QALS - Inspection Lot Record'!G:G)</f>
        <v>TP397880</v>
      </c>
      <c r="G2773" s="59">
        <f ca="1">LOOKUP(A2773,'QALS - Inspection Lot Record'!A:A,'QALS - Inspection Lot Record'!E:E)</f>
        <v>46043</v>
      </c>
      <c r="H2773" s="34" t="str">
        <f t="shared" si="220"/>
        <v>A</v>
      </c>
      <c r="I2773" s="29" t="str">
        <f t="shared" si="216"/>
        <v>TP397880</v>
      </c>
      <c r="J2773" s="59">
        <f t="shared" ca="1" si="217"/>
        <v>46043</v>
      </c>
      <c r="K2773" s="30">
        <f ca="1">LOOKUP(A2773,'QALS - Inspection Lot Record'!A:A,'QALS - Inspection Lot Record'!I:I)</f>
        <v>0.91506944444444449</v>
      </c>
      <c r="L2773" s="59">
        <f t="shared" ca="1" si="218"/>
        <v>46043</v>
      </c>
      <c r="M2773" s="30">
        <f t="shared" ca="1" si="219"/>
        <v>0.93754629629629638</v>
      </c>
      <c r="N2773" s="31"/>
      <c r="O2773" s="31">
        <v>1.6</v>
      </c>
      <c r="P2773" s="29">
        <v>0</v>
      </c>
      <c r="Q2773" s="29">
        <v>2</v>
      </c>
    </row>
    <row r="2774" spans="1:17" x14ac:dyDescent="0.35">
      <c r="A2774" s="26">
        <v>40000002847</v>
      </c>
      <c r="B2774" s="31">
        <v>1</v>
      </c>
      <c r="C2774" s="29" t="str">
        <f>LOOKUP(A2774,'QALS - Inspection Lot Record'!$A$2:$A$361,'QALS - Inspection Lot Record'!$O$2:$O$361)</f>
        <v>Metformin Tablets (500 MG)</v>
      </c>
      <c r="D2774" s="31">
        <v>50</v>
      </c>
      <c r="E2774" s="29" t="s">
        <v>404</v>
      </c>
      <c r="F2774" s="29" t="str">
        <f>LOOKUP(A2774,'QALS - Inspection Lot Record'!A:A,'QALS - Inspection Lot Record'!G:G)</f>
        <v>TP397880</v>
      </c>
      <c r="G2774" s="59">
        <f ca="1">LOOKUP(A2774,'QALS - Inspection Lot Record'!A:A,'QALS - Inspection Lot Record'!E:E)</f>
        <v>46043</v>
      </c>
      <c r="H2774" s="34" t="str">
        <f t="shared" si="220"/>
        <v>A</v>
      </c>
      <c r="I2774" s="29" t="str">
        <f t="shared" si="216"/>
        <v>TP397880</v>
      </c>
      <c r="J2774" s="59">
        <f t="shared" ca="1" si="217"/>
        <v>46043</v>
      </c>
      <c r="K2774" s="30">
        <f ca="1">LOOKUP(A2774,'QALS - Inspection Lot Record'!A:A,'QALS - Inspection Lot Record'!I:I)</f>
        <v>0.91506944444444449</v>
      </c>
      <c r="L2774" s="59">
        <f t="shared" ca="1" si="218"/>
        <v>46043</v>
      </c>
      <c r="M2774" s="30">
        <f t="shared" ca="1" si="219"/>
        <v>0.93884259259259262</v>
      </c>
      <c r="N2774" s="31"/>
      <c r="O2774" s="31">
        <v>41.5</v>
      </c>
      <c r="P2774" s="29">
        <v>40</v>
      </c>
      <c r="Q2774" s="29">
        <v>60</v>
      </c>
    </row>
    <row r="2775" spans="1:17" x14ac:dyDescent="0.35">
      <c r="A2775" s="26">
        <v>40000002847</v>
      </c>
      <c r="B2775" s="31">
        <v>1</v>
      </c>
      <c r="C2775" s="29" t="str">
        <f>LOOKUP(A2775,'QALS - Inspection Lot Record'!$A$2:$A$361,'QALS - Inspection Lot Record'!$O$2:$O$361)</f>
        <v>Metformin Tablets (500 MG)</v>
      </c>
      <c r="D2775" s="31">
        <v>60</v>
      </c>
      <c r="E2775" s="29" t="s">
        <v>405</v>
      </c>
      <c r="F2775" s="29" t="str">
        <f>LOOKUP(A2775,'QALS - Inspection Lot Record'!A:A,'QALS - Inspection Lot Record'!G:G)</f>
        <v>TP397880</v>
      </c>
      <c r="G2775" s="59">
        <f ca="1">LOOKUP(A2775,'QALS - Inspection Lot Record'!A:A,'QALS - Inspection Lot Record'!E:E)</f>
        <v>46043</v>
      </c>
      <c r="H2775" s="34" t="str">
        <f t="shared" si="220"/>
        <v>A</v>
      </c>
      <c r="I2775" s="29" t="str">
        <f t="shared" si="216"/>
        <v>TP397880</v>
      </c>
      <c r="J2775" s="59">
        <f t="shared" ca="1" si="217"/>
        <v>46043</v>
      </c>
      <c r="K2775" s="30">
        <f ca="1">LOOKUP(A2775,'QALS - Inspection Lot Record'!A:A,'QALS - Inspection Lot Record'!I:I)</f>
        <v>0.91506944444444449</v>
      </c>
      <c r="L2775" s="59">
        <f t="shared" ca="1" si="218"/>
        <v>46043</v>
      </c>
      <c r="M2775" s="30">
        <f t="shared" ca="1" si="219"/>
        <v>0.93402777777777779</v>
      </c>
      <c r="N2775" s="31"/>
      <c r="O2775" s="31">
        <v>71</v>
      </c>
      <c r="P2775" s="29">
        <v>70</v>
      </c>
      <c r="Q2775" s="29">
        <v>85</v>
      </c>
    </row>
    <row r="2776" spans="1:17" x14ac:dyDescent="0.35">
      <c r="A2776" s="26">
        <v>40000002847</v>
      </c>
      <c r="B2776" s="31">
        <v>1</v>
      </c>
      <c r="C2776" s="29" t="str">
        <f>LOOKUP(A2776,'QALS - Inspection Lot Record'!$A$2:$A$361,'QALS - Inspection Lot Record'!$O$2:$O$361)</f>
        <v>Metformin Tablets (500 MG)</v>
      </c>
      <c r="D2776" s="31">
        <v>70</v>
      </c>
      <c r="E2776" s="29" t="s">
        <v>406</v>
      </c>
      <c r="F2776" s="29" t="str">
        <f>LOOKUP(A2776,'QALS - Inspection Lot Record'!A:A,'QALS - Inspection Lot Record'!G:G)</f>
        <v>TP397880</v>
      </c>
      <c r="G2776" s="59">
        <f ca="1">LOOKUP(A2776,'QALS - Inspection Lot Record'!A:A,'QALS - Inspection Lot Record'!E:E)</f>
        <v>46043</v>
      </c>
      <c r="H2776" s="34" t="str">
        <f t="shared" si="220"/>
        <v>A</v>
      </c>
      <c r="I2776" s="29" t="str">
        <f t="shared" si="216"/>
        <v>TP397880</v>
      </c>
      <c r="J2776" s="59">
        <f t="shared" ca="1" si="217"/>
        <v>46043</v>
      </c>
      <c r="K2776" s="30">
        <f ca="1">LOOKUP(A2776,'QALS - Inspection Lot Record'!A:A,'QALS - Inspection Lot Record'!I:I)</f>
        <v>0.91506944444444449</v>
      </c>
      <c r="L2776" s="59">
        <f t="shared" ca="1" si="218"/>
        <v>46043</v>
      </c>
      <c r="M2776" s="30">
        <f t="shared" ca="1" si="219"/>
        <v>0.94530092592592596</v>
      </c>
      <c r="N2776" s="31"/>
      <c r="O2776" s="31">
        <v>81.3</v>
      </c>
      <c r="P2776" s="29">
        <v>80</v>
      </c>
      <c r="Q2776" s="29">
        <v>90</v>
      </c>
    </row>
    <row r="2777" spans="1:17" x14ac:dyDescent="0.35">
      <c r="A2777" s="26">
        <v>40000002847</v>
      </c>
      <c r="B2777" s="31">
        <v>1</v>
      </c>
      <c r="C2777" s="29" t="str">
        <f>LOOKUP(A2777,'QALS - Inspection Lot Record'!$A$2:$A$361,'QALS - Inspection Lot Record'!$O$2:$O$361)</f>
        <v>Metformin Tablets (500 MG)</v>
      </c>
      <c r="D2777" s="31">
        <v>80</v>
      </c>
      <c r="E2777" s="29" t="s">
        <v>407</v>
      </c>
      <c r="F2777" s="29" t="str">
        <f>LOOKUP(A2777,'QALS - Inspection Lot Record'!A:A,'QALS - Inspection Lot Record'!G:G)</f>
        <v>TP397880</v>
      </c>
      <c r="G2777" s="59">
        <f ca="1">LOOKUP(A2777,'QALS - Inspection Lot Record'!A:A,'QALS - Inspection Lot Record'!E:E)</f>
        <v>46043</v>
      </c>
      <c r="H2777" s="34" t="str">
        <f t="shared" si="220"/>
        <v>A</v>
      </c>
      <c r="I2777" s="29" t="str">
        <f t="shared" si="216"/>
        <v>TP397880</v>
      </c>
      <c r="J2777" s="59">
        <f t="shared" ca="1" si="217"/>
        <v>46043</v>
      </c>
      <c r="K2777" s="30">
        <f ca="1">LOOKUP(A2777,'QALS - Inspection Lot Record'!A:A,'QALS - Inspection Lot Record'!I:I)</f>
        <v>0.91506944444444449</v>
      </c>
      <c r="L2777" s="59">
        <f t="shared" ca="1" si="218"/>
        <v>46043</v>
      </c>
      <c r="M2777" s="30">
        <f t="shared" ca="1" si="219"/>
        <v>0.94622685185185185</v>
      </c>
      <c r="N2777" s="31"/>
      <c r="O2777" s="31">
        <v>25.5</v>
      </c>
      <c r="P2777" s="29">
        <v>23</v>
      </c>
      <c r="Q2777" s="29">
        <v>28</v>
      </c>
    </row>
    <row r="2778" spans="1:17" x14ac:dyDescent="0.35">
      <c r="A2778" s="26">
        <v>40000002848</v>
      </c>
      <c r="B2778" s="27">
        <v>1</v>
      </c>
      <c r="C2778" s="29" t="str">
        <f>LOOKUP(A2778,'QALS - Inspection Lot Record'!$A$2:$A$361,'QALS - Inspection Lot Record'!$O$2:$O$361)</f>
        <v>Aspirin Tablets (500 MG)</v>
      </c>
      <c r="D2778" s="27">
        <v>10</v>
      </c>
      <c r="E2778" s="26" t="s">
        <v>399</v>
      </c>
      <c r="F2778" s="29" t="str">
        <f>LOOKUP(A2778,'QALS - Inspection Lot Record'!A:A,'QALS - Inspection Lot Record'!G:G)</f>
        <v>TG509538</v>
      </c>
      <c r="G2778" s="59">
        <f ca="1">LOOKUP(A2778,'QALS - Inspection Lot Record'!A:A,'QALS - Inspection Lot Record'!E:E)</f>
        <v>46043</v>
      </c>
      <c r="H2778" s="34" t="str">
        <f t="shared" si="220"/>
        <v>A</v>
      </c>
      <c r="I2778" s="29" t="str">
        <f t="shared" si="216"/>
        <v>TG509538</v>
      </c>
      <c r="J2778" s="59">
        <f t="shared" ca="1" si="217"/>
        <v>46043</v>
      </c>
      <c r="K2778" s="30">
        <f ca="1">LOOKUP(A2778,'QALS - Inspection Lot Record'!A:A,'QALS - Inspection Lot Record'!I:I)</f>
        <v>0.42283564814814817</v>
      </c>
      <c r="L2778" s="59">
        <f t="shared" ca="1" si="218"/>
        <v>46043</v>
      </c>
      <c r="M2778" s="30">
        <f t="shared" ca="1" si="219"/>
        <v>0.44775462962962964</v>
      </c>
      <c r="N2778" s="31"/>
      <c r="O2778" s="31">
        <v>100</v>
      </c>
      <c r="P2778" s="29">
        <v>95</v>
      </c>
      <c r="Q2778" s="29">
        <v>105</v>
      </c>
    </row>
    <row r="2779" spans="1:17" x14ac:dyDescent="0.35">
      <c r="A2779" s="26">
        <v>40000002848</v>
      </c>
      <c r="B2779" s="27">
        <v>1</v>
      </c>
      <c r="C2779" s="29" t="str">
        <f>LOOKUP(A2779,'QALS - Inspection Lot Record'!$A$2:$A$361,'QALS - Inspection Lot Record'!$O$2:$O$361)</f>
        <v>Aspirin Tablets (500 MG)</v>
      </c>
      <c r="D2779" s="31">
        <v>20</v>
      </c>
      <c r="E2779" s="29" t="s">
        <v>400</v>
      </c>
      <c r="F2779" s="29" t="str">
        <f>LOOKUP(A2779,'QALS - Inspection Lot Record'!A:A,'QALS - Inspection Lot Record'!G:G)</f>
        <v>TG509538</v>
      </c>
      <c r="G2779" s="59">
        <f ca="1">LOOKUP(A2779,'QALS - Inspection Lot Record'!A:A,'QALS - Inspection Lot Record'!E:E)</f>
        <v>46043</v>
      </c>
      <c r="H2779" s="34" t="str">
        <f t="shared" si="220"/>
        <v>A</v>
      </c>
      <c r="I2779" s="29" t="str">
        <f t="shared" si="216"/>
        <v>TG509538</v>
      </c>
      <c r="J2779" s="59">
        <f t="shared" ca="1" si="217"/>
        <v>46043</v>
      </c>
      <c r="K2779" s="30">
        <f ca="1">LOOKUP(A2779,'QALS - Inspection Lot Record'!A:A,'QALS - Inspection Lot Record'!I:I)</f>
        <v>0.42283564814814817</v>
      </c>
      <c r="L2779" s="59">
        <f t="shared" ca="1" si="218"/>
        <v>46043</v>
      </c>
      <c r="M2779" s="30">
        <f t="shared" ca="1" si="219"/>
        <v>0.45321759259259259</v>
      </c>
      <c r="N2779" s="31"/>
      <c r="O2779" s="31">
        <v>7.3</v>
      </c>
      <c r="P2779" s="29">
        <v>3.5</v>
      </c>
      <c r="Q2779" s="29">
        <v>11</v>
      </c>
    </row>
    <row r="2780" spans="1:17" x14ac:dyDescent="0.35">
      <c r="A2780" s="26">
        <v>40000002848</v>
      </c>
      <c r="B2780" s="31">
        <v>1</v>
      </c>
      <c r="C2780" s="29" t="str">
        <f>LOOKUP(A2780,'QALS - Inspection Lot Record'!$A$2:$A$361,'QALS - Inspection Lot Record'!$O$2:$O$361)</f>
        <v>Aspirin Tablets (500 MG)</v>
      </c>
      <c r="D2780" s="31">
        <v>30</v>
      </c>
      <c r="E2780" s="29" t="s">
        <v>401</v>
      </c>
      <c r="F2780" s="29" t="str">
        <f>LOOKUP(A2780,'QALS - Inspection Lot Record'!A:A,'QALS - Inspection Lot Record'!G:G)</f>
        <v>TG509538</v>
      </c>
      <c r="G2780" s="59">
        <f ca="1">LOOKUP(A2780,'QALS - Inspection Lot Record'!A:A,'QALS - Inspection Lot Record'!E:E)</f>
        <v>46043</v>
      </c>
      <c r="H2780" s="34" t="str">
        <f t="shared" si="220"/>
        <v>A</v>
      </c>
      <c r="I2780" s="29" t="str">
        <f t="shared" si="216"/>
        <v>TG509538</v>
      </c>
      <c r="J2780" s="59">
        <f t="shared" ca="1" si="217"/>
        <v>46043</v>
      </c>
      <c r="K2780" s="30">
        <f ca="1">LOOKUP(A2780,'QALS - Inspection Lot Record'!A:A,'QALS - Inspection Lot Record'!I:I)</f>
        <v>0.42283564814814817</v>
      </c>
      <c r="L2780" s="59">
        <f t="shared" ca="1" si="218"/>
        <v>46043</v>
      </c>
      <c r="M2780" s="30">
        <f t="shared" ca="1" si="219"/>
        <v>0.45057870370370373</v>
      </c>
      <c r="N2780" s="11" t="s">
        <v>402</v>
      </c>
      <c r="O2780" s="31"/>
      <c r="P2780" s="29"/>
      <c r="Q2780" s="29"/>
    </row>
    <row r="2781" spans="1:17" x14ac:dyDescent="0.35">
      <c r="A2781" s="26">
        <v>40000002848</v>
      </c>
      <c r="B2781" s="31">
        <v>1</v>
      </c>
      <c r="C2781" s="29" t="str">
        <f>LOOKUP(A2781,'QALS - Inspection Lot Record'!$A$2:$A$361,'QALS - Inspection Lot Record'!$O$2:$O$361)</f>
        <v>Aspirin Tablets (500 MG)</v>
      </c>
      <c r="D2781" s="31">
        <v>40</v>
      </c>
      <c r="E2781" s="29" t="s">
        <v>403</v>
      </c>
      <c r="F2781" s="29" t="str">
        <f>LOOKUP(A2781,'QALS - Inspection Lot Record'!A:A,'QALS - Inspection Lot Record'!G:G)</f>
        <v>TG509538</v>
      </c>
      <c r="G2781" s="59">
        <f ca="1">LOOKUP(A2781,'QALS - Inspection Lot Record'!A:A,'QALS - Inspection Lot Record'!E:E)</f>
        <v>46043</v>
      </c>
      <c r="H2781" s="34" t="str">
        <f t="shared" si="220"/>
        <v>A</v>
      </c>
      <c r="I2781" s="29" t="str">
        <f t="shared" si="216"/>
        <v>TG509538</v>
      </c>
      <c r="J2781" s="59">
        <f t="shared" ca="1" si="217"/>
        <v>46043</v>
      </c>
      <c r="K2781" s="30">
        <f ca="1">LOOKUP(A2781,'QALS - Inspection Lot Record'!A:A,'QALS - Inspection Lot Record'!I:I)</f>
        <v>0.42283564814814817</v>
      </c>
      <c r="L2781" s="59">
        <f t="shared" ca="1" si="218"/>
        <v>46043</v>
      </c>
      <c r="M2781" s="30">
        <f t="shared" ca="1" si="219"/>
        <v>0.45422453703703708</v>
      </c>
      <c r="N2781" s="31"/>
      <c r="O2781" s="31">
        <v>1.8</v>
      </c>
      <c r="P2781" s="29">
        <v>0</v>
      </c>
      <c r="Q2781" s="29">
        <v>2.5</v>
      </c>
    </row>
    <row r="2782" spans="1:17" x14ac:dyDescent="0.35">
      <c r="A2782" s="26">
        <v>40000002848</v>
      </c>
      <c r="B2782" s="31">
        <v>1</v>
      </c>
      <c r="C2782" s="29" t="str">
        <f>LOOKUP(A2782,'QALS - Inspection Lot Record'!$A$2:$A$361,'QALS - Inspection Lot Record'!$O$2:$O$361)</f>
        <v>Aspirin Tablets (500 MG)</v>
      </c>
      <c r="D2782" s="31">
        <v>50</v>
      </c>
      <c r="E2782" s="29" t="s">
        <v>404</v>
      </c>
      <c r="F2782" s="29" t="str">
        <f>LOOKUP(A2782,'QALS - Inspection Lot Record'!A:A,'QALS - Inspection Lot Record'!G:G)</f>
        <v>TG509538</v>
      </c>
      <c r="G2782" s="59">
        <f ca="1">LOOKUP(A2782,'QALS - Inspection Lot Record'!A:A,'QALS - Inspection Lot Record'!E:E)</f>
        <v>46043</v>
      </c>
      <c r="H2782" s="34" t="str">
        <f t="shared" si="220"/>
        <v>A</v>
      </c>
      <c r="I2782" s="29" t="str">
        <f t="shared" si="216"/>
        <v>TG509538</v>
      </c>
      <c r="J2782" s="59">
        <f t="shared" ca="1" si="217"/>
        <v>46043</v>
      </c>
      <c r="K2782" s="30">
        <f ca="1">LOOKUP(A2782,'QALS - Inspection Lot Record'!A:A,'QALS - Inspection Lot Record'!I:I)</f>
        <v>0.42283564814814817</v>
      </c>
      <c r="L2782" s="59">
        <f t="shared" ca="1" si="218"/>
        <v>46043</v>
      </c>
      <c r="M2782" s="30">
        <f t="shared" ca="1" si="219"/>
        <v>0.45413194444444449</v>
      </c>
      <c r="N2782" s="31"/>
      <c r="O2782" s="31">
        <v>41.8</v>
      </c>
      <c r="P2782" s="29">
        <v>40</v>
      </c>
      <c r="Q2782" s="29">
        <v>60</v>
      </c>
    </row>
    <row r="2783" spans="1:17" x14ac:dyDescent="0.35">
      <c r="A2783" s="26">
        <v>40000002848</v>
      </c>
      <c r="B2783" s="31">
        <v>1</v>
      </c>
      <c r="C2783" s="29" t="str">
        <f>LOOKUP(A2783,'QALS - Inspection Lot Record'!$A$2:$A$361,'QALS - Inspection Lot Record'!$O$2:$O$361)</f>
        <v>Aspirin Tablets (500 MG)</v>
      </c>
      <c r="D2783" s="31">
        <v>60</v>
      </c>
      <c r="E2783" s="29" t="s">
        <v>405</v>
      </c>
      <c r="F2783" s="29" t="str">
        <f>LOOKUP(A2783,'QALS - Inspection Lot Record'!A:A,'QALS - Inspection Lot Record'!G:G)</f>
        <v>TG509538</v>
      </c>
      <c r="G2783" s="59">
        <f ca="1">LOOKUP(A2783,'QALS - Inspection Lot Record'!A:A,'QALS - Inspection Lot Record'!E:E)</f>
        <v>46043</v>
      </c>
      <c r="H2783" s="34" t="str">
        <f t="shared" si="220"/>
        <v>A</v>
      </c>
      <c r="I2783" s="29" t="str">
        <f t="shared" si="216"/>
        <v>TG509538</v>
      </c>
      <c r="J2783" s="59">
        <f t="shared" ca="1" si="217"/>
        <v>46043</v>
      </c>
      <c r="K2783" s="30">
        <f ca="1">LOOKUP(A2783,'QALS - Inspection Lot Record'!A:A,'QALS - Inspection Lot Record'!I:I)</f>
        <v>0.42283564814814817</v>
      </c>
      <c r="L2783" s="59">
        <f t="shared" ca="1" si="218"/>
        <v>46043</v>
      </c>
      <c r="M2783" s="30">
        <f t="shared" ca="1" si="219"/>
        <v>0.45694444444444449</v>
      </c>
      <c r="N2783" s="31"/>
      <c r="O2783" s="31">
        <v>71.599999999999994</v>
      </c>
      <c r="P2783" s="29">
        <v>70</v>
      </c>
      <c r="Q2783" s="29">
        <v>85</v>
      </c>
    </row>
    <row r="2784" spans="1:17" x14ac:dyDescent="0.35">
      <c r="A2784" s="26">
        <v>40000002848</v>
      </c>
      <c r="B2784" s="31">
        <v>1</v>
      </c>
      <c r="C2784" s="29" t="str">
        <f>LOOKUP(A2784,'QALS - Inspection Lot Record'!$A$2:$A$361,'QALS - Inspection Lot Record'!$O$2:$O$361)</f>
        <v>Aspirin Tablets (500 MG)</v>
      </c>
      <c r="D2784" s="31">
        <v>70</v>
      </c>
      <c r="E2784" s="29" t="s">
        <v>406</v>
      </c>
      <c r="F2784" s="29" t="str">
        <f>LOOKUP(A2784,'QALS - Inspection Lot Record'!A:A,'QALS - Inspection Lot Record'!G:G)</f>
        <v>TG509538</v>
      </c>
      <c r="G2784" s="59">
        <f ca="1">LOOKUP(A2784,'QALS - Inspection Lot Record'!A:A,'QALS - Inspection Lot Record'!E:E)</f>
        <v>46043</v>
      </c>
      <c r="H2784" s="34" t="str">
        <f t="shared" si="220"/>
        <v>A</v>
      </c>
      <c r="I2784" s="29" t="str">
        <f t="shared" si="216"/>
        <v>TG509538</v>
      </c>
      <c r="J2784" s="59">
        <f t="shared" ca="1" si="217"/>
        <v>46043</v>
      </c>
      <c r="K2784" s="30">
        <f ca="1">LOOKUP(A2784,'QALS - Inspection Lot Record'!A:A,'QALS - Inspection Lot Record'!I:I)</f>
        <v>0.42283564814814817</v>
      </c>
      <c r="L2784" s="59">
        <f t="shared" ca="1" si="218"/>
        <v>46043</v>
      </c>
      <c r="M2784" s="30">
        <f t="shared" ca="1" si="219"/>
        <v>0.44871527777777781</v>
      </c>
      <c r="N2784" s="31"/>
      <c r="O2784" s="31">
        <v>81.900000000000006</v>
      </c>
      <c r="P2784" s="29">
        <v>80</v>
      </c>
      <c r="Q2784" s="29">
        <v>90</v>
      </c>
    </row>
    <row r="2785" spans="1:17" x14ac:dyDescent="0.35">
      <c r="A2785" s="26">
        <v>40000002848</v>
      </c>
      <c r="B2785" s="31">
        <v>1</v>
      </c>
      <c r="C2785" s="29" t="str">
        <f>LOOKUP(A2785,'QALS - Inspection Lot Record'!$A$2:$A$361,'QALS - Inspection Lot Record'!$O$2:$O$361)</f>
        <v>Aspirin Tablets (500 MG)</v>
      </c>
      <c r="D2785" s="31">
        <v>80</v>
      </c>
      <c r="E2785" s="29" t="s">
        <v>407</v>
      </c>
      <c r="F2785" s="29" t="str">
        <f>LOOKUP(A2785,'QALS - Inspection Lot Record'!A:A,'QALS - Inspection Lot Record'!G:G)</f>
        <v>TG509538</v>
      </c>
      <c r="G2785" s="59">
        <f ca="1">LOOKUP(A2785,'QALS - Inspection Lot Record'!A:A,'QALS - Inspection Lot Record'!E:E)</f>
        <v>46043</v>
      </c>
      <c r="H2785" s="34" t="str">
        <f t="shared" si="220"/>
        <v>A</v>
      </c>
      <c r="I2785" s="29" t="str">
        <f t="shared" si="216"/>
        <v>TG509538</v>
      </c>
      <c r="J2785" s="59">
        <f t="shared" ca="1" si="217"/>
        <v>46043</v>
      </c>
      <c r="K2785" s="30">
        <f ca="1">LOOKUP(A2785,'QALS - Inspection Lot Record'!A:A,'QALS - Inspection Lot Record'!I:I)</f>
        <v>0.42283564814814817</v>
      </c>
      <c r="L2785" s="59">
        <f t="shared" ca="1" si="218"/>
        <v>46043</v>
      </c>
      <c r="M2785" s="30">
        <f t="shared" ca="1" si="219"/>
        <v>0.44285879629629632</v>
      </c>
      <c r="N2785" s="31"/>
      <c r="O2785" s="31">
        <v>25.5</v>
      </c>
      <c r="P2785" s="29">
        <v>23</v>
      </c>
      <c r="Q2785" s="29">
        <v>28</v>
      </c>
    </row>
    <row r="2786" spans="1:17" x14ac:dyDescent="0.35">
      <c r="A2786" s="26">
        <v>40000002849</v>
      </c>
      <c r="B2786" s="27">
        <v>1</v>
      </c>
      <c r="C2786" s="29" t="str">
        <f>LOOKUP(A2786,'QALS - Inspection Lot Record'!$A$2:$A$361,'QALS - Inspection Lot Record'!$O$2:$O$361)</f>
        <v>Metformin Tablets (100 MG)</v>
      </c>
      <c r="D2786" s="27">
        <v>10</v>
      </c>
      <c r="E2786" s="26" t="s">
        <v>399</v>
      </c>
      <c r="F2786" s="29" t="str">
        <f>LOOKUP(A2786,'QALS - Inspection Lot Record'!A:A,'QALS - Inspection Lot Record'!G:G)</f>
        <v>AB406550</v>
      </c>
      <c r="G2786" s="59">
        <f ca="1">LOOKUP(A2786,'QALS - Inspection Lot Record'!A:A,'QALS - Inspection Lot Record'!E:E)</f>
        <v>46044</v>
      </c>
      <c r="H2786" s="34" t="str">
        <f t="shared" si="220"/>
        <v>A</v>
      </c>
      <c r="I2786" s="29" t="str">
        <f t="shared" si="216"/>
        <v>AB406550</v>
      </c>
      <c r="J2786" s="59">
        <f t="shared" ca="1" si="217"/>
        <v>46044</v>
      </c>
      <c r="K2786" s="30">
        <f ca="1">LOOKUP(A2786,'QALS - Inspection Lot Record'!A:A,'QALS - Inspection Lot Record'!I:I)</f>
        <v>0.51628472222222221</v>
      </c>
      <c r="L2786" s="59">
        <f t="shared" ca="1" si="218"/>
        <v>46044</v>
      </c>
      <c r="M2786" s="30">
        <f t="shared" ca="1" si="219"/>
        <v>0.53856481481481477</v>
      </c>
      <c r="N2786" s="31"/>
      <c r="O2786" s="31">
        <v>98.5</v>
      </c>
      <c r="P2786" s="29">
        <v>95</v>
      </c>
      <c r="Q2786" s="29">
        <v>102</v>
      </c>
    </row>
    <row r="2787" spans="1:17" x14ac:dyDescent="0.35">
      <c r="A2787" s="26">
        <v>40000002849</v>
      </c>
      <c r="B2787" s="27">
        <v>1</v>
      </c>
      <c r="C2787" s="29" t="str">
        <f>LOOKUP(A2787,'QALS - Inspection Lot Record'!$A$2:$A$361,'QALS - Inspection Lot Record'!$O$2:$O$361)</f>
        <v>Metformin Tablets (100 MG)</v>
      </c>
      <c r="D2787" s="31">
        <v>20</v>
      </c>
      <c r="E2787" s="29" t="s">
        <v>400</v>
      </c>
      <c r="F2787" s="29" t="str">
        <f>LOOKUP(A2787,'QALS - Inspection Lot Record'!A:A,'QALS - Inspection Lot Record'!G:G)</f>
        <v>AB406550</v>
      </c>
      <c r="G2787" s="59">
        <f ca="1">LOOKUP(A2787,'QALS - Inspection Lot Record'!A:A,'QALS - Inspection Lot Record'!E:E)</f>
        <v>46044</v>
      </c>
      <c r="H2787" s="34" t="str">
        <f t="shared" si="220"/>
        <v>A</v>
      </c>
      <c r="I2787" s="29" t="str">
        <f t="shared" si="216"/>
        <v>AB406550</v>
      </c>
      <c r="J2787" s="59">
        <f t="shared" ca="1" si="217"/>
        <v>46044</v>
      </c>
      <c r="K2787" s="30">
        <f ca="1">LOOKUP(A2787,'QALS - Inspection Lot Record'!A:A,'QALS - Inspection Lot Record'!I:I)</f>
        <v>0.51628472222222221</v>
      </c>
      <c r="L2787" s="59">
        <f t="shared" ca="1" si="218"/>
        <v>46044</v>
      </c>
      <c r="M2787" s="30">
        <f t="shared" ca="1" si="219"/>
        <v>0.54841435185185183</v>
      </c>
      <c r="N2787" s="31"/>
      <c r="O2787" s="31">
        <v>7.25</v>
      </c>
      <c r="P2787" s="29">
        <v>3.5</v>
      </c>
      <c r="Q2787" s="29">
        <v>11</v>
      </c>
    </row>
    <row r="2788" spans="1:17" x14ac:dyDescent="0.35">
      <c r="A2788" s="26">
        <v>40000002849</v>
      </c>
      <c r="B2788" s="31">
        <v>1</v>
      </c>
      <c r="C2788" s="29" t="str">
        <f>LOOKUP(A2788,'QALS - Inspection Lot Record'!$A$2:$A$361,'QALS - Inspection Lot Record'!$O$2:$O$361)</f>
        <v>Metformin Tablets (100 MG)</v>
      </c>
      <c r="D2788" s="31">
        <v>30</v>
      </c>
      <c r="E2788" s="29" t="s">
        <v>401</v>
      </c>
      <c r="F2788" s="29" t="str">
        <f>LOOKUP(A2788,'QALS - Inspection Lot Record'!A:A,'QALS - Inspection Lot Record'!G:G)</f>
        <v>AB406550</v>
      </c>
      <c r="G2788" s="59">
        <f ca="1">LOOKUP(A2788,'QALS - Inspection Lot Record'!A:A,'QALS - Inspection Lot Record'!E:E)</f>
        <v>46044</v>
      </c>
      <c r="H2788" s="34" t="str">
        <f t="shared" si="220"/>
        <v>A</v>
      </c>
      <c r="I2788" s="29" t="str">
        <f t="shared" si="216"/>
        <v>AB406550</v>
      </c>
      <c r="J2788" s="59">
        <f t="shared" ca="1" si="217"/>
        <v>46044</v>
      </c>
      <c r="K2788" s="30">
        <f ca="1">LOOKUP(A2788,'QALS - Inspection Lot Record'!A:A,'QALS - Inspection Lot Record'!I:I)</f>
        <v>0.51628472222222221</v>
      </c>
      <c r="L2788" s="59">
        <f t="shared" ca="1" si="218"/>
        <v>46044</v>
      </c>
      <c r="M2788" s="30">
        <f t="shared" ca="1" si="219"/>
        <v>0.5495254629629629</v>
      </c>
      <c r="N2788" s="11" t="s">
        <v>402</v>
      </c>
      <c r="O2788" s="31"/>
      <c r="P2788" s="29"/>
      <c r="Q2788" s="29"/>
    </row>
    <row r="2789" spans="1:17" x14ac:dyDescent="0.35">
      <c r="A2789" s="26">
        <v>40000002849</v>
      </c>
      <c r="B2789" s="31">
        <v>1</v>
      </c>
      <c r="C2789" s="29" t="str">
        <f>LOOKUP(A2789,'QALS - Inspection Lot Record'!$A$2:$A$361,'QALS - Inspection Lot Record'!$O$2:$O$361)</f>
        <v>Metformin Tablets (100 MG)</v>
      </c>
      <c r="D2789" s="31">
        <v>40</v>
      </c>
      <c r="E2789" s="29" t="s">
        <v>403</v>
      </c>
      <c r="F2789" s="29" t="str">
        <f>LOOKUP(A2789,'QALS - Inspection Lot Record'!A:A,'QALS - Inspection Lot Record'!G:G)</f>
        <v>AB406550</v>
      </c>
      <c r="G2789" s="59">
        <f ca="1">LOOKUP(A2789,'QALS - Inspection Lot Record'!A:A,'QALS - Inspection Lot Record'!E:E)</f>
        <v>46044</v>
      </c>
      <c r="H2789" s="34" t="str">
        <f t="shared" si="220"/>
        <v>A</v>
      </c>
      <c r="I2789" s="29" t="str">
        <f t="shared" si="216"/>
        <v>AB406550</v>
      </c>
      <c r="J2789" s="59">
        <f t="shared" ca="1" si="217"/>
        <v>46044</v>
      </c>
      <c r="K2789" s="30">
        <f ca="1">LOOKUP(A2789,'QALS - Inspection Lot Record'!A:A,'QALS - Inspection Lot Record'!I:I)</f>
        <v>0.51628472222222221</v>
      </c>
      <c r="L2789" s="59">
        <f t="shared" ca="1" si="218"/>
        <v>46044</v>
      </c>
      <c r="M2789" s="30">
        <f t="shared" ca="1" si="219"/>
        <v>0.53922453703703699</v>
      </c>
      <c r="N2789" s="31"/>
      <c r="O2789" s="31">
        <v>0</v>
      </c>
      <c r="P2789" s="29">
        <v>0</v>
      </c>
      <c r="Q2789" s="29">
        <v>1</v>
      </c>
    </row>
    <row r="2790" spans="1:17" x14ac:dyDescent="0.35">
      <c r="A2790" s="26">
        <v>40000002849</v>
      </c>
      <c r="B2790" s="31">
        <v>1</v>
      </c>
      <c r="C2790" s="29" t="str">
        <f>LOOKUP(A2790,'QALS - Inspection Lot Record'!$A$2:$A$361,'QALS - Inspection Lot Record'!$O$2:$O$361)</f>
        <v>Metformin Tablets (100 MG)</v>
      </c>
      <c r="D2790" s="31">
        <v>50</v>
      </c>
      <c r="E2790" s="29" t="s">
        <v>404</v>
      </c>
      <c r="F2790" s="29" t="str">
        <f>LOOKUP(A2790,'QALS - Inspection Lot Record'!A:A,'QALS - Inspection Lot Record'!G:G)</f>
        <v>AB406550</v>
      </c>
      <c r="G2790" s="59">
        <f ca="1">LOOKUP(A2790,'QALS - Inspection Lot Record'!A:A,'QALS - Inspection Lot Record'!E:E)</f>
        <v>46044</v>
      </c>
      <c r="H2790" s="34" t="str">
        <f t="shared" si="220"/>
        <v>A</v>
      </c>
      <c r="I2790" s="29" t="str">
        <f t="shared" si="216"/>
        <v>AB406550</v>
      </c>
      <c r="J2790" s="59">
        <f t="shared" ca="1" si="217"/>
        <v>46044</v>
      </c>
      <c r="K2790" s="30">
        <f ca="1">LOOKUP(A2790,'QALS - Inspection Lot Record'!A:A,'QALS - Inspection Lot Record'!I:I)</f>
        <v>0.51628472222222221</v>
      </c>
      <c r="L2790" s="59">
        <f t="shared" ca="1" si="218"/>
        <v>46044</v>
      </c>
      <c r="M2790" s="30">
        <f t="shared" ca="1" si="219"/>
        <v>0.54312499999999997</v>
      </c>
      <c r="N2790" s="31"/>
      <c r="O2790" s="31">
        <v>50</v>
      </c>
      <c r="P2790" s="29">
        <v>40</v>
      </c>
      <c r="Q2790" s="29">
        <v>60</v>
      </c>
    </row>
    <row r="2791" spans="1:17" x14ac:dyDescent="0.35">
      <c r="A2791" s="26">
        <v>40000002849</v>
      </c>
      <c r="B2791" s="31">
        <v>1</v>
      </c>
      <c r="C2791" s="29" t="str">
        <f>LOOKUP(A2791,'QALS - Inspection Lot Record'!$A$2:$A$361,'QALS - Inspection Lot Record'!$O$2:$O$361)</f>
        <v>Metformin Tablets (100 MG)</v>
      </c>
      <c r="D2791" s="31">
        <v>60</v>
      </c>
      <c r="E2791" s="29" t="s">
        <v>405</v>
      </c>
      <c r="F2791" s="29" t="str">
        <f>LOOKUP(A2791,'QALS - Inspection Lot Record'!A:A,'QALS - Inspection Lot Record'!G:G)</f>
        <v>AB406550</v>
      </c>
      <c r="G2791" s="59">
        <f ca="1">LOOKUP(A2791,'QALS - Inspection Lot Record'!A:A,'QALS - Inspection Lot Record'!E:E)</f>
        <v>46044</v>
      </c>
      <c r="H2791" s="34" t="str">
        <f t="shared" si="220"/>
        <v>A</v>
      </c>
      <c r="I2791" s="29" t="str">
        <f t="shared" si="216"/>
        <v>AB406550</v>
      </c>
      <c r="J2791" s="59">
        <f t="shared" ca="1" si="217"/>
        <v>46044</v>
      </c>
      <c r="K2791" s="30">
        <f ca="1">LOOKUP(A2791,'QALS - Inspection Lot Record'!A:A,'QALS - Inspection Lot Record'!I:I)</f>
        <v>0.51628472222222221</v>
      </c>
      <c r="L2791" s="59">
        <f t="shared" ca="1" si="218"/>
        <v>46044</v>
      </c>
      <c r="M2791" s="30">
        <f t="shared" ca="1" si="219"/>
        <v>0.55086805555555551</v>
      </c>
      <c r="N2791" s="31"/>
      <c r="O2791" s="31">
        <v>77.5</v>
      </c>
      <c r="P2791" s="29">
        <v>70</v>
      </c>
      <c r="Q2791" s="29">
        <v>85</v>
      </c>
    </row>
    <row r="2792" spans="1:17" x14ac:dyDescent="0.35">
      <c r="A2792" s="26">
        <v>40000002849</v>
      </c>
      <c r="B2792" s="31">
        <v>1</v>
      </c>
      <c r="C2792" s="29" t="str">
        <f>LOOKUP(A2792,'QALS - Inspection Lot Record'!$A$2:$A$361,'QALS - Inspection Lot Record'!$O$2:$O$361)</f>
        <v>Metformin Tablets (100 MG)</v>
      </c>
      <c r="D2792" s="31">
        <v>70</v>
      </c>
      <c r="E2792" s="29" t="s">
        <v>406</v>
      </c>
      <c r="F2792" s="29" t="str">
        <f>LOOKUP(A2792,'QALS - Inspection Lot Record'!A:A,'QALS - Inspection Lot Record'!G:G)</f>
        <v>AB406550</v>
      </c>
      <c r="G2792" s="59">
        <f ca="1">LOOKUP(A2792,'QALS - Inspection Lot Record'!A:A,'QALS - Inspection Lot Record'!E:E)</f>
        <v>46044</v>
      </c>
      <c r="H2792" s="34" t="str">
        <f t="shared" si="220"/>
        <v>A</v>
      </c>
      <c r="I2792" s="29" t="str">
        <f t="shared" si="216"/>
        <v>AB406550</v>
      </c>
      <c r="J2792" s="59">
        <f t="shared" ca="1" si="217"/>
        <v>46044</v>
      </c>
      <c r="K2792" s="30">
        <f ca="1">LOOKUP(A2792,'QALS - Inspection Lot Record'!A:A,'QALS - Inspection Lot Record'!I:I)</f>
        <v>0.51628472222222221</v>
      </c>
      <c r="L2792" s="59">
        <f t="shared" ca="1" si="218"/>
        <v>46044</v>
      </c>
      <c r="M2792" s="30">
        <f t="shared" ca="1" si="219"/>
        <v>0.53623842592592597</v>
      </c>
      <c r="N2792" s="31"/>
      <c r="O2792" s="31">
        <v>85</v>
      </c>
      <c r="P2792" s="29">
        <v>80</v>
      </c>
      <c r="Q2792" s="29">
        <v>90</v>
      </c>
    </row>
    <row r="2793" spans="1:17" x14ac:dyDescent="0.35">
      <c r="A2793" s="26">
        <v>40000002849</v>
      </c>
      <c r="B2793" s="31">
        <v>1</v>
      </c>
      <c r="C2793" s="29" t="str">
        <f>LOOKUP(A2793,'QALS - Inspection Lot Record'!$A$2:$A$361,'QALS - Inspection Lot Record'!$O$2:$O$361)</f>
        <v>Metformin Tablets (100 MG)</v>
      </c>
      <c r="D2793" s="31">
        <v>80</v>
      </c>
      <c r="E2793" s="29" t="s">
        <v>407</v>
      </c>
      <c r="F2793" s="29" t="str">
        <f>LOOKUP(A2793,'QALS - Inspection Lot Record'!A:A,'QALS - Inspection Lot Record'!G:G)</f>
        <v>AB406550</v>
      </c>
      <c r="G2793" s="59">
        <f ca="1">LOOKUP(A2793,'QALS - Inspection Lot Record'!A:A,'QALS - Inspection Lot Record'!E:E)</f>
        <v>46044</v>
      </c>
      <c r="H2793" s="34" t="str">
        <f t="shared" si="220"/>
        <v>A</v>
      </c>
      <c r="I2793" s="29" t="str">
        <f t="shared" si="216"/>
        <v>AB406550</v>
      </c>
      <c r="J2793" s="59">
        <f t="shared" ca="1" si="217"/>
        <v>46044</v>
      </c>
      <c r="K2793" s="30">
        <f ca="1">LOOKUP(A2793,'QALS - Inspection Lot Record'!A:A,'QALS - Inspection Lot Record'!I:I)</f>
        <v>0.51628472222222221</v>
      </c>
      <c r="L2793" s="59">
        <f t="shared" ca="1" si="218"/>
        <v>46044</v>
      </c>
      <c r="M2793" s="30">
        <f t="shared" ca="1" si="219"/>
        <v>0.54561342592592588</v>
      </c>
      <c r="N2793" s="31"/>
      <c r="O2793" s="31">
        <v>24</v>
      </c>
      <c r="P2793" s="29">
        <v>23</v>
      </c>
      <c r="Q2793" s="29">
        <v>25</v>
      </c>
    </row>
    <row r="2794" spans="1:17" x14ac:dyDescent="0.35">
      <c r="A2794" s="26">
        <v>40000002850</v>
      </c>
      <c r="B2794" s="27">
        <v>1</v>
      </c>
      <c r="C2794" s="29" t="str">
        <f>LOOKUP(A2794,'QALS - Inspection Lot Record'!$A$2:$A$361,'QALS - Inspection Lot Record'!$O$2:$O$361)</f>
        <v>Metformin Tablets (500 MG)</v>
      </c>
      <c r="D2794" s="27">
        <v>10</v>
      </c>
      <c r="E2794" s="26" t="s">
        <v>399</v>
      </c>
      <c r="F2794" s="29" t="str">
        <f>LOOKUP(A2794,'QALS - Inspection Lot Record'!A:A,'QALS - Inspection Lot Record'!G:G)</f>
        <v>YA284176</v>
      </c>
      <c r="G2794" s="59">
        <f ca="1">LOOKUP(A2794,'QALS - Inspection Lot Record'!A:A,'QALS - Inspection Lot Record'!E:E)</f>
        <v>46044</v>
      </c>
      <c r="H2794" s="34" t="str">
        <f t="shared" si="220"/>
        <v>A</v>
      </c>
      <c r="I2794" s="29" t="str">
        <f t="shared" si="216"/>
        <v>YA284176</v>
      </c>
      <c r="J2794" s="59">
        <f t="shared" ca="1" si="217"/>
        <v>46044</v>
      </c>
      <c r="K2794" s="30">
        <f ca="1">LOOKUP(A2794,'QALS - Inspection Lot Record'!A:A,'QALS - Inspection Lot Record'!I:I)</f>
        <v>0.30775462962962963</v>
      </c>
      <c r="L2794" s="59">
        <f t="shared" ca="1" si="218"/>
        <v>46044</v>
      </c>
      <c r="M2794" s="30">
        <f t="shared" ca="1" si="219"/>
        <v>0.33528935185185182</v>
      </c>
      <c r="N2794" s="31"/>
      <c r="O2794" s="31">
        <v>100</v>
      </c>
      <c r="P2794" s="29">
        <v>95</v>
      </c>
      <c r="Q2794" s="29">
        <v>105</v>
      </c>
    </row>
    <row r="2795" spans="1:17" x14ac:dyDescent="0.35">
      <c r="A2795" s="26">
        <v>40000002850</v>
      </c>
      <c r="B2795" s="27">
        <v>1</v>
      </c>
      <c r="C2795" s="29" t="str">
        <f>LOOKUP(A2795,'QALS - Inspection Lot Record'!$A$2:$A$361,'QALS - Inspection Lot Record'!$O$2:$O$361)</f>
        <v>Metformin Tablets (500 MG)</v>
      </c>
      <c r="D2795" s="31">
        <v>20</v>
      </c>
      <c r="E2795" s="29" t="s">
        <v>400</v>
      </c>
      <c r="F2795" s="29" t="str">
        <f>LOOKUP(A2795,'QALS - Inspection Lot Record'!A:A,'QALS - Inspection Lot Record'!G:G)</f>
        <v>YA284176</v>
      </c>
      <c r="G2795" s="59">
        <f ca="1">LOOKUP(A2795,'QALS - Inspection Lot Record'!A:A,'QALS - Inspection Lot Record'!E:E)</f>
        <v>46044</v>
      </c>
      <c r="H2795" s="34" t="str">
        <f t="shared" si="220"/>
        <v>A</v>
      </c>
      <c r="I2795" s="29" t="str">
        <f t="shared" si="216"/>
        <v>YA284176</v>
      </c>
      <c r="J2795" s="59">
        <f t="shared" ca="1" si="217"/>
        <v>46044</v>
      </c>
      <c r="K2795" s="30">
        <f ca="1">LOOKUP(A2795,'QALS - Inspection Lot Record'!A:A,'QALS - Inspection Lot Record'!I:I)</f>
        <v>0.30775462962962963</v>
      </c>
      <c r="L2795" s="59">
        <f t="shared" ca="1" si="218"/>
        <v>46044</v>
      </c>
      <c r="M2795" s="30">
        <f t="shared" ca="1" si="219"/>
        <v>0.32840277777777777</v>
      </c>
      <c r="N2795" s="31"/>
      <c r="O2795" s="31">
        <v>7.25</v>
      </c>
      <c r="P2795" s="29">
        <v>3.5</v>
      </c>
      <c r="Q2795" s="29">
        <v>11</v>
      </c>
    </row>
    <row r="2796" spans="1:17" x14ac:dyDescent="0.35">
      <c r="A2796" s="26">
        <v>40000002850</v>
      </c>
      <c r="B2796" s="31">
        <v>1</v>
      </c>
      <c r="C2796" s="29" t="str">
        <f>LOOKUP(A2796,'QALS - Inspection Lot Record'!$A$2:$A$361,'QALS - Inspection Lot Record'!$O$2:$O$361)</f>
        <v>Metformin Tablets (500 MG)</v>
      </c>
      <c r="D2796" s="31">
        <v>30</v>
      </c>
      <c r="E2796" s="29" t="s">
        <v>401</v>
      </c>
      <c r="F2796" s="29" t="str">
        <f>LOOKUP(A2796,'QALS - Inspection Lot Record'!A:A,'QALS - Inspection Lot Record'!G:G)</f>
        <v>YA284176</v>
      </c>
      <c r="G2796" s="59">
        <f ca="1">LOOKUP(A2796,'QALS - Inspection Lot Record'!A:A,'QALS - Inspection Lot Record'!E:E)</f>
        <v>46044</v>
      </c>
      <c r="H2796" s="34" t="str">
        <f t="shared" si="220"/>
        <v>A</v>
      </c>
      <c r="I2796" s="29" t="str">
        <f t="shared" si="216"/>
        <v>YA284176</v>
      </c>
      <c r="J2796" s="59">
        <f t="shared" ca="1" si="217"/>
        <v>46044</v>
      </c>
      <c r="K2796" s="30">
        <f ca="1">LOOKUP(A2796,'QALS - Inspection Lot Record'!A:A,'QALS - Inspection Lot Record'!I:I)</f>
        <v>0.30775462962962963</v>
      </c>
      <c r="L2796" s="59">
        <f t="shared" ca="1" si="218"/>
        <v>46044</v>
      </c>
      <c r="M2796" s="30">
        <f t="shared" ca="1" si="219"/>
        <v>0.33252314814814815</v>
      </c>
      <c r="N2796" s="11" t="s">
        <v>402</v>
      </c>
      <c r="O2796" s="31"/>
      <c r="P2796" s="29"/>
      <c r="Q2796" s="29"/>
    </row>
    <row r="2797" spans="1:17" x14ac:dyDescent="0.35">
      <c r="A2797" s="26">
        <v>40000002850</v>
      </c>
      <c r="B2797" s="31">
        <v>1</v>
      </c>
      <c r="C2797" s="29" t="str">
        <f>LOOKUP(A2797,'QALS - Inspection Lot Record'!$A$2:$A$361,'QALS - Inspection Lot Record'!$O$2:$O$361)</f>
        <v>Metformin Tablets (500 MG)</v>
      </c>
      <c r="D2797" s="31">
        <v>40</v>
      </c>
      <c r="E2797" s="29" t="s">
        <v>403</v>
      </c>
      <c r="F2797" s="29" t="str">
        <f>LOOKUP(A2797,'QALS - Inspection Lot Record'!A:A,'QALS - Inspection Lot Record'!G:G)</f>
        <v>YA284176</v>
      </c>
      <c r="G2797" s="59">
        <f ca="1">LOOKUP(A2797,'QALS - Inspection Lot Record'!A:A,'QALS - Inspection Lot Record'!E:E)</f>
        <v>46044</v>
      </c>
      <c r="H2797" s="34" t="str">
        <f t="shared" si="220"/>
        <v>A</v>
      </c>
      <c r="I2797" s="29" t="str">
        <f t="shared" si="216"/>
        <v>YA284176</v>
      </c>
      <c r="J2797" s="59">
        <f t="shared" ca="1" si="217"/>
        <v>46044</v>
      </c>
      <c r="K2797" s="30">
        <f ca="1">LOOKUP(A2797,'QALS - Inspection Lot Record'!A:A,'QALS - Inspection Lot Record'!I:I)</f>
        <v>0.30775462962962963</v>
      </c>
      <c r="L2797" s="59">
        <f t="shared" ca="1" si="218"/>
        <v>46044</v>
      </c>
      <c r="M2797" s="30">
        <f t="shared" ca="1" si="219"/>
        <v>0.3364699074074074</v>
      </c>
      <c r="N2797" s="31"/>
      <c r="O2797" s="31">
        <v>0</v>
      </c>
      <c r="P2797" s="29">
        <v>0</v>
      </c>
      <c r="Q2797" s="29">
        <v>2</v>
      </c>
    </row>
    <row r="2798" spans="1:17" x14ac:dyDescent="0.35">
      <c r="A2798" s="26">
        <v>40000002850</v>
      </c>
      <c r="B2798" s="31">
        <v>1</v>
      </c>
      <c r="C2798" s="29" t="str">
        <f>LOOKUP(A2798,'QALS - Inspection Lot Record'!$A$2:$A$361,'QALS - Inspection Lot Record'!$O$2:$O$361)</f>
        <v>Metformin Tablets (500 MG)</v>
      </c>
      <c r="D2798" s="31">
        <v>50</v>
      </c>
      <c r="E2798" s="29" t="s">
        <v>404</v>
      </c>
      <c r="F2798" s="29" t="str">
        <f>LOOKUP(A2798,'QALS - Inspection Lot Record'!A:A,'QALS - Inspection Lot Record'!G:G)</f>
        <v>YA284176</v>
      </c>
      <c r="G2798" s="59">
        <f ca="1">LOOKUP(A2798,'QALS - Inspection Lot Record'!A:A,'QALS - Inspection Lot Record'!E:E)</f>
        <v>46044</v>
      </c>
      <c r="H2798" s="34" t="str">
        <f t="shared" si="220"/>
        <v>A</v>
      </c>
      <c r="I2798" s="29" t="str">
        <f t="shared" si="216"/>
        <v>YA284176</v>
      </c>
      <c r="J2798" s="59">
        <f t="shared" ca="1" si="217"/>
        <v>46044</v>
      </c>
      <c r="K2798" s="30">
        <f ca="1">LOOKUP(A2798,'QALS - Inspection Lot Record'!A:A,'QALS - Inspection Lot Record'!I:I)</f>
        <v>0.30775462962962963</v>
      </c>
      <c r="L2798" s="59">
        <f t="shared" ca="1" si="218"/>
        <v>46044</v>
      </c>
      <c r="M2798" s="30">
        <f t="shared" ca="1" si="219"/>
        <v>0.32931712962962961</v>
      </c>
      <c r="N2798" s="31"/>
      <c r="O2798" s="31">
        <v>50</v>
      </c>
      <c r="P2798" s="29">
        <v>40</v>
      </c>
      <c r="Q2798" s="29">
        <v>60</v>
      </c>
    </row>
    <row r="2799" spans="1:17" x14ac:dyDescent="0.35">
      <c r="A2799" s="26">
        <v>40000002850</v>
      </c>
      <c r="B2799" s="31">
        <v>1</v>
      </c>
      <c r="C2799" s="29" t="str">
        <f>LOOKUP(A2799,'QALS - Inspection Lot Record'!$A$2:$A$361,'QALS - Inspection Lot Record'!$O$2:$O$361)</f>
        <v>Metformin Tablets (500 MG)</v>
      </c>
      <c r="D2799" s="31">
        <v>60</v>
      </c>
      <c r="E2799" s="29" t="s">
        <v>405</v>
      </c>
      <c r="F2799" s="29" t="str">
        <f>LOOKUP(A2799,'QALS - Inspection Lot Record'!A:A,'QALS - Inspection Lot Record'!G:G)</f>
        <v>YA284176</v>
      </c>
      <c r="G2799" s="59">
        <f ca="1">LOOKUP(A2799,'QALS - Inspection Lot Record'!A:A,'QALS - Inspection Lot Record'!E:E)</f>
        <v>46044</v>
      </c>
      <c r="H2799" s="34" t="str">
        <f t="shared" si="220"/>
        <v>A</v>
      </c>
      <c r="I2799" s="29" t="str">
        <f t="shared" si="216"/>
        <v>YA284176</v>
      </c>
      <c r="J2799" s="59">
        <f t="shared" ca="1" si="217"/>
        <v>46044</v>
      </c>
      <c r="K2799" s="30">
        <f ca="1">LOOKUP(A2799,'QALS - Inspection Lot Record'!A:A,'QALS - Inspection Lot Record'!I:I)</f>
        <v>0.30775462962962963</v>
      </c>
      <c r="L2799" s="59">
        <f t="shared" ca="1" si="218"/>
        <v>46044</v>
      </c>
      <c r="M2799" s="30">
        <f t="shared" ca="1" si="219"/>
        <v>0.32670138888888889</v>
      </c>
      <c r="N2799" s="31"/>
      <c r="O2799" s="31">
        <v>77.5</v>
      </c>
      <c r="P2799" s="29">
        <v>70</v>
      </c>
      <c r="Q2799" s="29">
        <v>85</v>
      </c>
    </row>
    <row r="2800" spans="1:17" x14ac:dyDescent="0.35">
      <c r="A2800" s="26">
        <v>40000002850</v>
      </c>
      <c r="B2800" s="31">
        <v>1</v>
      </c>
      <c r="C2800" s="29" t="str">
        <f>LOOKUP(A2800,'QALS - Inspection Lot Record'!$A$2:$A$361,'QALS - Inspection Lot Record'!$O$2:$O$361)</f>
        <v>Metformin Tablets (500 MG)</v>
      </c>
      <c r="D2800" s="31">
        <v>70</v>
      </c>
      <c r="E2800" s="29" t="s">
        <v>406</v>
      </c>
      <c r="F2800" s="29" t="str">
        <f>LOOKUP(A2800,'QALS - Inspection Lot Record'!A:A,'QALS - Inspection Lot Record'!G:G)</f>
        <v>YA284176</v>
      </c>
      <c r="G2800" s="59">
        <f ca="1">LOOKUP(A2800,'QALS - Inspection Lot Record'!A:A,'QALS - Inspection Lot Record'!E:E)</f>
        <v>46044</v>
      </c>
      <c r="H2800" s="34" t="str">
        <f t="shared" si="220"/>
        <v>A</v>
      </c>
      <c r="I2800" s="29" t="str">
        <f t="shared" si="216"/>
        <v>YA284176</v>
      </c>
      <c r="J2800" s="59">
        <f t="shared" ca="1" si="217"/>
        <v>46044</v>
      </c>
      <c r="K2800" s="30">
        <f ca="1">LOOKUP(A2800,'QALS - Inspection Lot Record'!A:A,'QALS - Inspection Lot Record'!I:I)</f>
        <v>0.30775462962962963</v>
      </c>
      <c r="L2800" s="59">
        <f t="shared" ca="1" si="218"/>
        <v>46044</v>
      </c>
      <c r="M2800" s="30">
        <f t="shared" ca="1" si="219"/>
        <v>0.33853009259259259</v>
      </c>
      <c r="N2800" s="31"/>
      <c r="O2800" s="31">
        <v>85</v>
      </c>
      <c r="P2800" s="29">
        <v>80</v>
      </c>
      <c r="Q2800" s="29">
        <v>90</v>
      </c>
    </row>
    <row r="2801" spans="1:17" x14ac:dyDescent="0.35">
      <c r="A2801" s="26">
        <v>40000002850</v>
      </c>
      <c r="B2801" s="31">
        <v>1</v>
      </c>
      <c r="C2801" s="29" t="str">
        <f>LOOKUP(A2801,'QALS - Inspection Lot Record'!$A$2:$A$361,'QALS - Inspection Lot Record'!$O$2:$O$361)</f>
        <v>Metformin Tablets (500 MG)</v>
      </c>
      <c r="D2801" s="31">
        <v>80</v>
      </c>
      <c r="E2801" s="29" t="s">
        <v>407</v>
      </c>
      <c r="F2801" s="29" t="str">
        <f>LOOKUP(A2801,'QALS - Inspection Lot Record'!A:A,'QALS - Inspection Lot Record'!G:G)</f>
        <v>YA284176</v>
      </c>
      <c r="G2801" s="59">
        <f ca="1">LOOKUP(A2801,'QALS - Inspection Lot Record'!A:A,'QALS - Inspection Lot Record'!E:E)</f>
        <v>46044</v>
      </c>
      <c r="H2801" s="34" t="str">
        <f t="shared" si="220"/>
        <v>A</v>
      </c>
      <c r="I2801" s="29" t="str">
        <f t="shared" si="216"/>
        <v>YA284176</v>
      </c>
      <c r="J2801" s="59">
        <f t="shared" ca="1" si="217"/>
        <v>46044</v>
      </c>
      <c r="K2801" s="30">
        <f ca="1">LOOKUP(A2801,'QALS - Inspection Lot Record'!A:A,'QALS - Inspection Lot Record'!I:I)</f>
        <v>0.30775462962962963</v>
      </c>
      <c r="L2801" s="59">
        <f t="shared" ca="1" si="218"/>
        <v>46044</v>
      </c>
      <c r="M2801" s="30">
        <f t="shared" ca="1" si="219"/>
        <v>0.32516203703703705</v>
      </c>
      <c r="N2801" s="31"/>
      <c r="O2801" s="31">
        <v>25.5</v>
      </c>
      <c r="P2801" s="29">
        <v>23</v>
      </c>
      <c r="Q2801" s="29">
        <v>28</v>
      </c>
    </row>
    <row r="2802" spans="1:17" x14ac:dyDescent="0.35">
      <c r="A2802" s="26">
        <v>40000002851</v>
      </c>
      <c r="B2802" s="27">
        <v>1</v>
      </c>
      <c r="C2802" s="29" t="str">
        <f>LOOKUP(A2802,'QALS - Inspection Lot Record'!$A$2:$A$361,'QALS - Inspection Lot Record'!$O$2:$O$361)</f>
        <v>Ibuprofen Tablets (100 MG)</v>
      </c>
      <c r="D2802" s="27">
        <v>10</v>
      </c>
      <c r="E2802" s="26" t="s">
        <v>399</v>
      </c>
      <c r="F2802" s="29" t="str">
        <f>LOOKUP(A2802,'QALS - Inspection Lot Record'!A:A,'QALS - Inspection Lot Record'!G:G)</f>
        <v>ZK384180</v>
      </c>
      <c r="G2802" s="59">
        <f ca="1">LOOKUP(A2802,'QALS - Inspection Lot Record'!A:A,'QALS - Inspection Lot Record'!E:E)</f>
        <v>46045</v>
      </c>
      <c r="H2802" s="34" t="str">
        <f t="shared" si="220"/>
        <v>A</v>
      </c>
      <c r="I2802" s="29" t="str">
        <f t="shared" si="216"/>
        <v>ZK384180</v>
      </c>
      <c r="J2802" s="59">
        <f t="shared" ca="1" si="217"/>
        <v>46045</v>
      </c>
      <c r="K2802" s="30">
        <f ca="1">LOOKUP(A2802,'QALS - Inspection Lot Record'!A:A,'QALS - Inspection Lot Record'!I:I)</f>
        <v>0.79249999999999998</v>
      </c>
      <c r="L2802" s="59">
        <f t="shared" ca="1" si="218"/>
        <v>46045</v>
      </c>
      <c r="M2802" s="30">
        <f t="shared" ca="1" si="219"/>
        <v>0.82127314814814811</v>
      </c>
      <c r="N2802" s="31"/>
      <c r="O2802" s="31">
        <v>98.5</v>
      </c>
      <c r="P2802" s="29">
        <v>95</v>
      </c>
      <c r="Q2802" s="29">
        <v>102</v>
      </c>
    </row>
    <row r="2803" spans="1:17" x14ac:dyDescent="0.35">
      <c r="A2803" s="26">
        <v>40000002851</v>
      </c>
      <c r="B2803" s="27">
        <v>1</v>
      </c>
      <c r="C2803" s="29" t="str">
        <f>LOOKUP(A2803,'QALS - Inspection Lot Record'!$A$2:$A$361,'QALS - Inspection Lot Record'!$O$2:$O$361)</f>
        <v>Ibuprofen Tablets (100 MG)</v>
      </c>
      <c r="D2803" s="31">
        <v>20</v>
      </c>
      <c r="E2803" s="29" t="s">
        <v>400</v>
      </c>
      <c r="F2803" s="29" t="str">
        <f>LOOKUP(A2803,'QALS - Inspection Lot Record'!A:A,'QALS - Inspection Lot Record'!G:G)</f>
        <v>ZK384180</v>
      </c>
      <c r="G2803" s="59">
        <f ca="1">LOOKUP(A2803,'QALS - Inspection Lot Record'!A:A,'QALS - Inspection Lot Record'!E:E)</f>
        <v>46045</v>
      </c>
      <c r="H2803" s="34" t="str">
        <f t="shared" si="220"/>
        <v>A</v>
      </c>
      <c r="I2803" s="29" t="str">
        <f t="shared" si="216"/>
        <v>ZK384180</v>
      </c>
      <c r="J2803" s="59">
        <f t="shared" ca="1" si="217"/>
        <v>46045</v>
      </c>
      <c r="K2803" s="30">
        <f ca="1">LOOKUP(A2803,'QALS - Inspection Lot Record'!A:A,'QALS - Inspection Lot Record'!I:I)</f>
        <v>0.79249999999999998</v>
      </c>
      <c r="L2803" s="59">
        <f t="shared" ca="1" si="218"/>
        <v>46045</v>
      </c>
      <c r="M2803" s="30">
        <f t="shared" ca="1" si="219"/>
        <v>0.81420138888888882</v>
      </c>
      <c r="N2803" s="31"/>
      <c r="O2803" s="31">
        <v>7.3</v>
      </c>
      <c r="P2803" s="29">
        <v>3.5</v>
      </c>
      <c r="Q2803" s="29">
        <v>11</v>
      </c>
    </row>
    <row r="2804" spans="1:17" x14ac:dyDescent="0.35">
      <c r="A2804" s="26">
        <v>40000002851</v>
      </c>
      <c r="B2804" s="31">
        <v>1</v>
      </c>
      <c r="C2804" s="29" t="str">
        <f>LOOKUP(A2804,'QALS - Inspection Lot Record'!$A$2:$A$361,'QALS - Inspection Lot Record'!$O$2:$O$361)</f>
        <v>Ibuprofen Tablets (100 MG)</v>
      </c>
      <c r="D2804" s="31">
        <v>30</v>
      </c>
      <c r="E2804" s="29" t="s">
        <v>401</v>
      </c>
      <c r="F2804" s="29" t="str">
        <f>LOOKUP(A2804,'QALS - Inspection Lot Record'!A:A,'QALS - Inspection Lot Record'!G:G)</f>
        <v>ZK384180</v>
      </c>
      <c r="G2804" s="59">
        <f ca="1">LOOKUP(A2804,'QALS - Inspection Lot Record'!A:A,'QALS - Inspection Lot Record'!E:E)</f>
        <v>46045</v>
      </c>
      <c r="H2804" s="34" t="str">
        <f t="shared" si="220"/>
        <v>A</v>
      </c>
      <c r="I2804" s="29" t="str">
        <f t="shared" si="216"/>
        <v>ZK384180</v>
      </c>
      <c r="J2804" s="59">
        <f t="shared" ca="1" si="217"/>
        <v>46045</v>
      </c>
      <c r="K2804" s="30">
        <f ca="1">LOOKUP(A2804,'QALS - Inspection Lot Record'!A:A,'QALS - Inspection Lot Record'!I:I)</f>
        <v>0.79249999999999998</v>
      </c>
      <c r="L2804" s="59">
        <f t="shared" ca="1" si="218"/>
        <v>46045</v>
      </c>
      <c r="M2804" s="30">
        <f t="shared" ca="1" si="219"/>
        <v>0.82646990740740733</v>
      </c>
      <c r="N2804" s="11" t="s">
        <v>402</v>
      </c>
      <c r="O2804" s="31"/>
      <c r="P2804" s="29"/>
      <c r="Q2804" s="29"/>
    </row>
    <row r="2805" spans="1:17" x14ac:dyDescent="0.35">
      <c r="A2805" s="26">
        <v>40000002851</v>
      </c>
      <c r="B2805" s="31">
        <v>1</v>
      </c>
      <c r="C2805" s="29" t="str">
        <f>LOOKUP(A2805,'QALS - Inspection Lot Record'!$A$2:$A$361,'QALS - Inspection Lot Record'!$O$2:$O$361)</f>
        <v>Ibuprofen Tablets (100 MG)</v>
      </c>
      <c r="D2805" s="31">
        <v>40</v>
      </c>
      <c r="E2805" s="29" t="s">
        <v>403</v>
      </c>
      <c r="F2805" s="29" t="str">
        <f>LOOKUP(A2805,'QALS - Inspection Lot Record'!A:A,'QALS - Inspection Lot Record'!G:G)</f>
        <v>ZK384180</v>
      </c>
      <c r="G2805" s="59">
        <f ca="1">LOOKUP(A2805,'QALS - Inspection Lot Record'!A:A,'QALS - Inspection Lot Record'!E:E)</f>
        <v>46045</v>
      </c>
      <c r="H2805" s="34" t="str">
        <f t="shared" si="220"/>
        <v>A</v>
      </c>
      <c r="I2805" s="29" t="str">
        <f t="shared" si="216"/>
        <v>ZK384180</v>
      </c>
      <c r="J2805" s="59">
        <f t="shared" ca="1" si="217"/>
        <v>46045</v>
      </c>
      <c r="K2805" s="30">
        <f ca="1">LOOKUP(A2805,'QALS - Inspection Lot Record'!A:A,'QALS - Inspection Lot Record'!I:I)</f>
        <v>0.79249999999999998</v>
      </c>
      <c r="L2805" s="59">
        <f t="shared" ca="1" si="218"/>
        <v>46045</v>
      </c>
      <c r="M2805" s="30">
        <f t="shared" ca="1" si="219"/>
        <v>0.82730324074074069</v>
      </c>
      <c r="N2805" s="31"/>
      <c r="O2805" s="31">
        <v>0.5</v>
      </c>
      <c r="P2805" s="29">
        <v>0</v>
      </c>
      <c r="Q2805" s="29">
        <v>1</v>
      </c>
    </row>
    <row r="2806" spans="1:17" x14ac:dyDescent="0.35">
      <c r="A2806" s="26">
        <v>40000002851</v>
      </c>
      <c r="B2806" s="31">
        <v>1</v>
      </c>
      <c r="C2806" s="29" t="str">
        <f>LOOKUP(A2806,'QALS - Inspection Lot Record'!$A$2:$A$361,'QALS - Inspection Lot Record'!$O$2:$O$361)</f>
        <v>Ibuprofen Tablets (100 MG)</v>
      </c>
      <c r="D2806" s="31">
        <v>50</v>
      </c>
      <c r="E2806" s="29" t="s">
        <v>404</v>
      </c>
      <c r="F2806" s="29" t="str">
        <f>LOOKUP(A2806,'QALS - Inspection Lot Record'!A:A,'QALS - Inspection Lot Record'!G:G)</f>
        <v>ZK384180</v>
      </c>
      <c r="G2806" s="59">
        <f ca="1">LOOKUP(A2806,'QALS - Inspection Lot Record'!A:A,'QALS - Inspection Lot Record'!E:E)</f>
        <v>46045</v>
      </c>
      <c r="H2806" s="34" t="str">
        <f t="shared" si="220"/>
        <v>A</v>
      </c>
      <c r="I2806" s="29" t="str">
        <f t="shared" si="216"/>
        <v>ZK384180</v>
      </c>
      <c r="J2806" s="59">
        <f t="shared" ca="1" si="217"/>
        <v>46045</v>
      </c>
      <c r="K2806" s="30">
        <f ca="1">LOOKUP(A2806,'QALS - Inspection Lot Record'!A:A,'QALS - Inspection Lot Record'!I:I)</f>
        <v>0.79249999999999998</v>
      </c>
      <c r="L2806" s="59">
        <f t="shared" ca="1" si="218"/>
        <v>46045</v>
      </c>
      <c r="M2806" s="30">
        <f t="shared" ca="1" si="219"/>
        <v>0.82143518518518521</v>
      </c>
      <c r="N2806" s="31"/>
      <c r="O2806" s="31">
        <v>41.5</v>
      </c>
      <c r="P2806" s="29">
        <v>40</v>
      </c>
      <c r="Q2806" s="29">
        <v>60</v>
      </c>
    </row>
    <row r="2807" spans="1:17" x14ac:dyDescent="0.35">
      <c r="A2807" s="26">
        <v>40000002851</v>
      </c>
      <c r="B2807" s="31">
        <v>1</v>
      </c>
      <c r="C2807" s="29" t="str">
        <f>LOOKUP(A2807,'QALS - Inspection Lot Record'!$A$2:$A$361,'QALS - Inspection Lot Record'!$O$2:$O$361)</f>
        <v>Ibuprofen Tablets (100 MG)</v>
      </c>
      <c r="D2807" s="31">
        <v>60</v>
      </c>
      <c r="E2807" s="29" t="s">
        <v>405</v>
      </c>
      <c r="F2807" s="29" t="str">
        <f>LOOKUP(A2807,'QALS - Inspection Lot Record'!A:A,'QALS - Inspection Lot Record'!G:G)</f>
        <v>ZK384180</v>
      </c>
      <c r="G2807" s="59">
        <f ca="1">LOOKUP(A2807,'QALS - Inspection Lot Record'!A:A,'QALS - Inspection Lot Record'!E:E)</f>
        <v>46045</v>
      </c>
      <c r="H2807" s="34" t="str">
        <f t="shared" si="220"/>
        <v>A</v>
      </c>
      <c r="I2807" s="29" t="str">
        <f t="shared" si="216"/>
        <v>ZK384180</v>
      </c>
      <c r="J2807" s="59">
        <f t="shared" ca="1" si="217"/>
        <v>46045</v>
      </c>
      <c r="K2807" s="30">
        <f ca="1">LOOKUP(A2807,'QALS - Inspection Lot Record'!A:A,'QALS - Inspection Lot Record'!I:I)</f>
        <v>0.79249999999999998</v>
      </c>
      <c r="L2807" s="59">
        <f t="shared" ca="1" si="218"/>
        <v>46045</v>
      </c>
      <c r="M2807" s="30">
        <f t="shared" ca="1" si="219"/>
        <v>0.82273148148148145</v>
      </c>
      <c r="N2807" s="31"/>
      <c r="O2807" s="31">
        <v>71</v>
      </c>
      <c r="P2807" s="29">
        <v>70</v>
      </c>
      <c r="Q2807" s="29">
        <v>85</v>
      </c>
    </row>
    <row r="2808" spans="1:17" x14ac:dyDescent="0.35">
      <c r="A2808" s="26">
        <v>40000002851</v>
      </c>
      <c r="B2808" s="31">
        <v>1</v>
      </c>
      <c r="C2808" s="29" t="str">
        <f>LOOKUP(A2808,'QALS - Inspection Lot Record'!$A$2:$A$361,'QALS - Inspection Lot Record'!$O$2:$O$361)</f>
        <v>Ibuprofen Tablets (100 MG)</v>
      </c>
      <c r="D2808" s="31">
        <v>70</v>
      </c>
      <c r="E2808" s="29" t="s">
        <v>406</v>
      </c>
      <c r="F2808" s="29" t="str">
        <f>LOOKUP(A2808,'QALS - Inspection Lot Record'!A:A,'QALS - Inspection Lot Record'!G:G)</f>
        <v>ZK384180</v>
      </c>
      <c r="G2808" s="59">
        <f ca="1">LOOKUP(A2808,'QALS - Inspection Lot Record'!A:A,'QALS - Inspection Lot Record'!E:E)</f>
        <v>46045</v>
      </c>
      <c r="H2808" s="34" t="str">
        <f t="shared" si="220"/>
        <v>A</v>
      </c>
      <c r="I2808" s="29" t="str">
        <f t="shared" si="216"/>
        <v>ZK384180</v>
      </c>
      <c r="J2808" s="59">
        <f t="shared" ca="1" si="217"/>
        <v>46045</v>
      </c>
      <c r="K2808" s="30">
        <f ca="1">LOOKUP(A2808,'QALS - Inspection Lot Record'!A:A,'QALS - Inspection Lot Record'!I:I)</f>
        <v>0.79249999999999998</v>
      </c>
      <c r="L2808" s="59">
        <f t="shared" ca="1" si="218"/>
        <v>46045</v>
      </c>
      <c r="M2808" s="30">
        <f t="shared" ca="1" si="219"/>
        <v>0.82763888888888881</v>
      </c>
      <c r="N2808" s="31"/>
      <c r="O2808" s="31">
        <v>82</v>
      </c>
      <c r="P2808" s="29">
        <v>80</v>
      </c>
      <c r="Q2808" s="29">
        <v>90</v>
      </c>
    </row>
    <row r="2809" spans="1:17" x14ac:dyDescent="0.35">
      <c r="A2809" s="26">
        <v>40000002851</v>
      </c>
      <c r="B2809" s="31">
        <v>1</v>
      </c>
      <c r="C2809" s="29" t="str">
        <f>LOOKUP(A2809,'QALS - Inspection Lot Record'!$A$2:$A$361,'QALS - Inspection Lot Record'!$O$2:$O$361)</f>
        <v>Ibuprofen Tablets (100 MG)</v>
      </c>
      <c r="D2809" s="31">
        <v>80</v>
      </c>
      <c r="E2809" s="29" t="s">
        <v>407</v>
      </c>
      <c r="F2809" s="29" t="str">
        <f>LOOKUP(A2809,'QALS - Inspection Lot Record'!A:A,'QALS - Inspection Lot Record'!G:G)</f>
        <v>ZK384180</v>
      </c>
      <c r="G2809" s="59">
        <f ca="1">LOOKUP(A2809,'QALS - Inspection Lot Record'!A:A,'QALS - Inspection Lot Record'!E:E)</f>
        <v>46045</v>
      </c>
      <c r="H2809" s="34" t="str">
        <f t="shared" si="220"/>
        <v>A</v>
      </c>
      <c r="I2809" s="29" t="str">
        <f t="shared" si="216"/>
        <v>ZK384180</v>
      </c>
      <c r="J2809" s="59">
        <f t="shared" ca="1" si="217"/>
        <v>46045</v>
      </c>
      <c r="K2809" s="30">
        <f ca="1">LOOKUP(A2809,'QALS - Inspection Lot Record'!A:A,'QALS - Inspection Lot Record'!I:I)</f>
        <v>0.79249999999999998</v>
      </c>
      <c r="L2809" s="59">
        <f t="shared" ca="1" si="218"/>
        <v>46045</v>
      </c>
      <c r="M2809" s="30">
        <f t="shared" ca="1" si="219"/>
        <v>0.81950231481481484</v>
      </c>
      <c r="N2809" s="31"/>
      <c r="O2809" s="31">
        <v>24</v>
      </c>
      <c r="P2809" s="29">
        <v>23</v>
      </c>
      <c r="Q2809" s="29">
        <v>25</v>
      </c>
    </row>
    <row r="2810" spans="1:17" x14ac:dyDescent="0.35">
      <c r="A2810" s="26">
        <v>40000002852</v>
      </c>
      <c r="B2810" s="27">
        <v>1</v>
      </c>
      <c r="C2810" s="29" t="str">
        <f>LOOKUP(A2810,'QALS - Inspection Lot Record'!$A$2:$A$361,'QALS - Inspection Lot Record'!$O$2:$O$361)</f>
        <v>Metformin Tablets (500 MG)</v>
      </c>
      <c r="D2810" s="27">
        <v>10</v>
      </c>
      <c r="E2810" s="26" t="s">
        <v>399</v>
      </c>
      <c r="F2810" s="29" t="str">
        <f>LOOKUP(A2810,'QALS - Inspection Lot Record'!A:A,'QALS - Inspection Lot Record'!G:G)</f>
        <v>YA284176</v>
      </c>
      <c r="G2810" s="59">
        <f ca="1">LOOKUP(A2810,'QALS - Inspection Lot Record'!A:A,'QALS - Inspection Lot Record'!E:E)</f>
        <v>46045</v>
      </c>
      <c r="H2810" s="34" t="str">
        <f t="shared" si="220"/>
        <v>A</v>
      </c>
      <c r="I2810" s="29" t="str">
        <f t="shared" si="216"/>
        <v>YA284176</v>
      </c>
      <c r="J2810" s="59">
        <f t="shared" ca="1" si="217"/>
        <v>46045</v>
      </c>
      <c r="K2810" s="30">
        <f ca="1">LOOKUP(A2810,'QALS - Inspection Lot Record'!A:A,'QALS - Inspection Lot Record'!I:I)</f>
        <v>6.8090277777777777E-2</v>
      </c>
      <c r="L2810" s="59">
        <f t="shared" ca="1" si="218"/>
        <v>46045</v>
      </c>
      <c r="M2810" s="30">
        <f t="shared" ca="1" si="219"/>
        <v>9.4942129629629626E-2</v>
      </c>
      <c r="N2810" s="31"/>
      <c r="O2810" s="31">
        <v>100</v>
      </c>
      <c r="P2810" s="29">
        <v>95</v>
      </c>
      <c r="Q2810" s="29">
        <v>105</v>
      </c>
    </row>
    <row r="2811" spans="1:17" x14ac:dyDescent="0.35">
      <c r="A2811" s="26">
        <v>40000002852</v>
      </c>
      <c r="B2811" s="27">
        <v>1</v>
      </c>
      <c r="C2811" s="29" t="str">
        <f>LOOKUP(A2811,'QALS - Inspection Lot Record'!$A$2:$A$361,'QALS - Inspection Lot Record'!$O$2:$O$361)</f>
        <v>Metformin Tablets (500 MG)</v>
      </c>
      <c r="D2811" s="31">
        <v>20</v>
      </c>
      <c r="E2811" s="29" t="s">
        <v>400</v>
      </c>
      <c r="F2811" s="29" t="str">
        <f>LOOKUP(A2811,'QALS - Inspection Lot Record'!A:A,'QALS - Inspection Lot Record'!G:G)</f>
        <v>YA284176</v>
      </c>
      <c r="G2811" s="59">
        <f ca="1">LOOKUP(A2811,'QALS - Inspection Lot Record'!A:A,'QALS - Inspection Lot Record'!E:E)</f>
        <v>46045</v>
      </c>
      <c r="H2811" s="34" t="str">
        <f t="shared" si="220"/>
        <v>A</v>
      </c>
      <c r="I2811" s="29" t="str">
        <f t="shared" si="216"/>
        <v>YA284176</v>
      </c>
      <c r="J2811" s="59">
        <f t="shared" ca="1" si="217"/>
        <v>46045</v>
      </c>
      <c r="K2811" s="30">
        <f ca="1">LOOKUP(A2811,'QALS - Inspection Lot Record'!A:A,'QALS - Inspection Lot Record'!I:I)</f>
        <v>6.8090277777777777E-2</v>
      </c>
      <c r="L2811" s="59">
        <f t="shared" ca="1" si="218"/>
        <v>46045</v>
      </c>
      <c r="M2811" s="30">
        <f t="shared" ca="1" si="219"/>
        <v>9.6145833333333333E-2</v>
      </c>
      <c r="N2811" s="31"/>
      <c r="O2811" s="31">
        <v>7.3</v>
      </c>
      <c r="P2811" s="29">
        <v>3.5</v>
      </c>
      <c r="Q2811" s="29">
        <v>11</v>
      </c>
    </row>
    <row r="2812" spans="1:17" x14ac:dyDescent="0.35">
      <c r="A2812" s="26">
        <v>40000002852</v>
      </c>
      <c r="B2812" s="31">
        <v>1</v>
      </c>
      <c r="C2812" s="29" t="str">
        <f>LOOKUP(A2812,'QALS - Inspection Lot Record'!$A$2:$A$361,'QALS - Inspection Lot Record'!$O$2:$O$361)</f>
        <v>Metformin Tablets (500 MG)</v>
      </c>
      <c r="D2812" s="31">
        <v>30</v>
      </c>
      <c r="E2812" s="29" t="s">
        <v>401</v>
      </c>
      <c r="F2812" s="29" t="str">
        <f>LOOKUP(A2812,'QALS - Inspection Lot Record'!A:A,'QALS - Inspection Lot Record'!G:G)</f>
        <v>YA284176</v>
      </c>
      <c r="G2812" s="59">
        <f ca="1">LOOKUP(A2812,'QALS - Inspection Lot Record'!A:A,'QALS - Inspection Lot Record'!E:E)</f>
        <v>46045</v>
      </c>
      <c r="H2812" s="34" t="str">
        <f t="shared" si="220"/>
        <v>A</v>
      </c>
      <c r="I2812" s="29" t="str">
        <f t="shared" si="216"/>
        <v>YA284176</v>
      </c>
      <c r="J2812" s="59">
        <f t="shared" ca="1" si="217"/>
        <v>46045</v>
      </c>
      <c r="K2812" s="30">
        <f ca="1">LOOKUP(A2812,'QALS - Inspection Lot Record'!A:A,'QALS - Inspection Lot Record'!I:I)</f>
        <v>6.8090277777777777E-2</v>
      </c>
      <c r="L2812" s="59">
        <f t="shared" ca="1" si="218"/>
        <v>46045</v>
      </c>
      <c r="M2812" s="30">
        <f t="shared" ca="1" si="219"/>
        <v>9.8877314814814821E-2</v>
      </c>
      <c r="N2812" s="11" t="s">
        <v>402</v>
      </c>
      <c r="O2812" s="31"/>
      <c r="P2812" s="29"/>
      <c r="Q2812" s="29"/>
    </row>
    <row r="2813" spans="1:17" x14ac:dyDescent="0.35">
      <c r="A2813" s="26">
        <v>40000002852</v>
      </c>
      <c r="B2813" s="31">
        <v>1</v>
      </c>
      <c r="C2813" s="29" t="str">
        <f>LOOKUP(A2813,'QALS - Inspection Lot Record'!$A$2:$A$361,'QALS - Inspection Lot Record'!$O$2:$O$361)</f>
        <v>Metformin Tablets (500 MG)</v>
      </c>
      <c r="D2813" s="31">
        <v>40</v>
      </c>
      <c r="E2813" s="29" t="s">
        <v>403</v>
      </c>
      <c r="F2813" s="29" t="str">
        <f>LOOKUP(A2813,'QALS - Inspection Lot Record'!A:A,'QALS - Inspection Lot Record'!G:G)</f>
        <v>YA284176</v>
      </c>
      <c r="G2813" s="59">
        <f ca="1">LOOKUP(A2813,'QALS - Inspection Lot Record'!A:A,'QALS - Inspection Lot Record'!E:E)</f>
        <v>46045</v>
      </c>
      <c r="H2813" s="34" t="str">
        <f t="shared" si="220"/>
        <v>A</v>
      </c>
      <c r="I2813" s="29" t="str">
        <f t="shared" si="216"/>
        <v>YA284176</v>
      </c>
      <c r="J2813" s="59">
        <f t="shared" ca="1" si="217"/>
        <v>46045</v>
      </c>
      <c r="K2813" s="30">
        <f ca="1">LOOKUP(A2813,'QALS - Inspection Lot Record'!A:A,'QALS - Inspection Lot Record'!I:I)</f>
        <v>6.8090277777777777E-2</v>
      </c>
      <c r="L2813" s="59">
        <f t="shared" ca="1" si="218"/>
        <v>46045</v>
      </c>
      <c r="M2813" s="30">
        <f t="shared" ca="1" si="219"/>
        <v>8.925925925925926E-2</v>
      </c>
      <c r="N2813" s="31"/>
      <c r="O2813" s="31">
        <v>1.6</v>
      </c>
      <c r="P2813" s="29">
        <v>0</v>
      </c>
      <c r="Q2813" s="29">
        <v>2</v>
      </c>
    </row>
    <row r="2814" spans="1:17" x14ac:dyDescent="0.35">
      <c r="A2814" s="26">
        <v>40000002852</v>
      </c>
      <c r="B2814" s="31">
        <v>1</v>
      </c>
      <c r="C2814" s="29" t="str">
        <f>LOOKUP(A2814,'QALS - Inspection Lot Record'!$A$2:$A$361,'QALS - Inspection Lot Record'!$O$2:$O$361)</f>
        <v>Metformin Tablets (500 MG)</v>
      </c>
      <c r="D2814" s="31">
        <v>50</v>
      </c>
      <c r="E2814" s="29" t="s">
        <v>404</v>
      </c>
      <c r="F2814" s="29" t="str">
        <f>LOOKUP(A2814,'QALS - Inspection Lot Record'!A:A,'QALS - Inspection Lot Record'!G:G)</f>
        <v>YA284176</v>
      </c>
      <c r="G2814" s="59">
        <f ca="1">LOOKUP(A2814,'QALS - Inspection Lot Record'!A:A,'QALS - Inspection Lot Record'!E:E)</f>
        <v>46045</v>
      </c>
      <c r="H2814" s="34" t="str">
        <f t="shared" si="220"/>
        <v>A</v>
      </c>
      <c r="I2814" s="29" t="str">
        <f t="shared" si="216"/>
        <v>YA284176</v>
      </c>
      <c r="J2814" s="59">
        <f t="shared" ca="1" si="217"/>
        <v>46045</v>
      </c>
      <c r="K2814" s="30">
        <f ca="1">LOOKUP(A2814,'QALS - Inspection Lot Record'!A:A,'QALS - Inspection Lot Record'!I:I)</f>
        <v>6.8090277777777777E-2</v>
      </c>
      <c r="L2814" s="59">
        <f t="shared" ca="1" si="218"/>
        <v>46045</v>
      </c>
      <c r="M2814" s="30">
        <f t="shared" ca="1" si="219"/>
        <v>9.9050925925925931E-2</v>
      </c>
      <c r="N2814" s="31"/>
      <c r="O2814" s="31">
        <v>41.1</v>
      </c>
      <c r="P2814" s="29">
        <v>40</v>
      </c>
      <c r="Q2814" s="29">
        <v>60</v>
      </c>
    </row>
    <row r="2815" spans="1:17" x14ac:dyDescent="0.35">
      <c r="A2815" s="26">
        <v>40000002852</v>
      </c>
      <c r="B2815" s="31">
        <v>1</v>
      </c>
      <c r="C2815" s="29" t="str">
        <f>LOOKUP(A2815,'QALS - Inspection Lot Record'!$A$2:$A$361,'QALS - Inspection Lot Record'!$O$2:$O$361)</f>
        <v>Metformin Tablets (500 MG)</v>
      </c>
      <c r="D2815" s="31">
        <v>60</v>
      </c>
      <c r="E2815" s="29" t="s">
        <v>405</v>
      </c>
      <c r="F2815" s="29" t="str">
        <f>LOOKUP(A2815,'QALS - Inspection Lot Record'!A:A,'QALS - Inspection Lot Record'!G:G)</f>
        <v>YA284176</v>
      </c>
      <c r="G2815" s="59">
        <f ca="1">LOOKUP(A2815,'QALS - Inspection Lot Record'!A:A,'QALS - Inspection Lot Record'!E:E)</f>
        <v>46045</v>
      </c>
      <c r="H2815" s="34" t="str">
        <f t="shared" si="220"/>
        <v>A</v>
      </c>
      <c r="I2815" s="29" t="str">
        <f t="shared" si="216"/>
        <v>YA284176</v>
      </c>
      <c r="J2815" s="59">
        <f t="shared" ca="1" si="217"/>
        <v>46045</v>
      </c>
      <c r="K2815" s="30">
        <f ca="1">LOOKUP(A2815,'QALS - Inspection Lot Record'!A:A,'QALS - Inspection Lot Record'!I:I)</f>
        <v>6.8090277777777777E-2</v>
      </c>
      <c r="L2815" s="59">
        <f t="shared" ca="1" si="218"/>
        <v>46045</v>
      </c>
      <c r="M2815" s="30">
        <f t="shared" ca="1" si="219"/>
        <v>9.9849537037037028E-2</v>
      </c>
      <c r="N2815" s="31"/>
      <c r="O2815" s="31">
        <v>72</v>
      </c>
      <c r="P2815" s="29">
        <v>70</v>
      </c>
      <c r="Q2815" s="29">
        <v>85</v>
      </c>
    </row>
    <row r="2816" spans="1:17" x14ac:dyDescent="0.35">
      <c r="A2816" s="26">
        <v>40000002852</v>
      </c>
      <c r="B2816" s="31">
        <v>1</v>
      </c>
      <c r="C2816" s="29" t="str">
        <f>LOOKUP(A2816,'QALS - Inspection Lot Record'!$A$2:$A$361,'QALS - Inspection Lot Record'!$O$2:$O$361)</f>
        <v>Metformin Tablets (500 MG)</v>
      </c>
      <c r="D2816" s="31">
        <v>70</v>
      </c>
      <c r="E2816" s="29" t="s">
        <v>406</v>
      </c>
      <c r="F2816" s="29" t="str">
        <f>LOOKUP(A2816,'QALS - Inspection Lot Record'!A:A,'QALS - Inspection Lot Record'!G:G)</f>
        <v>YA284176</v>
      </c>
      <c r="G2816" s="59">
        <f ca="1">LOOKUP(A2816,'QALS - Inspection Lot Record'!A:A,'QALS - Inspection Lot Record'!E:E)</f>
        <v>46045</v>
      </c>
      <c r="H2816" s="34" t="str">
        <f t="shared" si="220"/>
        <v>A</v>
      </c>
      <c r="I2816" s="29" t="str">
        <f t="shared" si="216"/>
        <v>YA284176</v>
      </c>
      <c r="J2816" s="59">
        <f t="shared" ca="1" si="217"/>
        <v>46045</v>
      </c>
      <c r="K2816" s="30">
        <f ca="1">LOOKUP(A2816,'QALS - Inspection Lot Record'!A:A,'QALS - Inspection Lot Record'!I:I)</f>
        <v>6.8090277777777777E-2</v>
      </c>
      <c r="L2816" s="59">
        <f t="shared" ca="1" si="218"/>
        <v>46045</v>
      </c>
      <c r="M2816" s="30">
        <f t="shared" ca="1" si="219"/>
        <v>9.4375000000000001E-2</v>
      </c>
      <c r="N2816" s="31"/>
      <c r="O2816" s="31">
        <v>81.599999999999994</v>
      </c>
      <c r="P2816" s="29">
        <v>80</v>
      </c>
      <c r="Q2816" s="29">
        <v>90</v>
      </c>
    </row>
    <row r="2817" spans="1:17" x14ac:dyDescent="0.35">
      <c r="A2817" s="26">
        <v>40000002852</v>
      </c>
      <c r="B2817" s="31">
        <v>1</v>
      </c>
      <c r="C2817" s="29" t="str">
        <f>LOOKUP(A2817,'QALS - Inspection Lot Record'!$A$2:$A$361,'QALS - Inspection Lot Record'!$O$2:$O$361)</f>
        <v>Metformin Tablets (500 MG)</v>
      </c>
      <c r="D2817" s="31">
        <v>80</v>
      </c>
      <c r="E2817" s="29" t="s">
        <v>407</v>
      </c>
      <c r="F2817" s="29" t="str">
        <f>LOOKUP(A2817,'QALS - Inspection Lot Record'!A:A,'QALS - Inspection Lot Record'!G:G)</f>
        <v>YA284176</v>
      </c>
      <c r="G2817" s="59">
        <f ca="1">LOOKUP(A2817,'QALS - Inspection Lot Record'!A:A,'QALS - Inspection Lot Record'!E:E)</f>
        <v>46045</v>
      </c>
      <c r="H2817" s="34" t="str">
        <f t="shared" si="220"/>
        <v>A</v>
      </c>
      <c r="I2817" s="29" t="str">
        <f t="shared" si="216"/>
        <v>YA284176</v>
      </c>
      <c r="J2817" s="59">
        <f t="shared" ca="1" si="217"/>
        <v>46045</v>
      </c>
      <c r="K2817" s="30">
        <f ca="1">LOOKUP(A2817,'QALS - Inspection Lot Record'!A:A,'QALS - Inspection Lot Record'!I:I)</f>
        <v>6.8090277777777777E-2</v>
      </c>
      <c r="L2817" s="59">
        <f t="shared" ca="1" si="218"/>
        <v>46045</v>
      </c>
      <c r="M2817" s="30">
        <f t="shared" ca="1" si="219"/>
        <v>0.10114583333333332</v>
      </c>
      <c r="N2817" s="31"/>
      <c r="O2817" s="31">
        <v>25.5</v>
      </c>
      <c r="P2817" s="29">
        <v>23</v>
      </c>
      <c r="Q2817" s="29">
        <v>28</v>
      </c>
    </row>
    <row r="2818" spans="1:17" x14ac:dyDescent="0.35">
      <c r="A2818" s="26">
        <v>40000002853</v>
      </c>
      <c r="B2818" s="27">
        <v>1</v>
      </c>
      <c r="C2818" s="29" t="str">
        <f>LOOKUP(A2818,'QALS - Inspection Lot Record'!$A$2:$A$361,'QALS - Inspection Lot Record'!$O$2:$O$361)</f>
        <v>Metformin Tablets (100 MG)</v>
      </c>
      <c r="D2818" s="27">
        <v>10</v>
      </c>
      <c r="E2818" s="26" t="s">
        <v>399</v>
      </c>
      <c r="F2818" s="29" t="str">
        <f>LOOKUP(A2818,'QALS - Inspection Lot Record'!A:A,'QALS - Inspection Lot Record'!G:G)</f>
        <v>AB406550</v>
      </c>
      <c r="G2818" s="59">
        <f ca="1">LOOKUP(A2818,'QALS - Inspection Lot Record'!A:A,'QALS - Inspection Lot Record'!E:E)</f>
        <v>46046</v>
      </c>
      <c r="H2818" s="34" t="str">
        <f t="shared" si="220"/>
        <v>A</v>
      </c>
      <c r="I2818" s="29" t="str">
        <f t="shared" ref="I2818:I2881" si="221">F2818</f>
        <v>AB406550</v>
      </c>
      <c r="J2818" s="59">
        <f t="shared" ref="J2818:J2881" ca="1" si="222">G2818</f>
        <v>46046</v>
      </c>
      <c r="K2818" s="30">
        <f ca="1">LOOKUP(A2818,'QALS - Inspection Lot Record'!A:A,'QALS - Inspection Lot Record'!I:I)</f>
        <v>0.57575231481481481</v>
      </c>
      <c r="L2818" s="59">
        <f t="shared" ref="L2818:L2881" ca="1" si="223">G2818</f>
        <v>46046</v>
      </c>
      <c r="M2818" s="30">
        <f t="shared" ref="M2818:M2881" ca="1" si="224">K2818+TIME(0,RANDBETWEEN(25,50),RANDBETWEEN(0,59))</f>
        <v>0.60274305555555552</v>
      </c>
      <c r="N2818" s="31"/>
      <c r="O2818" s="31">
        <v>98.5</v>
      </c>
      <c r="P2818" s="29">
        <v>95</v>
      </c>
      <c r="Q2818" s="29">
        <v>102</v>
      </c>
    </row>
    <row r="2819" spans="1:17" x14ac:dyDescent="0.35">
      <c r="A2819" s="26">
        <v>40000002853</v>
      </c>
      <c r="B2819" s="27">
        <v>1</v>
      </c>
      <c r="C2819" s="29" t="str">
        <f>LOOKUP(A2819,'QALS - Inspection Lot Record'!$A$2:$A$361,'QALS - Inspection Lot Record'!$O$2:$O$361)</f>
        <v>Metformin Tablets (100 MG)</v>
      </c>
      <c r="D2819" s="31">
        <v>20</v>
      </c>
      <c r="E2819" s="29" t="s">
        <v>400</v>
      </c>
      <c r="F2819" s="29" t="str">
        <f>LOOKUP(A2819,'QALS - Inspection Lot Record'!A:A,'QALS - Inspection Lot Record'!G:G)</f>
        <v>AB406550</v>
      </c>
      <c r="G2819" s="59">
        <f ca="1">LOOKUP(A2819,'QALS - Inspection Lot Record'!A:A,'QALS - Inspection Lot Record'!E:E)</f>
        <v>46046</v>
      </c>
      <c r="H2819" s="34" t="str">
        <f t="shared" si="220"/>
        <v>R</v>
      </c>
      <c r="I2819" s="29" t="str">
        <f t="shared" si="221"/>
        <v>AB406550</v>
      </c>
      <c r="J2819" s="59">
        <f t="shared" ca="1" si="222"/>
        <v>46046</v>
      </c>
      <c r="K2819" s="30">
        <f ca="1">LOOKUP(A2819,'QALS - Inspection Lot Record'!A:A,'QALS - Inspection Lot Record'!I:I)</f>
        <v>0.57575231481481481</v>
      </c>
      <c r="L2819" s="59">
        <f t="shared" ca="1" si="223"/>
        <v>46046</v>
      </c>
      <c r="M2819" s="30">
        <f t="shared" ca="1" si="224"/>
        <v>0.60164351851851849</v>
      </c>
      <c r="N2819" s="31"/>
      <c r="O2819" s="31">
        <v>2.4</v>
      </c>
      <c r="P2819" s="29">
        <v>3.5</v>
      </c>
      <c r="Q2819" s="29">
        <v>11</v>
      </c>
    </row>
    <row r="2820" spans="1:17" x14ac:dyDescent="0.35">
      <c r="A2820" s="26">
        <v>40000002853</v>
      </c>
      <c r="B2820" s="31">
        <v>1</v>
      </c>
      <c r="C2820" s="29" t="str">
        <f>LOOKUP(A2820,'QALS - Inspection Lot Record'!$A$2:$A$361,'QALS - Inspection Lot Record'!$O$2:$O$361)</f>
        <v>Metformin Tablets (100 MG)</v>
      </c>
      <c r="D2820" s="31">
        <v>30</v>
      </c>
      <c r="E2820" s="29" t="s">
        <v>401</v>
      </c>
      <c r="F2820" s="29" t="str">
        <f>LOOKUP(A2820,'QALS - Inspection Lot Record'!A:A,'QALS - Inspection Lot Record'!G:G)</f>
        <v>AB406550</v>
      </c>
      <c r="G2820" s="59">
        <f ca="1">LOOKUP(A2820,'QALS - Inspection Lot Record'!A:A,'QALS - Inspection Lot Record'!E:E)</f>
        <v>46046</v>
      </c>
      <c r="H2820" s="34" t="str">
        <f t="shared" si="220"/>
        <v>A</v>
      </c>
      <c r="I2820" s="29" t="str">
        <f t="shared" si="221"/>
        <v>AB406550</v>
      </c>
      <c r="J2820" s="59">
        <f t="shared" ca="1" si="222"/>
        <v>46046</v>
      </c>
      <c r="K2820" s="30">
        <f ca="1">LOOKUP(A2820,'QALS - Inspection Lot Record'!A:A,'QALS - Inspection Lot Record'!I:I)</f>
        <v>0.57575231481481481</v>
      </c>
      <c r="L2820" s="59">
        <f t="shared" ca="1" si="223"/>
        <v>46046</v>
      </c>
      <c r="M2820" s="30">
        <f t="shared" ca="1" si="224"/>
        <v>0.59590277777777778</v>
      </c>
      <c r="N2820" s="11" t="s">
        <v>402</v>
      </c>
      <c r="O2820" s="31"/>
      <c r="P2820" s="29"/>
      <c r="Q2820" s="29"/>
    </row>
    <row r="2821" spans="1:17" x14ac:dyDescent="0.35">
      <c r="A2821" s="26">
        <v>40000002853</v>
      </c>
      <c r="B2821" s="31">
        <v>1</v>
      </c>
      <c r="C2821" s="29" t="str">
        <f>LOOKUP(A2821,'QALS - Inspection Lot Record'!$A$2:$A$361,'QALS - Inspection Lot Record'!$O$2:$O$361)</f>
        <v>Metformin Tablets (100 MG)</v>
      </c>
      <c r="D2821" s="31">
        <v>40</v>
      </c>
      <c r="E2821" s="29" t="s">
        <v>403</v>
      </c>
      <c r="F2821" s="29" t="str">
        <f>LOOKUP(A2821,'QALS - Inspection Lot Record'!A:A,'QALS - Inspection Lot Record'!G:G)</f>
        <v>AB406550</v>
      </c>
      <c r="G2821" s="59">
        <f ca="1">LOOKUP(A2821,'QALS - Inspection Lot Record'!A:A,'QALS - Inspection Lot Record'!E:E)</f>
        <v>46046</v>
      </c>
      <c r="H2821" s="34" t="str">
        <f t="shared" si="220"/>
        <v>A</v>
      </c>
      <c r="I2821" s="29" t="str">
        <f t="shared" si="221"/>
        <v>AB406550</v>
      </c>
      <c r="J2821" s="59">
        <f t="shared" ca="1" si="222"/>
        <v>46046</v>
      </c>
      <c r="K2821" s="30">
        <f ca="1">LOOKUP(A2821,'QALS - Inspection Lot Record'!A:A,'QALS - Inspection Lot Record'!I:I)</f>
        <v>0.57575231481481481</v>
      </c>
      <c r="L2821" s="59">
        <f t="shared" ca="1" si="223"/>
        <v>46046</v>
      </c>
      <c r="M2821" s="30">
        <f t="shared" ca="1" si="224"/>
        <v>0.60494212962962968</v>
      </c>
      <c r="N2821" s="31"/>
      <c r="O2821" s="31">
        <v>0</v>
      </c>
      <c r="P2821" s="29">
        <v>0</v>
      </c>
      <c r="Q2821" s="29">
        <v>1</v>
      </c>
    </row>
    <row r="2822" spans="1:17" x14ac:dyDescent="0.35">
      <c r="A2822" s="26">
        <v>40000002853</v>
      </c>
      <c r="B2822" s="31">
        <v>1</v>
      </c>
      <c r="C2822" s="29" t="str">
        <f>LOOKUP(A2822,'QALS - Inspection Lot Record'!$A$2:$A$361,'QALS - Inspection Lot Record'!$O$2:$O$361)</f>
        <v>Metformin Tablets (100 MG)</v>
      </c>
      <c r="D2822" s="31">
        <v>50</v>
      </c>
      <c r="E2822" s="29" t="s">
        <v>404</v>
      </c>
      <c r="F2822" s="29" t="str">
        <f>LOOKUP(A2822,'QALS - Inspection Lot Record'!A:A,'QALS - Inspection Lot Record'!G:G)</f>
        <v>AB406550</v>
      </c>
      <c r="G2822" s="59">
        <f ca="1">LOOKUP(A2822,'QALS - Inspection Lot Record'!A:A,'QALS - Inspection Lot Record'!E:E)</f>
        <v>46046</v>
      </c>
      <c r="H2822" s="34" t="str">
        <f t="shared" si="220"/>
        <v>A</v>
      </c>
      <c r="I2822" s="29" t="str">
        <f t="shared" si="221"/>
        <v>AB406550</v>
      </c>
      <c r="J2822" s="59">
        <f t="shared" ca="1" si="222"/>
        <v>46046</v>
      </c>
      <c r="K2822" s="30">
        <f ca="1">LOOKUP(A2822,'QALS - Inspection Lot Record'!A:A,'QALS - Inspection Lot Record'!I:I)</f>
        <v>0.57575231481481481</v>
      </c>
      <c r="L2822" s="59">
        <f t="shared" ca="1" si="223"/>
        <v>46046</v>
      </c>
      <c r="M2822" s="30">
        <f t="shared" ca="1" si="224"/>
        <v>0.60921296296296301</v>
      </c>
      <c r="N2822" s="31"/>
      <c r="O2822" s="31">
        <v>50</v>
      </c>
      <c r="P2822" s="29">
        <v>40</v>
      </c>
      <c r="Q2822" s="29">
        <v>60</v>
      </c>
    </row>
    <row r="2823" spans="1:17" x14ac:dyDescent="0.35">
      <c r="A2823" s="26">
        <v>40000002853</v>
      </c>
      <c r="B2823" s="31">
        <v>1</v>
      </c>
      <c r="C2823" s="29" t="str">
        <f>LOOKUP(A2823,'QALS - Inspection Lot Record'!$A$2:$A$361,'QALS - Inspection Lot Record'!$O$2:$O$361)</f>
        <v>Metformin Tablets (100 MG)</v>
      </c>
      <c r="D2823" s="31">
        <v>60</v>
      </c>
      <c r="E2823" s="29" t="s">
        <v>405</v>
      </c>
      <c r="F2823" s="29" t="str">
        <f>LOOKUP(A2823,'QALS - Inspection Lot Record'!A:A,'QALS - Inspection Lot Record'!G:G)</f>
        <v>AB406550</v>
      </c>
      <c r="G2823" s="59">
        <f ca="1">LOOKUP(A2823,'QALS - Inspection Lot Record'!A:A,'QALS - Inspection Lot Record'!E:E)</f>
        <v>46046</v>
      </c>
      <c r="H2823" s="34" t="str">
        <f t="shared" si="220"/>
        <v>A</v>
      </c>
      <c r="I2823" s="29" t="str">
        <f t="shared" si="221"/>
        <v>AB406550</v>
      </c>
      <c r="J2823" s="59">
        <f t="shared" ca="1" si="222"/>
        <v>46046</v>
      </c>
      <c r="K2823" s="30">
        <f ca="1">LOOKUP(A2823,'QALS - Inspection Lot Record'!A:A,'QALS - Inspection Lot Record'!I:I)</f>
        <v>0.57575231481481481</v>
      </c>
      <c r="L2823" s="59">
        <f t="shared" ca="1" si="223"/>
        <v>46046</v>
      </c>
      <c r="M2823" s="30">
        <f t="shared" ca="1" si="224"/>
        <v>0.60646990740740736</v>
      </c>
      <c r="N2823" s="31"/>
      <c r="O2823" s="31">
        <v>77.5</v>
      </c>
      <c r="P2823" s="29">
        <v>70</v>
      </c>
      <c r="Q2823" s="29">
        <v>85</v>
      </c>
    </row>
    <row r="2824" spans="1:17" x14ac:dyDescent="0.35">
      <c r="A2824" s="26">
        <v>40000002853</v>
      </c>
      <c r="B2824" s="31">
        <v>1</v>
      </c>
      <c r="C2824" s="29" t="str">
        <f>LOOKUP(A2824,'QALS - Inspection Lot Record'!$A$2:$A$361,'QALS - Inspection Lot Record'!$O$2:$O$361)</f>
        <v>Metformin Tablets (100 MG)</v>
      </c>
      <c r="D2824" s="31">
        <v>70</v>
      </c>
      <c r="E2824" s="29" t="s">
        <v>406</v>
      </c>
      <c r="F2824" s="29" t="str">
        <f>LOOKUP(A2824,'QALS - Inspection Lot Record'!A:A,'QALS - Inspection Lot Record'!G:G)</f>
        <v>AB406550</v>
      </c>
      <c r="G2824" s="59">
        <f ca="1">LOOKUP(A2824,'QALS - Inspection Lot Record'!A:A,'QALS - Inspection Lot Record'!E:E)</f>
        <v>46046</v>
      </c>
      <c r="H2824" s="34" t="str">
        <f t="shared" si="220"/>
        <v>A</v>
      </c>
      <c r="I2824" s="29" t="str">
        <f t="shared" si="221"/>
        <v>AB406550</v>
      </c>
      <c r="J2824" s="59">
        <f t="shared" ca="1" si="222"/>
        <v>46046</v>
      </c>
      <c r="K2824" s="30">
        <f ca="1">LOOKUP(A2824,'QALS - Inspection Lot Record'!A:A,'QALS - Inspection Lot Record'!I:I)</f>
        <v>0.57575231481481481</v>
      </c>
      <c r="L2824" s="59">
        <f t="shared" ca="1" si="223"/>
        <v>46046</v>
      </c>
      <c r="M2824" s="30">
        <f t="shared" ca="1" si="224"/>
        <v>0.60001157407407413</v>
      </c>
      <c r="N2824" s="31"/>
      <c r="O2824" s="31">
        <v>85</v>
      </c>
      <c r="P2824" s="29">
        <v>80</v>
      </c>
      <c r="Q2824" s="29">
        <v>90</v>
      </c>
    </row>
    <row r="2825" spans="1:17" x14ac:dyDescent="0.35">
      <c r="A2825" s="26">
        <v>40000002853</v>
      </c>
      <c r="B2825" s="31">
        <v>1</v>
      </c>
      <c r="C2825" s="29" t="str">
        <f>LOOKUP(A2825,'QALS - Inspection Lot Record'!$A$2:$A$361,'QALS - Inspection Lot Record'!$O$2:$O$361)</f>
        <v>Metformin Tablets (100 MG)</v>
      </c>
      <c r="D2825" s="31">
        <v>80</v>
      </c>
      <c r="E2825" s="29" t="s">
        <v>407</v>
      </c>
      <c r="F2825" s="29" t="str">
        <f>LOOKUP(A2825,'QALS - Inspection Lot Record'!A:A,'QALS - Inspection Lot Record'!G:G)</f>
        <v>AB406550</v>
      </c>
      <c r="G2825" s="59">
        <f ca="1">LOOKUP(A2825,'QALS - Inspection Lot Record'!A:A,'QALS - Inspection Lot Record'!E:E)</f>
        <v>46046</v>
      </c>
      <c r="H2825" s="34" t="str">
        <f t="shared" si="220"/>
        <v>A</v>
      </c>
      <c r="I2825" s="29" t="str">
        <f t="shared" si="221"/>
        <v>AB406550</v>
      </c>
      <c r="J2825" s="59">
        <f t="shared" ca="1" si="222"/>
        <v>46046</v>
      </c>
      <c r="K2825" s="30">
        <f ca="1">LOOKUP(A2825,'QALS - Inspection Lot Record'!A:A,'QALS - Inspection Lot Record'!I:I)</f>
        <v>0.57575231481481481</v>
      </c>
      <c r="L2825" s="59">
        <f t="shared" ca="1" si="223"/>
        <v>46046</v>
      </c>
      <c r="M2825" s="30">
        <f t="shared" ca="1" si="224"/>
        <v>0.5977662037037037</v>
      </c>
      <c r="N2825" s="31"/>
      <c r="O2825" s="31">
        <v>24</v>
      </c>
      <c r="P2825" s="29">
        <v>23</v>
      </c>
      <c r="Q2825" s="29">
        <v>25</v>
      </c>
    </row>
    <row r="2826" spans="1:17" x14ac:dyDescent="0.35">
      <c r="A2826" s="26">
        <v>40000002854</v>
      </c>
      <c r="B2826" s="27">
        <v>1</v>
      </c>
      <c r="C2826" s="29" t="str">
        <f>LOOKUP(A2826,'QALS - Inspection Lot Record'!$A$2:$A$361,'QALS - Inspection Lot Record'!$O$2:$O$361)</f>
        <v>Aspirin Tablets (500 MG)</v>
      </c>
      <c r="D2826" s="27">
        <v>10</v>
      </c>
      <c r="E2826" s="26" t="s">
        <v>399</v>
      </c>
      <c r="F2826" s="29" t="str">
        <f>LOOKUP(A2826,'QALS - Inspection Lot Record'!A:A,'QALS - Inspection Lot Record'!G:G)</f>
        <v>TG509538</v>
      </c>
      <c r="G2826" s="59">
        <f ca="1">LOOKUP(A2826,'QALS - Inspection Lot Record'!A:A,'QALS - Inspection Lot Record'!E:E)</f>
        <v>46046</v>
      </c>
      <c r="H2826" s="34" t="str">
        <f t="shared" ref="H2826:H2881" si="225">IF(AND(P2826&lt;=O2826,O2826&lt;=Q2826),"A","R")</f>
        <v>R</v>
      </c>
      <c r="I2826" s="29" t="str">
        <f t="shared" si="221"/>
        <v>TG509538</v>
      </c>
      <c r="J2826" s="59">
        <f t="shared" ca="1" si="222"/>
        <v>46046</v>
      </c>
      <c r="K2826" s="30">
        <f ca="1">LOOKUP(A2826,'QALS - Inspection Lot Record'!A:A,'QALS - Inspection Lot Record'!I:I)</f>
        <v>9.0312500000000004E-2</v>
      </c>
      <c r="L2826" s="59">
        <f t="shared" ca="1" si="223"/>
        <v>46046</v>
      </c>
      <c r="M2826" s="30">
        <f t="shared" ca="1" si="224"/>
        <v>0.12291666666666667</v>
      </c>
      <c r="N2826" s="31"/>
      <c r="O2826" s="31">
        <v>93.7</v>
      </c>
      <c r="P2826" s="29">
        <v>95</v>
      </c>
      <c r="Q2826" s="29">
        <v>105</v>
      </c>
    </row>
    <row r="2827" spans="1:17" x14ac:dyDescent="0.35">
      <c r="A2827" s="26">
        <v>40000002854</v>
      </c>
      <c r="B2827" s="27">
        <v>1</v>
      </c>
      <c r="C2827" s="29" t="str">
        <f>LOOKUP(A2827,'QALS - Inspection Lot Record'!$A$2:$A$361,'QALS - Inspection Lot Record'!$O$2:$O$361)</f>
        <v>Aspirin Tablets (500 MG)</v>
      </c>
      <c r="D2827" s="31">
        <v>20</v>
      </c>
      <c r="E2827" s="29" t="s">
        <v>400</v>
      </c>
      <c r="F2827" s="29" t="str">
        <f>LOOKUP(A2827,'QALS - Inspection Lot Record'!A:A,'QALS - Inspection Lot Record'!G:G)</f>
        <v>TG509538</v>
      </c>
      <c r="G2827" s="59">
        <f ca="1">LOOKUP(A2827,'QALS - Inspection Lot Record'!A:A,'QALS - Inspection Lot Record'!E:E)</f>
        <v>46046</v>
      </c>
      <c r="H2827" s="34" t="str">
        <f t="shared" si="225"/>
        <v>A</v>
      </c>
      <c r="I2827" s="29" t="str">
        <f t="shared" si="221"/>
        <v>TG509538</v>
      </c>
      <c r="J2827" s="59">
        <f t="shared" ca="1" si="222"/>
        <v>46046</v>
      </c>
      <c r="K2827" s="30">
        <f ca="1">LOOKUP(A2827,'QALS - Inspection Lot Record'!A:A,'QALS - Inspection Lot Record'!I:I)</f>
        <v>9.0312500000000004E-2</v>
      </c>
      <c r="L2827" s="59">
        <f t="shared" ca="1" si="223"/>
        <v>46046</v>
      </c>
      <c r="M2827" s="30">
        <f t="shared" ca="1" si="224"/>
        <v>0.11229166666666668</v>
      </c>
      <c r="N2827" s="31"/>
      <c r="O2827" s="31">
        <v>7.25</v>
      </c>
      <c r="P2827" s="29">
        <v>3.5</v>
      </c>
      <c r="Q2827" s="29">
        <v>11</v>
      </c>
    </row>
    <row r="2828" spans="1:17" x14ac:dyDescent="0.35">
      <c r="A2828" s="26">
        <v>40000002854</v>
      </c>
      <c r="B2828" s="31">
        <v>1</v>
      </c>
      <c r="C2828" s="29" t="str">
        <f>LOOKUP(A2828,'QALS - Inspection Lot Record'!$A$2:$A$361,'QALS - Inspection Lot Record'!$O$2:$O$361)</f>
        <v>Aspirin Tablets (500 MG)</v>
      </c>
      <c r="D2828" s="31">
        <v>30</v>
      </c>
      <c r="E2828" s="29" t="s">
        <v>401</v>
      </c>
      <c r="F2828" s="29" t="str">
        <f>LOOKUP(A2828,'QALS - Inspection Lot Record'!A:A,'QALS - Inspection Lot Record'!G:G)</f>
        <v>TG509538</v>
      </c>
      <c r="G2828" s="59">
        <f ca="1">LOOKUP(A2828,'QALS - Inspection Lot Record'!A:A,'QALS - Inspection Lot Record'!E:E)</f>
        <v>46046</v>
      </c>
      <c r="H2828" s="34" t="str">
        <f t="shared" si="225"/>
        <v>A</v>
      </c>
      <c r="I2828" s="29" t="str">
        <f t="shared" si="221"/>
        <v>TG509538</v>
      </c>
      <c r="J2828" s="59">
        <f t="shared" ca="1" si="222"/>
        <v>46046</v>
      </c>
      <c r="K2828" s="30">
        <f ca="1">LOOKUP(A2828,'QALS - Inspection Lot Record'!A:A,'QALS - Inspection Lot Record'!I:I)</f>
        <v>9.0312500000000004E-2</v>
      </c>
      <c r="L2828" s="59">
        <f t="shared" ca="1" si="223"/>
        <v>46046</v>
      </c>
      <c r="M2828" s="30">
        <f t="shared" ca="1" si="224"/>
        <v>0.12562499999999999</v>
      </c>
      <c r="N2828" s="11" t="s">
        <v>402</v>
      </c>
      <c r="O2828" s="31"/>
      <c r="P2828" s="29"/>
      <c r="Q2828" s="29"/>
    </row>
    <row r="2829" spans="1:17" x14ac:dyDescent="0.35">
      <c r="A2829" s="26">
        <v>40000002854</v>
      </c>
      <c r="B2829" s="31">
        <v>1</v>
      </c>
      <c r="C2829" s="29" t="str">
        <f>LOOKUP(A2829,'QALS - Inspection Lot Record'!$A$2:$A$361,'QALS - Inspection Lot Record'!$O$2:$O$361)</f>
        <v>Aspirin Tablets (500 MG)</v>
      </c>
      <c r="D2829" s="31">
        <v>40</v>
      </c>
      <c r="E2829" s="29" t="s">
        <v>403</v>
      </c>
      <c r="F2829" s="29" t="str">
        <f>LOOKUP(A2829,'QALS - Inspection Lot Record'!A:A,'QALS - Inspection Lot Record'!G:G)</f>
        <v>TG509538</v>
      </c>
      <c r="G2829" s="59">
        <f ca="1">LOOKUP(A2829,'QALS - Inspection Lot Record'!A:A,'QALS - Inspection Lot Record'!E:E)</f>
        <v>46046</v>
      </c>
      <c r="H2829" s="34" t="str">
        <f t="shared" si="225"/>
        <v>A</v>
      </c>
      <c r="I2829" s="29" t="str">
        <f t="shared" si="221"/>
        <v>TG509538</v>
      </c>
      <c r="J2829" s="59">
        <f t="shared" ca="1" si="222"/>
        <v>46046</v>
      </c>
      <c r="K2829" s="30">
        <f ca="1">LOOKUP(A2829,'QALS - Inspection Lot Record'!A:A,'QALS - Inspection Lot Record'!I:I)</f>
        <v>9.0312500000000004E-2</v>
      </c>
      <c r="L2829" s="59">
        <f t="shared" ca="1" si="223"/>
        <v>46046</v>
      </c>
      <c r="M2829" s="30">
        <f t="shared" ca="1" si="224"/>
        <v>0.11556712962962963</v>
      </c>
      <c r="N2829" s="31"/>
      <c r="O2829" s="31">
        <v>0</v>
      </c>
      <c r="P2829" s="29">
        <v>0</v>
      </c>
      <c r="Q2829" s="29">
        <v>2.5</v>
      </c>
    </row>
    <row r="2830" spans="1:17" x14ac:dyDescent="0.35">
      <c r="A2830" s="26">
        <v>40000002854</v>
      </c>
      <c r="B2830" s="31">
        <v>1</v>
      </c>
      <c r="C2830" s="29" t="str">
        <f>LOOKUP(A2830,'QALS - Inspection Lot Record'!$A$2:$A$361,'QALS - Inspection Lot Record'!$O$2:$O$361)</f>
        <v>Aspirin Tablets (500 MG)</v>
      </c>
      <c r="D2830" s="31">
        <v>50</v>
      </c>
      <c r="E2830" s="29" t="s">
        <v>404</v>
      </c>
      <c r="F2830" s="29" t="str">
        <f>LOOKUP(A2830,'QALS - Inspection Lot Record'!A:A,'QALS - Inspection Lot Record'!G:G)</f>
        <v>TG509538</v>
      </c>
      <c r="G2830" s="59">
        <f ca="1">LOOKUP(A2830,'QALS - Inspection Lot Record'!A:A,'QALS - Inspection Lot Record'!E:E)</f>
        <v>46046</v>
      </c>
      <c r="H2830" s="34" t="str">
        <f t="shared" si="225"/>
        <v>A</v>
      </c>
      <c r="I2830" s="29" t="str">
        <f t="shared" si="221"/>
        <v>TG509538</v>
      </c>
      <c r="J2830" s="59">
        <f t="shared" ca="1" si="222"/>
        <v>46046</v>
      </c>
      <c r="K2830" s="30">
        <f ca="1">LOOKUP(A2830,'QALS - Inspection Lot Record'!A:A,'QALS - Inspection Lot Record'!I:I)</f>
        <v>9.0312500000000004E-2</v>
      </c>
      <c r="L2830" s="59">
        <f t="shared" ca="1" si="223"/>
        <v>46046</v>
      </c>
      <c r="M2830" s="30">
        <f t="shared" ca="1" si="224"/>
        <v>0.12158564814814815</v>
      </c>
      <c r="N2830" s="31"/>
      <c r="O2830" s="31">
        <v>50</v>
      </c>
      <c r="P2830" s="29">
        <v>40</v>
      </c>
      <c r="Q2830" s="29">
        <v>60</v>
      </c>
    </row>
    <row r="2831" spans="1:17" x14ac:dyDescent="0.35">
      <c r="A2831" s="26">
        <v>40000002854</v>
      </c>
      <c r="B2831" s="31">
        <v>1</v>
      </c>
      <c r="C2831" s="29" t="str">
        <f>LOOKUP(A2831,'QALS - Inspection Lot Record'!$A$2:$A$361,'QALS - Inspection Lot Record'!$O$2:$O$361)</f>
        <v>Aspirin Tablets (500 MG)</v>
      </c>
      <c r="D2831" s="31">
        <v>60</v>
      </c>
      <c r="E2831" s="29" t="s">
        <v>405</v>
      </c>
      <c r="F2831" s="29" t="str">
        <f>LOOKUP(A2831,'QALS - Inspection Lot Record'!A:A,'QALS - Inspection Lot Record'!G:G)</f>
        <v>TG509538</v>
      </c>
      <c r="G2831" s="59">
        <f ca="1">LOOKUP(A2831,'QALS - Inspection Lot Record'!A:A,'QALS - Inspection Lot Record'!E:E)</f>
        <v>46046</v>
      </c>
      <c r="H2831" s="34" t="str">
        <f t="shared" si="225"/>
        <v>R</v>
      </c>
      <c r="I2831" s="29" t="str">
        <f t="shared" si="221"/>
        <v>TG509538</v>
      </c>
      <c r="J2831" s="59">
        <f t="shared" ca="1" si="222"/>
        <v>46046</v>
      </c>
      <c r="K2831" s="30">
        <f ca="1">LOOKUP(A2831,'QALS - Inspection Lot Record'!A:A,'QALS - Inspection Lot Record'!I:I)</f>
        <v>9.0312500000000004E-2</v>
      </c>
      <c r="L2831" s="59">
        <f t="shared" ca="1" si="223"/>
        <v>46046</v>
      </c>
      <c r="M2831" s="30">
        <f t="shared" ca="1" si="224"/>
        <v>0.108125</v>
      </c>
      <c r="N2831" s="31"/>
      <c r="O2831" s="31">
        <v>68.5</v>
      </c>
      <c r="P2831" s="29">
        <v>70</v>
      </c>
      <c r="Q2831" s="29">
        <v>85</v>
      </c>
    </row>
    <row r="2832" spans="1:17" x14ac:dyDescent="0.35">
      <c r="A2832" s="26">
        <v>40000002854</v>
      </c>
      <c r="B2832" s="31">
        <v>1</v>
      </c>
      <c r="C2832" s="29" t="str">
        <f>LOOKUP(A2832,'QALS - Inspection Lot Record'!$A$2:$A$361,'QALS - Inspection Lot Record'!$O$2:$O$361)</f>
        <v>Aspirin Tablets (500 MG)</v>
      </c>
      <c r="D2832" s="31">
        <v>70</v>
      </c>
      <c r="E2832" s="29" t="s">
        <v>406</v>
      </c>
      <c r="F2832" s="29" t="str">
        <f>LOOKUP(A2832,'QALS - Inspection Lot Record'!A:A,'QALS - Inspection Lot Record'!G:G)</f>
        <v>TG509538</v>
      </c>
      <c r="G2832" s="59">
        <f ca="1">LOOKUP(A2832,'QALS - Inspection Lot Record'!A:A,'QALS - Inspection Lot Record'!E:E)</f>
        <v>46046</v>
      </c>
      <c r="H2832" s="34" t="str">
        <f t="shared" si="225"/>
        <v>A</v>
      </c>
      <c r="I2832" s="29" t="str">
        <f t="shared" si="221"/>
        <v>TG509538</v>
      </c>
      <c r="J2832" s="59">
        <f t="shared" ca="1" si="222"/>
        <v>46046</v>
      </c>
      <c r="K2832" s="30">
        <f ca="1">LOOKUP(A2832,'QALS - Inspection Lot Record'!A:A,'QALS - Inspection Lot Record'!I:I)</f>
        <v>9.0312500000000004E-2</v>
      </c>
      <c r="L2832" s="59">
        <f t="shared" ca="1" si="223"/>
        <v>46046</v>
      </c>
      <c r="M2832" s="30">
        <f t="shared" ca="1" si="224"/>
        <v>0.10770833333333334</v>
      </c>
      <c r="N2832" s="31"/>
      <c r="O2832" s="31">
        <v>85</v>
      </c>
      <c r="P2832" s="29">
        <v>80</v>
      </c>
      <c r="Q2832" s="29">
        <v>90</v>
      </c>
    </row>
    <row r="2833" spans="1:17" x14ac:dyDescent="0.35">
      <c r="A2833" s="26">
        <v>40000002854</v>
      </c>
      <c r="B2833" s="31">
        <v>1</v>
      </c>
      <c r="C2833" s="29" t="str">
        <f>LOOKUP(A2833,'QALS - Inspection Lot Record'!$A$2:$A$361,'QALS - Inspection Lot Record'!$O$2:$O$361)</f>
        <v>Aspirin Tablets (500 MG)</v>
      </c>
      <c r="D2833" s="31">
        <v>80</v>
      </c>
      <c r="E2833" s="29" t="s">
        <v>407</v>
      </c>
      <c r="F2833" s="29" t="str">
        <f>LOOKUP(A2833,'QALS - Inspection Lot Record'!A:A,'QALS - Inspection Lot Record'!G:G)</f>
        <v>TG509538</v>
      </c>
      <c r="G2833" s="59">
        <f ca="1">LOOKUP(A2833,'QALS - Inspection Lot Record'!A:A,'QALS - Inspection Lot Record'!E:E)</f>
        <v>46046</v>
      </c>
      <c r="H2833" s="34" t="str">
        <f t="shared" si="225"/>
        <v>A</v>
      </c>
      <c r="I2833" s="29" t="str">
        <f t="shared" si="221"/>
        <v>TG509538</v>
      </c>
      <c r="J2833" s="59">
        <f t="shared" ca="1" si="222"/>
        <v>46046</v>
      </c>
      <c r="K2833" s="30">
        <f ca="1">LOOKUP(A2833,'QALS - Inspection Lot Record'!A:A,'QALS - Inspection Lot Record'!I:I)</f>
        <v>9.0312500000000004E-2</v>
      </c>
      <c r="L2833" s="59">
        <f t="shared" ca="1" si="223"/>
        <v>46046</v>
      </c>
      <c r="M2833" s="30">
        <f t="shared" ca="1" si="224"/>
        <v>0.10791666666666667</v>
      </c>
      <c r="N2833" s="31"/>
      <c r="O2833" s="31">
        <v>25.5</v>
      </c>
      <c r="P2833" s="29">
        <v>23</v>
      </c>
      <c r="Q2833" s="29">
        <v>28</v>
      </c>
    </row>
    <row r="2834" spans="1:17" x14ac:dyDescent="0.35">
      <c r="A2834" s="26">
        <v>40000002855</v>
      </c>
      <c r="B2834" s="27">
        <v>1</v>
      </c>
      <c r="C2834" s="29" t="str">
        <f>LOOKUP(A2834,'QALS - Inspection Lot Record'!$A$2:$A$361,'QALS - Inspection Lot Record'!$O$2:$O$361)</f>
        <v>Ibuprofen Tablets (100 MG)</v>
      </c>
      <c r="D2834" s="27">
        <v>10</v>
      </c>
      <c r="E2834" s="26" t="s">
        <v>399</v>
      </c>
      <c r="F2834" s="29" t="str">
        <f>LOOKUP(A2834,'QALS - Inspection Lot Record'!A:A,'QALS - Inspection Lot Record'!G:G)</f>
        <v>TP397880</v>
      </c>
      <c r="G2834" s="59">
        <f ca="1">LOOKUP(A2834,'QALS - Inspection Lot Record'!A:A,'QALS - Inspection Lot Record'!E:E)</f>
        <v>46047</v>
      </c>
      <c r="H2834" s="34" t="str">
        <f t="shared" si="225"/>
        <v>A</v>
      </c>
      <c r="I2834" s="29" t="str">
        <f t="shared" si="221"/>
        <v>TP397880</v>
      </c>
      <c r="J2834" s="59">
        <f t="shared" ca="1" si="222"/>
        <v>46047</v>
      </c>
      <c r="K2834" s="30">
        <f ca="1">LOOKUP(A2834,'QALS - Inspection Lot Record'!A:A,'QALS - Inspection Lot Record'!I:I)</f>
        <v>0.81273148148148144</v>
      </c>
      <c r="L2834" s="59">
        <f t="shared" ca="1" si="223"/>
        <v>46047</v>
      </c>
      <c r="M2834" s="30">
        <f t="shared" ca="1" si="224"/>
        <v>0.83335648148148145</v>
      </c>
      <c r="N2834" s="31"/>
      <c r="O2834" s="31">
        <v>98.5</v>
      </c>
      <c r="P2834" s="29">
        <v>95</v>
      </c>
      <c r="Q2834" s="29">
        <v>102</v>
      </c>
    </row>
    <row r="2835" spans="1:17" x14ac:dyDescent="0.35">
      <c r="A2835" s="26">
        <v>40000002855</v>
      </c>
      <c r="B2835" s="27">
        <v>1</v>
      </c>
      <c r="C2835" s="29" t="str">
        <f>LOOKUP(A2835,'QALS - Inspection Lot Record'!$A$2:$A$361,'QALS - Inspection Lot Record'!$O$2:$O$361)</f>
        <v>Ibuprofen Tablets (100 MG)</v>
      </c>
      <c r="D2835" s="31">
        <v>20</v>
      </c>
      <c r="E2835" s="29" t="s">
        <v>400</v>
      </c>
      <c r="F2835" s="29" t="str">
        <f>LOOKUP(A2835,'QALS - Inspection Lot Record'!A:A,'QALS - Inspection Lot Record'!G:G)</f>
        <v>TP397880</v>
      </c>
      <c r="G2835" s="59">
        <f ca="1">LOOKUP(A2835,'QALS - Inspection Lot Record'!A:A,'QALS - Inspection Lot Record'!E:E)</f>
        <v>46047</v>
      </c>
      <c r="H2835" s="34" t="str">
        <f t="shared" si="225"/>
        <v>A</v>
      </c>
      <c r="I2835" s="29" t="str">
        <f t="shared" si="221"/>
        <v>TP397880</v>
      </c>
      <c r="J2835" s="59">
        <f t="shared" ca="1" si="222"/>
        <v>46047</v>
      </c>
      <c r="K2835" s="30">
        <f ca="1">LOOKUP(A2835,'QALS - Inspection Lot Record'!A:A,'QALS - Inspection Lot Record'!I:I)</f>
        <v>0.81273148148148144</v>
      </c>
      <c r="L2835" s="59">
        <f t="shared" ca="1" si="223"/>
        <v>46047</v>
      </c>
      <c r="M2835" s="30">
        <f t="shared" ca="1" si="224"/>
        <v>0.8311574074074074</v>
      </c>
      <c r="N2835" s="31"/>
      <c r="O2835" s="31">
        <v>7.3</v>
      </c>
      <c r="P2835" s="29">
        <v>3.5</v>
      </c>
      <c r="Q2835" s="29">
        <v>11</v>
      </c>
    </row>
    <row r="2836" spans="1:17" x14ac:dyDescent="0.35">
      <c r="A2836" s="26">
        <v>40000002855</v>
      </c>
      <c r="B2836" s="31">
        <v>1</v>
      </c>
      <c r="C2836" s="29" t="str">
        <f>LOOKUP(A2836,'QALS - Inspection Lot Record'!$A$2:$A$361,'QALS - Inspection Lot Record'!$O$2:$O$361)</f>
        <v>Ibuprofen Tablets (100 MG)</v>
      </c>
      <c r="D2836" s="31">
        <v>30</v>
      </c>
      <c r="E2836" s="29" t="s">
        <v>401</v>
      </c>
      <c r="F2836" s="29" t="str">
        <f>LOOKUP(A2836,'QALS - Inspection Lot Record'!A:A,'QALS - Inspection Lot Record'!G:G)</f>
        <v>TP397880</v>
      </c>
      <c r="G2836" s="59">
        <f ca="1">LOOKUP(A2836,'QALS - Inspection Lot Record'!A:A,'QALS - Inspection Lot Record'!E:E)</f>
        <v>46047</v>
      </c>
      <c r="H2836" s="34" t="str">
        <f t="shared" si="225"/>
        <v>A</v>
      </c>
      <c r="I2836" s="29" t="str">
        <f t="shared" si="221"/>
        <v>TP397880</v>
      </c>
      <c r="J2836" s="59">
        <f t="shared" ca="1" si="222"/>
        <v>46047</v>
      </c>
      <c r="K2836" s="30">
        <f ca="1">LOOKUP(A2836,'QALS - Inspection Lot Record'!A:A,'QALS - Inspection Lot Record'!I:I)</f>
        <v>0.81273148148148144</v>
      </c>
      <c r="L2836" s="59">
        <f t="shared" ca="1" si="223"/>
        <v>46047</v>
      </c>
      <c r="M2836" s="30">
        <f t="shared" ca="1" si="224"/>
        <v>0.84359953703703705</v>
      </c>
      <c r="N2836" s="11" t="s">
        <v>402</v>
      </c>
      <c r="O2836" s="31"/>
      <c r="P2836" s="29"/>
      <c r="Q2836" s="29"/>
    </row>
    <row r="2837" spans="1:17" x14ac:dyDescent="0.35">
      <c r="A2837" s="26">
        <v>40000002855</v>
      </c>
      <c r="B2837" s="31">
        <v>1</v>
      </c>
      <c r="C2837" s="29" t="str">
        <f>LOOKUP(A2837,'QALS - Inspection Lot Record'!$A$2:$A$361,'QALS - Inspection Lot Record'!$O$2:$O$361)</f>
        <v>Ibuprofen Tablets (100 MG)</v>
      </c>
      <c r="D2837" s="31">
        <v>40</v>
      </c>
      <c r="E2837" s="29" t="s">
        <v>403</v>
      </c>
      <c r="F2837" s="29" t="str">
        <f>LOOKUP(A2837,'QALS - Inspection Lot Record'!A:A,'QALS - Inspection Lot Record'!G:G)</f>
        <v>TP397880</v>
      </c>
      <c r="G2837" s="59">
        <f ca="1">LOOKUP(A2837,'QALS - Inspection Lot Record'!A:A,'QALS - Inspection Lot Record'!E:E)</f>
        <v>46047</v>
      </c>
      <c r="H2837" s="34" t="str">
        <f t="shared" si="225"/>
        <v>A</v>
      </c>
      <c r="I2837" s="29" t="str">
        <f t="shared" si="221"/>
        <v>TP397880</v>
      </c>
      <c r="J2837" s="59">
        <f t="shared" ca="1" si="222"/>
        <v>46047</v>
      </c>
      <c r="K2837" s="30">
        <f ca="1">LOOKUP(A2837,'QALS - Inspection Lot Record'!A:A,'QALS - Inspection Lot Record'!I:I)</f>
        <v>0.81273148148148144</v>
      </c>
      <c r="L2837" s="59">
        <f t="shared" ca="1" si="223"/>
        <v>46047</v>
      </c>
      <c r="M2837" s="30">
        <f t="shared" ca="1" si="224"/>
        <v>0.83613425925925922</v>
      </c>
      <c r="N2837" s="31"/>
      <c r="O2837" s="31">
        <v>0.5</v>
      </c>
      <c r="P2837" s="29">
        <v>0</v>
      </c>
      <c r="Q2837" s="29">
        <v>1</v>
      </c>
    </row>
    <row r="2838" spans="1:17" x14ac:dyDescent="0.35">
      <c r="A2838" s="26">
        <v>40000002855</v>
      </c>
      <c r="B2838" s="31">
        <v>1</v>
      </c>
      <c r="C2838" s="29" t="str">
        <f>LOOKUP(A2838,'QALS - Inspection Lot Record'!$A$2:$A$361,'QALS - Inspection Lot Record'!$O$2:$O$361)</f>
        <v>Ibuprofen Tablets (100 MG)</v>
      </c>
      <c r="D2838" s="31">
        <v>50</v>
      </c>
      <c r="E2838" s="29" t="s">
        <v>404</v>
      </c>
      <c r="F2838" s="29" t="str">
        <f>LOOKUP(A2838,'QALS - Inspection Lot Record'!A:A,'QALS - Inspection Lot Record'!G:G)</f>
        <v>TP397880</v>
      </c>
      <c r="G2838" s="59">
        <f ca="1">LOOKUP(A2838,'QALS - Inspection Lot Record'!A:A,'QALS - Inspection Lot Record'!E:E)</f>
        <v>46047</v>
      </c>
      <c r="H2838" s="34" t="str">
        <f t="shared" si="225"/>
        <v>A</v>
      </c>
      <c r="I2838" s="29" t="str">
        <f t="shared" si="221"/>
        <v>TP397880</v>
      </c>
      <c r="J2838" s="59">
        <f t="shared" ca="1" si="222"/>
        <v>46047</v>
      </c>
      <c r="K2838" s="30">
        <f ca="1">LOOKUP(A2838,'QALS - Inspection Lot Record'!A:A,'QALS - Inspection Lot Record'!I:I)</f>
        <v>0.81273148148148144</v>
      </c>
      <c r="L2838" s="59">
        <f t="shared" ca="1" si="223"/>
        <v>46047</v>
      </c>
      <c r="M2838" s="30">
        <f t="shared" ca="1" si="224"/>
        <v>0.8321412037037037</v>
      </c>
      <c r="N2838" s="31"/>
      <c r="O2838" s="31">
        <v>41.2</v>
      </c>
      <c r="P2838" s="29">
        <v>40</v>
      </c>
      <c r="Q2838" s="29">
        <v>60</v>
      </c>
    </row>
    <row r="2839" spans="1:17" x14ac:dyDescent="0.35">
      <c r="A2839" s="26">
        <v>40000002855</v>
      </c>
      <c r="B2839" s="31">
        <v>1</v>
      </c>
      <c r="C2839" s="29" t="str">
        <f>LOOKUP(A2839,'QALS - Inspection Lot Record'!$A$2:$A$361,'QALS - Inspection Lot Record'!$O$2:$O$361)</f>
        <v>Ibuprofen Tablets (100 MG)</v>
      </c>
      <c r="D2839" s="31">
        <v>60</v>
      </c>
      <c r="E2839" s="29" t="s">
        <v>405</v>
      </c>
      <c r="F2839" s="29" t="str">
        <f>LOOKUP(A2839,'QALS - Inspection Lot Record'!A:A,'QALS - Inspection Lot Record'!G:G)</f>
        <v>TP397880</v>
      </c>
      <c r="G2839" s="59">
        <f ca="1">LOOKUP(A2839,'QALS - Inspection Lot Record'!A:A,'QALS - Inspection Lot Record'!E:E)</f>
        <v>46047</v>
      </c>
      <c r="H2839" s="34" t="str">
        <f t="shared" si="225"/>
        <v>A</v>
      </c>
      <c r="I2839" s="29" t="str">
        <f t="shared" si="221"/>
        <v>TP397880</v>
      </c>
      <c r="J2839" s="59">
        <f t="shared" ca="1" si="222"/>
        <v>46047</v>
      </c>
      <c r="K2839" s="30">
        <f ca="1">LOOKUP(A2839,'QALS - Inspection Lot Record'!A:A,'QALS - Inspection Lot Record'!I:I)</f>
        <v>0.81273148148148144</v>
      </c>
      <c r="L2839" s="59">
        <f t="shared" ca="1" si="223"/>
        <v>46047</v>
      </c>
      <c r="M2839" s="30">
        <f t="shared" ca="1" si="224"/>
        <v>0.84091435185185182</v>
      </c>
      <c r="N2839" s="31"/>
      <c r="O2839" s="31">
        <v>71.599999999999994</v>
      </c>
      <c r="P2839" s="29">
        <v>70</v>
      </c>
      <c r="Q2839" s="29">
        <v>85</v>
      </c>
    </row>
    <row r="2840" spans="1:17" x14ac:dyDescent="0.35">
      <c r="A2840" s="26">
        <v>40000002855</v>
      </c>
      <c r="B2840" s="31">
        <v>1</v>
      </c>
      <c r="C2840" s="29" t="str">
        <f>LOOKUP(A2840,'QALS - Inspection Lot Record'!$A$2:$A$361,'QALS - Inspection Lot Record'!$O$2:$O$361)</f>
        <v>Ibuprofen Tablets (100 MG)</v>
      </c>
      <c r="D2840" s="31">
        <v>70</v>
      </c>
      <c r="E2840" s="29" t="s">
        <v>406</v>
      </c>
      <c r="F2840" s="29" t="str">
        <f>LOOKUP(A2840,'QALS - Inspection Lot Record'!A:A,'QALS - Inspection Lot Record'!G:G)</f>
        <v>TP397880</v>
      </c>
      <c r="G2840" s="59">
        <f ca="1">LOOKUP(A2840,'QALS - Inspection Lot Record'!A:A,'QALS - Inspection Lot Record'!E:E)</f>
        <v>46047</v>
      </c>
      <c r="H2840" s="34" t="str">
        <f t="shared" si="225"/>
        <v>A</v>
      </c>
      <c r="I2840" s="29" t="str">
        <f t="shared" si="221"/>
        <v>TP397880</v>
      </c>
      <c r="J2840" s="59">
        <f t="shared" ca="1" si="222"/>
        <v>46047</v>
      </c>
      <c r="K2840" s="30">
        <f ca="1">LOOKUP(A2840,'QALS - Inspection Lot Record'!A:A,'QALS - Inspection Lot Record'!I:I)</f>
        <v>0.81273148148148144</v>
      </c>
      <c r="L2840" s="59">
        <f t="shared" ca="1" si="223"/>
        <v>46047</v>
      </c>
      <c r="M2840" s="30">
        <f t="shared" ca="1" si="224"/>
        <v>0.83879629629629626</v>
      </c>
      <c r="N2840" s="31"/>
      <c r="O2840" s="31">
        <v>81.099999999999994</v>
      </c>
      <c r="P2840" s="29">
        <v>80</v>
      </c>
      <c r="Q2840" s="29">
        <v>90</v>
      </c>
    </row>
    <row r="2841" spans="1:17" x14ac:dyDescent="0.35">
      <c r="A2841" s="26">
        <v>40000002855</v>
      </c>
      <c r="B2841" s="31">
        <v>1</v>
      </c>
      <c r="C2841" s="29" t="str">
        <f>LOOKUP(A2841,'QALS - Inspection Lot Record'!$A$2:$A$361,'QALS - Inspection Lot Record'!$O$2:$O$361)</f>
        <v>Ibuprofen Tablets (100 MG)</v>
      </c>
      <c r="D2841" s="31">
        <v>80</v>
      </c>
      <c r="E2841" s="29" t="s">
        <v>407</v>
      </c>
      <c r="F2841" s="29" t="str">
        <f>LOOKUP(A2841,'QALS - Inspection Lot Record'!A:A,'QALS - Inspection Lot Record'!G:G)</f>
        <v>TP397880</v>
      </c>
      <c r="G2841" s="59">
        <f ca="1">LOOKUP(A2841,'QALS - Inspection Lot Record'!A:A,'QALS - Inspection Lot Record'!E:E)</f>
        <v>46047</v>
      </c>
      <c r="H2841" s="34" t="str">
        <f t="shared" si="225"/>
        <v>A</v>
      </c>
      <c r="I2841" s="29" t="str">
        <f t="shared" si="221"/>
        <v>TP397880</v>
      </c>
      <c r="J2841" s="59">
        <f t="shared" ca="1" si="222"/>
        <v>46047</v>
      </c>
      <c r="K2841" s="30">
        <f ca="1">LOOKUP(A2841,'QALS - Inspection Lot Record'!A:A,'QALS - Inspection Lot Record'!I:I)</f>
        <v>0.81273148148148144</v>
      </c>
      <c r="L2841" s="59">
        <f t="shared" ca="1" si="223"/>
        <v>46047</v>
      </c>
      <c r="M2841" s="30">
        <f t="shared" ca="1" si="224"/>
        <v>0.83423611111111107</v>
      </c>
      <c r="N2841" s="31"/>
      <c r="O2841" s="31">
        <v>24</v>
      </c>
      <c r="P2841" s="29">
        <v>23</v>
      </c>
      <c r="Q2841" s="29">
        <v>25</v>
      </c>
    </row>
    <row r="2842" spans="1:17" x14ac:dyDescent="0.35">
      <c r="A2842" s="26">
        <v>40000002856</v>
      </c>
      <c r="B2842" s="27">
        <v>1</v>
      </c>
      <c r="C2842" s="29" t="str">
        <f>LOOKUP(A2842,'QALS - Inspection Lot Record'!$A$2:$A$361,'QALS - Inspection Lot Record'!$O$2:$O$361)</f>
        <v>Metformin Tablets (500 MG)</v>
      </c>
      <c r="D2842" s="27">
        <v>10</v>
      </c>
      <c r="E2842" s="26" t="s">
        <v>399</v>
      </c>
      <c r="F2842" s="29" t="str">
        <f>LOOKUP(A2842,'QALS - Inspection Lot Record'!A:A,'QALS - Inspection Lot Record'!G:G)</f>
        <v>YA284176</v>
      </c>
      <c r="G2842" s="59">
        <f ca="1">LOOKUP(A2842,'QALS - Inspection Lot Record'!A:A,'QALS - Inspection Lot Record'!E:E)</f>
        <v>46047</v>
      </c>
      <c r="H2842" s="34" t="str">
        <f t="shared" si="225"/>
        <v>A</v>
      </c>
      <c r="I2842" s="29" t="str">
        <f t="shared" si="221"/>
        <v>YA284176</v>
      </c>
      <c r="J2842" s="59">
        <f t="shared" ca="1" si="222"/>
        <v>46047</v>
      </c>
      <c r="K2842" s="30">
        <f ca="1">LOOKUP(A2842,'QALS - Inspection Lot Record'!A:A,'QALS - Inspection Lot Record'!I:I)</f>
        <v>0.35972222222222222</v>
      </c>
      <c r="L2842" s="59">
        <f t="shared" ca="1" si="223"/>
        <v>46047</v>
      </c>
      <c r="M2842" s="30">
        <f t="shared" ca="1" si="224"/>
        <v>0.38815972222222223</v>
      </c>
      <c r="N2842" s="31"/>
      <c r="O2842" s="31">
        <v>100</v>
      </c>
      <c r="P2842" s="29">
        <v>95</v>
      </c>
      <c r="Q2842" s="29">
        <v>105</v>
      </c>
    </row>
    <row r="2843" spans="1:17" x14ac:dyDescent="0.35">
      <c r="A2843" s="26">
        <v>40000002856</v>
      </c>
      <c r="B2843" s="27">
        <v>1</v>
      </c>
      <c r="C2843" s="29" t="str">
        <f>LOOKUP(A2843,'QALS - Inspection Lot Record'!$A$2:$A$361,'QALS - Inspection Lot Record'!$O$2:$O$361)</f>
        <v>Metformin Tablets (500 MG)</v>
      </c>
      <c r="D2843" s="31">
        <v>20</v>
      </c>
      <c r="E2843" s="29" t="s">
        <v>400</v>
      </c>
      <c r="F2843" s="29" t="str">
        <f>LOOKUP(A2843,'QALS - Inspection Lot Record'!A:A,'QALS - Inspection Lot Record'!G:G)</f>
        <v>YA284176</v>
      </c>
      <c r="G2843" s="59">
        <f ca="1">LOOKUP(A2843,'QALS - Inspection Lot Record'!A:A,'QALS - Inspection Lot Record'!E:E)</f>
        <v>46047</v>
      </c>
      <c r="H2843" s="34" t="str">
        <f t="shared" si="225"/>
        <v>A</v>
      </c>
      <c r="I2843" s="29" t="str">
        <f t="shared" si="221"/>
        <v>YA284176</v>
      </c>
      <c r="J2843" s="59">
        <f t="shared" ca="1" si="222"/>
        <v>46047</v>
      </c>
      <c r="K2843" s="30">
        <f ca="1">LOOKUP(A2843,'QALS - Inspection Lot Record'!A:A,'QALS - Inspection Lot Record'!I:I)</f>
        <v>0.35972222222222222</v>
      </c>
      <c r="L2843" s="59">
        <f t="shared" ca="1" si="223"/>
        <v>46047</v>
      </c>
      <c r="M2843" s="30">
        <f t="shared" ca="1" si="224"/>
        <v>0.38052083333333331</v>
      </c>
      <c r="N2843" s="31"/>
      <c r="O2843" s="31">
        <v>7.3</v>
      </c>
      <c r="P2843" s="29">
        <v>3.5</v>
      </c>
      <c r="Q2843" s="29">
        <v>11</v>
      </c>
    </row>
    <row r="2844" spans="1:17" x14ac:dyDescent="0.35">
      <c r="A2844" s="26">
        <v>40000002856</v>
      </c>
      <c r="B2844" s="31">
        <v>1</v>
      </c>
      <c r="C2844" s="29" t="str">
        <f>LOOKUP(A2844,'QALS - Inspection Lot Record'!$A$2:$A$361,'QALS - Inspection Lot Record'!$O$2:$O$361)</f>
        <v>Metformin Tablets (500 MG)</v>
      </c>
      <c r="D2844" s="31">
        <v>30</v>
      </c>
      <c r="E2844" s="29" t="s">
        <v>401</v>
      </c>
      <c r="F2844" s="29" t="str">
        <f>LOOKUP(A2844,'QALS - Inspection Lot Record'!A:A,'QALS - Inspection Lot Record'!G:G)</f>
        <v>YA284176</v>
      </c>
      <c r="G2844" s="59">
        <f ca="1">LOOKUP(A2844,'QALS - Inspection Lot Record'!A:A,'QALS - Inspection Lot Record'!E:E)</f>
        <v>46047</v>
      </c>
      <c r="H2844" s="34" t="str">
        <f t="shared" si="225"/>
        <v>A</v>
      </c>
      <c r="I2844" s="29" t="str">
        <f t="shared" si="221"/>
        <v>YA284176</v>
      </c>
      <c r="J2844" s="59">
        <f t="shared" ca="1" si="222"/>
        <v>46047</v>
      </c>
      <c r="K2844" s="30">
        <f ca="1">LOOKUP(A2844,'QALS - Inspection Lot Record'!A:A,'QALS - Inspection Lot Record'!I:I)</f>
        <v>0.35972222222222222</v>
      </c>
      <c r="L2844" s="59">
        <f t="shared" ca="1" si="223"/>
        <v>46047</v>
      </c>
      <c r="M2844" s="30">
        <f t="shared" ca="1" si="224"/>
        <v>0.38872685185185185</v>
      </c>
      <c r="N2844" s="11" t="s">
        <v>402</v>
      </c>
      <c r="O2844" s="31"/>
      <c r="P2844" s="29"/>
      <c r="Q2844" s="29"/>
    </row>
    <row r="2845" spans="1:17" x14ac:dyDescent="0.35">
      <c r="A2845" s="26">
        <v>40000002856</v>
      </c>
      <c r="B2845" s="31">
        <v>1</v>
      </c>
      <c r="C2845" s="29" t="str">
        <f>LOOKUP(A2845,'QALS - Inspection Lot Record'!$A$2:$A$361,'QALS - Inspection Lot Record'!$O$2:$O$361)</f>
        <v>Metformin Tablets (500 MG)</v>
      </c>
      <c r="D2845" s="31">
        <v>40</v>
      </c>
      <c r="E2845" s="29" t="s">
        <v>403</v>
      </c>
      <c r="F2845" s="29" t="str">
        <f>LOOKUP(A2845,'QALS - Inspection Lot Record'!A:A,'QALS - Inspection Lot Record'!G:G)</f>
        <v>YA284176</v>
      </c>
      <c r="G2845" s="59">
        <f ca="1">LOOKUP(A2845,'QALS - Inspection Lot Record'!A:A,'QALS - Inspection Lot Record'!E:E)</f>
        <v>46047</v>
      </c>
      <c r="H2845" s="34" t="str">
        <f t="shared" si="225"/>
        <v>A</v>
      </c>
      <c r="I2845" s="29" t="str">
        <f t="shared" si="221"/>
        <v>YA284176</v>
      </c>
      <c r="J2845" s="59">
        <f t="shared" ca="1" si="222"/>
        <v>46047</v>
      </c>
      <c r="K2845" s="30">
        <f ca="1">LOOKUP(A2845,'QALS - Inspection Lot Record'!A:A,'QALS - Inspection Lot Record'!I:I)</f>
        <v>0.35972222222222222</v>
      </c>
      <c r="L2845" s="59">
        <f t="shared" ca="1" si="223"/>
        <v>46047</v>
      </c>
      <c r="M2845" s="30">
        <f t="shared" ca="1" si="224"/>
        <v>0.39228009259259261</v>
      </c>
      <c r="N2845" s="31"/>
      <c r="O2845" s="31">
        <v>1.6</v>
      </c>
      <c r="P2845" s="29">
        <v>0</v>
      </c>
      <c r="Q2845" s="29">
        <v>2</v>
      </c>
    </row>
    <row r="2846" spans="1:17" x14ac:dyDescent="0.35">
      <c r="A2846" s="26">
        <v>40000002856</v>
      </c>
      <c r="B2846" s="31">
        <v>1</v>
      </c>
      <c r="C2846" s="29" t="str">
        <f>LOOKUP(A2846,'QALS - Inspection Lot Record'!$A$2:$A$361,'QALS - Inspection Lot Record'!$O$2:$O$361)</f>
        <v>Metformin Tablets (500 MG)</v>
      </c>
      <c r="D2846" s="31">
        <v>50</v>
      </c>
      <c r="E2846" s="29" t="s">
        <v>404</v>
      </c>
      <c r="F2846" s="29" t="str">
        <f>LOOKUP(A2846,'QALS - Inspection Lot Record'!A:A,'QALS - Inspection Lot Record'!G:G)</f>
        <v>YA284176</v>
      </c>
      <c r="G2846" s="59">
        <f ca="1">LOOKUP(A2846,'QALS - Inspection Lot Record'!A:A,'QALS - Inspection Lot Record'!E:E)</f>
        <v>46047</v>
      </c>
      <c r="H2846" s="34" t="str">
        <f t="shared" si="225"/>
        <v>A</v>
      </c>
      <c r="I2846" s="29" t="str">
        <f t="shared" si="221"/>
        <v>YA284176</v>
      </c>
      <c r="J2846" s="59">
        <f t="shared" ca="1" si="222"/>
        <v>46047</v>
      </c>
      <c r="K2846" s="30">
        <f ca="1">LOOKUP(A2846,'QALS - Inspection Lot Record'!A:A,'QALS - Inspection Lot Record'!I:I)</f>
        <v>0.35972222222222222</v>
      </c>
      <c r="L2846" s="59">
        <f t="shared" ca="1" si="223"/>
        <v>46047</v>
      </c>
      <c r="M2846" s="30">
        <f t="shared" ca="1" si="224"/>
        <v>0.39315972222222223</v>
      </c>
      <c r="N2846" s="31"/>
      <c r="O2846" s="31">
        <v>41.5</v>
      </c>
      <c r="P2846" s="29">
        <v>40</v>
      </c>
      <c r="Q2846" s="29">
        <v>60</v>
      </c>
    </row>
    <row r="2847" spans="1:17" x14ac:dyDescent="0.35">
      <c r="A2847" s="26">
        <v>40000002856</v>
      </c>
      <c r="B2847" s="31">
        <v>1</v>
      </c>
      <c r="C2847" s="29" t="str">
        <f>LOOKUP(A2847,'QALS - Inspection Lot Record'!$A$2:$A$361,'QALS - Inspection Lot Record'!$O$2:$O$361)</f>
        <v>Metformin Tablets (500 MG)</v>
      </c>
      <c r="D2847" s="31">
        <v>60</v>
      </c>
      <c r="E2847" s="29" t="s">
        <v>405</v>
      </c>
      <c r="F2847" s="29" t="str">
        <f>LOOKUP(A2847,'QALS - Inspection Lot Record'!A:A,'QALS - Inspection Lot Record'!G:G)</f>
        <v>YA284176</v>
      </c>
      <c r="G2847" s="59">
        <f ca="1">LOOKUP(A2847,'QALS - Inspection Lot Record'!A:A,'QALS - Inspection Lot Record'!E:E)</f>
        <v>46047</v>
      </c>
      <c r="H2847" s="34" t="str">
        <f t="shared" si="225"/>
        <v>A</v>
      </c>
      <c r="I2847" s="29" t="str">
        <f t="shared" si="221"/>
        <v>YA284176</v>
      </c>
      <c r="J2847" s="59">
        <f t="shared" ca="1" si="222"/>
        <v>46047</v>
      </c>
      <c r="K2847" s="30">
        <f ca="1">LOOKUP(A2847,'QALS - Inspection Lot Record'!A:A,'QALS - Inspection Lot Record'!I:I)</f>
        <v>0.35972222222222222</v>
      </c>
      <c r="L2847" s="59">
        <f t="shared" ca="1" si="223"/>
        <v>46047</v>
      </c>
      <c r="M2847" s="30">
        <f t="shared" ca="1" si="224"/>
        <v>0.37819444444444444</v>
      </c>
      <c r="N2847" s="31"/>
      <c r="O2847" s="31">
        <v>71.7</v>
      </c>
      <c r="P2847" s="29">
        <v>70</v>
      </c>
      <c r="Q2847" s="29">
        <v>85</v>
      </c>
    </row>
    <row r="2848" spans="1:17" x14ac:dyDescent="0.35">
      <c r="A2848" s="26">
        <v>40000002856</v>
      </c>
      <c r="B2848" s="31">
        <v>1</v>
      </c>
      <c r="C2848" s="29" t="str">
        <f>LOOKUP(A2848,'QALS - Inspection Lot Record'!$A$2:$A$361,'QALS - Inspection Lot Record'!$O$2:$O$361)</f>
        <v>Metformin Tablets (500 MG)</v>
      </c>
      <c r="D2848" s="31">
        <v>70</v>
      </c>
      <c r="E2848" s="29" t="s">
        <v>406</v>
      </c>
      <c r="F2848" s="29" t="str">
        <f>LOOKUP(A2848,'QALS - Inspection Lot Record'!A:A,'QALS - Inspection Lot Record'!G:G)</f>
        <v>YA284176</v>
      </c>
      <c r="G2848" s="59">
        <f ca="1">LOOKUP(A2848,'QALS - Inspection Lot Record'!A:A,'QALS - Inspection Lot Record'!E:E)</f>
        <v>46047</v>
      </c>
      <c r="H2848" s="34" t="str">
        <f t="shared" si="225"/>
        <v>A</v>
      </c>
      <c r="I2848" s="29" t="str">
        <f t="shared" si="221"/>
        <v>YA284176</v>
      </c>
      <c r="J2848" s="59">
        <f t="shared" ca="1" si="222"/>
        <v>46047</v>
      </c>
      <c r="K2848" s="30">
        <f ca="1">LOOKUP(A2848,'QALS - Inspection Lot Record'!A:A,'QALS - Inspection Lot Record'!I:I)</f>
        <v>0.35972222222222222</v>
      </c>
      <c r="L2848" s="59">
        <f t="shared" ca="1" si="223"/>
        <v>46047</v>
      </c>
      <c r="M2848" s="30">
        <f t="shared" ca="1" si="224"/>
        <v>0.39087962962962963</v>
      </c>
      <c r="N2848" s="31"/>
      <c r="O2848" s="31">
        <v>81.099999999999994</v>
      </c>
      <c r="P2848" s="29">
        <v>80</v>
      </c>
      <c r="Q2848" s="29">
        <v>90</v>
      </c>
    </row>
    <row r="2849" spans="1:17" x14ac:dyDescent="0.35">
      <c r="A2849" s="26">
        <v>40000002856</v>
      </c>
      <c r="B2849" s="31">
        <v>1</v>
      </c>
      <c r="C2849" s="29" t="str">
        <f>LOOKUP(A2849,'QALS - Inspection Lot Record'!$A$2:$A$361,'QALS - Inspection Lot Record'!$O$2:$O$361)</f>
        <v>Metformin Tablets (500 MG)</v>
      </c>
      <c r="D2849" s="31">
        <v>80</v>
      </c>
      <c r="E2849" s="29" t="s">
        <v>407</v>
      </c>
      <c r="F2849" s="29" t="str">
        <f>LOOKUP(A2849,'QALS - Inspection Lot Record'!A:A,'QALS - Inspection Lot Record'!G:G)</f>
        <v>YA284176</v>
      </c>
      <c r="G2849" s="59">
        <f ca="1">LOOKUP(A2849,'QALS - Inspection Lot Record'!A:A,'QALS - Inspection Lot Record'!E:E)</f>
        <v>46047</v>
      </c>
      <c r="H2849" s="34" t="str">
        <f t="shared" si="225"/>
        <v>A</v>
      </c>
      <c r="I2849" s="29" t="str">
        <f t="shared" si="221"/>
        <v>YA284176</v>
      </c>
      <c r="J2849" s="59">
        <f t="shared" ca="1" si="222"/>
        <v>46047</v>
      </c>
      <c r="K2849" s="30">
        <f ca="1">LOOKUP(A2849,'QALS - Inspection Lot Record'!A:A,'QALS - Inspection Lot Record'!I:I)</f>
        <v>0.35972222222222222</v>
      </c>
      <c r="L2849" s="59">
        <f t="shared" ca="1" si="223"/>
        <v>46047</v>
      </c>
      <c r="M2849" s="30">
        <f t="shared" ca="1" si="224"/>
        <v>0.39510416666666665</v>
      </c>
      <c r="N2849" s="31"/>
      <c r="O2849" s="31">
        <v>25.5</v>
      </c>
      <c r="P2849" s="29">
        <v>23</v>
      </c>
      <c r="Q2849" s="29">
        <v>28</v>
      </c>
    </row>
    <row r="2850" spans="1:17" x14ac:dyDescent="0.35">
      <c r="A2850" s="26">
        <v>40000002857</v>
      </c>
      <c r="B2850" s="27">
        <v>1</v>
      </c>
      <c r="C2850" s="29" t="str">
        <f>LOOKUP(A2850,'QALS - Inspection Lot Record'!$A$2:$A$361,'QALS - Inspection Lot Record'!$O$2:$O$361)</f>
        <v>Metformin Tablets (100 MG)</v>
      </c>
      <c r="D2850" s="27">
        <v>10</v>
      </c>
      <c r="E2850" s="26" t="s">
        <v>399</v>
      </c>
      <c r="F2850" s="29" t="str">
        <f>LOOKUP(A2850,'QALS - Inspection Lot Record'!A:A,'QALS - Inspection Lot Record'!G:G)</f>
        <v>AB406550</v>
      </c>
      <c r="G2850" s="59">
        <f ca="1">LOOKUP(A2850,'QALS - Inspection Lot Record'!A:A,'QALS - Inspection Lot Record'!E:E)</f>
        <v>46048</v>
      </c>
      <c r="H2850" s="34" t="str">
        <f t="shared" si="225"/>
        <v>A</v>
      </c>
      <c r="I2850" s="29" t="str">
        <f t="shared" si="221"/>
        <v>AB406550</v>
      </c>
      <c r="J2850" s="59">
        <f t="shared" ca="1" si="222"/>
        <v>46048</v>
      </c>
      <c r="K2850" s="30">
        <f ca="1">LOOKUP(A2850,'QALS - Inspection Lot Record'!A:A,'QALS - Inspection Lot Record'!I:I)</f>
        <v>0.83967592592592588</v>
      </c>
      <c r="L2850" s="59">
        <f t="shared" ca="1" si="223"/>
        <v>46048</v>
      </c>
      <c r="M2850" s="30">
        <f t="shared" ca="1" si="224"/>
        <v>0.86251157407407408</v>
      </c>
      <c r="N2850" s="31"/>
      <c r="O2850" s="31">
        <v>98.5</v>
      </c>
      <c r="P2850" s="29">
        <v>95</v>
      </c>
      <c r="Q2850" s="29">
        <v>102</v>
      </c>
    </row>
    <row r="2851" spans="1:17" x14ac:dyDescent="0.35">
      <c r="A2851" s="26">
        <v>40000002857</v>
      </c>
      <c r="B2851" s="27">
        <v>1</v>
      </c>
      <c r="C2851" s="29" t="str">
        <f>LOOKUP(A2851,'QALS - Inspection Lot Record'!$A$2:$A$361,'QALS - Inspection Lot Record'!$O$2:$O$361)</f>
        <v>Metformin Tablets (100 MG)</v>
      </c>
      <c r="D2851" s="31">
        <v>20</v>
      </c>
      <c r="E2851" s="29" t="s">
        <v>400</v>
      </c>
      <c r="F2851" s="29" t="str">
        <f>LOOKUP(A2851,'QALS - Inspection Lot Record'!A:A,'QALS - Inspection Lot Record'!G:G)</f>
        <v>AB406550</v>
      </c>
      <c r="G2851" s="59">
        <f ca="1">LOOKUP(A2851,'QALS - Inspection Lot Record'!A:A,'QALS - Inspection Lot Record'!E:E)</f>
        <v>46048</v>
      </c>
      <c r="H2851" s="34" t="str">
        <f t="shared" si="225"/>
        <v>A</v>
      </c>
      <c r="I2851" s="29" t="str">
        <f t="shared" si="221"/>
        <v>AB406550</v>
      </c>
      <c r="J2851" s="59">
        <f t="shared" ca="1" si="222"/>
        <v>46048</v>
      </c>
      <c r="K2851" s="30">
        <f ca="1">LOOKUP(A2851,'QALS - Inspection Lot Record'!A:A,'QALS - Inspection Lot Record'!I:I)</f>
        <v>0.83967592592592588</v>
      </c>
      <c r="L2851" s="59">
        <f t="shared" ca="1" si="223"/>
        <v>46048</v>
      </c>
      <c r="M2851" s="30">
        <f t="shared" ca="1" si="224"/>
        <v>0.86390046296296297</v>
      </c>
      <c r="N2851" s="31"/>
      <c r="O2851" s="31">
        <v>7.25</v>
      </c>
      <c r="P2851" s="29">
        <v>3.5</v>
      </c>
      <c r="Q2851" s="29">
        <v>11</v>
      </c>
    </row>
    <row r="2852" spans="1:17" x14ac:dyDescent="0.35">
      <c r="A2852" s="26">
        <v>40000002857</v>
      </c>
      <c r="B2852" s="31">
        <v>1</v>
      </c>
      <c r="C2852" s="29" t="str">
        <f>LOOKUP(A2852,'QALS - Inspection Lot Record'!$A$2:$A$361,'QALS - Inspection Lot Record'!$O$2:$O$361)</f>
        <v>Metformin Tablets (100 MG)</v>
      </c>
      <c r="D2852" s="31">
        <v>30</v>
      </c>
      <c r="E2852" s="29" t="s">
        <v>401</v>
      </c>
      <c r="F2852" s="29" t="str">
        <f>LOOKUP(A2852,'QALS - Inspection Lot Record'!A:A,'QALS - Inspection Lot Record'!G:G)</f>
        <v>AB406550</v>
      </c>
      <c r="G2852" s="59">
        <f ca="1">LOOKUP(A2852,'QALS - Inspection Lot Record'!A:A,'QALS - Inspection Lot Record'!E:E)</f>
        <v>46048</v>
      </c>
      <c r="H2852" s="34" t="str">
        <f t="shared" si="225"/>
        <v>A</v>
      </c>
      <c r="I2852" s="29" t="str">
        <f t="shared" si="221"/>
        <v>AB406550</v>
      </c>
      <c r="J2852" s="59">
        <f t="shared" ca="1" si="222"/>
        <v>46048</v>
      </c>
      <c r="K2852" s="30">
        <f ca="1">LOOKUP(A2852,'QALS - Inspection Lot Record'!A:A,'QALS - Inspection Lot Record'!I:I)</f>
        <v>0.83967592592592588</v>
      </c>
      <c r="L2852" s="59">
        <f t="shared" ca="1" si="223"/>
        <v>46048</v>
      </c>
      <c r="M2852" s="30">
        <f t="shared" ca="1" si="224"/>
        <v>0.86833333333333329</v>
      </c>
      <c r="N2852" s="11" t="s">
        <v>402</v>
      </c>
      <c r="O2852" s="31"/>
      <c r="P2852" s="29"/>
      <c r="Q2852" s="29"/>
    </row>
    <row r="2853" spans="1:17" x14ac:dyDescent="0.35">
      <c r="A2853" s="26">
        <v>40000002857</v>
      </c>
      <c r="B2853" s="31">
        <v>1</v>
      </c>
      <c r="C2853" s="29" t="str">
        <f>LOOKUP(A2853,'QALS - Inspection Lot Record'!$A$2:$A$361,'QALS - Inspection Lot Record'!$O$2:$O$361)</f>
        <v>Metformin Tablets (100 MG)</v>
      </c>
      <c r="D2853" s="31">
        <v>40</v>
      </c>
      <c r="E2853" s="29" t="s">
        <v>403</v>
      </c>
      <c r="F2853" s="29" t="str">
        <f>LOOKUP(A2853,'QALS - Inspection Lot Record'!A:A,'QALS - Inspection Lot Record'!G:G)</f>
        <v>AB406550</v>
      </c>
      <c r="G2853" s="59">
        <f ca="1">LOOKUP(A2853,'QALS - Inspection Lot Record'!A:A,'QALS - Inspection Lot Record'!E:E)</f>
        <v>46048</v>
      </c>
      <c r="H2853" s="34" t="str">
        <f t="shared" si="225"/>
        <v>A</v>
      </c>
      <c r="I2853" s="29" t="str">
        <f t="shared" si="221"/>
        <v>AB406550</v>
      </c>
      <c r="J2853" s="59">
        <f t="shared" ca="1" si="222"/>
        <v>46048</v>
      </c>
      <c r="K2853" s="30">
        <f ca="1">LOOKUP(A2853,'QALS - Inspection Lot Record'!A:A,'QALS - Inspection Lot Record'!I:I)</f>
        <v>0.83967592592592588</v>
      </c>
      <c r="L2853" s="59">
        <f t="shared" ca="1" si="223"/>
        <v>46048</v>
      </c>
      <c r="M2853" s="30">
        <f t="shared" ca="1" si="224"/>
        <v>0.87297453703703698</v>
      </c>
      <c r="N2853" s="31"/>
      <c r="O2853" s="31">
        <v>0</v>
      </c>
      <c r="P2853" s="29">
        <v>0</v>
      </c>
      <c r="Q2853" s="29">
        <v>1</v>
      </c>
    </row>
    <row r="2854" spans="1:17" x14ac:dyDescent="0.35">
      <c r="A2854" s="26">
        <v>40000002857</v>
      </c>
      <c r="B2854" s="31">
        <v>1</v>
      </c>
      <c r="C2854" s="29" t="str">
        <f>LOOKUP(A2854,'QALS - Inspection Lot Record'!$A$2:$A$361,'QALS - Inspection Lot Record'!$O$2:$O$361)</f>
        <v>Metformin Tablets (100 MG)</v>
      </c>
      <c r="D2854" s="31">
        <v>50</v>
      </c>
      <c r="E2854" s="29" t="s">
        <v>404</v>
      </c>
      <c r="F2854" s="29" t="str">
        <f>LOOKUP(A2854,'QALS - Inspection Lot Record'!A:A,'QALS - Inspection Lot Record'!G:G)</f>
        <v>AB406550</v>
      </c>
      <c r="G2854" s="59">
        <f ca="1">LOOKUP(A2854,'QALS - Inspection Lot Record'!A:A,'QALS - Inspection Lot Record'!E:E)</f>
        <v>46048</v>
      </c>
      <c r="H2854" s="34" t="str">
        <f t="shared" si="225"/>
        <v>A</v>
      </c>
      <c r="I2854" s="29" t="str">
        <f t="shared" si="221"/>
        <v>AB406550</v>
      </c>
      <c r="J2854" s="59">
        <f t="shared" ca="1" si="222"/>
        <v>46048</v>
      </c>
      <c r="K2854" s="30">
        <f ca="1">LOOKUP(A2854,'QALS - Inspection Lot Record'!A:A,'QALS - Inspection Lot Record'!I:I)</f>
        <v>0.83967592592592588</v>
      </c>
      <c r="L2854" s="59">
        <f t="shared" ca="1" si="223"/>
        <v>46048</v>
      </c>
      <c r="M2854" s="30">
        <f t="shared" ca="1" si="224"/>
        <v>0.86728009259259253</v>
      </c>
      <c r="N2854" s="31"/>
      <c r="O2854" s="31">
        <v>50</v>
      </c>
      <c r="P2854" s="29">
        <v>40</v>
      </c>
      <c r="Q2854" s="29">
        <v>60</v>
      </c>
    </row>
    <row r="2855" spans="1:17" x14ac:dyDescent="0.35">
      <c r="A2855" s="26">
        <v>40000002857</v>
      </c>
      <c r="B2855" s="31">
        <v>1</v>
      </c>
      <c r="C2855" s="29" t="str">
        <f>LOOKUP(A2855,'QALS - Inspection Lot Record'!$A$2:$A$361,'QALS - Inspection Lot Record'!$O$2:$O$361)</f>
        <v>Metformin Tablets (100 MG)</v>
      </c>
      <c r="D2855" s="31">
        <v>60</v>
      </c>
      <c r="E2855" s="29" t="s">
        <v>405</v>
      </c>
      <c r="F2855" s="29" t="str">
        <f>LOOKUP(A2855,'QALS - Inspection Lot Record'!A:A,'QALS - Inspection Lot Record'!G:G)</f>
        <v>AB406550</v>
      </c>
      <c r="G2855" s="59">
        <f ca="1">LOOKUP(A2855,'QALS - Inspection Lot Record'!A:A,'QALS - Inspection Lot Record'!E:E)</f>
        <v>46048</v>
      </c>
      <c r="H2855" s="34" t="str">
        <f t="shared" si="225"/>
        <v>A</v>
      </c>
      <c r="I2855" s="29" t="str">
        <f t="shared" si="221"/>
        <v>AB406550</v>
      </c>
      <c r="J2855" s="59">
        <f t="shared" ca="1" si="222"/>
        <v>46048</v>
      </c>
      <c r="K2855" s="30">
        <f ca="1">LOOKUP(A2855,'QALS - Inspection Lot Record'!A:A,'QALS - Inspection Lot Record'!I:I)</f>
        <v>0.83967592592592588</v>
      </c>
      <c r="L2855" s="59">
        <f t="shared" ca="1" si="223"/>
        <v>46048</v>
      </c>
      <c r="M2855" s="30">
        <f t="shared" ca="1" si="224"/>
        <v>0.86614583333333328</v>
      </c>
      <c r="N2855" s="31"/>
      <c r="O2855" s="31">
        <v>77.5</v>
      </c>
      <c r="P2855" s="29">
        <v>70</v>
      </c>
      <c r="Q2855" s="29">
        <v>85</v>
      </c>
    </row>
    <row r="2856" spans="1:17" x14ac:dyDescent="0.35">
      <c r="A2856" s="26">
        <v>40000002857</v>
      </c>
      <c r="B2856" s="31">
        <v>1</v>
      </c>
      <c r="C2856" s="29" t="str">
        <f>LOOKUP(A2856,'QALS - Inspection Lot Record'!$A$2:$A$361,'QALS - Inspection Lot Record'!$O$2:$O$361)</f>
        <v>Metformin Tablets (100 MG)</v>
      </c>
      <c r="D2856" s="31">
        <v>70</v>
      </c>
      <c r="E2856" s="29" t="s">
        <v>406</v>
      </c>
      <c r="F2856" s="29" t="str">
        <f>LOOKUP(A2856,'QALS - Inspection Lot Record'!A:A,'QALS - Inspection Lot Record'!G:G)</f>
        <v>AB406550</v>
      </c>
      <c r="G2856" s="59">
        <f ca="1">LOOKUP(A2856,'QALS - Inspection Lot Record'!A:A,'QALS - Inspection Lot Record'!E:E)</f>
        <v>46048</v>
      </c>
      <c r="H2856" s="34" t="str">
        <f t="shared" si="225"/>
        <v>A</v>
      </c>
      <c r="I2856" s="29" t="str">
        <f t="shared" si="221"/>
        <v>AB406550</v>
      </c>
      <c r="J2856" s="59">
        <f t="shared" ca="1" si="222"/>
        <v>46048</v>
      </c>
      <c r="K2856" s="30">
        <f ca="1">LOOKUP(A2856,'QALS - Inspection Lot Record'!A:A,'QALS - Inspection Lot Record'!I:I)</f>
        <v>0.83967592592592588</v>
      </c>
      <c r="L2856" s="59">
        <f t="shared" ca="1" si="223"/>
        <v>46048</v>
      </c>
      <c r="M2856" s="30">
        <f t="shared" ca="1" si="224"/>
        <v>0.8742361111111111</v>
      </c>
      <c r="N2856" s="31"/>
      <c r="O2856" s="31">
        <v>85</v>
      </c>
      <c r="P2856" s="29">
        <v>80</v>
      </c>
      <c r="Q2856" s="29">
        <v>90</v>
      </c>
    </row>
    <row r="2857" spans="1:17" x14ac:dyDescent="0.35">
      <c r="A2857" s="26">
        <v>40000002857</v>
      </c>
      <c r="B2857" s="31">
        <v>1</v>
      </c>
      <c r="C2857" s="29" t="str">
        <f>LOOKUP(A2857,'QALS - Inspection Lot Record'!$A$2:$A$361,'QALS - Inspection Lot Record'!$O$2:$O$361)</f>
        <v>Metformin Tablets (100 MG)</v>
      </c>
      <c r="D2857" s="31">
        <v>80</v>
      </c>
      <c r="E2857" s="29" t="s">
        <v>407</v>
      </c>
      <c r="F2857" s="29" t="str">
        <f>LOOKUP(A2857,'QALS - Inspection Lot Record'!A:A,'QALS - Inspection Lot Record'!G:G)</f>
        <v>AB406550</v>
      </c>
      <c r="G2857" s="59">
        <f ca="1">LOOKUP(A2857,'QALS - Inspection Lot Record'!A:A,'QALS - Inspection Lot Record'!E:E)</f>
        <v>46048</v>
      </c>
      <c r="H2857" s="34" t="str">
        <f t="shared" si="225"/>
        <v>A</v>
      </c>
      <c r="I2857" s="29" t="str">
        <f t="shared" si="221"/>
        <v>AB406550</v>
      </c>
      <c r="J2857" s="59">
        <f t="shared" ca="1" si="222"/>
        <v>46048</v>
      </c>
      <c r="K2857" s="30">
        <f ca="1">LOOKUP(A2857,'QALS - Inspection Lot Record'!A:A,'QALS - Inspection Lot Record'!I:I)</f>
        <v>0.83967592592592588</v>
      </c>
      <c r="L2857" s="59">
        <f t="shared" ca="1" si="223"/>
        <v>46048</v>
      </c>
      <c r="M2857" s="30">
        <f t="shared" ca="1" si="224"/>
        <v>0.86089120370370364</v>
      </c>
      <c r="N2857" s="31"/>
      <c r="O2857" s="31">
        <v>24</v>
      </c>
      <c r="P2857" s="29">
        <v>23</v>
      </c>
      <c r="Q2857" s="29">
        <v>25</v>
      </c>
    </row>
    <row r="2858" spans="1:17" x14ac:dyDescent="0.35">
      <c r="A2858" s="26">
        <v>40000002858</v>
      </c>
      <c r="B2858" s="27">
        <v>1</v>
      </c>
      <c r="C2858" s="29" t="str">
        <f>LOOKUP(A2858,'QALS - Inspection Lot Record'!$A$2:$A$361,'QALS - Inspection Lot Record'!$O$2:$O$361)</f>
        <v>Metformin Tablets (100 MG)</v>
      </c>
      <c r="D2858" s="27">
        <v>10</v>
      </c>
      <c r="E2858" s="26" t="s">
        <v>399</v>
      </c>
      <c r="F2858" s="29" t="str">
        <f>LOOKUP(A2858,'QALS - Inspection Lot Record'!A:A,'QALS - Inspection Lot Record'!G:G)</f>
        <v>TG509538</v>
      </c>
      <c r="G2858" s="59">
        <f ca="1">LOOKUP(A2858,'QALS - Inspection Lot Record'!A:A,'QALS - Inspection Lot Record'!E:E)</f>
        <v>46048</v>
      </c>
      <c r="H2858" s="34" t="str">
        <f t="shared" si="225"/>
        <v>R</v>
      </c>
      <c r="I2858" s="29" t="str">
        <f t="shared" si="221"/>
        <v>TG509538</v>
      </c>
      <c r="J2858" s="59">
        <f t="shared" ca="1" si="222"/>
        <v>46048</v>
      </c>
      <c r="K2858" s="30">
        <f ca="1">LOOKUP(A2858,'QALS - Inspection Lot Record'!A:A,'QALS - Inspection Lot Record'!I:I)</f>
        <v>0.44892361111111112</v>
      </c>
      <c r="L2858" s="59">
        <f t="shared" ca="1" si="223"/>
        <v>46048</v>
      </c>
      <c r="M2858" s="30">
        <f t="shared" ca="1" si="224"/>
        <v>0.47609953703703706</v>
      </c>
      <c r="N2858" s="31"/>
      <c r="O2858" s="38">
        <v>93.1</v>
      </c>
      <c r="P2858" s="29">
        <v>95</v>
      </c>
      <c r="Q2858" s="29">
        <v>102</v>
      </c>
    </row>
    <row r="2859" spans="1:17" x14ac:dyDescent="0.35">
      <c r="A2859" s="26">
        <v>40000002858</v>
      </c>
      <c r="B2859" s="27">
        <v>1</v>
      </c>
      <c r="C2859" s="29" t="str">
        <f>LOOKUP(A2859,'QALS - Inspection Lot Record'!$A$2:$A$361,'QALS - Inspection Lot Record'!$O$2:$O$361)</f>
        <v>Metformin Tablets (100 MG)</v>
      </c>
      <c r="D2859" s="31">
        <v>20</v>
      </c>
      <c r="E2859" s="29" t="s">
        <v>400</v>
      </c>
      <c r="F2859" s="29" t="str">
        <f>LOOKUP(A2859,'QALS - Inspection Lot Record'!A:A,'QALS - Inspection Lot Record'!G:G)</f>
        <v>TG509538</v>
      </c>
      <c r="G2859" s="59">
        <f ca="1">LOOKUP(A2859,'QALS - Inspection Lot Record'!A:A,'QALS - Inspection Lot Record'!E:E)</f>
        <v>46048</v>
      </c>
      <c r="H2859" s="34" t="str">
        <f t="shared" si="225"/>
        <v>A</v>
      </c>
      <c r="I2859" s="29" t="str">
        <f t="shared" si="221"/>
        <v>TG509538</v>
      </c>
      <c r="J2859" s="59">
        <f t="shared" ca="1" si="222"/>
        <v>46048</v>
      </c>
      <c r="K2859" s="30">
        <f ca="1">LOOKUP(A2859,'QALS - Inspection Lot Record'!A:A,'QALS - Inspection Lot Record'!I:I)</f>
        <v>0.44892361111111112</v>
      </c>
      <c r="L2859" s="59">
        <f t="shared" ca="1" si="223"/>
        <v>46048</v>
      </c>
      <c r="M2859" s="30">
        <f t="shared" ca="1" si="224"/>
        <v>0.46986111111111112</v>
      </c>
      <c r="N2859" s="31"/>
      <c r="O2859" s="31">
        <v>7.25</v>
      </c>
      <c r="P2859" s="29">
        <v>3.5</v>
      </c>
      <c r="Q2859" s="29">
        <v>11</v>
      </c>
    </row>
    <row r="2860" spans="1:17" x14ac:dyDescent="0.35">
      <c r="A2860" s="26">
        <v>40000002858</v>
      </c>
      <c r="B2860" s="31">
        <v>1</v>
      </c>
      <c r="C2860" s="29" t="str">
        <f>LOOKUP(A2860,'QALS - Inspection Lot Record'!$A$2:$A$361,'QALS - Inspection Lot Record'!$O$2:$O$361)</f>
        <v>Metformin Tablets (100 MG)</v>
      </c>
      <c r="D2860" s="31">
        <v>30</v>
      </c>
      <c r="E2860" s="29" t="s">
        <v>401</v>
      </c>
      <c r="F2860" s="29" t="str">
        <f>LOOKUP(A2860,'QALS - Inspection Lot Record'!A:A,'QALS - Inspection Lot Record'!G:G)</f>
        <v>TG509538</v>
      </c>
      <c r="G2860" s="59">
        <f ca="1">LOOKUP(A2860,'QALS - Inspection Lot Record'!A:A,'QALS - Inspection Lot Record'!E:E)</f>
        <v>46048</v>
      </c>
      <c r="H2860" s="34" t="str">
        <f t="shared" si="225"/>
        <v>A</v>
      </c>
      <c r="I2860" s="29" t="str">
        <f t="shared" si="221"/>
        <v>TG509538</v>
      </c>
      <c r="J2860" s="59">
        <f t="shared" ca="1" si="222"/>
        <v>46048</v>
      </c>
      <c r="K2860" s="30">
        <f ca="1">LOOKUP(A2860,'QALS - Inspection Lot Record'!A:A,'QALS - Inspection Lot Record'!I:I)</f>
        <v>0.44892361111111112</v>
      </c>
      <c r="L2860" s="59">
        <f t="shared" ca="1" si="223"/>
        <v>46048</v>
      </c>
      <c r="M2860" s="30">
        <f t="shared" ca="1" si="224"/>
        <v>0.47065972222222224</v>
      </c>
      <c r="N2860" s="11" t="s">
        <v>402</v>
      </c>
      <c r="O2860" s="31"/>
      <c r="P2860" s="29"/>
      <c r="Q2860" s="29"/>
    </row>
    <row r="2861" spans="1:17" x14ac:dyDescent="0.35">
      <c r="A2861" s="26">
        <v>40000002858</v>
      </c>
      <c r="B2861" s="31">
        <v>1</v>
      </c>
      <c r="C2861" s="29" t="str">
        <f>LOOKUP(A2861,'QALS - Inspection Lot Record'!$A$2:$A$361,'QALS - Inspection Lot Record'!$O$2:$O$361)</f>
        <v>Metformin Tablets (100 MG)</v>
      </c>
      <c r="D2861" s="31">
        <v>40</v>
      </c>
      <c r="E2861" s="29" t="s">
        <v>403</v>
      </c>
      <c r="F2861" s="29" t="str">
        <f>LOOKUP(A2861,'QALS - Inspection Lot Record'!A:A,'QALS - Inspection Lot Record'!G:G)</f>
        <v>TG509538</v>
      </c>
      <c r="G2861" s="59">
        <f ca="1">LOOKUP(A2861,'QALS - Inspection Lot Record'!A:A,'QALS - Inspection Lot Record'!E:E)</f>
        <v>46048</v>
      </c>
      <c r="H2861" s="34" t="str">
        <f t="shared" si="225"/>
        <v>A</v>
      </c>
      <c r="I2861" s="29" t="str">
        <f t="shared" si="221"/>
        <v>TG509538</v>
      </c>
      <c r="J2861" s="59">
        <f t="shared" ca="1" si="222"/>
        <v>46048</v>
      </c>
      <c r="K2861" s="30">
        <f ca="1">LOOKUP(A2861,'QALS - Inspection Lot Record'!A:A,'QALS - Inspection Lot Record'!I:I)</f>
        <v>0.44892361111111112</v>
      </c>
      <c r="L2861" s="59">
        <f t="shared" ca="1" si="223"/>
        <v>46048</v>
      </c>
      <c r="M2861" s="30">
        <f t="shared" ca="1" si="224"/>
        <v>0.47446759259259258</v>
      </c>
      <c r="N2861" s="31"/>
      <c r="O2861" s="31">
        <v>0</v>
      </c>
      <c r="P2861" s="29">
        <v>0</v>
      </c>
      <c r="Q2861" s="29">
        <v>1</v>
      </c>
    </row>
    <row r="2862" spans="1:17" x14ac:dyDescent="0.35">
      <c r="A2862" s="26">
        <v>40000002858</v>
      </c>
      <c r="B2862" s="31">
        <v>1</v>
      </c>
      <c r="C2862" s="29" t="str">
        <f>LOOKUP(A2862,'QALS - Inspection Lot Record'!$A$2:$A$361,'QALS - Inspection Lot Record'!$O$2:$O$361)</f>
        <v>Metformin Tablets (100 MG)</v>
      </c>
      <c r="D2862" s="31">
        <v>50</v>
      </c>
      <c r="E2862" s="29" t="s">
        <v>404</v>
      </c>
      <c r="F2862" s="29" t="str">
        <f>LOOKUP(A2862,'QALS - Inspection Lot Record'!A:A,'QALS - Inspection Lot Record'!G:G)</f>
        <v>TG509538</v>
      </c>
      <c r="G2862" s="59">
        <f ca="1">LOOKUP(A2862,'QALS - Inspection Lot Record'!A:A,'QALS - Inspection Lot Record'!E:E)</f>
        <v>46048</v>
      </c>
      <c r="H2862" s="34" t="str">
        <f t="shared" si="225"/>
        <v>A</v>
      </c>
      <c r="I2862" s="29" t="str">
        <f t="shared" si="221"/>
        <v>TG509538</v>
      </c>
      <c r="J2862" s="59">
        <f t="shared" ca="1" si="222"/>
        <v>46048</v>
      </c>
      <c r="K2862" s="30">
        <f ca="1">LOOKUP(A2862,'QALS - Inspection Lot Record'!A:A,'QALS - Inspection Lot Record'!I:I)</f>
        <v>0.44892361111111112</v>
      </c>
      <c r="L2862" s="59">
        <f t="shared" ca="1" si="223"/>
        <v>46048</v>
      </c>
      <c r="M2862" s="30">
        <f t="shared" ca="1" si="224"/>
        <v>0.46937499999999999</v>
      </c>
      <c r="N2862" s="31"/>
      <c r="O2862" s="31">
        <v>50</v>
      </c>
      <c r="P2862" s="29">
        <v>40</v>
      </c>
      <c r="Q2862" s="29">
        <v>60</v>
      </c>
    </row>
    <row r="2863" spans="1:17" x14ac:dyDescent="0.35">
      <c r="A2863" s="26">
        <v>40000002858</v>
      </c>
      <c r="B2863" s="31">
        <v>1</v>
      </c>
      <c r="C2863" s="29" t="str">
        <f>LOOKUP(A2863,'QALS - Inspection Lot Record'!$A$2:$A$361,'QALS - Inspection Lot Record'!$O$2:$O$361)</f>
        <v>Metformin Tablets (100 MG)</v>
      </c>
      <c r="D2863" s="31">
        <v>60</v>
      </c>
      <c r="E2863" s="29" t="s">
        <v>405</v>
      </c>
      <c r="F2863" s="29" t="str">
        <f>LOOKUP(A2863,'QALS - Inspection Lot Record'!A:A,'QALS - Inspection Lot Record'!G:G)</f>
        <v>TG509538</v>
      </c>
      <c r="G2863" s="59">
        <f ca="1">LOOKUP(A2863,'QALS - Inspection Lot Record'!A:A,'QALS - Inspection Lot Record'!E:E)</f>
        <v>46048</v>
      </c>
      <c r="H2863" s="34" t="str">
        <f t="shared" si="225"/>
        <v>R</v>
      </c>
      <c r="I2863" s="29" t="str">
        <f t="shared" si="221"/>
        <v>TG509538</v>
      </c>
      <c r="J2863" s="59">
        <f t="shared" ca="1" si="222"/>
        <v>46048</v>
      </c>
      <c r="K2863" s="30">
        <f ca="1">LOOKUP(A2863,'QALS - Inspection Lot Record'!A:A,'QALS - Inspection Lot Record'!I:I)</f>
        <v>0.44892361111111112</v>
      </c>
      <c r="L2863" s="59">
        <f t="shared" ca="1" si="223"/>
        <v>46048</v>
      </c>
      <c r="M2863" s="30">
        <f t="shared" ca="1" si="224"/>
        <v>0.47778935185185184</v>
      </c>
      <c r="N2863" s="31"/>
      <c r="O2863" s="39">
        <v>68</v>
      </c>
      <c r="P2863" s="29">
        <v>70</v>
      </c>
      <c r="Q2863" s="29">
        <v>85</v>
      </c>
    </row>
    <row r="2864" spans="1:17" x14ac:dyDescent="0.35">
      <c r="A2864" s="26">
        <v>40000002858</v>
      </c>
      <c r="B2864" s="31">
        <v>1</v>
      </c>
      <c r="C2864" s="29" t="str">
        <f>LOOKUP(A2864,'QALS - Inspection Lot Record'!$A$2:$A$361,'QALS - Inspection Lot Record'!$O$2:$O$361)</f>
        <v>Metformin Tablets (100 MG)</v>
      </c>
      <c r="D2864" s="31">
        <v>70</v>
      </c>
      <c r="E2864" s="29" t="s">
        <v>406</v>
      </c>
      <c r="F2864" s="29" t="str">
        <f>LOOKUP(A2864,'QALS - Inspection Lot Record'!A:A,'QALS - Inspection Lot Record'!G:G)</f>
        <v>TG509538</v>
      </c>
      <c r="G2864" s="59">
        <f ca="1">LOOKUP(A2864,'QALS - Inspection Lot Record'!A:A,'QALS - Inspection Lot Record'!E:E)</f>
        <v>46048</v>
      </c>
      <c r="H2864" s="34" t="str">
        <f t="shared" si="225"/>
        <v>A</v>
      </c>
      <c r="I2864" s="29" t="str">
        <f t="shared" si="221"/>
        <v>TG509538</v>
      </c>
      <c r="J2864" s="59">
        <f t="shared" ca="1" si="222"/>
        <v>46048</v>
      </c>
      <c r="K2864" s="30">
        <f ca="1">LOOKUP(A2864,'QALS - Inspection Lot Record'!A:A,'QALS - Inspection Lot Record'!I:I)</f>
        <v>0.44892361111111112</v>
      </c>
      <c r="L2864" s="59">
        <f t="shared" ca="1" si="223"/>
        <v>46048</v>
      </c>
      <c r="M2864" s="30">
        <f t="shared" ca="1" si="224"/>
        <v>0.47478009259259257</v>
      </c>
      <c r="N2864" s="31"/>
      <c r="O2864" s="31">
        <v>85</v>
      </c>
      <c r="P2864" s="29">
        <v>80</v>
      </c>
      <c r="Q2864" s="29">
        <v>90</v>
      </c>
    </row>
    <row r="2865" spans="1:17" x14ac:dyDescent="0.35">
      <c r="A2865" s="26">
        <v>40000002858</v>
      </c>
      <c r="B2865" s="31">
        <v>1</v>
      </c>
      <c r="C2865" s="29" t="str">
        <f>LOOKUP(A2865,'QALS - Inspection Lot Record'!$A$2:$A$361,'QALS - Inspection Lot Record'!$O$2:$O$361)</f>
        <v>Metformin Tablets (100 MG)</v>
      </c>
      <c r="D2865" s="31">
        <v>80</v>
      </c>
      <c r="E2865" s="29" t="s">
        <v>407</v>
      </c>
      <c r="F2865" s="29" t="str">
        <f>LOOKUP(A2865,'QALS - Inspection Lot Record'!A:A,'QALS - Inspection Lot Record'!G:G)</f>
        <v>TG509538</v>
      </c>
      <c r="G2865" s="59">
        <f ca="1">LOOKUP(A2865,'QALS - Inspection Lot Record'!A:A,'QALS - Inspection Lot Record'!E:E)</f>
        <v>46048</v>
      </c>
      <c r="H2865" s="34" t="str">
        <f t="shared" si="225"/>
        <v>A</v>
      </c>
      <c r="I2865" s="29" t="str">
        <f t="shared" si="221"/>
        <v>TG509538</v>
      </c>
      <c r="J2865" s="59">
        <f t="shared" ca="1" si="222"/>
        <v>46048</v>
      </c>
      <c r="K2865" s="30">
        <f ca="1">LOOKUP(A2865,'QALS - Inspection Lot Record'!A:A,'QALS - Inspection Lot Record'!I:I)</f>
        <v>0.44892361111111112</v>
      </c>
      <c r="L2865" s="59">
        <f t="shared" ca="1" si="223"/>
        <v>46048</v>
      </c>
      <c r="M2865" s="30">
        <f t="shared" ca="1" si="224"/>
        <v>0.46681712962962962</v>
      </c>
      <c r="N2865" s="31"/>
      <c r="O2865" s="31">
        <v>24</v>
      </c>
      <c r="P2865" s="29">
        <v>23</v>
      </c>
      <c r="Q2865" s="29">
        <v>25</v>
      </c>
    </row>
    <row r="2866" spans="1:17" x14ac:dyDescent="0.35">
      <c r="A2866" s="26">
        <v>40000002859</v>
      </c>
      <c r="B2866" s="27">
        <v>1</v>
      </c>
      <c r="C2866" s="29" t="str">
        <f>LOOKUP(A2866,'QALS - Inspection Lot Record'!$A$2:$A$361,'QALS - Inspection Lot Record'!$O$2:$O$361)</f>
        <v>Metformin Tablets (200 MG)</v>
      </c>
      <c r="D2866" s="27">
        <v>10</v>
      </c>
      <c r="E2866" s="26" t="s">
        <v>399</v>
      </c>
      <c r="F2866" s="29" t="str">
        <f>LOOKUP(A2866,'QALS - Inspection Lot Record'!A:A,'QALS - Inspection Lot Record'!G:G)</f>
        <v>ZK384180</v>
      </c>
      <c r="G2866" s="59">
        <f ca="1">LOOKUP(A2866,'QALS - Inspection Lot Record'!A:A,'QALS - Inspection Lot Record'!E:E)</f>
        <v>46049</v>
      </c>
      <c r="H2866" s="34" t="str">
        <f t="shared" si="225"/>
        <v>A</v>
      </c>
      <c r="I2866" s="29" t="str">
        <f t="shared" si="221"/>
        <v>ZK384180</v>
      </c>
      <c r="J2866" s="59">
        <f t="shared" ca="1" si="222"/>
        <v>46049</v>
      </c>
      <c r="K2866" s="30">
        <f ca="1">LOOKUP(A2866,'QALS - Inspection Lot Record'!A:A,'QALS - Inspection Lot Record'!I:I)</f>
        <v>0.61709490740740736</v>
      </c>
      <c r="L2866" s="59">
        <f t="shared" ca="1" si="223"/>
        <v>46049</v>
      </c>
      <c r="M2866" s="30">
        <f t="shared" ca="1" si="224"/>
        <v>0.64806712962962953</v>
      </c>
      <c r="N2866" s="31"/>
      <c r="O2866" s="31">
        <v>99</v>
      </c>
      <c r="P2866" s="29">
        <v>95</v>
      </c>
      <c r="Q2866" s="29">
        <v>103</v>
      </c>
    </row>
    <row r="2867" spans="1:17" x14ac:dyDescent="0.35">
      <c r="A2867" s="26">
        <v>40000002859</v>
      </c>
      <c r="B2867" s="27">
        <v>1</v>
      </c>
      <c r="C2867" s="29" t="str">
        <f>LOOKUP(A2867,'QALS - Inspection Lot Record'!$A$2:$A$361,'QALS - Inspection Lot Record'!$O$2:$O$361)</f>
        <v>Metformin Tablets (200 MG)</v>
      </c>
      <c r="D2867" s="31">
        <v>20</v>
      </c>
      <c r="E2867" s="29" t="s">
        <v>400</v>
      </c>
      <c r="F2867" s="29" t="str">
        <f>LOOKUP(A2867,'QALS - Inspection Lot Record'!A:A,'QALS - Inspection Lot Record'!G:G)</f>
        <v>ZK384180</v>
      </c>
      <c r="G2867" s="59">
        <f ca="1">LOOKUP(A2867,'QALS - Inspection Lot Record'!A:A,'QALS - Inspection Lot Record'!E:E)</f>
        <v>46049</v>
      </c>
      <c r="H2867" s="34" t="str">
        <f t="shared" si="225"/>
        <v>A</v>
      </c>
      <c r="I2867" s="29" t="str">
        <f t="shared" si="221"/>
        <v>ZK384180</v>
      </c>
      <c r="J2867" s="59">
        <f t="shared" ca="1" si="222"/>
        <v>46049</v>
      </c>
      <c r="K2867" s="30">
        <f ca="1">LOOKUP(A2867,'QALS - Inspection Lot Record'!A:A,'QALS - Inspection Lot Record'!I:I)</f>
        <v>0.61709490740740736</v>
      </c>
      <c r="L2867" s="59">
        <f t="shared" ca="1" si="223"/>
        <v>46049</v>
      </c>
      <c r="M2867" s="30">
        <f t="shared" ca="1" si="224"/>
        <v>0.63930555555555546</v>
      </c>
      <c r="N2867" s="31"/>
      <c r="O2867" s="31">
        <v>7.8</v>
      </c>
      <c r="P2867" s="29">
        <v>6</v>
      </c>
      <c r="Q2867" s="29">
        <v>9.5</v>
      </c>
    </row>
    <row r="2868" spans="1:17" x14ac:dyDescent="0.35">
      <c r="A2868" s="26">
        <v>40000002859</v>
      </c>
      <c r="B2868" s="31">
        <v>1</v>
      </c>
      <c r="C2868" s="29" t="str">
        <f>LOOKUP(A2868,'QALS - Inspection Lot Record'!$A$2:$A$361,'QALS - Inspection Lot Record'!$O$2:$O$361)</f>
        <v>Metformin Tablets (200 MG)</v>
      </c>
      <c r="D2868" s="31">
        <v>30</v>
      </c>
      <c r="E2868" s="29" t="s">
        <v>401</v>
      </c>
      <c r="F2868" s="29" t="str">
        <f>LOOKUP(A2868,'QALS - Inspection Lot Record'!A:A,'QALS - Inspection Lot Record'!G:G)</f>
        <v>ZK384180</v>
      </c>
      <c r="G2868" s="59">
        <f ca="1">LOOKUP(A2868,'QALS - Inspection Lot Record'!A:A,'QALS - Inspection Lot Record'!E:E)</f>
        <v>46049</v>
      </c>
      <c r="H2868" s="34" t="str">
        <f t="shared" si="225"/>
        <v>A</v>
      </c>
      <c r="I2868" s="29" t="str">
        <f t="shared" si="221"/>
        <v>ZK384180</v>
      </c>
      <c r="J2868" s="59">
        <f t="shared" ca="1" si="222"/>
        <v>46049</v>
      </c>
      <c r="K2868" s="30">
        <f ca="1">LOOKUP(A2868,'QALS - Inspection Lot Record'!A:A,'QALS - Inspection Lot Record'!I:I)</f>
        <v>0.61709490740740736</v>
      </c>
      <c r="L2868" s="59">
        <f t="shared" ca="1" si="223"/>
        <v>46049</v>
      </c>
      <c r="M2868" s="30">
        <f t="shared" ca="1" si="224"/>
        <v>0.63518518518518519</v>
      </c>
      <c r="N2868" s="11" t="s">
        <v>402</v>
      </c>
      <c r="O2868" s="31"/>
      <c r="P2868" s="29"/>
      <c r="Q2868" s="29"/>
    </row>
    <row r="2869" spans="1:17" x14ac:dyDescent="0.35">
      <c r="A2869" s="26">
        <v>40000002859</v>
      </c>
      <c r="B2869" s="31">
        <v>1</v>
      </c>
      <c r="C2869" s="29" t="str">
        <f>LOOKUP(A2869,'QALS - Inspection Lot Record'!$A$2:$A$361,'QALS - Inspection Lot Record'!$O$2:$O$361)</f>
        <v>Metformin Tablets (200 MG)</v>
      </c>
      <c r="D2869" s="31">
        <v>40</v>
      </c>
      <c r="E2869" s="29" t="s">
        <v>403</v>
      </c>
      <c r="F2869" s="29" t="str">
        <f>LOOKUP(A2869,'QALS - Inspection Lot Record'!A:A,'QALS - Inspection Lot Record'!G:G)</f>
        <v>ZK384180</v>
      </c>
      <c r="G2869" s="59">
        <f ca="1">LOOKUP(A2869,'QALS - Inspection Lot Record'!A:A,'QALS - Inspection Lot Record'!E:E)</f>
        <v>46049</v>
      </c>
      <c r="H2869" s="34" t="str">
        <f t="shared" si="225"/>
        <v>A</v>
      </c>
      <c r="I2869" s="29" t="str">
        <f t="shared" si="221"/>
        <v>ZK384180</v>
      </c>
      <c r="J2869" s="59">
        <f t="shared" ca="1" si="222"/>
        <v>46049</v>
      </c>
      <c r="K2869" s="30">
        <f ca="1">LOOKUP(A2869,'QALS - Inspection Lot Record'!A:A,'QALS - Inspection Lot Record'!I:I)</f>
        <v>0.61709490740740736</v>
      </c>
      <c r="L2869" s="59">
        <f t="shared" ca="1" si="223"/>
        <v>46049</v>
      </c>
      <c r="M2869" s="30">
        <f t="shared" ca="1" si="224"/>
        <v>0.63784722222222212</v>
      </c>
      <c r="N2869" s="31"/>
      <c r="O2869" s="31">
        <v>1.6</v>
      </c>
      <c r="P2869" s="29">
        <v>0</v>
      </c>
      <c r="Q2869" s="29">
        <v>2</v>
      </c>
    </row>
    <row r="2870" spans="1:17" x14ac:dyDescent="0.35">
      <c r="A2870" s="26">
        <v>40000002859</v>
      </c>
      <c r="B2870" s="31">
        <v>1</v>
      </c>
      <c r="C2870" s="29" t="str">
        <f>LOOKUP(A2870,'QALS - Inspection Lot Record'!$A$2:$A$361,'QALS - Inspection Lot Record'!$O$2:$O$361)</f>
        <v>Metformin Tablets (200 MG)</v>
      </c>
      <c r="D2870" s="31">
        <v>50</v>
      </c>
      <c r="E2870" s="29" t="s">
        <v>404</v>
      </c>
      <c r="F2870" s="29" t="str">
        <f>LOOKUP(A2870,'QALS - Inspection Lot Record'!A:A,'QALS - Inspection Lot Record'!G:G)</f>
        <v>ZK384180</v>
      </c>
      <c r="G2870" s="59">
        <f ca="1">LOOKUP(A2870,'QALS - Inspection Lot Record'!A:A,'QALS - Inspection Lot Record'!E:E)</f>
        <v>46049</v>
      </c>
      <c r="H2870" s="34" t="str">
        <f t="shared" si="225"/>
        <v>A</v>
      </c>
      <c r="I2870" s="29" t="str">
        <f t="shared" si="221"/>
        <v>ZK384180</v>
      </c>
      <c r="J2870" s="59">
        <f t="shared" ca="1" si="222"/>
        <v>46049</v>
      </c>
      <c r="K2870" s="30">
        <f ca="1">LOOKUP(A2870,'QALS - Inspection Lot Record'!A:A,'QALS - Inspection Lot Record'!I:I)</f>
        <v>0.61709490740740736</v>
      </c>
      <c r="L2870" s="59">
        <f t="shared" ca="1" si="223"/>
        <v>46049</v>
      </c>
      <c r="M2870" s="30">
        <f t="shared" ca="1" si="224"/>
        <v>0.64260416666666664</v>
      </c>
      <c r="N2870" s="31"/>
      <c r="O2870" s="31">
        <v>41.8</v>
      </c>
      <c r="P2870" s="29">
        <v>40</v>
      </c>
      <c r="Q2870" s="29">
        <v>60</v>
      </c>
    </row>
    <row r="2871" spans="1:17" x14ac:dyDescent="0.35">
      <c r="A2871" s="26">
        <v>40000002859</v>
      </c>
      <c r="B2871" s="31">
        <v>1</v>
      </c>
      <c r="C2871" s="29" t="str">
        <f>LOOKUP(A2871,'QALS - Inspection Lot Record'!$A$2:$A$361,'QALS - Inspection Lot Record'!$O$2:$O$361)</f>
        <v>Metformin Tablets (200 MG)</v>
      </c>
      <c r="D2871" s="31">
        <v>60</v>
      </c>
      <c r="E2871" s="29" t="s">
        <v>405</v>
      </c>
      <c r="F2871" s="29" t="str">
        <f>LOOKUP(A2871,'QALS - Inspection Lot Record'!A:A,'QALS - Inspection Lot Record'!G:G)</f>
        <v>ZK384180</v>
      </c>
      <c r="G2871" s="59">
        <f ca="1">LOOKUP(A2871,'QALS - Inspection Lot Record'!A:A,'QALS - Inspection Lot Record'!E:E)</f>
        <v>46049</v>
      </c>
      <c r="H2871" s="34" t="str">
        <f t="shared" si="225"/>
        <v>A</v>
      </c>
      <c r="I2871" s="29" t="str">
        <f t="shared" si="221"/>
        <v>ZK384180</v>
      </c>
      <c r="J2871" s="59">
        <f t="shared" ca="1" si="222"/>
        <v>46049</v>
      </c>
      <c r="K2871" s="30">
        <f ca="1">LOOKUP(A2871,'QALS - Inspection Lot Record'!A:A,'QALS - Inspection Lot Record'!I:I)</f>
        <v>0.61709490740740736</v>
      </c>
      <c r="L2871" s="59">
        <f t="shared" ca="1" si="223"/>
        <v>46049</v>
      </c>
      <c r="M2871" s="30">
        <f t="shared" ca="1" si="224"/>
        <v>0.64620370370370361</v>
      </c>
      <c r="N2871" s="31"/>
      <c r="O2871" s="31">
        <v>71</v>
      </c>
      <c r="P2871" s="29">
        <v>70</v>
      </c>
      <c r="Q2871" s="29">
        <v>85</v>
      </c>
    </row>
    <row r="2872" spans="1:17" x14ac:dyDescent="0.35">
      <c r="A2872" s="26">
        <v>40000002859</v>
      </c>
      <c r="B2872" s="31">
        <v>1</v>
      </c>
      <c r="C2872" s="29" t="str">
        <f>LOOKUP(A2872,'QALS - Inspection Lot Record'!$A$2:$A$361,'QALS - Inspection Lot Record'!$O$2:$O$361)</f>
        <v>Metformin Tablets (200 MG)</v>
      </c>
      <c r="D2872" s="31">
        <v>70</v>
      </c>
      <c r="E2872" s="29" t="s">
        <v>406</v>
      </c>
      <c r="F2872" s="29" t="str">
        <f>LOOKUP(A2872,'QALS - Inspection Lot Record'!A:A,'QALS - Inspection Lot Record'!G:G)</f>
        <v>ZK384180</v>
      </c>
      <c r="G2872" s="59">
        <f ca="1">LOOKUP(A2872,'QALS - Inspection Lot Record'!A:A,'QALS - Inspection Lot Record'!E:E)</f>
        <v>46049</v>
      </c>
      <c r="H2872" s="34" t="str">
        <f t="shared" si="225"/>
        <v>A</v>
      </c>
      <c r="I2872" s="29" t="str">
        <f t="shared" si="221"/>
        <v>ZK384180</v>
      </c>
      <c r="J2872" s="59">
        <f t="shared" ca="1" si="222"/>
        <v>46049</v>
      </c>
      <c r="K2872" s="30">
        <f ca="1">LOOKUP(A2872,'QALS - Inspection Lot Record'!A:A,'QALS - Inspection Lot Record'!I:I)</f>
        <v>0.61709490740740736</v>
      </c>
      <c r="L2872" s="59">
        <f t="shared" ca="1" si="223"/>
        <v>46049</v>
      </c>
      <c r="M2872" s="30">
        <f t="shared" ca="1" si="224"/>
        <v>0.63571759259259253</v>
      </c>
      <c r="N2872" s="31"/>
      <c r="O2872" s="31">
        <v>81.2</v>
      </c>
      <c r="P2872" s="29">
        <v>80</v>
      </c>
      <c r="Q2872" s="29">
        <v>90</v>
      </c>
    </row>
    <row r="2873" spans="1:17" x14ac:dyDescent="0.35">
      <c r="A2873" s="26">
        <v>40000002859</v>
      </c>
      <c r="B2873" s="31">
        <v>1</v>
      </c>
      <c r="C2873" s="29" t="str">
        <f>LOOKUP(A2873,'QALS - Inspection Lot Record'!$A$2:$A$361,'QALS - Inspection Lot Record'!$O$2:$O$361)</f>
        <v>Metformin Tablets (200 MG)</v>
      </c>
      <c r="D2873" s="31">
        <v>80</v>
      </c>
      <c r="E2873" s="29" t="s">
        <v>407</v>
      </c>
      <c r="F2873" s="29" t="str">
        <f>LOOKUP(A2873,'QALS - Inspection Lot Record'!A:A,'QALS - Inspection Lot Record'!G:G)</f>
        <v>ZK384180</v>
      </c>
      <c r="G2873" s="59">
        <f ca="1">LOOKUP(A2873,'QALS - Inspection Lot Record'!A:A,'QALS - Inspection Lot Record'!E:E)</f>
        <v>46049</v>
      </c>
      <c r="H2873" s="34" t="str">
        <f t="shared" si="225"/>
        <v>A</v>
      </c>
      <c r="I2873" s="29" t="str">
        <f t="shared" si="221"/>
        <v>ZK384180</v>
      </c>
      <c r="J2873" s="59">
        <f t="shared" ca="1" si="222"/>
        <v>46049</v>
      </c>
      <c r="K2873" s="30">
        <f ca="1">LOOKUP(A2873,'QALS - Inspection Lot Record'!A:A,'QALS - Inspection Lot Record'!I:I)</f>
        <v>0.61709490740740736</v>
      </c>
      <c r="L2873" s="59">
        <f t="shared" ca="1" si="223"/>
        <v>46049</v>
      </c>
      <c r="M2873" s="30">
        <f t="shared" ca="1" si="224"/>
        <v>0.64741898148148147</v>
      </c>
      <c r="N2873" s="31"/>
      <c r="O2873" s="31">
        <v>25.5</v>
      </c>
      <c r="P2873" s="29">
        <v>23</v>
      </c>
      <c r="Q2873" s="29">
        <v>28</v>
      </c>
    </row>
    <row r="2874" spans="1:17" x14ac:dyDescent="0.35">
      <c r="A2874" s="32">
        <v>40000002860</v>
      </c>
      <c r="B2874" s="27">
        <v>1</v>
      </c>
      <c r="C2874" s="29" t="str">
        <f>LOOKUP(A2874,'QALS - Inspection Lot Record'!$A$2:$A$361,'QALS - Inspection Lot Record'!$O$2:$O$361)</f>
        <v>Aspirin Tablets (500 MG)</v>
      </c>
      <c r="D2874" s="27">
        <v>10</v>
      </c>
      <c r="E2874" s="26" t="s">
        <v>399</v>
      </c>
      <c r="F2874" s="29" t="str">
        <f>LOOKUP(A2874,'QALS - Inspection Lot Record'!A:A,'QALS - Inspection Lot Record'!G:G)</f>
        <v>TG509538</v>
      </c>
      <c r="G2874" s="59">
        <f ca="1">LOOKUP(A2874,'QALS - Inspection Lot Record'!A:A,'QALS - Inspection Lot Record'!E:E)</f>
        <v>46049</v>
      </c>
      <c r="H2874" s="34" t="str">
        <f t="shared" si="225"/>
        <v>A</v>
      </c>
      <c r="I2874" s="29" t="str">
        <f t="shared" si="221"/>
        <v>TG509538</v>
      </c>
      <c r="J2874" s="59">
        <f t="shared" ca="1" si="222"/>
        <v>46049</v>
      </c>
      <c r="K2874" s="30">
        <f ca="1">LOOKUP(A2874,'QALS - Inspection Lot Record'!A:A,'QALS - Inspection Lot Record'!I:I)</f>
        <v>0.42962962962962964</v>
      </c>
      <c r="L2874" s="59">
        <f t="shared" ca="1" si="223"/>
        <v>46049</v>
      </c>
      <c r="M2874" s="30">
        <f t="shared" ca="1" si="224"/>
        <v>0.45467592592592593</v>
      </c>
      <c r="N2874" s="31"/>
      <c r="O2874" s="31">
        <v>100</v>
      </c>
      <c r="P2874" s="29">
        <v>95</v>
      </c>
      <c r="Q2874" s="29">
        <v>105</v>
      </c>
    </row>
    <row r="2875" spans="1:17" x14ac:dyDescent="0.35">
      <c r="A2875" s="32">
        <v>40000002860</v>
      </c>
      <c r="B2875" s="27">
        <v>1</v>
      </c>
      <c r="C2875" s="29" t="str">
        <f>LOOKUP(A2875,'QALS - Inspection Lot Record'!$A$2:$A$361,'QALS - Inspection Lot Record'!$O$2:$O$361)</f>
        <v>Aspirin Tablets (500 MG)</v>
      </c>
      <c r="D2875" s="31">
        <v>20</v>
      </c>
      <c r="E2875" s="29" t="s">
        <v>400</v>
      </c>
      <c r="F2875" s="29" t="str">
        <f>LOOKUP(A2875,'QALS - Inspection Lot Record'!A:A,'QALS - Inspection Lot Record'!G:G)</f>
        <v>TG509538</v>
      </c>
      <c r="G2875" s="59">
        <f ca="1">LOOKUP(A2875,'QALS - Inspection Lot Record'!A:A,'QALS - Inspection Lot Record'!E:E)</f>
        <v>46049</v>
      </c>
      <c r="H2875" s="34" t="str">
        <f t="shared" si="225"/>
        <v>A</v>
      </c>
      <c r="I2875" s="29" t="str">
        <f t="shared" si="221"/>
        <v>TG509538</v>
      </c>
      <c r="J2875" s="59">
        <f t="shared" ca="1" si="222"/>
        <v>46049</v>
      </c>
      <c r="K2875" s="30">
        <f ca="1">LOOKUP(A2875,'QALS - Inspection Lot Record'!A:A,'QALS - Inspection Lot Record'!I:I)</f>
        <v>0.42962962962962964</v>
      </c>
      <c r="L2875" s="59">
        <f t="shared" ca="1" si="223"/>
        <v>46049</v>
      </c>
      <c r="M2875" s="30">
        <f t="shared" ca="1" si="224"/>
        <v>0.46002314814814815</v>
      </c>
      <c r="N2875" s="31"/>
      <c r="O2875" s="31">
        <v>7.3</v>
      </c>
      <c r="P2875" s="29">
        <v>3.5</v>
      </c>
      <c r="Q2875" s="29">
        <v>11</v>
      </c>
    </row>
    <row r="2876" spans="1:17" x14ac:dyDescent="0.35">
      <c r="A2876" s="32">
        <v>40000002860</v>
      </c>
      <c r="B2876" s="31">
        <v>1</v>
      </c>
      <c r="C2876" s="29" t="str">
        <f>LOOKUP(A2876,'QALS - Inspection Lot Record'!$A$2:$A$361,'QALS - Inspection Lot Record'!$O$2:$O$361)</f>
        <v>Aspirin Tablets (500 MG)</v>
      </c>
      <c r="D2876" s="31">
        <v>30</v>
      </c>
      <c r="E2876" s="29" t="s">
        <v>401</v>
      </c>
      <c r="F2876" s="29" t="str">
        <f>LOOKUP(A2876,'QALS - Inspection Lot Record'!A:A,'QALS - Inspection Lot Record'!G:G)</f>
        <v>TG509538</v>
      </c>
      <c r="G2876" s="59">
        <f ca="1">LOOKUP(A2876,'QALS - Inspection Lot Record'!A:A,'QALS - Inspection Lot Record'!E:E)</f>
        <v>46049</v>
      </c>
      <c r="H2876" s="34" t="str">
        <f t="shared" si="225"/>
        <v>A</v>
      </c>
      <c r="I2876" s="29" t="str">
        <f t="shared" si="221"/>
        <v>TG509538</v>
      </c>
      <c r="J2876" s="59">
        <f t="shared" ca="1" si="222"/>
        <v>46049</v>
      </c>
      <c r="K2876" s="30">
        <f ca="1">LOOKUP(A2876,'QALS - Inspection Lot Record'!A:A,'QALS - Inspection Lot Record'!I:I)</f>
        <v>0.42962962962962964</v>
      </c>
      <c r="L2876" s="59">
        <f t="shared" ca="1" si="223"/>
        <v>46049</v>
      </c>
      <c r="M2876" s="30">
        <f t="shared" ca="1" si="224"/>
        <v>0.45453703703703707</v>
      </c>
      <c r="N2876" s="11" t="s">
        <v>402</v>
      </c>
      <c r="O2876" s="31"/>
      <c r="P2876" s="29"/>
      <c r="Q2876" s="29"/>
    </row>
    <row r="2877" spans="1:17" x14ac:dyDescent="0.35">
      <c r="A2877" s="32">
        <v>40000002860</v>
      </c>
      <c r="B2877" s="31">
        <v>1</v>
      </c>
      <c r="C2877" s="29" t="str">
        <f>LOOKUP(A2877,'QALS - Inspection Lot Record'!$A$2:$A$361,'QALS - Inspection Lot Record'!$O$2:$O$361)</f>
        <v>Aspirin Tablets (500 MG)</v>
      </c>
      <c r="D2877" s="31">
        <v>40</v>
      </c>
      <c r="E2877" s="29" t="s">
        <v>403</v>
      </c>
      <c r="F2877" s="29" t="str">
        <f>LOOKUP(A2877,'QALS - Inspection Lot Record'!A:A,'QALS - Inspection Lot Record'!G:G)</f>
        <v>TG509538</v>
      </c>
      <c r="G2877" s="59">
        <f ca="1">LOOKUP(A2877,'QALS - Inspection Lot Record'!A:A,'QALS - Inspection Lot Record'!E:E)</f>
        <v>46049</v>
      </c>
      <c r="H2877" s="34" t="str">
        <f t="shared" si="225"/>
        <v>A</v>
      </c>
      <c r="I2877" s="29" t="str">
        <f t="shared" si="221"/>
        <v>TG509538</v>
      </c>
      <c r="J2877" s="59">
        <f t="shared" ca="1" si="222"/>
        <v>46049</v>
      </c>
      <c r="K2877" s="30">
        <f ca="1">LOOKUP(A2877,'QALS - Inspection Lot Record'!A:A,'QALS - Inspection Lot Record'!I:I)</f>
        <v>0.42962962962962964</v>
      </c>
      <c r="L2877" s="59">
        <f t="shared" ca="1" si="223"/>
        <v>46049</v>
      </c>
      <c r="M2877" s="30">
        <f t="shared" ca="1" si="224"/>
        <v>0.46126157407407409</v>
      </c>
      <c r="N2877" s="31"/>
      <c r="O2877" s="31">
        <v>1.8</v>
      </c>
      <c r="P2877" s="29">
        <v>0</v>
      </c>
      <c r="Q2877" s="29">
        <v>2.5</v>
      </c>
    </row>
    <row r="2878" spans="1:17" x14ac:dyDescent="0.35">
      <c r="A2878" s="32">
        <v>40000002860</v>
      </c>
      <c r="B2878" s="31">
        <v>1</v>
      </c>
      <c r="C2878" s="29" t="str">
        <f>LOOKUP(A2878,'QALS - Inspection Lot Record'!$A$2:$A$361,'QALS - Inspection Lot Record'!$O$2:$O$361)</f>
        <v>Aspirin Tablets (500 MG)</v>
      </c>
      <c r="D2878" s="31">
        <v>50</v>
      </c>
      <c r="E2878" s="29" t="s">
        <v>404</v>
      </c>
      <c r="F2878" s="29" t="str">
        <f>LOOKUP(A2878,'QALS - Inspection Lot Record'!A:A,'QALS - Inspection Lot Record'!G:G)</f>
        <v>TG509538</v>
      </c>
      <c r="G2878" s="59">
        <f ca="1">LOOKUP(A2878,'QALS - Inspection Lot Record'!A:A,'QALS - Inspection Lot Record'!E:E)</f>
        <v>46049</v>
      </c>
      <c r="H2878" s="34" t="str">
        <f t="shared" si="225"/>
        <v>A</v>
      </c>
      <c r="I2878" s="29" t="str">
        <f t="shared" si="221"/>
        <v>TG509538</v>
      </c>
      <c r="J2878" s="59">
        <f t="shared" ca="1" si="222"/>
        <v>46049</v>
      </c>
      <c r="K2878" s="30">
        <f ca="1">LOOKUP(A2878,'QALS - Inspection Lot Record'!A:A,'QALS - Inspection Lot Record'!I:I)</f>
        <v>0.42962962962962964</v>
      </c>
      <c r="L2878" s="59">
        <f t="shared" ca="1" si="223"/>
        <v>46049</v>
      </c>
      <c r="M2878" s="30">
        <f t="shared" ca="1" si="224"/>
        <v>0.45232638888888888</v>
      </c>
      <c r="N2878" s="31"/>
      <c r="O2878" s="31">
        <v>41.1</v>
      </c>
      <c r="P2878" s="29">
        <v>40</v>
      </c>
      <c r="Q2878" s="29">
        <v>60</v>
      </c>
    </row>
    <row r="2879" spans="1:17" x14ac:dyDescent="0.35">
      <c r="A2879" s="32">
        <v>40000002860</v>
      </c>
      <c r="B2879" s="31">
        <v>1</v>
      </c>
      <c r="C2879" s="29" t="str">
        <f>LOOKUP(A2879,'QALS - Inspection Lot Record'!$A$2:$A$361,'QALS - Inspection Lot Record'!$O$2:$O$361)</f>
        <v>Aspirin Tablets (500 MG)</v>
      </c>
      <c r="D2879" s="31">
        <v>60</v>
      </c>
      <c r="E2879" s="29" t="s">
        <v>405</v>
      </c>
      <c r="F2879" s="29" t="str">
        <f>LOOKUP(A2879,'QALS - Inspection Lot Record'!A:A,'QALS - Inspection Lot Record'!G:G)</f>
        <v>TG509538</v>
      </c>
      <c r="G2879" s="59">
        <f ca="1">LOOKUP(A2879,'QALS - Inspection Lot Record'!A:A,'QALS - Inspection Lot Record'!E:E)</f>
        <v>46049</v>
      </c>
      <c r="H2879" s="34" t="str">
        <f t="shared" si="225"/>
        <v>A</v>
      </c>
      <c r="I2879" s="29" t="str">
        <f t="shared" si="221"/>
        <v>TG509538</v>
      </c>
      <c r="J2879" s="59">
        <f t="shared" ca="1" si="222"/>
        <v>46049</v>
      </c>
      <c r="K2879" s="30">
        <f ca="1">LOOKUP(A2879,'QALS - Inspection Lot Record'!A:A,'QALS - Inspection Lot Record'!I:I)</f>
        <v>0.42962962962962964</v>
      </c>
      <c r="L2879" s="59">
        <f t="shared" ca="1" si="223"/>
        <v>46049</v>
      </c>
      <c r="M2879" s="30">
        <f t="shared" ca="1" si="224"/>
        <v>0.45606481481481481</v>
      </c>
      <c r="N2879" s="31"/>
      <c r="O2879" s="31">
        <v>71.2</v>
      </c>
      <c r="P2879" s="29">
        <v>70</v>
      </c>
      <c r="Q2879" s="29">
        <v>85</v>
      </c>
    </row>
    <row r="2880" spans="1:17" x14ac:dyDescent="0.35">
      <c r="A2880" s="32">
        <v>40000002860</v>
      </c>
      <c r="B2880" s="31">
        <v>1</v>
      </c>
      <c r="C2880" s="29" t="str">
        <f>LOOKUP(A2880,'QALS - Inspection Lot Record'!$A$2:$A$361,'QALS - Inspection Lot Record'!$O$2:$O$361)</f>
        <v>Aspirin Tablets (500 MG)</v>
      </c>
      <c r="D2880" s="31">
        <v>70</v>
      </c>
      <c r="E2880" s="29" t="s">
        <v>406</v>
      </c>
      <c r="F2880" s="29" t="str">
        <f>LOOKUP(A2880,'QALS - Inspection Lot Record'!A:A,'QALS - Inspection Lot Record'!G:G)</f>
        <v>TG509538</v>
      </c>
      <c r="G2880" s="59">
        <f ca="1">LOOKUP(A2880,'QALS - Inspection Lot Record'!A:A,'QALS - Inspection Lot Record'!E:E)</f>
        <v>46049</v>
      </c>
      <c r="H2880" s="34" t="str">
        <f t="shared" si="225"/>
        <v>A</v>
      </c>
      <c r="I2880" s="29" t="str">
        <f t="shared" si="221"/>
        <v>TG509538</v>
      </c>
      <c r="J2880" s="59">
        <f t="shared" ca="1" si="222"/>
        <v>46049</v>
      </c>
      <c r="K2880" s="30">
        <f ca="1">LOOKUP(A2880,'QALS - Inspection Lot Record'!A:A,'QALS - Inspection Lot Record'!I:I)</f>
        <v>0.42962962962962964</v>
      </c>
      <c r="L2880" s="59">
        <f t="shared" ca="1" si="223"/>
        <v>46049</v>
      </c>
      <c r="M2880" s="30">
        <f t="shared" ca="1" si="224"/>
        <v>0.46114583333333337</v>
      </c>
      <c r="N2880" s="31"/>
      <c r="O2880" s="31">
        <v>81.599999999999994</v>
      </c>
      <c r="P2880" s="29">
        <v>80</v>
      </c>
      <c r="Q2880" s="29">
        <v>90</v>
      </c>
    </row>
    <row r="2881" spans="1:17" x14ac:dyDescent="0.35">
      <c r="A2881" s="32">
        <v>40000002860</v>
      </c>
      <c r="B2881" s="31">
        <v>1</v>
      </c>
      <c r="C2881" s="29" t="str">
        <f>LOOKUP(A2881,'QALS - Inspection Lot Record'!$A$2:$A$361,'QALS - Inspection Lot Record'!$O$2:$O$361)</f>
        <v>Aspirin Tablets (500 MG)</v>
      </c>
      <c r="D2881" s="31">
        <v>80</v>
      </c>
      <c r="E2881" s="29" t="s">
        <v>407</v>
      </c>
      <c r="F2881" s="29" t="str">
        <f>LOOKUP(A2881,'QALS - Inspection Lot Record'!A:A,'QALS - Inspection Lot Record'!G:G)</f>
        <v>TG509538</v>
      </c>
      <c r="G2881" s="59">
        <f ca="1">LOOKUP(A2881,'QALS - Inspection Lot Record'!A:A,'QALS - Inspection Lot Record'!E:E)</f>
        <v>46049</v>
      </c>
      <c r="H2881" s="34" t="str">
        <f t="shared" si="225"/>
        <v>A</v>
      </c>
      <c r="I2881" s="29" t="str">
        <f t="shared" si="221"/>
        <v>TG509538</v>
      </c>
      <c r="J2881" s="59">
        <f t="shared" ca="1" si="222"/>
        <v>46049</v>
      </c>
      <c r="K2881" s="30">
        <f ca="1">LOOKUP(A2881,'QALS - Inspection Lot Record'!A:A,'QALS - Inspection Lot Record'!I:I)</f>
        <v>0.42962962962962964</v>
      </c>
      <c r="L2881" s="59">
        <f t="shared" ca="1" si="223"/>
        <v>46049</v>
      </c>
      <c r="M2881" s="30">
        <f t="shared" ca="1" si="224"/>
        <v>0.45518518518518519</v>
      </c>
      <c r="N2881" s="31"/>
      <c r="O2881" s="31">
        <v>25.5</v>
      </c>
      <c r="P2881" s="29">
        <v>23</v>
      </c>
      <c r="Q2881" s="29">
        <v>28</v>
      </c>
    </row>
  </sheetData>
  <autoFilter ref="A1:Q2881" xr:uid="{D9553738-A52B-41CC-B83E-AA84C2693192}"/>
  <sortState xmlns:xlrd2="http://schemas.microsoft.com/office/spreadsheetml/2017/richdata2" ref="A2:Q2881">
    <sortCondition ref="A1:A2881"/>
  </sortState>
  <conditionalFormatting sqref="H1:H1048576">
    <cfRule type="containsText" dxfId="1" priority="1" operator="containsText" text="R">
      <formula>NOT(ISERROR(SEARCH("R",H1)))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D9EC-BA22-46E5-A34A-D4C09E1E7BAD}">
  <dimension ref="A1:Q65"/>
  <sheetViews>
    <sheetView topLeftCell="D1" workbookViewId="0">
      <selection activeCell="F1" sqref="F1"/>
    </sheetView>
  </sheetViews>
  <sheetFormatPr defaultRowHeight="14.5" x14ac:dyDescent="0.35"/>
  <cols>
    <col min="1" max="1" width="12.453125" bestFit="1" customWidth="1"/>
    <col min="2" max="2" width="8.1796875" bestFit="1" customWidth="1"/>
    <col min="3" max="3" width="24.1796875" customWidth="1"/>
    <col min="4" max="4" width="17.1796875" customWidth="1"/>
    <col min="5" max="5" width="22.81640625" bestFit="1" customWidth="1"/>
    <col min="6" max="7" width="14.453125" customWidth="1"/>
    <col min="8" max="8" width="8.7265625" customWidth="1"/>
    <col min="9" max="9" width="9.1796875" customWidth="1"/>
    <col min="10" max="10" width="9.453125" customWidth="1"/>
    <col min="11" max="11" width="9.1796875" customWidth="1"/>
    <col min="12" max="14" width="9.81640625" customWidth="1"/>
    <col min="15" max="15" width="12.81640625" customWidth="1"/>
    <col min="16" max="16" width="12" customWidth="1"/>
  </cols>
  <sheetData>
    <row r="1" spans="1:17" x14ac:dyDescent="0.35">
      <c r="A1" s="11" t="s">
        <v>408</v>
      </c>
      <c r="B1" s="11" t="s">
        <v>409</v>
      </c>
      <c r="C1" s="11" t="s">
        <v>410</v>
      </c>
      <c r="D1" s="11" t="s">
        <v>411</v>
      </c>
      <c r="E1" s="11" t="s">
        <v>412</v>
      </c>
      <c r="F1" s="11" t="s">
        <v>413</v>
      </c>
      <c r="G1" s="11" t="s">
        <v>414</v>
      </c>
      <c r="H1" s="11" t="s">
        <v>393</v>
      </c>
      <c r="I1" s="11" t="s">
        <v>394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395</v>
      </c>
      <c r="O1" s="11" t="s">
        <v>396</v>
      </c>
      <c r="P1" s="11" t="s">
        <v>415</v>
      </c>
      <c r="Q1" s="11" t="s">
        <v>416</v>
      </c>
    </row>
    <row r="2" spans="1:17" x14ac:dyDescent="0.35">
      <c r="A2" s="13">
        <v>40000002201</v>
      </c>
      <c r="B2" s="11">
        <v>1</v>
      </c>
      <c r="C2" s="11" t="s">
        <v>417</v>
      </c>
      <c r="D2" s="11">
        <v>10</v>
      </c>
      <c r="E2" s="11" t="s">
        <v>399</v>
      </c>
      <c r="F2" s="11" t="s">
        <v>39</v>
      </c>
      <c r="G2" s="14">
        <v>45406</v>
      </c>
      <c r="H2" s="11" t="s">
        <v>418</v>
      </c>
      <c r="I2" s="11" t="s">
        <v>39</v>
      </c>
      <c r="J2" s="14">
        <v>45406</v>
      </c>
      <c r="K2" s="15">
        <v>6.9444444444444441E-3</v>
      </c>
      <c r="L2" s="14">
        <v>45406</v>
      </c>
      <c r="M2" s="15">
        <v>1.0416666666666666E-2</v>
      </c>
      <c r="N2" s="11" t="s">
        <v>419</v>
      </c>
      <c r="O2" s="11">
        <v>98.5</v>
      </c>
      <c r="P2" s="11">
        <v>95</v>
      </c>
      <c r="Q2" s="11">
        <v>105</v>
      </c>
    </row>
    <row r="3" spans="1:17" x14ac:dyDescent="0.35">
      <c r="A3" s="11">
        <v>40000002201</v>
      </c>
      <c r="B3" s="11">
        <v>1</v>
      </c>
      <c r="C3" s="11" t="s">
        <v>417</v>
      </c>
      <c r="D3" s="11">
        <v>20</v>
      </c>
      <c r="E3" s="11" t="s">
        <v>400</v>
      </c>
      <c r="F3" s="11" t="s">
        <v>39</v>
      </c>
      <c r="G3" s="14">
        <v>45406</v>
      </c>
      <c r="H3" s="11" t="s">
        <v>418</v>
      </c>
      <c r="I3" s="11" t="s">
        <v>39</v>
      </c>
      <c r="J3" s="14">
        <v>45406</v>
      </c>
      <c r="K3" s="15">
        <v>1.3888888888888888E-2</v>
      </c>
      <c r="L3" s="14">
        <v>45406</v>
      </c>
      <c r="M3" s="15">
        <v>2.0833333333333332E-2</v>
      </c>
      <c r="N3" s="11" t="s">
        <v>419</v>
      </c>
      <c r="O3" s="11">
        <v>6.2</v>
      </c>
      <c r="P3" s="11">
        <v>3.5</v>
      </c>
      <c r="Q3" s="11">
        <v>11.5</v>
      </c>
    </row>
    <row r="4" spans="1:17" x14ac:dyDescent="0.35">
      <c r="A4" s="11">
        <v>40000002201</v>
      </c>
      <c r="B4" s="11">
        <v>1</v>
      </c>
      <c r="C4" s="11" t="s">
        <v>417</v>
      </c>
      <c r="D4" s="11">
        <v>30</v>
      </c>
      <c r="E4" s="11" t="s">
        <v>420</v>
      </c>
      <c r="F4" s="11" t="s">
        <v>421</v>
      </c>
      <c r="G4" s="14">
        <v>45406</v>
      </c>
      <c r="H4" s="11" t="s">
        <v>418</v>
      </c>
      <c r="I4" s="11" t="s">
        <v>421</v>
      </c>
      <c r="J4" s="14">
        <v>45406</v>
      </c>
      <c r="K4" s="15">
        <v>2.0833333333333332E-2</v>
      </c>
      <c r="L4" s="14">
        <v>45406</v>
      </c>
      <c r="M4" s="15">
        <v>3.125E-2</v>
      </c>
      <c r="N4" s="11" t="s">
        <v>402</v>
      </c>
      <c r="O4" s="11" t="s">
        <v>419</v>
      </c>
      <c r="P4" s="11" t="s">
        <v>419</v>
      </c>
      <c r="Q4" s="11" t="s">
        <v>419</v>
      </c>
    </row>
    <row r="5" spans="1:17" x14ac:dyDescent="0.35">
      <c r="A5" s="11">
        <v>40000002201</v>
      </c>
      <c r="B5" s="11">
        <v>1</v>
      </c>
      <c r="C5" s="11" t="s">
        <v>417</v>
      </c>
      <c r="D5" s="11">
        <v>40</v>
      </c>
      <c r="E5" s="11" t="s">
        <v>422</v>
      </c>
      <c r="F5" s="11" t="s">
        <v>423</v>
      </c>
      <c r="G5" s="14">
        <v>45406</v>
      </c>
      <c r="H5" s="11" t="s">
        <v>418</v>
      </c>
      <c r="I5" s="11" t="s">
        <v>423</v>
      </c>
      <c r="J5" s="14">
        <v>45406</v>
      </c>
      <c r="K5" s="15">
        <v>2.7777777777777776E-2</v>
      </c>
      <c r="L5" s="14">
        <v>45406</v>
      </c>
      <c r="M5" s="15">
        <v>4.1666666666666664E-2</v>
      </c>
      <c r="N5" s="11" t="s">
        <v>419</v>
      </c>
      <c r="O5" s="11">
        <v>0.5</v>
      </c>
      <c r="P5" s="11">
        <v>0</v>
      </c>
      <c r="Q5" s="11">
        <v>1</v>
      </c>
    </row>
    <row r="6" spans="1:17" x14ac:dyDescent="0.35">
      <c r="A6" s="11">
        <v>40000002201</v>
      </c>
      <c r="B6" s="11">
        <v>1</v>
      </c>
      <c r="C6" s="11" t="s">
        <v>417</v>
      </c>
      <c r="D6" s="11">
        <v>50</v>
      </c>
      <c r="E6" s="11" t="s">
        <v>424</v>
      </c>
      <c r="F6" s="11" t="s">
        <v>425</v>
      </c>
      <c r="G6" s="14">
        <v>45406</v>
      </c>
      <c r="H6" s="11" t="s">
        <v>418</v>
      </c>
      <c r="I6" s="11" t="s">
        <v>425</v>
      </c>
      <c r="J6" s="14">
        <v>45406</v>
      </c>
      <c r="K6" s="15">
        <v>3.4722222222222224E-2</v>
      </c>
      <c r="L6" s="14">
        <v>45406</v>
      </c>
      <c r="M6" s="15">
        <v>5.2083333333333336E-2</v>
      </c>
      <c r="N6" s="11" t="s">
        <v>419</v>
      </c>
      <c r="O6" s="11">
        <v>52.3</v>
      </c>
      <c r="P6" s="11">
        <v>40</v>
      </c>
      <c r="Q6" s="11">
        <v>60</v>
      </c>
    </row>
    <row r="7" spans="1:17" x14ac:dyDescent="0.35">
      <c r="A7" s="11">
        <v>40000002201</v>
      </c>
      <c r="B7" s="11">
        <v>1</v>
      </c>
      <c r="C7" s="11" t="s">
        <v>417</v>
      </c>
      <c r="D7" s="11">
        <v>60</v>
      </c>
      <c r="E7" s="11" t="s">
        <v>426</v>
      </c>
      <c r="F7" s="11" t="s">
        <v>425</v>
      </c>
      <c r="G7" s="14">
        <v>45406</v>
      </c>
      <c r="H7" s="11" t="s">
        <v>418</v>
      </c>
      <c r="I7" s="11" t="s">
        <v>425</v>
      </c>
      <c r="J7" s="14">
        <v>45406</v>
      </c>
      <c r="K7" s="15">
        <v>4.1666666666666664E-2</v>
      </c>
      <c r="L7" s="14">
        <v>45406</v>
      </c>
      <c r="M7" s="15">
        <v>6.25E-2</v>
      </c>
      <c r="N7" s="11" t="s">
        <v>419</v>
      </c>
      <c r="O7" s="11">
        <v>78.099999999999994</v>
      </c>
      <c r="P7" s="11">
        <v>70</v>
      </c>
      <c r="Q7" s="11">
        <v>85</v>
      </c>
    </row>
    <row r="8" spans="1:17" x14ac:dyDescent="0.35">
      <c r="A8" s="11">
        <v>40000002201</v>
      </c>
      <c r="B8" s="11">
        <v>1</v>
      </c>
      <c r="C8" s="11" t="s">
        <v>417</v>
      </c>
      <c r="D8" s="11">
        <v>70</v>
      </c>
      <c r="E8" s="11" t="s">
        <v>427</v>
      </c>
      <c r="F8" s="11" t="s">
        <v>425</v>
      </c>
      <c r="G8" s="14">
        <v>45406</v>
      </c>
      <c r="H8" s="11" t="s">
        <v>419</v>
      </c>
      <c r="I8" s="11" t="s">
        <v>419</v>
      </c>
      <c r="J8" s="11" t="s">
        <v>419</v>
      </c>
      <c r="K8" s="11" t="s">
        <v>419</v>
      </c>
      <c r="L8" s="11" t="s">
        <v>419</v>
      </c>
      <c r="M8" s="11"/>
      <c r="N8" s="11" t="s">
        <v>419</v>
      </c>
      <c r="O8" s="11" t="s">
        <v>419</v>
      </c>
      <c r="P8" s="11">
        <v>80</v>
      </c>
      <c r="Q8" s="11">
        <v>90</v>
      </c>
    </row>
    <row r="9" spans="1:17" x14ac:dyDescent="0.35">
      <c r="A9" s="11">
        <v>40000002201</v>
      </c>
      <c r="B9" s="11">
        <v>1</v>
      </c>
      <c r="C9" s="11" t="s">
        <v>417</v>
      </c>
      <c r="D9" s="11">
        <v>80</v>
      </c>
      <c r="E9" s="11" t="s">
        <v>407</v>
      </c>
      <c r="F9" s="11" t="s">
        <v>428</v>
      </c>
      <c r="G9" s="14">
        <v>45406</v>
      </c>
      <c r="H9" s="11" t="s">
        <v>418</v>
      </c>
      <c r="I9" s="11" t="s">
        <v>428</v>
      </c>
      <c r="J9" s="14">
        <v>45406</v>
      </c>
      <c r="K9" s="15">
        <v>5.5555555555555552E-2</v>
      </c>
      <c r="L9" s="14">
        <v>45406</v>
      </c>
      <c r="M9" s="15">
        <v>8.3333333333333329E-2</v>
      </c>
      <c r="N9" s="11" t="s">
        <v>419</v>
      </c>
      <c r="O9" s="11">
        <v>25</v>
      </c>
      <c r="P9" s="11">
        <v>23</v>
      </c>
      <c r="Q9" s="11">
        <v>28</v>
      </c>
    </row>
    <row r="10" spans="1:17" x14ac:dyDescent="0.35">
      <c r="A10" s="12">
        <v>40000002351</v>
      </c>
      <c r="B10" s="11">
        <v>1</v>
      </c>
      <c r="C10" s="11" t="s">
        <v>429</v>
      </c>
      <c r="D10" s="11">
        <v>10</v>
      </c>
      <c r="E10" s="11" t="s">
        <v>399</v>
      </c>
      <c r="F10" s="11" t="s">
        <v>428</v>
      </c>
      <c r="G10" s="14">
        <v>45400</v>
      </c>
      <c r="H10" s="11" t="s">
        <v>418</v>
      </c>
      <c r="I10" s="11" t="s">
        <v>425</v>
      </c>
      <c r="J10" s="14">
        <v>45400</v>
      </c>
      <c r="K10" s="15">
        <v>4.8611111111111112E-2</v>
      </c>
      <c r="L10" s="14">
        <v>45400</v>
      </c>
      <c r="M10" s="15">
        <v>5.4282407407407404E-2</v>
      </c>
      <c r="N10" s="11" t="s">
        <v>419</v>
      </c>
      <c r="O10" s="11">
        <v>98.5</v>
      </c>
      <c r="P10" s="11">
        <v>95</v>
      </c>
      <c r="Q10" s="11">
        <v>105</v>
      </c>
    </row>
    <row r="11" spans="1:17" x14ac:dyDescent="0.35">
      <c r="A11" s="12">
        <v>40000002351</v>
      </c>
      <c r="B11" s="11">
        <v>1</v>
      </c>
      <c r="C11" s="11" t="s">
        <v>429</v>
      </c>
      <c r="D11" s="11">
        <v>20</v>
      </c>
      <c r="E11" s="11" t="s">
        <v>400</v>
      </c>
      <c r="F11" s="11" t="s">
        <v>428</v>
      </c>
      <c r="G11" s="14">
        <v>45400</v>
      </c>
      <c r="H11" s="11" t="s">
        <v>418</v>
      </c>
      <c r="I11" s="11" t="s">
        <v>425</v>
      </c>
      <c r="J11" s="14">
        <v>45400</v>
      </c>
      <c r="K11" s="15">
        <v>5.5555555555555552E-2</v>
      </c>
      <c r="L11" s="14">
        <v>45400</v>
      </c>
      <c r="M11" s="15">
        <v>0.10416666666666667</v>
      </c>
      <c r="N11" s="11" t="s">
        <v>419</v>
      </c>
      <c r="O11" s="11">
        <v>6.2</v>
      </c>
      <c r="P11" s="11">
        <v>3.5</v>
      </c>
      <c r="Q11" s="11">
        <v>11.5</v>
      </c>
    </row>
    <row r="12" spans="1:17" x14ac:dyDescent="0.35">
      <c r="A12" s="12">
        <v>40000002351</v>
      </c>
      <c r="B12" s="11">
        <v>1</v>
      </c>
      <c r="C12" s="11" t="s">
        <v>429</v>
      </c>
      <c r="D12" s="11">
        <v>30</v>
      </c>
      <c r="E12" s="11" t="s">
        <v>420</v>
      </c>
      <c r="F12" s="11" t="s">
        <v>428</v>
      </c>
      <c r="G12" s="14">
        <v>45400</v>
      </c>
      <c r="H12" s="11" t="s">
        <v>418</v>
      </c>
      <c r="I12" s="11" t="s">
        <v>425</v>
      </c>
      <c r="J12" s="14">
        <v>45400</v>
      </c>
      <c r="K12" s="15">
        <v>6.25E-2</v>
      </c>
      <c r="L12" s="14">
        <v>45400</v>
      </c>
      <c r="M12" s="15">
        <v>0.15405092592592592</v>
      </c>
      <c r="N12" s="11" t="s">
        <v>402</v>
      </c>
      <c r="O12" s="11" t="s">
        <v>419</v>
      </c>
      <c r="P12" s="11" t="s">
        <v>419</v>
      </c>
      <c r="Q12" s="11" t="s">
        <v>419</v>
      </c>
    </row>
    <row r="13" spans="1:17" x14ac:dyDescent="0.35">
      <c r="A13" s="12">
        <v>40000002351</v>
      </c>
      <c r="B13" s="11">
        <v>1</v>
      </c>
      <c r="C13" s="11" t="s">
        <v>429</v>
      </c>
      <c r="D13" s="11">
        <v>40</v>
      </c>
      <c r="E13" s="11" t="s">
        <v>422</v>
      </c>
      <c r="F13" s="11" t="s">
        <v>428</v>
      </c>
      <c r="G13" s="14">
        <v>45400</v>
      </c>
      <c r="H13" s="11" t="s">
        <v>418</v>
      </c>
      <c r="I13" s="11" t="s">
        <v>425</v>
      </c>
      <c r="J13" s="14">
        <v>45400</v>
      </c>
      <c r="K13" s="15">
        <v>6.9444444444444448E-2</v>
      </c>
      <c r="L13" s="14">
        <v>45400</v>
      </c>
      <c r="M13" s="15">
        <v>0.20393518518518519</v>
      </c>
      <c r="N13" s="11" t="s">
        <v>419</v>
      </c>
      <c r="O13" s="11">
        <v>0.5</v>
      </c>
      <c r="P13" s="11">
        <v>0</v>
      </c>
      <c r="Q13" s="11">
        <v>1</v>
      </c>
    </row>
    <row r="14" spans="1:17" x14ac:dyDescent="0.35">
      <c r="A14" s="12">
        <v>40000002351</v>
      </c>
      <c r="B14" s="11">
        <v>1</v>
      </c>
      <c r="C14" s="11" t="s">
        <v>429</v>
      </c>
      <c r="D14" s="11">
        <v>50</v>
      </c>
      <c r="E14" s="11" t="s">
        <v>424</v>
      </c>
      <c r="F14" s="11" t="s">
        <v>428</v>
      </c>
      <c r="G14" s="14">
        <v>45400</v>
      </c>
      <c r="H14" s="11" t="s">
        <v>418</v>
      </c>
      <c r="I14" s="11" t="s">
        <v>425</v>
      </c>
      <c r="J14" s="14">
        <v>45400</v>
      </c>
      <c r="K14" s="15">
        <v>7.6388888888888895E-2</v>
      </c>
      <c r="L14" s="14">
        <v>45400</v>
      </c>
      <c r="M14" s="15">
        <v>0.25381944444444443</v>
      </c>
      <c r="N14" s="11" t="s">
        <v>419</v>
      </c>
      <c r="O14" s="11">
        <v>54</v>
      </c>
      <c r="P14" s="11">
        <v>40</v>
      </c>
      <c r="Q14" s="11">
        <v>60</v>
      </c>
    </row>
    <row r="15" spans="1:17" x14ac:dyDescent="0.35">
      <c r="A15" s="12">
        <v>40000002351</v>
      </c>
      <c r="B15" s="11">
        <v>1</v>
      </c>
      <c r="C15" s="11" t="s">
        <v>429</v>
      </c>
      <c r="D15" s="11">
        <v>60</v>
      </c>
      <c r="E15" s="11" t="s">
        <v>426</v>
      </c>
      <c r="F15" s="11" t="s">
        <v>428</v>
      </c>
      <c r="G15" s="14">
        <v>45400</v>
      </c>
      <c r="H15" s="11" t="s">
        <v>418</v>
      </c>
      <c r="I15" s="11" t="s">
        <v>425</v>
      </c>
      <c r="J15" s="14">
        <v>45400</v>
      </c>
      <c r="K15" s="15">
        <v>8.3333333333333329E-2</v>
      </c>
      <c r="L15" s="14">
        <v>45400</v>
      </c>
      <c r="M15" s="15">
        <v>0.3037037037037037</v>
      </c>
      <c r="N15" s="11" t="s">
        <v>419</v>
      </c>
      <c r="O15" s="11">
        <v>76</v>
      </c>
      <c r="P15" s="11">
        <v>70</v>
      </c>
      <c r="Q15" s="11">
        <v>85</v>
      </c>
    </row>
    <row r="16" spans="1:17" x14ac:dyDescent="0.35">
      <c r="A16" s="12">
        <v>40000002351</v>
      </c>
      <c r="B16" s="11">
        <v>1</v>
      </c>
      <c r="C16" s="11" t="s">
        <v>429</v>
      </c>
      <c r="D16" s="11">
        <v>70</v>
      </c>
      <c r="E16" s="11" t="s">
        <v>427</v>
      </c>
      <c r="F16" s="11" t="s">
        <v>428</v>
      </c>
      <c r="G16" s="14">
        <v>45400</v>
      </c>
      <c r="H16" s="11" t="s">
        <v>418</v>
      </c>
      <c r="I16" s="11" t="s">
        <v>425</v>
      </c>
      <c r="J16" s="14">
        <v>45400</v>
      </c>
      <c r="K16" s="15">
        <v>9.0277777777777776E-2</v>
      </c>
      <c r="L16" s="14">
        <v>45400</v>
      </c>
      <c r="M16" s="15">
        <v>0.35358796296296297</v>
      </c>
      <c r="N16" s="11" t="s">
        <v>419</v>
      </c>
      <c r="O16" s="11">
        <v>82</v>
      </c>
      <c r="P16" s="11">
        <v>80</v>
      </c>
      <c r="Q16" s="11">
        <v>90</v>
      </c>
    </row>
    <row r="17" spans="1:17" x14ac:dyDescent="0.35">
      <c r="A17" s="12">
        <v>40000002351</v>
      </c>
      <c r="B17" s="11">
        <v>1</v>
      </c>
      <c r="C17" s="11" t="s">
        <v>429</v>
      </c>
      <c r="D17" s="11">
        <v>80</v>
      </c>
      <c r="E17" s="11" t="s">
        <v>407</v>
      </c>
      <c r="F17" s="11" t="s">
        <v>428</v>
      </c>
      <c r="G17" s="14">
        <v>45400</v>
      </c>
      <c r="H17" s="11" t="s">
        <v>418</v>
      </c>
      <c r="I17" s="11" t="s">
        <v>425</v>
      </c>
      <c r="J17" s="14">
        <v>45400</v>
      </c>
      <c r="K17" s="15">
        <v>9.7222222222222224E-2</v>
      </c>
      <c r="L17" s="14">
        <v>45400</v>
      </c>
      <c r="M17" s="15">
        <v>0.40347222222222223</v>
      </c>
      <c r="N17" s="11" t="s">
        <v>419</v>
      </c>
      <c r="O17" s="11">
        <v>25</v>
      </c>
      <c r="P17" s="11">
        <v>23</v>
      </c>
      <c r="Q17" s="11">
        <v>25</v>
      </c>
    </row>
    <row r="18" spans="1:17" x14ac:dyDescent="0.35">
      <c r="A18" s="12">
        <v>40000002354</v>
      </c>
      <c r="B18" s="11">
        <v>1</v>
      </c>
      <c r="C18" s="11" t="s">
        <v>417</v>
      </c>
      <c r="D18" s="11">
        <v>10</v>
      </c>
      <c r="E18" s="11" t="s">
        <v>399</v>
      </c>
      <c r="F18" s="11" t="s">
        <v>428</v>
      </c>
      <c r="G18" s="14">
        <v>45408</v>
      </c>
      <c r="H18" s="11" t="s">
        <v>418</v>
      </c>
      <c r="I18" s="11" t="s">
        <v>425</v>
      </c>
      <c r="J18" s="14">
        <v>45408</v>
      </c>
      <c r="K18" s="15">
        <v>9.0277777777777776E-2</v>
      </c>
      <c r="L18" s="14">
        <v>45408</v>
      </c>
      <c r="M18" s="15">
        <v>9.4444444444444442E-2</v>
      </c>
      <c r="N18" s="11" t="s">
        <v>419</v>
      </c>
      <c r="O18" s="11">
        <v>98.5</v>
      </c>
      <c r="P18" s="11">
        <v>95</v>
      </c>
      <c r="Q18" s="11">
        <v>105</v>
      </c>
    </row>
    <row r="19" spans="1:17" x14ac:dyDescent="0.35">
      <c r="A19" s="12">
        <v>40000002354</v>
      </c>
      <c r="B19" s="11">
        <v>1</v>
      </c>
      <c r="C19" s="11" t="s">
        <v>417</v>
      </c>
      <c r="D19" s="11">
        <v>20</v>
      </c>
      <c r="E19" s="11" t="s">
        <v>400</v>
      </c>
      <c r="F19" s="11" t="s">
        <v>428</v>
      </c>
      <c r="G19" s="14">
        <v>45408</v>
      </c>
      <c r="H19" s="11" t="s">
        <v>418</v>
      </c>
      <c r="I19" s="11" t="s">
        <v>425</v>
      </c>
      <c r="J19" s="14">
        <v>45408</v>
      </c>
      <c r="K19" s="15">
        <v>9.375E-2</v>
      </c>
      <c r="L19" s="14">
        <v>45408</v>
      </c>
      <c r="M19" s="15">
        <v>0.10416666666666667</v>
      </c>
      <c r="N19" s="11" t="s">
        <v>419</v>
      </c>
      <c r="O19" s="11">
        <v>6.2</v>
      </c>
      <c r="P19" s="11">
        <v>3.5</v>
      </c>
      <c r="Q19" s="11">
        <v>11.5</v>
      </c>
    </row>
    <row r="20" spans="1:17" x14ac:dyDescent="0.35">
      <c r="A20" s="12">
        <v>40000002354</v>
      </c>
      <c r="B20" s="11">
        <v>1</v>
      </c>
      <c r="C20" s="11" t="s">
        <v>417</v>
      </c>
      <c r="D20" s="11">
        <v>30</v>
      </c>
      <c r="E20" s="11" t="s">
        <v>420</v>
      </c>
      <c r="F20" s="11" t="s">
        <v>428</v>
      </c>
      <c r="G20" s="14">
        <v>45408</v>
      </c>
      <c r="H20" s="11" t="s">
        <v>418</v>
      </c>
      <c r="I20" s="11" t="s">
        <v>425</v>
      </c>
      <c r="J20" s="14">
        <v>45408</v>
      </c>
      <c r="K20" s="15">
        <v>9.7222222222222224E-2</v>
      </c>
      <c r="L20" s="14">
        <v>45408</v>
      </c>
      <c r="M20" s="15">
        <v>0.11388888888888889</v>
      </c>
      <c r="N20" s="11" t="s">
        <v>402</v>
      </c>
      <c r="O20" s="11" t="s">
        <v>419</v>
      </c>
      <c r="P20" s="11" t="s">
        <v>419</v>
      </c>
      <c r="Q20" s="11" t="s">
        <v>419</v>
      </c>
    </row>
    <row r="21" spans="1:17" x14ac:dyDescent="0.35">
      <c r="A21" s="12">
        <v>40000002354</v>
      </c>
      <c r="B21" s="11">
        <v>1</v>
      </c>
      <c r="C21" s="11" t="s">
        <v>417</v>
      </c>
      <c r="D21" s="11">
        <v>40</v>
      </c>
      <c r="E21" s="11" t="s">
        <v>422</v>
      </c>
      <c r="F21" s="11" t="s">
        <v>428</v>
      </c>
      <c r="G21" s="14">
        <v>45408</v>
      </c>
      <c r="H21" s="11" t="s">
        <v>430</v>
      </c>
      <c r="I21" s="11" t="s">
        <v>425</v>
      </c>
      <c r="J21" s="14">
        <v>45408</v>
      </c>
      <c r="K21" s="15">
        <v>0.10069444444444445</v>
      </c>
      <c r="L21" s="14">
        <v>45408</v>
      </c>
      <c r="M21" s="15">
        <v>0.12361111111111112</v>
      </c>
      <c r="N21" s="11" t="s">
        <v>419</v>
      </c>
      <c r="O21" s="11">
        <v>1.2</v>
      </c>
      <c r="P21" s="11">
        <v>0</v>
      </c>
      <c r="Q21" s="11">
        <v>1</v>
      </c>
    </row>
    <row r="22" spans="1:17" x14ac:dyDescent="0.35">
      <c r="A22" s="12">
        <v>40000002354</v>
      </c>
      <c r="B22" s="11">
        <v>1</v>
      </c>
      <c r="C22" s="11" t="s">
        <v>417</v>
      </c>
      <c r="D22" s="11">
        <v>50</v>
      </c>
      <c r="E22" s="11" t="s">
        <v>424</v>
      </c>
      <c r="F22" s="11" t="s">
        <v>428</v>
      </c>
      <c r="G22" s="14">
        <v>45408</v>
      </c>
      <c r="H22" s="11" t="s">
        <v>418</v>
      </c>
      <c r="I22" s="11" t="s">
        <v>425</v>
      </c>
      <c r="J22" s="14">
        <v>45408</v>
      </c>
      <c r="K22" s="15">
        <v>0.10416666666666667</v>
      </c>
      <c r="L22" s="14">
        <v>45408</v>
      </c>
      <c r="M22" s="15">
        <v>0.13333333333333333</v>
      </c>
      <c r="N22" s="11" t="s">
        <v>419</v>
      </c>
      <c r="O22" s="11">
        <v>52.3</v>
      </c>
      <c r="P22" s="11">
        <v>40</v>
      </c>
      <c r="Q22" s="11">
        <v>60</v>
      </c>
    </row>
    <row r="23" spans="1:17" x14ac:dyDescent="0.35">
      <c r="A23" s="12">
        <v>40000002354</v>
      </c>
      <c r="B23" s="11">
        <v>1</v>
      </c>
      <c r="C23" s="11" t="s">
        <v>417</v>
      </c>
      <c r="D23" s="11">
        <v>60</v>
      </c>
      <c r="E23" s="11" t="s">
        <v>426</v>
      </c>
      <c r="F23" s="11" t="s">
        <v>428</v>
      </c>
      <c r="G23" s="14">
        <v>45408</v>
      </c>
      <c r="H23" s="11" t="s">
        <v>418</v>
      </c>
      <c r="I23" s="11" t="s">
        <v>425</v>
      </c>
      <c r="J23" s="14">
        <v>45408</v>
      </c>
      <c r="K23" s="15">
        <v>0.1076388888888889</v>
      </c>
      <c r="L23" s="14">
        <v>45408</v>
      </c>
      <c r="M23" s="15">
        <v>0.14305555555555555</v>
      </c>
      <c r="N23" s="11" t="s">
        <v>419</v>
      </c>
      <c r="O23" s="11">
        <v>78.099999999999994</v>
      </c>
      <c r="P23" s="11">
        <v>70</v>
      </c>
      <c r="Q23" s="11">
        <v>85</v>
      </c>
    </row>
    <row r="24" spans="1:17" x14ac:dyDescent="0.35">
      <c r="A24" s="12">
        <v>40000002354</v>
      </c>
      <c r="B24" s="11">
        <v>1</v>
      </c>
      <c r="C24" s="11" t="s">
        <v>417</v>
      </c>
      <c r="D24" s="11">
        <v>70</v>
      </c>
      <c r="E24" s="11" t="s">
        <v>427</v>
      </c>
      <c r="F24" s="11" t="s">
        <v>428</v>
      </c>
      <c r="G24" s="14">
        <v>45408</v>
      </c>
      <c r="H24" s="11" t="s">
        <v>418</v>
      </c>
      <c r="I24" s="11" t="s">
        <v>425</v>
      </c>
      <c r="J24" s="14">
        <v>45408</v>
      </c>
      <c r="K24" s="15">
        <v>0.1111111111111111</v>
      </c>
      <c r="L24" s="14">
        <v>45408</v>
      </c>
      <c r="M24" s="15">
        <v>0.15277777777777779</v>
      </c>
      <c r="N24" s="11" t="s">
        <v>419</v>
      </c>
      <c r="O24" s="11">
        <v>82</v>
      </c>
      <c r="P24" s="11">
        <v>80</v>
      </c>
      <c r="Q24" s="11">
        <v>90</v>
      </c>
    </row>
    <row r="25" spans="1:17" x14ac:dyDescent="0.35">
      <c r="A25" s="12">
        <v>40000002354</v>
      </c>
      <c r="B25" s="11">
        <v>1</v>
      </c>
      <c r="C25" s="11" t="s">
        <v>417</v>
      </c>
      <c r="D25" s="11">
        <v>80</v>
      </c>
      <c r="E25" s="11" t="s">
        <v>407</v>
      </c>
      <c r="F25" s="11" t="s">
        <v>428</v>
      </c>
      <c r="G25" s="14">
        <v>45408</v>
      </c>
      <c r="H25" s="11" t="s">
        <v>430</v>
      </c>
      <c r="I25" s="11" t="s">
        <v>425</v>
      </c>
      <c r="J25" s="14">
        <v>45408</v>
      </c>
      <c r="K25" s="15">
        <v>0.11458333333333333</v>
      </c>
      <c r="L25" s="14">
        <v>45408</v>
      </c>
      <c r="M25" s="15">
        <v>0.16250000000000001</v>
      </c>
      <c r="N25" s="11" t="s">
        <v>419</v>
      </c>
      <c r="O25" s="11">
        <v>27</v>
      </c>
      <c r="P25" s="11">
        <v>23</v>
      </c>
      <c r="Q25" s="11">
        <v>25</v>
      </c>
    </row>
    <row r="26" spans="1:17" x14ac:dyDescent="0.35">
      <c r="A26" s="12">
        <v>40000002357</v>
      </c>
      <c r="B26" s="11">
        <v>1</v>
      </c>
      <c r="C26" s="11" t="s">
        <v>431</v>
      </c>
      <c r="D26" s="11">
        <v>10</v>
      </c>
      <c r="E26" s="11" t="s">
        <v>399</v>
      </c>
      <c r="F26" s="11" t="s">
        <v>428</v>
      </c>
      <c r="G26" s="14">
        <v>45401</v>
      </c>
      <c r="H26" s="11" t="s">
        <v>418</v>
      </c>
      <c r="I26" s="11" t="s">
        <v>425</v>
      </c>
      <c r="J26" s="14">
        <v>45401</v>
      </c>
      <c r="K26" s="15">
        <v>0.12638888888888888</v>
      </c>
      <c r="L26" s="14">
        <v>45401</v>
      </c>
      <c r="M26" s="15">
        <v>0.12986111111111112</v>
      </c>
      <c r="N26" s="11" t="s">
        <v>419</v>
      </c>
      <c r="O26" s="11">
        <v>98.5</v>
      </c>
      <c r="P26" s="11">
        <v>95</v>
      </c>
      <c r="Q26" s="11">
        <v>105</v>
      </c>
    </row>
    <row r="27" spans="1:17" x14ac:dyDescent="0.35">
      <c r="A27" s="12">
        <v>40000002357</v>
      </c>
      <c r="B27" s="11">
        <v>1</v>
      </c>
      <c r="C27" s="11" t="s">
        <v>431</v>
      </c>
      <c r="D27" s="11">
        <v>20</v>
      </c>
      <c r="E27" s="11" t="s">
        <v>400</v>
      </c>
      <c r="F27" s="11" t="s">
        <v>428</v>
      </c>
      <c r="G27" s="14">
        <v>45401</v>
      </c>
      <c r="H27" s="11" t="s">
        <v>418</v>
      </c>
      <c r="I27" s="11" t="s">
        <v>425</v>
      </c>
      <c r="J27" s="14">
        <v>45401</v>
      </c>
      <c r="K27" s="15">
        <v>0.12847222222222221</v>
      </c>
      <c r="L27" s="14">
        <v>45401</v>
      </c>
      <c r="M27" s="15">
        <v>0.13541666666666666</v>
      </c>
      <c r="N27" s="11" t="s">
        <v>419</v>
      </c>
      <c r="O27" s="11">
        <v>6.2</v>
      </c>
      <c r="P27" s="11">
        <v>3.5</v>
      </c>
      <c r="Q27" s="11">
        <v>11.5</v>
      </c>
    </row>
    <row r="28" spans="1:17" x14ac:dyDescent="0.35">
      <c r="A28" s="12">
        <v>40000002357</v>
      </c>
      <c r="B28" s="11">
        <v>1</v>
      </c>
      <c r="C28" s="11" t="s">
        <v>431</v>
      </c>
      <c r="D28" s="11">
        <v>30</v>
      </c>
      <c r="E28" s="11" t="s">
        <v>420</v>
      </c>
      <c r="F28" s="11" t="s">
        <v>428</v>
      </c>
      <c r="G28" s="14">
        <v>45401</v>
      </c>
      <c r="H28" s="11" t="s">
        <v>418</v>
      </c>
      <c r="I28" s="11" t="s">
        <v>425</v>
      </c>
      <c r="J28" s="14">
        <v>45401</v>
      </c>
      <c r="K28" s="15">
        <v>0.13055555555555556</v>
      </c>
      <c r="L28" s="14">
        <v>45401</v>
      </c>
      <c r="M28" s="15">
        <v>0.14097222222222222</v>
      </c>
      <c r="N28" s="11" t="s">
        <v>402</v>
      </c>
      <c r="O28" s="11" t="s">
        <v>419</v>
      </c>
      <c r="P28" s="11" t="s">
        <v>419</v>
      </c>
      <c r="Q28" s="11" t="s">
        <v>419</v>
      </c>
    </row>
    <row r="29" spans="1:17" x14ac:dyDescent="0.35">
      <c r="A29" s="12">
        <v>40000002357</v>
      </c>
      <c r="B29" s="11">
        <v>1</v>
      </c>
      <c r="C29" s="11" t="s">
        <v>431</v>
      </c>
      <c r="D29" s="11">
        <v>40</v>
      </c>
      <c r="E29" s="11" t="s">
        <v>422</v>
      </c>
      <c r="F29" s="11" t="s">
        <v>428</v>
      </c>
      <c r="G29" s="14">
        <v>45401</v>
      </c>
      <c r="H29" s="11" t="s">
        <v>418</v>
      </c>
      <c r="I29" s="11" t="s">
        <v>425</v>
      </c>
      <c r="J29" s="14">
        <v>45401</v>
      </c>
      <c r="K29" s="15">
        <v>0.13263888888888889</v>
      </c>
      <c r="L29" s="14">
        <v>45401</v>
      </c>
      <c r="M29" s="15">
        <v>0.14652777777777778</v>
      </c>
      <c r="N29" s="11" t="s">
        <v>419</v>
      </c>
      <c r="O29" s="11">
        <v>1.4</v>
      </c>
      <c r="P29" s="11">
        <v>1.2</v>
      </c>
      <c r="Q29" s="11">
        <v>2</v>
      </c>
    </row>
    <row r="30" spans="1:17" x14ac:dyDescent="0.35">
      <c r="A30" s="12">
        <v>40000002357</v>
      </c>
      <c r="B30" s="11">
        <v>1</v>
      </c>
      <c r="C30" s="11" t="s">
        <v>431</v>
      </c>
      <c r="D30" s="11">
        <v>50</v>
      </c>
      <c r="E30" s="11" t="s">
        <v>424</v>
      </c>
      <c r="F30" s="11" t="s">
        <v>428</v>
      </c>
      <c r="G30" s="14">
        <v>45401</v>
      </c>
      <c r="H30" s="11" t="s">
        <v>418</v>
      </c>
      <c r="I30" s="11" t="s">
        <v>425</v>
      </c>
      <c r="J30" s="14">
        <v>45401</v>
      </c>
      <c r="K30" s="15">
        <v>0.13472222222222222</v>
      </c>
      <c r="L30" s="14">
        <v>45401</v>
      </c>
      <c r="M30" s="15">
        <v>0.15208333333333332</v>
      </c>
      <c r="N30" s="11" t="s">
        <v>419</v>
      </c>
      <c r="O30" s="11">
        <v>52.3</v>
      </c>
      <c r="P30" s="11">
        <v>40</v>
      </c>
      <c r="Q30" s="11">
        <v>60</v>
      </c>
    </row>
    <row r="31" spans="1:17" x14ac:dyDescent="0.35">
      <c r="A31" s="12">
        <v>40000002357</v>
      </c>
      <c r="B31" s="11">
        <v>1</v>
      </c>
      <c r="C31" s="11" t="s">
        <v>431</v>
      </c>
      <c r="D31" s="11">
        <v>60</v>
      </c>
      <c r="E31" s="11" t="s">
        <v>426</v>
      </c>
      <c r="F31" s="11" t="s">
        <v>428</v>
      </c>
      <c r="G31" s="14">
        <v>45401</v>
      </c>
      <c r="H31" s="11" t="s">
        <v>418</v>
      </c>
      <c r="I31" s="11" t="s">
        <v>425</v>
      </c>
      <c r="J31" s="14">
        <v>45401</v>
      </c>
      <c r="K31" s="15">
        <v>0.13680555555555557</v>
      </c>
      <c r="L31" s="14">
        <v>45401</v>
      </c>
      <c r="M31" s="15">
        <v>0.15763888888888888</v>
      </c>
      <c r="N31" s="11" t="s">
        <v>419</v>
      </c>
      <c r="O31" s="11">
        <v>78.099999999999994</v>
      </c>
      <c r="P31" s="11">
        <v>70</v>
      </c>
      <c r="Q31" s="11">
        <v>85</v>
      </c>
    </row>
    <row r="32" spans="1:17" x14ac:dyDescent="0.35">
      <c r="A32" s="12">
        <v>40000002357</v>
      </c>
      <c r="B32" s="11">
        <v>1</v>
      </c>
      <c r="C32" s="11" t="s">
        <v>431</v>
      </c>
      <c r="D32" s="11">
        <v>70</v>
      </c>
      <c r="E32" s="11" t="s">
        <v>427</v>
      </c>
      <c r="F32" s="11" t="s">
        <v>428</v>
      </c>
      <c r="G32" s="14">
        <v>45401</v>
      </c>
      <c r="H32" s="11" t="s">
        <v>418</v>
      </c>
      <c r="I32" s="11" t="s">
        <v>425</v>
      </c>
      <c r="J32" s="14">
        <v>45401</v>
      </c>
      <c r="K32" s="15">
        <v>0.1388888888888889</v>
      </c>
      <c r="L32" s="14">
        <v>45401</v>
      </c>
      <c r="M32" s="15">
        <v>0.16319444444444445</v>
      </c>
      <c r="N32" s="11" t="s">
        <v>419</v>
      </c>
      <c r="O32" s="11">
        <v>87</v>
      </c>
      <c r="P32" s="11">
        <v>80</v>
      </c>
      <c r="Q32" s="11">
        <v>90</v>
      </c>
    </row>
    <row r="33" spans="1:17" x14ac:dyDescent="0.35">
      <c r="A33" s="12">
        <v>40000002357</v>
      </c>
      <c r="B33" s="11">
        <v>1</v>
      </c>
      <c r="C33" s="11" t="s">
        <v>431</v>
      </c>
      <c r="D33" s="11">
        <v>80</v>
      </c>
      <c r="E33" s="11" t="s">
        <v>407</v>
      </c>
      <c r="F33" s="11" t="s">
        <v>428</v>
      </c>
      <c r="G33" s="14">
        <v>45401</v>
      </c>
      <c r="H33" s="11" t="s">
        <v>418</v>
      </c>
      <c r="I33" s="11" t="s">
        <v>425</v>
      </c>
      <c r="J33" s="14">
        <v>45401</v>
      </c>
      <c r="K33" s="15">
        <v>0.14097222222222222</v>
      </c>
      <c r="L33" s="14">
        <v>45401</v>
      </c>
      <c r="M33" s="15">
        <v>0.16875000000000001</v>
      </c>
      <c r="N33" s="11" t="s">
        <v>419</v>
      </c>
      <c r="O33" s="11">
        <v>25</v>
      </c>
      <c r="P33" s="11">
        <v>23</v>
      </c>
      <c r="Q33" s="11">
        <v>28</v>
      </c>
    </row>
    <row r="34" spans="1:17" x14ac:dyDescent="0.35">
      <c r="A34" s="12">
        <v>40000002359</v>
      </c>
      <c r="B34" s="11">
        <v>1</v>
      </c>
      <c r="C34" s="11" t="s">
        <v>432</v>
      </c>
      <c r="D34" s="11">
        <v>10</v>
      </c>
      <c r="E34" s="11" t="s">
        <v>399</v>
      </c>
      <c r="F34" s="11" t="s">
        <v>428</v>
      </c>
      <c r="G34" s="14">
        <v>45396</v>
      </c>
      <c r="H34" s="11" t="s">
        <v>418</v>
      </c>
      <c r="I34" s="11" t="s">
        <v>425</v>
      </c>
      <c r="J34" s="14">
        <v>45398</v>
      </c>
      <c r="K34" s="15">
        <v>0.16805555555555557</v>
      </c>
      <c r="L34" s="14">
        <v>45398</v>
      </c>
      <c r="M34" s="15">
        <v>0.17430555555555555</v>
      </c>
      <c r="N34" s="11" t="s">
        <v>419</v>
      </c>
      <c r="O34" s="11">
        <v>98.2</v>
      </c>
      <c r="P34" s="11">
        <v>95</v>
      </c>
      <c r="Q34" s="11">
        <v>102</v>
      </c>
    </row>
    <row r="35" spans="1:17" x14ac:dyDescent="0.35">
      <c r="A35" s="12">
        <v>40000002359</v>
      </c>
      <c r="B35" s="11">
        <v>1</v>
      </c>
      <c r="C35" s="11" t="s">
        <v>432</v>
      </c>
      <c r="D35" s="11">
        <v>20</v>
      </c>
      <c r="E35" s="11" t="s">
        <v>400</v>
      </c>
      <c r="F35" s="11" t="s">
        <v>428</v>
      </c>
      <c r="G35" s="14">
        <v>45396</v>
      </c>
      <c r="H35" s="11" t="s">
        <v>418</v>
      </c>
      <c r="I35" s="11" t="s">
        <v>425</v>
      </c>
      <c r="J35" s="14">
        <v>45398</v>
      </c>
      <c r="K35" s="15">
        <v>0.17499999999999999</v>
      </c>
      <c r="L35" s="14">
        <v>45398</v>
      </c>
      <c r="M35" s="15">
        <v>0.17708333333333334</v>
      </c>
      <c r="N35" s="11" t="s">
        <v>419</v>
      </c>
      <c r="O35" s="11">
        <v>6.8</v>
      </c>
      <c r="P35" s="11">
        <v>6</v>
      </c>
      <c r="Q35" s="11">
        <v>7.5</v>
      </c>
    </row>
    <row r="36" spans="1:17" x14ac:dyDescent="0.35">
      <c r="A36" s="12">
        <v>40000002359</v>
      </c>
      <c r="B36" s="11">
        <v>1</v>
      </c>
      <c r="C36" s="11" t="s">
        <v>432</v>
      </c>
      <c r="D36" s="11">
        <v>30</v>
      </c>
      <c r="E36" s="11" t="s">
        <v>420</v>
      </c>
      <c r="F36" s="11" t="s">
        <v>428</v>
      </c>
      <c r="G36" s="14">
        <v>45396</v>
      </c>
      <c r="H36" s="11" t="s">
        <v>418</v>
      </c>
      <c r="I36" s="11" t="s">
        <v>425</v>
      </c>
      <c r="J36" s="14">
        <v>45398</v>
      </c>
      <c r="K36" s="15">
        <v>0.18194444444444444</v>
      </c>
      <c r="L36" s="14">
        <v>45398</v>
      </c>
      <c r="M36" s="15">
        <v>0.17986111111111111</v>
      </c>
      <c r="N36" s="11" t="s">
        <v>402</v>
      </c>
      <c r="O36" s="11" t="s">
        <v>419</v>
      </c>
      <c r="P36" s="11" t="s">
        <v>419</v>
      </c>
      <c r="Q36" s="11" t="s">
        <v>419</v>
      </c>
    </row>
    <row r="37" spans="1:17" x14ac:dyDescent="0.35">
      <c r="A37" s="12">
        <v>40000002359</v>
      </c>
      <c r="B37" s="11">
        <v>1</v>
      </c>
      <c r="C37" s="11" t="s">
        <v>432</v>
      </c>
      <c r="D37" s="11">
        <v>40</v>
      </c>
      <c r="E37" s="11" t="s">
        <v>422</v>
      </c>
      <c r="F37" s="11" t="s">
        <v>428</v>
      </c>
      <c r="G37" s="14">
        <v>45396</v>
      </c>
      <c r="H37" s="11" t="s">
        <v>418</v>
      </c>
      <c r="I37" s="11" t="s">
        <v>425</v>
      </c>
      <c r="J37" s="14">
        <v>45398</v>
      </c>
      <c r="K37" s="15">
        <v>0.18888888888888888</v>
      </c>
      <c r="L37" s="14">
        <v>45398</v>
      </c>
      <c r="M37" s="15">
        <v>0.18263888888888888</v>
      </c>
      <c r="N37" s="11" t="s">
        <v>419</v>
      </c>
      <c r="O37" s="11">
        <v>0.5</v>
      </c>
      <c r="P37" s="11">
        <v>0</v>
      </c>
      <c r="Q37" s="11">
        <v>1</v>
      </c>
    </row>
    <row r="38" spans="1:17" x14ac:dyDescent="0.35">
      <c r="A38" s="12">
        <v>40000002359</v>
      </c>
      <c r="B38" s="11">
        <v>1</v>
      </c>
      <c r="C38" s="11" t="s">
        <v>432</v>
      </c>
      <c r="D38" s="11">
        <v>50</v>
      </c>
      <c r="E38" s="11" t="s">
        <v>424</v>
      </c>
      <c r="F38" s="11" t="s">
        <v>428</v>
      </c>
      <c r="G38" s="14">
        <v>45396</v>
      </c>
      <c r="H38" s="11" t="s">
        <v>418</v>
      </c>
      <c r="I38" s="11" t="s">
        <v>425</v>
      </c>
      <c r="J38" s="14">
        <v>45398</v>
      </c>
      <c r="K38" s="15">
        <v>0.19583333333333333</v>
      </c>
      <c r="L38" s="14">
        <v>45398</v>
      </c>
      <c r="M38" s="15">
        <v>0.18541666666666667</v>
      </c>
      <c r="N38" s="11" t="s">
        <v>419</v>
      </c>
      <c r="O38" s="11">
        <v>51</v>
      </c>
      <c r="P38" s="11">
        <v>40</v>
      </c>
      <c r="Q38" s="11">
        <v>60</v>
      </c>
    </row>
    <row r="39" spans="1:17" x14ac:dyDescent="0.35">
      <c r="A39" s="12">
        <v>40000002359</v>
      </c>
      <c r="B39" s="11">
        <v>1</v>
      </c>
      <c r="C39" s="11" t="s">
        <v>432</v>
      </c>
      <c r="D39" s="11">
        <v>60</v>
      </c>
      <c r="E39" s="11" t="s">
        <v>426</v>
      </c>
      <c r="F39" s="11" t="s">
        <v>428</v>
      </c>
      <c r="G39" s="14">
        <v>45396</v>
      </c>
      <c r="H39" s="11" t="s">
        <v>418</v>
      </c>
      <c r="I39" s="11" t="s">
        <v>425</v>
      </c>
      <c r="J39" s="14">
        <v>45398</v>
      </c>
      <c r="K39" s="15">
        <v>0.20277777777777778</v>
      </c>
      <c r="L39" s="14">
        <v>45398</v>
      </c>
      <c r="M39" s="15">
        <v>0.18819444444444444</v>
      </c>
      <c r="N39" s="11" t="s">
        <v>419</v>
      </c>
      <c r="O39" s="11">
        <v>75.400000000000006</v>
      </c>
      <c r="P39" s="11">
        <v>70</v>
      </c>
      <c r="Q39" s="11">
        <v>85</v>
      </c>
    </row>
    <row r="40" spans="1:17" x14ac:dyDescent="0.35">
      <c r="A40" s="12">
        <v>40000002359</v>
      </c>
      <c r="B40" s="11">
        <v>1</v>
      </c>
      <c r="C40" s="11" t="s">
        <v>432</v>
      </c>
      <c r="D40" s="11">
        <v>70</v>
      </c>
      <c r="E40" s="11" t="s">
        <v>427</v>
      </c>
      <c r="F40" s="11" t="s">
        <v>428</v>
      </c>
      <c r="G40" s="14">
        <v>45396</v>
      </c>
      <c r="H40" s="11" t="s">
        <v>418</v>
      </c>
      <c r="I40" s="11" t="s">
        <v>425</v>
      </c>
      <c r="J40" s="14">
        <v>45398</v>
      </c>
      <c r="K40" s="15">
        <v>0.20972222222222223</v>
      </c>
      <c r="L40" s="14">
        <v>45398</v>
      </c>
      <c r="M40" s="15">
        <v>0.19097222222222221</v>
      </c>
      <c r="N40" s="11" t="s">
        <v>419</v>
      </c>
      <c r="O40" s="11">
        <v>84</v>
      </c>
      <c r="P40" s="11">
        <v>80</v>
      </c>
      <c r="Q40" s="11">
        <v>90</v>
      </c>
    </row>
    <row r="41" spans="1:17" x14ac:dyDescent="0.35">
      <c r="A41" s="12">
        <v>40000002359</v>
      </c>
      <c r="B41" s="11">
        <v>1</v>
      </c>
      <c r="C41" s="11" t="s">
        <v>432</v>
      </c>
      <c r="D41" s="11">
        <v>80</v>
      </c>
      <c r="E41" s="11" t="s">
        <v>407</v>
      </c>
      <c r="F41" s="11" t="s">
        <v>428</v>
      </c>
      <c r="G41" s="14">
        <v>45396</v>
      </c>
      <c r="H41" s="11" t="s">
        <v>418</v>
      </c>
      <c r="I41" s="11" t="s">
        <v>425</v>
      </c>
      <c r="J41" s="14">
        <v>45398</v>
      </c>
      <c r="K41" s="15">
        <v>0.21666666666666667</v>
      </c>
      <c r="L41" s="14">
        <v>45398</v>
      </c>
      <c r="M41" s="15">
        <v>0.19375000000000001</v>
      </c>
      <c r="N41" s="11" t="s">
        <v>419</v>
      </c>
      <c r="O41" s="11">
        <v>25</v>
      </c>
      <c r="P41" s="11">
        <v>23</v>
      </c>
      <c r="Q41" s="11">
        <v>28</v>
      </c>
    </row>
    <row r="42" spans="1:17" x14ac:dyDescent="0.35">
      <c r="A42" s="12">
        <v>40000002400</v>
      </c>
      <c r="B42" s="11">
        <v>1</v>
      </c>
      <c r="C42" s="11" t="s">
        <v>433</v>
      </c>
      <c r="D42" s="11">
        <v>10</v>
      </c>
      <c r="E42" s="11" t="s">
        <v>399</v>
      </c>
      <c r="F42" s="11" t="s">
        <v>428</v>
      </c>
      <c r="G42" s="14">
        <v>45389</v>
      </c>
      <c r="H42" s="11" t="s">
        <v>418</v>
      </c>
      <c r="I42" s="11" t="s">
        <v>425</v>
      </c>
      <c r="J42" s="14">
        <v>45390</v>
      </c>
      <c r="K42" s="15">
        <v>0.12569444444444444</v>
      </c>
      <c r="L42" s="14">
        <v>45390</v>
      </c>
      <c r="M42" s="15">
        <v>0.15972222222222221</v>
      </c>
      <c r="N42" s="11" t="s">
        <v>419</v>
      </c>
      <c r="O42" s="11">
        <v>98.5</v>
      </c>
      <c r="P42" s="11">
        <v>95</v>
      </c>
      <c r="Q42" s="11">
        <v>105</v>
      </c>
    </row>
    <row r="43" spans="1:17" x14ac:dyDescent="0.35">
      <c r="A43" s="12">
        <v>40000002400</v>
      </c>
      <c r="B43" s="11">
        <v>1</v>
      </c>
      <c r="C43" s="11" t="s">
        <v>433</v>
      </c>
      <c r="D43" s="11">
        <v>20</v>
      </c>
      <c r="E43" s="11" t="s">
        <v>400</v>
      </c>
      <c r="F43" s="11" t="s">
        <v>428</v>
      </c>
      <c r="G43" s="14">
        <v>45389</v>
      </c>
      <c r="H43" s="11" t="s">
        <v>418</v>
      </c>
      <c r="I43" s="11" t="s">
        <v>425</v>
      </c>
      <c r="J43" s="14">
        <v>45390</v>
      </c>
      <c r="K43" s="15">
        <v>0.13125000000000001</v>
      </c>
      <c r="L43" s="14">
        <v>45390</v>
      </c>
      <c r="M43" s="15">
        <v>0.16250000000000001</v>
      </c>
      <c r="N43" s="11" t="s">
        <v>419</v>
      </c>
      <c r="O43" s="11">
        <v>6.2</v>
      </c>
      <c r="P43" s="11">
        <v>3.5</v>
      </c>
      <c r="Q43" s="11">
        <v>11.5</v>
      </c>
    </row>
    <row r="44" spans="1:17" x14ac:dyDescent="0.35">
      <c r="A44" s="12">
        <v>40000002400</v>
      </c>
      <c r="B44" s="11">
        <v>1</v>
      </c>
      <c r="C44" s="11" t="s">
        <v>433</v>
      </c>
      <c r="D44" s="11">
        <v>30</v>
      </c>
      <c r="E44" s="11" t="s">
        <v>420</v>
      </c>
      <c r="F44" s="11" t="s">
        <v>428</v>
      </c>
      <c r="G44" s="14">
        <v>45389</v>
      </c>
      <c r="H44" s="11" t="s">
        <v>418</v>
      </c>
      <c r="I44" s="11" t="s">
        <v>425</v>
      </c>
      <c r="J44" s="14">
        <v>45390</v>
      </c>
      <c r="K44" s="15">
        <v>0.13680555555555557</v>
      </c>
      <c r="L44" s="14">
        <v>45390</v>
      </c>
      <c r="M44" s="15">
        <v>0.16527777777777777</v>
      </c>
      <c r="N44" s="11" t="s">
        <v>402</v>
      </c>
      <c r="O44" s="11" t="s">
        <v>419</v>
      </c>
      <c r="P44" s="11" t="s">
        <v>419</v>
      </c>
      <c r="Q44" s="11" t="s">
        <v>419</v>
      </c>
    </row>
    <row r="45" spans="1:17" x14ac:dyDescent="0.35">
      <c r="A45" s="12">
        <v>40000002400</v>
      </c>
      <c r="B45" s="11">
        <v>1</v>
      </c>
      <c r="C45" s="11" t="s">
        <v>433</v>
      </c>
      <c r="D45" s="11">
        <v>40</v>
      </c>
      <c r="E45" s="11" t="s">
        <v>422</v>
      </c>
      <c r="F45" s="11" t="s">
        <v>428</v>
      </c>
      <c r="G45" s="14">
        <v>45389</v>
      </c>
      <c r="H45" s="11" t="s">
        <v>430</v>
      </c>
      <c r="I45" s="11" t="s">
        <v>425</v>
      </c>
      <c r="J45" s="14">
        <v>45390</v>
      </c>
      <c r="K45" s="15">
        <v>0.1423611111111111</v>
      </c>
      <c r="L45" s="14">
        <v>45390</v>
      </c>
      <c r="M45" s="15">
        <v>0.16805555555555557</v>
      </c>
      <c r="N45" s="11" t="s">
        <v>419</v>
      </c>
      <c r="O45" s="11">
        <v>1.4</v>
      </c>
      <c r="P45" s="11">
        <v>1.2</v>
      </c>
      <c r="Q45" s="11">
        <v>2</v>
      </c>
    </row>
    <row r="46" spans="1:17" x14ac:dyDescent="0.35">
      <c r="A46" s="12">
        <v>40000002400</v>
      </c>
      <c r="B46" s="11">
        <v>1</v>
      </c>
      <c r="C46" s="11" t="s">
        <v>433</v>
      </c>
      <c r="D46" s="11">
        <v>50</v>
      </c>
      <c r="E46" s="11" t="s">
        <v>424</v>
      </c>
      <c r="F46" s="11" t="s">
        <v>428</v>
      </c>
      <c r="G46" s="14">
        <v>45389</v>
      </c>
      <c r="H46" s="11" t="s">
        <v>418</v>
      </c>
      <c r="I46" s="11" t="s">
        <v>425</v>
      </c>
      <c r="J46" s="14">
        <v>45390</v>
      </c>
      <c r="K46" s="15">
        <v>0.14791666666666667</v>
      </c>
      <c r="L46" s="14">
        <v>45390</v>
      </c>
      <c r="M46" s="15">
        <v>0.17083333333333334</v>
      </c>
      <c r="N46" s="11" t="s">
        <v>419</v>
      </c>
      <c r="O46" s="11">
        <v>52.3</v>
      </c>
      <c r="P46" s="11">
        <v>40</v>
      </c>
      <c r="Q46" s="11">
        <v>60</v>
      </c>
    </row>
    <row r="47" spans="1:17" x14ac:dyDescent="0.35">
      <c r="A47" s="12">
        <v>40000002400</v>
      </c>
      <c r="B47" s="11">
        <v>1</v>
      </c>
      <c r="C47" s="11" t="s">
        <v>433</v>
      </c>
      <c r="D47" s="11">
        <v>60</v>
      </c>
      <c r="E47" s="11" t="s">
        <v>426</v>
      </c>
      <c r="F47" s="11" t="s">
        <v>428</v>
      </c>
      <c r="G47" s="14">
        <v>45389</v>
      </c>
      <c r="H47" s="11" t="s">
        <v>418</v>
      </c>
      <c r="I47" s="11" t="s">
        <v>425</v>
      </c>
      <c r="J47" s="14">
        <v>45390</v>
      </c>
      <c r="K47" s="15">
        <v>0.15347222222222223</v>
      </c>
      <c r="L47" s="14">
        <v>45390</v>
      </c>
      <c r="M47" s="15">
        <v>0.1736111111111111</v>
      </c>
      <c r="N47" s="11" t="s">
        <v>419</v>
      </c>
      <c r="O47" s="11">
        <v>78.099999999999994</v>
      </c>
      <c r="P47" s="11">
        <v>70</v>
      </c>
      <c r="Q47" s="11">
        <v>85</v>
      </c>
    </row>
    <row r="48" spans="1:17" x14ac:dyDescent="0.35">
      <c r="A48" s="12">
        <v>40000002400</v>
      </c>
      <c r="B48" s="11">
        <v>1</v>
      </c>
      <c r="C48" s="11" t="s">
        <v>433</v>
      </c>
      <c r="D48" s="11">
        <v>70</v>
      </c>
      <c r="E48" s="11" t="s">
        <v>427</v>
      </c>
      <c r="F48" s="11" t="s">
        <v>428</v>
      </c>
      <c r="G48" s="14">
        <v>45389</v>
      </c>
      <c r="H48" s="11" t="s">
        <v>418</v>
      </c>
      <c r="I48" s="11" t="s">
        <v>425</v>
      </c>
      <c r="J48" s="14">
        <v>45390</v>
      </c>
      <c r="K48" s="15">
        <v>0.15902777777777777</v>
      </c>
      <c r="L48" s="14">
        <v>45390</v>
      </c>
      <c r="M48" s="15">
        <v>0.1763888888888889</v>
      </c>
      <c r="N48" s="11" t="s">
        <v>419</v>
      </c>
      <c r="O48" s="11">
        <v>83</v>
      </c>
      <c r="P48" s="11">
        <v>80</v>
      </c>
      <c r="Q48" s="11">
        <v>90</v>
      </c>
    </row>
    <row r="49" spans="1:17" x14ac:dyDescent="0.35">
      <c r="A49" s="12">
        <v>40000002400</v>
      </c>
      <c r="B49" s="11">
        <v>1</v>
      </c>
      <c r="C49" s="11" t="s">
        <v>433</v>
      </c>
      <c r="D49" s="11">
        <v>80</v>
      </c>
      <c r="E49" s="11" t="s">
        <v>407</v>
      </c>
      <c r="F49" s="11" t="s">
        <v>428</v>
      </c>
      <c r="G49" s="14">
        <v>45389</v>
      </c>
      <c r="H49" s="11" t="s">
        <v>418</v>
      </c>
      <c r="I49" s="11" t="s">
        <v>425</v>
      </c>
      <c r="J49" s="14">
        <v>45390</v>
      </c>
      <c r="K49" s="15">
        <v>0.16458333333333333</v>
      </c>
      <c r="L49" s="14">
        <v>45390</v>
      </c>
      <c r="M49" s="15">
        <v>0.17916666666666667</v>
      </c>
      <c r="N49" s="11" t="s">
        <v>419</v>
      </c>
      <c r="O49" s="11">
        <v>25</v>
      </c>
      <c r="P49" s="11">
        <v>23</v>
      </c>
      <c r="Q49" s="11">
        <v>28</v>
      </c>
    </row>
    <row r="50" spans="1:17" x14ac:dyDescent="0.35">
      <c r="A50" s="12">
        <v>40000002402</v>
      </c>
      <c r="B50" s="11">
        <v>1</v>
      </c>
      <c r="C50" s="11" t="s">
        <v>432</v>
      </c>
      <c r="D50" s="11">
        <v>10</v>
      </c>
      <c r="E50" s="11" t="s">
        <v>399</v>
      </c>
      <c r="F50" s="11" t="s">
        <v>428</v>
      </c>
      <c r="G50" s="14">
        <v>45387</v>
      </c>
      <c r="H50" s="11" t="s">
        <v>418</v>
      </c>
      <c r="I50" s="11" t="s">
        <v>425</v>
      </c>
      <c r="J50" s="14">
        <v>45387</v>
      </c>
      <c r="K50" s="15">
        <v>0.25069444444444444</v>
      </c>
      <c r="L50" s="14">
        <v>45387</v>
      </c>
      <c r="M50" s="15">
        <v>0.2638888888888889</v>
      </c>
      <c r="N50" s="11" t="s">
        <v>419</v>
      </c>
      <c r="O50" s="11">
        <v>98.2</v>
      </c>
      <c r="P50" s="11">
        <v>95</v>
      </c>
      <c r="Q50" s="11">
        <v>102</v>
      </c>
    </row>
    <row r="51" spans="1:17" x14ac:dyDescent="0.35">
      <c r="A51" s="12">
        <v>40000002402</v>
      </c>
      <c r="B51" s="11">
        <v>1</v>
      </c>
      <c r="C51" s="11" t="s">
        <v>432</v>
      </c>
      <c r="D51" s="11">
        <v>20</v>
      </c>
      <c r="E51" s="11" t="s">
        <v>400</v>
      </c>
      <c r="F51" s="11" t="s">
        <v>428</v>
      </c>
      <c r="G51" s="14">
        <v>45387</v>
      </c>
      <c r="H51" s="11" t="s">
        <v>418</v>
      </c>
      <c r="I51" s="11" t="s">
        <v>425</v>
      </c>
      <c r="J51" s="14">
        <v>45387</v>
      </c>
      <c r="K51" s="15">
        <v>0.25277777777777777</v>
      </c>
      <c r="L51" s="14">
        <v>45387</v>
      </c>
      <c r="M51" s="15">
        <v>0.26666666666666666</v>
      </c>
      <c r="N51" s="11" t="s">
        <v>419</v>
      </c>
      <c r="O51" s="11">
        <v>6.8</v>
      </c>
      <c r="P51" s="11">
        <v>6</v>
      </c>
      <c r="Q51" s="11">
        <v>7.5</v>
      </c>
    </row>
    <row r="52" spans="1:17" x14ac:dyDescent="0.35">
      <c r="A52" s="12">
        <v>40000002402</v>
      </c>
      <c r="B52" s="11">
        <v>1</v>
      </c>
      <c r="C52" s="11" t="s">
        <v>432</v>
      </c>
      <c r="D52" s="11">
        <v>30</v>
      </c>
      <c r="E52" s="11" t="s">
        <v>420</v>
      </c>
      <c r="F52" s="11" t="s">
        <v>428</v>
      </c>
      <c r="G52" s="14">
        <v>45387</v>
      </c>
      <c r="H52" s="11" t="s">
        <v>418</v>
      </c>
      <c r="I52" s="11" t="s">
        <v>425</v>
      </c>
      <c r="J52" s="14">
        <v>45387</v>
      </c>
      <c r="K52" s="15">
        <v>0.25486111111111109</v>
      </c>
      <c r="L52" s="14">
        <v>45387</v>
      </c>
      <c r="M52" s="15">
        <v>0.26944444444444443</v>
      </c>
      <c r="N52" s="11" t="s">
        <v>402</v>
      </c>
      <c r="O52" s="11" t="s">
        <v>419</v>
      </c>
      <c r="P52" s="11" t="s">
        <v>419</v>
      </c>
      <c r="Q52" s="11" t="s">
        <v>419</v>
      </c>
    </row>
    <row r="53" spans="1:17" x14ac:dyDescent="0.35">
      <c r="A53" s="12">
        <v>40000002402</v>
      </c>
      <c r="B53" s="11">
        <v>1</v>
      </c>
      <c r="C53" s="11" t="s">
        <v>432</v>
      </c>
      <c r="D53" s="11">
        <v>40</v>
      </c>
      <c r="E53" s="11" t="s">
        <v>422</v>
      </c>
      <c r="F53" s="11" t="s">
        <v>428</v>
      </c>
      <c r="G53" s="14">
        <v>45387</v>
      </c>
      <c r="H53" s="11" t="s">
        <v>430</v>
      </c>
      <c r="I53" s="11" t="s">
        <v>425</v>
      </c>
      <c r="J53" s="14">
        <v>45387</v>
      </c>
      <c r="K53" s="15">
        <v>0.25694444444444442</v>
      </c>
      <c r="L53" s="14">
        <v>45387</v>
      </c>
      <c r="M53" s="15">
        <v>0.2722222222222222</v>
      </c>
      <c r="N53" s="11" t="s">
        <v>419</v>
      </c>
      <c r="O53" s="11">
        <v>1.1000000000000001</v>
      </c>
      <c r="P53" s="11">
        <v>0</v>
      </c>
      <c r="Q53" s="11">
        <v>1</v>
      </c>
    </row>
    <row r="54" spans="1:17" x14ac:dyDescent="0.35">
      <c r="A54" s="12">
        <v>40000002402</v>
      </c>
      <c r="B54" s="11">
        <v>1</v>
      </c>
      <c r="C54" s="11" t="s">
        <v>432</v>
      </c>
      <c r="D54" s="11">
        <v>50</v>
      </c>
      <c r="E54" s="11" t="s">
        <v>424</v>
      </c>
      <c r="F54" s="11" t="s">
        <v>428</v>
      </c>
      <c r="G54" s="14">
        <v>45387</v>
      </c>
      <c r="H54" s="11" t="s">
        <v>418</v>
      </c>
      <c r="I54" s="11" t="s">
        <v>425</v>
      </c>
      <c r="J54" s="14">
        <v>45387</v>
      </c>
      <c r="K54" s="15">
        <v>0.2590277777777778</v>
      </c>
      <c r="L54" s="14">
        <v>45387</v>
      </c>
      <c r="M54" s="15">
        <v>0.27500000000000002</v>
      </c>
      <c r="N54" s="11" t="s">
        <v>419</v>
      </c>
      <c r="O54" s="11">
        <v>51</v>
      </c>
      <c r="P54" s="11">
        <v>40</v>
      </c>
      <c r="Q54" s="11">
        <v>60</v>
      </c>
    </row>
    <row r="55" spans="1:17" x14ac:dyDescent="0.35">
      <c r="A55" s="12">
        <v>40000002402</v>
      </c>
      <c r="B55" s="11">
        <v>1</v>
      </c>
      <c r="C55" s="11" t="s">
        <v>432</v>
      </c>
      <c r="D55" s="11">
        <v>60</v>
      </c>
      <c r="E55" s="11" t="s">
        <v>426</v>
      </c>
      <c r="F55" s="11" t="s">
        <v>428</v>
      </c>
      <c r="G55" s="14">
        <v>45387</v>
      </c>
      <c r="H55" s="11" t="s">
        <v>430</v>
      </c>
      <c r="I55" s="11" t="s">
        <v>425</v>
      </c>
      <c r="J55" s="14">
        <v>45387</v>
      </c>
      <c r="K55" s="15">
        <v>0.26111111111111113</v>
      </c>
      <c r="L55" s="14">
        <v>45387</v>
      </c>
      <c r="M55" s="15">
        <v>0.27777777777777779</v>
      </c>
      <c r="N55" s="11" t="s">
        <v>419</v>
      </c>
      <c r="O55" s="11">
        <v>68</v>
      </c>
      <c r="P55" s="11">
        <v>70</v>
      </c>
      <c r="Q55" s="11">
        <v>85</v>
      </c>
    </row>
    <row r="56" spans="1:17" x14ac:dyDescent="0.35">
      <c r="A56" s="12">
        <v>40000002402</v>
      </c>
      <c r="B56" s="11">
        <v>1</v>
      </c>
      <c r="C56" s="11" t="s">
        <v>432</v>
      </c>
      <c r="D56" s="11">
        <v>70</v>
      </c>
      <c r="E56" s="11" t="s">
        <v>427</v>
      </c>
      <c r="F56" s="11" t="s">
        <v>428</v>
      </c>
      <c r="G56" s="14">
        <v>45387</v>
      </c>
      <c r="H56" s="11" t="s">
        <v>418</v>
      </c>
      <c r="I56" s="11" t="s">
        <v>425</v>
      </c>
      <c r="J56" s="14">
        <v>45387</v>
      </c>
      <c r="K56" s="15">
        <v>0.26319444444444445</v>
      </c>
      <c r="L56" s="14">
        <v>45387</v>
      </c>
      <c r="M56" s="15">
        <v>0.28055555555555556</v>
      </c>
      <c r="N56" s="11" t="s">
        <v>419</v>
      </c>
      <c r="O56" s="11">
        <v>84</v>
      </c>
      <c r="P56" s="11">
        <v>80</v>
      </c>
      <c r="Q56" s="11">
        <v>90</v>
      </c>
    </row>
    <row r="57" spans="1:17" x14ac:dyDescent="0.35">
      <c r="A57" s="12">
        <v>40000002402</v>
      </c>
      <c r="B57" s="11">
        <v>1</v>
      </c>
      <c r="C57" s="11" t="s">
        <v>432</v>
      </c>
      <c r="D57" s="11">
        <v>80</v>
      </c>
      <c r="E57" s="11" t="s">
        <v>407</v>
      </c>
      <c r="F57" s="11" t="s">
        <v>428</v>
      </c>
      <c r="G57" s="14">
        <v>45387</v>
      </c>
      <c r="H57" s="11" t="s">
        <v>418</v>
      </c>
      <c r="I57" s="11" t="s">
        <v>425</v>
      </c>
      <c r="J57" s="14">
        <v>45387</v>
      </c>
      <c r="K57" s="15">
        <v>0.26527777777777778</v>
      </c>
      <c r="L57" s="14">
        <v>45387</v>
      </c>
      <c r="M57" s="15">
        <v>0.28333333333333333</v>
      </c>
      <c r="N57" s="11" t="s">
        <v>419</v>
      </c>
      <c r="O57" s="11">
        <v>25</v>
      </c>
      <c r="P57" s="11">
        <v>23</v>
      </c>
      <c r="Q57" s="11">
        <v>28</v>
      </c>
    </row>
    <row r="58" spans="1:17" x14ac:dyDescent="0.35">
      <c r="A58" s="12">
        <v>40000002404</v>
      </c>
      <c r="B58" s="11">
        <v>1</v>
      </c>
      <c r="C58" s="11" t="s">
        <v>433</v>
      </c>
      <c r="D58" s="11">
        <v>10</v>
      </c>
      <c r="E58" s="11" t="s">
        <v>399</v>
      </c>
      <c r="F58" s="11" t="s">
        <v>428</v>
      </c>
      <c r="G58" s="14">
        <v>45379</v>
      </c>
      <c r="H58" s="11" t="s">
        <v>418</v>
      </c>
      <c r="I58" s="11" t="s">
        <v>425</v>
      </c>
      <c r="J58" s="14">
        <v>45381</v>
      </c>
      <c r="K58" s="15">
        <v>0.29236111111111113</v>
      </c>
      <c r="L58" s="14">
        <v>45381</v>
      </c>
      <c r="M58" s="15">
        <v>0.30277777777777776</v>
      </c>
      <c r="N58" s="11" t="s">
        <v>419</v>
      </c>
      <c r="O58" s="11">
        <v>98.5</v>
      </c>
      <c r="P58" s="11">
        <v>95</v>
      </c>
      <c r="Q58" s="11">
        <v>105</v>
      </c>
    </row>
    <row r="59" spans="1:17" x14ac:dyDescent="0.35">
      <c r="A59" s="12">
        <v>40000002404</v>
      </c>
      <c r="B59" s="11">
        <v>1</v>
      </c>
      <c r="C59" s="11" t="s">
        <v>433</v>
      </c>
      <c r="D59" s="11">
        <v>20</v>
      </c>
      <c r="E59" s="11" t="s">
        <v>400</v>
      </c>
      <c r="F59" s="11" t="s">
        <v>428</v>
      </c>
      <c r="G59" s="14">
        <v>45379</v>
      </c>
      <c r="H59" s="11" t="s">
        <v>418</v>
      </c>
      <c r="I59" s="11" t="s">
        <v>425</v>
      </c>
      <c r="J59" s="14">
        <v>45381</v>
      </c>
      <c r="K59" s="15">
        <v>0.29375000000000001</v>
      </c>
      <c r="L59" s="14">
        <v>45381</v>
      </c>
      <c r="M59" s="15">
        <v>0.30416666666666664</v>
      </c>
      <c r="N59" s="11" t="s">
        <v>419</v>
      </c>
      <c r="O59" s="11">
        <v>6.2</v>
      </c>
      <c r="P59" s="11">
        <v>3.5</v>
      </c>
      <c r="Q59" s="11">
        <v>11.5</v>
      </c>
    </row>
    <row r="60" spans="1:17" x14ac:dyDescent="0.35">
      <c r="A60" s="12">
        <v>40000002404</v>
      </c>
      <c r="B60" s="11">
        <v>1</v>
      </c>
      <c r="C60" s="11" t="s">
        <v>433</v>
      </c>
      <c r="D60" s="11">
        <v>30</v>
      </c>
      <c r="E60" s="11" t="s">
        <v>420</v>
      </c>
      <c r="F60" s="11" t="s">
        <v>428</v>
      </c>
      <c r="G60" s="14">
        <v>45379</v>
      </c>
      <c r="H60" s="11" t="s">
        <v>418</v>
      </c>
      <c r="I60" s="11" t="s">
        <v>425</v>
      </c>
      <c r="J60" s="14">
        <v>45381</v>
      </c>
      <c r="K60" s="15">
        <v>0.2951388888888889</v>
      </c>
      <c r="L60" s="14">
        <v>45381</v>
      </c>
      <c r="M60" s="15">
        <v>0.30555555555555558</v>
      </c>
      <c r="N60" s="11" t="s">
        <v>402</v>
      </c>
      <c r="O60" s="11" t="s">
        <v>419</v>
      </c>
      <c r="P60" s="11" t="s">
        <v>419</v>
      </c>
      <c r="Q60" s="11" t="s">
        <v>419</v>
      </c>
    </row>
    <row r="61" spans="1:17" x14ac:dyDescent="0.35">
      <c r="A61" s="12">
        <v>40000002404</v>
      </c>
      <c r="B61" s="11">
        <v>1</v>
      </c>
      <c r="C61" s="11" t="s">
        <v>433</v>
      </c>
      <c r="D61" s="11">
        <v>40</v>
      </c>
      <c r="E61" s="11" t="s">
        <v>422</v>
      </c>
      <c r="F61" s="11" t="s">
        <v>428</v>
      </c>
      <c r="G61" s="14">
        <v>45379</v>
      </c>
      <c r="H61" s="11" t="s">
        <v>418</v>
      </c>
      <c r="I61" s="11" t="s">
        <v>425</v>
      </c>
      <c r="J61" s="14">
        <v>45381</v>
      </c>
      <c r="K61" s="15">
        <v>0.29652777777777778</v>
      </c>
      <c r="L61" s="14">
        <v>45381</v>
      </c>
      <c r="M61" s="15">
        <v>0.30694444444444446</v>
      </c>
      <c r="N61" s="11" t="s">
        <v>419</v>
      </c>
      <c r="O61" s="11">
        <v>1.5</v>
      </c>
      <c r="P61" s="11">
        <v>1</v>
      </c>
      <c r="Q61" s="11">
        <v>2</v>
      </c>
    </row>
    <row r="62" spans="1:17" x14ac:dyDescent="0.35">
      <c r="A62" s="12">
        <v>40000002404</v>
      </c>
      <c r="B62" s="11">
        <v>1</v>
      </c>
      <c r="C62" s="11" t="s">
        <v>433</v>
      </c>
      <c r="D62" s="11">
        <v>50</v>
      </c>
      <c r="E62" s="11" t="s">
        <v>424</v>
      </c>
      <c r="F62" s="11" t="s">
        <v>428</v>
      </c>
      <c r="G62" s="14">
        <v>45379</v>
      </c>
      <c r="H62" s="11" t="s">
        <v>418</v>
      </c>
      <c r="I62" s="11" t="s">
        <v>425</v>
      </c>
      <c r="J62" s="14">
        <v>45381</v>
      </c>
      <c r="K62" s="15">
        <v>0.29791666666666666</v>
      </c>
      <c r="L62" s="14">
        <v>45381</v>
      </c>
      <c r="M62" s="15">
        <v>0.30833333333333335</v>
      </c>
      <c r="N62" s="11" t="s">
        <v>419</v>
      </c>
      <c r="O62" s="11">
        <v>52.3</v>
      </c>
      <c r="P62" s="11">
        <v>40</v>
      </c>
      <c r="Q62" s="11">
        <v>60</v>
      </c>
    </row>
    <row r="63" spans="1:17" x14ac:dyDescent="0.35">
      <c r="A63" s="12">
        <v>40000002404</v>
      </c>
      <c r="B63" s="11">
        <v>1</v>
      </c>
      <c r="C63" s="11" t="s">
        <v>433</v>
      </c>
      <c r="D63" s="11">
        <v>60</v>
      </c>
      <c r="E63" s="11" t="s">
        <v>426</v>
      </c>
      <c r="F63" s="11" t="s">
        <v>428</v>
      </c>
      <c r="G63" s="14">
        <v>45379</v>
      </c>
      <c r="H63" s="11" t="s">
        <v>418</v>
      </c>
      <c r="I63" s="11" t="s">
        <v>425</v>
      </c>
      <c r="J63" s="14">
        <v>45381</v>
      </c>
      <c r="K63" s="15">
        <v>0.29930555555555555</v>
      </c>
      <c r="L63" s="14">
        <v>45381</v>
      </c>
      <c r="M63" s="15">
        <v>0.30972222222222223</v>
      </c>
      <c r="N63" s="11" t="s">
        <v>419</v>
      </c>
      <c r="O63" s="11">
        <v>78.099999999999994</v>
      </c>
      <c r="P63" s="11">
        <v>70</v>
      </c>
      <c r="Q63" s="11">
        <v>85</v>
      </c>
    </row>
    <row r="64" spans="1:17" x14ac:dyDescent="0.35">
      <c r="A64" s="12">
        <v>40000002404</v>
      </c>
      <c r="B64" s="11">
        <v>1</v>
      </c>
      <c r="C64" s="11" t="s">
        <v>433</v>
      </c>
      <c r="D64" s="11">
        <v>70</v>
      </c>
      <c r="E64" s="11" t="s">
        <v>427</v>
      </c>
      <c r="F64" s="11" t="s">
        <v>428</v>
      </c>
      <c r="G64" s="14">
        <v>45379</v>
      </c>
      <c r="H64" s="11" t="s">
        <v>418</v>
      </c>
      <c r="I64" s="11" t="s">
        <v>425</v>
      </c>
      <c r="J64" s="14">
        <v>45381</v>
      </c>
      <c r="K64" s="15">
        <v>0.30069444444444443</v>
      </c>
      <c r="L64" s="14">
        <v>45381</v>
      </c>
      <c r="M64" s="15">
        <v>0.31111111111111112</v>
      </c>
      <c r="N64" s="11" t="s">
        <v>419</v>
      </c>
      <c r="O64" s="11">
        <v>86</v>
      </c>
      <c r="P64" s="11">
        <v>80</v>
      </c>
      <c r="Q64" s="11">
        <v>90</v>
      </c>
    </row>
    <row r="65" spans="1:17" x14ac:dyDescent="0.35">
      <c r="A65" s="12">
        <v>40000002404</v>
      </c>
      <c r="B65" s="11">
        <v>1</v>
      </c>
      <c r="C65" s="11" t="s">
        <v>433</v>
      </c>
      <c r="D65" s="11">
        <v>80</v>
      </c>
      <c r="E65" s="11" t="s">
        <v>407</v>
      </c>
      <c r="F65" s="11" t="s">
        <v>428</v>
      </c>
      <c r="G65" s="14">
        <v>45379</v>
      </c>
      <c r="H65" s="11" t="s">
        <v>418</v>
      </c>
      <c r="I65" s="11" t="s">
        <v>425</v>
      </c>
      <c r="J65" s="14">
        <v>45381</v>
      </c>
      <c r="K65" s="15">
        <v>0.30208333333333331</v>
      </c>
      <c r="L65" s="14">
        <v>45381</v>
      </c>
      <c r="M65" s="15">
        <v>0.3125</v>
      </c>
      <c r="N65" s="11" t="s">
        <v>419</v>
      </c>
      <c r="O65" s="11">
        <v>25</v>
      </c>
      <c r="P65" s="11">
        <v>23</v>
      </c>
      <c r="Q65" s="11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9146-8A35-4260-91B8-546D55449A7D}">
  <dimension ref="A1:I377"/>
  <sheetViews>
    <sheetView workbookViewId="0">
      <pane ySplit="1" topLeftCell="A2" activePane="bottomLeft" state="frozen"/>
      <selection pane="bottomLeft" activeCell="I8" sqref="I8"/>
    </sheetView>
  </sheetViews>
  <sheetFormatPr defaultColWidth="8.7265625" defaultRowHeight="14.5" x14ac:dyDescent="0.35"/>
  <cols>
    <col min="1" max="1" width="12.26953125" style="33" bestFit="1" customWidth="1"/>
    <col min="2" max="2" width="9.54296875" style="33" customWidth="1"/>
    <col min="3" max="3" width="14" style="33" customWidth="1"/>
    <col min="4" max="4" width="24.7265625" style="28" bestFit="1" customWidth="1"/>
    <col min="5" max="5" width="15.81640625" style="33" customWidth="1"/>
    <col min="6" max="6" width="17.1796875" style="63" bestFit="1" customWidth="1"/>
    <col min="7" max="7" width="33.54296875" style="40" bestFit="1" customWidth="1"/>
    <col min="8" max="8" width="20.26953125" style="63" bestFit="1" customWidth="1"/>
    <col min="9" max="9" width="31" style="28" customWidth="1"/>
    <col min="10" max="16384" width="8.7265625" style="28"/>
  </cols>
  <sheetData>
    <row r="1" spans="1:9" x14ac:dyDescent="0.35">
      <c r="A1" s="42" t="s">
        <v>434</v>
      </c>
      <c r="B1" s="42" t="s">
        <v>435</v>
      </c>
      <c r="C1" s="42" t="s">
        <v>15</v>
      </c>
      <c r="D1" s="43" t="s">
        <v>14</v>
      </c>
      <c r="E1" s="42" t="s">
        <v>436</v>
      </c>
      <c r="F1" s="61" t="s">
        <v>437</v>
      </c>
      <c r="G1" s="45" t="s">
        <v>438</v>
      </c>
      <c r="H1" s="61" t="s">
        <v>439</v>
      </c>
      <c r="I1" s="10" t="s">
        <v>440</v>
      </c>
    </row>
    <row r="2" spans="1:9" x14ac:dyDescent="0.35">
      <c r="A2" s="31">
        <v>200000501</v>
      </c>
      <c r="B2" s="31">
        <v>1010</v>
      </c>
      <c r="C2" s="31">
        <v>4001</v>
      </c>
      <c r="D2" s="29" t="str">
        <f>LOOKUP(CAPA!C2,'QALS - Inspection Lot Record'!P:P,'QALS - Inspection Lot Record'!O:O)</f>
        <v>Metformin Tablets (100 MG)</v>
      </c>
      <c r="E2" s="31">
        <v>93.5</v>
      </c>
      <c r="F2" s="62">
        <f ca="1">IF(TODAY()&gt;=LOOKUP(C2,'QALS - Inspection Lot Record'!P:P,'QALS - Inspection Lot Record'!J:J)+RANDBETWEEN(0,1),LOOKUP(C2,'QALS - Inspection Lot Record'!P:P,'QALS - Inspection Lot Record'!J:J)+RANDBETWEEN(0,1),"")</f>
        <v>45871</v>
      </c>
      <c r="G2" s="2" t="s">
        <v>441</v>
      </c>
      <c r="H2" s="62">
        <f t="shared" ref="H2:H65" ca="1" si="0">IF(TODAY()&gt;=F2+RANDBETWEEN(0,2),F2+RANDBETWEEN(0,2),"")</f>
        <v>45872</v>
      </c>
      <c r="I2" s="29" t="s">
        <v>442</v>
      </c>
    </row>
    <row r="3" spans="1:9" x14ac:dyDescent="0.35">
      <c r="A3" s="31">
        <v>200000501</v>
      </c>
      <c r="B3" s="31">
        <v>1010</v>
      </c>
      <c r="C3" s="31">
        <v>4001</v>
      </c>
      <c r="D3" s="29" t="str">
        <f>LOOKUP(CAPA!C3,'QALS - Inspection Lot Record'!P:P,'QALS - Inspection Lot Record'!O:O)</f>
        <v>Metformin Tablets (100 MG)</v>
      </c>
      <c r="E3" s="31">
        <v>1.7</v>
      </c>
      <c r="F3" s="62">
        <f ca="1">IF(TODAY()&gt;=LOOKUP(C3,'QALS - Inspection Lot Record'!P:P,'QALS - Inspection Lot Record'!J:J)+RANDBETWEEN(0,1),LOOKUP(C3,'QALS - Inspection Lot Record'!P:P,'QALS - Inspection Lot Record'!J:J)+RANDBETWEEN(0,1),"")</f>
        <v>45870</v>
      </c>
      <c r="G3" s="2" t="s">
        <v>443</v>
      </c>
      <c r="H3" s="62">
        <f t="shared" ca="1" si="0"/>
        <v>45872</v>
      </c>
      <c r="I3" s="29" t="s">
        <v>444</v>
      </c>
    </row>
    <row r="4" spans="1:9" x14ac:dyDescent="0.35">
      <c r="A4" s="31">
        <v>200000502</v>
      </c>
      <c r="B4" s="31">
        <v>1010</v>
      </c>
      <c r="C4" s="31">
        <v>4002</v>
      </c>
      <c r="D4" s="29" t="str">
        <f>LOOKUP(CAPA!C4,'QALS - Inspection Lot Record'!P:P,'QALS - Inspection Lot Record'!O:O)</f>
        <v>Ibuprofen Tablets (100 MG)</v>
      </c>
      <c r="E4" s="31">
        <v>94</v>
      </c>
      <c r="F4" s="62">
        <f ca="1">IF(TODAY()&gt;=LOOKUP(C4,'QALS - Inspection Lot Record'!P:P,'QALS - Inspection Lot Record'!J:J)+RANDBETWEEN(0,1),LOOKUP(C4,'QALS - Inspection Lot Record'!P:P,'QALS - Inspection Lot Record'!J:J)+RANDBETWEEN(0,1),"")</f>
        <v>45871</v>
      </c>
      <c r="G4" s="2" t="s">
        <v>441</v>
      </c>
      <c r="H4" s="62">
        <f t="shared" ca="1" si="0"/>
        <v>45871</v>
      </c>
      <c r="I4" s="29" t="s">
        <v>442</v>
      </c>
    </row>
    <row r="5" spans="1:9" x14ac:dyDescent="0.35">
      <c r="A5" s="31">
        <v>200000503</v>
      </c>
      <c r="B5" s="31">
        <v>1010</v>
      </c>
      <c r="C5" s="31">
        <v>4003</v>
      </c>
      <c r="D5" s="29" t="str">
        <f>LOOKUP(CAPA!C5,'QALS - Inspection Lot Record'!P:P,'QALS - Inspection Lot Record'!O:O)</f>
        <v>Metformin Tablets (100 MG)</v>
      </c>
      <c r="E5" s="31">
        <v>1.2</v>
      </c>
      <c r="F5" s="62">
        <f ca="1">IF(TODAY()&gt;=LOOKUP(C5,'QALS - Inspection Lot Record'!P:P,'QALS - Inspection Lot Record'!J:J)+RANDBETWEEN(0,1),LOOKUP(C5,'QALS - Inspection Lot Record'!P:P,'QALS - Inspection Lot Record'!J:J)+RANDBETWEEN(0,1),"")</f>
        <v>45871</v>
      </c>
      <c r="G5" s="2" t="s">
        <v>445</v>
      </c>
      <c r="H5" s="62">
        <f t="shared" ca="1" si="0"/>
        <v>45872</v>
      </c>
      <c r="I5" s="29" t="s">
        <v>446</v>
      </c>
    </row>
    <row r="6" spans="1:9" x14ac:dyDescent="0.35">
      <c r="A6" s="31">
        <v>200000503</v>
      </c>
      <c r="B6" s="31">
        <v>1010</v>
      </c>
      <c r="C6" s="31">
        <v>4003</v>
      </c>
      <c r="D6" s="29" t="str">
        <f>LOOKUP(CAPA!C6,'QALS - Inspection Lot Record'!P:P,'QALS - Inspection Lot Record'!O:O)</f>
        <v>Metformin Tablets (100 MG)</v>
      </c>
      <c r="E6" s="31">
        <v>38.700000000000003</v>
      </c>
      <c r="F6" s="62">
        <f ca="1">IF(TODAY()&gt;=LOOKUP(C6,'QALS - Inspection Lot Record'!P:P,'QALS - Inspection Lot Record'!J:J)+RANDBETWEEN(0,1),LOOKUP(C6,'QALS - Inspection Lot Record'!P:P,'QALS - Inspection Lot Record'!J:J)+RANDBETWEEN(0,1),"")</f>
        <v>45871</v>
      </c>
      <c r="G6" s="2" t="s">
        <v>447</v>
      </c>
      <c r="H6" s="62">
        <f t="shared" ca="1" si="0"/>
        <v>45871</v>
      </c>
      <c r="I6" s="29" t="s">
        <v>448</v>
      </c>
    </row>
    <row r="7" spans="1:9" x14ac:dyDescent="0.35">
      <c r="A7" s="31">
        <v>200000503</v>
      </c>
      <c r="B7" s="31">
        <v>1010</v>
      </c>
      <c r="C7" s="31">
        <v>4003</v>
      </c>
      <c r="D7" s="29" t="str">
        <f>LOOKUP(CAPA!C7,'QALS - Inspection Lot Record'!P:P,'QALS - Inspection Lot Record'!O:O)</f>
        <v>Metformin Tablets (100 MG)</v>
      </c>
      <c r="E7" s="31">
        <v>68</v>
      </c>
      <c r="F7" s="62">
        <f ca="1">IF(TODAY()&gt;=LOOKUP(C7,'QALS - Inspection Lot Record'!P:P,'QALS - Inspection Lot Record'!J:J)+RANDBETWEEN(0,1),LOOKUP(C7,'QALS - Inspection Lot Record'!P:P,'QALS - Inspection Lot Record'!J:J)+RANDBETWEEN(0,1),"")</f>
        <v>45871</v>
      </c>
      <c r="G7" s="2" t="s">
        <v>447</v>
      </c>
      <c r="H7" s="62">
        <f t="shared" ca="1" si="0"/>
        <v>45872</v>
      </c>
      <c r="I7" s="29" t="s">
        <v>448</v>
      </c>
    </row>
    <row r="8" spans="1:9" x14ac:dyDescent="0.35">
      <c r="A8" s="31">
        <v>200000504</v>
      </c>
      <c r="B8" s="31">
        <v>1010</v>
      </c>
      <c r="C8" s="31">
        <v>4004</v>
      </c>
      <c r="D8" s="29" t="str">
        <f>LOOKUP(CAPA!C8,'QALS - Inspection Lot Record'!P:P,'QALS - Inspection Lot Record'!O:O)</f>
        <v>Metformin Tablets (100 MG)</v>
      </c>
      <c r="E8" s="31">
        <v>93.6</v>
      </c>
      <c r="F8" s="62">
        <f ca="1">IF(TODAY()&gt;=LOOKUP(C8,'QALS - Inspection Lot Record'!P:P,'QALS - Inspection Lot Record'!J:J)+RANDBETWEEN(0,1),LOOKUP(C8,'QALS - Inspection Lot Record'!P:P,'QALS - Inspection Lot Record'!J:J)+RANDBETWEEN(0,1),"")</f>
        <v>45871</v>
      </c>
      <c r="G8" s="2" t="s">
        <v>441</v>
      </c>
      <c r="H8" s="62">
        <f t="shared" ca="1" si="0"/>
        <v>45872</v>
      </c>
      <c r="I8" s="29" t="s">
        <v>442</v>
      </c>
    </row>
    <row r="9" spans="1:9" x14ac:dyDescent="0.35">
      <c r="A9" s="31">
        <v>200000504</v>
      </c>
      <c r="B9" s="31">
        <v>1010</v>
      </c>
      <c r="C9" s="31">
        <v>4004</v>
      </c>
      <c r="D9" s="29" t="str">
        <f>LOOKUP(CAPA!C9,'QALS - Inspection Lot Record'!P:P,'QALS - Inspection Lot Record'!O:O)</f>
        <v>Metformin Tablets (100 MG)</v>
      </c>
      <c r="E9" s="31">
        <v>1.8</v>
      </c>
      <c r="F9" s="62">
        <f ca="1">IF(TODAY()&gt;=LOOKUP(C9,'QALS - Inspection Lot Record'!P:P,'QALS - Inspection Lot Record'!J:J)+RANDBETWEEN(0,1),LOOKUP(C9,'QALS - Inspection Lot Record'!P:P,'QALS - Inspection Lot Record'!J:J)+RANDBETWEEN(0,1),"")</f>
        <v>45871</v>
      </c>
      <c r="G9" s="2" t="s">
        <v>443</v>
      </c>
      <c r="H9" s="62">
        <f t="shared" ca="1" si="0"/>
        <v>45871</v>
      </c>
      <c r="I9" s="29" t="s">
        <v>444</v>
      </c>
    </row>
    <row r="10" spans="1:9" x14ac:dyDescent="0.35">
      <c r="A10" s="31">
        <v>200000504</v>
      </c>
      <c r="B10" s="31">
        <v>1010</v>
      </c>
      <c r="C10" s="31">
        <v>4004</v>
      </c>
      <c r="D10" s="29" t="str">
        <f>LOOKUP(CAPA!C10,'QALS - Inspection Lot Record'!P:P,'QALS - Inspection Lot Record'!O:O)</f>
        <v>Metformin Tablets (100 MG)</v>
      </c>
      <c r="E10" s="31">
        <v>38.200000000000003</v>
      </c>
      <c r="F10" s="62">
        <f ca="1">IF(TODAY()&gt;=LOOKUP(C10,'QALS - Inspection Lot Record'!P:P,'QALS - Inspection Lot Record'!J:J)+RANDBETWEEN(0,1),LOOKUP(C10,'QALS - Inspection Lot Record'!P:P,'QALS - Inspection Lot Record'!J:J)+RANDBETWEEN(0,1),"")</f>
        <v>45872</v>
      </c>
      <c r="G10" s="2" t="s">
        <v>449</v>
      </c>
      <c r="H10" s="62">
        <f t="shared" ca="1" si="0"/>
        <v>45872</v>
      </c>
      <c r="I10" s="29" t="s">
        <v>450</v>
      </c>
    </row>
    <row r="11" spans="1:9" x14ac:dyDescent="0.35">
      <c r="A11" s="31">
        <v>200000505</v>
      </c>
      <c r="B11" s="31">
        <v>1010</v>
      </c>
      <c r="C11" s="31">
        <v>4005</v>
      </c>
      <c r="D11" s="29" t="str">
        <f>LOOKUP(CAPA!C11,'QALS - Inspection Lot Record'!P:P,'QALS - Inspection Lot Record'!O:O)</f>
        <v>Metformin Tablets (500 MG)</v>
      </c>
      <c r="E11" s="31">
        <v>93.9</v>
      </c>
      <c r="F11" s="62">
        <f ca="1">IF(TODAY()&gt;=LOOKUP(C11,'QALS - Inspection Lot Record'!P:P,'QALS - Inspection Lot Record'!J:J)+RANDBETWEEN(0,1),LOOKUP(C11,'QALS - Inspection Lot Record'!P:P,'QALS - Inspection Lot Record'!J:J)+RANDBETWEEN(0,1),"")</f>
        <v>45872</v>
      </c>
      <c r="G11" s="2" t="s">
        <v>451</v>
      </c>
      <c r="H11" s="62">
        <f t="shared" ca="1" si="0"/>
        <v>45874</v>
      </c>
      <c r="I11" s="29" t="s">
        <v>452</v>
      </c>
    </row>
    <row r="12" spans="1:9" x14ac:dyDescent="0.35">
      <c r="A12" s="31">
        <v>200000505</v>
      </c>
      <c r="B12" s="31">
        <v>1010</v>
      </c>
      <c r="C12" s="31">
        <v>4005</v>
      </c>
      <c r="D12" s="29" t="str">
        <f>LOOKUP(CAPA!C12,'QALS - Inspection Lot Record'!P:P,'QALS - Inspection Lot Record'!O:O)</f>
        <v>Metformin Tablets (500 MG)</v>
      </c>
      <c r="E12" s="31">
        <v>22</v>
      </c>
      <c r="F12" s="62">
        <f ca="1">IF(TODAY()&gt;=LOOKUP(C12,'QALS - Inspection Lot Record'!P:P,'QALS - Inspection Lot Record'!J:J)+RANDBETWEEN(0,1),LOOKUP(C12,'QALS - Inspection Lot Record'!P:P,'QALS - Inspection Lot Record'!J:J)+RANDBETWEEN(0,1),"")</f>
        <v>45872</v>
      </c>
      <c r="G12" s="2" t="s">
        <v>453</v>
      </c>
      <c r="H12" s="62">
        <f t="shared" ca="1" si="0"/>
        <v>45874</v>
      </c>
      <c r="I12" s="29" t="s">
        <v>454</v>
      </c>
    </row>
    <row r="13" spans="1:9" x14ac:dyDescent="0.35">
      <c r="A13" s="31">
        <v>200000506</v>
      </c>
      <c r="B13" s="31">
        <v>1010</v>
      </c>
      <c r="C13" s="31">
        <v>4008</v>
      </c>
      <c r="D13" s="29" t="str">
        <f>LOOKUP(CAPA!C13,'QALS - Inspection Lot Record'!P:P,'QALS - Inspection Lot Record'!O:O)</f>
        <v>Metformin Tablets (500 MG)</v>
      </c>
      <c r="E13" s="31">
        <v>93.9</v>
      </c>
      <c r="F13" s="62">
        <f ca="1">IF(TODAY()&gt;=LOOKUP(C13,'QALS - Inspection Lot Record'!P:P,'QALS - Inspection Lot Record'!J:J)+RANDBETWEEN(0,1),LOOKUP(C13,'QALS - Inspection Lot Record'!P:P,'QALS - Inspection Lot Record'!J:J)+RANDBETWEEN(0,1),"")</f>
        <v>45874</v>
      </c>
      <c r="G13" s="2" t="s">
        <v>451</v>
      </c>
      <c r="H13" s="62">
        <f t="shared" ca="1" si="0"/>
        <v>45876</v>
      </c>
      <c r="I13" s="29" t="s">
        <v>452</v>
      </c>
    </row>
    <row r="14" spans="1:9" x14ac:dyDescent="0.35">
      <c r="A14" s="31">
        <v>200000507</v>
      </c>
      <c r="B14" s="31">
        <v>1010</v>
      </c>
      <c r="C14" s="31">
        <v>4009</v>
      </c>
      <c r="D14" s="29" t="str">
        <f>LOOKUP(CAPA!C14,'QALS - Inspection Lot Record'!P:P,'QALS - Inspection Lot Record'!O:O)</f>
        <v>Metformin Tablets (200 MG)</v>
      </c>
      <c r="E14" s="31">
        <v>93.4</v>
      </c>
      <c r="F14" s="62">
        <f ca="1">IF(TODAY()&gt;=LOOKUP(C14,'QALS - Inspection Lot Record'!P:P,'QALS - Inspection Lot Record'!J:J)+RANDBETWEEN(0,1),LOOKUP(C14,'QALS - Inspection Lot Record'!P:P,'QALS - Inspection Lot Record'!J:J)+RANDBETWEEN(0,1),"")</f>
        <v>45875</v>
      </c>
      <c r="G14" s="2" t="s">
        <v>441</v>
      </c>
      <c r="H14" s="62">
        <f t="shared" ca="1" si="0"/>
        <v>45876</v>
      </c>
      <c r="I14" s="29" t="s">
        <v>442</v>
      </c>
    </row>
    <row r="15" spans="1:9" x14ac:dyDescent="0.35">
      <c r="A15" s="31">
        <v>200000507</v>
      </c>
      <c r="B15" s="31">
        <v>1010</v>
      </c>
      <c r="C15" s="31">
        <v>4009</v>
      </c>
      <c r="D15" s="29" t="str">
        <f>LOOKUP(CAPA!C15,'QALS - Inspection Lot Record'!P:P,'QALS - Inspection Lot Record'!O:O)</f>
        <v>Metformin Tablets (200 MG)</v>
      </c>
      <c r="E15" s="31">
        <v>5</v>
      </c>
      <c r="F15" s="62">
        <f ca="1">IF(TODAY()&gt;=LOOKUP(C15,'QALS - Inspection Lot Record'!P:P,'QALS - Inspection Lot Record'!J:J)+RANDBETWEEN(0,1),LOOKUP(C15,'QALS - Inspection Lot Record'!P:P,'QALS - Inspection Lot Record'!J:J)+RANDBETWEEN(0,1),"")</f>
        <v>45874</v>
      </c>
      <c r="G15" s="2" t="s">
        <v>455</v>
      </c>
      <c r="H15" s="62">
        <f t="shared" ca="1" si="0"/>
        <v>45874</v>
      </c>
      <c r="I15" s="29" t="s">
        <v>456</v>
      </c>
    </row>
    <row r="16" spans="1:9" x14ac:dyDescent="0.35">
      <c r="A16" s="31">
        <v>200000508</v>
      </c>
      <c r="B16" s="31">
        <v>1010</v>
      </c>
      <c r="C16" s="31">
        <v>4010</v>
      </c>
      <c r="D16" s="29" t="str">
        <f>LOOKUP(CAPA!C16,'QALS - Inspection Lot Record'!P:P,'QALS - Inspection Lot Record'!O:O)</f>
        <v>Metformin Tablets (100 MG)</v>
      </c>
      <c r="E16" s="31">
        <v>78.7</v>
      </c>
      <c r="F16" s="62">
        <f ca="1">IF(TODAY()&gt;=LOOKUP(C16,'QALS - Inspection Lot Record'!P:P,'QALS - Inspection Lot Record'!J:J)+RANDBETWEEN(0,1),LOOKUP(C16,'QALS - Inspection Lot Record'!P:P,'QALS - Inspection Lot Record'!J:J)+RANDBETWEEN(0,1),"")</f>
        <v>45874</v>
      </c>
      <c r="G16" s="2" t="s">
        <v>447</v>
      </c>
      <c r="H16" s="62">
        <f t="shared" ca="1" si="0"/>
        <v>45874</v>
      </c>
      <c r="I16" s="29" t="s">
        <v>448</v>
      </c>
    </row>
    <row r="17" spans="1:9" x14ac:dyDescent="0.35">
      <c r="A17" s="31">
        <v>200000509</v>
      </c>
      <c r="B17" s="31">
        <v>1010</v>
      </c>
      <c r="C17" s="31">
        <v>4011</v>
      </c>
      <c r="D17" s="29" t="str">
        <f>LOOKUP(CAPA!C17,'QALS - Inspection Lot Record'!P:P,'QALS - Inspection Lot Record'!O:O)</f>
        <v>Ibuprofen Tablets (100 MG)</v>
      </c>
      <c r="E17" s="31">
        <v>93.9</v>
      </c>
      <c r="F17" s="62">
        <f ca="1">IF(TODAY()&gt;=LOOKUP(C17,'QALS - Inspection Lot Record'!P:P,'QALS - Inspection Lot Record'!J:J)+RANDBETWEEN(0,1),LOOKUP(C17,'QALS - Inspection Lot Record'!P:P,'QALS - Inspection Lot Record'!J:J)+RANDBETWEEN(0,1),"")</f>
        <v>45876</v>
      </c>
      <c r="G17" s="2" t="s">
        <v>451</v>
      </c>
      <c r="H17" s="62">
        <f t="shared" ca="1" si="0"/>
        <v>45876</v>
      </c>
      <c r="I17" s="29" t="s">
        <v>452</v>
      </c>
    </row>
    <row r="18" spans="1:9" x14ac:dyDescent="0.35">
      <c r="A18" s="31">
        <v>200000510</v>
      </c>
      <c r="B18" s="31">
        <v>1010</v>
      </c>
      <c r="C18" s="31">
        <v>4012</v>
      </c>
      <c r="D18" s="29" t="str">
        <f>LOOKUP(CAPA!C18,'QALS - Inspection Lot Record'!P:P,'QALS - Inspection Lot Record'!O:O)</f>
        <v>Metformin Tablets (100 MG)</v>
      </c>
      <c r="E18" s="31">
        <v>93.2</v>
      </c>
      <c r="F18" s="62">
        <f ca="1">IF(TODAY()&gt;=LOOKUP(C18,'QALS - Inspection Lot Record'!P:P,'QALS - Inspection Lot Record'!J:J)+RANDBETWEEN(0,1),LOOKUP(C18,'QALS - Inspection Lot Record'!P:P,'QALS - Inspection Lot Record'!J:J)+RANDBETWEEN(0,1),"")</f>
        <v>45875</v>
      </c>
      <c r="G18" s="2" t="s">
        <v>441</v>
      </c>
      <c r="H18" s="62">
        <f t="shared" ca="1" si="0"/>
        <v>45876</v>
      </c>
      <c r="I18" s="29" t="s">
        <v>442</v>
      </c>
    </row>
    <row r="19" spans="1:9" x14ac:dyDescent="0.35">
      <c r="A19" s="31">
        <v>200000511</v>
      </c>
      <c r="B19" s="31">
        <v>1010</v>
      </c>
      <c r="C19" s="31">
        <v>4013</v>
      </c>
      <c r="D19" s="29" t="str">
        <f>LOOKUP(CAPA!C19,'QALS - Inspection Lot Record'!P:P,'QALS - Inspection Lot Record'!O:O)</f>
        <v>Metformin Tablets (500 MG)</v>
      </c>
      <c r="E19" s="31">
        <v>68.3</v>
      </c>
      <c r="F19" s="62">
        <f ca="1">IF(TODAY()&gt;=LOOKUP(C19,'QALS - Inspection Lot Record'!P:P,'QALS - Inspection Lot Record'!J:J)+RANDBETWEEN(0,1),LOOKUP(C19,'QALS - Inspection Lot Record'!P:P,'QALS - Inspection Lot Record'!J:J)+RANDBETWEEN(0,1),"")</f>
        <v>45877</v>
      </c>
      <c r="G19" s="2" t="s">
        <v>447</v>
      </c>
      <c r="H19" s="62">
        <f t="shared" ca="1" si="0"/>
        <v>45878</v>
      </c>
      <c r="I19" s="29" t="s">
        <v>448</v>
      </c>
    </row>
    <row r="20" spans="1:9" x14ac:dyDescent="0.35">
      <c r="A20" s="31">
        <v>200000512</v>
      </c>
      <c r="B20" s="31">
        <v>1010</v>
      </c>
      <c r="C20" s="31">
        <v>4014</v>
      </c>
      <c r="D20" s="29" t="str">
        <f>LOOKUP(CAPA!C20,'QALS - Inspection Lot Record'!P:P,'QALS - Inspection Lot Record'!O:O)</f>
        <v>Ibuprofen Tablets (100 MG)</v>
      </c>
      <c r="E20" s="31">
        <v>1.2</v>
      </c>
      <c r="F20" s="62">
        <f ca="1">IF(TODAY()&gt;=LOOKUP(C20,'QALS - Inspection Lot Record'!P:P,'QALS - Inspection Lot Record'!J:J)+RANDBETWEEN(0,1),LOOKUP(C20,'QALS - Inspection Lot Record'!P:P,'QALS - Inspection Lot Record'!J:J)+RANDBETWEEN(0,1),"")</f>
        <v>45876</v>
      </c>
      <c r="G20" s="2" t="s">
        <v>445</v>
      </c>
      <c r="H20" s="62">
        <f t="shared" ca="1" si="0"/>
        <v>45878</v>
      </c>
      <c r="I20" s="29" t="s">
        <v>446</v>
      </c>
    </row>
    <row r="21" spans="1:9" x14ac:dyDescent="0.35">
      <c r="A21" s="31">
        <v>200000512</v>
      </c>
      <c r="B21" s="31">
        <v>1010</v>
      </c>
      <c r="C21" s="31">
        <v>4014</v>
      </c>
      <c r="D21" s="29" t="str">
        <f>LOOKUP(CAPA!C21,'QALS - Inspection Lot Record'!P:P,'QALS - Inspection Lot Record'!O:O)</f>
        <v>Ibuprofen Tablets (100 MG)</v>
      </c>
      <c r="E21" s="31">
        <v>78.099999999999994</v>
      </c>
      <c r="F21" s="62">
        <f ca="1">IF(TODAY()&gt;=LOOKUP(C21,'QALS - Inspection Lot Record'!P:P,'QALS - Inspection Lot Record'!J:J)+RANDBETWEEN(0,1),LOOKUP(C21,'QALS - Inspection Lot Record'!P:P,'QALS - Inspection Lot Record'!J:J)+RANDBETWEEN(0,1),"")</f>
        <v>45876</v>
      </c>
      <c r="G21" s="2" t="s">
        <v>447</v>
      </c>
      <c r="H21" s="62">
        <f t="shared" ca="1" si="0"/>
        <v>45878</v>
      </c>
      <c r="I21" s="29" t="s">
        <v>448</v>
      </c>
    </row>
    <row r="22" spans="1:9" x14ac:dyDescent="0.35">
      <c r="A22" s="31">
        <v>200000513</v>
      </c>
      <c r="B22" s="31">
        <v>1010</v>
      </c>
      <c r="C22" s="31">
        <v>4015</v>
      </c>
      <c r="D22" s="29" t="str">
        <f>LOOKUP(CAPA!C22,'QALS - Inspection Lot Record'!P:P,'QALS - Inspection Lot Record'!O:O)</f>
        <v>Ibuprofen Tablets (100 MG)</v>
      </c>
      <c r="E22" s="31">
        <v>94</v>
      </c>
      <c r="F22" s="62">
        <f ca="1">IF(TODAY()&gt;=LOOKUP(C22,'QALS - Inspection Lot Record'!P:P,'QALS - Inspection Lot Record'!J:J)+RANDBETWEEN(0,1),LOOKUP(C22,'QALS - Inspection Lot Record'!P:P,'QALS - Inspection Lot Record'!J:J)+RANDBETWEEN(0,1),"")</f>
        <v>45878</v>
      </c>
      <c r="G22" s="2" t="s">
        <v>441</v>
      </c>
      <c r="H22" s="62">
        <f t="shared" ca="1" si="0"/>
        <v>45879</v>
      </c>
      <c r="I22" s="29" t="s">
        <v>442</v>
      </c>
    </row>
    <row r="23" spans="1:9" x14ac:dyDescent="0.35">
      <c r="A23" s="31">
        <v>200000514</v>
      </c>
      <c r="B23" s="31">
        <v>1010</v>
      </c>
      <c r="C23" s="31">
        <v>4016</v>
      </c>
      <c r="D23" s="29" t="str">
        <f>LOOKUP(CAPA!C23,'QALS - Inspection Lot Record'!P:P,'QALS - Inspection Lot Record'!O:O)</f>
        <v>Metformin Tablets (200 MG)</v>
      </c>
      <c r="E23" s="31">
        <v>93.7</v>
      </c>
      <c r="F23" s="62">
        <f ca="1">IF(TODAY()&gt;=LOOKUP(C23,'QALS - Inspection Lot Record'!P:P,'QALS - Inspection Lot Record'!J:J)+RANDBETWEEN(0,1),LOOKUP(C23,'QALS - Inspection Lot Record'!P:P,'QALS - Inspection Lot Record'!J:J)+RANDBETWEEN(0,1),"")</f>
        <v>45878</v>
      </c>
      <c r="G23" s="2" t="s">
        <v>441</v>
      </c>
      <c r="H23" s="62">
        <f t="shared" ca="1" si="0"/>
        <v>45880</v>
      </c>
      <c r="I23" s="29" t="s">
        <v>442</v>
      </c>
    </row>
    <row r="24" spans="1:9" x14ac:dyDescent="0.35">
      <c r="A24" s="31">
        <v>200000515</v>
      </c>
      <c r="B24" s="31">
        <v>1010</v>
      </c>
      <c r="C24" s="31">
        <v>4017</v>
      </c>
      <c r="D24" s="29" t="str">
        <f>LOOKUP(CAPA!C24,'QALS - Inspection Lot Record'!P:P,'QALS - Inspection Lot Record'!O:O)</f>
        <v>Metformin Tablets (200 MG)</v>
      </c>
      <c r="E24" s="31">
        <v>21.2</v>
      </c>
      <c r="F24" s="62">
        <f ca="1">IF(TODAY()&gt;=LOOKUP(C24,'QALS - Inspection Lot Record'!P:P,'QALS - Inspection Lot Record'!J:J)+RANDBETWEEN(0,1),LOOKUP(C24,'QALS - Inspection Lot Record'!P:P,'QALS - Inspection Lot Record'!J:J)+RANDBETWEEN(0,1),"")</f>
        <v>45879</v>
      </c>
      <c r="G24" s="2" t="s">
        <v>453</v>
      </c>
      <c r="H24" s="62">
        <f t="shared" ca="1" si="0"/>
        <v>45879</v>
      </c>
      <c r="I24" s="29" t="s">
        <v>454</v>
      </c>
    </row>
    <row r="25" spans="1:9" x14ac:dyDescent="0.35">
      <c r="A25" s="31">
        <v>200000516</v>
      </c>
      <c r="B25" s="31">
        <v>1010</v>
      </c>
      <c r="C25" s="31">
        <v>4021</v>
      </c>
      <c r="D25" s="29" t="str">
        <f>LOOKUP(CAPA!C25,'QALS - Inspection Lot Record'!P:P,'QALS - Inspection Lot Record'!O:O)</f>
        <v>Ibuprofen Tablets (100 MG)</v>
      </c>
      <c r="E25" s="31">
        <v>38.700000000000003</v>
      </c>
      <c r="F25" s="62">
        <f ca="1">IF(TODAY()&gt;=LOOKUP(C25,'QALS - Inspection Lot Record'!P:P,'QALS - Inspection Lot Record'!J:J)+RANDBETWEEN(0,1),LOOKUP(C25,'QALS - Inspection Lot Record'!P:P,'QALS - Inspection Lot Record'!J:J)+RANDBETWEEN(0,1),"")</f>
        <v>45880</v>
      </c>
      <c r="G25" s="2" t="s">
        <v>447</v>
      </c>
      <c r="H25" s="62">
        <f t="shared" ca="1" si="0"/>
        <v>45880</v>
      </c>
      <c r="I25" s="29" t="s">
        <v>448</v>
      </c>
    </row>
    <row r="26" spans="1:9" x14ac:dyDescent="0.35">
      <c r="A26" s="31">
        <v>200000516</v>
      </c>
      <c r="B26" s="31">
        <v>1010</v>
      </c>
      <c r="C26" s="31">
        <v>4021</v>
      </c>
      <c r="D26" s="29" t="str">
        <f>LOOKUP(CAPA!C26,'QALS - Inspection Lot Record'!P:P,'QALS - Inspection Lot Record'!O:O)</f>
        <v>Ibuprofen Tablets (100 MG)</v>
      </c>
      <c r="E26" s="31">
        <v>68.099999999999994</v>
      </c>
      <c r="F26" s="62">
        <f ca="1">IF(TODAY()&gt;=LOOKUP(C26,'QALS - Inspection Lot Record'!P:P,'QALS - Inspection Lot Record'!J:J)+RANDBETWEEN(0,1),LOOKUP(C26,'QALS - Inspection Lot Record'!P:P,'QALS - Inspection Lot Record'!J:J)+RANDBETWEEN(0,1),"")</f>
        <v>45880</v>
      </c>
      <c r="G26" s="2" t="s">
        <v>447</v>
      </c>
      <c r="H26" s="62">
        <f t="shared" ca="1" si="0"/>
        <v>45880</v>
      </c>
      <c r="I26" s="29" t="s">
        <v>448</v>
      </c>
    </row>
    <row r="27" spans="1:9" x14ac:dyDescent="0.35">
      <c r="A27" s="31">
        <v>200000517</v>
      </c>
      <c r="B27" s="31">
        <v>1010</v>
      </c>
      <c r="C27" s="31">
        <v>4025</v>
      </c>
      <c r="D27" s="29" t="str">
        <f>LOOKUP(CAPA!C27,'QALS - Inspection Lot Record'!P:P,'QALS - Inspection Lot Record'!O:O)</f>
        <v>Ibuprofen Tablets (100 MG)</v>
      </c>
      <c r="E27" s="31">
        <v>21.1</v>
      </c>
      <c r="F27" s="62">
        <f ca="1">IF(TODAY()&gt;=LOOKUP(C27,'QALS - Inspection Lot Record'!P:P,'QALS - Inspection Lot Record'!J:J)+RANDBETWEEN(0,1),LOOKUP(C27,'QALS - Inspection Lot Record'!P:P,'QALS - Inspection Lot Record'!J:J)+RANDBETWEEN(0,1),"")</f>
        <v>45882</v>
      </c>
      <c r="G27" s="2" t="s">
        <v>453</v>
      </c>
      <c r="H27" s="62">
        <f t="shared" ca="1" si="0"/>
        <v>45883</v>
      </c>
      <c r="I27" s="29" t="s">
        <v>454</v>
      </c>
    </row>
    <row r="28" spans="1:9" x14ac:dyDescent="0.35">
      <c r="A28" s="31">
        <v>200000518</v>
      </c>
      <c r="B28" s="31">
        <v>1010</v>
      </c>
      <c r="C28" s="31">
        <v>4029</v>
      </c>
      <c r="D28" s="29" t="str">
        <f>LOOKUP(CAPA!C28,'QALS - Inspection Lot Record'!P:P,'QALS - Inspection Lot Record'!O:O)</f>
        <v>Metformin Tablets (100 MG)</v>
      </c>
      <c r="E28" s="31">
        <v>78.599999999999994</v>
      </c>
      <c r="F28" s="62">
        <f ca="1">IF(TODAY()&gt;=LOOKUP(C28,'QALS - Inspection Lot Record'!P:P,'QALS - Inspection Lot Record'!J:J)+RANDBETWEEN(0,1),LOOKUP(C28,'QALS - Inspection Lot Record'!P:P,'QALS - Inspection Lot Record'!J:J)+RANDBETWEEN(0,1),"")</f>
        <v>45885</v>
      </c>
      <c r="G28" s="2" t="s">
        <v>447</v>
      </c>
      <c r="H28" s="62">
        <f t="shared" ca="1" si="0"/>
        <v>45885</v>
      </c>
      <c r="I28" s="29" t="s">
        <v>448</v>
      </c>
    </row>
    <row r="29" spans="1:9" x14ac:dyDescent="0.35">
      <c r="A29" s="31">
        <v>200000519</v>
      </c>
      <c r="B29" s="31">
        <v>1010</v>
      </c>
      <c r="C29" s="31">
        <v>4030</v>
      </c>
      <c r="D29" s="29" t="str">
        <f>LOOKUP(CAPA!C29,'QALS - Inspection Lot Record'!P:P,'QALS - Inspection Lot Record'!O:O)</f>
        <v>Aspirin Tablets (500 MG)</v>
      </c>
      <c r="E29" s="31">
        <v>2.4</v>
      </c>
      <c r="F29" s="62">
        <f ca="1">IF(TODAY()&gt;=LOOKUP(C29,'QALS - Inspection Lot Record'!P:P,'QALS - Inspection Lot Record'!J:J)+RANDBETWEEN(0,1),LOOKUP(C29,'QALS - Inspection Lot Record'!P:P,'QALS - Inspection Lot Record'!J:J)+RANDBETWEEN(0,1),"")</f>
        <v>45885</v>
      </c>
      <c r="G29" s="2" t="s">
        <v>457</v>
      </c>
      <c r="H29" s="62">
        <f t="shared" ca="1" si="0"/>
        <v>45885</v>
      </c>
      <c r="I29" s="29" t="s">
        <v>458</v>
      </c>
    </row>
    <row r="30" spans="1:9" x14ac:dyDescent="0.35">
      <c r="A30" s="31">
        <v>200000519</v>
      </c>
      <c r="B30" s="31">
        <v>1010</v>
      </c>
      <c r="C30" s="31">
        <v>4030</v>
      </c>
      <c r="D30" s="29" t="str">
        <f>LOOKUP(CAPA!C30,'QALS - Inspection Lot Record'!P:P,'QALS - Inspection Lot Record'!O:O)</f>
        <v>Aspirin Tablets (500 MG)</v>
      </c>
      <c r="E30" s="31">
        <v>68.2</v>
      </c>
      <c r="F30" s="62">
        <f ca="1">IF(TODAY()&gt;=LOOKUP(C30,'QALS - Inspection Lot Record'!P:P,'QALS - Inspection Lot Record'!J:J)+RANDBETWEEN(0,1),LOOKUP(C30,'QALS - Inspection Lot Record'!P:P,'QALS - Inspection Lot Record'!J:J)+RANDBETWEEN(0,1),"")</f>
        <v>45885</v>
      </c>
      <c r="G30" s="2" t="s">
        <v>447</v>
      </c>
      <c r="H30" s="62">
        <f t="shared" ca="1" si="0"/>
        <v>45885</v>
      </c>
      <c r="I30" s="29" t="s">
        <v>448</v>
      </c>
    </row>
    <row r="31" spans="1:9" x14ac:dyDescent="0.35">
      <c r="A31" s="31">
        <v>200000520</v>
      </c>
      <c r="B31" s="31">
        <v>1010</v>
      </c>
      <c r="C31" s="31">
        <v>4034</v>
      </c>
      <c r="D31" s="29" t="str">
        <f>LOOKUP(CAPA!C31,'QALS - Inspection Lot Record'!P:P,'QALS - Inspection Lot Record'!O:O)</f>
        <v>Metformin Tablets (200 MG)</v>
      </c>
      <c r="E31" s="31">
        <v>5</v>
      </c>
      <c r="F31" s="62">
        <f ca="1">IF(TODAY()&gt;=LOOKUP(C31,'QALS - Inspection Lot Record'!P:P,'QALS - Inspection Lot Record'!J:J)+RANDBETWEEN(0,1),LOOKUP(C31,'QALS - Inspection Lot Record'!P:P,'QALS - Inspection Lot Record'!J:J)+RANDBETWEEN(0,1),"")</f>
        <v>45886</v>
      </c>
      <c r="G31" s="2" t="s">
        <v>455</v>
      </c>
      <c r="H31" s="62">
        <f t="shared" ca="1" si="0"/>
        <v>45886</v>
      </c>
      <c r="I31" s="29" t="s">
        <v>456</v>
      </c>
    </row>
    <row r="32" spans="1:9" x14ac:dyDescent="0.35">
      <c r="A32" s="31">
        <v>200000520</v>
      </c>
      <c r="B32" s="31">
        <v>1010</v>
      </c>
      <c r="C32" s="31">
        <v>4034</v>
      </c>
      <c r="D32" s="29" t="str">
        <f>LOOKUP(CAPA!C32,'QALS - Inspection Lot Record'!P:P,'QALS - Inspection Lot Record'!O:O)</f>
        <v>Metformin Tablets (200 MG)</v>
      </c>
      <c r="E32" s="31">
        <v>39</v>
      </c>
      <c r="F32" s="62">
        <f ca="1">IF(TODAY()&gt;=LOOKUP(C32,'QALS - Inspection Lot Record'!P:P,'QALS - Inspection Lot Record'!J:J)+RANDBETWEEN(0,1),LOOKUP(C32,'QALS - Inspection Lot Record'!P:P,'QALS - Inspection Lot Record'!J:J)+RANDBETWEEN(0,1),"")</f>
        <v>45887</v>
      </c>
      <c r="G32" s="2" t="s">
        <v>447</v>
      </c>
      <c r="H32" s="62">
        <f t="shared" ca="1" si="0"/>
        <v>45888</v>
      </c>
      <c r="I32" s="29" t="s">
        <v>448</v>
      </c>
    </row>
    <row r="33" spans="1:9" x14ac:dyDescent="0.35">
      <c r="A33" s="31">
        <v>200000521</v>
      </c>
      <c r="B33" s="31">
        <v>1010</v>
      </c>
      <c r="C33" s="31">
        <v>4036</v>
      </c>
      <c r="D33" s="29" t="str">
        <f>LOOKUP(CAPA!C33,'QALS - Inspection Lot Record'!P:P,'QALS - Inspection Lot Record'!O:O)</f>
        <v>Metformin Tablets (500 MG)</v>
      </c>
      <c r="E33" s="31">
        <v>2.2000000000000002</v>
      </c>
      <c r="F33" s="62">
        <f ca="1">IF(TODAY()&gt;=LOOKUP(C33,'QALS - Inspection Lot Record'!P:P,'QALS - Inspection Lot Record'!J:J)+RANDBETWEEN(0,1),LOOKUP(C33,'QALS - Inspection Lot Record'!P:P,'QALS - Inspection Lot Record'!J:J)+RANDBETWEEN(0,1),"")</f>
        <v>45888</v>
      </c>
      <c r="G33" s="2" t="s">
        <v>445</v>
      </c>
      <c r="H33" s="62">
        <f t="shared" ca="1" si="0"/>
        <v>45889</v>
      </c>
      <c r="I33" s="29" t="s">
        <v>446</v>
      </c>
    </row>
    <row r="34" spans="1:9" x14ac:dyDescent="0.35">
      <c r="A34" s="31">
        <v>200000522</v>
      </c>
      <c r="B34" s="31">
        <v>1010</v>
      </c>
      <c r="C34" s="31">
        <v>4037</v>
      </c>
      <c r="D34" s="29" t="str">
        <f>LOOKUP(CAPA!C34,'QALS - Inspection Lot Record'!P:P,'QALS - Inspection Lot Record'!O:O)</f>
        <v>Ibuprofen Tablets (100 MG)</v>
      </c>
      <c r="E34" s="31">
        <v>2.2000000000000002</v>
      </c>
      <c r="F34" s="62">
        <f ca="1">IF(TODAY()&gt;=LOOKUP(C34,'QALS - Inspection Lot Record'!P:P,'QALS - Inspection Lot Record'!J:J)+RANDBETWEEN(0,1),LOOKUP(C34,'QALS - Inspection Lot Record'!P:P,'QALS - Inspection Lot Record'!J:J)+RANDBETWEEN(0,1),"")</f>
        <v>45889</v>
      </c>
      <c r="G34" s="2" t="s">
        <v>457</v>
      </c>
      <c r="H34" s="62">
        <f t="shared" ca="1" si="0"/>
        <v>45891</v>
      </c>
      <c r="I34" s="29" t="s">
        <v>458</v>
      </c>
    </row>
    <row r="35" spans="1:9" x14ac:dyDescent="0.35">
      <c r="A35" s="31">
        <v>200000522</v>
      </c>
      <c r="B35" s="31">
        <v>1010</v>
      </c>
      <c r="C35" s="31">
        <v>4037</v>
      </c>
      <c r="D35" s="29" t="str">
        <f>LOOKUP(CAPA!C35,'QALS - Inspection Lot Record'!P:P,'QALS - Inspection Lot Record'!O:O)</f>
        <v>Ibuprofen Tablets (100 MG)</v>
      </c>
      <c r="E35" s="31">
        <v>78.5</v>
      </c>
      <c r="F35" s="62">
        <f ca="1">IF(TODAY()&gt;=LOOKUP(C35,'QALS - Inspection Lot Record'!P:P,'QALS - Inspection Lot Record'!J:J)+RANDBETWEEN(0,1),LOOKUP(C35,'QALS - Inspection Lot Record'!P:P,'QALS - Inspection Lot Record'!J:J)+RANDBETWEEN(0,1),"")</f>
        <v>45889</v>
      </c>
      <c r="G35" s="2" t="s">
        <v>447</v>
      </c>
      <c r="H35" s="62">
        <f t="shared" ca="1" si="0"/>
        <v>45890</v>
      </c>
      <c r="I35" s="29" t="s">
        <v>448</v>
      </c>
    </row>
    <row r="36" spans="1:9" x14ac:dyDescent="0.35">
      <c r="A36" s="31">
        <v>200000522</v>
      </c>
      <c r="B36" s="31">
        <v>1010</v>
      </c>
      <c r="C36" s="31">
        <v>4037</v>
      </c>
      <c r="D36" s="29" t="str">
        <f>LOOKUP(CAPA!C36,'QALS - Inspection Lot Record'!P:P,'QALS - Inspection Lot Record'!O:O)</f>
        <v>Ibuprofen Tablets (100 MG)</v>
      </c>
      <c r="E36" s="31">
        <v>21.9</v>
      </c>
      <c r="F36" s="62">
        <f ca="1">IF(TODAY()&gt;=LOOKUP(C36,'QALS - Inspection Lot Record'!P:P,'QALS - Inspection Lot Record'!J:J)+RANDBETWEEN(0,1),LOOKUP(C36,'QALS - Inspection Lot Record'!P:P,'QALS - Inspection Lot Record'!J:J)+RANDBETWEEN(0,1),"")</f>
        <v>45888</v>
      </c>
      <c r="G36" s="2" t="s">
        <v>453</v>
      </c>
      <c r="H36" s="62">
        <f t="shared" ca="1" si="0"/>
        <v>45888</v>
      </c>
      <c r="I36" s="29" t="s">
        <v>454</v>
      </c>
    </row>
    <row r="37" spans="1:9" x14ac:dyDescent="0.35">
      <c r="A37" s="31">
        <v>200000523</v>
      </c>
      <c r="B37" s="31">
        <v>1010</v>
      </c>
      <c r="C37" s="31">
        <v>4040</v>
      </c>
      <c r="D37" s="29" t="str">
        <f>LOOKUP(CAPA!C37,'QALS - Inspection Lot Record'!P:P,'QALS - Inspection Lot Record'!O:O)</f>
        <v>Metformin Tablets (200 MG)</v>
      </c>
      <c r="E37" s="31">
        <v>2.1</v>
      </c>
      <c r="F37" s="62">
        <f ca="1">IF(TODAY()&gt;=LOOKUP(C37,'QALS - Inspection Lot Record'!P:P,'QALS - Inspection Lot Record'!J:J)+RANDBETWEEN(0,1),LOOKUP(C37,'QALS - Inspection Lot Record'!P:P,'QALS - Inspection Lot Record'!J:J)+RANDBETWEEN(0,1),"")</f>
        <v>45889</v>
      </c>
      <c r="G37" s="2" t="s">
        <v>445</v>
      </c>
      <c r="H37" s="62">
        <f t="shared" ca="1" si="0"/>
        <v>45890</v>
      </c>
      <c r="I37" s="29" t="s">
        <v>446</v>
      </c>
    </row>
    <row r="38" spans="1:9" x14ac:dyDescent="0.35">
      <c r="A38" s="31">
        <v>200000524</v>
      </c>
      <c r="B38" s="31">
        <v>1010</v>
      </c>
      <c r="C38" s="31">
        <v>4041</v>
      </c>
      <c r="D38" s="29" t="str">
        <f>LOOKUP(CAPA!C38,'QALS - Inspection Lot Record'!P:P,'QALS - Inspection Lot Record'!O:O)</f>
        <v>Metformin Tablets (100 MG)</v>
      </c>
      <c r="E38" s="31">
        <v>22</v>
      </c>
      <c r="F38" s="62">
        <f ca="1">IF(TODAY()&gt;=LOOKUP(C38,'QALS - Inspection Lot Record'!P:P,'QALS - Inspection Lot Record'!J:J)+RANDBETWEEN(0,1),LOOKUP(C38,'QALS - Inspection Lot Record'!P:P,'QALS - Inspection Lot Record'!J:J)+RANDBETWEEN(0,1),"")</f>
        <v>45891</v>
      </c>
      <c r="G38" s="2" t="s">
        <v>453</v>
      </c>
      <c r="H38" s="62">
        <f t="shared" ca="1" si="0"/>
        <v>45891</v>
      </c>
      <c r="I38" s="29" t="s">
        <v>454</v>
      </c>
    </row>
    <row r="39" spans="1:9" x14ac:dyDescent="0.35">
      <c r="A39" s="31">
        <v>200000525</v>
      </c>
      <c r="B39" s="31">
        <v>1010</v>
      </c>
      <c r="C39" s="31">
        <v>4042</v>
      </c>
      <c r="D39" s="29" t="str">
        <f>LOOKUP(CAPA!C39,'QALS - Inspection Lot Record'!P:P,'QALS - Inspection Lot Record'!O:O)</f>
        <v>Metformin Tablets (500 MG)</v>
      </c>
      <c r="E39" s="31">
        <v>93.1</v>
      </c>
      <c r="F39" s="62">
        <f ca="1">IF(TODAY()&gt;=LOOKUP(C39,'QALS - Inspection Lot Record'!P:P,'QALS - Inspection Lot Record'!J:J)+RANDBETWEEN(0,1),LOOKUP(C39,'QALS - Inspection Lot Record'!P:P,'QALS - Inspection Lot Record'!J:J)+RANDBETWEEN(0,1),"")</f>
        <v>45891</v>
      </c>
      <c r="G39" s="2" t="s">
        <v>441</v>
      </c>
      <c r="H39" s="62">
        <f t="shared" ca="1" si="0"/>
        <v>45891</v>
      </c>
      <c r="I39" s="29" t="s">
        <v>442</v>
      </c>
    </row>
    <row r="40" spans="1:9" x14ac:dyDescent="0.35">
      <c r="A40" s="31">
        <v>200000526</v>
      </c>
      <c r="B40" s="31">
        <v>1010</v>
      </c>
      <c r="C40" s="31">
        <v>4045</v>
      </c>
      <c r="D40" s="29" t="str">
        <f>LOOKUP(CAPA!C40,'QALS - Inspection Lot Record'!P:P,'QALS - Inspection Lot Record'!O:O)</f>
        <v>Metformin Tablets (200 MG)</v>
      </c>
      <c r="E40" s="31">
        <v>21.1</v>
      </c>
      <c r="F40" s="62">
        <f ca="1">IF(TODAY()&gt;=LOOKUP(C40,'QALS - Inspection Lot Record'!P:P,'QALS - Inspection Lot Record'!J:J)+RANDBETWEEN(0,1),LOOKUP(C40,'QALS - Inspection Lot Record'!P:P,'QALS - Inspection Lot Record'!J:J)+RANDBETWEEN(0,1),"")</f>
        <v>45892</v>
      </c>
      <c r="G40" s="2" t="s">
        <v>453</v>
      </c>
      <c r="H40" s="62">
        <f t="shared" ca="1" si="0"/>
        <v>45892</v>
      </c>
      <c r="I40" s="29" t="s">
        <v>454</v>
      </c>
    </row>
    <row r="41" spans="1:9" x14ac:dyDescent="0.35">
      <c r="A41" s="31">
        <v>200000527</v>
      </c>
      <c r="B41" s="31">
        <v>1010</v>
      </c>
      <c r="C41" s="31">
        <v>4047</v>
      </c>
      <c r="D41" s="29" t="str">
        <f>LOOKUP(CAPA!C41,'QALS - Inspection Lot Record'!P:P,'QALS - Inspection Lot Record'!O:O)</f>
        <v>Aspirin Tablets (500 MG)</v>
      </c>
      <c r="E41" s="31">
        <v>3</v>
      </c>
      <c r="F41" s="62">
        <f ca="1">IF(TODAY()&gt;=LOOKUP(C41,'QALS - Inspection Lot Record'!P:P,'QALS - Inspection Lot Record'!J:J)+RANDBETWEEN(0,1),LOOKUP(C41,'QALS - Inspection Lot Record'!P:P,'QALS - Inspection Lot Record'!J:J)+RANDBETWEEN(0,1),"")</f>
        <v>45894</v>
      </c>
      <c r="G41" s="2" t="s">
        <v>459</v>
      </c>
      <c r="H41" s="62">
        <f t="shared" ca="1" si="0"/>
        <v>45896</v>
      </c>
      <c r="I41" s="29" t="s">
        <v>460</v>
      </c>
    </row>
    <row r="42" spans="1:9" x14ac:dyDescent="0.35">
      <c r="A42" s="31">
        <v>200000528</v>
      </c>
      <c r="B42" s="31">
        <v>1010</v>
      </c>
      <c r="C42" s="31">
        <v>4048</v>
      </c>
      <c r="D42" s="29" t="str">
        <f>LOOKUP(CAPA!C42,'QALS - Inspection Lot Record'!P:P,'QALS - Inspection Lot Record'!O:O)</f>
        <v>Ibuprofen Tablets (100 MG)</v>
      </c>
      <c r="E42" s="31">
        <v>1.2</v>
      </c>
      <c r="F42" s="62">
        <f ca="1">IF(TODAY()&gt;=LOOKUP(C42,'QALS - Inspection Lot Record'!P:P,'QALS - Inspection Lot Record'!J:J)+RANDBETWEEN(0,1),LOOKUP(C42,'QALS - Inspection Lot Record'!P:P,'QALS - Inspection Lot Record'!J:J)+RANDBETWEEN(0,1),"")</f>
        <v>45894</v>
      </c>
      <c r="G42" s="2" t="s">
        <v>445</v>
      </c>
      <c r="H42" s="62">
        <f t="shared" ca="1" si="0"/>
        <v>45894</v>
      </c>
      <c r="I42" s="29" t="s">
        <v>446</v>
      </c>
    </row>
    <row r="43" spans="1:9" x14ac:dyDescent="0.35">
      <c r="A43" s="31">
        <v>200000529</v>
      </c>
      <c r="B43" s="31">
        <v>1010</v>
      </c>
      <c r="C43" s="31">
        <v>4049</v>
      </c>
      <c r="D43" s="29" t="str">
        <f>LOOKUP(CAPA!C43,'QALS - Inspection Lot Record'!P:P,'QALS - Inspection Lot Record'!O:O)</f>
        <v>Metformin Tablets (200 MG)</v>
      </c>
      <c r="E43" s="31">
        <v>21.8</v>
      </c>
      <c r="F43" s="62">
        <f ca="1">IF(TODAY()&gt;=LOOKUP(C43,'QALS - Inspection Lot Record'!P:P,'QALS - Inspection Lot Record'!J:J)+RANDBETWEEN(0,1),LOOKUP(C43,'QALS - Inspection Lot Record'!P:P,'QALS - Inspection Lot Record'!J:J)+RANDBETWEEN(0,1),"")</f>
        <v>45895</v>
      </c>
      <c r="G43" s="2" t="s">
        <v>453</v>
      </c>
      <c r="H43" s="62">
        <f t="shared" ca="1" si="0"/>
        <v>45896</v>
      </c>
      <c r="I43" s="29" t="s">
        <v>454</v>
      </c>
    </row>
    <row r="44" spans="1:9" x14ac:dyDescent="0.35">
      <c r="A44" s="31">
        <v>200000530</v>
      </c>
      <c r="B44" s="31">
        <v>1010</v>
      </c>
      <c r="C44" s="31">
        <v>4050</v>
      </c>
      <c r="D44" s="29" t="str">
        <f>LOOKUP(CAPA!C44,'QALS - Inspection Lot Record'!P:P,'QALS - Inspection Lot Record'!O:O)</f>
        <v>Metformin Tablets (100 MG)</v>
      </c>
      <c r="E44" s="31">
        <v>2.2999999999999998</v>
      </c>
      <c r="F44" s="62">
        <f ca="1">IF(TODAY()&gt;=LOOKUP(C44,'QALS - Inspection Lot Record'!P:P,'QALS - Inspection Lot Record'!J:J)+RANDBETWEEN(0,1),LOOKUP(C44,'QALS - Inspection Lot Record'!P:P,'QALS - Inspection Lot Record'!J:J)+RANDBETWEEN(0,1),"")</f>
        <v>45894</v>
      </c>
      <c r="G44" s="2" t="s">
        <v>457</v>
      </c>
      <c r="H44" s="62">
        <f t="shared" ca="1" si="0"/>
        <v>45895</v>
      </c>
      <c r="I44" s="29" t="s">
        <v>458</v>
      </c>
    </row>
    <row r="45" spans="1:9" x14ac:dyDescent="0.35">
      <c r="A45" s="31">
        <v>200000530</v>
      </c>
      <c r="B45" s="31">
        <v>1010</v>
      </c>
      <c r="C45" s="31">
        <v>4050</v>
      </c>
      <c r="D45" s="29" t="str">
        <f>LOOKUP(CAPA!C45,'QALS - Inspection Lot Record'!P:P,'QALS - Inspection Lot Record'!O:O)</f>
        <v>Metformin Tablets (100 MG)</v>
      </c>
      <c r="E45" s="31">
        <v>78.400000000000006</v>
      </c>
      <c r="F45" s="62">
        <f ca="1">IF(TODAY()&gt;=LOOKUP(C45,'QALS - Inspection Lot Record'!P:P,'QALS - Inspection Lot Record'!J:J)+RANDBETWEEN(0,1),LOOKUP(C45,'QALS - Inspection Lot Record'!P:P,'QALS - Inspection Lot Record'!J:J)+RANDBETWEEN(0,1),"")</f>
        <v>45894</v>
      </c>
      <c r="G45" s="2" t="s">
        <v>447</v>
      </c>
      <c r="H45" s="62">
        <f t="shared" ca="1" si="0"/>
        <v>45895</v>
      </c>
      <c r="I45" s="29" t="s">
        <v>448</v>
      </c>
    </row>
    <row r="46" spans="1:9" x14ac:dyDescent="0.35">
      <c r="A46" s="31">
        <v>200000531</v>
      </c>
      <c r="B46" s="31">
        <v>1010</v>
      </c>
      <c r="C46" s="31">
        <v>4053</v>
      </c>
      <c r="D46" s="29" t="str">
        <f>LOOKUP(CAPA!C46,'QALS - Inspection Lot Record'!P:P,'QALS - Inspection Lot Record'!O:O)</f>
        <v>Aspirin Tablets (500 MG)</v>
      </c>
      <c r="E46" s="31">
        <v>38.700000000000003</v>
      </c>
      <c r="F46" s="62">
        <f ca="1">IF(TODAY()&gt;=LOOKUP(C46,'QALS - Inspection Lot Record'!P:P,'QALS - Inspection Lot Record'!J:J)+RANDBETWEEN(0,1),LOOKUP(C46,'QALS - Inspection Lot Record'!P:P,'QALS - Inspection Lot Record'!J:J)+RANDBETWEEN(0,1),"")</f>
        <v>45896</v>
      </c>
      <c r="G46" s="2" t="s">
        <v>447</v>
      </c>
      <c r="H46" s="62">
        <f t="shared" ca="1" si="0"/>
        <v>45897</v>
      </c>
      <c r="I46" s="29" t="s">
        <v>448</v>
      </c>
    </row>
    <row r="47" spans="1:9" x14ac:dyDescent="0.35">
      <c r="A47" s="31">
        <v>200000531</v>
      </c>
      <c r="B47" s="31">
        <v>1010</v>
      </c>
      <c r="C47" s="31">
        <v>4053</v>
      </c>
      <c r="D47" s="29" t="str">
        <f>LOOKUP(CAPA!C47,'QALS - Inspection Lot Record'!P:P,'QALS - Inspection Lot Record'!O:O)</f>
        <v>Aspirin Tablets (500 MG)</v>
      </c>
      <c r="E47" s="31">
        <v>21.8</v>
      </c>
      <c r="F47" s="62">
        <f ca="1">IF(TODAY()&gt;=LOOKUP(C47,'QALS - Inspection Lot Record'!P:P,'QALS - Inspection Lot Record'!J:J)+RANDBETWEEN(0,1),LOOKUP(C47,'QALS - Inspection Lot Record'!P:P,'QALS - Inspection Lot Record'!J:J)+RANDBETWEEN(0,1),"")</f>
        <v>45896</v>
      </c>
      <c r="G47" s="2" t="s">
        <v>453</v>
      </c>
      <c r="H47" s="62">
        <f t="shared" ca="1" si="0"/>
        <v>45898</v>
      </c>
      <c r="I47" s="29" t="s">
        <v>454</v>
      </c>
    </row>
    <row r="48" spans="1:9" x14ac:dyDescent="0.35">
      <c r="A48" s="31">
        <v>200000532</v>
      </c>
      <c r="B48" s="31">
        <v>1010</v>
      </c>
      <c r="C48" s="31">
        <v>4057</v>
      </c>
      <c r="D48" s="29" t="str">
        <f>LOOKUP(CAPA!C48,'QALS - Inspection Lot Record'!P:P,'QALS - Inspection Lot Record'!O:O)</f>
        <v>Metformin Tablets (100 MG)</v>
      </c>
      <c r="E48" s="31">
        <v>93.6</v>
      </c>
      <c r="F48" s="62">
        <f ca="1">IF(TODAY()&gt;=LOOKUP(C48,'QALS - Inspection Lot Record'!P:P,'QALS - Inspection Lot Record'!J:J)+RANDBETWEEN(0,1),LOOKUP(C48,'QALS - Inspection Lot Record'!P:P,'QALS - Inspection Lot Record'!J:J)+RANDBETWEEN(0,1),"")</f>
        <v>45899</v>
      </c>
      <c r="G48" s="2" t="s">
        <v>441</v>
      </c>
      <c r="H48" s="62">
        <f t="shared" ca="1" si="0"/>
        <v>45901</v>
      </c>
      <c r="I48" s="29" t="s">
        <v>442</v>
      </c>
    </row>
    <row r="49" spans="1:9" x14ac:dyDescent="0.35">
      <c r="A49" s="31">
        <v>200000532</v>
      </c>
      <c r="B49" s="31">
        <v>1010</v>
      </c>
      <c r="C49" s="31">
        <v>4057</v>
      </c>
      <c r="D49" s="29" t="str">
        <f>LOOKUP(CAPA!C49,'QALS - Inspection Lot Record'!P:P,'QALS - Inspection Lot Record'!O:O)</f>
        <v>Metformin Tablets (100 MG)</v>
      </c>
      <c r="E49" s="31">
        <v>21.3</v>
      </c>
      <c r="F49" s="62">
        <f ca="1">IF(TODAY()&gt;=LOOKUP(C49,'QALS - Inspection Lot Record'!P:P,'QALS - Inspection Lot Record'!J:J)+RANDBETWEEN(0,1),LOOKUP(C49,'QALS - Inspection Lot Record'!P:P,'QALS - Inspection Lot Record'!J:J)+RANDBETWEEN(0,1),"")</f>
        <v>45899</v>
      </c>
      <c r="G49" s="2" t="s">
        <v>453</v>
      </c>
      <c r="H49" s="62">
        <f t="shared" ca="1" si="0"/>
        <v>45900</v>
      </c>
      <c r="I49" s="29" t="s">
        <v>454</v>
      </c>
    </row>
    <row r="50" spans="1:9" x14ac:dyDescent="0.35">
      <c r="A50" s="31">
        <v>200000533</v>
      </c>
      <c r="B50" s="31">
        <v>1010</v>
      </c>
      <c r="C50" s="31">
        <v>4059</v>
      </c>
      <c r="D50" s="29" t="str">
        <f>LOOKUP(CAPA!C50,'QALS - Inspection Lot Record'!P:P,'QALS - Inspection Lot Record'!O:O)</f>
        <v>Aspirin Tablets (500 MG)</v>
      </c>
      <c r="E50" s="31">
        <v>2.1</v>
      </c>
      <c r="F50" s="62">
        <f ca="1">IF(TODAY()&gt;=LOOKUP(C50,'QALS - Inspection Lot Record'!P:P,'QALS - Inspection Lot Record'!J:J)+RANDBETWEEN(0,1),LOOKUP(C50,'QALS - Inspection Lot Record'!P:P,'QALS - Inspection Lot Record'!J:J)+RANDBETWEEN(0,1),"")</f>
        <v>45899</v>
      </c>
      <c r="G50" s="2" t="s">
        <v>457</v>
      </c>
      <c r="H50" s="62">
        <f t="shared" ca="1" si="0"/>
        <v>45900</v>
      </c>
      <c r="I50" s="29" t="s">
        <v>458</v>
      </c>
    </row>
    <row r="51" spans="1:9" x14ac:dyDescent="0.35">
      <c r="A51" s="31">
        <v>200000533</v>
      </c>
      <c r="B51" s="31">
        <v>1010</v>
      </c>
      <c r="C51" s="31">
        <v>4059</v>
      </c>
      <c r="D51" s="29" t="str">
        <f>LOOKUP(CAPA!C51,'QALS - Inspection Lot Record'!P:P,'QALS - Inspection Lot Record'!O:O)</f>
        <v>Aspirin Tablets (500 MG)</v>
      </c>
      <c r="E51" s="31">
        <v>78.900000000000006</v>
      </c>
      <c r="F51" s="62">
        <f ca="1">IF(TODAY()&gt;=LOOKUP(C51,'QALS - Inspection Lot Record'!P:P,'QALS - Inspection Lot Record'!J:J)+RANDBETWEEN(0,1),LOOKUP(C51,'QALS - Inspection Lot Record'!P:P,'QALS - Inspection Lot Record'!J:J)+RANDBETWEEN(0,1),"")</f>
        <v>45900</v>
      </c>
      <c r="G51" s="2" t="s">
        <v>461</v>
      </c>
      <c r="H51" s="62">
        <f t="shared" ca="1" si="0"/>
        <v>45902</v>
      </c>
      <c r="I51" s="29" t="s">
        <v>462</v>
      </c>
    </row>
    <row r="52" spans="1:9" x14ac:dyDescent="0.35">
      <c r="A52" s="31">
        <v>200000534</v>
      </c>
      <c r="B52" s="31">
        <v>1010</v>
      </c>
      <c r="C52" s="31">
        <v>4060</v>
      </c>
      <c r="D52" s="29" t="str">
        <f>LOOKUP(CAPA!C52,'QALS - Inspection Lot Record'!P:P,'QALS - Inspection Lot Record'!O:O)</f>
        <v>Metformin Tablets (500 MG)</v>
      </c>
      <c r="E52" s="31">
        <v>93.6</v>
      </c>
      <c r="F52" s="62">
        <f ca="1">IF(TODAY()&gt;=LOOKUP(C52,'QALS - Inspection Lot Record'!P:P,'QALS - Inspection Lot Record'!J:J)+RANDBETWEEN(0,1),LOOKUP(C52,'QALS - Inspection Lot Record'!P:P,'QALS - Inspection Lot Record'!J:J)+RANDBETWEEN(0,1),"")</f>
        <v>45900</v>
      </c>
      <c r="G52" s="2" t="s">
        <v>441</v>
      </c>
      <c r="H52" s="62">
        <f t="shared" ca="1" si="0"/>
        <v>45901</v>
      </c>
      <c r="I52" s="29" t="s">
        <v>442</v>
      </c>
    </row>
    <row r="53" spans="1:9" x14ac:dyDescent="0.35">
      <c r="A53" s="31">
        <v>200000534</v>
      </c>
      <c r="B53" s="31">
        <v>1010</v>
      </c>
      <c r="C53" s="31">
        <v>4060</v>
      </c>
      <c r="D53" s="29" t="str">
        <f>LOOKUP(CAPA!C53,'QALS - Inspection Lot Record'!P:P,'QALS - Inspection Lot Record'!O:O)</f>
        <v>Metformin Tablets (500 MG)</v>
      </c>
      <c r="E53" s="31">
        <v>38.4</v>
      </c>
      <c r="F53" s="62">
        <f ca="1">IF(TODAY()&gt;=LOOKUP(C53,'QALS - Inspection Lot Record'!P:P,'QALS - Inspection Lot Record'!J:J)+RANDBETWEEN(0,1),LOOKUP(C53,'QALS - Inspection Lot Record'!P:P,'QALS - Inspection Lot Record'!J:J)+RANDBETWEEN(0,1),"")</f>
        <v>45900</v>
      </c>
      <c r="G53" s="2" t="s">
        <v>447</v>
      </c>
      <c r="H53" s="62">
        <f t="shared" ca="1" si="0"/>
        <v>45902</v>
      </c>
      <c r="I53" s="29" t="s">
        <v>448</v>
      </c>
    </row>
    <row r="54" spans="1:9" x14ac:dyDescent="0.35">
      <c r="A54" s="31">
        <v>200000534</v>
      </c>
      <c r="B54" s="31">
        <v>1010</v>
      </c>
      <c r="C54" s="31">
        <v>4060</v>
      </c>
      <c r="D54" s="29" t="str">
        <f>LOOKUP(CAPA!C54,'QALS - Inspection Lot Record'!P:P,'QALS - Inspection Lot Record'!O:O)</f>
        <v>Metformin Tablets (500 MG)</v>
      </c>
      <c r="E54" s="31">
        <v>78.5</v>
      </c>
      <c r="F54" s="62">
        <f ca="1">IF(TODAY()&gt;=LOOKUP(C54,'QALS - Inspection Lot Record'!P:P,'QALS - Inspection Lot Record'!J:J)+RANDBETWEEN(0,1),LOOKUP(C54,'QALS - Inspection Lot Record'!P:P,'QALS - Inspection Lot Record'!J:J)+RANDBETWEEN(0,1),"")</f>
        <v>45899</v>
      </c>
      <c r="G54" s="2" t="s">
        <v>447</v>
      </c>
      <c r="H54" s="62">
        <f t="shared" ca="1" si="0"/>
        <v>45899</v>
      </c>
      <c r="I54" s="29" t="s">
        <v>448</v>
      </c>
    </row>
    <row r="55" spans="1:9" x14ac:dyDescent="0.35">
      <c r="A55" s="31">
        <v>200000535</v>
      </c>
      <c r="B55" s="31">
        <v>1010</v>
      </c>
      <c r="C55" s="31">
        <v>4061</v>
      </c>
      <c r="D55" s="29" t="str">
        <f>LOOKUP(CAPA!C55,'QALS - Inspection Lot Record'!P:P,'QALS - Inspection Lot Record'!O:O)</f>
        <v>Metformin Tablets (100 MG)</v>
      </c>
      <c r="E55" s="31">
        <v>1.7</v>
      </c>
      <c r="F55" s="62">
        <f ca="1">IF(TODAY()&gt;=LOOKUP(C55,'QALS - Inspection Lot Record'!P:P,'QALS - Inspection Lot Record'!J:J)+RANDBETWEEN(0,1),LOOKUP(C55,'QALS - Inspection Lot Record'!P:P,'QALS - Inspection Lot Record'!J:J)+RANDBETWEEN(0,1),"")</f>
        <v>45901</v>
      </c>
      <c r="G55" s="2" t="s">
        <v>443</v>
      </c>
      <c r="H55" s="62">
        <f t="shared" ca="1" si="0"/>
        <v>45903</v>
      </c>
      <c r="I55" s="29" t="s">
        <v>444</v>
      </c>
    </row>
    <row r="56" spans="1:9" x14ac:dyDescent="0.35">
      <c r="A56" s="31">
        <v>200000535</v>
      </c>
      <c r="B56" s="31">
        <v>1010</v>
      </c>
      <c r="C56" s="31">
        <v>4061</v>
      </c>
      <c r="D56" s="29" t="str">
        <f>LOOKUP(CAPA!C56,'QALS - Inspection Lot Record'!P:P,'QALS - Inspection Lot Record'!O:O)</f>
        <v>Metformin Tablets (100 MG)</v>
      </c>
      <c r="E56" s="31">
        <v>78.3</v>
      </c>
      <c r="F56" s="62">
        <f ca="1">IF(TODAY()&gt;=LOOKUP(C56,'QALS - Inspection Lot Record'!P:P,'QALS - Inspection Lot Record'!J:J)+RANDBETWEEN(0,1),LOOKUP(C56,'QALS - Inspection Lot Record'!P:P,'QALS - Inspection Lot Record'!J:J)+RANDBETWEEN(0,1),"")</f>
        <v>45901</v>
      </c>
      <c r="G56" s="2" t="s">
        <v>447</v>
      </c>
      <c r="H56" s="62">
        <f t="shared" ca="1" si="0"/>
        <v>45903</v>
      </c>
      <c r="I56" s="29" t="s">
        <v>448</v>
      </c>
    </row>
    <row r="57" spans="1:9" x14ac:dyDescent="0.35">
      <c r="A57" s="31">
        <v>200000536</v>
      </c>
      <c r="B57" s="31">
        <v>1010</v>
      </c>
      <c r="C57" s="31">
        <v>4062</v>
      </c>
      <c r="D57" s="29" t="str">
        <f>LOOKUP(CAPA!C57,'QALS - Inspection Lot Record'!P:P,'QALS - Inspection Lot Record'!O:O)</f>
        <v>Metformin Tablets (500 MG)</v>
      </c>
      <c r="E57" s="31">
        <v>93.8</v>
      </c>
      <c r="F57" s="62">
        <f ca="1">IF(TODAY()&gt;=LOOKUP(C57,'QALS - Inspection Lot Record'!P:P,'QALS - Inspection Lot Record'!J:J)+RANDBETWEEN(0,1),LOOKUP(C57,'QALS - Inspection Lot Record'!P:P,'QALS - Inspection Lot Record'!J:J)+RANDBETWEEN(0,1),"")</f>
        <v>45901</v>
      </c>
      <c r="G57" s="2" t="s">
        <v>451</v>
      </c>
      <c r="H57" s="62">
        <f t="shared" ca="1" si="0"/>
        <v>45903</v>
      </c>
      <c r="I57" s="29" t="s">
        <v>452</v>
      </c>
    </row>
    <row r="58" spans="1:9" x14ac:dyDescent="0.35">
      <c r="A58" s="31">
        <v>200000536</v>
      </c>
      <c r="B58" s="31">
        <v>1010</v>
      </c>
      <c r="C58" s="31">
        <v>4062</v>
      </c>
      <c r="D58" s="29" t="str">
        <f>LOOKUP(CAPA!C58,'QALS - Inspection Lot Record'!P:P,'QALS - Inspection Lot Record'!O:O)</f>
        <v>Metformin Tablets (500 MG)</v>
      </c>
      <c r="E58" s="31">
        <v>79</v>
      </c>
      <c r="F58" s="62">
        <f ca="1">IF(TODAY()&gt;=LOOKUP(C58,'QALS - Inspection Lot Record'!P:P,'QALS - Inspection Lot Record'!J:J)+RANDBETWEEN(0,1),LOOKUP(C58,'QALS - Inspection Lot Record'!P:P,'QALS - Inspection Lot Record'!J:J)+RANDBETWEEN(0,1),"")</f>
        <v>45901</v>
      </c>
      <c r="G58" s="2" t="s">
        <v>447</v>
      </c>
      <c r="H58" s="62">
        <f t="shared" ca="1" si="0"/>
        <v>45903</v>
      </c>
      <c r="I58" s="29" t="s">
        <v>448</v>
      </c>
    </row>
    <row r="59" spans="1:9" x14ac:dyDescent="0.35">
      <c r="A59" s="31">
        <v>200000537</v>
      </c>
      <c r="B59" s="31">
        <v>1010</v>
      </c>
      <c r="C59" s="31">
        <v>4063</v>
      </c>
      <c r="D59" s="29" t="str">
        <f>LOOKUP(CAPA!C59,'QALS - Inspection Lot Record'!P:P,'QALS - Inspection Lot Record'!O:O)</f>
        <v>Metformin Tablets (100 MG)</v>
      </c>
      <c r="E59" s="31">
        <v>93.8</v>
      </c>
      <c r="F59" s="62">
        <f ca="1">IF(TODAY()&gt;=LOOKUP(C59,'QALS - Inspection Lot Record'!P:P,'QALS - Inspection Lot Record'!J:J)+RANDBETWEEN(0,1),LOOKUP(C59,'QALS - Inspection Lot Record'!P:P,'QALS - Inspection Lot Record'!J:J)+RANDBETWEEN(0,1),"")</f>
        <v>45902</v>
      </c>
      <c r="G59" s="2" t="s">
        <v>451</v>
      </c>
      <c r="H59" s="62">
        <f t="shared" ca="1" si="0"/>
        <v>45903</v>
      </c>
      <c r="I59" s="29" t="s">
        <v>452</v>
      </c>
    </row>
    <row r="60" spans="1:9" x14ac:dyDescent="0.35">
      <c r="A60" s="31">
        <v>200000537</v>
      </c>
      <c r="B60" s="31">
        <v>1010</v>
      </c>
      <c r="C60" s="31">
        <v>4063</v>
      </c>
      <c r="D60" s="29" t="str">
        <f>LOOKUP(CAPA!C60,'QALS - Inspection Lot Record'!P:P,'QALS - Inspection Lot Record'!O:O)</f>
        <v>Metformin Tablets (100 MG)</v>
      </c>
      <c r="E60" s="31">
        <v>79</v>
      </c>
      <c r="F60" s="62">
        <f ca="1">IF(TODAY()&gt;=LOOKUP(C60,'QALS - Inspection Lot Record'!P:P,'QALS - Inspection Lot Record'!J:J)+RANDBETWEEN(0,1),LOOKUP(C60,'QALS - Inspection Lot Record'!P:P,'QALS - Inspection Lot Record'!J:J)+RANDBETWEEN(0,1),"")</f>
        <v>45901</v>
      </c>
      <c r="G60" s="2" t="s">
        <v>447</v>
      </c>
      <c r="H60" s="62">
        <f t="shared" ca="1" si="0"/>
        <v>45903</v>
      </c>
      <c r="I60" s="29" t="s">
        <v>448</v>
      </c>
    </row>
    <row r="61" spans="1:9" x14ac:dyDescent="0.35">
      <c r="A61" s="31">
        <v>200000538</v>
      </c>
      <c r="B61" s="31">
        <v>1010</v>
      </c>
      <c r="C61" s="31">
        <v>4064</v>
      </c>
      <c r="D61" s="29" t="str">
        <f>LOOKUP(CAPA!C61,'QALS - Inspection Lot Record'!P:P,'QALS - Inspection Lot Record'!O:O)</f>
        <v>Aspirin Tablets (500 MG)</v>
      </c>
      <c r="E61" s="31">
        <v>94</v>
      </c>
      <c r="F61" s="62">
        <f ca="1">IF(TODAY()&gt;=LOOKUP(C61,'QALS - Inspection Lot Record'!P:P,'QALS - Inspection Lot Record'!J:J)+RANDBETWEEN(0,1),LOOKUP(C61,'QALS - Inspection Lot Record'!P:P,'QALS - Inspection Lot Record'!J:J)+RANDBETWEEN(0,1),"")</f>
        <v>45902</v>
      </c>
      <c r="G61" s="2" t="s">
        <v>441</v>
      </c>
      <c r="H61" s="62">
        <f t="shared" ca="1" si="0"/>
        <v>45903</v>
      </c>
      <c r="I61" s="29" t="s">
        <v>442</v>
      </c>
    </row>
    <row r="62" spans="1:9" x14ac:dyDescent="0.35">
      <c r="A62" s="31">
        <v>200000538</v>
      </c>
      <c r="B62" s="31">
        <v>1010</v>
      </c>
      <c r="C62" s="31">
        <v>4064</v>
      </c>
      <c r="D62" s="29" t="str">
        <f>LOOKUP(CAPA!C62,'QALS - Inspection Lot Record'!P:P,'QALS - Inspection Lot Record'!O:O)</f>
        <v>Aspirin Tablets (500 MG)</v>
      </c>
      <c r="E62" s="31">
        <v>1.9</v>
      </c>
      <c r="F62" s="62">
        <f ca="1">IF(TODAY()&gt;=LOOKUP(C62,'QALS - Inspection Lot Record'!P:P,'QALS - Inspection Lot Record'!J:J)+RANDBETWEEN(0,1),LOOKUP(C62,'QALS - Inspection Lot Record'!P:P,'QALS - Inspection Lot Record'!J:J)+RANDBETWEEN(0,1),"")</f>
        <v>45902</v>
      </c>
      <c r="G62" s="2" t="s">
        <v>457</v>
      </c>
      <c r="H62" s="62">
        <f t="shared" ca="1" si="0"/>
        <v>45903</v>
      </c>
      <c r="I62" s="29" t="s">
        <v>458</v>
      </c>
    </row>
    <row r="63" spans="1:9" x14ac:dyDescent="0.35">
      <c r="A63" s="31">
        <v>200000538</v>
      </c>
      <c r="B63" s="31">
        <v>1010</v>
      </c>
      <c r="C63" s="31">
        <v>4064</v>
      </c>
      <c r="D63" s="29" t="str">
        <f>LOOKUP(CAPA!C63,'QALS - Inspection Lot Record'!P:P,'QALS - Inspection Lot Record'!O:O)</f>
        <v>Aspirin Tablets (500 MG)</v>
      </c>
      <c r="E63" s="31">
        <v>78.900000000000006</v>
      </c>
      <c r="F63" s="62">
        <f ca="1">IF(TODAY()&gt;=LOOKUP(C63,'QALS - Inspection Lot Record'!P:P,'QALS - Inspection Lot Record'!J:J)+RANDBETWEEN(0,1),LOOKUP(C63,'QALS - Inspection Lot Record'!P:P,'QALS - Inspection Lot Record'!J:J)+RANDBETWEEN(0,1),"")</f>
        <v>45902</v>
      </c>
      <c r="G63" s="2" t="s">
        <v>461</v>
      </c>
      <c r="H63" s="62">
        <f t="shared" ca="1" si="0"/>
        <v>45902</v>
      </c>
      <c r="I63" s="29" t="s">
        <v>462</v>
      </c>
    </row>
    <row r="64" spans="1:9" x14ac:dyDescent="0.35">
      <c r="A64" s="31">
        <v>200000539</v>
      </c>
      <c r="B64" s="31">
        <v>1010</v>
      </c>
      <c r="C64" s="31">
        <v>4065</v>
      </c>
      <c r="D64" s="29" t="str">
        <f>LOOKUP(CAPA!C64,'QALS - Inspection Lot Record'!P:P,'QALS - Inspection Lot Record'!O:O)</f>
        <v>Metformin Tablets (500 MG)</v>
      </c>
      <c r="E64" s="31">
        <v>1.8</v>
      </c>
      <c r="F64" s="62">
        <f ca="1">IF(TODAY()&gt;=LOOKUP(C64,'QALS - Inspection Lot Record'!P:P,'QALS - Inspection Lot Record'!J:J)+RANDBETWEEN(0,1),LOOKUP(C64,'QALS - Inspection Lot Record'!P:P,'QALS - Inspection Lot Record'!J:J)+RANDBETWEEN(0,1),"")</f>
        <v>45903</v>
      </c>
      <c r="G64" s="2" t="s">
        <v>443</v>
      </c>
      <c r="H64" s="62">
        <f t="shared" ca="1" si="0"/>
        <v>45903</v>
      </c>
      <c r="I64" s="29" t="s">
        <v>444</v>
      </c>
    </row>
    <row r="65" spans="1:9" x14ac:dyDescent="0.35">
      <c r="A65" s="31">
        <v>200000540</v>
      </c>
      <c r="B65" s="31">
        <v>1010</v>
      </c>
      <c r="C65" s="31">
        <v>4066</v>
      </c>
      <c r="D65" s="29" t="str">
        <f>LOOKUP(CAPA!C65,'QALS - Inspection Lot Record'!P:P,'QALS - Inspection Lot Record'!O:O)</f>
        <v>Aspirin Tablets (500 MG)</v>
      </c>
      <c r="E65" s="31">
        <v>93.4</v>
      </c>
      <c r="F65" s="62">
        <f ca="1">IF(TODAY()&gt;=LOOKUP(C65,'QALS - Inspection Lot Record'!P:P,'QALS - Inspection Lot Record'!J:J)+RANDBETWEEN(0,1),LOOKUP(C65,'QALS - Inspection Lot Record'!P:P,'QALS - Inspection Lot Record'!J:J)+RANDBETWEEN(0,1),"")</f>
        <v>45903</v>
      </c>
      <c r="G65" s="2" t="s">
        <v>441</v>
      </c>
      <c r="H65" s="62">
        <f t="shared" ca="1" si="0"/>
        <v>45903</v>
      </c>
      <c r="I65" s="29" t="s">
        <v>442</v>
      </c>
    </row>
    <row r="66" spans="1:9" x14ac:dyDescent="0.35">
      <c r="A66" s="31">
        <v>200000540</v>
      </c>
      <c r="B66" s="31">
        <v>1010</v>
      </c>
      <c r="C66" s="31">
        <v>4066</v>
      </c>
      <c r="D66" s="29" t="str">
        <f>LOOKUP(CAPA!C66,'QALS - Inspection Lot Record'!P:P,'QALS - Inspection Lot Record'!O:O)</f>
        <v>Aspirin Tablets (500 MG)</v>
      </c>
      <c r="E66" s="31">
        <v>68.5</v>
      </c>
      <c r="F66" s="62">
        <f ca="1">IF(TODAY()&gt;=LOOKUP(C66,'QALS - Inspection Lot Record'!P:P,'QALS - Inspection Lot Record'!J:J)+RANDBETWEEN(0,1),LOOKUP(C66,'QALS - Inspection Lot Record'!P:P,'QALS - Inspection Lot Record'!J:J)+RANDBETWEEN(0,1),"")</f>
        <v>45903</v>
      </c>
      <c r="G66" s="2" t="s">
        <v>447</v>
      </c>
      <c r="H66" s="62">
        <f t="shared" ref="H66:H129" ca="1" si="1">IF(TODAY()&gt;=F66+RANDBETWEEN(0,2),F66+RANDBETWEEN(0,2),"")</f>
        <v>45905</v>
      </c>
      <c r="I66" s="29" t="s">
        <v>448</v>
      </c>
    </row>
    <row r="67" spans="1:9" x14ac:dyDescent="0.35">
      <c r="A67" s="31">
        <v>200000540</v>
      </c>
      <c r="B67" s="31">
        <v>1010</v>
      </c>
      <c r="C67" s="31">
        <v>4066</v>
      </c>
      <c r="D67" s="29" t="str">
        <f>LOOKUP(CAPA!C67,'QALS - Inspection Lot Record'!P:P,'QALS - Inspection Lot Record'!O:O)</f>
        <v>Aspirin Tablets (500 MG)</v>
      </c>
      <c r="E67" s="31">
        <v>78.3</v>
      </c>
      <c r="F67" s="62">
        <f ca="1">IF(TODAY()&gt;=LOOKUP(C67,'QALS - Inspection Lot Record'!P:P,'QALS - Inspection Lot Record'!J:J)+RANDBETWEEN(0,1),LOOKUP(C67,'QALS - Inspection Lot Record'!P:P,'QALS - Inspection Lot Record'!J:J)+RANDBETWEEN(0,1),"")</f>
        <v>45903</v>
      </c>
      <c r="G67" s="2" t="s">
        <v>447</v>
      </c>
      <c r="H67" s="62">
        <f t="shared" ca="1" si="1"/>
        <v>45905</v>
      </c>
      <c r="I67" s="29" t="s">
        <v>448</v>
      </c>
    </row>
    <row r="68" spans="1:9" x14ac:dyDescent="0.35">
      <c r="A68" s="31">
        <v>200000541</v>
      </c>
      <c r="B68" s="31">
        <v>1010</v>
      </c>
      <c r="C68" s="31">
        <v>4067</v>
      </c>
      <c r="D68" s="29" t="str">
        <f>LOOKUP(CAPA!C68,'QALS - Inspection Lot Record'!P:P,'QALS - Inspection Lot Record'!O:O)</f>
        <v>Metformin Tablets (500 MG)</v>
      </c>
      <c r="E68" s="31">
        <v>93.8</v>
      </c>
      <c r="F68" s="62">
        <f ca="1">IF(TODAY()&gt;=LOOKUP(C68,'QALS - Inspection Lot Record'!P:P,'QALS - Inspection Lot Record'!J:J)+RANDBETWEEN(0,1),LOOKUP(C68,'QALS - Inspection Lot Record'!P:P,'QALS - Inspection Lot Record'!J:J)+RANDBETWEEN(0,1),"")</f>
        <v>45903</v>
      </c>
      <c r="G68" s="2" t="s">
        <v>451</v>
      </c>
      <c r="H68" s="62">
        <f t="shared" ca="1" si="1"/>
        <v>45904</v>
      </c>
      <c r="I68" s="29" t="s">
        <v>452</v>
      </c>
    </row>
    <row r="69" spans="1:9" x14ac:dyDescent="0.35">
      <c r="A69" s="31">
        <v>200000542</v>
      </c>
      <c r="B69" s="31">
        <v>1010</v>
      </c>
      <c r="C69" s="31">
        <v>4069</v>
      </c>
      <c r="D69" s="29" t="str">
        <f>LOOKUP(CAPA!C69,'QALS - Inspection Lot Record'!P:P,'QALS - Inspection Lot Record'!O:O)</f>
        <v>Metformin Tablets (200 MG)</v>
      </c>
      <c r="E69" s="31">
        <v>21.6</v>
      </c>
      <c r="F69" s="62">
        <f ca="1">IF(TODAY()&gt;=LOOKUP(C69,'QALS - Inspection Lot Record'!P:P,'QALS - Inspection Lot Record'!J:J)+RANDBETWEEN(0,1),LOOKUP(C69,'QALS - Inspection Lot Record'!P:P,'QALS - Inspection Lot Record'!J:J)+RANDBETWEEN(0,1),"")</f>
        <v>45904</v>
      </c>
      <c r="G69" s="2" t="s">
        <v>453</v>
      </c>
      <c r="H69" s="62">
        <f t="shared" ca="1" si="1"/>
        <v>45904</v>
      </c>
      <c r="I69" s="29" t="s">
        <v>454</v>
      </c>
    </row>
    <row r="70" spans="1:9" x14ac:dyDescent="0.35">
      <c r="A70" s="31">
        <v>200000543</v>
      </c>
      <c r="B70" s="31">
        <v>1010</v>
      </c>
      <c r="C70" s="31">
        <v>4070</v>
      </c>
      <c r="D70" s="29" t="str">
        <f>LOOKUP(CAPA!C70,'QALS - Inspection Lot Record'!P:P,'QALS - Inspection Lot Record'!O:O)</f>
        <v>Metformin Tablets (100 MG)</v>
      </c>
      <c r="E70" s="31">
        <v>93.6</v>
      </c>
      <c r="F70" s="62">
        <f ca="1">IF(TODAY()&gt;=LOOKUP(C70,'QALS - Inspection Lot Record'!P:P,'QALS - Inspection Lot Record'!J:J)+RANDBETWEEN(0,1),LOOKUP(C70,'QALS - Inspection Lot Record'!P:P,'QALS - Inspection Lot Record'!J:J)+RANDBETWEEN(0,1),"")</f>
        <v>45904</v>
      </c>
      <c r="G70" s="2" t="s">
        <v>441</v>
      </c>
      <c r="H70" s="62">
        <f t="shared" ca="1" si="1"/>
        <v>45905</v>
      </c>
      <c r="I70" s="29" t="s">
        <v>442</v>
      </c>
    </row>
    <row r="71" spans="1:9" x14ac:dyDescent="0.35">
      <c r="A71" s="31">
        <v>200000543</v>
      </c>
      <c r="B71" s="31">
        <v>1010</v>
      </c>
      <c r="C71" s="31">
        <v>4070</v>
      </c>
      <c r="D71" s="29" t="str">
        <f>LOOKUP(CAPA!C71,'QALS - Inspection Lot Record'!P:P,'QALS - Inspection Lot Record'!O:O)</f>
        <v>Metformin Tablets (100 MG)</v>
      </c>
      <c r="E71" s="31">
        <v>38.4</v>
      </c>
      <c r="F71" s="62">
        <f ca="1">IF(TODAY()&gt;=LOOKUP(C71,'QALS - Inspection Lot Record'!P:P,'QALS - Inspection Lot Record'!J:J)+RANDBETWEEN(0,1),LOOKUP(C71,'QALS - Inspection Lot Record'!P:P,'QALS - Inspection Lot Record'!J:J)+RANDBETWEEN(0,1),"")</f>
        <v>45905</v>
      </c>
      <c r="G71" s="2" t="s">
        <v>447</v>
      </c>
      <c r="H71" s="62">
        <f t="shared" ca="1" si="1"/>
        <v>45906</v>
      </c>
      <c r="I71" s="29" t="s">
        <v>448</v>
      </c>
    </row>
    <row r="72" spans="1:9" x14ac:dyDescent="0.35">
      <c r="A72" s="31">
        <v>200000543</v>
      </c>
      <c r="B72" s="31">
        <v>1010</v>
      </c>
      <c r="C72" s="31">
        <v>4070</v>
      </c>
      <c r="D72" s="29" t="str">
        <f>LOOKUP(CAPA!C72,'QALS - Inspection Lot Record'!P:P,'QALS - Inspection Lot Record'!O:O)</f>
        <v>Metformin Tablets (100 MG)</v>
      </c>
      <c r="E72" s="31">
        <v>68.400000000000006</v>
      </c>
      <c r="F72" s="62">
        <f ca="1">IF(TODAY()&gt;=LOOKUP(C72,'QALS - Inspection Lot Record'!P:P,'QALS - Inspection Lot Record'!J:J)+RANDBETWEEN(0,1),LOOKUP(C72,'QALS - Inspection Lot Record'!P:P,'QALS - Inspection Lot Record'!J:J)+RANDBETWEEN(0,1),"")</f>
        <v>45905</v>
      </c>
      <c r="G72" s="2" t="s">
        <v>447</v>
      </c>
      <c r="H72" s="62">
        <f t="shared" ca="1" si="1"/>
        <v>45905</v>
      </c>
      <c r="I72" s="29" t="s">
        <v>448</v>
      </c>
    </row>
    <row r="73" spans="1:9" x14ac:dyDescent="0.35">
      <c r="A73" s="31">
        <v>200000544</v>
      </c>
      <c r="B73" s="31">
        <v>1010</v>
      </c>
      <c r="C73" s="31">
        <v>4071</v>
      </c>
      <c r="D73" s="29" t="str">
        <f>LOOKUP(CAPA!C73,'QALS - Inspection Lot Record'!P:P,'QALS - Inspection Lot Record'!O:O)</f>
        <v>Metformin Tablets (100 MG)</v>
      </c>
      <c r="E73" s="31">
        <v>93.6</v>
      </c>
      <c r="F73" s="62">
        <f ca="1">IF(TODAY()&gt;=LOOKUP(C73,'QALS - Inspection Lot Record'!P:P,'QALS - Inspection Lot Record'!J:J)+RANDBETWEEN(0,1),LOOKUP(C73,'QALS - Inspection Lot Record'!P:P,'QALS - Inspection Lot Record'!J:J)+RANDBETWEEN(0,1),"")</f>
        <v>45906</v>
      </c>
      <c r="G73" s="2" t="s">
        <v>441</v>
      </c>
      <c r="H73" s="62">
        <f t="shared" ca="1" si="1"/>
        <v>45906</v>
      </c>
      <c r="I73" s="29" t="s">
        <v>442</v>
      </c>
    </row>
    <row r="74" spans="1:9" x14ac:dyDescent="0.35">
      <c r="A74" s="31">
        <v>200000545</v>
      </c>
      <c r="B74" s="31">
        <v>1010</v>
      </c>
      <c r="C74" s="31">
        <v>4074</v>
      </c>
      <c r="D74" s="29" t="str">
        <f>LOOKUP(CAPA!C74,'QALS - Inspection Lot Record'!P:P,'QALS - Inspection Lot Record'!O:O)</f>
        <v>Metformin Tablets (500 MG)</v>
      </c>
      <c r="E74" s="31">
        <v>93</v>
      </c>
      <c r="F74" s="62">
        <f ca="1">IF(TODAY()&gt;=LOOKUP(C74,'QALS - Inspection Lot Record'!P:P,'QALS - Inspection Lot Record'!J:J)+RANDBETWEEN(0,1),LOOKUP(C74,'QALS - Inspection Lot Record'!P:P,'QALS - Inspection Lot Record'!J:J)+RANDBETWEEN(0,1),"")</f>
        <v>45906</v>
      </c>
      <c r="G74" s="2" t="s">
        <v>441</v>
      </c>
      <c r="H74" s="62">
        <f t="shared" ca="1" si="1"/>
        <v>45908</v>
      </c>
      <c r="I74" s="29" t="s">
        <v>442</v>
      </c>
    </row>
    <row r="75" spans="1:9" x14ac:dyDescent="0.35">
      <c r="A75" s="31">
        <v>200000545</v>
      </c>
      <c r="B75" s="31">
        <v>1010</v>
      </c>
      <c r="C75" s="31">
        <v>4074</v>
      </c>
      <c r="D75" s="29" t="str">
        <f>LOOKUP(CAPA!C75,'QALS - Inspection Lot Record'!P:P,'QALS - Inspection Lot Record'!O:O)</f>
        <v>Metformin Tablets (500 MG)</v>
      </c>
      <c r="E75" s="31">
        <v>79</v>
      </c>
      <c r="F75" s="62">
        <f ca="1">IF(TODAY()&gt;=LOOKUP(C75,'QALS - Inspection Lot Record'!P:P,'QALS - Inspection Lot Record'!J:J)+RANDBETWEEN(0,1),LOOKUP(C75,'QALS - Inspection Lot Record'!P:P,'QALS - Inspection Lot Record'!J:J)+RANDBETWEEN(0,1),"")</f>
        <v>45906</v>
      </c>
      <c r="G75" s="2" t="s">
        <v>447</v>
      </c>
      <c r="H75" s="62">
        <f t="shared" ca="1" si="1"/>
        <v>45906</v>
      </c>
      <c r="I75" s="29" t="s">
        <v>448</v>
      </c>
    </row>
    <row r="76" spans="1:9" x14ac:dyDescent="0.35">
      <c r="A76" s="31">
        <v>200000546</v>
      </c>
      <c r="B76" s="31">
        <v>1010</v>
      </c>
      <c r="C76" s="31">
        <v>4075</v>
      </c>
      <c r="D76" s="29" t="str">
        <f>LOOKUP(CAPA!C76,'QALS - Inspection Lot Record'!P:P,'QALS - Inspection Lot Record'!O:O)</f>
        <v>Metformin Tablets (100 MG)</v>
      </c>
      <c r="E76" s="31">
        <v>93.8</v>
      </c>
      <c r="F76" s="62">
        <f ca="1">IF(TODAY()&gt;=LOOKUP(C76,'QALS - Inspection Lot Record'!P:P,'QALS - Inspection Lot Record'!J:J)+RANDBETWEEN(0,1),LOOKUP(C76,'QALS - Inspection Lot Record'!P:P,'QALS - Inspection Lot Record'!J:J)+RANDBETWEEN(0,1),"")</f>
        <v>45907</v>
      </c>
      <c r="G76" s="2" t="s">
        <v>451</v>
      </c>
      <c r="H76" s="62">
        <f t="shared" ca="1" si="1"/>
        <v>45909</v>
      </c>
      <c r="I76" s="29" t="s">
        <v>452</v>
      </c>
    </row>
    <row r="77" spans="1:9" x14ac:dyDescent="0.35">
      <c r="A77" s="31">
        <v>200000547</v>
      </c>
      <c r="B77" s="31">
        <v>1010</v>
      </c>
      <c r="C77" s="31">
        <v>4077</v>
      </c>
      <c r="D77" s="29" t="str">
        <f>LOOKUP(CAPA!C77,'QALS - Inspection Lot Record'!P:P,'QALS - Inspection Lot Record'!O:O)</f>
        <v>Metformin Tablets (200 MG)</v>
      </c>
      <c r="E77" s="31">
        <v>93.3</v>
      </c>
      <c r="F77" s="62">
        <f ca="1">IF(TODAY()&gt;=LOOKUP(C77,'QALS - Inspection Lot Record'!P:P,'QALS - Inspection Lot Record'!J:J)+RANDBETWEEN(0,1),LOOKUP(C77,'QALS - Inspection Lot Record'!P:P,'QALS - Inspection Lot Record'!J:J)+RANDBETWEEN(0,1),"")</f>
        <v>45908</v>
      </c>
      <c r="G77" s="2" t="s">
        <v>441</v>
      </c>
      <c r="H77" s="62">
        <f t="shared" ca="1" si="1"/>
        <v>45909</v>
      </c>
      <c r="I77" s="29" t="s">
        <v>442</v>
      </c>
    </row>
    <row r="78" spans="1:9" x14ac:dyDescent="0.35">
      <c r="A78" s="31">
        <v>200000547</v>
      </c>
      <c r="B78" s="31">
        <v>1010</v>
      </c>
      <c r="C78" s="31">
        <v>4077</v>
      </c>
      <c r="D78" s="29" t="str">
        <f>LOOKUP(CAPA!C78,'QALS - Inspection Lot Record'!P:P,'QALS - Inspection Lot Record'!O:O)</f>
        <v>Metformin Tablets (200 MG)</v>
      </c>
      <c r="E78" s="31">
        <v>4.0999999999999996</v>
      </c>
      <c r="F78" s="62">
        <f ca="1">IF(TODAY()&gt;=LOOKUP(C78,'QALS - Inspection Lot Record'!P:P,'QALS - Inspection Lot Record'!J:J)+RANDBETWEEN(0,1),LOOKUP(C78,'QALS - Inspection Lot Record'!P:P,'QALS - Inspection Lot Record'!J:J)+RANDBETWEEN(0,1),"")</f>
        <v>45908</v>
      </c>
      <c r="G78" s="2" t="s">
        <v>463</v>
      </c>
      <c r="H78" s="62">
        <f t="shared" ca="1" si="1"/>
        <v>45910</v>
      </c>
      <c r="I78" s="29" t="s">
        <v>464</v>
      </c>
    </row>
    <row r="79" spans="1:9" x14ac:dyDescent="0.35">
      <c r="A79" s="31">
        <v>200000548</v>
      </c>
      <c r="B79" s="31">
        <v>1010</v>
      </c>
      <c r="C79" s="31">
        <v>4081</v>
      </c>
      <c r="D79" s="29" t="str">
        <f>LOOKUP(CAPA!C79,'QALS - Inspection Lot Record'!P:P,'QALS - Inspection Lot Record'!O:O)</f>
        <v>Ibuprofen Tablets (100 MG)</v>
      </c>
      <c r="E79" s="31">
        <v>1.8</v>
      </c>
      <c r="F79" s="62">
        <f ca="1">IF(TODAY()&gt;=LOOKUP(C79,'QALS - Inspection Lot Record'!P:P,'QALS - Inspection Lot Record'!J:J)+RANDBETWEEN(0,1),LOOKUP(C79,'QALS - Inspection Lot Record'!P:P,'QALS - Inspection Lot Record'!J:J)+RANDBETWEEN(0,1),"")</f>
        <v>45911</v>
      </c>
      <c r="G79" s="2" t="s">
        <v>443</v>
      </c>
      <c r="H79" s="62">
        <f t="shared" ca="1" si="1"/>
        <v>45912</v>
      </c>
      <c r="I79" s="29" t="s">
        <v>444</v>
      </c>
    </row>
    <row r="80" spans="1:9" x14ac:dyDescent="0.35">
      <c r="A80" s="31">
        <v>200000548</v>
      </c>
      <c r="B80" s="31">
        <v>1010</v>
      </c>
      <c r="C80" s="31">
        <v>4081</v>
      </c>
      <c r="D80" s="29" t="str">
        <f>LOOKUP(CAPA!C80,'QALS - Inspection Lot Record'!P:P,'QALS - Inspection Lot Record'!O:O)</f>
        <v>Ibuprofen Tablets (100 MG)</v>
      </c>
      <c r="E80" s="31">
        <v>68.3</v>
      </c>
      <c r="F80" s="62">
        <f ca="1">IF(TODAY()&gt;=LOOKUP(C80,'QALS - Inspection Lot Record'!P:P,'QALS - Inspection Lot Record'!J:J)+RANDBETWEEN(0,1),LOOKUP(C80,'QALS - Inspection Lot Record'!P:P,'QALS - Inspection Lot Record'!J:J)+RANDBETWEEN(0,1),"")</f>
        <v>45911</v>
      </c>
      <c r="G80" s="2" t="s">
        <v>447</v>
      </c>
      <c r="H80" s="62">
        <f t="shared" ca="1" si="1"/>
        <v>45912</v>
      </c>
      <c r="I80" s="29" t="s">
        <v>448</v>
      </c>
    </row>
    <row r="81" spans="1:9" x14ac:dyDescent="0.35">
      <c r="A81" s="31">
        <v>200000548</v>
      </c>
      <c r="B81" s="31">
        <v>1010</v>
      </c>
      <c r="C81" s="31">
        <v>4081</v>
      </c>
      <c r="D81" s="29" t="str">
        <f>LOOKUP(CAPA!C81,'QALS - Inspection Lot Record'!P:P,'QALS - Inspection Lot Record'!O:O)</f>
        <v>Ibuprofen Tablets (100 MG)</v>
      </c>
      <c r="E81" s="31">
        <v>78.8</v>
      </c>
      <c r="F81" s="62">
        <f ca="1">IF(TODAY()&gt;=LOOKUP(C81,'QALS - Inspection Lot Record'!P:P,'QALS - Inspection Lot Record'!J:J)+RANDBETWEEN(0,1),LOOKUP(C81,'QALS - Inspection Lot Record'!P:P,'QALS - Inspection Lot Record'!J:J)+RANDBETWEEN(0,1),"")</f>
        <v>45910</v>
      </c>
      <c r="G81" s="2" t="s">
        <v>447</v>
      </c>
      <c r="H81" s="62">
        <f t="shared" ca="1" si="1"/>
        <v>45911</v>
      </c>
      <c r="I81" s="29" t="s">
        <v>448</v>
      </c>
    </row>
    <row r="82" spans="1:9" x14ac:dyDescent="0.35">
      <c r="A82" s="31">
        <v>200000548</v>
      </c>
      <c r="B82" s="31">
        <v>1010</v>
      </c>
      <c r="C82" s="31">
        <v>4081</v>
      </c>
      <c r="D82" s="29" t="str">
        <f>LOOKUP(CAPA!C82,'QALS - Inspection Lot Record'!P:P,'QALS - Inspection Lot Record'!O:O)</f>
        <v>Ibuprofen Tablets (100 MG)</v>
      </c>
      <c r="E82" s="31">
        <v>21.4</v>
      </c>
      <c r="F82" s="62">
        <f ca="1">IF(TODAY()&gt;=LOOKUP(C82,'QALS - Inspection Lot Record'!P:P,'QALS - Inspection Lot Record'!J:J)+RANDBETWEEN(0,1),LOOKUP(C82,'QALS - Inspection Lot Record'!P:P,'QALS - Inspection Lot Record'!J:J)+RANDBETWEEN(0,1),"")</f>
        <v>45911</v>
      </c>
      <c r="G82" s="2" t="s">
        <v>453</v>
      </c>
      <c r="H82" s="62">
        <f t="shared" ca="1" si="1"/>
        <v>45913</v>
      </c>
      <c r="I82" s="29" t="s">
        <v>454</v>
      </c>
    </row>
    <row r="83" spans="1:9" x14ac:dyDescent="0.35">
      <c r="A83" s="31">
        <v>200000549</v>
      </c>
      <c r="B83" s="31">
        <v>1010</v>
      </c>
      <c r="C83" s="31">
        <v>4085</v>
      </c>
      <c r="D83" s="29" t="str">
        <f>LOOKUP(CAPA!C83,'QALS - Inspection Lot Record'!P:P,'QALS - Inspection Lot Record'!O:O)</f>
        <v>Ibuprofen Tablets (100 MG)</v>
      </c>
      <c r="E83" s="31">
        <v>21.3</v>
      </c>
      <c r="F83" s="62">
        <f ca="1">IF(TODAY()&gt;=LOOKUP(C83,'QALS - Inspection Lot Record'!P:P,'QALS - Inspection Lot Record'!J:J)+RANDBETWEEN(0,1),LOOKUP(C83,'QALS - Inspection Lot Record'!P:P,'QALS - Inspection Lot Record'!J:J)+RANDBETWEEN(0,1),"")</f>
        <v>45913</v>
      </c>
      <c r="G83" s="2" t="s">
        <v>453</v>
      </c>
      <c r="H83" s="62">
        <f t="shared" ca="1" si="1"/>
        <v>45915</v>
      </c>
      <c r="I83" s="29" t="s">
        <v>454</v>
      </c>
    </row>
    <row r="84" spans="1:9" x14ac:dyDescent="0.35">
      <c r="A84" s="31">
        <v>200000550</v>
      </c>
      <c r="B84" s="31">
        <v>1010</v>
      </c>
      <c r="C84" s="31">
        <v>4089</v>
      </c>
      <c r="D84" s="29" t="str">
        <f>LOOKUP(CAPA!C84,'QALS - Inspection Lot Record'!P:P,'QALS - Inspection Lot Record'!O:O)</f>
        <v>Aspirin Tablets (500 MG)</v>
      </c>
      <c r="E84" s="31">
        <v>21.1</v>
      </c>
      <c r="F84" s="62">
        <f ca="1">IF(TODAY()&gt;=LOOKUP(C84,'QALS - Inspection Lot Record'!P:P,'QALS - Inspection Lot Record'!J:J)+RANDBETWEEN(0,1),LOOKUP(C84,'QALS - Inspection Lot Record'!P:P,'QALS - Inspection Lot Record'!J:J)+RANDBETWEEN(0,1),"")</f>
        <v>45915</v>
      </c>
      <c r="G84" s="2" t="s">
        <v>453</v>
      </c>
      <c r="H84" s="62">
        <f t="shared" ca="1" si="1"/>
        <v>45916</v>
      </c>
      <c r="I84" s="29" t="s">
        <v>454</v>
      </c>
    </row>
    <row r="85" spans="1:9" x14ac:dyDescent="0.35">
      <c r="A85" s="31">
        <v>200000551</v>
      </c>
      <c r="B85" s="31">
        <v>1010</v>
      </c>
      <c r="C85" s="31">
        <v>4090</v>
      </c>
      <c r="D85" s="29" t="str">
        <f>LOOKUP(CAPA!C85,'QALS - Inspection Lot Record'!P:P,'QALS - Inspection Lot Record'!O:O)</f>
        <v>Metformin Tablets (100 MG)</v>
      </c>
      <c r="E85" s="31">
        <v>1.9</v>
      </c>
      <c r="F85" s="62">
        <f ca="1">IF(TODAY()&gt;=LOOKUP(C85,'QALS - Inspection Lot Record'!P:P,'QALS - Inspection Lot Record'!J:J)+RANDBETWEEN(0,1),LOOKUP(C85,'QALS - Inspection Lot Record'!P:P,'QALS - Inspection Lot Record'!J:J)+RANDBETWEEN(0,1),"")</f>
        <v>45914</v>
      </c>
      <c r="G85" s="2" t="s">
        <v>457</v>
      </c>
      <c r="H85" s="62">
        <f t="shared" ca="1" si="1"/>
        <v>45915</v>
      </c>
      <c r="I85" s="29" t="s">
        <v>458</v>
      </c>
    </row>
    <row r="86" spans="1:9" x14ac:dyDescent="0.35">
      <c r="A86" s="31">
        <v>200000551</v>
      </c>
      <c r="B86" s="31">
        <v>1010</v>
      </c>
      <c r="C86" s="31">
        <v>4090</v>
      </c>
      <c r="D86" s="29" t="str">
        <f>LOOKUP(CAPA!C86,'QALS - Inspection Lot Record'!P:P,'QALS - Inspection Lot Record'!O:O)</f>
        <v>Metformin Tablets (100 MG)</v>
      </c>
      <c r="E86" s="31">
        <v>78.8</v>
      </c>
      <c r="F86" s="62">
        <f ca="1">IF(TODAY()&gt;=LOOKUP(C86,'QALS - Inspection Lot Record'!P:P,'QALS - Inspection Lot Record'!J:J)+RANDBETWEEN(0,1),LOOKUP(C86,'QALS - Inspection Lot Record'!P:P,'QALS - Inspection Lot Record'!J:J)+RANDBETWEEN(0,1),"")</f>
        <v>45915</v>
      </c>
      <c r="G86" s="2" t="s">
        <v>447</v>
      </c>
      <c r="H86" s="62">
        <f t="shared" ca="1" si="1"/>
        <v>45916</v>
      </c>
      <c r="I86" s="29" t="s">
        <v>448</v>
      </c>
    </row>
    <row r="87" spans="1:9" x14ac:dyDescent="0.35">
      <c r="A87" s="31">
        <v>200000552</v>
      </c>
      <c r="B87" s="31">
        <v>1010</v>
      </c>
      <c r="C87" s="31">
        <v>4092</v>
      </c>
      <c r="D87" s="29" t="str">
        <f>LOOKUP(CAPA!C87,'QALS - Inspection Lot Record'!P:P,'QALS - Inspection Lot Record'!O:O)</f>
        <v>Metformin Tablets (200 MG)</v>
      </c>
      <c r="E87" s="31">
        <v>38.6</v>
      </c>
      <c r="F87" s="62">
        <f ca="1">IF(TODAY()&gt;=LOOKUP(C87,'QALS - Inspection Lot Record'!P:P,'QALS - Inspection Lot Record'!J:J)+RANDBETWEEN(0,1),LOOKUP(C87,'QALS - Inspection Lot Record'!P:P,'QALS - Inspection Lot Record'!J:J)+RANDBETWEEN(0,1),"")</f>
        <v>45915</v>
      </c>
      <c r="G87" s="2" t="s">
        <v>447</v>
      </c>
      <c r="H87" s="62">
        <f t="shared" ca="1" si="1"/>
        <v>45915</v>
      </c>
      <c r="I87" s="29" t="s">
        <v>448</v>
      </c>
    </row>
    <row r="88" spans="1:9" x14ac:dyDescent="0.35">
      <c r="A88" s="31">
        <v>200000552</v>
      </c>
      <c r="B88" s="31">
        <v>1010</v>
      </c>
      <c r="C88" s="31">
        <v>4092</v>
      </c>
      <c r="D88" s="29" t="str">
        <f>LOOKUP(CAPA!C88,'QALS - Inspection Lot Record'!P:P,'QALS - Inspection Lot Record'!O:O)</f>
        <v>Metformin Tablets (200 MG)</v>
      </c>
      <c r="E88" s="31">
        <v>68.5</v>
      </c>
      <c r="F88" s="62">
        <f ca="1">IF(TODAY()&gt;=LOOKUP(C88,'QALS - Inspection Lot Record'!P:P,'QALS - Inspection Lot Record'!J:J)+RANDBETWEEN(0,1),LOOKUP(C88,'QALS - Inspection Lot Record'!P:P,'QALS - Inspection Lot Record'!J:J)+RANDBETWEEN(0,1),"")</f>
        <v>45916</v>
      </c>
      <c r="G88" s="2" t="s">
        <v>447</v>
      </c>
      <c r="H88" s="62">
        <f t="shared" ca="1" si="1"/>
        <v>45916</v>
      </c>
      <c r="I88" s="29" t="s">
        <v>448</v>
      </c>
    </row>
    <row r="89" spans="1:9" x14ac:dyDescent="0.35">
      <c r="A89" s="31">
        <v>200000553</v>
      </c>
      <c r="B89" s="31">
        <v>1010</v>
      </c>
      <c r="C89" s="31">
        <v>4095</v>
      </c>
      <c r="D89" s="29" t="str">
        <f>LOOKUP(CAPA!C89,'QALS - Inspection Lot Record'!P:P,'QALS - Inspection Lot Record'!O:O)</f>
        <v>Metformin Tablets (200 MG)</v>
      </c>
      <c r="E89" s="31">
        <v>38.9</v>
      </c>
      <c r="F89" s="62">
        <f ca="1">IF(TODAY()&gt;=LOOKUP(C89,'QALS - Inspection Lot Record'!P:P,'QALS - Inspection Lot Record'!J:J)+RANDBETWEEN(0,1),LOOKUP(C89,'QALS - Inspection Lot Record'!P:P,'QALS - Inspection Lot Record'!J:J)+RANDBETWEEN(0,1),"")</f>
        <v>45917</v>
      </c>
      <c r="G89" s="2" t="s">
        <v>447</v>
      </c>
      <c r="H89" s="62">
        <f t="shared" ca="1" si="1"/>
        <v>45919</v>
      </c>
      <c r="I89" s="29" t="s">
        <v>448</v>
      </c>
    </row>
    <row r="90" spans="1:9" x14ac:dyDescent="0.35">
      <c r="A90" s="31">
        <v>200000553</v>
      </c>
      <c r="B90" s="31">
        <v>1010</v>
      </c>
      <c r="C90" s="31">
        <v>4095</v>
      </c>
      <c r="D90" s="29" t="str">
        <f>LOOKUP(CAPA!C90,'QALS - Inspection Lot Record'!P:P,'QALS - Inspection Lot Record'!O:O)</f>
        <v>Metformin Tablets (200 MG)</v>
      </c>
      <c r="E90" s="31">
        <v>68</v>
      </c>
      <c r="F90" s="62">
        <f ca="1">IF(TODAY()&gt;=LOOKUP(C90,'QALS - Inspection Lot Record'!P:P,'QALS - Inspection Lot Record'!J:J)+RANDBETWEEN(0,1),LOOKUP(C90,'QALS - Inspection Lot Record'!P:P,'QALS - Inspection Lot Record'!J:J)+RANDBETWEEN(0,1),"")</f>
        <v>45918</v>
      </c>
      <c r="G90" s="2" t="s">
        <v>447</v>
      </c>
      <c r="H90" s="62">
        <f t="shared" ca="1" si="1"/>
        <v>45919</v>
      </c>
      <c r="I90" s="29" t="s">
        <v>448</v>
      </c>
    </row>
    <row r="91" spans="1:9" x14ac:dyDescent="0.35">
      <c r="A91" s="31">
        <v>200000554</v>
      </c>
      <c r="B91" s="31">
        <v>1010</v>
      </c>
      <c r="C91" s="31">
        <v>4096</v>
      </c>
      <c r="D91" s="29" t="str">
        <f>LOOKUP(CAPA!C91,'QALS - Inspection Lot Record'!P:P,'QALS - Inspection Lot Record'!O:O)</f>
        <v>Ibuprofen Tablets (100 MG)</v>
      </c>
      <c r="E91" s="31">
        <v>38.299999999999997</v>
      </c>
      <c r="F91" s="62">
        <f ca="1">IF(TODAY()&gt;=LOOKUP(C91,'QALS - Inspection Lot Record'!P:P,'QALS - Inspection Lot Record'!J:J)+RANDBETWEEN(0,1),LOOKUP(C91,'QALS - Inspection Lot Record'!P:P,'QALS - Inspection Lot Record'!J:J)+RANDBETWEEN(0,1),"")</f>
        <v>45917</v>
      </c>
      <c r="G91" s="2" t="s">
        <v>449</v>
      </c>
      <c r="H91" s="62">
        <f t="shared" ca="1" si="1"/>
        <v>45918</v>
      </c>
      <c r="I91" s="29" t="s">
        <v>450</v>
      </c>
    </row>
    <row r="92" spans="1:9" x14ac:dyDescent="0.35">
      <c r="A92" s="31">
        <v>200000554</v>
      </c>
      <c r="B92" s="31">
        <v>1010</v>
      </c>
      <c r="C92" s="31">
        <v>4096</v>
      </c>
      <c r="D92" s="29" t="str">
        <f>LOOKUP(CAPA!C92,'QALS - Inspection Lot Record'!P:P,'QALS - Inspection Lot Record'!O:O)</f>
        <v>Ibuprofen Tablets (100 MG)</v>
      </c>
      <c r="E92" s="31">
        <v>68.3</v>
      </c>
      <c r="F92" s="62">
        <f ca="1">IF(TODAY()&gt;=LOOKUP(C92,'QALS - Inspection Lot Record'!P:P,'QALS - Inspection Lot Record'!J:J)+RANDBETWEEN(0,1),LOOKUP(C92,'QALS - Inspection Lot Record'!P:P,'QALS - Inspection Lot Record'!J:J)+RANDBETWEEN(0,1),"")</f>
        <v>45917</v>
      </c>
      <c r="G92" s="2" t="s">
        <v>447</v>
      </c>
      <c r="H92" s="62">
        <f t="shared" ca="1" si="1"/>
        <v>45917</v>
      </c>
      <c r="I92" s="29" t="s">
        <v>448</v>
      </c>
    </row>
    <row r="93" spans="1:9" x14ac:dyDescent="0.35">
      <c r="A93" s="31">
        <v>200000554</v>
      </c>
      <c r="B93" s="31">
        <v>1010</v>
      </c>
      <c r="C93" s="31">
        <v>4096</v>
      </c>
      <c r="D93" s="29" t="str">
        <f>LOOKUP(CAPA!C93,'QALS - Inspection Lot Record'!P:P,'QALS - Inspection Lot Record'!O:O)</f>
        <v>Ibuprofen Tablets (100 MG)</v>
      </c>
      <c r="E93" s="31">
        <v>78.400000000000006</v>
      </c>
      <c r="F93" s="62">
        <f ca="1">IF(TODAY()&gt;=LOOKUP(C93,'QALS - Inspection Lot Record'!P:P,'QALS - Inspection Lot Record'!J:J)+RANDBETWEEN(0,1),LOOKUP(C93,'QALS - Inspection Lot Record'!P:P,'QALS - Inspection Lot Record'!J:J)+RANDBETWEEN(0,1),"")</f>
        <v>45917</v>
      </c>
      <c r="G93" s="2" t="s">
        <v>447</v>
      </c>
      <c r="H93" s="62">
        <f t="shared" ca="1" si="1"/>
        <v>45919</v>
      </c>
      <c r="I93" s="29" t="s">
        <v>448</v>
      </c>
    </row>
    <row r="94" spans="1:9" x14ac:dyDescent="0.35">
      <c r="A94" s="31">
        <v>200000555</v>
      </c>
      <c r="B94" s="31">
        <v>1010</v>
      </c>
      <c r="C94" s="31">
        <v>4099</v>
      </c>
      <c r="D94" s="29" t="str">
        <f>LOOKUP(CAPA!C94,'QALS - Inspection Lot Record'!P:P,'QALS - Inspection Lot Record'!O:O)</f>
        <v>Metformin Tablets (100 MG)</v>
      </c>
      <c r="E94" s="31">
        <v>2.5</v>
      </c>
      <c r="F94" s="62">
        <f ca="1">IF(TODAY()&gt;=LOOKUP(C94,'QALS - Inspection Lot Record'!P:P,'QALS - Inspection Lot Record'!J:J)+RANDBETWEEN(0,1),LOOKUP(C94,'QALS - Inspection Lot Record'!P:P,'QALS - Inspection Lot Record'!J:J)+RANDBETWEEN(0,1),"")</f>
        <v>45920</v>
      </c>
      <c r="G94" s="2" t="s">
        <v>457</v>
      </c>
      <c r="H94" s="62">
        <f t="shared" ca="1" si="1"/>
        <v>45920</v>
      </c>
      <c r="I94" s="29" t="s">
        <v>458</v>
      </c>
    </row>
    <row r="95" spans="1:9" x14ac:dyDescent="0.35">
      <c r="A95" s="31">
        <v>200000555</v>
      </c>
      <c r="B95" s="31">
        <v>1010</v>
      </c>
      <c r="C95" s="31">
        <v>4099</v>
      </c>
      <c r="D95" s="29" t="str">
        <f>LOOKUP(CAPA!C95,'QALS - Inspection Lot Record'!P:P,'QALS - Inspection Lot Record'!O:O)</f>
        <v>Metformin Tablets (100 MG)</v>
      </c>
      <c r="E95" s="31">
        <v>38</v>
      </c>
      <c r="F95" s="62">
        <f ca="1">IF(TODAY()&gt;=LOOKUP(C95,'QALS - Inspection Lot Record'!P:P,'QALS - Inspection Lot Record'!J:J)+RANDBETWEEN(0,1),LOOKUP(C95,'QALS - Inspection Lot Record'!P:P,'QALS - Inspection Lot Record'!J:J)+RANDBETWEEN(0,1),"")</f>
        <v>45919</v>
      </c>
      <c r="G95" s="2" t="s">
        <v>449</v>
      </c>
      <c r="H95" s="62">
        <f t="shared" ca="1" si="1"/>
        <v>45920</v>
      </c>
      <c r="I95" s="29" t="s">
        <v>450</v>
      </c>
    </row>
    <row r="96" spans="1:9" x14ac:dyDescent="0.35">
      <c r="A96" s="31">
        <v>200000556</v>
      </c>
      <c r="B96" s="31">
        <v>1010</v>
      </c>
      <c r="C96" s="31">
        <v>4100</v>
      </c>
      <c r="D96" s="29" t="str">
        <f>LOOKUP(CAPA!C96,'QALS - Inspection Lot Record'!P:P,'QALS - Inspection Lot Record'!O:O)</f>
        <v>Aspirin Tablets (500 MG)</v>
      </c>
      <c r="E96" s="31">
        <v>93.4</v>
      </c>
      <c r="F96" s="62">
        <f ca="1">IF(TODAY()&gt;=LOOKUP(C96,'QALS - Inspection Lot Record'!P:P,'QALS - Inspection Lot Record'!J:J)+RANDBETWEEN(0,1),LOOKUP(C96,'QALS - Inspection Lot Record'!P:P,'QALS - Inspection Lot Record'!J:J)+RANDBETWEEN(0,1),"")</f>
        <v>45920</v>
      </c>
      <c r="G96" s="2" t="s">
        <v>441</v>
      </c>
      <c r="H96" s="62">
        <f t="shared" ca="1" si="1"/>
        <v>45922</v>
      </c>
      <c r="I96" s="29" t="s">
        <v>442</v>
      </c>
    </row>
    <row r="97" spans="1:9" x14ac:dyDescent="0.35">
      <c r="A97" s="31">
        <v>200000556</v>
      </c>
      <c r="B97" s="31">
        <v>1010</v>
      </c>
      <c r="C97" s="31">
        <v>4100</v>
      </c>
      <c r="D97" s="29" t="str">
        <f>LOOKUP(CAPA!C97,'QALS - Inspection Lot Record'!P:P,'QALS - Inspection Lot Record'!O:O)</f>
        <v>Aspirin Tablets (500 MG)</v>
      </c>
      <c r="E97" s="31">
        <v>2.4</v>
      </c>
      <c r="F97" s="62">
        <f ca="1">IF(TODAY()&gt;=LOOKUP(C97,'QALS - Inspection Lot Record'!P:P,'QALS - Inspection Lot Record'!J:J)+RANDBETWEEN(0,1),LOOKUP(C97,'QALS - Inspection Lot Record'!P:P,'QALS - Inspection Lot Record'!J:J)+RANDBETWEEN(0,1),"")</f>
        <v>45920</v>
      </c>
      <c r="G97" s="2" t="s">
        <v>457</v>
      </c>
      <c r="H97" s="62">
        <f t="shared" ca="1" si="1"/>
        <v>45922</v>
      </c>
      <c r="I97" s="29" t="s">
        <v>458</v>
      </c>
    </row>
    <row r="98" spans="1:9" x14ac:dyDescent="0.35">
      <c r="A98" s="31">
        <v>200000556</v>
      </c>
      <c r="B98" s="31">
        <v>1010</v>
      </c>
      <c r="C98" s="31">
        <v>4100</v>
      </c>
      <c r="D98" s="29" t="str">
        <f>LOOKUP(CAPA!C98,'QALS - Inspection Lot Record'!P:P,'QALS - Inspection Lot Record'!O:O)</f>
        <v>Aspirin Tablets (500 MG)</v>
      </c>
      <c r="E98" s="31">
        <v>2.6</v>
      </c>
      <c r="F98" s="62">
        <f ca="1">IF(TODAY()&gt;=LOOKUP(C98,'QALS - Inspection Lot Record'!P:P,'QALS - Inspection Lot Record'!J:J)+RANDBETWEEN(0,1),LOOKUP(C98,'QALS - Inspection Lot Record'!P:P,'QALS - Inspection Lot Record'!J:J)+RANDBETWEEN(0,1),"")</f>
        <v>45920</v>
      </c>
      <c r="G98" s="2" t="s">
        <v>445</v>
      </c>
      <c r="H98" s="62">
        <f t="shared" ca="1" si="1"/>
        <v>45922</v>
      </c>
      <c r="I98" s="29" t="s">
        <v>446</v>
      </c>
    </row>
    <row r="99" spans="1:9" x14ac:dyDescent="0.35">
      <c r="A99" s="31">
        <v>200000556</v>
      </c>
      <c r="B99" s="31">
        <v>1010</v>
      </c>
      <c r="C99" s="31">
        <v>4100</v>
      </c>
      <c r="D99" s="29" t="str">
        <f>LOOKUP(CAPA!C99,'QALS - Inspection Lot Record'!P:P,'QALS - Inspection Lot Record'!O:O)</f>
        <v>Aspirin Tablets (500 MG)</v>
      </c>
      <c r="E99" s="31">
        <v>78.400000000000006</v>
      </c>
      <c r="F99" s="62">
        <f ca="1">IF(TODAY()&gt;=LOOKUP(C99,'QALS - Inspection Lot Record'!P:P,'QALS - Inspection Lot Record'!J:J)+RANDBETWEEN(0,1),LOOKUP(C99,'QALS - Inspection Lot Record'!P:P,'QALS - Inspection Lot Record'!J:J)+RANDBETWEEN(0,1),"")</f>
        <v>45919</v>
      </c>
      <c r="G99" s="2" t="s">
        <v>447</v>
      </c>
      <c r="H99" s="62">
        <f t="shared" ca="1" si="1"/>
        <v>45919</v>
      </c>
      <c r="I99" s="29" t="s">
        <v>448</v>
      </c>
    </row>
    <row r="100" spans="1:9" x14ac:dyDescent="0.35">
      <c r="A100" s="31">
        <v>200000557</v>
      </c>
      <c r="B100" s="31">
        <v>1010</v>
      </c>
      <c r="C100" s="31">
        <v>4103</v>
      </c>
      <c r="D100" s="29" t="str">
        <f>LOOKUP(CAPA!C100,'QALS - Inspection Lot Record'!P:P,'QALS - Inspection Lot Record'!O:O)</f>
        <v>Ibuprofen Tablets (100 MG)</v>
      </c>
      <c r="E100" s="31">
        <v>2.2999999999999998</v>
      </c>
      <c r="F100" s="62">
        <f ca="1">IF(TODAY()&gt;=LOOKUP(C100,'QALS - Inspection Lot Record'!P:P,'QALS - Inspection Lot Record'!J:J)+RANDBETWEEN(0,1),LOOKUP(C100,'QALS - Inspection Lot Record'!P:P,'QALS - Inspection Lot Record'!J:J)+RANDBETWEEN(0,1),"")</f>
        <v>45921</v>
      </c>
      <c r="G100" s="2" t="s">
        <v>457</v>
      </c>
      <c r="H100" s="62">
        <f t="shared" ca="1" si="1"/>
        <v>45921</v>
      </c>
      <c r="I100" s="29" t="s">
        <v>458</v>
      </c>
    </row>
    <row r="101" spans="1:9" x14ac:dyDescent="0.35">
      <c r="A101" s="31">
        <v>200000557</v>
      </c>
      <c r="B101" s="31">
        <v>1010</v>
      </c>
      <c r="C101" s="31">
        <v>4103</v>
      </c>
      <c r="D101" s="29" t="str">
        <f>LOOKUP(CAPA!C101,'QALS - Inspection Lot Record'!P:P,'QALS - Inspection Lot Record'!O:O)</f>
        <v>Ibuprofen Tablets (100 MG)</v>
      </c>
      <c r="E101" s="31">
        <v>78</v>
      </c>
      <c r="F101" s="62">
        <f ca="1">IF(TODAY()&gt;=LOOKUP(C101,'QALS - Inspection Lot Record'!P:P,'QALS - Inspection Lot Record'!J:J)+RANDBETWEEN(0,1),LOOKUP(C101,'QALS - Inspection Lot Record'!P:P,'QALS - Inspection Lot Record'!J:J)+RANDBETWEEN(0,1),"")</f>
        <v>45922</v>
      </c>
      <c r="G101" s="2" t="s">
        <v>447</v>
      </c>
      <c r="H101" s="62">
        <f t="shared" ca="1" si="1"/>
        <v>45922</v>
      </c>
      <c r="I101" s="29" t="s">
        <v>448</v>
      </c>
    </row>
    <row r="102" spans="1:9" x14ac:dyDescent="0.35">
      <c r="A102" s="31">
        <v>200000557</v>
      </c>
      <c r="B102" s="31">
        <v>1010</v>
      </c>
      <c r="C102" s="31">
        <v>4103</v>
      </c>
      <c r="D102" s="29" t="str">
        <f>LOOKUP(CAPA!C102,'QALS - Inspection Lot Record'!P:P,'QALS - Inspection Lot Record'!O:O)</f>
        <v>Ibuprofen Tablets (100 MG)</v>
      </c>
      <c r="E102" s="31">
        <v>21.5</v>
      </c>
      <c r="F102" s="62">
        <f ca="1">IF(TODAY()&gt;=LOOKUP(C102,'QALS - Inspection Lot Record'!P:P,'QALS - Inspection Lot Record'!J:J)+RANDBETWEEN(0,1),LOOKUP(C102,'QALS - Inspection Lot Record'!P:P,'QALS - Inspection Lot Record'!J:J)+RANDBETWEEN(0,1),"")</f>
        <v>45922</v>
      </c>
      <c r="G102" s="2" t="s">
        <v>453</v>
      </c>
      <c r="H102" s="62">
        <f t="shared" ca="1" si="1"/>
        <v>45922</v>
      </c>
      <c r="I102" s="29" t="s">
        <v>454</v>
      </c>
    </row>
    <row r="103" spans="1:9" x14ac:dyDescent="0.35">
      <c r="A103" s="31">
        <v>200000558</v>
      </c>
      <c r="B103" s="31">
        <v>1010</v>
      </c>
      <c r="C103" s="31">
        <v>4104</v>
      </c>
      <c r="D103" s="29" t="str">
        <f>LOOKUP(CAPA!C103,'QALS - Inspection Lot Record'!P:P,'QALS - Inspection Lot Record'!O:O)</f>
        <v>Ibuprofen Tablets (100 MG)</v>
      </c>
      <c r="E103" s="31">
        <v>2</v>
      </c>
      <c r="F103" s="62">
        <f ca="1">IF(TODAY()&gt;=LOOKUP(C103,'QALS - Inspection Lot Record'!P:P,'QALS - Inspection Lot Record'!J:J)+RANDBETWEEN(0,1),LOOKUP(C103,'QALS - Inspection Lot Record'!P:P,'QALS - Inspection Lot Record'!J:J)+RANDBETWEEN(0,1),"")</f>
        <v>45921</v>
      </c>
      <c r="G103" s="2" t="s">
        <v>457</v>
      </c>
      <c r="H103" s="62">
        <f t="shared" ca="1" si="1"/>
        <v>45923</v>
      </c>
      <c r="I103" s="29" t="s">
        <v>458</v>
      </c>
    </row>
    <row r="104" spans="1:9" x14ac:dyDescent="0.35">
      <c r="A104" s="31">
        <v>200000558</v>
      </c>
      <c r="B104" s="31">
        <v>1010</v>
      </c>
      <c r="C104" s="31">
        <v>4104</v>
      </c>
      <c r="D104" s="29" t="str">
        <f>LOOKUP(CAPA!C104,'QALS - Inspection Lot Record'!P:P,'QALS - Inspection Lot Record'!O:O)</f>
        <v>Ibuprofen Tablets (100 MG)</v>
      </c>
      <c r="E104" s="31">
        <v>38.6</v>
      </c>
      <c r="F104" s="62">
        <f ca="1">IF(TODAY()&gt;=LOOKUP(C104,'QALS - Inspection Lot Record'!P:P,'QALS - Inspection Lot Record'!J:J)+RANDBETWEEN(0,1),LOOKUP(C104,'QALS - Inspection Lot Record'!P:P,'QALS - Inspection Lot Record'!J:J)+RANDBETWEEN(0,1),"")</f>
        <v>45922</v>
      </c>
      <c r="G104" s="2" t="s">
        <v>447</v>
      </c>
      <c r="H104" s="62">
        <f t="shared" ca="1" si="1"/>
        <v>45922</v>
      </c>
      <c r="I104" s="29" t="s">
        <v>448</v>
      </c>
    </row>
    <row r="105" spans="1:9" x14ac:dyDescent="0.35">
      <c r="A105" s="31">
        <v>200000558</v>
      </c>
      <c r="B105" s="31">
        <v>1010</v>
      </c>
      <c r="C105" s="31">
        <v>4104</v>
      </c>
      <c r="D105" s="29" t="str">
        <f>LOOKUP(CAPA!C105,'QALS - Inspection Lot Record'!P:P,'QALS - Inspection Lot Record'!O:O)</f>
        <v>Ibuprofen Tablets (100 MG)</v>
      </c>
      <c r="E105" s="31">
        <v>21.2</v>
      </c>
      <c r="F105" s="62">
        <f ca="1">IF(TODAY()&gt;=LOOKUP(C105,'QALS - Inspection Lot Record'!P:P,'QALS - Inspection Lot Record'!J:J)+RANDBETWEEN(0,1),LOOKUP(C105,'QALS - Inspection Lot Record'!P:P,'QALS - Inspection Lot Record'!J:J)+RANDBETWEEN(0,1),"")</f>
        <v>45921</v>
      </c>
      <c r="G105" s="2" t="s">
        <v>453</v>
      </c>
      <c r="H105" s="62">
        <f t="shared" ca="1" si="1"/>
        <v>45923</v>
      </c>
      <c r="I105" s="29" t="s">
        <v>454</v>
      </c>
    </row>
    <row r="106" spans="1:9" x14ac:dyDescent="0.35">
      <c r="A106" s="31">
        <v>200000559</v>
      </c>
      <c r="B106" s="31">
        <v>1010</v>
      </c>
      <c r="C106" s="31">
        <v>4107</v>
      </c>
      <c r="D106" s="29" t="str">
        <f>LOOKUP(CAPA!C106,'QALS - Inspection Lot Record'!P:P,'QALS - Inspection Lot Record'!O:O)</f>
        <v>Metformin Tablets (500 MG)</v>
      </c>
      <c r="E106" s="31">
        <v>93.3</v>
      </c>
      <c r="F106" s="62">
        <f ca="1">IF(TODAY()&gt;=LOOKUP(C106,'QALS - Inspection Lot Record'!P:P,'QALS - Inspection Lot Record'!J:J)+RANDBETWEEN(0,1),LOOKUP(C106,'QALS - Inspection Lot Record'!P:P,'QALS - Inspection Lot Record'!J:J)+RANDBETWEEN(0,1),"")</f>
        <v>45923</v>
      </c>
      <c r="G106" s="2" t="s">
        <v>441</v>
      </c>
      <c r="H106" s="62">
        <f t="shared" ca="1" si="1"/>
        <v>45925</v>
      </c>
      <c r="I106" s="29" t="s">
        <v>442</v>
      </c>
    </row>
    <row r="107" spans="1:9" x14ac:dyDescent="0.35">
      <c r="A107" s="31">
        <v>200000559</v>
      </c>
      <c r="B107" s="31">
        <v>1010</v>
      </c>
      <c r="C107" s="31">
        <v>4107</v>
      </c>
      <c r="D107" s="29" t="str">
        <f>LOOKUP(CAPA!C107,'QALS - Inspection Lot Record'!P:P,'QALS - Inspection Lot Record'!O:O)</f>
        <v>Metformin Tablets (500 MG)</v>
      </c>
      <c r="E107" s="31">
        <v>38.799999999999997</v>
      </c>
      <c r="F107" s="62">
        <f ca="1">IF(TODAY()&gt;=LOOKUP(C107,'QALS - Inspection Lot Record'!P:P,'QALS - Inspection Lot Record'!J:J)+RANDBETWEEN(0,1),LOOKUP(C107,'QALS - Inspection Lot Record'!P:P,'QALS - Inspection Lot Record'!J:J)+RANDBETWEEN(0,1),"")</f>
        <v>45924</v>
      </c>
      <c r="G107" s="2" t="s">
        <v>447</v>
      </c>
      <c r="H107" s="62">
        <f t="shared" ca="1" si="1"/>
        <v>45924</v>
      </c>
      <c r="I107" s="29" t="s">
        <v>448</v>
      </c>
    </row>
    <row r="108" spans="1:9" x14ac:dyDescent="0.35">
      <c r="A108" s="31">
        <v>200000559</v>
      </c>
      <c r="B108" s="31">
        <v>1010</v>
      </c>
      <c r="C108" s="31">
        <v>4107</v>
      </c>
      <c r="D108" s="29" t="str">
        <f>LOOKUP(CAPA!C108,'QALS - Inspection Lot Record'!P:P,'QALS - Inspection Lot Record'!O:O)</f>
        <v>Metformin Tablets (500 MG)</v>
      </c>
      <c r="E108" s="31">
        <v>78</v>
      </c>
      <c r="F108" s="62">
        <f ca="1">IF(TODAY()&gt;=LOOKUP(C108,'QALS - Inspection Lot Record'!P:P,'QALS - Inspection Lot Record'!J:J)+RANDBETWEEN(0,1),LOOKUP(C108,'QALS - Inspection Lot Record'!P:P,'QALS - Inspection Lot Record'!J:J)+RANDBETWEEN(0,1),"")</f>
        <v>45923</v>
      </c>
      <c r="G108" s="2" t="s">
        <v>447</v>
      </c>
      <c r="H108" s="62">
        <f t="shared" ca="1" si="1"/>
        <v>45925</v>
      </c>
      <c r="I108" s="29" t="s">
        <v>448</v>
      </c>
    </row>
    <row r="109" spans="1:9" x14ac:dyDescent="0.35">
      <c r="A109" s="31">
        <v>200000560</v>
      </c>
      <c r="B109" s="31">
        <v>1010</v>
      </c>
      <c r="C109" s="31">
        <v>4108</v>
      </c>
      <c r="D109" s="29" t="str">
        <f>LOOKUP(CAPA!C109,'QALS - Inspection Lot Record'!P:P,'QALS - Inspection Lot Record'!O:O)</f>
        <v>Metformin Tablets (200 MG)</v>
      </c>
      <c r="E109" s="31">
        <v>78.400000000000006</v>
      </c>
      <c r="F109" s="62">
        <f ca="1">IF(TODAY()&gt;=LOOKUP(C109,'QALS - Inspection Lot Record'!P:P,'QALS - Inspection Lot Record'!J:J)+RANDBETWEEN(0,1),LOOKUP(C109,'QALS - Inspection Lot Record'!P:P,'QALS - Inspection Lot Record'!J:J)+RANDBETWEEN(0,1),"")</f>
        <v>45923</v>
      </c>
      <c r="G109" s="2" t="s">
        <v>447</v>
      </c>
      <c r="H109" s="62">
        <f t="shared" ca="1" si="1"/>
        <v>45923</v>
      </c>
      <c r="I109" s="29" t="s">
        <v>448</v>
      </c>
    </row>
    <row r="110" spans="1:9" x14ac:dyDescent="0.35">
      <c r="A110" s="31">
        <v>200000560</v>
      </c>
      <c r="B110" s="31">
        <v>1010</v>
      </c>
      <c r="C110" s="31">
        <v>4108</v>
      </c>
      <c r="D110" s="29" t="str">
        <f>LOOKUP(CAPA!C110,'QALS - Inspection Lot Record'!P:P,'QALS - Inspection Lot Record'!O:O)</f>
        <v>Metformin Tablets (200 MG)</v>
      </c>
      <c r="E110" s="31">
        <v>21</v>
      </c>
      <c r="F110" s="62">
        <f ca="1">IF(TODAY()&gt;=LOOKUP(C110,'QALS - Inspection Lot Record'!P:P,'QALS - Inspection Lot Record'!J:J)+RANDBETWEEN(0,1),LOOKUP(C110,'QALS - Inspection Lot Record'!P:P,'QALS - Inspection Lot Record'!J:J)+RANDBETWEEN(0,1),"")</f>
        <v>45923</v>
      </c>
      <c r="G110" s="2" t="s">
        <v>453</v>
      </c>
      <c r="H110" s="62">
        <f t="shared" ca="1" si="1"/>
        <v>45925</v>
      </c>
      <c r="I110" s="29" t="s">
        <v>454</v>
      </c>
    </row>
    <row r="111" spans="1:9" x14ac:dyDescent="0.35">
      <c r="A111" s="31">
        <v>200000561</v>
      </c>
      <c r="B111" s="31">
        <v>1010</v>
      </c>
      <c r="C111" s="31">
        <v>4111</v>
      </c>
      <c r="D111" s="29" t="str">
        <f>LOOKUP(CAPA!C111,'QALS - Inspection Lot Record'!P:P,'QALS - Inspection Lot Record'!O:O)</f>
        <v>Metformin Tablets (100 MG)</v>
      </c>
      <c r="E111" s="31">
        <v>93.3</v>
      </c>
      <c r="F111" s="62">
        <f ca="1">IF(TODAY()&gt;=LOOKUP(C111,'QALS - Inspection Lot Record'!P:P,'QALS - Inspection Lot Record'!J:J)+RANDBETWEEN(0,1),LOOKUP(C111,'QALS - Inspection Lot Record'!P:P,'QALS - Inspection Lot Record'!J:J)+RANDBETWEEN(0,1),"")</f>
        <v>45926</v>
      </c>
      <c r="G111" s="2" t="s">
        <v>441</v>
      </c>
      <c r="H111" s="62">
        <f t="shared" ca="1" si="1"/>
        <v>45928</v>
      </c>
      <c r="I111" s="29" t="s">
        <v>442</v>
      </c>
    </row>
    <row r="112" spans="1:9" x14ac:dyDescent="0.35">
      <c r="A112" s="31">
        <v>200000561</v>
      </c>
      <c r="B112" s="31">
        <v>1010</v>
      </c>
      <c r="C112" s="31">
        <v>4111</v>
      </c>
      <c r="D112" s="29" t="str">
        <f>LOOKUP(CAPA!C112,'QALS - Inspection Lot Record'!P:P,'QALS - Inspection Lot Record'!O:O)</f>
        <v>Metformin Tablets (100 MG)</v>
      </c>
      <c r="E112" s="31">
        <v>2.2000000000000002</v>
      </c>
      <c r="F112" s="62">
        <f ca="1">IF(TODAY()&gt;=LOOKUP(C112,'QALS - Inspection Lot Record'!P:P,'QALS - Inspection Lot Record'!J:J)+RANDBETWEEN(0,1),LOOKUP(C112,'QALS - Inspection Lot Record'!P:P,'QALS - Inspection Lot Record'!J:J)+RANDBETWEEN(0,1),"")</f>
        <v>45926</v>
      </c>
      <c r="G112" s="2" t="s">
        <v>457</v>
      </c>
      <c r="H112" s="62">
        <f t="shared" ca="1" si="1"/>
        <v>45926</v>
      </c>
      <c r="I112" s="29" t="s">
        <v>458</v>
      </c>
    </row>
    <row r="113" spans="1:9" x14ac:dyDescent="0.35">
      <c r="A113" s="31">
        <v>200000561</v>
      </c>
      <c r="B113" s="31">
        <v>1010</v>
      </c>
      <c r="C113" s="31">
        <v>4111</v>
      </c>
      <c r="D113" s="29" t="str">
        <f>LOOKUP(CAPA!C113,'QALS - Inspection Lot Record'!P:P,'QALS - Inspection Lot Record'!O:O)</f>
        <v>Metformin Tablets (100 MG)</v>
      </c>
      <c r="E113" s="31">
        <v>69</v>
      </c>
      <c r="F113" s="62">
        <f ca="1">IF(TODAY()&gt;=LOOKUP(C113,'QALS - Inspection Lot Record'!P:P,'QALS - Inspection Lot Record'!J:J)+RANDBETWEEN(0,1),LOOKUP(C113,'QALS - Inspection Lot Record'!P:P,'QALS - Inspection Lot Record'!J:J)+RANDBETWEEN(0,1),"")</f>
        <v>45925</v>
      </c>
      <c r="G113" s="2" t="s">
        <v>447</v>
      </c>
      <c r="H113" s="62">
        <f t="shared" ca="1" si="1"/>
        <v>45925</v>
      </c>
      <c r="I113" s="29" t="s">
        <v>448</v>
      </c>
    </row>
    <row r="114" spans="1:9" x14ac:dyDescent="0.35">
      <c r="A114" s="31">
        <v>200000561</v>
      </c>
      <c r="B114" s="31">
        <v>1010</v>
      </c>
      <c r="C114" s="31">
        <v>4111</v>
      </c>
      <c r="D114" s="29" t="str">
        <f>LOOKUP(CAPA!C114,'QALS - Inspection Lot Record'!P:P,'QALS - Inspection Lot Record'!O:O)</f>
        <v>Metformin Tablets (100 MG)</v>
      </c>
      <c r="E114" s="31">
        <v>78.7</v>
      </c>
      <c r="F114" s="62">
        <f ca="1">IF(TODAY()&gt;=LOOKUP(C114,'QALS - Inspection Lot Record'!P:P,'QALS - Inspection Lot Record'!J:J)+RANDBETWEEN(0,1),LOOKUP(C114,'QALS - Inspection Lot Record'!P:P,'QALS - Inspection Lot Record'!J:J)+RANDBETWEEN(0,1),"")</f>
        <v>45925</v>
      </c>
      <c r="G114" s="2" t="s">
        <v>447</v>
      </c>
      <c r="H114" s="62">
        <f t="shared" ca="1" si="1"/>
        <v>45927</v>
      </c>
      <c r="I114" s="29" t="s">
        <v>448</v>
      </c>
    </row>
    <row r="115" spans="1:9" x14ac:dyDescent="0.35">
      <c r="A115" s="31">
        <v>200000562</v>
      </c>
      <c r="B115" s="31">
        <v>1010</v>
      </c>
      <c r="C115" s="31">
        <v>4112</v>
      </c>
      <c r="D115" s="29" t="str">
        <f>LOOKUP(CAPA!C115,'QALS - Inspection Lot Record'!P:P,'QALS - Inspection Lot Record'!O:O)</f>
        <v>Ibuprofen Tablets (100 MG)</v>
      </c>
      <c r="E115" s="31">
        <v>93.5</v>
      </c>
      <c r="F115" s="62">
        <f ca="1">IF(TODAY()&gt;=LOOKUP(C115,'QALS - Inspection Lot Record'!P:P,'QALS - Inspection Lot Record'!J:J)+RANDBETWEEN(0,1),LOOKUP(C115,'QALS - Inspection Lot Record'!P:P,'QALS - Inspection Lot Record'!J:J)+RANDBETWEEN(0,1),"")</f>
        <v>45926</v>
      </c>
      <c r="G115" s="2" t="s">
        <v>441</v>
      </c>
      <c r="H115" s="62">
        <f t="shared" ca="1" si="1"/>
        <v>45926</v>
      </c>
      <c r="I115" s="29" t="s">
        <v>442</v>
      </c>
    </row>
    <row r="116" spans="1:9" x14ac:dyDescent="0.35">
      <c r="A116" s="31">
        <v>200000562</v>
      </c>
      <c r="B116" s="31">
        <v>1010</v>
      </c>
      <c r="C116" s="31">
        <v>4112</v>
      </c>
      <c r="D116" s="29" t="str">
        <f>LOOKUP(CAPA!C116,'QALS - Inspection Lot Record'!P:P,'QALS - Inspection Lot Record'!O:O)</f>
        <v>Ibuprofen Tablets (100 MG)</v>
      </c>
      <c r="E116" s="31">
        <v>2.4</v>
      </c>
      <c r="F116" s="62">
        <f ca="1">IF(TODAY()&gt;=LOOKUP(C116,'QALS - Inspection Lot Record'!P:P,'QALS - Inspection Lot Record'!J:J)+RANDBETWEEN(0,1),LOOKUP(C116,'QALS - Inspection Lot Record'!P:P,'QALS - Inspection Lot Record'!J:J)+RANDBETWEEN(0,1),"")</f>
        <v>45926</v>
      </c>
      <c r="G116" s="2" t="s">
        <v>457</v>
      </c>
      <c r="H116" s="62">
        <f t="shared" ca="1" si="1"/>
        <v>45928</v>
      </c>
      <c r="I116" s="29" t="s">
        <v>458</v>
      </c>
    </row>
    <row r="117" spans="1:9" x14ac:dyDescent="0.35">
      <c r="A117" s="31">
        <v>200000562</v>
      </c>
      <c r="B117" s="31">
        <v>1010</v>
      </c>
      <c r="C117" s="31">
        <v>4112</v>
      </c>
      <c r="D117" s="29" t="str">
        <f>LOOKUP(CAPA!C117,'QALS - Inspection Lot Record'!P:P,'QALS - Inspection Lot Record'!O:O)</f>
        <v>Ibuprofen Tablets (100 MG)</v>
      </c>
      <c r="E117" s="31">
        <v>63</v>
      </c>
      <c r="F117" s="62">
        <f ca="1">IF(TODAY()&gt;=LOOKUP(C117,'QALS - Inspection Lot Record'!P:P,'QALS - Inspection Lot Record'!J:J)+RANDBETWEEN(0,1),LOOKUP(C117,'QALS - Inspection Lot Record'!P:P,'QALS - Inspection Lot Record'!J:J)+RANDBETWEEN(0,1),"")</f>
        <v>45926</v>
      </c>
      <c r="G117" s="2" t="s">
        <v>465</v>
      </c>
      <c r="H117" s="62">
        <f t="shared" ca="1" si="1"/>
        <v>45926</v>
      </c>
      <c r="I117" s="29" t="s">
        <v>448</v>
      </c>
    </row>
    <row r="118" spans="1:9" x14ac:dyDescent="0.35">
      <c r="A118" s="31">
        <v>200000562</v>
      </c>
      <c r="B118" s="31">
        <v>1010</v>
      </c>
      <c r="C118" s="31">
        <v>4112</v>
      </c>
      <c r="D118" s="29" t="str">
        <f>LOOKUP(CAPA!C118,'QALS - Inspection Lot Record'!P:P,'QALS - Inspection Lot Record'!O:O)</f>
        <v>Ibuprofen Tablets (100 MG)</v>
      </c>
      <c r="E118" s="31">
        <v>21.8</v>
      </c>
      <c r="F118" s="62">
        <f ca="1">IF(TODAY()&gt;=LOOKUP(C118,'QALS - Inspection Lot Record'!P:P,'QALS - Inspection Lot Record'!J:J)+RANDBETWEEN(0,1),LOOKUP(C118,'QALS - Inspection Lot Record'!P:P,'QALS - Inspection Lot Record'!J:J)+RANDBETWEEN(0,1),"")</f>
        <v>45925</v>
      </c>
      <c r="G118" s="2" t="s">
        <v>453</v>
      </c>
      <c r="H118" s="62">
        <f t="shared" ca="1" si="1"/>
        <v>45925</v>
      </c>
      <c r="I118" s="29" t="s">
        <v>454</v>
      </c>
    </row>
    <row r="119" spans="1:9" x14ac:dyDescent="0.35">
      <c r="A119" s="31">
        <v>200000563</v>
      </c>
      <c r="B119" s="31">
        <v>1010</v>
      </c>
      <c r="C119" s="31">
        <v>4115</v>
      </c>
      <c r="D119" s="29" t="str">
        <f>LOOKUP(CAPA!C119,'QALS - Inspection Lot Record'!P:P,'QALS - Inspection Lot Record'!O:O)</f>
        <v>Ibuprofen Tablets (100 MG)</v>
      </c>
      <c r="E119" s="31">
        <v>93.1</v>
      </c>
      <c r="F119" s="62">
        <f ca="1">IF(TODAY()&gt;=LOOKUP(C119,'QALS - Inspection Lot Record'!P:P,'QALS - Inspection Lot Record'!J:J)+RANDBETWEEN(0,1),LOOKUP(C119,'QALS - Inspection Lot Record'!P:P,'QALS - Inspection Lot Record'!J:J)+RANDBETWEEN(0,1),"")</f>
        <v>45927</v>
      </c>
      <c r="G119" s="2" t="s">
        <v>441</v>
      </c>
      <c r="H119" s="62">
        <f t="shared" ca="1" si="1"/>
        <v>45929</v>
      </c>
      <c r="I119" s="29" t="s">
        <v>442</v>
      </c>
    </row>
    <row r="120" spans="1:9" x14ac:dyDescent="0.35">
      <c r="A120" s="31">
        <v>200000563</v>
      </c>
      <c r="B120" s="31">
        <v>1010</v>
      </c>
      <c r="C120" s="31">
        <v>4115</v>
      </c>
      <c r="D120" s="29" t="str">
        <f>LOOKUP(CAPA!C120,'QALS - Inspection Lot Record'!P:P,'QALS - Inspection Lot Record'!O:O)</f>
        <v>Ibuprofen Tablets (100 MG)</v>
      </c>
      <c r="E120" s="31">
        <v>1.8</v>
      </c>
      <c r="F120" s="62">
        <f ca="1">IF(TODAY()&gt;=LOOKUP(C120,'QALS - Inspection Lot Record'!P:P,'QALS - Inspection Lot Record'!J:J)+RANDBETWEEN(0,1),LOOKUP(C120,'QALS - Inspection Lot Record'!P:P,'QALS - Inspection Lot Record'!J:J)+RANDBETWEEN(0,1),"")</f>
        <v>45927</v>
      </c>
      <c r="G120" s="2" t="s">
        <v>443</v>
      </c>
      <c r="H120" s="62">
        <f t="shared" ca="1" si="1"/>
        <v>45927</v>
      </c>
      <c r="I120" s="29" t="s">
        <v>444</v>
      </c>
    </row>
    <row r="121" spans="1:9" x14ac:dyDescent="0.35">
      <c r="A121" s="31">
        <v>200000563</v>
      </c>
      <c r="B121" s="31">
        <v>1010</v>
      </c>
      <c r="C121" s="31">
        <v>4115</v>
      </c>
      <c r="D121" s="29" t="str">
        <f>LOOKUP(CAPA!C121,'QALS - Inspection Lot Record'!P:P,'QALS - Inspection Lot Record'!O:O)</f>
        <v>Ibuprofen Tablets (100 MG)</v>
      </c>
      <c r="E121" s="31">
        <v>78.3</v>
      </c>
      <c r="F121" s="62">
        <f ca="1">IF(TODAY()&gt;=LOOKUP(C121,'QALS - Inspection Lot Record'!P:P,'QALS - Inspection Lot Record'!J:J)+RANDBETWEEN(0,1),LOOKUP(C121,'QALS - Inspection Lot Record'!P:P,'QALS - Inspection Lot Record'!J:J)+RANDBETWEEN(0,1),"")</f>
        <v>45928</v>
      </c>
      <c r="G121" s="2" t="s">
        <v>447</v>
      </c>
      <c r="H121" s="62">
        <f t="shared" ca="1" si="1"/>
        <v>45928</v>
      </c>
      <c r="I121" s="29" t="s">
        <v>448</v>
      </c>
    </row>
    <row r="122" spans="1:9" x14ac:dyDescent="0.35">
      <c r="A122" s="31">
        <v>200000564</v>
      </c>
      <c r="B122" s="31">
        <v>1010</v>
      </c>
      <c r="C122" s="31">
        <v>4116</v>
      </c>
      <c r="D122" s="29" t="str">
        <f>LOOKUP(CAPA!C122,'QALS - Inspection Lot Record'!P:P,'QALS - Inspection Lot Record'!O:O)</f>
        <v>Metformin Tablets (100 MG)</v>
      </c>
      <c r="E122" s="31">
        <v>2</v>
      </c>
      <c r="F122" s="62">
        <f ca="1">IF(TODAY()&gt;=LOOKUP(C122,'QALS - Inspection Lot Record'!P:P,'QALS - Inspection Lot Record'!J:J)+RANDBETWEEN(0,1),LOOKUP(C122,'QALS - Inspection Lot Record'!P:P,'QALS - Inspection Lot Record'!J:J)+RANDBETWEEN(0,1),"")</f>
        <v>45927</v>
      </c>
      <c r="G122" s="2" t="s">
        <v>457</v>
      </c>
      <c r="H122" s="62">
        <f t="shared" ca="1" si="1"/>
        <v>45927</v>
      </c>
      <c r="I122" s="29" t="s">
        <v>458</v>
      </c>
    </row>
    <row r="123" spans="1:9" x14ac:dyDescent="0.35">
      <c r="A123" s="31">
        <v>200000564</v>
      </c>
      <c r="B123" s="31">
        <v>1010</v>
      </c>
      <c r="C123" s="31">
        <v>4116</v>
      </c>
      <c r="D123" s="29" t="str">
        <f>LOOKUP(CAPA!C123,'QALS - Inspection Lot Record'!P:P,'QALS - Inspection Lot Record'!O:O)</f>
        <v>Metformin Tablets (100 MG)</v>
      </c>
      <c r="E123" s="31">
        <v>78.7</v>
      </c>
      <c r="F123" s="62">
        <f ca="1">IF(TODAY()&gt;=LOOKUP(C123,'QALS - Inspection Lot Record'!P:P,'QALS - Inspection Lot Record'!J:J)+RANDBETWEEN(0,1),LOOKUP(C123,'QALS - Inspection Lot Record'!P:P,'QALS - Inspection Lot Record'!J:J)+RANDBETWEEN(0,1),"")</f>
        <v>45928</v>
      </c>
      <c r="G123" s="2" t="s">
        <v>447</v>
      </c>
      <c r="H123" s="62">
        <f t="shared" ca="1" si="1"/>
        <v>45929</v>
      </c>
      <c r="I123" s="29" t="s">
        <v>448</v>
      </c>
    </row>
    <row r="124" spans="1:9" x14ac:dyDescent="0.35">
      <c r="A124" s="31">
        <v>200000564</v>
      </c>
      <c r="B124" s="31">
        <v>1010</v>
      </c>
      <c r="C124" s="31">
        <v>4116</v>
      </c>
      <c r="D124" s="29" t="str">
        <f>LOOKUP(CAPA!C124,'QALS - Inspection Lot Record'!P:P,'QALS - Inspection Lot Record'!O:O)</f>
        <v>Metformin Tablets (100 MG)</v>
      </c>
      <c r="E124" s="31">
        <v>21.5</v>
      </c>
      <c r="F124" s="62">
        <f ca="1">IF(TODAY()&gt;=LOOKUP(C124,'QALS - Inspection Lot Record'!P:P,'QALS - Inspection Lot Record'!J:J)+RANDBETWEEN(0,1),LOOKUP(C124,'QALS - Inspection Lot Record'!P:P,'QALS - Inspection Lot Record'!J:J)+RANDBETWEEN(0,1),"")</f>
        <v>45928</v>
      </c>
      <c r="G124" s="2" t="s">
        <v>453</v>
      </c>
      <c r="H124" s="62">
        <f t="shared" ca="1" si="1"/>
        <v>45928</v>
      </c>
      <c r="I124" s="29" t="s">
        <v>454</v>
      </c>
    </row>
    <row r="125" spans="1:9" x14ac:dyDescent="0.35">
      <c r="A125" s="31">
        <v>200000565</v>
      </c>
      <c r="B125" s="31">
        <v>1010</v>
      </c>
      <c r="C125" s="31">
        <v>4119</v>
      </c>
      <c r="D125" s="29" t="str">
        <f>LOOKUP(CAPA!C125,'QALS - Inspection Lot Record'!P:P,'QALS - Inspection Lot Record'!O:O)</f>
        <v>Ibuprofen Tablets (100 MG)</v>
      </c>
      <c r="E125" s="31">
        <v>93.2</v>
      </c>
      <c r="F125" s="62">
        <f ca="1">IF(TODAY()&gt;=LOOKUP(C125,'QALS - Inspection Lot Record'!P:P,'QALS - Inspection Lot Record'!J:J)+RANDBETWEEN(0,1),LOOKUP(C125,'QALS - Inspection Lot Record'!P:P,'QALS - Inspection Lot Record'!J:J)+RANDBETWEEN(0,1),"")</f>
        <v>45929</v>
      </c>
      <c r="G125" s="2" t="s">
        <v>441</v>
      </c>
      <c r="H125" s="62">
        <f t="shared" ca="1" si="1"/>
        <v>45931</v>
      </c>
      <c r="I125" s="29" t="s">
        <v>442</v>
      </c>
    </row>
    <row r="126" spans="1:9" x14ac:dyDescent="0.35">
      <c r="A126" s="31">
        <v>200000566</v>
      </c>
      <c r="B126" s="31">
        <v>1010</v>
      </c>
      <c r="C126" s="31">
        <v>4121</v>
      </c>
      <c r="D126" s="29" t="str">
        <f>LOOKUP(CAPA!C126,'QALS - Inspection Lot Record'!P:P,'QALS - Inspection Lot Record'!O:O)</f>
        <v>Aspirin Tablets (500 MG)</v>
      </c>
      <c r="E126" s="31">
        <v>93.5</v>
      </c>
      <c r="F126" s="62">
        <f ca="1">IF(TODAY()&gt;=LOOKUP(C126,'QALS - Inspection Lot Record'!P:P,'QALS - Inspection Lot Record'!J:J)+RANDBETWEEN(0,1),LOOKUP(C126,'QALS - Inspection Lot Record'!P:P,'QALS - Inspection Lot Record'!J:J)+RANDBETWEEN(0,1),"")</f>
        <v>45930</v>
      </c>
      <c r="G126" s="2" t="s">
        <v>441</v>
      </c>
      <c r="H126" s="62">
        <f t="shared" ca="1" si="1"/>
        <v>45930</v>
      </c>
      <c r="I126" s="29" t="s">
        <v>442</v>
      </c>
    </row>
    <row r="127" spans="1:9" x14ac:dyDescent="0.35">
      <c r="A127" s="31">
        <v>200000566</v>
      </c>
      <c r="B127" s="31">
        <v>1010</v>
      </c>
      <c r="C127" s="31">
        <v>4121</v>
      </c>
      <c r="D127" s="29" t="str">
        <f>LOOKUP(CAPA!C127,'QALS - Inspection Lot Record'!P:P,'QALS - Inspection Lot Record'!O:O)</f>
        <v>Aspirin Tablets (500 MG)</v>
      </c>
      <c r="E127" s="31">
        <v>3</v>
      </c>
      <c r="F127" s="62">
        <f ca="1">IF(TODAY()&gt;=LOOKUP(C127,'QALS - Inspection Lot Record'!P:P,'QALS - Inspection Lot Record'!J:J)+RANDBETWEEN(0,1),LOOKUP(C127,'QALS - Inspection Lot Record'!P:P,'QALS - Inspection Lot Record'!J:J)+RANDBETWEEN(0,1),"")</f>
        <v>45930</v>
      </c>
      <c r="G127" s="2" t="s">
        <v>459</v>
      </c>
      <c r="H127" s="62">
        <f t="shared" ca="1" si="1"/>
        <v>45931</v>
      </c>
      <c r="I127" s="29" t="s">
        <v>460</v>
      </c>
    </row>
    <row r="128" spans="1:9" x14ac:dyDescent="0.35">
      <c r="A128" s="31">
        <v>200000566</v>
      </c>
      <c r="B128" s="31">
        <v>1010</v>
      </c>
      <c r="C128" s="31">
        <v>4121</v>
      </c>
      <c r="D128" s="29" t="str">
        <f>LOOKUP(CAPA!C128,'QALS - Inspection Lot Record'!P:P,'QALS - Inspection Lot Record'!O:O)</f>
        <v>Aspirin Tablets (500 MG)</v>
      </c>
      <c r="E128" s="31">
        <v>38.700000000000003</v>
      </c>
      <c r="F128" s="62">
        <f ca="1">IF(TODAY()&gt;=LOOKUP(C128,'QALS - Inspection Lot Record'!P:P,'QALS - Inspection Lot Record'!J:J)+RANDBETWEEN(0,1),LOOKUP(C128,'QALS - Inspection Lot Record'!P:P,'QALS - Inspection Lot Record'!J:J)+RANDBETWEEN(0,1),"")</f>
        <v>45930</v>
      </c>
      <c r="G128" s="2" t="s">
        <v>447</v>
      </c>
      <c r="H128" s="62">
        <f t="shared" ca="1" si="1"/>
        <v>45932</v>
      </c>
      <c r="I128" s="29" t="s">
        <v>448</v>
      </c>
    </row>
    <row r="129" spans="1:9" x14ac:dyDescent="0.35">
      <c r="A129" s="31">
        <v>200000566</v>
      </c>
      <c r="B129" s="31">
        <v>1010</v>
      </c>
      <c r="C129" s="31">
        <v>4121</v>
      </c>
      <c r="D129" s="29" t="str">
        <f>LOOKUP(CAPA!C129,'QALS - Inspection Lot Record'!P:P,'QALS - Inspection Lot Record'!O:O)</f>
        <v>Aspirin Tablets (500 MG)</v>
      </c>
      <c r="E129" s="31">
        <v>21.9</v>
      </c>
      <c r="F129" s="62">
        <f ca="1">IF(TODAY()&gt;=LOOKUP(C129,'QALS - Inspection Lot Record'!P:P,'QALS - Inspection Lot Record'!J:J)+RANDBETWEEN(0,1),LOOKUP(C129,'QALS - Inspection Lot Record'!P:P,'QALS - Inspection Lot Record'!J:J)+RANDBETWEEN(0,1),"")</f>
        <v>45930</v>
      </c>
      <c r="G129" s="2" t="s">
        <v>453</v>
      </c>
      <c r="H129" s="62">
        <f t="shared" ca="1" si="1"/>
        <v>45931</v>
      </c>
      <c r="I129" s="29" t="s">
        <v>454</v>
      </c>
    </row>
    <row r="130" spans="1:9" x14ac:dyDescent="0.35">
      <c r="A130" s="31">
        <v>200000567</v>
      </c>
      <c r="B130" s="31">
        <v>1010</v>
      </c>
      <c r="C130" s="31">
        <v>4122</v>
      </c>
      <c r="D130" s="29" t="str">
        <f>LOOKUP(CAPA!C130,'QALS - Inspection Lot Record'!P:P,'QALS - Inspection Lot Record'!O:O)</f>
        <v>Metformin Tablets (100 MG)</v>
      </c>
      <c r="E130" s="31">
        <v>93.8</v>
      </c>
      <c r="F130" s="62">
        <f ca="1">IF(TODAY()&gt;=LOOKUP(C130,'QALS - Inspection Lot Record'!P:P,'QALS - Inspection Lot Record'!J:J)+RANDBETWEEN(0,1),LOOKUP(C130,'QALS - Inspection Lot Record'!P:P,'QALS - Inspection Lot Record'!J:J)+RANDBETWEEN(0,1),"")</f>
        <v>45931</v>
      </c>
      <c r="G130" s="2" t="s">
        <v>451</v>
      </c>
      <c r="H130" s="62">
        <f t="shared" ref="H130:H193" ca="1" si="2">IF(TODAY()&gt;=F130+RANDBETWEEN(0,2),F130+RANDBETWEEN(0,2),"")</f>
        <v>45933</v>
      </c>
      <c r="I130" s="29" t="s">
        <v>452</v>
      </c>
    </row>
    <row r="131" spans="1:9" x14ac:dyDescent="0.35">
      <c r="A131" s="31">
        <v>200000567</v>
      </c>
      <c r="B131" s="31">
        <v>1010</v>
      </c>
      <c r="C131" s="31">
        <v>4122</v>
      </c>
      <c r="D131" s="29" t="str">
        <f>LOOKUP(CAPA!C131,'QALS - Inspection Lot Record'!P:P,'QALS - Inspection Lot Record'!O:O)</f>
        <v>Metformin Tablets (100 MG)</v>
      </c>
      <c r="E131" s="31">
        <v>2.4</v>
      </c>
      <c r="F131" s="62">
        <f ca="1">IF(TODAY()&gt;=LOOKUP(C131,'QALS - Inspection Lot Record'!P:P,'QALS - Inspection Lot Record'!J:J)+RANDBETWEEN(0,1),LOOKUP(C131,'QALS - Inspection Lot Record'!P:P,'QALS - Inspection Lot Record'!J:J)+RANDBETWEEN(0,1),"")</f>
        <v>45930</v>
      </c>
      <c r="G131" s="2" t="s">
        <v>457</v>
      </c>
      <c r="H131" s="62">
        <f t="shared" ca="1" si="2"/>
        <v>45931</v>
      </c>
      <c r="I131" s="29" t="s">
        <v>458</v>
      </c>
    </row>
    <row r="132" spans="1:9" x14ac:dyDescent="0.35">
      <c r="A132" s="31">
        <v>200000567</v>
      </c>
      <c r="B132" s="31">
        <v>1010</v>
      </c>
      <c r="C132" s="31">
        <v>4122</v>
      </c>
      <c r="D132" s="29" t="str">
        <f>LOOKUP(CAPA!C132,'QALS - Inspection Lot Record'!P:P,'QALS - Inspection Lot Record'!O:O)</f>
        <v>Metformin Tablets (100 MG)</v>
      </c>
      <c r="E132" s="31">
        <v>1.2</v>
      </c>
      <c r="F132" s="62">
        <f ca="1">IF(TODAY()&gt;=LOOKUP(C132,'QALS - Inspection Lot Record'!P:P,'QALS - Inspection Lot Record'!J:J)+RANDBETWEEN(0,1),LOOKUP(C132,'QALS - Inspection Lot Record'!P:P,'QALS - Inspection Lot Record'!J:J)+RANDBETWEEN(0,1),"")</f>
        <v>45930</v>
      </c>
      <c r="G132" s="2" t="s">
        <v>445</v>
      </c>
      <c r="H132" s="62">
        <f t="shared" ca="1" si="2"/>
        <v>45931</v>
      </c>
      <c r="I132" s="29" t="s">
        <v>446</v>
      </c>
    </row>
    <row r="133" spans="1:9" x14ac:dyDescent="0.35">
      <c r="A133" s="31">
        <v>200000567</v>
      </c>
      <c r="B133" s="31">
        <v>1010</v>
      </c>
      <c r="C133" s="31">
        <v>4122</v>
      </c>
      <c r="D133" s="29" t="str">
        <f>LOOKUP(CAPA!C133,'QALS - Inspection Lot Record'!P:P,'QALS - Inspection Lot Record'!O:O)</f>
        <v>Metformin Tablets (100 MG)</v>
      </c>
      <c r="E133" s="31">
        <v>38.799999999999997</v>
      </c>
      <c r="F133" s="62">
        <f ca="1">IF(TODAY()&gt;=LOOKUP(C133,'QALS - Inspection Lot Record'!P:P,'QALS - Inspection Lot Record'!J:J)+RANDBETWEEN(0,1),LOOKUP(C133,'QALS - Inspection Lot Record'!P:P,'QALS - Inspection Lot Record'!J:J)+RANDBETWEEN(0,1),"")</f>
        <v>45931</v>
      </c>
      <c r="G133" s="2" t="s">
        <v>447</v>
      </c>
      <c r="H133" s="62">
        <f t="shared" ca="1" si="2"/>
        <v>45933</v>
      </c>
      <c r="I133" s="29" t="s">
        <v>448</v>
      </c>
    </row>
    <row r="134" spans="1:9" x14ac:dyDescent="0.35">
      <c r="A134" s="31">
        <v>200000568</v>
      </c>
      <c r="B134" s="31">
        <v>1010</v>
      </c>
      <c r="C134" s="31">
        <v>4123</v>
      </c>
      <c r="D134" s="29" t="str">
        <f>LOOKUP(CAPA!C134,'QALS - Inspection Lot Record'!P:P,'QALS - Inspection Lot Record'!O:O)</f>
        <v>Metformin Tablets (200 MG)</v>
      </c>
      <c r="E134" s="31">
        <v>4.9000000000000004</v>
      </c>
      <c r="F134" s="62">
        <f ca="1">IF(TODAY()&gt;=LOOKUP(C134,'QALS - Inspection Lot Record'!P:P,'QALS - Inspection Lot Record'!J:J)+RANDBETWEEN(0,1),LOOKUP(C134,'QALS - Inspection Lot Record'!P:P,'QALS - Inspection Lot Record'!J:J)+RANDBETWEEN(0,1),"")</f>
        <v>45931</v>
      </c>
      <c r="G134" s="2" t="s">
        <v>443</v>
      </c>
      <c r="H134" s="62">
        <f t="shared" ca="1" si="2"/>
        <v>45932</v>
      </c>
      <c r="I134" s="29" t="s">
        <v>444</v>
      </c>
    </row>
    <row r="135" spans="1:9" x14ac:dyDescent="0.35">
      <c r="A135" s="31">
        <v>200000568</v>
      </c>
      <c r="B135" s="31">
        <v>1010</v>
      </c>
      <c r="C135" s="31">
        <v>4123</v>
      </c>
      <c r="D135" s="29" t="str">
        <f>LOOKUP(CAPA!C135,'QALS - Inspection Lot Record'!P:P,'QALS - Inspection Lot Record'!O:O)</f>
        <v>Metformin Tablets (200 MG)</v>
      </c>
      <c r="E135" s="31">
        <v>21.3</v>
      </c>
      <c r="F135" s="62">
        <f ca="1">IF(TODAY()&gt;=LOOKUP(C135,'QALS - Inspection Lot Record'!P:P,'QALS - Inspection Lot Record'!J:J)+RANDBETWEEN(0,1),LOOKUP(C135,'QALS - Inspection Lot Record'!P:P,'QALS - Inspection Lot Record'!J:J)+RANDBETWEEN(0,1),"")</f>
        <v>45931</v>
      </c>
      <c r="G135" s="2" t="s">
        <v>453</v>
      </c>
      <c r="H135" s="62">
        <f t="shared" ca="1" si="2"/>
        <v>45931</v>
      </c>
      <c r="I135" s="29" t="s">
        <v>454</v>
      </c>
    </row>
    <row r="136" spans="1:9" x14ac:dyDescent="0.35">
      <c r="A136" s="31">
        <v>200000569</v>
      </c>
      <c r="B136" s="31">
        <v>1010</v>
      </c>
      <c r="C136" s="31">
        <v>4125</v>
      </c>
      <c r="D136" s="29" t="str">
        <f>LOOKUP(CAPA!C136,'QALS - Inspection Lot Record'!P:P,'QALS - Inspection Lot Record'!O:O)</f>
        <v>Aspirin Tablets (500 MG)</v>
      </c>
      <c r="E136" s="31">
        <v>93.3</v>
      </c>
      <c r="F136" s="62">
        <f ca="1">IF(TODAY()&gt;=LOOKUP(C136,'QALS - Inspection Lot Record'!P:P,'QALS - Inspection Lot Record'!J:J)+RANDBETWEEN(0,1),LOOKUP(C136,'QALS - Inspection Lot Record'!P:P,'QALS - Inspection Lot Record'!J:J)+RANDBETWEEN(0,1),"")</f>
        <v>45932</v>
      </c>
      <c r="G136" s="2" t="s">
        <v>441</v>
      </c>
      <c r="H136" s="62">
        <f t="shared" ca="1" si="2"/>
        <v>45932</v>
      </c>
      <c r="I136" s="29" t="s">
        <v>442</v>
      </c>
    </row>
    <row r="137" spans="1:9" x14ac:dyDescent="0.35">
      <c r="A137" s="31">
        <v>200000569</v>
      </c>
      <c r="B137" s="31">
        <v>1010</v>
      </c>
      <c r="C137" s="31">
        <v>4125</v>
      </c>
      <c r="D137" s="29" t="str">
        <f>LOOKUP(CAPA!C137,'QALS - Inspection Lot Record'!P:P,'QALS - Inspection Lot Record'!O:O)</f>
        <v>Aspirin Tablets (500 MG)</v>
      </c>
      <c r="E137" s="31">
        <v>38.1</v>
      </c>
      <c r="F137" s="62">
        <f ca="1">IF(TODAY()&gt;=LOOKUP(C137,'QALS - Inspection Lot Record'!P:P,'QALS - Inspection Lot Record'!J:J)+RANDBETWEEN(0,1),LOOKUP(C137,'QALS - Inspection Lot Record'!P:P,'QALS - Inspection Lot Record'!J:J)+RANDBETWEEN(0,1),"")</f>
        <v>45933</v>
      </c>
      <c r="G137" s="2" t="s">
        <v>449</v>
      </c>
      <c r="H137" s="62">
        <f t="shared" ca="1" si="2"/>
        <v>45933</v>
      </c>
      <c r="I137" s="29" t="s">
        <v>450</v>
      </c>
    </row>
    <row r="138" spans="1:9" x14ac:dyDescent="0.35">
      <c r="A138" s="31">
        <v>200000569</v>
      </c>
      <c r="B138" s="31">
        <v>1010</v>
      </c>
      <c r="C138" s="31">
        <v>4125</v>
      </c>
      <c r="D138" s="29" t="str">
        <f>LOOKUP(CAPA!C138,'QALS - Inspection Lot Record'!P:P,'QALS - Inspection Lot Record'!O:O)</f>
        <v>Aspirin Tablets (500 MG)</v>
      </c>
      <c r="E138" s="31">
        <v>68.599999999999994</v>
      </c>
      <c r="F138" s="62">
        <f ca="1">IF(TODAY()&gt;=LOOKUP(C138,'QALS - Inspection Lot Record'!P:P,'QALS - Inspection Lot Record'!J:J)+RANDBETWEEN(0,1),LOOKUP(C138,'QALS - Inspection Lot Record'!P:P,'QALS - Inspection Lot Record'!J:J)+RANDBETWEEN(0,1),"")</f>
        <v>45933</v>
      </c>
      <c r="G138" s="2" t="s">
        <v>447</v>
      </c>
      <c r="H138" s="62">
        <f t="shared" ca="1" si="2"/>
        <v>45933</v>
      </c>
      <c r="I138" s="29" t="s">
        <v>448</v>
      </c>
    </row>
    <row r="139" spans="1:9" x14ac:dyDescent="0.35">
      <c r="A139" s="31">
        <v>200000569</v>
      </c>
      <c r="B139" s="31">
        <v>1010</v>
      </c>
      <c r="C139" s="31">
        <v>4125</v>
      </c>
      <c r="D139" s="29" t="str">
        <f>LOOKUP(CAPA!C139,'QALS - Inspection Lot Record'!P:P,'QALS - Inspection Lot Record'!O:O)</f>
        <v>Aspirin Tablets (500 MG)</v>
      </c>
      <c r="E139" s="31">
        <v>78.900000000000006</v>
      </c>
      <c r="F139" s="62">
        <f ca="1">IF(TODAY()&gt;=LOOKUP(C139,'QALS - Inspection Lot Record'!P:P,'QALS - Inspection Lot Record'!J:J)+RANDBETWEEN(0,1),LOOKUP(C139,'QALS - Inspection Lot Record'!P:P,'QALS - Inspection Lot Record'!J:J)+RANDBETWEEN(0,1),"")</f>
        <v>45932</v>
      </c>
      <c r="G139" s="2" t="s">
        <v>447</v>
      </c>
      <c r="H139" s="62">
        <f t="shared" ca="1" si="2"/>
        <v>45933</v>
      </c>
      <c r="I139" s="29" t="s">
        <v>448</v>
      </c>
    </row>
    <row r="140" spans="1:9" x14ac:dyDescent="0.35">
      <c r="A140" s="31">
        <v>200000570</v>
      </c>
      <c r="B140" s="31">
        <v>1010</v>
      </c>
      <c r="C140" s="31">
        <v>4126</v>
      </c>
      <c r="D140" s="29" t="str">
        <f>LOOKUP(CAPA!C140,'QALS - Inspection Lot Record'!P:P,'QALS - Inspection Lot Record'!O:O)</f>
        <v>Metformin Tablets (100 MG)</v>
      </c>
      <c r="E140" s="31">
        <v>94</v>
      </c>
      <c r="F140" s="62">
        <f ca="1">IF(TODAY()&gt;=LOOKUP(C140,'QALS - Inspection Lot Record'!P:P,'QALS - Inspection Lot Record'!J:J)+RANDBETWEEN(0,1),LOOKUP(C140,'QALS - Inspection Lot Record'!P:P,'QALS - Inspection Lot Record'!J:J)+RANDBETWEEN(0,1),"")</f>
        <v>45932</v>
      </c>
      <c r="G140" s="2" t="s">
        <v>441</v>
      </c>
      <c r="H140" s="62">
        <f t="shared" ca="1" si="2"/>
        <v>45934</v>
      </c>
      <c r="I140" s="29" t="s">
        <v>442</v>
      </c>
    </row>
    <row r="141" spans="1:9" x14ac:dyDescent="0.35">
      <c r="A141" s="31">
        <v>200000570</v>
      </c>
      <c r="B141" s="31">
        <v>1010</v>
      </c>
      <c r="C141" s="31">
        <v>4126</v>
      </c>
      <c r="D141" s="29" t="str">
        <f>LOOKUP(CAPA!C141,'QALS - Inspection Lot Record'!P:P,'QALS - Inspection Lot Record'!O:O)</f>
        <v>Metformin Tablets (100 MG)</v>
      </c>
      <c r="E141" s="31">
        <v>2.1</v>
      </c>
      <c r="F141" s="62">
        <f ca="1">IF(TODAY()&gt;=LOOKUP(C141,'QALS - Inspection Lot Record'!P:P,'QALS - Inspection Lot Record'!J:J)+RANDBETWEEN(0,1),LOOKUP(C141,'QALS - Inspection Lot Record'!P:P,'QALS - Inspection Lot Record'!J:J)+RANDBETWEEN(0,1),"")</f>
        <v>45932</v>
      </c>
      <c r="G141" s="2" t="s">
        <v>457</v>
      </c>
      <c r="H141" s="62">
        <f t="shared" ca="1" si="2"/>
        <v>45932</v>
      </c>
      <c r="I141" s="29" t="s">
        <v>458</v>
      </c>
    </row>
    <row r="142" spans="1:9" x14ac:dyDescent="0.35">
      <c r="A142" s="31">
        <v>200000570</v>
      </c>
      <c r="B142" s="31">
        <v>1010</v>
      </c>
      <c r="C142" s="31">
        <v>4126</v>
      </c>
      <c r="D142" s="29" t="str">
        <f>LOOKUP(CAPA!C142,'QALS - Inspection Lot Record'!P:P,'QALS - Inspection Lot Record'!O:O)</f>
        <v>Metformin Tablets (100 MG)</v>
      </c>
      <c r="E142" s="31">
        <v>2</v>
      </c>
      <c r="F142" s="62">
        <f ca="1">IF(TODAY()&gt;=LOOKUP(C142,'QALS - Inspection Lot Record'!P:P,'QALS - Inspection Lot Record'!J:J)+RANDBETWEEN(0,1),LOOKUP(C142,'QALS - Inspection Lot Record'!P:P,'QALS - Inspection Lot Record'!J:J)+RANDBETWEEN(0,1),"")</f>
        <v>45933</v>
      </c>
      <c r="G142" s="2" t="s">
        <v>445</v>
      </c>
      <c r="H142" s="62">
        <f t="shared" ca="1" si="2"/>
        <v>45935</v>
      </c>
      <c r="I142" s="29" t="s">
        <v>446</v>
      </c>
    </row>
    <row r="143" spans="1:9" x14ac:dyDescent="0.35">
      <c r="A143" s="31">
        <v>200000570</v>
      </c>
      <c r="B143" s="31">
        <v>1010</v>
      </c>
      <c r="C143" s="31">
        <v>4126</v>
      </c>
      <c r="D143" s="29" t="str">
        <f>LOOKUP(CAPA!C143,'QALS - Inspection Lot Record'!P:P,'QALS - Inspection Lot Record'!O:O)</f>
        <v>Metformin Tablets (100 MG)</v>
      </c>
      <c r="E143" s="31">
        <v>62</v>
      </c>
      <c r="F143" s="62">
        <f ca="1">IF(TODAY()&gt;=LOOKUP(C143,'QALS - Inspection Lot Record'!P:P,'QALS - Inspection Lot Record'!J:J)+RANDBETWEEN(0,1),LOOKUP(C143,'QALS - Inspection Lot Record'!P:P,'QALS - Inspection Lot Record'!J:J)+RANDBETWEEN(0,1),"")</f>
        <v>45933</v>
      </c>
      <c r="G143" s="2" t="s">
        <v>465</v>
      </c>
      <c r="H143" s="62">
        <f t="shared" ca="1" si="2"/>
        <v>45934</v>
      </c>
      <c r="I143" s="29" t="s">
        <v>448</v>
      </c>
    </row>
    <row r="144" spans="1:9" x14ac:dyDescent="0.35">
      <c r="A144" s="31">
        <v>200000571</v>
      </c>
      <c r="B144" s="31">
        <v>1010</v>
      </c>
      <c r="C144" s="31">
        <v>4127</v>
      </c>
      <c r="D144" s="29" t="str">
        <f>LOOKUP(CAPA!C144,'QALS - Inspection Lot Record'!P:P,'QALS - Inspection Lot Record'!O:O)</f>
        <v>Aspirin Tablets (500 MG)</v>
      </c>
      <c r="E144" s="31">
        <v>68.900000000000006</v>
      </c>
      <c r="F144" s="62">
        <f ca="1">IF(TODAY()&gt;=LOOKUP(C144,'QALS - Inspection Lot Record'!P:P,'QALS - Inspection Lot Record'!J:J)+RANDBETWEEN(0,1),LOOKUP(C144,'QALS - Inspection Lot Record'!P:P,'QALS - Inspection Lot Record'!J:J)+RANDBETWEEN(0,1),"")</f>
        <v>45934</v>
      </c>
      <c r="G144" s="2" t="s">
        <v>447</v>
      </c>
      <c r="H144" s="62">
        <f t="shared" ca="1" si="2"/>
        <v>45936</v>
      </c>
      <c r="I144" s="29" t="s">
        <v>448</v>
      </c>
    </row>
    <row r="145" spans="1:9" x14ac:dyDescent="0.35">
      <c r="A145" s="31">
        <v>200000571</v>
      </c>
      <c r="B145" s="31">
        <v>1010</v>
      </c>
      <c r="C145" s="31">
        <v>4127</v>
      </c>
      <c r="D145" s="29" t="str">
        <f>LOOKUP(CAPA!C145,'QALS - Inspection Lot Record'!P:P,'QALS - Inspection Lot Record'!O:O)</f>
        <v>Aspirin Tablets (500 MG)</v>
      </c>
      <c r="E145" s="31">
        <v>21.8</v>
      </c>
      <c r="F145" s="62">
        <f ca="1">IF(TODAY()&gt;=LOOKUP(C145,'QALS - Inspection Lot Record'!P:P,'QALS - Inspection Lot Record'!J:J)+RANDBETWEEN(0,1),LOOKUP(C145,'QALS - Inspection Lot Record'!P:P,'QALS - Inspection Lot Record'!J:J)+RANDBETWEEN(0,1),"")</f>
        <v>45934</v>
      </c>
      <c r="G145" s="2" t="s">
        <v>453</v>
      </c>
      <c r="H145" s="62">
        <f t="shared" ca="1" si="2"/>
        <v>45935</v>
      </c>
      <c r="I145" s="29" t="s">
        <v>454</v>
      </c>
    </row>
    <row r="146" spans="1:9" x14ac:dyDescent="0.35">
      <c r="A146" s="31">
        <v>200000572</v>
      </c>
      <c r="B146" s="31">
        <v>1010</v>
      </c>
      <c r="C146" s="31">
        <v>4129</v>
      </c>
      <c r="D146" s="29" t="str">
        <f>LOOKUP(CAPA!C146,'QALS - Inspection Lot Record'!P:P,'QALS - Inspection Lot Record'!O:O)</f>
        <v>Metformin Tablets (100 MG)</v>
      </c>
      <c r="E146" s="31">
        <v>93.3</v>
      </c>
      <c r="F146" s="62">
        <f ca="1">IF(TODAY()&gt;=LOOKUP(C146,'QALS - Inspection Lot Record'!P:P,'QALS - Inspection Lot Record'!J:J)+RANDBETWEEN(0,1),LOOKUP(C146,'QALS - Inspection Lot Record'!P:P,'QALS - Inspection Lot Record'!J:J)+RANDBETWEEN(0,1),"")</f>
        <v>45934</v>
      </c>
      <c r="G146" s="2" t="s">
        <v>441</v>
      </c>
      <c r="H146" s="62">
        <f t="shared" ca="1" si="2"/>
        <v>45936</v>
      </c>
      <c r="I146" s="29" t="s">
        <v>442</v>
      </c>
    </row>
    <row r="147" spans="1:9" x14ac:dyDescent="0.35">
      <c r="A147" s="31">
        <v>200000573</v>
      </c>
      <c r="B147" s="31">
        <v>1010</v>
      </c>
      <c r="C147" s="31">
        <v>4131</v>
      </c>
      <c r="D147" s="29" t="str">
        <f>LOOKUP(CAPA!C147,'QALS - Inspection Lot Record'!P:P,'QALS - Inspection Lot Record'!O:O)</f>
        <v>Metformin Tablets (500 MG)</v>
      </c>
      <c r="E147" s="31">
        <v>21.1</v>
      </c>
      <c r="F147" s="62">
        <f ca="1">IF(TODAY()&gt;=LOOKUP(C147,'QALS - Inspection Lot Record'!P:P,'QALS - Inspection Lot Record'!J:J)+RANDBETWEEN(0,1),LOOKUP(C147,'QALS - Inspection Lot Record'!P:P,'QALS - Inspection Lot Record'!J:J)+RANDBETWEEN(0,1),"")</f>
        <v>45936</v>
      </c>
      <c r="G147" s="2" t="s">
        <v>453</v>
      </c>
      <c r="H147" s="62">
        <f t="shared" ca="1" si="2"/>
        <v>45937</v>
      </c>
      <c r="I147" s="29" t="s">
        <v>454</v>
      </c>
    </row>
    <row r="148" spans="1:9" x14ac:dyDescent="0.35">
      <c r="A148" s="31">
        <v>200000574</v>
      </c>
      <c r="B148" s="31">
        <v>1010</v>
      </c>
      <c r="C148" s="31">
        <v>4133</v>
      </c>
      <c r="D148" s="29" t="str">
        <f>LOOKUP(CAPA!C148,'QALS - Inspection Lot Record'!P:P,'QALS - Inspection Lot Record'!O:O)</f>
        <v>Metformin Tablets (100 MG)</v>
      </c>
      <c r="E148" s="31">
        <v>93.1</v>
      </c>
      <c r="F148" s="62">
        <f ca="1">IF(TODAY()&gt;=LOOKUP(C148,'QALS - Inspection Lot Record'!P:P,'QALS - Inspection Lot Record'!J:J)+RANDBETWEEN(0,1),LOOKUP(C148,'QALS - Inspection Lot Record'!P:P,'QALS - Inspection Lot Record'!J:J)+RANDBETWEEN(0,1),"")</f>
        <v>45937</v>
      </c>
      <c r="G148" s="2" t="s">
        <v>441</v>
      </c>
      <c r="H148" s="62">
        <f t="shared" ca="1" si="2"/>
        <v>45938</v>
      </c>
      <c r="I148" s="29" t="s">
        <v>442</v>
      </c>
    </row>
    <row r="149" spans="1:9" x14ac:dyDescent="0.35">
      <c r="A149" s="31">
        <v>200000575</v>
      </c>
      <c r="B149" s="31">
        <v>1010</v>
      </c>
      <c r="C149" s="31">
        <v>4135</v>
      </c>
      <c r="D149" s="29" t="str">
        <f>LOOKUP(CAPA!C149,'QALS - Inspection Lot Record'!P:P,'QALS - Inspection Lot Record'!O:O)</f>
        <v>Ibuprofen Tablets (100 MG)</v>
      </c>
      <c r="E149" s="31">
        <v>2.1</v>
      </c>
      <c r="F149" s="62">
        <f ca="1">IF(TODAY()&gt;=LOOKUP(C149,'QALS - Inspection Lot Record'!P:P,'QALS - Inspection Lot Record'!J:J)+RANDBETWEEN(0,1),LOOKUP(C149,'QALS - Inspection Lot Record'!P:P,'QALS - Inspection Lot Record'!J:J)+RANDBETWEEN(0,1),"")</f>
        <v>45937</v>
      </c>
      <c r="G149" s="2" t="s">
        <v>457</v>
      </c>
      <c r="H149" s="62">
        <f t="shared" ca="1" si="2"/>
        <v>45937</v>
      </c>
      <c r="I149" s="29" t="s">
        <v>458</v>
      </c>
    </row>
    <row r="150" spans="1:9" x14ac:dyDescent="0.35">
      <c r="A150" s="31">
        <v>200000575</v>
      </c>
      <c r="B150" s="31">
        <v>1010</v>
      </c>
      <c r="C150" s="31">
        <v>4135</v>
      </c>
      <c r="D150" s="29" t="str">
        <f>LOOKUP(CAPA!C150,'QALS - Inspection Lot Record'!P:P,'QALS - Inspection Lot Record'!O:O)</f>
        <v>Ibuprofen Tablets (100 MG)</v>
      </c>
      <c r="E150" s="31">
        <v>68.2</v>
      </c>
      <c r="F150" s="62">
        <f ca="1">IF(TODAY()&gt;=LOOKUP(C150,'QALS - Inspection Lot Record'!P:P,'QALS - Inspection Lot Record'!J:J)+RANDBETWEEN(0,1),LOOKUP(C150,'QALS - Inspection Lot Record'!P:P,'QALS - Inspection Lot Record'!J:J)+RANDBETWEEN(0,1),"")</f>
        <v>45937</v>
      </c>
      <c r="G150" s="2" t="s">
        <v>447</v>
      </c>
      <c r="H150" s="62">
        <f t="shared" ca="1" si="2"/>
        <v>45937</v>
      </c>
      <c r="I150" s="29" t="s">
        <v>448</v>
      </c>
    </row>
    <row r="151" spans="1:9" x14ac:dyDescent="0.35">
      <c r="A151" s="31">
        <v>200000575</v>
      </c>
      <c r="B151" s="31">
        <v>1010</v>
      </c>
      <c r="C151" s="31">
        <v>4135</v>
      </c>
      <c r="D151" s="29" t="str">
        <f>LOOKUP(CAPA!C151,'QALS - Inspection Lot Record'!P:P,'QALS - Inspection Lot Record'!O:O)</f>
        <v>Ibuprofen Tablets (100 MG)</v>
      </c>
      <c r="E151" s="31">
        <v>78.3</v>
      </c>
      <c r="F151" s="62">
        <f ca="1">IF(TODAY()&gt;=LOOKUP(C151,'QALS - Inspection Lot Record'!P:P,'QALS - Inspection Lot Record'!J:J)+RANDBETWEEN(0,1),LOOKUP(C151,'QALS - Inspection Lot Record'!P:P,'QALS - Inspection Lot Record'!J:J)+RANDBETWEEN(0,1),"")</f>
        <v>45937</v>
      </c>
      <c r="G151" s="2" t="s">
        <v>447</v>
      </c>
      <c r="H151" s="62">
        <f t="shared" ca="1" si="2"/>
        <v>45937</v>
      </c>
      <c r="I151" s="29" t="s">
        <v>448</v>
      </c>
    </row>
    <row r="152" spans="1:9" x14ac:dyDescent="0.35">
      <c r="A152" s="31">
        <v>200000575</v>
      </c>
      <c r="B152" s="31">
        <v>1010</v>
      </c>
      <c r="C152" s="31">
        <v>4135</v>
      </c>
      <c r="D152" s="29" t="str">
        <f>LOOKUP(CAPA!C152,'QALS - Inspection Lot Record'!P:P,'QALS - Inspection Lot Record'!O:O)</f>
        <v>Ibuprofen Tablets (100 MG)</v>
      </c>
      <c r="E152" s="31">
        <v>22</v>
      </c>
      <c r="F152" s="62">
        <f ca="1">IF(TODAY()&gt;=LOOKUP(C152,'QALS - Inspection Lot Record'!P:P,'QALS - Inspection Lot Record'!J:J)+RANDBETWEEN(0,1),LOOKUP(C152,'QALS - Inspection Lot Record'!P:P,'QALS - Inspection Lot Record'!J:J)+RANDBETWEEN(0,1),"")</f>
        <v>45938</v>
      </c>
      <c r="G152" s="2" t="s">
        <v>453</v>
      </c>
      <c r="H152" s="62">
        <f t="shared" ca="1" si="2"/>
        <v>45939</v>
      </c>
      <c r="I152" s="29" t="s">
        <v>454</v>
      </c>
    </row>
    <row r="153" spans="1:9" x14ac:dyDescent="0.35">
      <c r="A153" s="31">
        <v>200000576</v>
      </c>
      <c r="B153" s="31">
        <v>1010</v>
      </c>
      <c r="C153" s="31">
        <v>4136</v>
      </c>
      <c r="D153" s="29" t="str">
        <f>LOOKUP(CAPA!C153,'QALS - Inspection Lot Record'!P:P,'QALS - Inspection Lot Record'!O:O)</f>
        <v>Metformin Tablets (200 MG)</v>
      </c>
      <c r="E153" s="31">
        <v>38.9</v>
      </c>
      <c r="F153" s="62">
        <f ca="1">IF(TODAY()&gt;=LOOKUP(C153,'QALS - Inspection Lot Record'!P:P,'QALS - Inspection Lot Record'!J:J)+RANDBETWEEN(0,1),LOOKUP(C153,'QALS - Inspection Lot Record'!P:P,'QALS - Inspection Lot Record'!J:J)+RANDBETWEEN(0,1),"")</f>
        <v>45938</v>
      </c>
      <c r="G153" s="2" t="s">
        <v>447</v>
      </c>
      <c r="H153" s="62">
        <f t="shared" ca="1" si="2"/>
        <v>45938</v>
      </c>
      <c r="I153" s="29" t="s">
        <v>448</v>
      </c>
    </row>
    <row r="154" spans="1:9" x14ac:dyDescent="0.35">
      <c r="A154" s="31">
        <v>200000577</v>
      </c>
      <c r="B154" s="31">
        <v>1010</v>
      </c>
      <c r="C154" s="31">
        <v>4137</v>
      </c>
      <c r="D154" s="29" t="str">
        <f>LOOKUP(CAPA!C154,'QALS - Inspection Lot Record'!P:P,'QALS - Inspection Lot Record'!O:O)</f>
        <v>Metformin Tablets (100 MG)</v>
      </c>
      <c r="E154" s="31">
        <v>93.2</v>
      </c>
      <c r="F154" s="62">
        <f ca="1">IF(TODAY()&gt;=LOOKUP(C154,'QALS - Inspection Lot Record'!P:P,'QALS - Inspection Lot Record'!J:J)+RANDBETWEEN(0,1),LOOKUP(C154,'QALS - Inspection Lot Record'!P:P,'QALS - Inspection Lot Record'!J:J)+RANDBETWEEN(0,1),"")</f>
        <v>45938</v>
      </c>
      <c r="G154" s="2" t="s">
        <v>441</v>
      </c>
      <c r="H154" s="62">
        <f t="shared" ca="1" si="2"/>
        <v>45938</v>
      </c>
      <c r="I154" s="29" t="s">
        <v>442</v>
      </c>
    </row>
    <row r="155" spans="1:9" x14ac:dyDescent="0.35">
      <c r="A155" s="31">
        <v>200000578</v>
      </c>
      <c r="B155" s="31">
        <v>1010</v>
      </c>
      <c r="C155" s="31">
        <v>4138</v>
      </c>
      <c r="D155" s="29" t="str">
        <f>LOOKUP(CAPA!C155,'QALS - Inspection Lot Record'!P:P,'QALS - Inspection Lot Record'!O:O)</f>
        <v>Ibuprofen Tablets (100 MG)</v>
      </c>
      <c r="E155" s="31">
        <v>93.5</v>
      </c>
      <c r="F155" s="62">
        <f ca="1">IF(TODAY()&gt;=LOOKUP(C155,'QALS - Inspection Lot Record'!P:P,'QALS - Inspection Lot Record'!J:J)+RANDBETWEEN(0,1),LOOKUP(C155,'QALS - Inspection Lot Record'!P:P,'QALS - Inspection Lot Record'!J:J)+RANDBETWEEN(0,1),"")</f>
        <v>45938</v>
      </c>
      <c r="G155" s="2" t="s">
        <v>441</v>
      </c>
      <c r="H155" s="62">
        <f t="shared" ca="1" si="2"/>
        <v>45940</v>
      </c>
      <c r="I155" s="29" t="s">
        <v>442</v>
      </c>
    </row>
    <row r="156" spans="1:9" x14ac:dyDescent="0.35">
      <c r="A156" s="31">
        <v>200000579</v>
      </c>
      <c r="B156" s="31">
        <v>1010</v>
      </c>
      <c r="C156" s="31">
        <v>4139</v>
      </c>
      <c r="D156" s="29" t="str">
        <f>LOOKUP(CAPA!C156,'QALS - Inspection Lot Record'!P:P,'QALS - Inspection Lot Record'!O:O)</f>
        <v>Ibuprofen Tablets (100 MG)</v>
      </c>
      <c r="E156" s="31">
        <v>21.7</v>
      </c>
      <c r="F156" s="62">
        <f ca="1">IF(TODAY()&gt;=LOOKUP(C156,'QALS - Inspection Lot Record'!P:P,'QALS - Inspection Lot Record'!J:J)+RANDBETWEEN(0,1),LOOKUP(C156,'QALS - Inspection Lot Record'!P:P,'QALS - Inspection Lot Record'!J:J)+RANDBETWEEN(0,1),"")</f>
        <v>45939</v>
      </c>
      <c r="G156" s="2" t="s">
        <v>453</v>
      </c>
      <c r="H156" s="62">
        <f t="shared" ca="1" si="2"/>
        <v>45941</v>
      </c>
      <c r="I156" s="29" t="s">
        <v>454</v>
      </c>
    </row>
    <row r="157" spans="1:9" x14ac:dyDescent="0.35">
      <c r="A157" s="31">
        <v>200000580</v>
      </c>
      <c r="B157" s="31">
        <v>1010</v>
      </c>
      <c r="C157" s="31">
        <v>4141</v>
      </c>
      <c r="D157" s="29" t="str">
        <f>LOOKUP(CAPA!C157,'QALS - Inspection Lot Record'!P:P,'QALS - Inspection Lot Record'!O:O)</f>
        <v>Metformin Tablets (200 MG)</v>
      </c>
      <c r="E157" s="31">
        <v>2.1</v>
      </c>
      <c r="F157" s="62">
        <f ca="1">IF(TODAY()&gt;=LOOKUP(C157,'QALS - Inspection Lot Record'!P:P,'QALS - Inspection Lot Record'!J:J)+RANDBETWEEN(0,1),LOOKUP(C157,'QALS - Inspection Lot Record'!P:P,'QALS - Inspection Lot Record'!J:J)+RANDBETWEEN(0,1),"")</f>
        <v>45941</v>
      </c>
      <c r="G157" s="2" t="s">
        <v>445</v>
      </c>
      <c r="H157" s="62">
        <f t="shared" ca="1" si="2"/>
        <v>45942</v>
      </c>
      <c r="I157" s="29" t="s">
        <v>446</v>
      </c>
    </row>
    <row r="158" spans="1:9" x14ac:dyDescent="0.35">
      <c r="A158" s="31">
        <v>200000581</v>
      </c>
      <c r="B158" s="31">
        <v>1010</v>
      </c>
      <c r="C158" s="31">
        <v>4143</v>
      </c>
      <c r="D158" s="29" t="str">
        <f>LOOKUP(CAPA!C158,'QALS - Inspection Lot Record'!P:P,'QALS - Inspection Lot Record'!O:O)</f>
        <v>Metformin Tablets (500 MG)</v>
      </c>
      <c r="E158" s="31">
        <v>1.8</v>
      </c>
      <c r="F158" s="62">
        <f ca="1">IF(TODAY()&gt;=LOOKUP(C158,'QALS - Inspection Lot Record'!P:P,'QALS - Inspection Lot Record'!J:J)+RANDBETWEEN(0,1),LOOKUP(C158,'QALS - Inspection Lot Record'!P:P,'QALS - Inspection Lot Record'!J:J)+RANDBETWEEN(0,1),"")</f>
        <v>45941</v>
      </c>
      <c r="G158" s="2" t="s">
        <v>443</v>
      </c>
      <c r="H158" s="62">
        <f t="shared" ca="1" si="2"/>
        <v>45943</v>
      </c>
      <c r="I158" s="29" t="s">
        <v>444</v>
      </c>
    </row>
    <row r="159" spans="1:9" x14ac:dyDescent="0.35">
      <c r="A159" s="31">
        <v>200000582</v>
      </c>
      <c r="B159" s="31">
        <v>1010</v>
      </c>
      <c r="C159" s="31">
        <v>4147</v>
      </c>
      <c r="D159" s="29" t="str">
        <f>LOOKUP(CAPA!C159,'QALS - Inspection Lot Record'!P:P,'QALS - Inspection Lot Record'!O:O)</f>
        <v>Aspirin Tablets (500 MG)</v>
      </c>
      <c r="E159" s="31">
        <v>93.9</v>
      </c>
      <c r="F159" s="62">
        <f ca="1">IF(TODAY()&gt;=LOOKUP(C159,'QALS - Inspection Lot Record'!P:P,'QALS - Inspection Lot Record'!J:J)+RANDBETWEEN(0,1),LOOKUP(C159,'QALS - Inspection Lot Record'!P:P,'QALS - Inspection Lot Record'!J:J)+RANDBETWEEN(0,1),"")</f>
        <v>45944</v>
      </c>
      <c r="G159" s="2" t="s">
        <v>451</v>
      </c>
      <c r="H159" s="62">
        <f t="shared" ca="1" si="2"/>
        <v>45946</v>
      </c>
      <c r="I159" s="29" t="s">
        <v>452</v>
      </c>
    </row>
    <row r="160" spans="1:9" x14ac:dyDescent="0.35">
      <c r="A160" s="31">
        <v>200000582</v>
      </c>
      <c r="B160" s="31">
        <v>1010</v>
      </c>
      <c r="C160" s="31">
        <v>4147</v>
      </c>
      <c r="D160" s="29" t="str">
        <f>LOOKUP(CAPA!C160,'QALS - Inspection Lot Record'!P:P,'QALS - Inspection Lot Record'!O:O)</f>
        <v>Aspirin Tablets (500 MG)</v>
      </c>
      <c r="E160" s="31">
        <v>2.4</v>
      </c>
      <c r="F160" s="62">
        <f ca="1">IF(TODAY()&gt;=LOOKUP(C160,'QALS - Inspection Lot Record'!P:P,'QALS - Inspection Lot Record'!J:J)+RANDBETWEEN(0,1),LOOKUP(C160,'QALS - Inspection Lot Record'!P:P,'QALS - Inspection Lot Record'!J:J)+RANDBETWEEN(0,1),"")</f>
        <v>45943</v>
      </c>
      <c r="G160" s="2" t="s">
        <v>457</v>
      </c>
      <c r="H160" s="62">
        <f t="shared" ca="1" si="2"/>
        <v>45944</v>
      </c>
      <c r="I160" s="29" t="s">
        <v>458</v>
      </c>
    </row>
    <row r="161" spans="1:9" x14ac:dyDescent="0.35">
      <c r="A161" s="31">
        <v>200000583</v>
      </c>
      <c r="B161" s="31">
        <v>1010</v>
      </c>
      <c r="C161" s="31">
        <v>4148</v>
      </c>
      <c r="D161" s="29" t="str">
        <f>LOOKUP(CAPA!C161,'QALS - Inspection Lot Record'!P:P,'QALS - Inspection Lot Record'!O:O)</f>
        <v>Metformin Tablets (200 MG)</v>
      </c>
      <c r="E161" s="31">
        <v>68.2</v>
      </c>
      <c r="F161" s="62">
        <f ca="1">IF(TODAY()&gt;=LOOKUP(C161,'QALS - Inspection Lot Record'!P:P,'QALS - Inspection Lot Record'!J:J)+RANDBETWEEN(0,1),LOOKUP(C161,'QALS - Inspection Lot Record'!P:P,'QALS - Inspection Lot Record'!J:J)+RANDBETWEEN(0,1),"")</f>
        <v>45943</v>
      </c>
      <c r="G161" s="2" t="s">
        <v>447</v>
      </c>
      <c r="H161" s="62">
        <f t="shared" ca="1" si="2"/>
        <v>45943</v>
      </c>
      <c r="I161" s="29" t="s">
        <v>448</v>
      </c>
    </row>
    <row r="162" spans="1:9" x14ac:dyDescent="0.35">
      <c r="A162" s="31">
        <v>200000584</v>
      </c>
      <c r="B162" s="31">
        <v>1010</v>
      </c>
      <c r="C162" s="31">
        <v>4157</v>
      </c>
      <c r="D162" s="29" t="str">
        <f>LOOKUP(CAPA!C162,'QALS - Inspection Lot Record'!P:P,'QALS - Inspection Lot Record'!O:O)</f>
        <v>Metformin Tablets (500 MG)</v>
      </c>
      <c r="E162" s="31">
        <v>2.2000000000000002</v>
      </c>
      <c r="F162" s="62">
        <f ca="1">IF(TODAY()&gt;=LOOKUP(C162,'QALS - Inspection Lot Record'!P:P,'QALS - Inspection Lot Record'!J:J)+RANDBETWEEN(0,1),LOOKUP(C162,'QALS - Inspection Lot Record'!P:P,'QALS - Inspection Lot Record'!J:J)+RANDBETWEEN(0,1),"")</f>
        <v>45949</v>
      </c>
      <c r="G162" s="2" t="s">
        <v>457</v>
      </c>
      <c r="H162" s="62">
        <f t="shared" ca="1" si="2"/>
        <v>45950</v>
      </c>
      <c r="I162" s="29" t="s">
        <v>458</v>
      </c>
    </row>
    <row r="163" spans="1:9" x14ac:dyDescent="0.35">
      <c r="A163" s="31">
        <v>200000584</v>
      </c>
      <c r="B163" s="31">
        <v>1010</v>
      </c>
      <c r="C163" s="31">
        <v>4157</v>
      </c>
      <c r="D163" s="29" t="str">
        <f>LOOKUP(CAPA!C163,'QALS - Inspection Lot Record'!P:P,'QALS - Inspection Lot Record'!O:O)</f>
        <v>Metformin Tablets (500 MG)</v>
      </c>
      <c r="E163" s="31">
        <v>68.099999999999994</v>
      </c>
      <c r="F163" s="62">
        <f ca="1">IF(TODAY()&gt;=LOOKUP(C163,'QALS - Inspection Lot Record'!P:P,'QALS - Inspection Lot Record'!J:J)+RANDBETWEEN(0,1),LOOKUP(C163,'QALS - Inspection Lot Record'!P:P,'QALS - Inspection Lot Record'!J:J)+RANDBETWEEN(0,1),"")</f>
        <v>45948</v>
      </c>
      <c r="G163" s="2" t="s">
        <v>447</v>
      </c>
      <c r="H163" s="62">
        <f t="shared" ca="1" si="2"/>
        <v>45950</v>
      </c>
      <c r="I163" s="29" t="s">
        <v>448</v>
      </c>
    </row>
    <row r="164" spans="1:9" x14ac:dyDescent="0.35">
      <c r="A164" s="31">
        <v>200000584</v>
      </c>
      <c r="B164" s="31">
        <v>1010</v>
      </c>
      <c r="C164" s="31">
        <v>4157</v>
      </c>
      <c r="D164" s="29" t="str">
        <f>LOOKUP(CAPA!C164,'QALS - Inspection Lot Record'!P:P,'QALS - Inspection Lot Record'!O:O)</f>
        <v>Metformin Tablets (500 MG)</v>
      </c>
      <c r="E164" s="31">
        <v>78.8</v>
      </c>
      <c r="F164" s="62">
        <f ca="1">IF(TODAY()&gt;=LOOKUP(C164,'QALS - Inspection Lot Record'!P:P,'QALS - Inspection Lot Record'!J:J)+RANDBETWEEN(0,1),LOOKUP(C164,'QALS - Inspection Lot Record'!P:P,'QALS - Inspection Lot Record'!J:J)+RANDBETWEEN(0,1),"")</f>
        <v>45949</v>
      </c>
      <c r="G164" s="2" t="s">
        <v>447</v>
      </c>
      <c r="H164" s="62">
        <f t="shared" ca="1" si="2"/>
        <v>45949</v>
      </c>
      <c r="I164" s="29" t="s">
        <v>448</v>
      </c>
    </row>
    <row r="165" spans="1:9" x14ac:dyDescent="0.35">
      <c r="A165" s="31">
        <v>200000585</v>
      </c>
      <c r="B165" s="31">
        <v>1010</v>
      </c>
      <c r="C165" s="31">
        <v>4158</v>
      </c>
      <c r="D165" s="29" t="str">
        <f>LOOKUP(CAPA!C165,'QALS - Inspection Lot Record'!P:P,'QALS - Inspection Lot Record'!O:O)</f>
        <v>Ibuprofen Tablets (100 MG)</v>
      </c>
      <c r="E165" s="31">
        <v>2.2000000000000002</v>
      </c>
      <c r="F165" s="62">
        <f ca="1">IF(TODAY()&gt;=LOOKUP(C165,'QALS - Inspection Lot Record'!P:P,'QALS - Inspection Lot Record'!J:J)+RANDBETWEEN(0,1),LOOKUP(C165,'QALS - Inspection Lot Record'!P:P,'QALS - Inspection Lot Record'!J:J)+RANDBETWEEN(0,1),"")</f>
        <v>45948</v>
      </c>
      <c r="G165" s="2" t="s">
        <v>457</v>
      </c>
      <c r="H165" s="62">
        <f t="shared" ca="1" si="2"/>
        <v>45948</v>
      </c>
      <c r="I165" s="29" t="s">
        <v>458</v>
      </c>
    </row>
    <row r="166" spans="1:9" x14ac:dyDescent="0.35">
      <c r="A166" s="31">
        <v>200000585</v>
      </c>
      <c r="B166" s="31">
        <v>1010</v>
      </c>
      <c r="C166" s="31">
        <v>4158</v>
      </c>
      <c r="D166" s="29" t="str">
        <f>LOOKUP(CAPA!C166,'QALS - Inspection Lot Record'!P:P,'QALS - Inspection Lot Record'!O:O)</f>
        <v>Ibuprofen Tablets (100 MG)</v>
      </c>
      <c r="E166" s="31">
        <v>38</v>
      </c>
      <c r="F166" s="62">
        <f ca="1">IF(TODAY()&gt;=LOOKUP(C166,'QALS - Inspection Lot Record'!P:P,'QALS - Inspection Lot Record'!J:J)+RANDBETWEEN(0,1),LOOKUP(C166,'QALS - Inspection Lot Record'!P:P,'QALS - Inspection Lot Record'!J:J)+RANDBETWEEN(0,1),"")</f>
        <v>45949</v>
      </c>
      <c r="G166" s="2" t="s">
        <v>449</v>
      </c>
      <c r="H166" s="62">
        <f t="shared" ca="1" si="2"/>
        <v>45950</v>
      </c>
      <c r="I166" s="29" t="s">
        <v>450</v>
      </c>
    </row>
    <row r="167" spans="1:9" x14ac:dyDescent="0.35">
      <c r="A167" s="31">
        <v>200000585</v>
      </c>
      <c r="B167" s="31">
        <v>1010</v>
      </c>
      <c r="C167" s="31">
        <v>4158</v>
      </c>
      <c r="D167" s="29" t="str">
        <f>LOOKUP(CAPA!C167,'QALS - Inspection Lot Record'!P:P,'QALS - Inspection Lot Record'!O:O)</f>
        <v>Ibuprofen Tablets (100 MG)</v>
      </c>
      <c r="E167" s="31">
        <v>68.900000000000006</v>
      </c>
      <c r="F167" s="62">
        <f ca="1">IF(TODAY()&gt;=LOOKUP(C167,'QALS - Inspection Lot Record'!P:P,'QALS - Inspection Lot Record'!J:J)+RANDBETWEEN(0,1),LOOKUP(C167,'QALS - Inspection Lot Record'!P:P,'QALS - Inspection Lot Record'!J:J)+RANDBETWEEN(0,1),"")</f>
        <v>45949</v>
      </c>
      <c r="G167" s="2" t="s">
        <v>447</v>
      </c>
      <c r="H167" s="62">
        <f t="shared" ca="1" si="2"/>
        <v>45951</v>
      </c>
      <c r="I167" s="29" t="s">
        <v>448</v>
      </c>
    </row>
    <row r="168" spans="1:9" x14ac:dyDescent="0.35">
      <c r="A168" s="31">
        <v>200000585</v>
      </c>
      <c r="B168" s="31">
        <v>1010</v>
      </c>
      <c r="C168" s="31">
        <v>4158</v>
      </c>
      <c r="D168" s="29" t="str">
        <f>LOOKUP(CAPA!C168,'QALS - Inspection Lot Record'!P:P,'QALS - Inspection Lot Record'!O:O)</f>
        <v>Ibuprofen Tablets (100 MG)</v>
      </c>
      <c r="E168" s="31">
        <v>78.599999999999994</v>
      </c>
      <c r="F168" s="62">
        <f ca="1">IF(TODAY()&gt;=LOOKUP(C168,'QALS - Inspection Lot Record'!P:P,'QALS - Inspection Lot Record'!J:J)+RANDBETWEEN(0,1),LOOKUP(C168,'QALS - Inspection Lot Record'!P:P,'QALS - Inspection Lot Record'!J:J)+RANDBETWEEN(0,1),"")</f>
        <v>45949</v>
      </c>
      <c r="G168" s="2" t="s">
        <v>447</v>
      </c>
      <c r="H168" s="62">
        <f t="shared" ca="1" si="2"/>
        <v>45950</v>
      </c>
      <c r="I168" s="29" t="s">
        <v>448</v>
      </c>
    </row>
    <row r="169" spans="1:9" x14ac:dyDescent="0.35">
      <c r="A169" s="31">
        <v>200000586</v>
      </c>
      <c r="B169" s="31">
        <v>1010</v>
      </c>
      <c r="C169" s="31">
        <v>4161</v>
      </c>
      <c r="D169" s="29" t="str">
        <f>LOOKUP(CAPA!C169,'QALS - Inspection Lot Record'!P:P,'QALS - Inspection Lot Record'!O:O)</f>
        <v>Metformin Tablets (500 MG)</v>
      </c>
      <c r="E169" s="31">
        <v>1.5</v>
      </c>
      <c r="F169" s="62">
        <f ca="1">IF(TODAY()&gt;=LOOKUP(C169,'QALS - Inspection Lot Record'!P:P,'QALS - Inspection Lot Record'!J:J)+RANDBETWEEN(0,1),LOOKUP(C169,'QALS - Inspection Lot Record'!P:P,'QALS - Inspection Lot Record'!J:J)+RANDBETWEEN(0,1),"")</f>
        <v>45950</v>
      </c>
      <c r="G169" s="2" t="s">
        <v>443</v>
      </c>
      <c r="H169" s="62">
        <f t="shared" ca="1" si="2"/>
        <v>45952</v>
      </c>
      <c r="I169" s="29" t="s">
        <v>444</v>
      </c>
    </row>
    <row r="170" spans="1:9" x14ac:dyDescent="0.35">
      <c r="A170" s="31">
        <v>200000586</v>
      </c>
      <c r="B170" s="31">
        <v>1010</v>
      </c>
      <c r="C170" s="31">
        <v>4161</v>
      </c>
      <c r="D170" s="29" t="str">
        <f>LOOKUP(CAPA!C170,'QALS - Inspection Lot Record'!P:P,'QALS - Inspection Lot Record'!O:O)</f>
        <v>Metformin Tablets (500 MG)</v>
      </c>
      <c r="E170" s="31">
        <v>68.3</v>
      </c>
      <c r="F170" s="62">
        <f ca="1">IF(TODAY()&gt;=LOOKUP(C170,'QALS - Inspection Lot Record'!P:P,'QALS - Inspection Lot Record'!J:J)+RANDBETWEEN(0,1),LOOKUP(C170,'QALS - Inspection Lot Record'!P:P,'QALS - Inspection Lot Record'!J:J)+RANDBETWEEN(0,1),"")</f>
        <v>45951</v>
      </c>
      <c r="G170" s="2" t="s">
        <v>447</v>
      </c>
      <c r="H170" s="62">
        <f t="shared" ca="1" si="2"/>
        <v>45953</v>
      </c>
      <c r="I170" s="29" t="s">
        <v>448</v>
      </c>
    </row>
    <row r="171" spans="1:9" x14ac:dyDescent="0.35">
      <c r="A171" s="31">
        <v>200000586</v>
      </c>
      <c r="B171" s="31">
        <v>1010</v>
      </c>
      <c r="C171" s="31">
        <v>4161</v>
      </c>
      <c r="D171" s="29" t="str">
        <f>LOOKUP(CAPA!C171,'QALS - Inspection Lot Record'!P:P,'QALS - Inspection Lot Record'!O:O)</f>
        <v>Metformin Tablets (500 MG)</v>
      </c>
      <c r="E171" s="31">
        <v>78</v>
      </c>
      <c r="F171" s="62">
        <f ca="1">IF(TODAY()&gt;=LOOKUP(C171,'QALS - Inspection Lot Record'!P:P,'QALS - Inspection Lot Record'!J:J)+RANDBETWEEN(0,1),LOOKUP(C171,'QALS - Inspection Lot Record'!P:P,'QALS - Inspection Lot Record'!J:J)+RANDBETWEEN(0,1),"")</f>
        <v>45951</v>
      </c>
      <c r="G171" s="2" t="s">
        <v>447</v>
      </c>
      <c r="H171" s="62">
        <f t="shared" ca="1" si="2"/>
        <v>45952</v>
      </c>
      <c r="I171" s="29" t="s">
        <v>448</v>
      </c>
    </row>
    <row r="172" spans="1:9" x14ac:dyDescent="0.35">
      <c r="A172" s="31">
        <v>200000587</v>
      </c>
      <c r="B172" s="31">
        <v>1010</v>
      </c>
      <c r="C172" s="31">
        <v>4162</v>
      </c>
      <c r="D172" s="29" t="str">
        <f>LOOKUP(CAPA!C172,'QALS - Inspection Lot Record'!P:P,'QALS - Inspection Lot Record'!O:O)</f>
        <v>Metformin Tablets (100 MG)</v>
      </c>
      <c r="E172" s="31">
        <v>69</v>
      </c>
      <c r="F172" s="62">
        <f ca="1">IF(TODAY()&gt;=LOOKUP(C172,'QALS - Inspection Lot Record'!P:P,'QALS - Inspection Lot Record'!J:J)+RANDBETWEEN(0,1),LOOKUP(C172,'QALS - Inspection Lot Record'!P:P,'QALS - Inspection Lot Record'!J:J)+RANDBETWEEN(0,1),"")</f>
        <v>45950</v>
      </c>
      <c r="G172" s="2" t="s">
        <v>447</v>
      </c>
      <c r="H172" s="62">
        <f t="shared" ca="1" si="2"/>
        <v>45952</v>
      </c>
      <c r="I172" s="29" t="s">
        <v>448</v>
      </c>
    </row>
    <row r="173" spans="1:9" x14ac:dyDescent="0.35">
      <c r="A173" s="31">
        <v>200000587</v>
      </c>
      <c r="B173" s="31">
        <v>1010</v>
      </c>
      <c r="C173" s="31">
        <v>4162</v>
      </c>
      <c r="D173" s="29" t="str">
        <f>LOOKUP(CAPA!C173,'QALS - Inspection Lot Record'!P:P,'QALS - Inspection Lot Record'!O:O)</f>
        <v>Metformin Tablets (100 MG)</v>
      </c>
      <c r="E173" s="31">
        <v>78.2</v>
      </c>
      <c r="F173" s="62">
        <f ca="1">IF(TODAY()&gt;=LOOKUP(C173,'QALS - Inspection Lot Record'!P:P,'QALS - Inspection Lot Record'!J:J)+RANDBETWEEN(0,1),LOOKUP(C173,'QALS - Inspection Lot Record'!P:P,'QALS - Inspection Lot Record'!J:J)+RANDBETWEEN(0,1),"")</f>
        <v>45950</v>
      </c>
      <c r="G173" s="2" t="s">
        <v>447</v>
      </c>
      <c r="H173" s="62">
        <f t="shared" ca="1" si="2"/>
        <v>45951</v>
      </c>
      <c r="I173" s="29" t="s">
        <v>448</v>
      </c>
    </row>
    <row r="174" spans="1:9" x14ac:dyDescent="0.35">
      <c r="A174" s="31">
        <v>200000588</v>
      </c>
      <c r="B174" s="31">
        <v>1010</v>
      </c>
      <c r="C174" s="31">
        <v>4165</v>
      </c>
      <c r="D174" s="29" t="str">
        <f>LOOKUP(CAPA!C174,'QALS - Inspection Lot Record'!P:P,'QALS - Inspection Lot Record'!O:O)</f>
        <v>Ibuprofen Tablets (100 MG)</v>
      </c>
      <c r="E174" s="31">
        <v>2</v>
      </c>
      <c r="F174" s="62">
        <f ca="1">IF(TODAY()&gt;=LOOKUP(C174,'QALS - Inspection Lot Record'!P:P,'QALS - Inspection Lot Record'!J:J)+RANDBETWEEN(0,1),LOOKUP(C174,'QALS - Inspection Lot Record'!P:P,'QALS - Inspection Lot Record'!J:J)+RANDBETWEEN(0,1),"")</f>
        <v>45953</v>
      </c>
      <c r="G174" s="2" t="s">
        <v>457</v>
      </c>
      <c r="H174" s="62">
        <f t="shared" ca="1" si="2"/>
        <v>45954</v>
      </c>
      <c r="I174" s="29" t="s">
        <v>458</v>
      </c>
    </row>
    <row r="175" spans="1:9" x14ac:dyDescent="0.35">
      <c r="A175" s="31">
        <v>200000588</v>
      </c>
      <c r="B175" s="31">
        <v>1010</v>
      </c>
      <c r="C175" s="31">
        <v>4165</v>
      </c>
      <c r="D175" s="29" t="str">
        <f>LOOKUP(CAPA!C175,'QALS - Inspection Lot Record'!P:P,'QALS - Inspection Lot Record'!O:O)</f>
        <v>Ibuprofen Tablets (100 MG)</v>
      </c>
      <c r="E175" s="31">
        <v>1.6</v>
      </c>
      <c r="F175" s="62">
        <f ca="1">IF(TODAY()&gt;=LOOKUP(C175,'QALS - Inspection Lot Record'!P:P,'QALS - Inspection Lot Record'!J:J)+RANDBETWEEN(0,1),LOOKUP(C175,'QALS - Inspection Lot Record'!P:P,'QALS - Inspection Lot Record'!J:J)+RANDBETWEEN(0,1),"")</f>
        <v>45953</v>
      </c>
      <c r="G175" s="2" t="s">
        <v>445</v>
      </c>
      <c r="H175" s="62">
        <f t="shared" ca="1" si="2"/>
        <v>45955</v>
      </c>
      <c r="I175" s="29" t="s">
        <v>446</v>
      </c>
    </row>
    <row r="176" spans="1:9" x14ac:dyDescent="0.35">
      <c r="A176" s="31">
        <v>200000588</v>
      </c>
      <c r="B176" s="31">
        <v>1010</v>
      </c>
      <c r="C176" s="31">
        <v>4165</v>
      </c>
      <c r="D176" s="29" t="str">
        <f>LOOKUP(CAPA!C176,'QALS - Inspection Lot Record'!P:P,'QALS - Inspection Lot Record'!O:O)</f>
        <v>Ibuprofen Tablets (100 MG)</v>
      </c>
      <c r="E176" s="31">
        <v>78.599999999999994</v>
      </c>
      <c r="F176" s="62">
        <f ca="1">IF(TODAY()&gt;=LOOKUP(C176,'QALS - Inspection Lot Record'!P:P,'QALS - Inspection Lot Record'!J:J)+RANDBETWEEN(0,1),LOOKUP(C176,'QALS - Inspection Lot Record'!P:P,'QALS - Inspection Lot Record'!J:J)+RANDBETWEEN(0,1),"")</f>
        <v>45953</v>
      </c>
      <c r="G176" s="2" t="s">
        <v>447</v>
      </c>
      <c r="H176" s="62">
        <f t="shared" ca="1" si="2"/>
        <v>45954</v>
      </c>
      <c r="I176" s="29" t="s">
        <v>448</v>
      </c>
    </row>
    <row r="177" spans="1:9" x14ac:dyDescent="0.35">
      <c r="A177" s="31">
        <v>200000588</v>
      </c>
      <c r="B177" s="31">
        <v>1010</v>
      </c>
      <c r="C177" s="31">
        <v>4165</v>
      </c>
      <c r="D177" s="29" t="str">
        <f>LOOKUP(CAPA!C177,'QALS - Inspection Lot Record'!P:P,'QALS - Inspection Lot Record'!O:O)</f>
        <v>Ibuprofen Tablets (100 MG)</v>
      </c>
      <c r="E177" s="31">
        <v>21.5</v>
      </c>
      <c r="F177" s="62">
        <f ca="1">IF(TODAY()&gt;=LOOKUP(C177,'QALS - Inspection Lot Record'!P:P,'QALS - Inspection Lot Record'!J:J)+RANDBETWEEN(0,1),LOOKUP(C177,'QALS - Inspection Lot Record'!P:P,'QALS - Inspection Lot Record'!J:J)+RANDBETWEEN(0,1),"")</f>
        <v>45952</v>
      </c>
      <c r="G177" s="2" t="s">
        <v>453</v>
      </c>
      <c r="H177" s="62">
        <f t="shared" ca="1" si="2"/>
        <v>45953</v>
      </c>
      <c r="I177" s="29" t="s">
        <v>454</v>
      </c>
    </row>
    <row r="178" spans="1:9" x14ac:dyDescent="0.35">
      <c r="A178" s="31">
        <v>200000589</v>
      </c>
      <c r="B178" s="31">
        <v>1010</v>
      </c>
      <c r="C178" s="31">
        <v>4166</v>
      </c>
      <c r="D178" s="29" t="str">
        <f>LOOKUP(CAPA!C178,'QALS - Inspection Lot Record'!P:P,'QALS - Inspection Lot Record'!O:O)</f>
        <v>Metformin Tablets (500 MG)</v>
      </c>
      <c r="E178" s="31">
        <v>2.2999999999999998</v>
      </c>
      <c r="F178" s="62">
        <f ca="1">IF(TODAY()&gt;=LOOKUP(C178,'QALS - Inspection Lot Record'!P:P,'QALS - Inspection Lot Record'!J:J)+RANDBETWEEN(0,1),LOOKUP(C178,'QALS - Inspection Lot Record'!P:P,'QALS - Inspection Lot Record'!J:J)+RANDBETWEEN(0,1),"")</f>
        <v>45952</v>
      </c>
      <c r="G178" s="2" t="s">
        <v>457</v>
      </c>
      <c r="H178" s="62">
        <f t="shared" ca="1" si="2"/>
        <v>45952</v>
      </c>
      <c r="I178" s="29" t="s">
        <v>458</v>
      </c>
    </row>
    <row r="179" spans="1:9" x14ac:dyDescent="0.35">
      <c r="A179" s="31">
        <v>200000589</v>
      </c>
      <c r="B179" s="31">
        <v>1010</v>
      </c>
      <c r="C179" s="31">
        <v>4166</v>
      </c>
      <c r="D179" s="29" t="str">
        <f>LOOKUP(CAPA!C179,'QALS - Inspection Lot Record'!P:P,'QALS - Inspection Lot Record'!O:O)</f>
        <v>Metformin Tablets (500 MG)</v>
      </c>
      <c r="E179" s="31">
        <v>78.099999999999994</v>
      </c>
      <c r="F179" s="62">
        <f ca="1">IF(TODAY()&gt;=LOOKUP(C179,'QALS - Inspection Lot Record'!P:P,'QALS - Inspection Lot Record'!J:J)+RANDBETWEEN(0,1),LOOKUP(C179,'QALS - Inspection Lot Record'!P:P,'QALS - Inspection Lot Record'!J:J)+RANDBETWEEN(0,1),"")</f>
        <v>45952</v>
      </c>
      <c r="G179" s="2" t="s">
        <v>447</v>
      </c>
      <c r="H179" s="62">
        <f t="shared" ca="1" si="2"/>
        <v>45952</v>
      </c>
      <c r="I179" s="29" t="s">
        <v>448</v>
      </c>
    </row>
    <row r="180" spans="1:9" x14ac:dyDescent="0.35">
      <c r="A180" s="31">
        <v>200000589</v>
      </c>
      <c r="B180" s="31">
        <v>1010</v>
      </c>
      <c r="C180" s="31">
        <v>4166</v>
      </c>
      <c r="D180" s="29" t="str">
        <f>LOOKUP(CAPA!C180,'QALS - Inspection Lot Record'!P:P,'QALS - Inspection Lot Record'!O:O)</f>
        <v>Metformin Tablets (500 MG)</v>
      </c>
      <c r="E180" s="31">
        <v>21.7</v>
      </c>
      <c r="F180" s="62">
        <f ca="1">IF(TODAY()&gt;=LOOKUP(C180,'QALS - Inspection Lot Record'!P:P,'QALS - Inspection Lot Record'!J:J)+RANDBETWEEN(0,1),LOOKUP(C180,'QALS - Inspection Lot Record'!P:P,'QALS - Inspection Lot Record'!J:J)+RANDBETWEEN(0,1),"")</f>
        <v>45952</v>
      </c>
      <c r="G180" s="2" t="s">
        <v>453</v>
      </c>
      <c r="H180" s="62">
        <f t="shared" ca="1" si="2"/>
        <v>45954</v>
      </c>
      <c r="I180" s="29" t="s">
        <v>454</v>
      </c>
    </row>
    <row r="181" spans="1:9" x14ac:dyDescent="0.35">
      <c r="A181" s="31">
        <v>200000590</v>
      </c>
      <c r="B181" s="31">
        <v>1010</v>
      </c>
      <c r="C181" s="31">
        <v>4169</v>
      </c>
      <c r="D181" s="29" t="str">
        <f>LOOKUP(CAPA!C181,'QALS - Inspection Lot Record'!P:P,'QALS - Inspection Lot Record'!O:O)</f>
        <v>Aspirin Tablets (500 MG)</v>
      </c>
      <c r="E181" s="31">
        <v>93.1</v>
      </c>
      <c r="F181" s="62">
        <f ca="1">IF(TODAY()&gt;=LOOKUP(C181,'QALS - Inspection Lot Record'!P:P,'QALS - Inspection Lot Record'!J:J)+RANDBETWEEN(0,1),LOOKUP(C181,'QALS - Inspection Lot Record'!P:P,'QALS - Inspection Lot Record'!J:J)+RANDBETWEEN(0,1),"")</f>
        <v>45954</v>
      </c>
      <c r="G181" s="2" t="s">
        <v>441</v>
      </c>
      <c r="H181" s="62">
        <f t="shared" ca="1" si="2"/>
        <v>45955</v>
      </c>
      <c r="I181" s="29" t="s">
        <v>442</v>
      </c>
    </row>
    <row r="182" spans="1:9" x14ac:dyDescent="0.35">
      <c r="A182" s="31">
        <v>200000590</v>
      </c>
      <c r="B182" s="31">
        <v>1010</v>
      </c>
      <c r="C182" s="31">
        <v>4169</v>
      </c>
      <c r="D182" s="29" t="str">
        <f>LOOKUP(CAPA!C182,'QALS - Inspection Lot Record'!P:P,'QALS - Inspection Lot Record'!O:O)</f>
        <v>Aspirin Tablets (500 MG)</v>
      </c>
      <c r="E182" s="31">
        <v>2.5</v>
      </c>
      <c r="F182" s="62">
        <f ca="1">IF(TODAY()&gt;=LOOKUP(C182,'QALS - Inspection Lot Record'!P:P,'QALS - Inspection Lot Record'!J:J)+RANDBETWEEN(0,1),LOOKUP(C182,'QALS - Inspection Lot Record'!P:P,'QALS - Inspection Lot Record'!J:J)+RANDBETWEEN(0,1),"")</f>
        <v>45955</v>
      </c>
      <c r="G182" s="2" t="s">
        <v>457</v>
      </c>
      <c r="H182" s="62">
        <f t="shared" ca="1" si="2"/>
        <v>45957</v>
      </c>
      <c r="I182" s="29" t="s">
        <v>458</v>
      </c>
    </row>
    <row r="183" spans="1:9" x14ac:dyDescent="0.35">
      <c r="A183" s="31">
        <v>200000590</v>
      </c>
      <c r="B183" s="31">
        <v>1010</v>
      </c>
      <c r="C183" s="31">
        <v>4169</v>
      </c>
      <c r="D183" s="29" t="str">
        <f>LOOKUP(CAPA!C183,'QALS - Inspection Lot Record'!P:P,'QALS - Inspection Lot Record'!O:O)</f>
        <v>Aspirin Tablets (500 MG)</v>
      </c>
      <c r="E183" s="31">
        <v>78</v>
      </c>
      <c r="F183" s="62">
        <f ca="1">IF(TODAY()&gt;=LOOKUP(C183,'QALS - Inspection Lot Record'!P:P,'QALS - Inspection Lot Record'!J:J)+RANDBETWEEN(0,1),LOOKUP(C183,'QALS - Inspection Lot Record'!P:P,'QALS - Inspection Lot Record'!J:J)+RANDBETWEEN(0,1),"")</f>
        <v>45955</v>
      </c>
      <c r="G183" s="2" t="s">
        <v>447</v>
      </c>
      <c r="H183" s="62">
        <f t="shared" ca="1" si="2"/>
        <v>45955</v>
      </c>
      <c r="I183" s="29" t="s">
        <v>448</v>
      </c>
    </row>
    <row r="184" spans="1:9" x14ac:dyDescent="0.35">
      <c r="A184" s="31">
        <v>200000591</v>
      </c>
      <c r="B184" s="31">
        <v>1010</v>
      </c>
      <c r="C184" s="31">
        <v>4170</v>
      </c>
      <c r="D184" s="29" t="str">
        <f>LOOKUP(CAPA!C184,'QALS - Inspection Lot Record'!P:P,'QALS - Inspection Lot Record'!O:O)</f>
        <v>Ibuprofen Tablets (100 MG)</v>
      </c>
      <c r="E184" s="31">
        <v>93.4</v>
      </c>
      <c r="F184" s="62">
        <f ca="1">IF(TODAY()&gt;=LOOKUP(C184,'QALS - Inspection Lot Record'!P:P,'QALS - Inspection Lot Record'!J:J)+RANDBETWEEN(0,1),LOOKUP(C184,'QALS - Inspection Lot Record'!P:P,'QALS - Inspection Lot Record'!J:J)+RANDBETWEEN(0,1),"")</f>
        <v>45955</v>
      </c>
      <c r="G184" s="2" t="s">
        <v>441</v>
      </c>
      <c r="H184" s="62">
        <f t="shared" ca="1" si="2"/>
        <v>45956</v>
      </c>
      <c r="I184" s="29" t="s">
        <v>442</v>
      </c>
    </row>
    <row r="185" spans="1:9" x14ac:dyDescent="0.35">
      <c r="A185" s="31">
        <v>200000591</v>
      </c>
      <c r="B185" s="31">
        <v>1010</v>
      </c>
      <c r="C185" s="31">
        <v>4170</v>
      </c>
      <c r="D185" s="29" t="str">
        <f>LOOKUP(CAPA!C185,'QALS - Inspection Lot Record'!P:P,'QALS - Inspection Lot Record'!O:O)</f>
        <v>Ibuprofen Tablets (100 MG)</v>
      </c>
      <c r="E185" s="31">
        <v>1.5</v>
      </c>
      <c r="F185" s="62">
        <f ca="1">IF(TODAY()&gt;=LOOKUP(C185,'QALS - Inspection Lot Record'!P:P,'QALS - Inspection Lot Record'!J:J)+RANDBETWEEN(0,1),LOOKUP(C185,'QALS - Inspection Lot Record'!P:P,'QALS - Inspection Lot Record'!J:J)+RANDBETWEEN(0,1),"")</f>
        <v>45955</v>
      </c>
      <c r="G185" s="2" t="s">
        <v>443</v>
      </c>
      <c r="H185" s="62">
        <f t="shared" ca="1" si="2"/>
        <v>45956</v>
      </c>
      <c r="I185" s="29" t="s">
        <v>444</v>
      </c>
    </row>
    <row r="186" spans="1:9" x14ac:dyDescent="0.35">
      <c r="A186" s="31">
        <v>200000591</v>
      </c>
      <c r="B186" s="31">
        <v>1010</v>
      </c>
      <c r="C186" s="31">
        <v>4170</v>
      </c>
      <c r="D186" s="29" t="str">
        <f>LOOKUP(CAPA!C186,'QALS - Inspection Lot Record'!P:P,'QALS - Inspection Lot Record'!O:O)</f>
        <v>Ibuprofen Tablets (100 MG)</v>
      </c>
      <c r="E186" s="31">
        <v>78.400000000000006</v>
      </c>
      <c r="F186" s="62">
        <f ca="1">IF(TODAY()&gt;=LOOKUP(C186,'QALS - Inspection Lot Record'!P:P,'QALS - Inspection Lot Record'!J:J)+RANDBETWEEN(0,1),LOOKUP(C186,'QALS - Inspection Lot Record'!P:P,'QALS - Inspection Lot Record'!J:J)+RANDBETWEEN(0,1),"")</f>
        <v>45954</v>
      </c>
      <c r="G186" s="2" t="s">
        <v>447</v>
      </c>
      <c r="H186" s="62">
        <f t="shared" ca="1" si="2"/>
        <v>45954</v>
      </c>
      <c r="I186" s="29" t="s">
        <v>448</v>
      </c>
    </row>
    <row r="187" spans="1:9" x14ac:dyDescent="0.35">
      <c r="A187" s="31">
        <v>200000591</v>
      </c>
      <c r="B187" s="31">
        <v>1010</v>
      </c>
      <c r="C187" s="31">
        <v>4170</v>
      </c>
      <c r="D187" s="29" t="str">
        <f>LOOKUP(CAPA!C187,'QALS - Inspection Lot Record'!P:P,'QALS - Inspection Lot Record'!O:O)</f>
        <v>Ibuprofen Tablets (100 MG)</v>
      </c>
      <c r="E187" s="31">
        <v>22</v>
      </c>
      <c r="F187" s="62">
        <f ca="1">IF(TODAY()&gt;=LOOKUP(C187,'QALS - Inspection Lot Record'!P:P,'QALS - Inspection Lot Record'!J:J)+RANDBETWEEN(0,1),LOOKUP(C187,'QALS - Inspection Lot Record'!P:P,'QALS - Inspection Lot Record'!J:J)+RANDBETWEEN(0,1),"")</f>
        <v>45954</v>
      </c>
      <c r="G187" s="2" t="s">
        <v>453</v>
      </c>
      <c r="H187" s="62">
        <f t="shared" ca="1" si="2"/>
        <v>45956</v>
      </c>
      <c r="I187" s="29" t="s">
        <v>454</v>
      </c>
    </row>
    <row r="188" spans="1:9" x14ac:dyDescent="0.35">
      <c r="A188" s="31">
        <v>200000592</v>
      </c>
      <c r="B188" s="31">
        <v>1010</v>
      </c>
      <c r="C188" s="31">
        <v>4173</v>
      </c>
      <c r="D188" s="29" t="str">
        <f>LOOKUP(CAPA!C188,'QALS - Inspection Lot Record'!P:P,'QALS - Inspection Lot Record'!O:O)</f>
        <v>Aspirin Tablets (500 MG)</v>
      </c>
      <c r="E188" s="31">
        <v>2.1</v>
      </c>
      <c r="F188" s="62">
        <f ca="1">IF(TODAY()&gt;=LOOKUP(C188,'QALS - Inspection Lot Record'!P:P,'QALS - Inspection Lot Record'!J:J)+RANDBETWEEN(0,1),LOOKUP(C188,'QALS - Inspection Lot Record'!P:P,'QALS - Inspection Lot Record'!J:J)+RANDBETWEEN(0,1),"")</f>
        <v>45957</v>
      </c>
      <c r="G188" s="2" t="s">
        <v>457</v>
      </c>
      <c r="H188" s="62">
        <f t="shared" ca="1" si="2"/>
        <v>45957</v>
      </c>
      <c r="I188" s="29" t="s">
        <v>458</v>
      </c>
    </row>
    <row r="189" spans="1:9" x14ac:dyDescent="0.35">
      <c r="A189" s="31">
        <v>200000592</v>
      </c>
      <c r="B189" s="31">
        <v>1010</v>
      </c>
      <c r="C189" s="31">
        <v>4173</v>
      </c>
      <c r="D189" s="29" t="str">
        <f>LOOKUP(CAPA!C189,'QALS - Inspection Lot Record'!P:P,'QALS - Inspection Lot Record'!O:O)</f>
        <v>Aspirin Tablets (500 MG)</v>
      </c>
      <c r="E189" s="31">
        <v>38.200000000000003</v>
      </c>
      <c r="F189" s="62">
        <f ca="1">IF(TODAY()&gt;=LOOKUP(C189,'QALS - Inspection Lot Record'!P:P,'QALS - Inspection Lot Record'!J:J)+RANDBETWEEN(0,1),LOOKUP(C189,'QALS - Inspection Lot Record'!P:P,'QALS - Inspection Lot Record'!J:J)+RANDBETWEEN(0,1),"")</f>
        <v>45957</v>
      </c>
      <c r="G189" s="2" t="s">
        <v>447</v>
      </c>
      <c r="H189" s="62">
        <f t="shared" ca="1" si="2"/>
        <v>45959</v>
      </c>
      <c r="I189" s="29" t="s">
        <v>448</v>
      </c>
    </row>
    <row r="190" spans="1:9" x14ac:dyDescent="0.35">
      <c r="A190" s="31">
        <v>200000593</v>
      </c>
      <c r="B190" s="31">
        <v>1010</v>
      </c>
      <c r="C190" s="31">
        <v>4174</v>
      </c>
      <c r="D190" s="29" t="str">
        <f>LOOKUP(CAPA!C190,'QALS - Inspection Lot Record'!P:P,'QALS - Inspection Lot Record'!O:O)</f>
        <v>Metformin Tablets (500 MG)</v>
      </c>
      <c r="E190" s="31">
        <v>2.1</v>
      </c>
      <c r="F190" s="62">
        <f ca="1">IF(TODAY()&gt;=LOOKUP(C190,'QALS - Inspection Lot Record'!P:P,'QALS - Inspection Lot Record'!J:J)+RANDBETWEEN(0,1),LOOKUP(C190,'QALS - Inspection Lot Record'!P:P,'QALS - Inspection Lot Record'!J:J)+RANDBETWEEN(0,1),"")</f>
        <v>45956</v>
      </c>
      <c r="G190" s="2" t="s">
        <v>445</v>
      </c>
      <c r="H190" s="62">
        <f t="shared" ca="1" si="2"/>
        <v>45958</v>
      </c>
      <c r="I190" s="29" t="s">
        <v>446</v>
      </c>
    </row>
    <row r="191" spans="1:9" x14ac:dyDescent="0.35">
      <c r="A191" s="31">
        <v>200000593</v>
      </c>
      <c r="B191" s="31">
        <v>1010</v>
      </c>
      <c r="C191" s="31">
        <v>4174</v>
      </c>
      <c r="D191" s="29" t="str">
        <f>LOOKUP(CAPA!C191,'QALS - Inspection Lot Record'!P:P,'QALS - Inspection Lot Record'!O:O)</f>
        <v>Metformin Tablets (500 MG)</v>
      </c>
      <c r="E191" s="31">
        <v>38.5</v>
      </c>
      <c r="F191" s="62">
        <f ca="1">IF(TODAY()&gt;=LOOKUP(C191,'QALS - Inspection Lot Record'!P:P,'QALS - Inspection Lot Record'!J:J)+RANDBETWEEN(0,1),LOOKUP(C191,'QALS - Inspection Lot Record'!P:P,'QALS - Inspection Lot Record'!J:J)+RANDBETWEEN(0,1),"")</f>
        <v>45957</v>
      </c>
      <c r="G191" s="2" t="s">
        <v>447</v>
      </c>
      <c r="H191" s="62">
        <f t="shared" ca="1" si="2"/>
        <v>45957</v>
      </c>
      <c r="I191" s="29" t="s">
        <v>448</v>
      </c>
    </row>
    <row r="192" spans="1:9" x14ac:dyDescent="0.35">
      <c r="A192" s="31">
        <v>200000593</v>
      </c>
      <c r="B192" s="31">
        <v>1010</v>
      </c>
      <c r="C192" s="31">
        <v>4174</v>
      </c>
      <c r="D192" s="29" t="str">
        <f>LOOKUP(CAPA!C192,'QALS - Inspection Lot Record'!P:P,'QALS - Inspection Lot Record'!O:O)</f>
        <v>Metformin Tablets (500 MG)</v>
      </c>
      <c r="E192" s="31">
        <v>78.8</v>
      </c>
      <c r="F192" s="62">
        <f ca="1">IF(TODAY()&gt;=LOOKUP(C192,'QALS - Inspection Lot Record'!P:P,'QALS - Inspection Lot Record'!J:J)+RANDBETWEEN(0,1),LOOKUP(C192,'QALS - Inspection Lot Record'!P:P,'QALS - Inspection Lot Record'!J:J)+RANDBETWEEN(0,1),"")</f>
        <v>45956</v>
      </c>
      <c r="G192" s="2" t="s">
        <v>447</v>
      </c>
      <c r="H192" s="62">
        <f t="shared" ca="1" si="2"/>
        <v>45957</v>
      </c>
      <c r="I192" s="29" t="s">
        <v>448</v>
      </c>
    </row>
    <row r="193" spans="1:9" x14ac:dyDescent="0.35">
      <c r="A193" s="31">
        <v>200000593</v>
      </c>
      <c r="B193" s="31">
        <v>1010</v>
      </c>
      <c r="C193" s="31">
        <v>4174</v>
      </c>
      <c r="D193" s="29" t="str">
        <f>LOOKUP(CAPA!C193,'QALS - Inspection Lot Record'!P:P,'QALS - Inspection Lot Record'!O:O)</f>
        <v>Metformin Tablets (500 MG)</v>
      </c>
      <c r="E193" s="31">
        <v>22</v>
      </c>
      <c r="F193" s="62">
        <f ca="1">IF(TODAY()&gt;=LOOKUP(C193,'QALS - Inspection Lot Record'!P:P,'QALS - Inspection Lot Record'!J:J)+RANDBETWEEN(0,1),LOOKUP(C193,'QALS - Inspection Lot Record'!P:P,'QALS - Inspection Lot Record'!J:J)+RANDBETWEEN(0,1),"")</f>
        <v>45957</v>
      </c>
      <c r="G193" s="2" t="s">
        <v>453</v>
      </c>
      <c r="H193" s="62">
        <f t="shared" ca="1" si="2"/>
        <v>45959</v>
      </c>
      <c r="I193" s="29" t="s">
        <v>454</v>
      </c>
    </row>
    <row r="194" spans="1:9" x14ac:dyDescent="0.35">
      <c r="A194" s="31">
        <v>200000594</v>
      </c>
      <c r="B194" s="31">
        <v>1010</v>
      </c>
      <c r="C194" s="31">
        <v>4177</v>
      </c>
      <c r="D194" s="29" t="str">
        <f>LOOKUP(CAPA!C194,'QALS - Inspection Lot Record'!P:P,'QALS - Inspection Lot Record'!O:O)</f>
        <v>Aspirin Tablets (500 MG)</v>
      </c>
      <c r="E194" s="31">
        <v>68.8</v>
      </c>
      <c r="F194" s="62">
        <f ca="1">IF(TODAY()&gt;=LOOKUP(C194,'QALS - Inspection Lot Record'!P:P,'QALS - Inspection Lot Record'!J:J)+RANDBETWEEN(0,1),LOOKUP(C194,'QALS - Inspection Lot Record'!P:P,'QALS - Inspection Lot Record'!J:J)+RANDBETWEEN(0,1),"")</f>
        <v>45958</v>
      </c>
      <c r="G194" s="2" t="s">
        <v>447</v>
      </c>
      <c r="H194" s="62">
        <f t="shared" ref="H194:H257" ca="1" si="3">IF(TODAY()&gt;=F194+RANDBETWEEN(0,2),F194+RANDBETWEEN(0,2),"")</f>
        <v>45958</v>
      </c>
      <c r="I194" s="29" t="s">
        <v>448</v>
      </c>
    </row>
    <row r="195" spans="1:9" x14ac:dyDescent="0.35">
      <c r="A195" s="31">
        <v>200000595</v>
      </c>
      <c r="B195" s="31">
        <v>1010</v>
      </c>
      <c r="C195" s="31">
        <v>4178</v>
      </c>
      <c r="D195" s="29" t="str">
        <f>LOOKUP(CAPA!C195,'QALS - Inspection Lot Record'!P:P,'QALS - Inspection Lot Record'!O:O)</f>
        <v>Ibuprofen Tablets (100 MG)</v>
      </c>
      <c r="E195" s="31">
        <v>93</v>
      </c>
      <c r="F195" s="62">
        <f ca="1">IF(TODAY()&gt;=LOOKUP(C195,'QALS - Inspection Lot Record'!P:P,'QALS - Inspection Lot Record'!J:J)+RANDBETWEEN(0,1),LOOKUP(C195,'QALS - Inspection Lot Record'!P:P,'QALS - Inspection Lot Record'!J:J)+RANDBETWEEN(0,1),"")</f>
        <v>45958</v>
      </c>
      <c r="G195" s="2" t="s">
        <v>441</v>
      </c>
      <c r="H195" s="62">
        <f t="shared" ca="1" si="3"/>
        <v>45960</v>
      </c>
      <c r="I195" s="29" t="s">
        <v>442</v>
      </c>
    </row>
    <row r="196" spans="1:9" x14ac:dyDescent="0.35">
      <c r="A196" s="31">
        <v>200000595</v>
      </c>
      <c r="B196" s="31">
        <v>1010</v>
      </c>
      <c r="C196" s="31">
        <v>4178</v>
      </c>
      <c r="D196" s="29" t="str">
        <f>LOOKUP(CAPA!C196,'QALS - Inspection Lot Record'!P:P,'QALS - Inspection Lot Record'!O:O)</f>
        <v>Ibuprofen Tablets (100 MG)</v>
      </c>
      <c r="E196" s="31">
        <v>1.7</v>
      </c>
      <c r="F196" s="62">
        <f ca="1">IF(TODAY()&gt;=LOOKUP(C196,'QALS - Inspection Lot Record'!P:P,'QALS - Inspection Lot Record'!J:J)+RANDBETWEEN(0,1),LOOKUP(C196,'QALS - Inspection Lot Record'!P:P,'QALS - Inspection Lot Record'!J:J)+RANDBETWEEN(0,1),"")</f>
        <v>45959</v>
      </c>
      <c r="G196" s="2" t="s">
        <v>443</v>
      </c>
      <c r="H196" s="62">
        <f t="shared" ca="1" si="3"/>
        <v>45960</v>
      </c>
      <c r="I196" s="29" t="s">
        <v>444</v>
      </c>
    </row>
    <row r="197" spans="1:9" x14ac:dyDescent="0.35">
      <c r="A197" s="31">
        <v>200000595</v>
      </c>
      <c r="B197" s="31">
        <v>1010</v>
      </c>
      <c r="C197" s="31">
        <v>4178</v>
      </c>
      <c r="D197" s="29" t="str">
        <f>LOOKUP(CAPA!C197,'QALS - Inspection Lot Record'!P:P,'QALS - Inspection Lot Record'!O:O)</f>
        <v>Ibuprofen Tablets (100 MG)</v>
      </c>
      <c r="E197" s="31">
        <v>1.2</v>
      </c>
      <c r="F197" s="62">
        <f ca="1">IF(TODAY()&gt;=LOOKUP(C197,'QALS - Inspection Lot Record'!P:P,'QALS - Inspection Lot Record'!J:J)+RANDBETWEEN(0,1),LOOKUP(C197,'QALS - Inspection Lot Record'!P:P,'QALS - Inspection Lot Record'!J:J)+RANDBETWEEN(0,1),"")</f>
        <v>45959</v>
      </c>
      <c r="G197" s="2" t="s">
        <v>445</v>
      </c>
      <c r="H197" s="62">
        <f t="shared" ca="1" si="3"/>
        <v>45961</v>
      </c>
      <c r="I197" s="29" t="s">
        <v>446</v>
      </c>
    </row>
    <row r="198" spans="1:9" x14ac:dyDescent="0.35">
      <c r="A198" s="31">
        <v>200000595</v>
      </c>
      <c r="B198" s="31">
        <v>1010</v>
      </c>
      <c r="C198" s="31">
        <v>4178</v>
      </c>
      <c r="D198" s="29" t="str">
        <f>LOOKUP(CAPA!C198,'QALS - Inspection Lot Record'!P:P,'QALS - Inspection Lot Record'!O:O)</f>
        <v>Ibuprofen Tablets (100 MG)</v>
      </c>
      <c r="E198" s="31">
        <v>78.400000000000006</v>
      </c>
      <c r="F198" s="62">
        <f ca="1">IF(TODAY()&gt;=LOOKUP(C198,'QALS - Inspection Lot Record'!P:P,'QALS - Inspection Lot Record'!J:J)+RANDBETWEEN(0,1),LOOKUP(C198,'QALS - Inspection Lot Record'!P:P,'QALS - Inspection Lot Record'!J:J)+RANDBETWEEN(0,1),"")</f>
        <v>45959</v>
      </c>
      <c r="G198" s="2" t="s">
        <v>447</v>
      </c>
      <c r="H198" s="62">
        <f t="shared" ca="1" si="3"/>
        <v>45961</v>
      </c>
      <c r="I198" s="29" t="s">
        <v>448</v>
      </c>
    </row>
    <row r="199" spans="1:9" x14ac:dyDescent="0.35">
      <c r="A199" s="31">
        <v>200000595</v>
      </c>
      <c r="B199" s="31">
        <v>1010</v>
      </c>
      <c r="C199" s="31">
        <v>4178</v>
      </c>
      <c r="D199" s="29" t="str">
        <f>LOOKUP(CAPA!C199,'QALS - Inspection Lot Record'!P:P,'QALS - Inspection Lot Record'!O:O)</f>
        <v>Ibuprofen Tablets (100 MG)</v>
      </c>
      <c r="E199" s="31">
        <v>21.1</v>
      </c>
      <c r="F199" s="62">
        <f ca="1">IF(TODAY()&gt;=LOOKUP(C199,'QALS - Inspection Lot Record'!P:P,'QALS - Inspection Lot Record'!J:J)+RANDBETWEEN(0,1),LOOKUP(C199,'QALS - Inspection Lot Record'!P:P,'QALS - Inspection Lot Record'!J:J)+RANDBETWEEN(0,1),"")</f>
        <v>45959</v>
      </c>
      <c r="G199" s="2" t="s">
        <v>453</v>
      </c>
      <c r="H199" s="62">
        <f t="shared" ca="1" si="3"/>
        <v>45961</v>
      </c>
      <c r="I199" s="29" t="s">
        <v>454</v>
      </c>
    </row>
    <row r="200" spans="1:9" x14ac:dyDescent="0.35">
      <c r="A200" s="31">
        <v>200000596</v>
      </c>
      <c r="B200" s="31">
        <v>1010</v>
      </c>
      <c r="C200" s="31">
        <v>4181</v>
      </c>
      <c r="D200" s="29" t="str">
        <f>LOOKUP(CAPA!C200,'QALS - Inspection Lot Record'!P:P,'QALS - Inspection Lot Record'!O:O)</f>
        <v>Aspirin Tablets (500 MG)</v>
      </c>
      <c r="E200" s="31">
        <v>93.8</v>
      </c>
      <c r="F200" s="62">
        <f ca="1">IF(TODAY()&gt;=LOOKUP(C200,'QALS - Inspection Lot Record'!P:P,'QALS - Inspection Lot Record'!J:J)+RANDBETWEEN(0,1),LOOKUP(C200,'QALS - Inspection Lot Record'!P:P,'QALS - Inspection Lot Record'!J:J)+RANDBETWEEN(0,1),"")</f>
        <v>45960</v>
      </c>
      <c r="G200" s="2" t="s">
        <v>451</v>
      </c>
      <c r="H200" s="62">
        <f t="shared" ca="1" si="3"/>
        <v>45961</v>
      </c>
      <c r="I200" s="29" t="s">
        <v>452</v>
      </c>
    </row>
    <row r="201" spans="1:9" x14ac:dyDescent="0.35">
      <c r="A201" s="31">
        <v>200000597</v>
      </c>
      <c r="B201" s="31">
        <v>1010</v>
      </c>
      <c r="C201" s="31">
        <v>4182</v>
      </c>
      <c r="D201" s="29" t="str">
        <f>LOOKUP(CAPA!C201,'QALS - Inspection Lot Record'!P:P,'QALS - Inspection Lot Record'!O:O)</f>
        <v>Aspirin Tablets (500 MG)</v>
      </c>
      <c r="E201" s="31">
        <v>21.6</v>
      </c>
      <c r="F201" s="62">
        <f ca="1">IF(TODAY()&gt;=LOOKUP(C201,'QALS - Inspection Lot Record'!P:P,'QALS - Inspection Lot Record'!J:J)+RANDBETWEEN(0,1),LOOKUP(C201,'QALS - Inspection Lot Record'!P:P,'QALS - Inspection Lot Record'!J:J)+RANDBETWEEN(0,1),"")</f>
        <v>45960</v>
      </c>
      <c r="G201" s="2" t="s">
        <v>453</v>
      </c>
      <c r="H201" s="62">
        <f t="shared" ca="1" si="3"/>
        <v>45961</v>
      </c>
      <c r="I201" s="29" t="s">
        <v>454</v>
      </c>
    </row>
    <row r="202" spans="1:9" x14ac:dyDescent="0.35">
      <c r="A202" s="31">
        <v>200000598</v>
      </c>
      <c r="B202" s="31">
        <v>1010</v>
      </c>
      <c r="C202" s="31">
        <v>4183</v>
      </c>
      <c r="D202" s="29" t="str">
        <f>LOOKUP(CAPA!C202,'QALS - Inspection Lot Record'!P:P,'QALS - Inspection Lot Record'!O:O)</f>
        <v>Ibuprofen Tablets (100 MG)</v>
      </c>
      <c r="E202" s="31">
        <v>93.5</v>
      </c>
      <c r="F202" s="62">
        <f ca="1">IF(TODAY()&gt;=LOOKUP(C202,'QALS - Inspection Lot Record'!P:P,'QALS - Inspection Lot Record'!J:J)+RANDBETWEEN(0,1),LOOKUP(C202,'QALS - Inspection Lot Record'!P:P,'QALS - Inspection Lot Record'!J:J)+RANDBETWEEN(0,1),"")</f>
        <v>45962</v>
      </c>
      <c r="G202" s="2" t="s">
        <v>441</v>
      </c>
      <c r="H202" s="62">
        <f t="shared" ca="1" si="3"/>
        <v>45964</v>
      </c>
      <c r="I202" s="29" t="s">
        <v>442</v>
      </c>
    </row>
    <row r="203" spans="1:9" x14ac:dyDescent="0.35">
      <c r="A203" s="31">
        <v>200000598</v>
      </c>
      <c r="B203" s="31">
        <v>1010</v>
      </c>
      <c r="C203" s="31">
        <v>4183</v>
      </c>
      <c r="D203" s="29" t="str">
        <f>LOOKUP(CAPA!C203,'QALS - Inspection Lot Record'!P:P,'QALS - Inspection Lot Record'!O:O)</f>
        <v>Ibuprofen Tablets (100 MG)</v>
      </c>
      <c r="E203" s="31">
        <v>68.599999999999994</v>
      </c>
      <c r="F203" s="62">
        <f ca="1">IF(TODAY()&gt;=LOOKUP(C203,'QALS - Inspection Lot Record'!P:P,'QALS - Inspection Lot Record'!J:J)+RANDBETWEEN(0,1),LOOKUP(C203,'QALS - Inspection Lot Record'!P:P,'QALS - Inspection Lot Record'!J:J)+RANDBETWEEN(0,1),"")</f>
        <v>45961</v>
      </c>
      <c r="G203" s="2" t="s">
        <v>447</v>
      </c>
      <c r="H203" s="62">
        <f t="shared" ca="1" si="3"/>
        <v>45963</v>
      </c>
      <c r="I203" s="29" t="s">
        <v>448</v>
      </c>
    </row>
    <row r="204" spans="1:9" x14ac:dyDescent="0.35">
      <c r="A204" s="31">
        <v>200000598</v>
      </c>
      <c r="B204" s="31">
        <v>1010</v>
      </c>
      <c r="C204" s="31">
        <v>4183</v>
      </c>
      <c r="D204" s="29" t="str">
        <f>LOOKUP(CAPA!C204,'QALS - Inspection Lot Record'!P:P,'QALS - Inspection Lot Record'!O:O)</f>
        <v>Ibuprofen Tablets (100 MG)</v>
      </c>
      <c r="E204" s="31">
        <v>78.400000000000006</v>
      </c>
      <c r="F204" s="62">
        <f ca="1">IF(TODAY()&gt;=LOOKUP(C204,'QALS - Inspection Lot Record'!P:P,'QALS - Inspection Lot Record'!J:J)+RANDBETWEEN(0,1),LOOKUP(C204,'QALS - Inspection Lot Record'!P:P,'QALS - Inspection Lot Record'!J:J)+RANDBETWEEN(0,1),"")</f>
        <v>45961</v>
      </c>
      <c r="G204" s="2" t="s">
        <v>447</v>
      </c>
      <c r="H204" s="62">
        <f t="shared" ca="1" si="3"/>
        <v>45963</v>
      </c>
      <c r="I204" s="29" t="s">
        <v>448</v>
      </c>
    </row>
    <row r="205" spans="1:9" x14ac:dyDescent="0.35">
      <c r="A205" s="31">
        <v>200000599</v>
      </c>
      <c r="B205" s="31">
        <v>1010</v>
      </c>
      <c r="C205" s="31">
        <v>4184</v>
      </c>
      <c r="D205" s="29" t="str">
        <f>LOOKUP(CAPA!C205,'QALS - Inspection Lot Record'!P:P,'QALS - Inspection Lot Record'!O:O)</f>
        <v>Metformin Tablets (100 MG)</v>
      </c>
      <c r="E205" s="31">
        <v>93.2</v>
      </c>
      <c r="F205" s="62">
        <f ca="1">IF(TODAY()&gt;=LOOKUP(C205,'QALS - Inspection Lot Record'!P:P,'QALS - Inspection Lot Record'!J:J)+RANDBETWEEN(0,1),LOOKUP(C205,'QALS - Inspection Lot Record'!P:P,'QALS - Inspection Lot Record'!J:J)+RANDBETWEEN(0,1),"")</f>
        <v>45961</v>
      </c>
      <c r="G205" s="2" t="s">
        <v>441</v>
      </c>
      <c r="H205" s="62">
        <f t="shared" ca="1" si="3"/>
        <v>45962</v>
      </c>
      <c r="I205" s="29" t="s">
        <v>442</v>
      </c>
    </row>
    <row r="206" spans="1:9" x14ac:dyDescent="0.35">
      <c r="A206" s="31">
        <v>200000599</v>
      </c>
      <c r="B206" s="31">
        <v>1010</v>
      </c>
      <c r="C206" s="31">
        <v>4184</v>
      </c>
      <c r="D206" s="29" t="str">
        <f>LOOKUP(CAPA!C206,'QALS - Inspection Lot Record'!P:P,'QALS - Inspection Lot Record'!O:O)</f>
        <v>Metformin Tablets (100 MG)</v>
      </c>
      <c r="E206" s="31">
        <v>38.799999999999997</v>
      </c>
      <c r="F206" s="62">
        <f ca="1">IF(TODAY()&gt;=LOOKUP(C206,'QALS - Inspection Lot Record'!P:P,'QALS - Inspection Lot Record'!J:J)+RANDBETWEEN(0,1),LOOKUP(C206,'QALS - Inspection Lot Record'!P:P,'QALS - Inspection Lot Record'!J:J)+RANDBETWEEN(0,1),"")</f>
        <v>45961</v>
      </c>
      <c r="G206" s="2" t="s">
        <v>447</v>
      </c>
      <c r="H206" s="62">
        <f t="shared" ca="1" si="3"/>
        <v>45963</v>
      </c>
      <c r="I206" s="29" t="s">
        <v>448</v>
      </c>
    </row>
    <row r="207" spans="1:9" x14ac:dyDescent="0.35">
      <c r="A207" s="31">
        <v>200000599</v>
      </c>
      <c r="B207" s="31">
        <v>1010</v>
      </c>
      <c r="C207" s="31">
        <v>4184</v>
      </c>
      <c r="D207" s="29" t="str">
        <f>LOOKUP(CAPA!C207,'QALS - Inspection Lot Record'!P:P,'QALS - Inspection Lot Record'!O:O)</f>
        <v>Metformin Tablets (100 MG)</v>
      </c>
      <c r="E207" s="31">
        <v>68</v>
      </c>
      <c r="F207" s="62">
        <f ca="1">IF(TODAY()&gt;=LOOKUP(C207,'QALS - Inspection Lot Record'!P:P,'QALS - Inspection Lot Record'!J:J)+RANDBETWEEN(0,1),LOOKUP(C207,'QALS - Inspection Lot Record'!P:P,'QALS - Inspection Lot Record'!J:J)+RANDBETWEEN(0,1),"")</f>
        <v>45962</v>
      </c>
      <c r="G207" s="2" t="s">
        <v>447</v>
      </c>
      <c r="H207" s="62">
        <f t="shared" ca="1" si="3"/>
        <v>45963</v>
      </c>
      <c r="I207" s="29" t="s">
        <v>448</v>
      </c>
    </row>
    <row r="208" spans="1:9" x14ac:dyDescent="0.35">
      <c r="A208" s="31">
        <v>200000599</v>
      </c>
      <c r="B208" s="31">
        <v>1010</v>
      </c>
      <c r="C208" s="31">
        <v>4184</v>
      </c>
      <c r="D208" s="29" t="str">
        <f>LOOKUP(CAPA!C208,'QALS - Inspection Lot Record'!P:P,'QALS - Inspection Lot Record'!O:O)</f>
        <v>Metformin Tablets (100 MG)</v>
      </c>
      <c r="E208" s="31">
        <v>78.8</v>
      </c>
      <c r="F208" s="62">
        <f ca="1">IF(TODAY()&gt;=LOOKUP(C208,'QALS - Inspection Lot Record'!P:P,'QALS - Inspection Lot Record'!J:J)+RANDBETWEEN(0,1),LOOKUP(C208,'QALS - Inspection Lot Record'!P:P,'QALS - Inspection Lot Record'!J:J)+RANDBETWEEN(0,1),"")</f>
        <v>45962</v>
      </c>
      <c r="G208" s="2" t="s">
        <v>447</v>
      </c>
      <c r="H208" s="62">
        <f t="shared" ca="1" si="3"/>
        <v>45962</v>
      </c>
      <c r="I208" s="29" t="s">
        <v>448</v>
      </c>
    </row>
    <row r="209" spans="1:9" x14ac:dyDescent="0.35">
      <c r="A209" s="31">
        <v>200000600</v>
      </c>
      <c r="B209" s="31">
        <v>1010</v>
      </c>
      <c r="C209" s="31">
        <v>4185</v>
      </c>
      <c r="D209" s="29" t="str">
        <f>LOOKUP(CAPA!C209,'QALS - Inspection Lot Record'!P:P,'QALS - Inspection Lot Record'!O:O)</f>
        <v>Aspirin Tablets (500 MG)</v>
      </c>
      <c r="E209" s="31">
        <v>68.099999999999994</v>
      </c>
      <c r="F209" s="62">
        <f ca="1">IF(TODAY()&gt;=LOOKUP(C209,'QALS - Inspection Lot Record'!P:P,'QALS - Inspection Lot Record'!J:J)+RANDBETWEEN(0,1),LOOKUP(C209,'QALS - Inspection Lot Record'!P:P,'QALS - Inspection Lot Record'!J:J)+RANDBETWEEN(0,1),"")</f>
        <v>45963</v>
      </c>
      <c r="G209" s="2" t="s">
        <v>447</v>
      </c>
      <c r="H209" s="62">
        <f t="shared" ca="1" si="3"/>
        <v>45965</v>
      </c>
      <c r="I209" s="29" t="s">
        <v>448</v>
      </c>
    </row>
    <row r="210" spans="1:9" x14ac:dyDescent="0.35">
      <c r="A210" s="31">
        <v>200000601</v>
      </c>
      <c r="B210" s="31">
        <v>1010</v>
      </c>
      <c r="C210" s="31">
        <v>4186</v>
      </c>
      <c r="D210" s="29" t="str">
        <f>LOOKUP(CAPA!C210,'QALS - Inspection Lot Record'!P:P,'QALS - Inspection Lot Record'!O:O)</f>
        <v>Ibuprofen Tablets (100 MG)</v>
      </c>
      <c r="E210" s="31">
        <v>21.8</v>
      </c>
      <c r="F210" s="62">
        <f ca="1">IF(TODAY()&gt;=LOOKUP(C210,'QALS - Inspection Lot Record'!P:P,'QALS - Inspection Lot Record'!J:J)+RANDBETWEEN(0,1),LOOKUP(C210,'QALS - Inspection Lot Record'!P:P,'QALS - Inspection Lot Record'!J:J)+RANDBETWEEN(0,1),"")</f>
        <v>45963</v>
      </c>
      <c r="G210" s="2" t="s">
        <v>453</v>
      </c>
      <c r="H210" s="62">
        <f t="shared" ca="1" si="3"/>
        <v>45963</v>
      </c>
      <c r="I210" s="29" t="s">
        <v>454</v>
      </c>
    </row>
    <row r="211" spans="1:9" x14ac:dyDescent="0.35">
      <c r="A211" s="31">
        <v>200000602</v>
      </c>
      <c r="B211" s="31">
        <v>1010</v>
      </c>
      <c r="C211" s="31">
        <v>4187</v>
      </c>
      <c r="D211" s="29" t="str">
        <f>LOOKUP(CAPA!C211,'QALS - Inspection Lot Record'!P:P,'QALS - Inspection Lot Record'!O:O)</f>
        <v>Aspirin Tablets (500 MG)</v>
      </c>
      <c r="E211" s="31">
        <v>93.5</v>
      </c>
      <c r="F211" s="62">
        <f ca="1">IF(TODAY()&gt;=LOOKUP(C211,'QALS - Inspection Lot Record'!P:P,'QALS - Inspection Lot Record'!J:J)+RANDBETWEEN(0,1),LOOKUP(C211,'QALS - Inspection Lot Record'!P:P,'QALS - Inspection Lot Record'!J:J)+RANDBETWEEN(0,1),"")</f>
        <v>45964</v>
      </c>
      <c r="G211" s="2" t="s">
        <v>441</v>
      </c>
      <c r="H211" s="62">
        <f t="shared" ca="1" si="3"/>
        <v>45964</v>
      </c>
      <c r="I211" s="29" t="s">
        <v>442</v>
      </c>
    </row>
    <row r="212" spans="1:9" x14ac:dyDescent="0.35">
      <c r="A212" s="31">
        <v>200000602</v>
      </c>
      <c r="B212" s="31">
        <v>1010</v>
      </c>
      <c r="C212" s="31">
        <v>4187</v>
      </c>
      <c r="D212" s="29" t="str">
        <f>LOOKUP(CAPA!C212,'QALS - Inspection Lot Record'!P:P,'QALS - Inspection Lot Record'!O:O)</f>
        <v>Aspirin Tablets (500 MG)</v>
      </c>
      <c r="E212" s="31">
        <v>68.599999999999994</v>
      </c>
      <c r="F212" s="62">
        <f ca="1">IF(TODAY()&gt;=LOOKUP(C212,'QALS - Inspection Lot Record'!P:P,'QALS - Inspection Lot Record'!J:J)+RANDBETWEEN(0,1),LOOKUP(C212,'QALS - Inspection Lot Record'!P:P,'QALS - Inspection Lot Record'!J:J)+RANDBETWEEN(0,1),"")</f>
        <v>45963</v>
      </c>
      <c r="G212" s="2" t="s">
        <v>447</v>
      </c>
      <c r="H212" s="62">
        <f t="shared" ca="1" si="3"/>
        <v>45963</v>
      </c>
      <c r="I212" s="29" t="s">
        <v>448</v>
      </c>
    </row>
    <row r="213" spans="1:9" x14ac:dyDescent="0.35">
      <c r="A213" s="31">
        <v>200000602</v>
      </c>
      <c r="B213" s="31">
        <v>1010</v>
      </c>
      <c r="C213" s="31">
        <v>4187</v>
      </c>
      <c r="D213" s="29" t="str">
        <f>LOOKUP(CAPA!C213,'QALS - Inspection Lot Record'!P:P,'QALS - Inspection Lot Record'!O:O)</f>
        <v>Aspirin Tablets (500 MG)</v>
      </c>
      <c r="E213" s="31">
        <v>78.5</v>
      </c>
      <c r="F213" s="62">
        <f ca="1">IF(TODAY()&gt;=LOOKUP(C213,'QALS - Inspection Lot Record'!P:P,'QALS - Inspection Lot Record'!J:J)+RANDBETWEEN(0,1),LOOKUP(C213,'QALS - Inspection Lot Record'!P:P,'QALS - Inspection Lot Record'!J:J)+RANDBETWEEN(0,1),"")</f>
        <v>45964</v>
      </c>
      <c r="G213" s="2" t="s">
        <v>447</v>
      </c>
      <c r="H213" s="62">
        <f t="shared" ca="1" si="3"/>
        <v>45966</v>
      </c>
      <c r="I213" s="29" t="s">
        <v>448</v>
      </c>
    </row>
    <row r="214" spans="1:9" x14ac:dyDescent="0.35">
      <c r="A214" s="31">
        <v>200000603</v>
      </c>
      <c r="B214" s="31">
        <v>1010</v>
      </c>
      <c r="C214" s="31">
        <v>4188</v>
      </c>
      <c r="D214" s="29" t="str">
        <f>LOOKUP(CAPA!C214,'QALS - Inspection Lot Record'!P:P,'QALS - Inspection Lot Record'!O:O)</f>
        <v>Aspirin Tablets (500 MG)</v>
      </c>
      <c r="E214" s="31">
        <v>93.1</v>
      </c>
      <c r="F214" s="62">
        <f ca="1">IF(TODAY()&gt;=LOOKUP(C214,'QALS - Inspection Lot Record'!P:P,'QALS - Inspection Lot Record'!J:J)+RANDBETWEEN(0,1),LOOKUP(C214,'QALS - Inspection Lot Record'!P:P,'QALS - Inspection Lot Record'!J:J)+RANDBETWEEN(0,1),"")</f>
        <v>45964</v>
      </c>
      <c r="G214" s="2" t="s">
        <v>441</v>
      </c>
      <c r="H214" s="62">
        <f t="shared" ca="1" si="3"/>
        <v>45965</v>
      </c>
      <c r="I214" s="29" t="s">
        <v>442</v>
      </c>
    </row>
    <row r="215" spans="1:9" x14ac:dyDescent="0.35">
      <c r="A215" s="31">
        <v>200000603</v>
      </c>
      <c r="B215" s="31">
        <v>1010</v>
      </c>
      <c r="C215" s="31">
        <v>4188</v>
      </c>
      <c r="D215" s="29" t="str">
        <f>LOOKUP(CAPA!C215,'QALS - Inspection Lot Record'!P:P,'QALS - Inspection Lot Record'!O:O)</f>
        <v>Aspirin Tablets (500 MG)</v>
      </c>
      <c r="E215" s="31">
        <v>1.6</v>
      </c>
      <c r="F215" s="62">
        <f ca="1">IF(TODAY()&gt;=LOOKUP(C215,'QALS - Inspection Lot Record'!P:P,'QALS - Inspection Lot Record'!J:J)+RANDBETWEEN(0,1),LOOKUP(C215,'QALS - Inspection Lot Record'!P:P,'QALS - Inspection Lot Record'!J:J)+RANDBETWEEN(0,1),"")</f>
        <v>45964</v>
      </c>
      <c r="G215" s="2" t="s">
        <v>443</v>
      </c>
      <c r="H215" s="62">
        <f t="shared" ca="1" si="3"/>
        <v>45965</v>
      </c>
      <c r="I215" s="29" t="s">
        <v>444</v>
      </c>
    </row>
    <row r="216" spans="1:9" x14ac:dyDescent="0.35">
      <c r="A216" s="31">
        <v>200000603</v>
      </c>
      <c r="B216" s="31">
        <v>1010</v>
      </c>
      <c r="C216" s="31">
        <v>4188</v>
      </c>
      <c r="D216" s="29" t="str">
        <f>LOOKUP(CAPA!C216,'QALS - Inspection Lot Record'!P:P,'QALS - Inspection Lot Record'!O:O)</f>
        <v>Aspirin Tablets (500 MG)</v>
      </c>
      <c r="E216" s="31">
        <v>78.3</v>
      </c>
      <c r="F216" s="62">
        <f ca="1">IF(TODAY()&gt;=LOOKUP(C216,'QALS - Inspection Lot Record'!P:P,'QALS - Inspection Lot Record'!J:J)+RANDBETWEEN(0,1),LOOKUP(C216,'QALS - Inspection Lot Record'!P:P,'QALS - Inspection Lot Record'!J:J)+RANDBETWEEN(0,1),"")</f>
        <v>45963</v>
      </c>
      <c r="G216" s="2" t="s">
        <v>447</v>
      </c>
      <c r="H216" s="62">
        <f t="shared" ca="1" si="3"/>
        <v>45964</v>
      </c>
      <c r="I216" s="29" t="s">
        <v>448</v>
      </c>
    </row>
    <row r="217" spans="1:9" x14ac:dyDescent="0.35">
      <c r="A217" s="31">
        <v>200000604</v>
      </c>
      <c r="B217" s="31">
        <v>1010</v>
      </c>
      <c r="C217" s="31">
        <v>4189</v>
      </c>
      <c r="D217" s="29" t="str">
        <f>LOOKUP(CAPA!C217,'QALS - Inspection Lot Record'!P:P,'QALS - Inspection Lot Record'!O:O)</f>
        <v>Aspirin Tablets (500 MG)</v>
      </c>
      <c r="E217" s="31">
        <v>94</v>
      </c>
      <c r="F217" s="62">
        <f ca="1">IF(TODAY()&gt;=LOOKUP(C217,'QALS - Inspection Lot Record'!P:P,'QALS - Inspection Lot Record'!J:J)+RANDBETWEEN(0,1),LOOKUP(C217,'QALS - Inspection Lot Record'!P:P,'QALS - Inspection Lot Record'!J:J)+RANDBETWEEN(0,1),"")</f>
        <v>45964</v>
      </c>
      <c r="G217" s="2" t="s">
        <v>441</v>
      </c>
      <c r="H217" s="62">
        <f t="shared" ca="1" si="3"/>
        <v>45965</v>
      </c>
      <c r="I217" s="29" t="s">
        <v>442</v>
      </c>
    </row>
    <row r="218" spans="1:9" x14ac:dyDescent="0.35">
      <c r="A218" s="31">
        <v>200000604</v>
      </c>
      <c r="B218" s="31">
        <v>1010</v>
      </c>
      <c r="C218" s="31">
        <v>4189</v>
      </c>
      <c r="D218" s="29" t="str">
        <f>LOOKUP(CAPA!C218,'QALS - Inspection Lot Record'!P:P,'QALS - Inspection Lot Record'!O:O)</f>
        <v>Aspirin Tablets (500 MG)</v>
      </c>
      <c r="E218" s="31">
        <v>1.5</v>
      </c>
      <c r="F218" s="62">
        <f ca="1">IF(TODAY()&gt;=LOOKUP(C218,'QALS - Inspection Lot Record'!P:P,'QALS - Inspection Lot Record'!J:J)+RANDBETWEEN(0,1),LOOKUP(C218,'QALS - Inspection Lot Record'!P:P,'QALS - Inspection Lot Record'!J:J)+RANDBETWEEN(0,1),"")</f>
        <v>45965</v>
      </c>
      <c r="G218" s="2" t="s">
        <v>443</v>
      </c>
      <c r="H218" s="62">
        <f t="shared" ca="1" si="3"/>
        <v>45967</v>
      </c>
      <c r="I218" s="29" t="s">
        <v>444</v>
      </c>
    </row>
    <row r="219" spans="1:9" x14ac:dyDescent="0.35">
      <c r="A219" s="31">
        <v>200000604</v>
      </c>
      <c r="B219" s="31">
        <v>1010</v>
      </c>
      <c r="C219" s="31">
        <v>4189</v>
      </c>
      <c r="D219" s="29" t="str">
        <f>LOOKUP(CAPA!C219,'QALS - Inspection Lot Record'!P:P,'QALS - Inspection Lot Record'!O:O)</f>
        <v>Aspirin Tablets (500 MG)</v>
      </c>
      <c r="E219" s="31">
        <v>38.700000000000003</v>
      </c>
      <c r="F219" s="62">
        <f ca="1">IF(TODAY()&gt;=LOOKUP(C219,'QALS - Inspection Lot Record'!P:P,'QALS - Inspection Lot Record'!J:J)+RANDBETWEEN(0,1),LOOKUP(C219,'QALS - Inspection Lot Record'!P:P,'QALS - Inspection Lot Record'!J:J)+RANDBETWEEN(0,1),"")</f>
        <v>45965</v>
      </c>
      <c r="G219" s="2" t="s">
        <v>447</v>
      </c>
      <c r="H219" s="62">
        <f t="shared" ca="1" si="3"/>
        <v>45967</v>
      </c>
      <c r="I219" s="29" t="s">
        <v>448</v>
      </c>
    </row>
    <row r="220" spans="1:9" x14ac:dyDescent="0.35">
      <c r="A220" s="31">
        <v>200000604</v>
      </c>
      <c r="B220" s="31">
        <v>1010</v>
      </c>
      <c r="C220" s="31">
        <v>4189</v>
      </c>
      <c r="D220" s="29" t="str">
        <f>LOOKUP(CAPA!C220,'QALS - Inspection Lot Record'!P:P,'QALS - Inspection Lot Record'!O:O)</f>
        <v>Aspirin Tablets (500 MG)</v>
      </c>
      <c r="E220" s="31">
        <v>78.7</v>
      </c>
      <c r="F220" s="62">
        <f ca="1">IF(TODAY()&gt;=LOOKUP(C220,'QALS - Inspection Lot Record'!P:P,'QALS - Inspection Lot Record'!J:J)+RANDBETWEEN(0,1),LOOKUP(C220,'QALS - Inspection Lot Record'!P:P,'QALS - Inspection Lot Record'!J:J)+RANDBETWEEN(0,1),"")</f>
        <v>45964</v>
      </c>
      <c r="G220" s="2" t="s">
        <v>447</v>
      </c>
      <c r="H220" s="62">
        <f t="shared" ca="1" si="3"/>
        <v>45965</v>
      </c>
      <c r="I220" s="29" t="s">
        <v>448</v>
      </c>
    </row>
    <row r="221" spans="1:9" x14ac:dyDescent="0.35">
      <c r="A221" s="31">
        <v>200000605</v>
      </c>
      <c r="B221" s="31">
        <v>1010</v>
      </c>
      <c r="C221" s="31">
        <v>4190</v>
      </c>
      <c r="D221" s="29" t="str">
        <f>LOOKUP(CAPA!C221,'QALS - Inspection Lot Record'!P:P,'QALS - Inspection Lot Record'!O:O)</f>
        <v>Metformin Tablets (100 MG)</v>
      </c>
      <c r="E221" s="31">
        <v>21.4</v>
      </c>
      <c r="F221" s="62">
        <f ca="1">IF(TODAY()&gt;=LOOKUP(C221,'QALS - Inspection Lot Record'!P:P,'QALS - Inspection Lot Record'!J:J)+RANDBETWEEN(0,1),LOOKUP(C221,'QALS - Inspection Lot Record'!P:P,'QALS - Inspection Lot Record'!J:J)+RANDBETWEEN(0,1),"")</f>
        <v>45965</v>
      </c>
      <c r="G221" s="2" t="s">
        <v>453</v>
      </c>
      <c r="H221" s="62">
        <f t="shared" ca="1" si="3"/>
        <v>45966</v>
      </c>
      <c r="I221" s="29" t="s">
        <v>454</v>
      </c>
    </row>
    <row r="222" spans="1:9" x14ac:dyDescent="0.35">
      <c r="A222" s="31">
        <v>200000606</v>
      </c>
      <c r="B222" s="31">
        <v>1010</v>
      </c>
      <c r="C222" s="31">
        <v>4191</v>
      </c>
      <c r="D222" s="29" t="str">
        <f>LOOKUP(CAPA!C222,'QALS - Inspection Lot Record'!P:P,'QALS - Inspection Lot Record'!O:O)</f>
        <v>Metformin Tablets (500 MG)</v>
      </c>
      <c r="E222" s="31">
        <v>93.4</v>
      </c>
      <c r="F222" s="62">
        <f ca="1">IF(TODAY()&gt;=LOOKUP(C222,'QALS - Inspection Lot Record'!P:P,'QALS - Inspection Lot Record'!J:J)+RANDBETWEEN(0,1),LOOKUP(C222,'QALS - Inspection Lot Record'!P:P,'QALS - Inspection Lot Record'!J:J)+RANDBETWEEN(0,1),"")</f>
        <v>45966</v>
      </c>
      <c r="G222" s="2" t="s">
        <v>441</v>
      </c>
      <c r="H222" s="62">
        <f t="shared" ca="1" si="3"/>
        <v>45966</v>
      </c>
      <c r="I222" s="29" t="s">
        <v>442</v>
      </c>
    </row>
    <row r="223" spans="1:9" x14ac:dyDescent="0.35">
      <c r="A223" s="31">
        <v>200000607</v>
      </c>
      <c r="B223" s="31">
        <v>1010</v>
      </c>
      <c r="C223" s="31">
        <v>4192</v>
      </c>
      <c r="D223" s="29" t="str">
        <f>LOOKUP(CAPA!C223,'QALS - Inspection Lot Record'!P:P,'QALS - Inspection Lot Record'!O:O)</f>
        <v>Metformin Tablets (200 MG)</v>
      </c>
      <c r="E223" s="31">
        <v>93.8</v>
      </c>
      <c r="F223" s="62">
        <f ca="1">IF(TODAY()&gt;=LOOKUP(C223,'QALS - Inspection Lot Record'!P:P,'QALS - Inspection Lot Record'!J:J)+RANDBETWEEN(0,1),LOOKUP(C223,'QALS - Inspection Lot Record'!P:P,'QALS - Inspection Lot Record'!J:J)+RANDBETWEEN(0,1),"")</f>
        <v>45966</v>
      </c>
      <c r="G223" s="2" t="s">
        <v>451</v>
      </c>
      <c r="H223" s="62">
        <f t="shared" ca="1" si="3"/>
        <v>45968</v>
      </c>
      <c r="I223" s="29" t="s">
        <v>452</v>
      </c>
    </row>
    <row r="224" spans="1:9" x14ac:dyDescent="0.35">
      <c r="A224" s="31">
        <v>200000608</v>
      </c>
      <c r="B224" s="31">
        <v>1010</v>
      </c>
      <c r="C224" s="31">
        <v>4195</v>
      </c>
      <c r="D224" s="29" t="str">
        <f>LOOKUP(CAPA!C224,'QALS - Inspection Lot Record'!P:P,'QALS - Inspection Lot Record'!O:O)</f>
        <v>Metformin Tablets (500 MG)</v>
      </c>
      <c r="E224" s="31">
        <v>93.8</v>
      </c>
      <c r="F224" s="62">
        <f ca="1">IF(TODAY()&gt;=LOOKUP(C224,'QALS - Inspection Lot Record'!P:P,'QALS - Inspection Lot Record'!J:J)+RANDBETWEEN(0,1),LOOKUP(C224,'QALS - Inspection Lot Record'!P:P,'QALS - Inspection Lot Record'!J:J)+RANDBETWEEN(0,1),"")</f>
        <v>45968</v>
      </c>
      <c r="G224" s="2" t="s">
        <v>451</v>
      </c>
      <c r="H224" s="62">
        <f t="shared" ca="1" si="3"/>
        <v>45969</v>
      </c>
      <c r="I224" s="29" t="s">
        <v>452</v>
      </c>
    </row>
    <row r="225" spans="1:9" x14ac:dyDescent="0.35">
      <c r="A225" s="31">
        <v>200000609</v>
      </c>
      <c r="B225" s="31">
        <v>1010</v>
      </c>
      <c r="C225" s="31">
        <v>4196</v>
      </c>
      <c r="D225" s="29" t="str">
        <f>LOOKUP(CAPA!C225,'QALS - Inspection Lot Record'!P:P,'QALS - Inspection Lot Record'!O:O)</f>
        <v>Metformin Tablets (100 MG)</v>
      </c>
      <c r="E225" s="31">
        <v>93.1</v>
      </c>
      <c r="F225" s="62">
        <f ca="1">IF(TODAY()&gt;=LOOKUP(C225,'QALS - Inspection Lot Record'!P:P,'QALS - Inspection Lot Record'!J:J)+RANDBETWEEN(0,1),LOOKUP(C225,'QALS - Inspection Lot Record'!P:P,'QALS - Inspection Lot Record'!J:J)+RANDBETWEEN(0,1),"")</f>
        <v>45967</v>
      </c>
      <c r="G225" s="2" t="s">
        <v>441</v>
      </c>
      <c r="H225" s="62">
        <f t="shared" ca="1" si="3"/>
        <v>45968</v>
      </c>
      <c r="I225" s="29" t="s">
        <v>442</v>
      </c>
    </row>
    <row r="226" spans="1:9" x14ac:dyDescent="0.35">
      <c r="A226" s="31">
        <v>200000610</v>
      </c>
      <c r="B226" s="31">
        <v>1010</v>
      </c>
      <c r="C226" s="31">
        <v>4197</v>
      </c>
      <c r="D226" s="29" t="str">
        <f>LOOKUP(CAPA!C226,'QALS - Inspection Lot Record'!P:P,'QALS - Inspection Lot Record'!O:O)</f>
        <v>Metformin Tablets (500 MG)</v>
      </c>
      <c r="E226" s="31">
        <v>93.2</v>
      </c>
      <c r="F226" s="62">
        <f ca="1">IF(TODAY()&gt;=LOOKUP(C226,'QALS - Inspection Lot Record'!P:P,'QALS - Inspection Lot Record'!J:J)+RANDBETWEEN(0,1),LOOKUP(C226,'QALS - Inspection Lot Record'!P:P,'QALS - Inspection Lot Record'!J:J)+RANDBETWEEN(0,1),"")</f>
        <v>45968</v>
      </c>
      <c r="G226" s="2" t="s">
        <v>441</v>
      </c>
      <c r="H226" s="62">
        <f t="shared" ca="1" si="3"/>
        <v>45968</v>
      </c>
      <c r="I226" s="29" t="s">
        <v>442</v>
      </c>
    </row>
    <row r="227" spans="1:9" x14ac:dyDescent="0.35">
      <c r="A227" s="31">
        <v>200000610</v>
      </c>
      <c r="B227" s="31">
        <v>1010</v>
      </c>
      <c r="C227" s="31">
        <v>4197</v>
      </c>
      <c r="D227" s="29" t="str">
        <f>LOOKUP(CAPA!C227,'QALS - Inspection Lot Record'!P:P,'QALS - Inspection Lot Record'!O:O)</f>
        <v>Metformin Tablets (500 MG)</v>
      </c>
      <c r="E227" s="31">
        <v>38.200000000000003</v>
      </c>
      <c r="F227" s="62">
        <f ca="1">IF(TODAY()&gt;=LOOKUP(C227,'QALS - Inspection Lot Record'!P:P,'QALS - Inspection Lot Record'!J:J)+RANDBETWEEN(0,1),LOOKUP(C227,'QALS - Inspection Lot Record'!P:P,'QALS - Inspection Lot Record'!J:J)+RANDBETWEEN(0,1),"")</f>
        <v>45969</v>
      </c>
      <c r="G227" s="2" t="s">
        <v>447</v>
      </c>
      <c r="H227" s="62">
        <f t="shared" ca="1" si="3"/>
        <v>45970</v>
      </c>
      <c r="I227" s="29" t="s">
        <v>448</v>
      </c>
    </row>
    <row r="228" spans="1:9" x14ac:dyDescent="0.35">
      <c r="A228" s="31">
        <v>200000610</v>
      </c>
      <c r="B228" s="31">
        <v>1010</v>
      </c>
      <c r="C228" s="31">
        <v>4197</v>
      </c>
      <c r="D228" s="29" t="str">
        <f>LOOKUP(CAPA!C228,'QALS - Inspection Lot Record'!P:P,'QALS - Inspection Lot Record'!O:O)</f>
        <v>Metformin Tablets (500 MG)</v>
      </c>
      <c r="E228" s="31">
        <v>68</v>
      </c>
      <c r="F228" s="62">
        <f ca="1">IF(TODAY()&gt;=LOOKUP(C228,'QALS - Inspection Lot Record'!P:P,'QALS - Inspection Lot Record'!J:J)+RANDBETWEEN(0,1),LOOKUP(C228,'QALS - Inspection Lot Record'!P:P,'QALS - Inspection Lot Record'!J:J)+RANDBETWEEN(0,1),"")</f>
        <v>45969</v>
      </c>
      <c r="G228" s="2" t="s">
        <v>447</v>
      </c>
      <c r="H228" s="62">
        <f t="shared" ca="1" si="3"/>
        <v>45971</v>
      </c>
      <c r="I228" s="29" t="s">
        <v>448</v>
      </c>
    </row>
    <row r="229" spans="1:9" x14ac:dyDescent="0.35">
      <c r="A229" s="31">
        <v>200000610</v>
      </c>
      <c r="B229" s="31">
        <v>1010</v>
      </c>
      <c r="C229" s="31">
        <v>4197</v>
      </c>
      <c r="D229" s="29" t="str">
        <f>LOOKUP(CAPA!C229,'QALS - Inspection Lot Record'!P:P,'QALS - Inspection Lot Record'!O:O)</f>
        <v>Metformin Tablets (500 MG)</v>
      </c>
      <c r="E229" s="31">
        <v>78.400000000000006</v>
      </c>
      <c r="F229" s="62">
        <f ca="1">IF(TODAY()&gt;=LOOKUP(C229,'QALS - Inspection Lot Record'!P:P,'QALS - Inspection Lot Record'!J:J)+RANDBETWEEN(0,1),LOOKUP(C229,'QALS - Inspection Lot Record'!P:P,'QALS - Inspection Lot Record'!J:J)+RANDBETWEEN(0,1),"")</f>
        <v>45968</v>
      </c>
      <c r="G229" s="2" t="s">
        <v>447</v>
      </c>
      <c r="H229" s="62">
        <f t="shared" ca="1" si="3"/>
        <v>45970</v>
      </c>
      <c r="I229" s="29" t="s">
        <v>448</v>
      </c>
    </row>
    <row r="230" spans="1:9" x14ac:dyDescent="0.35">
      <c r="A230" s="31">
        <v>200000611</v>
      </c>
      <c r="B230" s="31">
        <v>1010</v>
      </c>
      <c r="C230" s="31">
        <v>4198</v>
      </c>
      <c r="D230" s="29" t="str">
        <f>LOOKUP(CAPA!C230,'QALS - Inspection Lot Record'!P:P,'QALS - Inspection Lot Record'!O:O)</f>
        <v>Ibuprofen Tablets (100 MG)</v>
      </c>
      <c r="E230" s="31">
        <v>68.3</v>
      </c>
      <c r="F230" s="62">
        <f ca="1">IF(TODAY()&gt;=LOOKUP(C230,'QALS - Inspection Lot Record'!P:P,'QALS - Inspection Lot Record'!J:J)+RANDBETWEEN(0,1),LOOKUP(C230,'QALS - Inspection Lot Record'!P:P,'QALS - Inspection Lot Record'!J:J)+RANDBETWEEN(0,1),"")</f>
        <v>45969</v>
      </c>
      <c r="G230" s="2" t="s">
        <v>447</v>
      </c>
      <c r="H230" s="62">
        <f t="shared" ca="1" si="3"/>
        <v>45970</v>
      </c>
      <c r="I230" s="29" t="s">
        <v>448</v>
      </c>
    </row>
    <row r="231" spans="1:9" x14ac:dyDescent="0.35">
      <c r="A231" s="31">
        <v>200000612</v>
      </c>
      <c r="B231" s="31">
        <v>1010</v>
      </c>
      <c r="C231" s="31">
        <v>4199</v>
      </c>
      <c r="D231" s="29" t="str">
        <f>LOOKUP(CAPA!C231,'QALS - Inspection Lot Record'!P:P,'QALS - Inspection Lot Record'!O:O)</f>
        <v>Metformin Tablets (500 MG)</v>
      </c>
      <c r="E231" s="31">
        <v>93.6</v>
      </c>
      <c r="F231" s="62">
        <f ca="1">IF(TODAY()&gt;=LOOKUP(C231,'QALS - Inspection Lot Record'!P:P,'QALS - Inspection Lot Record'!J:J)+RANDBETWEEN(0,1),LOOKUP(C231,'QALS - Inspection Lot Record'!P:P,'QALS - Inspection Lot Record'!J:J)+RANDBETWEEN(0,1),"")</f>
        <v>45969</v>
      </c>
      <c r="G231" s="2" t="s">
        <v>441</v>
      </c>
      <c r="H231" s="62">
        <f t="shared" ca="1" si="3"/>
        <v>45971</v>
      </c>
      <c r="I231" s="29" t="s">
        <v>442</v>
      </c>
    </row>
    <row r="232" spans="1:9" x14ac:dyDescent="0.35">
      <c r="A232" s="31">
        <v>200000613</v>
      </c>
      <c r="B232" s="31">
        <v>1010</v>
      </c>
      <c r="C232" s="31">
        <v>4200</v>
      </c>
      <c r="D232" s="29" t="str">
        <f>LOOKUP(CAPA!C232,'QALS - Inspection Lot Record'!P:P,'QALS - Inspection Lot Record'!O:O)</f>
        <v>Metformin Tablets (200 MG)</v>
      </c>
      <c r="E232" s="31">
        <v>93.6</v>
      </c>
      <c r="F232" s="62">
        <f ca="1">IF(TODAY()&gt;=LOOKUP(C232,'QALS - Inspection Lot Record'!P:P,'QALS - Inspection Lot Record'!J:J)+RANDBETWEEN(0,1),LOOKUP(C232,'QALS - Inspection Lot Record'!P:P,'QALS - Inspection Lot Record'!J:J)+RANDBETWEEN(0,1),"")</f>
        <v>45969</v>
      </c>
      <c r="G232" s="2" t="s">
        <v>441</v>
      </c>
      <c r="H232" s="62">
        <f t="shared" ca="1" si="3"/>
        <v>45971</v>
      </c>
      <c r="I232" s="29" t="s">
        <v>442</v>
      </c>
    </row>
    <row r="233" spans="1:9" x14ac:dyDescent="0.35">
      <c r="A233" s="31">
        <v>200000614</v>
      </c>
      <c r="B233" s="31">
        <v>1010</v>
      </c>
      <c r="C233" s="31">
        <v>4202</v>
      </c>
      <c r="D233" s="29" t="str">
        <f>LOOKUP(CAPA!C233,'QALS - Inspection Lot Record'!P:P,'QALS - Inspection Lot Record'!O:O)</f>
        <v>Metformin Tablets (200 MG)</v>
      </c>
      <c r="E233" s="31">
        <v>21.4</v>
      </c>
      <c r="F233" s="62">
        <f ca="1">IF(TODAY()&gt;=LOOKUP(C233,'QALS - Inspection Lot Record'!P:P,'QALS - Inspection Lot Record'!J:J)+RANDBETWEEN(0,1),LOOKUP(C233,'QALS - Inspection Lot Record'!P:P,'QALS - Inspection Lot Record'!J:J)+RANDBETWEEN(0,1),"")</f>
        <v>45970</v>
      </c>
      <c r="G233" s="2" t="s">
        <v>453</v>
      </c>
      <c r="H233" s="62">
        <f t="shared" ca="1" si="3"/>
        <v>45972</v>
      </c>
      <c r="I233" s="29" t="s">
        <v>454</v>
      </c>
    </row>
    <row r="234" spans="1:9" x14ac:dyDescent="0.35">
      <c r="A234" s="31">
        <v>200000615</v>
      </c>
      <c r="B234" s="31">
        <v>1010</v>
      </c>
      <c r="C234" s="31">
        <v>4206</v>
      </c>
      <c r="D234" s="29" t="str">
        <f>LOOKUP(CAPA!C234,'QALS - Inspection Lot Record'!P:P,'QALS - Inspection Lot Record'!O:O)</f>
        <v>Metformin Tablets (200 MG)</v>
      </c>
      <c r="E234" s="31">
        <v>21.2</v>
      </c>
      <c r="F234" s="62">
        <f ca="1">IF(TODAY()&gt;=LOOKUP(C234,'QALS - Inspection Lot Record'!P:P,'QALS - Inspection Lot Record'!J:J)+RANDBETWEEN(0,1),LOOKUP(C234,'QALS - Inspection Lot Record'!P:P,'QALS - Inspection Lot Record'!J:J)+RANDBETWEEN(0,1),"")</f>
        <v>45972</v>
      </c>
      <c r="G234" s="2" t="s">
        <v>453</v>
      </c>
      <c r="H234" s="62">
        <f t="shared" ca="1" si="3"/>
        <v>45973</v>
      </c>
      <c r="I234" s="29" t="s">
        <v>454</v>
      </c>
    </row>
    <row r="235" spans="1:9" x14ac:dyDescent="0.35">
      <c r="A235" s="31">
        <v>200000616</v>
      </c>
      <c r="B235" s="31">
        <v>1010</v>
      </c>
      <c r="C235" s="31">
        <v>4209</v>
      </c>
      <c r="D235" s="29" t="str">
        <f>LOOKUP(CAPA!C235,'QALS - Inspection Lot Record'!P:P,'QALS - Inspection Lot Record'!O:O)</f>
        <v>Metformin Tablets (100 MG)</v>
      </c>
      <c r="E235" s="31">
        <v>2.4</v>
      </c>
      <c r="F235" s="62">
        <f ca="1">IF(TODAY()&gt;=LOOKUP(C235,'QALS - Inspection Lot Record'!P:P,'QALS - Inspection Lot Record'!J:J)+RANDBETWEEN(0,1),LOOKUP(C235,'QALS - Inspection Lot Record'!P:P,'QALS - Inspection Lot Record'!J:J)+RANDBETWEEN(0,1),"")</f>
        <v>45975</v>
      </c>
      <c r="G235" s="2" t="s">
        <v>457</v>
      </c>
      <c r="H235" s="62">
        <f t="shared" ca="1" si="3"/>
        <v>45975</v>
      </c>
      <c r="I235" s="29" t="s">
        <v>458</v>
      </c>
    </row>
    <row r="236" spans="1:9" x14ac:dyDescent="0.35">
      <c r="A236" s="31">
        <v>200000616</v>
      </c>
      <c r="B236" s="31">
        <v>1010</v>
      </c>
      <c r="C236" s="31">
        <v>4209</v>
      </c>
      <c r="D236" s="29" t="str">
        <f>LOOKUP(CAPA!C236,'QALS - Inspection Lot Record'!P:P,'QALS - Inspection Lot Record'!O:O)</f>
        <v>Metformin Tablets (100 MG)</v>
      </c>
      <c r="E236" s="31">
        <v>78.5</v>
      </c>
      <c r="F236" s="62">
        <f ca="1">IF(TODAY()&gt;=LOOKUP(C236,'QALS - Inspection Lot Record'!P:P,'QALS - Inspection Lot Record'!J:J)+RANDBETWEEN(0,1),LOOKUP(C236,'QALS - Inspection Lot Record'!P:P,'QALS - Inspection Lot Record'!J:J)+RANDBETWEEN(0,1),"")</f>
        <v>45975</v>
      </c>
      <c r="G236" s="2" t="s">
        <v>447</v>
      </c>
      <c r="H236" s="62">
        <f t="shared" ca="1" si="3"/>
        <v>45975</v>
      </c>
      <c r="I236" s="29" t="s">
        <v>448</v>
      </c>
    </row>
    <row r="237" spans="1:9" x14ac:dyDescent="0.35">
      <c r="A237" s="31">
        <v>200000617</v>
      </c>
      <c r="B237" s="31">
        <v>1010</v>
      </c>
      <c r="C237" s="31">
        <v>4210</v>
      </c>
      <c r="D237" s="29" t="str">
        <f>LOOKUP(CAPA!C237,'QALS - Inspection Lot Record'!P:P,'QALS - Inspection Lot Record'!O:O)</f>
        <v>Ibuprofen Tablets (100 MG)</v>
      </c>
      <c r="E237" s="31">
        <v>93.1</v>
      </c>
      <c r="F237" s="62">
        <f ca="1">IF(TODAY()&gt;=LOOKUP(C237,'QALS - Inspection Lot Record'!P:P,'QALS - Inspection Lot Record'!J:J)+RANDBETWEEN(0,1),LOOKUP(C237,'QALS - Inspection Lot Record'!P:P,'QALS - Inspection Lot Record'!J:J)+RANDBETWEEN(0,1),"")</f>
        <v>45974</v>
      </c>
      <c r="G237" s="2" t="s">
        <v>441</v>
      </c>
      <c r="H237" s="62">
        <f t="shared" ca="1" si="3"/>
        <v>45975</v>
      </c>
      <c r="I237" s="29" t="s">
        <v>442</v>
      </c>
    </row>
    <row r="238" spans="1:9" x14ac:dyDescent="0.35">
      <c r="A238" s="31">
        <v>200000617</v>
      </c>
      <c r="B238" s="31">
        <v>1010</v>
      </c>
      <c r="C238" s="31">
        <v>4210</v>
      </c>
      <c r="D238" s="29" t="str">
        <f>LOOKUP(CAPA!C238,'QALS - Inspection Lot Record'!P:P,'QALS - Inspection Lot Record'!O:O)</f>
        <v>Ibuprofen Tablets (100 MG)</v>
      </c>
      <c r="E238" s="31">
        <v>78.099999999999994</v>
      </c>
      <c r="F238" s="62">
        <f ca="1">IF(TODAY()&gt;=LOOKUP(C238,'QALS - Inspection Lot Record'!P:P,'QALS - Inspection Lot Record'!J:J)+RANDBETWEEN(0,1),LOOKUP(C238,'QALS - Inspection Lot Record'!P:P,'QALS - Inspection Lot Record'!J:J)+RANDBETWEEN(0,1),"")</f>
        <v>45974</v>
      </c>
      <c r="G238" s="2" t="s">
        <v>447</v>
      </c>
      <c r="H238" s="62">
        <f t="shared" ca="1" si="3"/>
        <v>45975</v>
      </c>
      <c r="I238" s="29" t="s">
        <v>448</v>
      </c>
    </row>
    <row r="239" spans="1:9" x14ac:dyDescent="0.35">
      <c r="A239" s="31">
        <v>200000618</v>
      </c>
      <c r="B239" s="31">
        <v>1010</v>
      </c>
      <c r="C239" s="31">
        <v>4211</v>
      </c>
      <c r="D239" s="29" t="str">
        <f>LOOKUP(CAPA!C239,'QALS - Inspection Lot Record'!P:P,'QALS - Inspection Lot Record'!O:O)</f>
        <v>Aspirin Tablets (500 MG)</v>
      </c>
      <c r="E239" s="31">
        <v>68.099999999999994</v>
      </c>
      <c r="F239" s="62">
        <f ca="1">IF(TODAY()&gt;=LOOKUP(C239,'QALS - Inspection Lot Record'!P:P,'QALS - Inspection Lot Record'!J:J)+RANDBETWEEN(0,1),LOOKUP(C239,'QALS - Inspection Lot Record'!P:P,'QALS - Inspection Lot Record'!J:J)+RANDBETWEEN(0,1),"")</f>
        <v>45975</v>
      </c>
      <c r="G239" s="2" t="s">
        <v>447</v>
      </c>
      <c r="H239" s="62">
        <f t="shared" ca="1" si="3"/>
        <v>45976</v>
      </c>
      <c r="I239" s="29" t="s">
        <v>448</v>
      </c>
    </row>
    <row r="240" spans="1:9" x14ac:dyDescent="0.35">
      <c r="A240" s="31">
        <v>200000619</v>
      </c>
      <c r="B240" s="31">
        <v>1010</v>
      </c>
      <c r="C240" s="31">
        <v>4212</v>
      </c>
      <c r="D240" s="29" t="str">
        <f>LOOKUP(CAPA!C240,'QALS - Inspection Lot Record'!P:P,'QALS - Inspection Lot Record'!O:O)</f>
        <v>Ibuprofen Tablets (100 MG)</v>
      </c>
      <c r="E240" s="31">
        <v>21.1</v>
      </c>
      <c r="F240" s="62">
        <f ca="1">IF(TODAY()&gt;=LOOKUP(C240,'QALS - Inspection Lot Record'!P:P,'QALS - Inspection Lot Record'!J:J)+RANDBETWEEN(0,1),LOOKUP(C240,'QALS - Inspection Lot Record'!P:P,'QALS - Inspection Lot Record'!J:J)+RANDBETWEEN(0,1),"")</f>
        <v>45976</v>
      </c>
      <c r="G240" s="2" t="s">
        <v>453</v>
      </c>
      <c r="H240" s="62">
        <f t="shared" ca="1" si="3"/>
        <v>45976</v>
      </c>
      <c r="I240" s="29" t="s">
        <v>454</v>
      </c>
    </row>
    <row r="241" spans="1:9" x14ac:dyDescent="0.35">
      <c r="A241" s="31">
        <v>200000620</v>
      </c>
      <c r="B241" s="31">
        <v>1010</v>
      </c>
      <c r="C241" s="31">
        <v>4219</v>
      </c>
      <c r="D241" s="29" t="str">
        <f>LOOKUP(CAPA!C241,'QALS - Inspection Lot Record'!P:P,'QALS - Inspection Lot Record'!O:O)</f>
        <v>Aspirin Tablets (500 MG)</v>
      </c>
      <c r="E241" s="31">
        <v>38.6</v>
      </c>
      <c r="F241" s="62">
        <f ca="1">IF(TODAY()&gt;=LOOKUP(C241,'QALS - Inspection Lot Record'!P:P,'QALS - Inspection Lot Record'!J:J)+RANDBETWEEN(0,1),LOOKUP(C241,'QALS - Inspection Lot Record'!P:P,'QALS - Inspection Lot Record'!J:J)+RANDBETWEEN(0,1),"")</f>
        <v>45980</v>
      </c>
      <c r="G241" s="2" t="s">
        <v>447</v>
      </c>
      <c r="H241" s="62">
        <f t="shared" ca="1" si="3"/>
        <v>45982</v>
      </c>
      <c r="I241" s="29" t="s">
        <v>448</v>
      </c>
    </row>
    <row r="242" spans="1:9" x14ac:dyDescent="0.35">
      <c r="A242" s="31">
        <v>200000620</v>
      </c>
      <c r="B242" s="31">
        <v>1010</v>
      </c>
      <c r="C242" s="31">
        <v>4219</v>
      </c>
      <c r="D242" s="29" t="str">
        <f>LOOKUP(CAPA!C242,'QALS - Inspection Lot Record'!P:P,'QALS - Inspection Lot Record'!O:O)</f>
        <v>Aspirin Tablets (500 MG)</v>
      </c>
      <c r="E242" s="31">
        <v>68.2</v>
      </c>
      <c r="F242" s="62">
        <f ca="1">IF(TODAY()&gt;=LOOKUP(C242,'QALS - Inspection Lot Record'!P:P,'QALS - Inspection Lot Record'!J:J)+RANDBETWEEN(0,1),LOOKUP(C242,'QALS - Inspection Lot Record'!P:P,'QALS - Inspection Lot Record'!J:J)+RANDBETWEEN(0,1),"")</f>
        <v>45979</v>
      </c>
      <c r="G242" s="2" t="s">
        <v>447</v>
      </c>
      <c r="H242" s="62">
        <f t="shared" ca="1" si="3"/>
        <v>45981</v>
      </c>
      <c r="I242" s="29" t="s">
        <v>448</v>
      </c>
    </row>
    <row r="243" spans="1:9" x14ac:dyDescent="0.35">
      <c r="A243" s="31">
        <v>200000620</v>
      </c>
      <c r="B243" s="31">
        <v>1010</v>
      </c>
      <c r="C243" s="31">
        <v>4219</v>
      </c>
      <c r="D243" s="29" t="str">
        <f>LOOKUP(CAPA!C243,'QALS - Inspection Lot Record'!P:P,'QALS - Inspection Lot Record'!O:O)</f>
        <v>Aspirin Tablets (500 MG)</v>
      </c>
      <c r="E243" s="31">
        <v>78.2</v>
      </c>
      <c r="F243" s="62">
        <f ca="1">IF(TODAY()&gt;=LOOKUP(C243,'QALS - Inspection Lot Record'!P:P,'QALS - Inspection Lot Record'!J:J)+RANDBETWEEN(0,1),LOOKUP(C243,'QALS - Inspection Lot Record'!P:P,'QALS - Inspection Lot Record'!J:J)+RANDBETWEEN(0,1),"")</f>
        <v>45979</v>
      </c>
      <c r="G243" s="2" t="s">
        <v>447</v>
      </c>
      <c r="H243" s="62">
        <f t="shared" ca="1" si="3"/>
        <v>45981</v>
      </c>
      <c r="I243" s="29" t="s">
        <v>448</v>
      </c>
    </row>
    <row r="244" spans="1:9" x14ac:dyDescent="0.35">
      <c r="A244" s="31">
        <v>200000620</v>
      </c>
      <c r="B244" s="31">
        <v>1010</v>
      </c>
      <c r="C244" s="31">
        <v>4219</v>
      </c>
      <c r="D244" s="29" t="str">
        <f>LOOKUP(CAPA!C244,'QALS - Inspection Lot Record'!P:P,'QALS - Inspection Lot Record'!O:O)</f>
        <v>Aspirin Tablets (500 MG)</v>
      </c>
      <c r="E244" s="31">
        <v>22.4</v>
      </c>
      <c r="F244" s="62">
        <f ca="1">IF(TODAY()&gt;=LOOKUP(C244,'QALS - Inspection Lot Record'!P:P,'QALS - Inspection Lot Record'!J:J)+RANDBETWEEN(0,1),LOOKUP(C244,'QALS - Inspection Lot Record'!P:P,'QALS - Inspection Lot Record'!J:J)+RANDBETWEEN(0,1),"")</f>
        <v>45980</v>
      </c>
      <c r="G244" s="2" t="s">
        <v>466</v>
      </c>
      <c r="H244" s="62">
        <f t="shared" ca="1" si="3"/>
        <v>45980</v>
      </c>
      <c r="I244" s="29" t="s">
        <v>467</v>
      </c>
    </row>
    <row r="245" spans="1:9" x14ac:dyDescent="0.35">
      <c r="A245" s="31">
        <v>200000621</v>
      </c>
      <c r="B245" s="31">
        <v>1010</v>
      </c>
      <c r="C245" s="31">
        <v>4220</v>
      </c>
      <c r="D245" s="29" t="str">
        <f>LOOKUP(CAPA!C245,'QALS - Inspection Lot Record'!P:P,'QALS - Inspection Lot Record'!O:O)</f>
        <v>Metformin Tablets (100 MG)</v>
      </c>
      <c r="E245" s="31">
        <v>1.7</v>
      </c>
      <c r="F245" s="62">
        <f ca="1">IF(TODAY()&gt;=LOOKUP(C245,'QALS - Inspection Lot Record'!P:P,'QALS - Inspection Lot Record'!J:J)+RANDBETWEEN(0,1),LOOKUP(C245,'QALS - Inspection Lot Record'!P:P,'QALS - Inspection Lot Record'!J:J)+RANDBETWEEN(0,1),"")</f>
        <v>45980</v>
      </c>
      <c r="G245" s="2" t="s">
        <v>443</v>
      </c>
      <c r="H245" s="62">
        <f t="shared" ca="1" si="3"/>
        <v>45980</v>
      </c>
      <c r="I245" s="29" t="s">
        <v>444</v>
      </c>
    </row>
    <row r="246" spans="1:9" x14ac:dyDescent="0.35">
      <c r="A246" s="31">
        <v>200000621</v>
      </c>
      <c r="B246" s="31">
        <v>1010</v>
      </c>
      <c r="C246" s="31">
        <v>4220</v>
      </c>
      <c r="D246" s="29" t="str">
        <f>LOOKUP(CAPA!C246,'QALS - Inspection Lot Record'!P:P,'QALS - Inspection Lot Record'!O:O)</f>
        <v>Metformin Tablets (100 MG)</v>
      </c>
      <c r="E246" s="31">
        <v>68.3</v>
      </c>
      <c r="F246" s="62">
        <f ca="1">IF(TODAY()&gt;=LOOKUP(C246,'QALS - Inspection Lot Record'!P:P,'QALS - Inspection Lot Record'!J:J)+RANDBETWEEN(0,1),LOOKUP(C246,'QALS - Inspection Lot Record'!P:P,'QALS - Inspection Lot Record'!J:J)+RANDBETWEEN(0,1),"")</f>
        <v>45980</v>
      </c>
      <c r="G246" s="2" t="s">
        <v>447</v>
      </c>
      <c r="H246" s="62">
        <f t="shared" ca="1" si="3"/>
        <v>45981</v>
      </c>
      <c r="I246" s="29" t="s">
        <v>448</v>
      </c>
    </row>
    <row r="247" spans="1:9" x14ac:dyDescent="0.35">
      <c r="A247" s="31">
        <v>200000621</v>
      </c>
      <c r="B247" s="31">
        <v>1010</v>
      </c>
      <c r="C247" s="31">
        <v>4220</v>
      </c>
      <c r="D247" s="29" t="str">
        <f>LOOKUP(CAPA!C247,'QALS - Inspection Lot Record'!P:P,'QALS - Inspection Lot Record'!O:O)</f>
        <v>Metformin Tablets (100 MG)</v>
      </c>
      <c r="E247" s="31">
        <v>78.2</v>
      </c>
      <c r="F247" s="62">
        <f ca="1">IF(TODAY()&gt;=LOOKUP(C247,'QALS - Inspection Lot Record'!P:P,'QALS - Inspection Lot Record'!J:J)+RANDBETWEEN(0,1),LOOKUP(C247,'QALS - Inspection Lot Record'!P:P,'QALS - Inspection Lot Record'!J:J)+RANDBETWEEN(0,1),"")</f>
        <v>45979</v>
      </c>
      <c r="G247" s="2" t="s">
        <v>447</v>
      </c>
      <c r="H247" s="62">
        <f t="shared" ca="1" si="3"/>
        <v>45979</v>
      </c>
      <c r="I247" s="29" t="s">
        <v>448</v>
      </c>
    </row>
    <row r="248" spans="1:9" x14ac:dyDescent="0.35">
      <c r="A248" s="31">
        <v>200000622</v>
      </c>
      <c r="B248" s="31">
        <v>1010</v>
      </c>
      <c r="C248" s="31">
        <v>4223</v>
      </c>
      <c r="D248" s="29" t="str">
        <f>LOOKUP(CAPA!C248,'QALS - Inspection Lot Record'!P:P,'QALS - Inspection Lot Record'!O:O)</f>
        <v>Metformin Tablets (200 MG)</v>
      </c>
      <c r="E248" s="31">
        <v>4.4000000000000004</v>
      </c>
      <c r="F248" s="62">
        <f ca="1">IF(TODAY()&gt;=LOOKUP(C248,'QALS - Inspection Lot Record'!P:P,'QALS - Inspection Lot Record'!J:J)+RANDBETWEEN(0,1),LOOKUP(C248,'QALS - Inspection Lot Record'!P:P,'QALS - Inspection Lot Record'!J:J)+RANDBETWEEN(0,1),"")</f>
        <v>45982</v>
      </c>
      <c r="G248" s="2" t="s">
        <v>443</v>
      </c>
      <c r="H248" s="62">
        <f t="shared" ca="1" si="3"/>
        <v>45982</v>
      </c>
      <c r="I248" s="29" t="s">
        <v>444</v>
      </c>
    </row>
    <row r="249" spans="1:9" x14ac:dyDescent="0.35">
      <c r="A249" s="31">
        <v>200000622</v>
      </c>
      <c r="B249" s="31">
        <v>1010</v>
      </c>
      <c r="C249" s="31">
        <v>4223</v>
      </c>
      <c r="D249" s="29" t="str">
        <f>LOOKUP(CAPA!C249,'QALS - Inspection Lot Record'!P:P,'QALS - Inspection Lot Record'!O:O)</f>
        <v>Metformin Tablets (200 MG)</v>
      </c>
      <c r="E249" s="31">
        <v>69</v>
      </c>
      <c r="F249" s="62">
        <f ca="1">IF(TODAY()&gt;=LOOKUP(C249,'QALS - Inspection Lot Record'!P:P,'QALS - Inspection Lot Record'!J:J)+RANDBETWEEN(0,1),LOOKUP(C249,'QALS - Inspection Lot Record'!P:P,'QALS - Inspection Lot Record'!J:J)+RANDBETWEEN(0,1),"")</f>
        <v>45981</v>
      </c>
      <c r="G249" s="2" t="s">
        <v>447</v>
      </c>
      <c r="H249" s="62">
        <f t="shared" ca="1" si="3"/>
        <v>45983</v>
      </c>
      <c r="I249" s="29" t="s">
        <v>448</v>
      </c>
    </row>
    <row r="250" spans="1:9" x14ac:dyDescent="0.35">
      <c r="A250" s="31">
        <v>200000622</v>
      </c>
      <c r="B250" s="31">
        <v>1010</v>
      </c>
      <c r="C250" s="31">
        <v>4223</v>
      </c>
      <c r="D250" s="29" t="str">
        <f>LOOKUP(CAPA!C250,'QALS - Inspection Lot Record'!P:P,'QALS - Inspection Lot Record'!O:O)</f>
        <v>Metformin Tablets (200 MG)</v>
      </c>
      <c r="E250" s="31">
        <v>79</v>
      </c>
      <c r="F250" s="62">
        <f ca="1">IF(TODAY()&gt;=LOOKUP(C250,'QALS - Inspection Lot Record'!P:P,'QALS - Inspection Lot Record'!J:J)+RANDBETWEEN(0,1),LOOKUP(C250,'QALS - Inspection Lot Record'!P:P,'QALS - Inspection Lot Record'!J:J)+RANDBETWEEN(0,1),"")</f>
        <v>45981</v>
      </c>
      <c r="G250" s="2" t="s">
        <v>447</v>
      </c>
      <c r="H250" s="62">
        <f t="shared" ca="1" si="3"/>
        <v>45983</v>
      </c>
      <c r="I250" s="29" t="s">
        <v>448</v>
      </c>
    </row>
    <row r="251" spans="1:9" x14ac:dyDescent="0.35">
      <c r="A251" s="31">
        <v>200000623</v>
      </c>
      <c r="B251" s="31">
        <v>1010</v>
      </c>
      <c r="C251" s="31">
        <v>4224</v>
      </c>
      <c r="D251" s="29" t="str">
        <f>LOOKUP(CAPA!C251,'QALS - Inspection Lot Record'!P:P,'QALS - Inspection Lot Record'!O:O)</f>
        <v>Metformin Tablets (500 MG)</v>
      </c>
      <c r="E251" s="31">
        <v>68.599999999999994</v>
      </c>
      <c r="F251" s="62">
        <f ca="1">IF(TODAY()&gt;=LOOKUP(C251,'QALS - Inspection Lot Record'!P:P,'QALS - Inspection Lot Record'!J:J)+RANDBETWEEN(0,1),LOOKUP(C251,'QALS - Inspection Lot Record'!P:P,'QALS - Inspection Lot Record'!J:J)+RANDBETWEEN(0,1),"")</f>
        <v>45982</v>
      </c>
      <c r="G251" s="2" t="s">
        <v>447</v>
      </c>
      <c r="H251" s="62">
        <f t="shared" ca="1" si="3"/>
        <v>45982</v>
      </c>
      <c r="I251" s="29" t="s">
        <v>448</v>
      </c>
    </row>
    <row r="252" spans="1:9" x14ac:dyDescent="0.35">
      <c r="A252" s="31">
        <v>200000623</v>
      </c>
      <c r="B252" s="31">
        <v>1010</v>
      </c>
      <c r="C252" s="31">
        <v>4224</v>
      </c>
      <c r="D252" s="29" t="str">
        <f>LOOKUP(CAPA!C252,'QALS - Inspection Lot Record'!P:P,'QALS - Inspection Lot Record'!O:O)</f>
        <v>Metformin Tablets (500 MG)</v>
      </c>
      <c r="E252" s="31">
        <v>78.900000000000006</v>
      </c>
      <c r="F252" s="62">
        <f ca="1">IF(TODAY()&gt;=LOOKUP(C252,'QALS - Inspection Lot Record'!P:P,'QALS - Inspection Lot Record'!J:J)+RANDBETWEEN(0,1),LOOKUP(C252,'QALS - Inspection Lot Record'!P:P,'QALS - Inspection Lot Record'!J:J)+RANDBETWEEN(0,1),"")</f>
        <v>45982</v>
      </c>
      <c r="G252" s="2" t="s">
        <v>447</v>
      </c>
      <c r="H252" s="62">
        <f t="shared" ca="1" si="3"/>
        <v>45983</v>
      </c>
      <c r="I252" s="29" t="s">
        <v>448</v>
      </c>
    </row>
    <row r="253" spans="1:9" x14ac:dyDescent="0.35">
      <c r="A253" s="31">
        <v>200000624</v>
      </c>
      <c r="B253" s="31">
        <v>1010</v>
      </c>
      <c r="C253" s="31">
        <v>4227</v>
      </c>
      <c r="D253" s="29" t="str">
        <f>LOOKUP(CAPA!C253,'QALS - Inspection Lot Record'!P:P,'QALS - Inspection Lot Record'!O:O)</f>
        <v>Aspirin Tablets (500 MG)</v>
      </c>
      <c r="E253" s="31">
        <v>93.9</v>
      </c>
      <c r="F253" s="62">
        <f ca="1">IF(TODAY()&gt;=LOOKUP(C253,'QALS - Inspection Lot Record'!P:P,'QALS - Inspection Lot Record'!J:J)+RANDBETWEEN(0,1),LOOKUP(C253,'QALS - Inspection Lot Record'!P:P,'QALS - Inspection Lot Record'!J:J)+RANDBETWEEN(0,1),"")</f>
        <v>45984</v>
      </c>
      <c r="G253" s="2" t="s">
        <v>451</v>
      </c>
      <c r="H253" s="62">
        <f t="shared" ca="1" si="3"/>
        <v>45984</v>
      </c>
      <c r="I253" s="29" t="s">
        <v>452</v>
      </c>
    </row>
    <row r="254" spans="1:9" x14ac:dyDescent="0.35">
      <c r="A254" s="31">
        <v>200000624</v>
      </c>
      <c r="B254" s="31">
        <v>1010</v>
      </c>
      <c r="C254" s="31">
        <v>4227</v>
      </c>
      <c r="D254" s="29" t="str">
        <f>LOOKUP(CAPA!C254,'QALS - Inspection Lot Record'!P:P,'QALS - Inspection Lot Record'!O:O)</f>
        <v>Aspirin Tablets (500 MG)</v>
      </c>
      <c r="E254" s="31">
        <v>1.9</v>
      </c>
      <c r="F254" s="62">
        <f ca="1">IF(TODAY()&gt;=LOOKUP(C254,'QALS - Inspection Lot Record'!P:P,'QALS - Inspection Lot Record'!J:J)+RANDBETWEEN(0,1),LOOKUP(C254,'QALS - Inspection Lot Record'!P:P,'QALS - Inspection Lot Record'!J:J)+RANDBETWEEN(0,1),"")</f>
        <v>45983</v>
      </c>
      <c r="G254" s="2" t="s">
        <v>457</v>
      </c>
      <c r="H254" s="62">
        <f t="shared" ca="1" si="3"/>
        <v>45985</v>
      </c>
      <c r="I254" s="29" t="s">
        <v>458</v>
      </c>
    </row>
    <row r="255" spans="1:9" x14ac:dyDescent="0.35">
      <c r="A255" s="31">
        <v>200000624</v>
      </c>
      <c r="B255" s="31">
        <v>1010</v>
      </c>
      <c r="C255" s="31">
        <v>4227</v>
      </c>
      <c r="D255" s="29" t="str">
        <f>LOOKUP(CAPA!C255,'QALS - Inspection Lot Record'!P:P,'QALS - Inspection Lot Record'!O:O)</f>
        <v>Aspirin Tablets (500 MG)</v>
      </c>
      <c r="E255" s="31">
        <v>78.900000000000006</v>
      </c>
      <c r="F255" s="62">
        <f ca="1">IF(TODAY()&gt;=LOOKUP(C255,'QALS - Inspection Lot Record'!P:P,'QALS - Inspection Lot Record'!J:J)+RANDBETWEEN(0,1),LOOKUP(C255,'QALS - Inspection Lot Record'!P:P,'QALS - Inspection Lot Record'!J:J)+RANDBETWEEN(0,1),"")</f>
        <v>45984</v>
      </c>
      <c r="G255" s="2" t="s">
        <v>447</v>
      </c>
      <c r="H255" s="62">
        <f t="shared" ca="1" si="3"/>
        <v>45985</v>
      </c>
      <c r="I255" s="29" t="s">
        <v>448</v>
      </c>
    </row>
    <row r="256" spans="1:9" x14ac:dyDescent="0.35">
      <c r="A256" s="31">
        <v>200000625</v>
      </c>
      <c r="B256" s="31">
        <v>1010</v>
      </c>
      <c r="C256" s="31">
        <v>4228</v>
      </c>
      <c r="D256" s="29" t="str">
        <f>LOOKUP(CAPA!C256,'QALS - Inspection Lot Record'!P:P,'QALS - Inspection Lot Record'!O:O)</f>
        <v>Metformin Tablets (100 MG)</v>
      </c>
      <c r="E256" s="31">
        <v>2.5</v>
      </c>
      <c r="F256" s="62">
        <f ca="1">IF(TODAY()&gt;=LOOKUP(C256,'QALS - Inspection Lot Record'!P:P,'QALS - Inspection Lot Record'!J:J)+RANDBETWEEN(0,1),LOOKUP(C256,'QALS - Inspection Lot Record'!P:P,'QALS - Inspection Lot Record'!J:J)+RANDBETWEEN(0,1),"")</f>
        <v>45984</v>
      </c>
      <c r="G256" s="2" t="s">
        <v>457</v>
      </c>
      <c r="H256" s="62">
        <f t="shared" ca="1" si="3"/>
        <v>45985</v>
      </c>
      <c r="I256" s="29" t="s">
        <v>458</v>
      </c>
    </row>
    <row r="257" spans="1:9" x14ac:dyDescent="0.35">
      <c r="A257" s="31">
        <v>200000625</v>
      </c>
      <c r="B257" s="31">
        <v>1010</v>
      </c>
      <c r="C257" s="31">
        <v>4228</v>
      </c>
      <c r="D257" s="29" t="str">
        <f>LOOKUP(CAPA!C257,'QALS - Inspection Lot Record'!P:P,'QALS - Inspection Lot Record'!O:O)</f>
        <v>Metformin Tablets (100 MG)</v>
      </c>
      <c r="E257" s="31">
        <v>38.1</v>
      </c>
      <c r="F257" s="62">
        <f ca="1">IF(TODAY()&gt;=LOOKUP(C257,'QALS - Inspection Lot Record'!P:P,'QALS - Inspection Lot Record'!J:J)+RANDBETWEEN(0,1),LOOKUP(C257,'QALS - Inspection Lot Record'!P:P,'QALS - Inspection Lot Record'!J:J)+RANDBETWEEN(0,1),"")</f>
        <v>45984</v>
      </c>
      <c r="G257" s="2" t="s">
        <v>449</v>
      </c>
      <c r="H257" s="62">
        <f t="shared" ca="1" si="3"/>
        <v>45984</v>
      </c>
      <c r="I257" s="29" t="s">
        <v>450</v>
      </c>
    </row>
    <row r="258" spans="1:9" x14ac:dyDescent="0.35">
      <c r="A258" s="31">
        <v>200000625</v>
      </c>
      <c r="B258" s="31">
        <v>1010</v>
      </c>
      <c r="C258" s="31">
        <v>4228</v>
      </c>
      <c r="D258" s="29" t="str">
        <f>LOOKUP(CAPA!C258,'QALS - Inspection Lot Record'!P:P,'QALS - Inspection Lot Record'!O:O)</f>
        <v>Metformin Tablets (100 MG)</v>
      </c>
      <c r="E258" s="31">
        <v>68.5</v>
      </c>
      <c r="F258" s="62">
        <f ca="1">IF(TODAY()&gt;=LOOKUP(C258,'QALS - Inspection Lot Record'!P:P,'QALS - Inspection Lot Record'!J:J)+RANDBETWEEN(0,1),LOOKUP(C258,'QALS - Inspection Lot Record'!P:P,'QALS - Inspection Lot Record'!J:J)+RANDBETWEEN(0,1),"")</f>
        <v>45983</v>
      </c>
      <c r="G258" s="2" t="s">
        <v>447</v>
      </c>
      <c r="H258" s="62">
        <f t="shared" ref="H258:H321" ca="1" si="4">IF(TODAY()&gt;=F258+RANDBETWEEN(0,2),F258+RANDBETWEEN(0,2),"")</f>
        <v>45984</v>
      </c>
      <c r="I258" s="29" t="s">
        <v>448</v>
      </c>
    </row>
    <row r="259" spans="1:9" x14ac:dyDescent="0.35">
      <c r="A259" s="31">
        <v>200000626</v>
      </c>
      <c r="B259" s="31">
        <v>1010</v>
      </c>
      <c r="C259" s="31">
        <v>4231</v>
      </c>
      <c r="D259" s="29" t="str">
        <f>LOOKUP(CAPA!C259,'QALS - Inspection Lot Record'!P:P,'QALS - Inspection Lot Record'!O:O)</f>
        <v>Metformin Tablets (200 MG)</v>
      </c>
      <c r="E259" s="31">
        <v>78.8</v>
      </c>
      <c r="F259" s="62">
        <f ca="1">IF(TODAY()&gt;=LOOKUP(C259,'QALS - Inspection Lot Record'!P:P,'QALS - Inspection Lot Record'!J:J)+RANDBETWEEN(0,1),LOOKUP(C259,'QALS - Inspection Lot Record'!P:P,'QALS - Inspection Lot Record'!J:J)+RANDBETWEEN(0,1),"")</f>
        <v>45985</v>
      </c>
      <c r="G259" s="2" t="s">
        <v>447</v>
      </c>
      <c r="H259" s="62">
        <f t="shared" ca="1" si="4"/>
        <v>45985</v>
      </c>
      <c r="I259" s="29" t="s">
        <v>448</v>
      </c>
    </row>
    <row r="260" spans="1:9" x14ac:dyDescent="0.35">
      <c r="A260" s="31">
        <v>200000627</v>
      </c>
      <c r="B260" s="31">
        <v>1010</v>
      </c>
      <c r="C260" s="31">
        <v>4232</v>
      </c>
      <c r="D260" s="29" t="str">
        <f>LOOKUP(CAPA!C260,'QALS - Inspection Lot Record'!P:P,'QALS - Inspection Lot Record'!O:O)</f>
        <v>Metformin Tablets (500 MG)</v>
      </c>
      <c r="E260" s="31">
        <v>93.7</v>
      </c>
      <c r="F260" s="62">
        <f ca="1">IF(TODAY()&gt;=LOOKUP(C260,'QALS - Inspection Lot Record'!P:P,'QALS - Inspection Lot Record'!J:J)+RANDBETWEEN(0,1),LOOKUP(C260,'QALS - Inspection Lot Record'!P:P,'QALS - Inspection Lot Record'!J:J)+RANDBETWEEN(0,1),"")</f>
        <v>45986</v>
      </c>
      <c r="G260" s="2" t="s">
        <v>441</v>
      </c>
      <c r="H260" s="62">
        <f t="shared" ca="1" si="4"/>
        <v>45986</v>
      </c>
      <c r="I260" s="29" t="s">
        <v>442</v>
      </c>
    </row>
    <row r="261" spans="1:9" x14ac:dyDescent="0.35">
      <c r="A261" s="31">
        <v>200000627</v>
      </c>
      <c r="B261" s="31">
        <v>1010</v>
      </c>
      <c r="C261" s="31">
        <v>4232</v>
      </c>
      <c r="D261" s="29" t="str">
        <f>LOOKUP(CAPA!C261,'QALS - Inspection Lot Record'!P:P,'QALS - Inspection Lot Record'!O:O)</f>
        <v>Metformin Tablets (500 MG)</v>
      </c>
      <c r="E261" s="31">
        <v>68.400000000000006</v>
      </c>
      <c r="F261" s="62">
        <f ca="1">IF(TODAY()&gt;=LOOKUP(C261,'QALS - Inspection Lot Record'!P:P,'QALS - Inspection Lot Record'!J:J)+RANDBETWEEN(0,1),LOOKUP(C261,'QALS - Inspection Lot Record'!P:P,'QALS - Inspection Lot Record'!J:J)+RANDBETWEEN(0,1),"")</f>
        <v>45986</v>
      </c>
      <c r="G261" s="2" t="s">
        <v>447</v>
      </c>
      <c r="H261" s="62">
        <f t="shared" ca="1" si="4"/>
        <v>45986</v>
      </c>
      <c r="I261" s="29" t="s">
        <v>448</v>
      </c>
    </row>
    <row r="262" spans="1:9" x14ac:dyDescent="0.35">
      <c r="A262" s="31">
        <v>200000628</v>
      </c>
      <c r="B262" s="31">
        <v>1010</v>
      </c>
      <c r="C262" s="31">
        <v>4235</v>
      </c>
      <c r="D262" s="29" t="str">
        <f>LOOKUP(CAPA!C262,'QALS - Inspection Lot Record'!P:P,'QALS - Inspection Lot Record'!O:O)</f>
        <v>Metformin Tablets (100 MG)</v>
      </c>
      <c r="E262" s="31">
        <v>94.3</v>
      </c>
      <c r="F262" s="62">
        <f ca="1">IF(TODAY()&gt;=LOOKUP(C262,'QALS - Inspection Lot Record'!P:P,'QALS - Inspection Lot Record'!J:J)+RANDBETWEEN(0,1),LOOKUP(C262,'QALS - Inspection Lot Record'!P:P,'QALS - Inspection Lot Record'!J:J)+RANDBETWEEN(0,1),"")</f>
        <v>45987</v>
      </c>
      <c r="G262" s="2" t="s">
        <v>468</v>
      </c>
      <c r="H262" s="62">
        <f t="shared" ca="1" si="4"/>
        <v>45988</v>
      </c>
      <c r="I262" s="29" t="s">
        <v>469</v>
      </c>
    </row>
    <row r="263" spans="1:9" x14ac:dyDescent="0.35">
      <c r="A263" s="31">
        <v>200000628</v>
      </c>
      <c r="B263" s="31">
        <v>1010</v>
      </c>
      <c r="C263" s="31">
        <v>4235</v>
      </c>
      <c r="D263" s="29" t="str">
        <f>LOOKUP(CAPA!C263,'QALS - Inspection Lot Record'!P:P,'QALS - Inspection Lot Record'!O:O)</f>
        <v>Metformin Tablets (100 MG)</v>
      </c>
      <c r="E263" s="31">
        <v>1.2</v>
      </c>
      <c r="F263" s="62">
        <f ca="1">IF(TODAY()&gt;=LOOKUP(C263,'QALS - Inspection Lot Record'!P:P,'QALS - Inspection Lot Record'!J:J)+RANDBETWEEN(0,1),LOOKUP(C263,'QALS - Inspection Lot Record'!P:P,'QALS - Inspection Lot Record'!J:J)+RANDBETWEEN(0,1),"")</f>
        <v>45987</v>
      </c>
      <c r="G263" s="2" t="s">
        <v>445</v>
      </c>
      <c r="H263" s="62">
        <f t="shared" ca="1" si="4"/>
        <v>45987</v>
      </c>
      <c r="I263" s="29" t="s">
        <v>446</v>
      </c>
    </row>
    <row r="264" spans="1:9" x14ac:dyDescent="0.35">
      <c r="A264" s="31">
        <v>200000628</v>
      </c>
      <c r="B264" s="31">
        <v>1010</v>
      </c>
      <c r="C264" s="31">
        <v>4235</v>
      </c>
      <c r="D264" s="29" t="str">
        <f>LOOKUP(CAPA!C264,'QALS - Inspection Lot Record'!P:P,'QALS - Inspection Lot Record'!O:O)</f>
        <v>Metformin Tablets (100 MG)</v>
      </c>
      <c r="E264" s="31">
        <v>38.9</v>
      </c>
      <c r="F264" s="62">
        <f ca="1">IF(TODAY()&gt;=LOOKUP(C264,'QALS - Inspection Lot Record'!P:P,'QALS - Inspection Lot Record'!J:J)+RANDBETWEEN(0,1),LOOKUP(C264,'QALS - Inspection Lot Record'!P:P,'QALS - Inspection Lot Record'!J:J)+RANDBETWEEN(0,1),"")</f>
        <v>45988</v>
      </c>
      <c r="G264" s="2" t="s">
        <v>447</v>
      </c>
      <c r="H264" s="62">
        <f t="shared" ca="1" si="4"/>
        <v>45988</v>
      </c>
      <c r="I264" s="29" t="s">
        <v>448</v>
      </c>
    </row>
    <row r="265" spans="1:9" x14ac:dyDescent="0.35">
      <c r="A265" s="31">
        <v>200000629</v>
      </c>
      <c r="B265" s="31">
        <v>1010</v>
      </c>
      <c r="C265" s="31">
        <v>4236</v>
      </c>
      <c r="D265" s="29" t="str">
        <f>LOOKUP(CAPA!C265,'QALS - Inspection Lot Record'!P:P,'QALS - Inspection Lot Record'!O:O)</f>
        <v>Ibuprofen Tablets (100 MG)</v>
      </c>
      <c r="E265" s="31">
        <v>93.2</v>
      </c>
      <c r="F265" s="62">
        <f ca="1">IF(TODAY()&gt;=LOOKUP(C265,'QALS - Inspection Lot Record'!P:P,'QALS - Inspection Lot Record'!J:J)+RANDBETWEEN(0,1),LOOKUP(C265,'QALS - Inspection Lot Record'!P:P,'QALS - Inspection Lot Record'!J:J)+RANDBETWEEN(0,1),"")</f>
        <v>45988</v>
      </c>
      <c r="G265" s="2" t="s">
        <v>441</v>
      </c>
      <c r="H265" s="62">
        <f t="shared" ca="1" si="4"/>
        <v>45989</v>
      </c>
      <c r="I265" s="29" t="s">
        <v>442</v>
      </c>
    </row>
    <row r="266" spans="1:9" x14ac:dyDescent="0.35">
      <c r="A266" s="31">
        <v>200000629</v>
      </c>
      <c r="B266" s="31">
        <v>1010</v>
      </c>
      <c r="C266" s="31">
        <v>4236</v>
      </c>
      <c r="D266" s="29" t="str">
        <f>LOOKUP(CAPA!C266,'QALS - Inspection Lot Record'!P:P,'QALS - Inspection Lot Record'!O:O)</f>
        <v>Ibuprofen Tablets (100 MG)</v>
      </c>
      <c r="E266" s="31">
        <v>1.6</v>
      </c>
      <c r="F266" s="62">
        <f ca="1">IF(TODAY()&gt;=LOOKUP(C266,'QALS - Inspection Lot Record'!P:P,'QALS - Inspection Lot Record'!J:J)+RANDBETWEEN(0,1),LOOKUP(C266,'QALS - Inspection Lot Record'!P:P,'QALS - Inspection Lot Record'!J:J)+RANDBETWEEN(0,1),"")</f>
        <v>45987</v>
      </c>
      <c r="G266" s="2" t="s">
        <v>443</v>
      </c>
      <c r="H266" s="62">
        <f t="shared" ca="1" si="4"/>
        <v>45989</v>
      </c>
      <c r="I266" s="29" t="s">
        <v>444</v>
      </c>
    </row>
    <row r="267" spans="1:9" x14ac:dyDescent="0.35">
      <c r="A267" s="31">
        <v>200000629</v>
      </c>
      <c r="B267" s="31">
        <v>1010</v>
      </c>
      <c r="C267" s="31">
        <v>4236</v>
      </c>
      <c r="D267" s="29" t="str">
        <f>LOOKUP(CAPA!C267,'QALS - Inspection Lot Record'!P:P,'QALS - Inspection Lot Record'!O:O)</f>
        <v>Ibuprofen Tablets (100 MG)</v>
      </c>
      <c r="E267" s="31">
        <v>68.3</v>
      </c>
      <c r="F267" s="62">
        <f ca="1">IF(TODAY()&gt;=LOOKUP(C267,'QALS - Inspection Lot Record'!P:P,'QALS - Inspection Lot Record'!J:J)+RANDBETWEEN(0,1),LOOKUP(C267,'QALS - Inspection Lot Record'!P:P,'QALS - Inspection Lot Record'!J:J)+RANDBETWEEN(0,1),"")</f>
        <v>45987</v>
      </c>
      <c r="G267" s="2" t="s">
        <v>447</v>
      </c>
      <c r="H267" s="62">
        <f t="shared" ca="1" si="4"/>
        <v>45988</v>
      </c>
      <c r="I267" s="29" t="s">
        <v>448</v>
      </c>
    </row>
    <row r="268" spans="1:9" x14ac:dyDescent="0.35">
      <c r="A268" s="31">
        <v>200000630</v>
      </c>
      <c r="B268" s="31">
        <v>1010</v>
      </c>
      <c r="C268" s="31">
        <v>4239</v>
      </c>
      <c r="D268" s="29" t="str">
        <f>LOOKUP(CAPA!C268,'QALS - Inspection Lot Record'!P:P,'QALS - Inspection Lot Record'!O:O)</f>
        <v>Metformin Tablets (500 MG)</v>
      </c>
      <c r="E268" s="31">
        <v>1.6</v>
      </c>
      <c r="F268" s="62">
        <f ca="1">IF(TODAY()&gt;=LOOKUP(C268,'QALS - Inspection Lot Record'!P:P,'QALS - Inspection Lot Record'!J:J)+RANDBETWEEN(0,1),LOOKUP(C268,'QALS - Inspection Lot Record'!P:P,'QALS - Inspection Lot Record'!J:J)+RANDBETWEEN(0,1),"")</f>
        <v>45990</v>
      </c>
      <c r="G268" s="2" t="s">
        <v>443</v>
      </c>
      <c r="H268" s="62">
        <f t="shared" ca="1" si="4"/>
        <v>45990</v>
      </c>
      <c r="I268" s="29" t="s">
        <v>444</v>
      </c>
    </row>
    <row r="269" spans="1:9" x14ac:dyDescent="0.35">
      <c r="A269" s="31">
        <v>200000631</v>
      </c>
      <c r="B269" s="31">
        <v>1010</v>
      </c>
      <c r="C269" s="31">
        <v>4240</v>
      </c>
      <c r="D269" s="29" t="str">
        <f>LOOKUP(CAPA!C269,'QALS - Inspection Lot Record'!P:P,'QALS - Inspection Lot Record'!O:O)</f>
        <v>Aspirin Tablets (500 MG)</v>
      </c>
      <c r="E269" s="31">
        <v>21.9</v>
      </c>
      <c r="F269" s="62">
        <f ca="1">IF(TODAY()&gt;=LOOKUP(C269,'QALS - Inspection Lot Record'!P:P,'QALS - Inspection Lot Record'!J:J)+RANDBETWEEN(0,1),LOOKUP(C269,'QALS - Inspection Lot Record'!P:P,'QALS - Inspection Lot Record'!J:J)+RANDBETWEEN(0,1),"")</f>
        <v>45989</v>
      </c>
      <c r="G269" s="2" t="s">
        <v>453</v>
      </c>
      <c r="H269" s="62">
        <f t="shared" ca="1" si="4"/>
        <v>45990</v>
      </c>
      <c r="I269" s="29" t="s">
        <v>454</v>
      </c>
    </row>
    <row r="270" spans="1:9" x14ac:dyDescent="0.35">
      <c r="A270" s="31">
        <v>200000632</v>
      </c>
      <c r="B270" s="31">
        <v>1010</v>
      </c>
      <c r="C270" s="31">
        <v>4241</v>
      </c>
      <c r="D270" s="29" t="str">
        <f>LOOKUP(CAPA!C270,'QALS - Inspection Lot Record'!P:P,'QALS - Inspection Lot Record'!O:O)</f>
        <v>Ibuprofen Tablets (100 MG)</v>
      </c>
      <c r="E270" s="31">
        <v>38.5</v>
      </c>
      <c r="F270" s="62">
        <f ca="1">IF(TODAY()&gt;=LOOKUP(C270,'QALS - Inspection Lot Record'!P:P,'QALS - Inspection Lot Record'!J:J)+RANDBETWEEN(0,1),LOOKUP(C270,'QALS - Inspection Lot Record'!P:P,'QALS - Inspection Lot Record'!J:J)+RANDBETWEEN(0,1),"")</f>
        <v>45990</v>
      </c>
      <c r="G270" s="2" t="s">
        <v>447</v>
      </c>
      <c r="H270" s="62">
        <f t="shared" ca="1" si="4"/>
        <v>45990</v>
      </c>
      <c r="I270" s="29" t="s">
        <v>448</v>
      </c>
    </row>
    <row r="271" spans="1:9" x14ac:dyDescent="0.35">
      <c r="A271" s="31">
        <v>200000632</v>
      </c>
      <c r="B271" s="31">
        <v>1010</v>
      </c>
      <c r="C271" s="31">
        <v>4241</v>
      </c>
      <c r="D271" s="29" t="str">
        <f>LOOKUP(CAPA!C271,'QALS - Inspection Lot Record'!P:P,'QALS - Inspection Lot Record'!O:O)</f>
        <v>Ibuprofen Tablets (100 MG)</v>
      </c>
      <c r="E271" s="31">
        <v>78.599999999999994</v>
      </c>
      <c r="F271" s="62">
        <f ca="1">IF(TODAY()&gt;=LOOKUP(C271,'QALS - Inspection Lot Record'!P:P,'QALS - Inspection Lot Record'!J:J)+RANDBETWEEN(0,1),LOOKUP(C271,'QALS - Inspection Lot Record'!P:P,'QALS - Inspection Lot Record'!J:J)+RANDBETWEEN(0,1),"")</f>
        <v>45990</v>
      </c>
      <c r="G271" s="2" t="s">
        <v>447</v>
      </c>
      <c r="H271" s="62">
        <f t="shared" ca="1" si="4"/>
        <v>45990</v>
      </c>
      <c r="I271" s="29" t="s">
        <v>448</v>
      </c>
    </row>
    <row r="272" spans="1:9" x14ac:dyDescent="0.35">
      <c r="A272" s="31">
        <v>200000633</v>
      </c>
      <c r="B272" s="31">
        <v>1010</v>
      </c>
      <c r="C272" s="31">
        <v>4242</v>
      </c>
      <c r="D272" s="29" t="str">
        <f>LOOKUP(CAPA!C272,'QALS - Inspection Lot Record'!P:P,'QALS - Inspection Lot Record'!O:O)</f>
        <v>Metformin Tablets (100 MG)</v>
      </c>
      <c r="E272" s="31">
        <v>94</v>
      </c>
      <c r="F272" s="62">
        <f ca="1">IF(TODAY()&gt;=LOOKUP(C272,'QALS - Inspection Lot Record'!P:P,'QALS - Inspection Lot Record'!J:J)+RANDBETWEEN(0,1),LOOKUP(C272,'QALS - Inspection Lot Record'!P:P,'QALS - Inspection Lot Record'!J:J)+RANDBETWEEN(0,1),"")</f>
        <v>45990</v>
      </c>
      <c r="G272" s="2" t="s">
        <v>441</v>
      </c>
      <c r="H272" s="62">
        <f t="shared" ca="1" si="4"/>
        <v>45991</v>
      </c>
      <c r="I272" s="29" t="s">
        <v>442</v>
      </c>
    </row>
    <row r="273" spans="1:9" x14ac:dyDescent="0.35">
      <c r="A273" s="31">
        <v>200000633</v>
      </c>
      <c r="B273" s="31">
        <v>1010</v>
      </c>
      <c r="C273" s="31">
        <v>4242</v>
      </c>
      <c r="D273" s="29" t="str">
        <f>LOOKUP(CAPA!C273,'QALS - Inspection Lot Record'!P:P,'QALS - Inspection Lot Record'!O:O)</f>
        <v>Metformin Tablets (100 MG)</v>
      </c>
      <c r="E273" s="31">
        <v>68.2</v>
      </c>
      <c r="F273" s="62">
        <f ca="1">IF(TODAY()&gt;=LOOKUP(C273,'QALS - Inspection Lot Record'!P:P,'QALS - Inspection Lot Record'!J:J)+RANDBETWEEN(0,1),LOOKUP(C273,'QALS - Inspection Lot Record'!P:P,'QALS - Inspection Lot Record'!J:J)+RANDBETWEEN(0,1),"")</f>
        <v>45991</v>
      </c>
      <c r="G273" s="2" t="s">
        <v>447</v>
      </c>
      <c r="H273" s="62">
        <f t="shared" ca="1" si="4"/>
        <v>45991</v>
      </c>
      <c r="I273" s="29" t="s">
        <v>448</v>
      </c>
    </row>
    <row r="274" spans="1:9" x14ac:dyDescent="0.35">
      <c r="A274" s="31">
        <v>200000633</v>
      </c>
      <c r="B274" s="31">
        <v>1010</v>
      </c>
      <c r="C274" s="31">
        <v>4242</v>
      </c>
      <c r="D274" s="29" t="str">
        <f>LOOKUP(CAPA!C274,'QALS - Inspection Lot Record'!P:P,'QALS - Inspection Lot Record'!O:O)</f>
        <v>Metformin Tablets (100 MG)</v>
      </c>
      <c r="E274" s="31">
        <v>78.5</v>
      </c>
      <c r="F274" s="62">
        <f ca="1">IF(TODAY()&gt;=LOOKUP(C274,'QALS - Inspection Lot Record'!P:P,'QALS - Inspection Lot Record'!J:J)+RANDBETWEEN(0,1),LOOKUP(C274,'QALS - Inspection Lot Record'!P:P,'QALS - Inspection Lot Record'!J:J)+RANDBETWEEN(0,1),"")</f>
        <v>45990</v>
      </c>
      <c r="G274" s="2" t="s">
        <v>447</v>
      </c>
      <c r="H274" s="62">
        <f t="shared" ca="1" si="4"/>
        <v>45991</v>
      </c>
      <c r="I274" s="29" t="s">
        <v>448</v>
      </c>
    </row>
    <row r="275" spans="1:9" x14ac:dyDescent="0.35">
      <c r="A275" s="31">
        <v>200000634</v>
      </c>
      <c r="B275" s="31">
        <v>1010</v>
      </c>
      <c r="C275" s="31">
        <v>4243</v>
      </c>
      <c r="D275" s="29" t="str">
        <f>LOOKUP(CAPA!C275,'QALS - Inspection Lot Record'!P:P,'QALS - Inspection Lot Record'!O:O)</f>
        <v>Metformin Tablets (200 MG)</v>
      </c>
      <c r="E275" s="31">
        <v>93.2</v>
      </c>
      <c r="F275" s="62">
        <f ca="1">IF(TODAY()&gt;=LOOKUP(C275,'QALS - Inspection Lot Record'!P:P,'QALS - Inspection Lot Record'!J:J)+RANDBETWEEN(0,1),LOOKUP(C275,'QALS - Inspection Lot Record'!P:P,'QALS - Inspection Lot Record'!J:J)+RANDBETWEEN(0,1),"")</f>
        <v>45992</v>
      </c>
      <c r="G275" s="2" t="s">
        <v>441</v>
      </c>
      <c r="H275" s="62">
        <f t="shared" ca="1" si="4"/>
        <v>45992</v>
      </c>
      <c r="I275" s="29" t="s">
        <v>442</v>
      </c>
    </row>
    <row r="276" spans="1:9" x14ac:dyDescent="0.35">
      <c r="A276" s="31">
        <v>200000634</v>
      </c>
      <c r="B276" s="31">
        <v>1010</v>
      </c>
      <c r="C276" s="31">
        <v>4243</v>
      </c>
      <c r="D276" s="29" t="str">
        <f>LOOKUP(CAPA!C276,'QALS - Inspection Lot Record'!P:P,'QALS - Inspection Lot Record'!O:O)</f>
        <v>Metformin Tablets (200 MG)</v>
      </c>
      <c r="E276" s="31">
        <v>5</v>
      </c>
      <c r="F276" s="62">
        <f ca="1">IF(TODAY()&gt;=LOOKUP(C276,'QALS - Inspection Lot Record'!P:P,'QALS - Inspection Lot Record'!J:J)+RANDBETWEEN(0,1),LOOKUP(C276,'QALS - Inspection Lot Record'!P:P,'QALS - Inspection Lot Record'!J:J)+RANDBETWEEN(0,1),"")</f>
        <v>45992</v>
      </c>
      <c r="G276" s="2" t="s">
        <v>455</v>
      </c>
      <c r="H276" s="62">
        <f t="shared" ca="1" si="4"/>
        <v>45993</v>
      </c>
      <c r="I276" s="29" t="s">
        <v>456</v>
      </c>
    </row>
    <row r="277" spans="1:9" x14ac:dyDescent="0.35">
      <c r="A277" s="31">
        <v>200000634</v>
      </c>
      <c r="B277" s="31">
        <v>1010</v>
      </c>
      <c r="C277" s="31">
        <v>4243</v>
      </c>
      <c r="D277" s="29" t="str">
        <f>LOOKUP(CAPA!C277,'QALS - Inspection Lot Record'!P:P,'QALS - Inspection Lot Record'!O:O)</f>
        <v>Metformin Tablets (200 MG)</v>
      </c>
      <c r="E277" s="31">
        <v>21.6</v>
      </c>
      <c r="F277" s="62">
        <f ca="1">IF(TODAY()&gt;=LOOKUP(C277,'QALS - Inspection Lot Record'!P:P,'QALS - Inspection Lot Record'!J:J)+RANDBETWEEN(0,1),LOOKUP(C277,'QALS - Inspection Lot Record'!P:P,'QALS - Inspection Lot Record'!J:J)+RANDBETWEEN(0,1),"")</f>
        <v>45992</v>
      </c>
      <c r="G277" s="2" t="s">
        <v>453</v>
      </c>
      <c r="H277" s="62">
        <f t="shared" ca="1" si="4"/>
        <v>45993</v>
      </c>
      <c r="I277" s="29" t="s">
        <v>454</v>
      </c>
    </row>
    <row r="278" spans="1:9" x14ac:dyDescent="0.35">
      <c r="A278" s="31">
        <v>200000635</v>
      </c>
      <c r="B278" s="31">
        <v>1010</v>
      </c>
      <c r="C278" s="31">
        <v>4244</v>
      </c>
      <c r="D278" s="29" t="str">
        <f>LOOKUP(CAPA!C278,'QALS - Inspection Lot Record'!P:P,'QALS - Inspection Lot Record'!O:O)</f>
        <v>Metformin Tablets (500 MG)</v>
      </c>
      <c r="E278" s="31">
        <v>78.7</v>
      </c>
      <c r="F278" s="62">
        <f ca="1">IF(TODAY()&gt;=LOOKUP(C278,'QALS - Inspection Lot Record'!P:P,'QALS - Inspection Lot Record'!J:J)+RANDBETWEEN(0,1),LOOKUP(C278,'QALS - Inspection Lot Record'!P:P,'QALS - Inspection Lot Record'!J:J)+RANDBETWEEN(0,1),"")</f>
        <v>45991</v>
      </c>
      <c r="G278" s="2" t="s">
        <v>447</v>
      </c>
      <c r="H278" s="62">
        <f t="shared" ca="1" si="4"/>
        <v>45992</v>
      </c>
      <c r="I278" s="29" t="s">
        <v>448</v>
      </c>
    </row>
    <row r="279" spans="1:9" x14ac:dyDescent="0.35">
      <c r="A279" s="31">
        <v>200000636</v>
      </c>
      <c r="B279" s="31">
        <v>1010</v>
      </c>
      <c r="C279" s="31">
        <v>4245</v>
      </c>
      <c r="D279" s="29" t="str">
        <f>LOOKUP(CAPA!C279,'QALS - Inspection Lot Record'!P:P,'QALS - Inspection Lot Record'!O:O)</f>
        <v>Metformin Tablets (100 MG)</v>
      </c>
      <c r="E279" s="31">
        <v>93</v>
      </c>
      <c r="F279" s="62">
        <f ca="1">IF(TODAY()&gt;=LOOKUP(C279,'QALS - Inspection Lot Record'!P:P,'QALS - Inspection Lot Record'!J:J)+RANDBETWEEN(0,1),LOOKUP(C279,'QALS - Inspection Lot Record'!P:P,'QALS - Inspection Lot Record'!J:J)+RANDBETWEEN(0,1),"")</f>
        <v>45992</v>
      </c>
      <c r="G279" s="2" t="s">
        <v>441</v>
      </c>
      <c r="H279" s="62">
        <f t="shared" ca="1" si="4"/>
        <v>45994</v>
      </c>
      <c r="I279" s="29" t="s">
        <v>442</v>
      </c>
    </row>
    <row r="280" spans="1:9" x14ac:dyDescent="0.35">
      <c r="A280" s="31">
        <v>200000636</v>
      </c>
      <c r="B280" s="31">
        <v>1010</v>
      </c>
      <c r="C280" s="31">
        <v>4245</v>
      </c>
      <c r="D280" s="29" t="str">
        <f>LOOKUP(CAPA!C280,'QALS - Inspection Lot Record'!P:P,'QALS - Inspection Lot Record'!O:O)</f>
        <v>Metformin Tablets (100 MG)</v>
      </c>
      <c r="E280" s="31">
        <v>1.9</v>
      </c>
      <c r="F280" s="62">
        <f ca="1">IF(TODAY()&gt;=LOOKUP(C280,'QALS - Inspection Lot Record'!P:P,'QALS - Inspection Lot Record'!J:J)+RANDBETWEEN(0,1),LOOKUP(C280,'QALS - Inspection Lot Record'!P:P,'QALS - Inspection Lot Record'!J:J)+RANDBETWEEN(0,1),"")</f>
        <v>45992</v>
      </c>
      <c r="G280" s="2" t="s">
        <v>457</v>
      </c>
      <c r="H280" s="62">
        <f t="shared" ca="1" si="4"/>
        <v>45994</v>
      </c>
      <c r="I280" s="29" t="s">
        <v>458</v>
      </c>
    </row>
    <row r="281" spans="1:9" x14ac:dyDescent="0.35">
      <c r="A281" s="31">
        <v>200000636</v>
      </c>
      <c r="B281" s="31">
        <v>1010</v>
      </c>
      <c r="C281" s="31">
        <v>4245</v>
      </c>
      <c r="D281" s="29" t="str">
        <f>LOOKUP(CAPA!C281,'QALS - Inspection Lot Record'!P:P,'QALS - Inspection Lot Record'!O:O)</f>
        <v>Metformin Tablets (100 MG)</v>
      </c>
      <c r="E281" s="31">
        <v>68.599999999999994</v>
      </c>
      <c r="F281" s="62">
        <f ca="1">IF(TODAY()&gt;=LOOKUP(C281,'QALS - Inspection Lot Record'!P:P,'QALS - Inspection Lot Record'!J:J)+RANDBETWEEN(0,1),LOOKUP(C281,'QALS - Inspection Lot Record'!P:P,'QALS - Inspection Lot Record'!J:J)+RANDBETWEEN(0,1),"")</f>
        <v>45993</v>
      </c>
      <c r="G281" s="2" t="s">
        <v>447</v>
      </c>
      <c r="H281" s="62">
        <f t="shared" ca="1" si="4"/>
        <v>45995</v>
      </c>
      <c r="I281" s="29" t="s">
        <v>448</v>
      </c>
    </row>
    <row r="282" spans="1:9" x14ac:dyDescent="0.35">
      <c r="A282" s="31">
        <v>200000636</v>
      </c>
      <c r="B282" s="31">
        <v>1010</v>
      </c>
      <c r="C282" s="31">
        <v>4245</v>
      </c>
      <c r="D282" s="29" t="str">
        <f>LOOKUP(CAPA!C282,'QALS - Inspection Lot Record'!P:P,'QALS - Inspection Lot Record'!O:O)</f>
        <v>Metformin Tablets (100 MG)</v>
      </c>
      <c r="E282" s="31">
        <v>78.3</v>
      </c>
      <c r="F282" s="62">
        <f ca="1">IF(TODAY()&gt;=LOOKUP(C282,'QALS - Inspection Lot Record'!P:P,'QALS - Inspection Lot Record'!J:J)+RANDBETWEEN(0,1),LOOKUP(C282,'QALS - Inspection Lot Record'!P:P,'QALS - Inspection Lot Record'!J:J)+RANDBETWEEN(0,1),"")</f>
        <v>45992</v>
      </c>
      <c r="G282" s="2" t="s">
        <v>447</v>
      </c>
      <c r="H282" s="62">
        <f t="shared" ca="1" si="4"/>
        <v>45993</v>
      </c>
      <c r="I282" s="29" t="s">
        <v>448</v>
      </c>
    </row>
    <row r="283" spans="1:9" x14ac:dyDescent="0.35">
      <c r="A283" s="31">
        <v>200000637</v>
      </c>
      <c r="B283" s="31">
        <v>1010</v>
      </c>
      <c r="C283" s="31">
        <v>4246</v>
      </c>
      <c r="D283" s="29" t="str">
        <f>LOOKUP(CAPA!C283,'QALS - Inspection Lot Record'!P:P,'QALS - Inspection Lot Record'!O:O)</f>
        <v>Ibuprofen Tablets (100 MG)</v>
      </c>
      <c r="E283" s="31">
        <v>78.8</v>
      </c>
      <c r="F283" s="62">
        <f ca="1">IF(TODAY()&gt;=LOOKUP(C283,'QALS - Inspection Lot Record'!P:P,'QALS - Inspection Lot Record'!J:J)+RANDBETWEEN(0,1),LOOKUP(C283,'QALS - Inspection Lot Record'!P:P,'QALS - Inspection Lot Record'!J:J)+RANDBETWEEN(0,1),"")</f>
        <v>45992</v>
      </c>
      <c r="G283" s="2" t="s">
        <v>447</v>
      </c>
      <c r="H283" s="62">
        <f t="shared" ca="1" si="4"/>
        <v>45993</v>
      </c>
      <c r="I283" s="29" t="s">
        <v>448</v>
      </c>
    </row>
    <row r="284" spans="1:9" x14ac:dyDescent="0.35">
      <c r="A284" s="31">
        <v>200000638</v>
      </c>
      <c r="B284" s="31">
        <v>1010</v>
      </c>
      <c r="C284" s="31">
        <v>4247</v>
      </c>
      <c r="D284" s="29" t="str">
        <f>LOOKUP(CAPA!C284,'QALS - Inspection Lot Record'!P:P,'QALS - Inspection Lot Record'!O:O)</f>
        <v>Aspirin Tablets (500 MG)</v>
      </c>
      <c r="E284" s="31">
        <v>93.8</v>
      </c>
      <c r="F284" s="62">
        <f ca="1">IF(TODAY()&gt;=LOOKUP(C284,'QALS - Inspection Lot Record'!P:P,'QALS - Inspection Lot Record'!J:J)+RANDBETWEEN(0,1),LOOKUP(C284,'QALS - Inspection Lot Record'!P:P,'QALS - Inspection Lot Record'!J:J)+RANDBETWEEN(0,1),"")</f>
        <v>45993</v>
      </c>
      <c r="G284" s="2" t="s">
        <v>451</v>
      </c>
      <c r="H284" s="62">
        <f t="shared" ca="1" si="4"/>
        <v>45995</v>
      </c>
      <c r="I284" s="29" t="s">
        <v>452</v>
      </c>
    </row>
    <row r="285" spans="1:9" x14ac:dyDescent="0.35">
      <c r="A285" s="31">
        <v>200000639</v>
      </c>
      <c r="B285" s="31">
        <v>1010</v>
      </c>
      <c r="C285" s="31">
        <v>4248</v>
      </c>
      <c r="D285" s="29" t="str">
        <f>LOOKUP(CAPA!C285,'QALS - Inspection Lot Record'!P:P,'QALS - Inspection Lot Record'!O:O)</f>
        <v>Aspirin Tablets (500 MG)</v>
      </c>
      <c r="E285" s="31">
        <v>38.9</v>
      </c>
      <c r="F285" s="62">
        <f ca="1">IF(TODAY()&gt;=LOOKUP(C285,'QALS - Inspection Lot Record'!P:P,'QALS - Inspection Lot Record'!J:J)+RANDBETWEEN(0,1),LOOKUP(C285,'QALS - Inspection Lot Record'!P:P,'QALS - Inspection Lot Record'!J:J)+RANDBETWEEN(0,1),"")</f>
        <v>45994</v>
      </c>
      <c r="G285" s="2" t="s">
        <v>447</v>
      </c>
      <c r="H285" s="62">
        <f t="shared" ca="1" si="4"/>
        <v>45996</v>
      </c>
      <c r="I285" s="29" t="s">
        <v>448</v>
      </c>
    </row>
    <row r="286" spans="1:9" x14ac:dyDescent="0.35">
      <c r="A286" s="31">
        <v>200000639</v>
      </c>
      <c r="B286" s="31">
        <v>1010</v>
      </c>
      <c r="C286" s="31">
        <v>4248</v>
      </c>
      <c r="D286" s="29" t="str">
        <f>LOOKUP(CAPA!C286,'QALS - Inspection Lot Record'!P:P,'QALS - Inspection Lot Record'!O:O)</f>
        <v>Aspirin Tablets (500 MG)</v>
      </c>
      <c r="E286" s="31">
        <v>68.5</v>
      </c>
      <c r="F286" s="62">
        <f ca="1">IF(TODAY()&gt;=LOOKUP(C286,'QALS - Inspection Lot Record'!P:P,'QALS - Inspection Lot Record'!J:J)+RANDBETWEEN(0,1),LOOKUP(C286,'QALS - Inspection Lot Record'!P:P,'QALS - Inspection Lot Record'!J:J)+RANDBETWEEN(0,1),"")</f>
        <v>45994</v>
      </c>
      <c r="G286" s="2" t="s">
        <v>447</v>
      </c>
      <c r="H286" s="62">
        <f t="shared" ca="1" si="4"/>
        <v>45994</v>
      </c>
      <c r="I286" s="29" t="s">
        <v>448</v>
      </c>
    </row>
    <row r="287" spans="1:9" x14ac:dyDescent="0.35">
      <c r="A287" s="31">
        <v>200000639</v>
      </c>
      <c r="B287" s="31">
        <v>1010</v>
      </c>
      <c r="C287" s="31">
        <v>4248</v>
      </c>
      <c r="D287" s="29" t="str">
        <f>LOOKUP(CAPA!C287,'QALS - Inspection Lot Record'!P:P,'QALS - Inspection Lot Record'!O:O)</f>
        <v>Aspirin Tablets (500 MG)</v>
      </c>
      <c r="E287" s="31">
        <v>21.3</v>
      </c>
      <c r="F287" s="62">
        <f ca="1">IF(TODAY()&gt;=LOOKUP(C287,'QALS - Inspection Lot Record'!P:P,'QALS - Inspection Lot Record'!J:J)+RANDBETWEEN(0,1),LOOKUP(C287,'QALS - Inspection Lot Record'!P:P,'QALS - Inspection Lot Record'!J:J)+RANDBETWEEN(0,1),"")</f>
        <v>45993</v>
      </c>
      <c r="G287" s="2" t="s">
        <v>453</v>
      </c>
      <c r="H287" s="62">
        <f t="shared" ca="1" si="4"/>
        <v>45994</v>
      </c>
      <c r="I287" s="29" t="s">
        <v>454</v>
      </c>
    </row>
    <row r="288" spans="1:9" x14ac:dyDescent="0.35">
      <c r="A288" s="31">
        <v>200000640</v>
      </c>
      <c r="B288" s="31">
        <v>1010</v>
      </c>
      <c r="C288" s="31">
        <v>4251</v>
      </c>
      <c r="D288" s="29" t="str">
        <f>LOOKUP(CAPA!C288,'QALS - Inspection Lot Record'!P:P,'QALS - Inspection Lot Record'!O:O)</f>
        <v>Metformin Tablets (100 MG)</v>
      </c>
      <c r="E288" s="31">
        <v>2.2999999999999998</v>
      </c>
      <c r="F288" s="62">
        <f ca="1">IF(TODAY()&gt;=LOOKUP(C288,'QALS - Inspection Lot Record'!P:P,'QALS - Inspection Lot Record'!J:J)+RANDBETWEEN(0,1),LOOKUP(C288,'QALS - Inspection Lot Record'!P:P,'QALS - Inspection Lot Record'!J:J)+RANDBETWEEN(0,1),"")</f>
        <v>45996</v>
      </c>
      <c r="G288" s="2" t="s">
        <v>457</v>
      </c>
      <c r="H288" s="62">
        <f t="shared" ca="1" si="4"/>
        <v>45997</v>
      </c>
      <c r="I288" s="29" t="s">
        <v>458</v>
      </c>
    </row>
    <row r="289" spans="1:9" x14ac:dyDescent="0.35">
      <c r="A289" s="31">
        <v>200000640</v>
      </c>
      <c r="B289" s="31">
        <v>1010</v>
      </c>
      <c r="C289" s="31">
        <v>4251</v>
      </c>
      <c r="D289" s="29" t="str">
        <f>LOOKUP(CAPA!C289,'QALS - Inspection Lot Record'!P:P,'QALS - Inspection Lot Record'!O:O)</f>
        <v>Metformin Tablets (100 MG)</v>
      </c>
      <c r="E289" s="31">
        <v>78.400000000000006</v>
      </c>
      <c r="F289" s="62">
        <f ca="1">IF(TODAY()&gt;=LOOKUP(C289,'QALS - Inspection Lot Record'!P:P,'QALS - Inspection Lot Record'!J:J)+RANDBETWEEN(0,1),LOOKUP(C289,'QALS - Inspection Lot Record'!P:P,'QALS - Inspection Lot Record'!J:J)+RANDBETWEEN(0,1),"")</f>
        <v>45995</v>
      </c>
      <c r="G289" s="2" t="s">
        <v>447</v>
      </c>
      <c r="H289" s="62">
        <f t="shared" ca="1" si="4"/>
        <v>45997</v>
      </c>
      <c r="I289" s="29" t="s">
        <v>448</v>
      </c>
    </row>
    <row r="290" spans="1:9" x14ac:dyDescent="0.35">
      <c r="A290" s="31">
        <v>200000641</v>
      </c>
      <c r="B290" s="31">
        <v>1010</v>
      </c>
      <c r="C290" s="31">
        <v>4253</v>
      </c>
      <c r="D290" s="29" t="str">
        <f>LOOKUP(CAPA!C290,'QALS - Inspection Lot Record'!P:P,'QALS - Inspection Lot Record'!O:O)</f>
        <v>Metformin Tablets (200 MG)</v>
      </c>
      <c r="E290" s="31">
        <v>93.5</v>
      </c>
      <c r="F290" s="62">
        <f ca="1">IF(TODAY()&gt;=LOOKUP(C290,'QALS - Inspection Lot Record'!P:P,'QALS - Inspection Lot Record'!J:J)+RANDBETWEEN(0,1),LOOKUP(C290,'QALS - Inspection Lot Record'!P:P,'QALS - Inspection Lot Record'!J:J)+RANDBETWEEN(0,1),"")</f>
        <v>45996</v>
      </c>
      <c r="G290" s="2" t="s">
        <v>441</v>
      </c>
      <c r="H290" s="62">
        <f t="shared" ca="1" si="4"/>
        <v>45996</v>
      </c>
      <c r="I290" s="29" t="s">
        <v>442</v>
      </c>
    </row>
    <row r="291" spans="1:9" x14ac:dyDescent="0.35">
      <c r="A291" s="31">
        <v>200000642</v>
      </c>
      <c r="B291" s="31">
        <v>1010</v>
      </c>
      <c r="C291" s="31">
        <v>4257</v>
      </c>
      <c r="D291" s="29" t="str">
        <f>LOOKUP(CAPA!C291,'QALS - Inspection Lot Record'!P:P,'QALS - Inspection Lot Record'!O:O)</f>
        <v>Ibuprofen Tablets (100 MG)</v>
      </c>
      <c r="E291" s="31">
        <v>93.8</v>
      </c>
      <c r="F291" s="62">
        <f ca="1">IF(TODAY()&gt;=LOOKUP(C291,'QALS - Inspection Lot Record'!P:P,'QALS - Inspection Lot Record'!J:J)+RANDBETWEEN(0,1),LOOKUP(C291,'QALS - Inspection Lot Record'!P:P,'QALS - Inspection Lot Record'!J:J)+RANDBETWEEN(0,1),"")</f>
        <v>45998</v>
      </c>
      <c r="G291" s="2" t="s">
        <v>451</v>
      </c>
      <c r="H291" s="62">
        <f t="shared" ca="1" si="4"/>
        <v>45999</v>
      </c>
      <c r="I291" s="29" t="s">
        <v>452</v>
      </c>
    </row>
    <row r="292" spans="1:9" x14ac:dyDescent="0.35">
      <c r="A292" s="31">
        <v>200000643</v>
      </c>
      <c r="B292" s="31">
        <v>1010</v>
      </c>
      <c r="C292" s="31">
        <v>4258</v>
      </c>
      <c r="D292" s="29" t="str">
        <f>LOOKUP(CAPA!C292,'QALS - Inspection Lot Record'!P:P,'QALS - Inspection Lot Record'!O:O)</f>
        <v>Metformin Tablets (500 MG)</v>
      </c>
      <c r="E292" s="31">
        <v>93.6</v>
      </c>
      <c r="F292" s="62">
        <f ca="1">IF(TODAY()&gt;=LOOKUP(C292,'QALS - Inspection Lot Record'!P:P,'QALS - Inspection Lot Record'!J:J)+RANDBETWEEN(0,1),LOOKUP(C292,'QALS - Inspection Lot Record'!P:P,'QALS - Inspection Lot Record'!J:J)+RANDBETWEEN(0,1),"")</f>
        <v>45998</v>
      </c>
      <c r="G292" s="2" t="s">
        <v>441</v>
      </c>
      <c r="H292" s="62">
        <f t="shared" ca="1" si="4"/>
        <v>46000</v>
      </c>
      <c r="I292" s="29" t="s">
        <v>442</v>
      </c>
    </row>
    <row r="293" spans="1:9" x14ac:dyDescent="0.35">
      <c r="A293" s="31">
        <v>200000644</v>
      </c>
      <c r="B293" s="31">
        <v>1010</v>
      </c>
      <c r="C293" s="31">
        <v>4259</v>
      </c>
      <c r="D293" s="29" t="str">
        <f>LOOKUP(CAPA!C293,'QALS - Inspection Lot Record'!P:P,'QALS - Inspection Lot Record'!O:O)</f>
        <v>Metformin Tablets (500 MG)</v>
      </c>
      <c r="E293" s="31">
        <v>93</v>
      </c>
      <c r="F293" s="62">
        <f ca="1">IF(TODAY()&gt;=LOOKUP(C293,'QALS - Inspection Lot Record'!P:P,'QALS - Inspection Lot Record'!J:J)+RANDBETWEEN(0,1),LOOKUP(C293,'QALS - Inspection Lot Record'!P:P,'QALS - Inspection Lot Record'!J:J)+RANDBETWEEN(0,1),"")</f>
        <v>46000</v>
      </c>
      <c r="G293" s="2" t="s">
        <v>441</v>
      </c>
      <c r="H293" s="62">
        <f t="shared" ca="1" si="4"/>
        <v>46001</v>
      </c>
      <c r="I293" s="29" t="s">
        <v>442</v>
      </c>
    </row>
    <row r="294" spans="1:9" x14ac:dyDescent="0.35">
      <c r="A294" s="31">
        <v>200000644</v>
      </c>
      <c r="B294" s="31">
        <v>1010</v>
      </c>
      <c r="C294" s="31">
        <v>4259</v>
      </c>
      <c r="D294" s="29" t="str">
        <f>LOOKUP(CAPA!C294,'QALS - Inspection Lot Record'!P:P,'QALS - Inspection Lot Record'!O:O)</f>
        <v>Metformin Tablets (500 MG)</v>
      </c>
      <c r="E294" s="31">
        <v>1.9</v>
      </c>
      <c r="F294" s="62">
        <f ca="1">IF(TODAY()&gt;=LOOKUP(C294,'QALS - Inspection Lot Record'!P:P,'QALS - Inspection Lot Record'!J:J)+RANDBETWEEN(0,1),LOOKUP(C294,'QALS - Inspection Lot Record'!P:P,'QALS - Inspection Lot Record'!J:J)+RANDBETWEEN(0,1),"")</f>
        <v>45999</v>
      </c>
      <c r="G294" s="2" t="s">
        <v>457</v>
      </c>
      <c r="H294" s="62">
        <f t="shared" ca="1" si="4"/>
        <v>46000</v>
      </c>
      <c r="I294" s="29" t="s">
        <v>458</v>
      </c>
    </row>
    <row r="295" spans="1:9" x14ac:dyDescent="0.35">
      <c r="A295" s="31">
        <v>200000645</v>
      </c>
      <c r="B295" s="31">
        <v>1010</v>
      </c>
      <c r="C295" s="31">
        <v>4260</v>
      </c>
      <c r="D295" s="29" t="str">
        <f>LOOKUP(CAPA!C295,'QALS - Inspection Lot Record'!P:P,'QALS - Inspection Lot Record'!O:O)</f>
        <v>Ibuprofen Tablets (100 MG)</v>
      </c>
      <c r="E295" s="31">
        <v>21.2</v>
      </c>
      <c r="F295" s="62">
        <f ca="1">IF(TODAY()&gt;=LOOKUP(C295,'QALS - Inspection Lot Record'!P:P,'QALS - Inspection Lot Record'!J:J)+RANDBETWEEN(0,1),LOOKUP(C295,'QALS - Inspection Lot Record'!P:P,'QALS - Inspection Lot Record'!J:J)+RANDBETWEEN(0,1),"")</f>
        <v>45999</v>
      </c>
      <c r="G295" s="2" t="s">
        <v>453</v>
      </c>
      <c r="H295" s="62">
        <f t="shared" ca="1" si="4"/>
        <v>46001</v>
      </c>
      <c r="I295" s="29" t="s">
        <v>454</v>
      </c>
    </row>
    <row r="296" spans="1:9" x14ac:dyDescent="0.35">
      <c r="A296" s="31">
        <v>200000646</v>
      </c>
      <c r="B296" s="31">
        <v>1010</v>
      </c>
      <c r="C296" s="31">
        <v>4264</v>
      </c>
      <c r="D296" s="29" t="str">
        <f>LOOKUP(CAPA!C296,'QALS - Inspection Lot Record'!P:P,'QALS - Inspection Lot Record'!O:O)</f>
        <v>Aspirin Tablets (500 MG)</v>
      </c>
      <c r="E296" s="31">
        <v>39</v>
      </c>
      <c r="F296" s="62">
        <f ca="1">IF(TODAY()&gt;=LOOKUP(C296,'QALS - Inspection Lot Record'!P:P,'QALS - Inspection Lot Record'!J:J)+RANDBETWEEN(0,1),LOOKUP(C296,'QALS - Inspection Lot Record'!P:P,'QALS - Inspection Lot Record'!J:J)+RANDBETWEEN(0,1),"")</f>
        <v>46002</v>
      </c>
      <c r="G296" s="2" t="s">
        <v>447</v>
      </c>
      <c r="H296" s="62">
        <f t="shared" ca="1" si="4"/>
        <v>46003</v>
      </c>
      <c r="I296" s="29" t="s">
        <v>448</v>
      </c>
    </row>
    <row r="297" spans="1:9" x14ac:dyDescent="0.35">
      <c r="A297" s="31">
        <v>200000646</v>
      </c>
      <c r="B297" s="31">
        <v>1010</v>
      </c>
      <c r="C297" s="31">
        <v>4264</v>
      </c>
      <c r="D297" s="29" t="str">
        <f>LOOKUP(CAPA!C297,'QALS - Inspection Lot Record'!P:P,'QALS - Inspection Lot Record'!O:O)</f>
        <v>Aspirin Tablets (500 MG)</v>
      </c>
      <c r="E297" s="31">
        <v>21.9</v>
      </c>
      <c r="F297" s="62">
        <f ca="1">IF(TODAY()&gt;=LOOKUP(C297,'QALS - Inspection Lot Record'!P:P,'QALS - Inspection Lot Record'!J:J)+RANDBETWEEN(0,1),LOOKUP(C297,'QALS - Inspection Lot Record'!P:P,'QALS - Inspection Lot Record'!J:J)+RANDBETWEEN(0,1),"")</f>
        <v>46001</v>
      </c>
      <c r="G297" s="2" t="s">
        <v>453</v>
      </c>
      <c r="H297" s="62">
        <f t="shared" ca="1" si="4"/>
        <v>46001</v>
      </c>
      <c r="I297" s="29" t="s">
        <v>454</v>
      </c>
    </row>
    <row r="298" spans="1:9" x14ac:dyDescent="0.35">
      <c r="A298" s="31">
        <v>200000647</v>
      </c>
      <c r="B298" s="31">
        <v>1010</v>
      </c>
      <c r="C298" s="31">
        <v>4267</v>
      </c>
      <c r="D298" s="29" t="str">
        <f>LOOKUP(CAPA!C298,'QALS - Inspection Lot Record'!P:P,'QALS - Inspection Lot Record'!O:O)</f>
        <v>Metformin Tablets (200 MG)</v>
      </c>
      <c r="E298" s="31">
        <v>68.599999999999994</v>
      </c>
      <c r="F298" s="62">
        <f ca="1">IF(TODAY()&gt;=LOOKUP(C298,'QALS - Inspection Lot Record'!P:P,'QALS - Inspection Lot Record'!J:J)+RANDBETWEEN(0,1),LOOKUP(C298,'QALS - Inspection Lot Record'!P:P,'QALS - Inspection Lot Record'!J:J)+RANDBETWEEN(0,1),"")</f>
        <v>46003</v>
      </c>
      <c r="G298" s="2" t="s">
        <v>447</v>
      </c>
      <c r="H298" s="62">
        <f t="shared" ca="1" si="4"/>
        <v>46004</v>
      </c>
      <c r="I298" s="29" t="s">
        <v>448</v>
      </c>
    </row>
    <row r="299" spans="1:9" x14ac:dyDescent="0.35">
      <c r="A299" s="31">
        <v>200000648</v>
      </c>
      <c r="B299" s="31">
        <v>1010</v>
      </c>
      <c r="C299" s="31">
        <v>4272</v>
      </c>
      <c r="D299" s="29" t="str">
        <f>LOOKUP(CAPA!C299,'QALS - Inspection Lot Record'!P:P,'QALS - Inspection Lot Record'!O:O)</f>
        <v>Ibuprofen Tablets (100 MG)</v>
      </c>
      <c r="E299" s="31">
        <v>78.8</v>
      </c>
      <c r="F299" s="62">
        <f ca="1">IF(TODAY()&gt;=LOOKUP(C299,'QALS - Inspection Lot Record'!P:P,'QALS - Inspection Lot Record'!J:J)+RANDBETWEEN(0,1),LOOKUP(C299,'QALS - Inspection Lot Record'!P:P,'QALS - Inspection Lot Record'!J:J)+RANDBETWEEN(0,1),"")</f>
        <v>46005</v>
      </c>
      <c r="G299" s="2" t="s">
        <v>447</v>
      </c>
      <c r="H299" s="62">
        <f t="shared" ca="1" si="4"/>
        <v>46007</v>
      </c>
      <c r="I299" s="29" t="s">
        <v>448</v>
      </c>
    </row>
    <row r="300" spans="1:9" x14ac:dyDescent="0.35">
      <c r="A300" s="31">
        <v>200000648</v>
      </c>
      <c r="B300" s="31">
        <v>1010</v>
      </c>
      <c r="C300" s="31">
        <v>4272</v>
      </c>
      <c r="D300" s="29" t="str">
        <f>LOOKUP(CAPA!C300,'QALS - Inspection Lot Record'!P:P,'QALS - Inspection Lot Record'!O:O)</f>
        <v>Ibuprofen Tablets (100 MG)</v>
      </c>
      <c r="E300" s="31">
        <v>21.1</v>
      </c>
      <c r="F300" s="62">
        <f ca="1">IF(TODAY()&gt;=LOOKUP(C300,'QALS - Inspection Lot Record'!P:P,'QALS - Inspection Lot Record'!J:J)+RANDBETWEEN(0,1),LOOKUP(C300,'QALS - Inspection Lot Record'!P:P,'QALS - Inspection Lot Record'!J:J)+RANDBETWEEN(0,1),"")</f>
        <v>46006</v>
      </c>
      <c r="G300" s="2" t="s">
        <v>453</v>
      </c>
      <c r="H300" s="62">
        <f t="shared" ca="1" si="4"/>
        <v>46007</v>
      </c>
      <c r="I300" s="29" t="s">
        <v>454</v>
      </c>
    </row>
    <row r="301" spans="1:9" x14ac:dyDescent="0.35">
      <c r="A301" s="31">
        <v>200000649</v>
      </c>
      <c r="B301" s="31">
        <v>1010</v>
      </c>
      <c r="C301" s="31">
        <v>4273</v>
      </c>
      <c r="D301" s="29" t="str">
        <f>LOOKUP(CAPA!C301,'QALS - Inspection Lot Record'!P:P,'QALS - Inspection Lot Record'!O:O)</f>
        <v>Ibuprofen Tablets (100 MG)</v>
      </c>
      <c r="E301" s="31">
        <v>68.599999999999994</v>
      </c>
      <c r="F301" s="62">
        <f ca="1">IF(TODAY()&gt;=LOOKUP(C301,'QALS - Inspection Lot Record'!P:P,'QALS - Inspection Lot Record'!J:J)+RANDBETWEEN(0,1),LOOKUP(C301,'QALS - Inspection Lot Record'!P:P,'QALS - Inspection Lot Record'!J:J)+RANDBETWEEN(0,1),"")</f>
        <v>46006</v>
      </c>
      <c r="G301" s="2" t="s">
        <v>447</v>
      </c>
      <c r="H301" s="62">
        <f t="shared" ca="1" si="4"/>
        <v>46006</v>
      </c>
      <c r="I301" s="29" t="s">
        <v>448</v>
      </c>
    </row>
    <row r="302" spans="1:9" x14ac:dyDescent="0.35">
      <c r="A302" s="31">
        <v>200000650</v>
      </c>
      <c r="B302" s="31">
        <v>1010</v>
      </c>
      <c r="C302" s="31">
        <v>4277</v>
      </c>
      <c r="D302" s="29" t="str">
        <f>LOOKUP(CAPA!C302,'QALS - Inspection Lot Record'!P:P,'QALS - Inspection Lot Record'!O:O)</f>
        <v>Metformin Tablets (100 MG)</v>
      </c>
      <c r="E302" s="31">
        <v>38.9</v>
      </c>
      <c r="F302" s="62">
        <f ca="1">IF(TODAY()&gt;=LOOKUP(C302,'QALS - Inspection Lot Record'!P:P,'QALS - Inspection Lot Record'!J:J)+RANDBETWEEN(0,1),LOOKUP(C302,'QALS - Inspection Lot Record'!P:P,'QALS - Inspection Lot Record'!J:J)+RANDBETWEEN(0,1),"")</f>
        <v>46008</v>
      </c>
      <c r="G302" s="2" t="s">
        <v>447</v>
      </c>
      <c r="H302" s="62">
        <f t="shared" ca="1" si="4"/>
        <v>46010</v>
      </c>
      <c r="I302" s="29" t="s">
        <v>448</v>
      </c>
    </row>
    <row r="303" spans="1:9" x14ac:dyDescent="0.35">
      <c r="A303" s="31">
        <v>200000650</v>
      </c>
      <c r="B303" s="31">
        <v>1010</v>
      </c>
      <c r="C303" s="31">
        <v>4277</v>
      </c>
      <c r="D303" s="29" t="str">
        <f>LOOKUP(CAPA!C303,'QALS - Inspection Lot Record'!P:P,'QALS - Inspection Lot Record'!O:O)</f>
        <v>Metformin Tablets (100 MG)</v>
      </c>
      <c r="E303" s="31">
        <v>21.8</v>
      </c>
      <c r="F303" s="62">
        <f ca="1">IF(TODAY()&gt;=LOOKUP(C303,'QALS - Inspection Lot Record'!P:P,'QALS - Inspection Lot Record'!J:J)+RANDBETWEEN(0,1),LOOKUP(C303,'QALS - Inspection Lot Record'!P:P,'QALS - Inspection Lot Record'!J:J)+RANDBETWEEN(0,1),"")</f>
        <v>46008</v>
      </c>
      <c r="G303" s="2" t="s">
        <v>453</v>
      </c>
      <c r="H303" s="62">
        <f t="shared" ca="1" si="4"/>
        <v>46010</v>
      </c>
      <c r="I303" s="29" t="s">
        <v>454</v>
      </c>
    </row>
    <row r="304" spans="1:9" x14ac:dyDescent="0.35">
      <c r="A304" s="31">
        <v>200000651</v>
      </c>
      <c r="B304" s="31">
        <v>1010</v>
      </c>
      <c r="C304" s="31">
        <v>4278</v>
      </c>
      <c r="D304" s="29" t="str">
        <f>LOOKUP(CAPA!C304,'QALS - Inspection Lot Record'!P:P,'QALS - Inspection Lot Record'!O:O)</f>
        <v>Metformin Tablets (500 MG)</v>
      </c>
      <c r="E304" s="31">
        <v>2</v>
      </c>
      <c r="F304" s="62">
        <f ca="1">IF(TODAY()&gt;=LOOKUP(C304,'QALS - Inspection Lot Record'!P:P,'QALS - Inspection Lot Record'!J:J)+RANDBETWEEN(0,1),LOOKUP(C304,'QALS - Inspection Lot Record'!P:P,'QALS - Inspection Lot Record'!J:J)+RANDBETWEEN(0,1),"")</f>
        <v>46009</v>
      </c>
      <c r="G304" s="2" t="s">
        <v>457</v>
      </c>
      <c r="H304" s="62">
        <f t="shared" ca="1" si="4"/>
        <v>46011</v>
      </c>
      <c r="I304" s="29" t="s">
        <v>458</v>
      </c>
    </row>
    <row r="305" spans="1:9" x14ac:dyDescent="0.35">
      <c r="A305" s="31">
        <v>200000651</v>
      </c>
      <c r="B305" s="31">
        <v>1010</v>
      </c>
      <c r="C305" s="31">
        <v>4278</v>
      </c>
      <c r="D305" s="29" t="str">
        <f>LOOKUP(CAPA!C305,'QALS - Inspection Lot Record'!P:P,'QALS - Inspection Lot Record'!O:O)</f>
        <v>Metformin Tablets (500 MG)</v>
      </c>
      <c r="E305" s="31">
        <v>69</v>
      </c>
      <c r="F305" s="62">
        <f ca="1">IF(TODAY()&gt;=LOOKUP(C305,'QALS - Inspection Lot Record'!P:P,'QALS - Inspection Lot Record'!J:J)+RANDBETWEEN(0,1),LOOKUP(C305,'QALS - Inspection Lot Record'!P:P,'QALS - Inspection Lot Record'!J:J)+RANDBETWEEN(0,1),"")</f>
        <v>46009</v>
      </c>
      <c r="G305" s="2" t="s">
        <v>447</v>
      </c>
      <c r="H305" s="62">
        <f t="shared" ca="1" si="4"/>
        <v>46009</v>
      </c>
      <c r="I305" s="29" t="s">
        <v>448</v>
      </c>
    </row>
    <row r="306" spans="1:9" x14ac:dyDescent="0.35">
      <c r="A306" s="31">
        <v>200000651</v>
      </c>
      <c r="B306" s="31">
        <v>1010</v>
      </c>
      <c r="C306" s="31">
        <v>4278</v>
      </c>
      <c r="D306" s="29" t="str">
        <f>LOOKUP(CAPA!C306,'QALS - Inspection Lot Record'!P:P,'QALS - Inspection Lot Record'!O:O)</f>
        <v>Metformin Tablets (500 MG)</v>
      </c>
      <c r="E306" s="31">
        <v>21.1</v>
      </c>
      <c r="F306" s="62">
        <f ca="1">IF(TODAY()&gt;=LOOKUP(C306,'QALS - Inspection Lot Record'!P:P,'QALS - Inspection Lot Record'!J:J)+RANDBETWEEN(0,1),LOOKUP(C306,'QALS - Inspection Lot Record'!P:P,'QALS - Inspection Lot Record'!J:J)+RANDBETWEEN(0,1),"")</f>
        <v>46009</v>
      </c>
      <c r="G306" s="2" t="s">
        <v>453</v>
      </c>
      <c r="H306" s="62">
        <f t="shared" ca="1" si="4"/>
        <v>46011</v>
      </c>
      <c r="I306" s="29" t="s">
        <v>454</v>
      </c>
    </row>
    <row r="307" spans="1:9" x14ac:dyDescent="0.35">
      <c r="A307" s="31">
        <v>200000652</v>
      </c>
      <c r="B307" s="31">
        <v>1010</v>
      </c>
      <c r="C307" s="31">
        <v>4281</v>
      </c>
      <c r="D307" s="29" t="str">
        <f>LOOKUP(CAPA!C307,'QALS - Inspection Lot Record'!P:P,'QALS - Inspection Lot Record'!O:O)</f>
        <v>Aspirin Tablets (500 MG)</v>
      </c>
      <c r="E307" s="31">
        <v>93.9</v>
      </c>
      <c r="F307" s="62">
        <f ca="1">IF(TODAY()&gt;=LOOKUP(C307,'QALS - Inspection Lot Record'!P:P,'QALS - Inspection Lot Record'!J:J)+RANDBETWEEN(0,1),LOOKUP(C307,'QALS - Inspection Lot Record'!P:P,'QALS - Inspection Lot Record'!J:J)+RANDBETWEEN(0,1),"")</f>
        <v>46011</v>
      </c>
      <c r="G307" s="2" t="s">
        <v>451</v>
      </c>
      <c r="H307" s="62">
        <f t="shared" ca="1" si="4"/>
        <v>46011</v>
      </c>
      <c r="I307" s="29" t="s">
        <v>452</v>
      </c>
    </row>
    <row r="308" spans="1:9" x14ac:dyDescent="0.35">
      <c r="A308" s="31">
        <v>200000652</v>
      </c>
      <c r="B308" s="31">
        <v>1010</v>
      </c>
      <c r="C308" s="31">
        <v>4281</v>
      </c>
      <c r="D308" s="29" t="str">
        <f>LOOKUP(CAPA!C308,'QALS - Inspection Lot Record'!P:P,'QALS - Inspection Lot Record'!O:O)</f>
        <v>Aspirin Tablets (500 MG)</v>
      </c>
      <c r="E308" s="31">
        <v>68.3</v>
      </c>
      <c r="F308" s="62">
        <f ca="1">IF(TODAY()&gt;=LOOKUP(C308,'QALS - Inspection Lot Record'!P:P,'QALS - Inspection Lot Record'!J:J)+RANDBETWEEN(0,1),LOOKUP(C308,'QALS - Inspection Lot Record'!P:P,'QALS - Inspection Lot Record'!J:J)+RANDBETWEEN(0,1),"")</f>
        <v>46010</v>
      </c>
      <c r="G308" s="2" t="s">
        <v>447</v>
      </c>
      <c r="H308" s="62">
        <f t="shared" ca="1" si="4"/>
        <v>46010</v>
      </c>
      <c r="I308" s="29" t="s">
        <v>448</v>
      </c>
    </row>
    <row r="309" spans="1:9" x14ac:dyDescent="0.35">
      <c r="A309" s="31">
        <v>200000652</v>
      </c>
      <c r="B309" s="31">
        <v>1010</v>
      </c>
      <c r="C309" s="31">
        <v>4281</v>
      </c>
      <c r="D309" s="29" t="str">
        <f>LOOKUP(CAPA!C309,'QALS - Inspection Lot Record'!P:P,'QALS - Inspection Lot Record'!O:O)</f>
        <v>Aspirin Tablets (500 MG)</v>
      </c>
      <c r="E309" s="31">
        <v>21</v>
      </c>
      <c r="F309" s="62">
        <f ca="1">IF(TODAY()&gt;=LOOKUP(C309,'QALS - Inspection Lot Record'!P:P,'QALS - Inspection Lot Record'!J:J)+RANDBETWEEN(0,1),LOOKUP(C309,'QALS - Inspection Lot Record'!P:P,'QALS - Inspection Lot Record'!J:J)+RANDBETWEEN(0,1),"")</f>
        <v>46011</v>
      </c>
      <c r="G309" s="2" t="s">
        <v>453</v>
      </c>
      <c r="H309" s="62">
        <f t="shared" ca="1" si="4"/>
        <v>46012</v>
      </c>
      <c r="I309" s="29" t="s">
        <v>454</v>
      </c>
    </row>
    <row r="310" spans="1:9" x14ac:dyDescent="0.35">
      <c r="A310" s="31">
        <v>200000653</v>
      </c>
      <c r="B310" s="31">
        <v>1010</v>
      </c>
      <c r="C310" s="31">
        <v>4282</v>
      </c>
      <c r="D310" s="29" t="str">
        <f>LOOKUP(CAPA!C310,'QALS - Inspection Lot Record'!P:P,'QALS - Inspection Lot Record'!O:O)</f>
        <v>Metformin Tablets (500 MG)</v>
      </c>
      <c r="E310" s="31">
        <v>2</v>
      </c>
      <c r="F310" s="62">
        <f ca="1">IF(TODAY()&gt;=LOOKUP(C310,'QALS - Inspection Lot Record'!P:P,'QALS - Inspection Lot Record'!J:J)+RANDBETWEEN(0,1),LOOKUP(C310,'QALS - Inspection Lot Record'!P:P,'QALS - Inspection Lot Record'!J:J)+RANDBETWEEN(0,1),"")</f>
        <v>46010</v>
      </c>
      <c r="G310" s="2" t="s">
        <v>457</v>
      </c>
      <c r="H310" s="62">
        <f t="shared" ca="1" si="4"/>
        <v>46010</v>
      </c>
      <c r="I310" s="29" t="s">
        <v>458</v>
      </c>
    </row>
    <row r="311" spans="1:9" x14ac:dyDescent="0.35">
      <c r="A311" s="31">
        <v>200000653</v>
      </c>
      <c r="B311" s="31">
        <v>1010</v>
      </c>
      <c r="C311" s="31">
        <v>4282</v>
      </c>
      <c r="D311" s="29" t="str">
        <f>LOOKUP(CAPA!C311,'QALS - Inspection Lot Record'!P:P,'QALS - Inspection Lot Record'!O:O)</f>
        <v>Metformin Tablets (500 MG)</v>
      </c>
      <c r="E311" s="31">
        <v>78.400000000000006</v>
      </c>
      <c r="F311" s="62">
        <f ca="1">IF(TODAY()&gt;=LOOKUP(C311,'QALS - Inspection Lot Record'!P:P,'QALS - Inspection Lot Record'!J:J)+RANDBETWEEN(0,1),LOOKUP(C311,'QALS - Inspection Lot Record'!P:P,'QALS - Inspection Lot Record'!J:J)+RANDBETWEEN(0,1),"")</f>
        <v>46011</v>
      </c>
      <c r="G311" s="2" t="s">
        <v>447</v>
      </c>
      <c r="H311" s="62">
        <f t="shared" ca="1" si="4"/>
        <v>46012</v>
      </c>
      <c r="I311" s="29" t="s">
        <v>448</v>
      </c>
    </row>
    <row r="312" spans="1:9" x14ac:dyDescent="0.35">
      <c r="A312" s="31">
        <v>200000654</v>
      </c>
      <c r="B312" s="31">
        <v>1010</v>
      </c>
      <c r="C312" s="31">
        <v>4285</v>
      </c>
      <c r="D312" s="29" t="str">
        <f>LOOKUP(CAPA!C312,'QALS - Inspection Lot Record'!P:P,'QALS - Inspection Lot Record'!O:O)</f>
        <v>Ibuprofen Tablets (100 MG)</v>
      </c>
      <c r="E312" s="31">
        <v>1.9</v>
      </c>
      <c r="F312" s="62">
        <f ca="1">IF(TODAY()&gt;=LOOKUP(C312,'QALS - Inspection Lot Record'!P:P,'QALS - Inspection Lot Record'!J:J)+RANDBETWEEN(0,1),LOOKUP(C312,'QALS - Inspection Lot Record'!P:P,'QALS - Inspection Lot Record'!J:J)+RANDBETWEEN(0,1),"")</f>
        <v>46012</v>
      </c>
      <c r="G312" s="2" t="s">
        <v>457</v>
      </c>
      <c r="H312" s="62">
        <f t="shared" ca="1" si="4"/>
        <v>46012</v>
      </c>
      <c r="I312" s="29" t="s">
        <v>458</v>
      </c>
    </row>
    <row r="313" spans="1:9" x14ac:dyDescent="0.35">
      <c r="A313" s="31">
        <v>200000654</v>
      </c>
      <c r="B313" s="31">
        <v>1010</v>
      </c>
      <c r="C313" s="31">
        <v>4285</v>
      </c>
      <c r="D313" s="29" t="str">
        <f>LOOKUP(CAPA!C313,'QALS - Inspection Lot Record'!P:P,'QALS - Inspection Lot Record'!O:O)</f>
        <v>Ibuprofen Tablets (100 MG)</v>
      </c>
      <c r="E313" s="31">
        <v>68.099999999999994</v>
      </c>
      <c r="F313" s="62">
        <f ca="1">IF(TODAY()&gt;=LOOKUP(C313,'QALS - Inspection Lot Record'!P:P,'QALS - Inspection Lot Record'!J:J)+RANDBETWEEN(0,1),LOOKUP(C313,'QALS - Inspection Lot Record'!P:P,'QALS - Inspection Lot Record'!J:J)+RANDBETWEEN(0,1),"")</f>
        <v>46013</v>
      </c>
      <c r="G313" s="2" t="s">
        <v>447</v>
      </c>
      <c r="H313" s="62">
        <f t="shared" ca="1" si="4"/>
        <v>46014</v>
      </c>
      <c r="I313" s="29" t="s">
        <v>448</v>
      </c>
    </row>
    <row r="314" spans="1:9" x14ac:dyDescent="0.35">
      <c r="A314" s="31">
        <v>200000654</v>
      </c>
      <c r="B314" s="31">
        <v>1010</v>
      </c>
      <c r="C314" s="31">
        <v>4285</v>
      </c>
      <c r="D314" s="29" t="str">
        <f>LOOKUP(CAPA!C314,'QALS - Inspection Lot Record'!P:P,'QALS - Inspection Lot Record'!O:O)</f>
        <v>Ibuprofen Tablets (100 MG)</v>
      </c>
      <c r="E314" s="31">
        <v>78</v>
      </c>
      <c r="F314" s="62">
        <f ca="1">IF(TODAY()&gt;=LOOKUP(C314,'QALS - Inspection Lot Record'!P:P,'QALS - Inspection Lot Record'!J:J)+RANDBETWEEN(0,1),LOOKUP(C314,'QALS - Inspection Lot Record'!P:P,'QALS - Inspection Lot Record'!J:J)+RANDBETWEEN(0,1),"")</f>
        <v>46012</v>
      </c>
      <c r="G314" s="2" t="s">
        <v>447</v>
      </c>
      <c r="H314" s="62">
        <f t="shared" ca="1" si="4"/>
        <v>46012</v>
      </c>
      <c r="I314" s="29" t="s">
        <v>448</v>
      </c>
    </row>
    <row r="315" spans="1:9" x14ac:dyDescent="0.35">
      <c r="A315" s="31">
        <v>200000655</v>
      </c>
      <c r="B315" s="31">
        <v>1010</v>
      </c>
      <c r="C315" s="31">
        <v>4286</v>
      </c>
      <c r="D315" s="29" t="str">
        <f>LOOKUP(CAPA!C315,'QALS - Inspection Lot Record'!P:P,'QALS - Inspection Lot Record'!O:O)</f>
        <v>Aspirin Tablets (500 MG)</v>
      </c>
      <c r="E315" s="31">
        <v>94</v>
      </c>
      <c r="F315" s="62">
        <f ca="1">IF(TODAY()&gt;=LOOKUP(C315,'QALS - Inspection Lot Record'!P:P,'QALS - Inspection Lot Record'!J:J)+RANDBETWEEN(0,1),LOOKUP(C315,'QALS - Inspection Lot Record'!P:P,'QALS - Inspection Lot Record'!J:J)+RANDBETWEEN(0,1),"")</f>
        <v>46013</v>
      </c>
      <c r="G315" s="2" t="s">
        <v>441</v>
      </c>
      <c r="H315" s="62">
        <f t="shared" ca="1" si="4"/>
        <v>46015</v>
      </c>
      <c r="I315" s="29" t="s">
        <v>442</v>
      </c>
    </row>
    <row r="316" spans="1:9" x14ac:dyDescent="0.35">
      <c r="A316" s="31">
        <v>200000655</v>
      </c>
      <c r="B316" s="31">
        <v>1010</v>
      </c>
      <c r="C316" s="31">
        <v>4286</v>
      </c>
      <c r="D316" s="29" t="str">
        <f>LOOKUP(CAPA!C316,'QALS - Inspection Lot Record'!P:P,'QALS - Inspection Lot Record'!O:O)</f>
        <v>Aspirin Tablets (500 MG)</v>
      </c>
      <c r="E316" s="31">
        <v>3</v>
      </c>
      <c r="F316" s="62">
        <f ca="1">IF(TODAY()&gt;=LOOKUP(C316,'QALS - Inspection Lot Record'!P:P,'QALS - Inspection Lot Record'!J:J)+RANDBETWEEN(0,1),LOOKUP(C316,'QALS - Inspection Lot Record'!P:P,'QALS - Inspection Lot Record'!J:J)+RANDBETWEEN(0,1),"")</f>
        <v>46013</v>
      </c>
      <c r="G316" s="2" t="s">
        <v>459</v>
      </c>
      <c r="H316" s="62">
        <f t="shared" ca="1" si="4"/>
        <v>46015</v>
      </c>
      <c r="I316" s="29" t="s">
        <v>460</v>
      </c>
    </row>
    <row r="317" spans="1:9" x14ac:dyDescent="0.35">
      <c r="A317" s="31">
        <v>200000656</v>
      </c>
      <c r="B317" s="31">
        <v>1010</v>
      </c>
      <c r="C317" s="31">
        <v>4289</v>
      </c>
      <c r="D317" s="29" t="str">
        <f>LOOKUP(CAPA!C317,'QALS - Inspection Lot Record'!P:P,'QALS - Inspection Lot Record'!O:O)</f>
        <v>Ibuprofen Tablets (100 MG)</v>
      </c>
      <c r="E317" s="31">
        <v>93.1</v>
      </c>
      <c r="F317" s="62">
        <f ca="1">IF(TODAY()&gt;=LOOKUP(C317,'QALS - Inspection Lot Record'!P:P,'QALS - Inspection Lot Record'!J:J)+RANDBETWEEN(0,1),LOOKUP(C317,'QALS - Inspection Lot Record'!P:P,'QALS - Inspection Lot Record'!J:J)+RANDBETWEEN(0,1),"")</f>
        <v>46015</v>
      </c>
      <c r="G317" s="2" t="s">
        <v>441</v>
      </c>
      <c r="H317" s="62">
        <f t="shared" ca="1" si="4"/>
        <v>46015</v>
      </c>
      <c r="I317" s="29" t="s">
        <v>442</v>
      </c>
    </row>
    <row r="318" spans="1:9" x14ac:dyDescent="0.35">
      <c r="A318" s="31">
        <v>200000656</v>
      </c>
      <c r="B318" s="31">
        <v>1010</v>
      </c>
      <c r="C318" s="31">
        <v>4289</v>
      </c>
      <c r="D318" s="29" t="str">
        <f>LOOKUP(CAPA!C318,'QALS - Inspection Lot Record'!P:P,'QALS - Inspection Lot Record'!O:O)</f>
        <v>Ibuprofen Tablets (100 MG)</v>
      </c>
      <c r="E318" s="31">
        <v>2.2999999999999998</v>
      </c>
      <c r="F318" s="62">
        <f ca="1">IF(TODAY()&gt;=LOOKUP(C318,'QALS - Inspection Lot Record'!P:P,'QALS - Inspection Lot Record'!J:J)+RANDBETWEEN(0,1),LOOKUP(C318,'QALS - Inspection Lot Record'!P:P,'QALS - Inspection Lot Record'!J:J)+RANDBETWEEN(0,1),"")</f>
        <v>46014</v>
      </c>
      <c r="G318" s="2" t="s">
        <v>457</v>
      </c>
      <c r="H318" s="62">
        <f t="shared" ca="1" si="4"/>
        <v>46016</v>
      </c>
      <c r="I318" s="29" t="s">
        <v>458</v>
      </c>
    </row>
    <row r="319" spans="1:9" x14ac:dyDescent="0.35">
      <c r="A319" s="31">
        <v>200000657</v>
      </c>
      <c r="B319" s="31">
        <v>1010</v>
      </c>
      <c r="C319" s="31">
        <v>4290</v>
      </c>
      <c r="D319" s="29" t="str">
        <f>LOOKUP(CAPA!C319,'QALS - Inspection Lot Record'!P:P,'QALS - Inspection Lot Record'!O:O)</f>
        <v>Ibuprofen Tablets (100 MG)</v>
      </c>
      <c r="E319" s="31">
        <v>93.7</v>
      </c>
      <c r="F319" s="62">
        <f ca="1">IF(TODAY()&gt;=LOOKUP(C319,'QALS - Inspection Lot Record'!P:P,'QALS - Inspection Lot Record'!J:J)+RANDBETWEEN(0,1),LOOKUP(C319,'QALS - Inspection Lot Record'!P:P,'QALS - Inspection Lot Record'!J:J)+RANDBETWEEN(0,1),"")</f>
        <v>46014</v>
      </c>
      <c r="G319" s="2" t="s">
        <v>441</v>
      </c>
      <c r="H319" s="62">
        <f t="shared" ca="1" si="4"/>
        <v>46015</v>
      </c>
      <c r="I319" s="29" t="s">
        <v>442</v>
      </c>
    </row>
    <row r="320" spans="1:9" x14ac:dyDescent="0.35">
      <c r="A320" s="31">
        <v>200000657</v>
      </c>
      <c r="B320" s="31">
        <v>1010</v>
      </c>
      <c r="C320" s="31">
        <v>4290</v>
      </c>
      <c r="D320" s="29" t="str">
        <f>LOOKUP(CAPA!C320,'QALS - Inspection Lot Record'!P:P,'QALS - Inspection Lot Record'!O:O)</f>
        <v>Ibuprofen Tablets (100 MG)</v>
      </c>
      <c r="E320" s="31">
        <v>68.400000000000006</v>
      </c>
      <c r="F320" s="62">
        <f ca="1">IF(TODAY()&gt;=LOOKUP(C320,'QALS - Inspection Lot Record'!P:P,'QALS - Inspection Lot Record'!J:J)+RANDBETWEEN(0,1),LOOKUP(C320,'QALS - Inspection Lot Record'!P:P,'QALS - Inspection Lot Record'!J:J)+RANDBETWEEN(0,1),"")</f>
        <v>46015</v>
      </c>
      <c r="G320" s="2" t="s">
        <v>447</v>
      </c>
      <c r="H320" s="62">
        <f t="shared" ca="1" si="4"/>
        <v>46017</v>
      </c>
      <c r="I320" s="29" t="s">
        <v>448</v>
      </c>
    </row>
    <row r="321" spans="1:9" x14ac:dyDescent="0.35">
      <c r="A321" s="31">
        <v>200000657</v>
      </c>
      <c r="B321" s="31">
        <v>1010</v>
      </c>
      <c r="C321" s="31">
        <v>4290</v>
      </c>
      <c r="D321" s="29" t="str">
        <f>LOOKUP(CAPA!C321,'QALS - Inspection Lot Record'!P:P,'QALS - Inspection Lot Record'!O:O)</f>
        <v>Ibuprofen Tablets (100 MG)</v>
      </c>
      <c r="E321" s="31">
        <v>78.2</v>
      </c>
      <c r="F321" s="62">
        <f ca="1">IF(TODAY()&gt;=LOOKUP(C321,'QALS - Inspection Lot Record'!P:P,'QALS - Inspection Lot Record'!J:J)+RANDBETWEEN(0,1),LOOKUP(C321,'QALS - Inspection Lot Record'!P:P,'QALS - Inspection Lot Record'!J:J)+RANDBETWEEN(0,1),"")</f>
        <v>46014</v>
      </c>
      <c r="G321" s="2" t="s">
        <v>447</v>
      </c>
      <c r="H321" s="62">
        <f t="shared" ca="1" si="4"/>
        <v>46014</v>
      </c>
      <c r="I321" s="29" t="s">
        <v>448</v>
      </c>
    </row>
    <row r="322" spans="1:9" x14ac:dyDescent="0.35">
      <c r="A322" s="31">
        <v>200000658</v>
      </c>
      <c r="B322" s="31">
        <v>1010</v>
      </c>
      <c r="C322" s="31">
        <v>4293</v>
      </c>
      <c r="D322" s="29" t="str">
        <f>LOOKUP(CAPA!C322,'QALS - Inspection Lot Record'!P:P,'QALS - Inspection Lot Record'!O:O)</f>
        <v>Metformin Tablets (500 MG)</v>
      </c>
      <c r="E322" s="31">
        <v>1.5</v>
      </c>
      <c r="F322" s="62">
        <f ca="1">IF(TODAY()&gt;=LOOKUP(C322,'QALS - Inspection Lot Record'!P:P,'QALS - Inspection Lot Record'!J:J)+RANDBETWEEN(0,1),LOOKUP(C322,'QALS - Inspection Lot Record'!P:P,'QALS - Inspection Lot Record'!J:J)+RANDBETWEEN(0,1),"")</f>
        <v>46016</v>
      </c>
      <c r="G322" s="2" t="s">
        <v>443</v>
      </c>
      <c r="H322" s="62">
        <f t="shared" ref="H322:H375" ca="1" si="5">IF(TODAY()&gt;=F322+RANDBETWEEN(0,2),F322+RANDBETWEEN(0,2),"")</f>
        <v>46018</v>
      </c>
      <c r="I322" s="29" t="s">
        <v>444</v>
      </c>
    </row>
    <row r="323" spans="1:9" x14ac:dyDescent="0.35">
      <c r="A323" s="31">
        <v>200000658</v>
      </c>
      <c r="B323" s="31">
        <v>1010</v>
      </c>
      <c r="C323" s="31">
        <v>4293</v>
      </c>
      <c r="D323" s="29" t="str">
        <f>LOOKUP(CAPA!C323,'QALS - Inspection Lot Record'!P:P,'QALS - Inspection Lot Record'!O:O)</f>
        <v>Metformin Tablets (500 MG)</v>
      </c>
      <c r="E323" s="31">
        <v>38</v>
      </c>
      <c r="F323" s="62">
        <f ca="1">IF(TODAY()&gt;=LOOKUP(C323,'QALS - Inspection Lot Record'!P:P,'QALS - Inspection Lot Record'!J:J)+RANDBETWEEN(0,1),LOOKUP(C323,'QALS - Inspection Lot Record'!P:P,'QALS - Inspection Lot Record'!J:J)+RANDBETWEEN(0,1),"")</f>
        <v>46016</v>
      </c>
      <c r="G323" s="2" t="s">
        <v>449</v>
      </c>
      <c r="H323" s="62">
        <f t="shared" ca="1" si="5"/>
        <v>46018</v>
      </c>
      <c r="I323" s="29" t="s">
        <v>450</v>
      </c>
    </row>
    <row r="324" spans="1:9" x14ac:dyDescent="0.35">
      <c r="A324" s="31">
        <v>200000659</v>
      </c>
      <c r="B324" s="31">
        <v>1010</v>
      </c>
      <c r="C324" s="31">
        <v>4294</v>
      </c>
      <c r="D324" s="29" t="str">
        <f>LOOKUP(CAPA!C324,'QALS - Inspection Lot Record'!P:P,'QALS - Inspection Lot Record'!O:O)</f>
        <v>Metformin Tablets (500 MG)</v>
      </c>
      <c r="E324" s="31">
        <v>94</v>
      </c>
      <c r="F324" s="62">
        <f ca="1">IF(TODAY()&gt;=LOOKUP(C324,'QALS - Inspection Lot Record'!P:P,'QALS - Inspection Lot Record'!J:J)+RANDBETWEEN(0,1),LOOKUP(C324,'QALS - Inspection Lot Record'!P:P,'QALS - Inspection Lot Record'!J:J)+RANDBETWEEN(0,1),"")</f>
        <v>46016</v>
      </c>
      <c r="G324" s="2" t="s">
        <v>441</v>
      </c>
      <c r="H324" s="62">
        <f t="shared" ca="1" si="5"/>
        <v>46018</v>
      </c>
      <c r="I324" s="29" t="s">
        <v>442</v>
      </c>
    </row>
    <row r="325" spans="1:9" x14ac:dyDescent="0.35">
      <c r="A325" s="31">
        <v>200000659</v>
      </c>
      <c r="B325" s="31">
        <v>1010</v>
      </c>
      <c r="C325" s="31">
        <v>4294</v>
      </c>
      <c r="D325" s="29" t="str">
        <f>LOOKUP(CAPA!C325,'QALS - Inspection Lot Record'!P:P,'QALS - Inspection Lot Record'!O:O)</f>
        <v>Metformin Tablets (500 MG)</v>
      </c>
      <c r="E325" s="31">
        <v>2</v>
      </c>
      <c r="F325" s="62">
        <f ca="1">IF(TODAY()&gt;=LOOKUP(C325,'QALS - Inspection Lot Record'!P:P,'QALS - Inspection Lot Record'!J:J)+RANDBETWEEN(0,1),LOOKUP(C325,'QALS - Inspection Lot Record'!P:P,'QALS - Inspection Lot Record'!J:J)+RANDBETWEEN(0,1),"")</f>
        <v>46017</v>
      </c>
      <c r="G325" s="2" t="s">
        <v>457</v>
      </c>
      <c r="H325" s="62">
        <f t="shared" ca="1" si="5"/>
        <v>46017</v>
      </c>
      <c r="I325" s="29" t="s">
        <v>458</v>
      </c>
    </row>
    <row r="326" spans="1:9" x14ac:dyDescent="0.35">
      <c r="A326" s="31">
        <v>200000659</v>
      </c>
      <c r="B326" s="31">
        <v>1010</v>
      </c>
      <c r="C326" s="31">
        <v>4294</v>
      </c>
      <c r="D326" s="29" t="str">
        <f>LOOKUP(CAPA!C326,'QALS - Inspection Lot Record'!P:P,'QALS - Inspection Lot Record'!O:O)</f>
        <v>Metformin Tablets (500 MG)</v>
      </c>
      <c r="E326" s="31">
        <v>2.2000000000000002</v>
      </c>
      <c r="F326" s="62">
        <f ca="1">IF(TODAY()&gt;=LOOKUP(C326,'QALS - Inspection Lot Record'!P:P,'QALS - Inspection Lot Record'!J:J)+RANDBETWEEN(0,1),LOOKUP(C326,'QALS - Inspection Lot Record'!P:P,'QALS - Inspection Lot Record'!J:J)+RANDBETWEEN(0,1),"")</f>
        <v>46017</v>
      </c>
      <c r="G326" s="2" t="s">
        <v>445</v>
      </c>
      <c r="H326" s="62">
        <f t="shared" ca="1" si="5"/>
        <v>46018</v>
      </c>
      <c r="I326" s="29" t="s">
        <v>446</v>
      </c>
    </row>
    <row r="327" spans="1:9" x14ac:dyDescent="0.35">
      <c r="A327" s="31">
        <v>200000659</v>
      </c>
      <c r="B327" s="31">
        <v>1010</v>
      </c>
      <c r="C327" s="31">
        <v>4294</v>
      </c>
      <c r="D327" s="29" t="str">
        <f>LOOKUP(CAPA!C327,'QALS - Inspection Lot Record'!P:P,'QALS - Inspection Lot Record'!O:O)</f>
        <v>Metformin Tablets (500 MG)</v>
      </c>
      <c r="E327" s="31">
        <v>78.2</v>
      </c>
      <c r="F327" s="62">
        <f ca="1">IF(TODAY()&gt;=LOOKUP(C327,'QALS - Inspection Lot Record'!P:P,'QALS - Inspection Lot Record'!J:J)+RANDBETWEEN(0,1),LOOKUP(C327,'QALS - Inspection Lot Record'!P:P,'QALS - Inspection Lot Record'!J:J)+RANDBETWEEN(0,1),"")</f>
        <v>46017</v>
      </c>
      <c r="G327" s="2" t="s">
        <v>447</v>
      </c>
      <c r="H327" s="62">
        <f t="shared" ca="1" si="5"/>
        <v>46017</v>
      </c>
      <c r="I327" s="29" t="s">
        <v>448</v>
      </c>
    </row>
    <row r="328" spans="1:9" x14ac:dyDescent="0.35">
      <c r="A328" s="31">
        <v>200000660</v>
      </c>
      <c r="B328" s="31">
        <v>1010</v>
      </c>
      <c r="C328" s="31">
        <v>4297</v>
      </c>
      <c r="D328" s="29" t="str">
        <f>LOOKUP(CAPA!C328,'QALS - Inspection Lot Record'!P:P,'QALS - Inspection Lot Record'!O:O)</f>
        <v>Metformin Tablets (200 MG)</v>
      </c>
      <c r="E328" s="31">
        <v>5</v>
      </c>
      <c r="F328" s="62">
        <f ca="1">IF(TODAY()&gt;=LOOKUP(C328,'QALS - Inspection Lot Record'!P:P,'QALS - Inspection Lot Record'!J:J)+RANDBETWEEN(0,1),LOOKUP(C328,'QALS - Inspection Lot Record'!P:P,'QALS - Inspection Lot Record'!J:J)+RANDBETWEEN(0,1),"")</f>
        <v>46018</v>
      </c>
      <c r="G328" s="2" t="s">
        <v>455</v>
      </c>
      <c r="H328" s="62">
        <f t="shared" ca="1" si="5"/>
        <v>46019</v>
      </c>
      <c r="I328" s="29" t="s">
        <v>456</v>
      </c>
    </row>
    <row r="329" spans="1:9" x14ac:dyDescent="0.35">
      <c r="A329" s="31">
        <v>200000660</v>
      </c>
      <c r="B329" s="31">
        <v>1010</v>
      </c>
      <c r="C329" s="31">
        <v>4297</v>
      </c>
      <c r="D329" s="29" t="str">
        <f>LOOKUP(CAPA!C329,'QALS - Inspection Lot Record'!P:P,'QALS - Inspection Lot Record'!O:O)</f>
        <v>Metformin Tablets (200 MG)</v>
      </c>
      <c r="E329" s="31">
        <v>2.1</v>
      </c>
      <c r="F329" s="62">
        <f ca="1">IF(TODAY()&gt;=LOOKUP(C329,'QALS - Inspection Lot Record'!P:P,'QALS - Inspection Lot Record'!J:J)+RANDBETWEEN(0,1),LOOKUP(C329,'QALS - Inspection Lot Record'!P:P,'QALS - Inspection Lot Record'!J:J)+RANDBETWEEN(0,1),"")</f>
        <v>46018</v>
      </c>
      <c r="G329" s="2" t="s">
        <v>445</v>
      </c>
      <c r="H329" s="62">
        <f t="shared" ca="1" si="5"/>
        <v>46019</v>
      </c>
      <c r="I329" s="29" t="s">
        <v>446</v>
      </c>
    </row>
    <row r="330" spans="1:9" x14ac:dyDescent="0.35">
      <c r="A330" s="31">
        <v>200000660</v>
      </c>
      <c r="B330" s="31">
        <v>1010</v>
      </c>
      <c r="C330" s="31">
        <v>4297</v>
      </c>
      <c r="D330" s="29" t="str">
        <f>LOOKUP(CAPA!C330,'QALS - Inspection Lot Record'!P:P,'QALS - Inspection Lot Record'!O:O)</f>
        <v>Metformin Tablets (200 MG)</v>
      </c>
      <c r="E330" s="31">
        <v>90</v>
      </c>
      <c r="F330" s="62">
        <f ca="1">IF(TODAY()&gt;=LOOKUP(C330,'QALS - Inspection Lot Record'!P:P,'QALS - Inspection Lot Record'!J:J)+RANDBETWEEN(0,1),LOOKUP(C330,'QALS - Inspection Lot Record'!P:P,'QALS - Inspection Lot Record'!J:J)+RANDBETWEEN(0,1),"")</f>
        <v>46018</v>
      </c>
      <c r="G330" s="2" t="s">
        <v>470</v>
      </c>
      <c r="H330" s="62">
        <f t="shared" ca="1" si="5"/>
        <v>46019</v>
      </c>
      <c r="I330" s="29" t="s">
        <v>471</v>
      </c>
    </row>
    <row r="331" spans="1:9" x14ac:dyDescent="0.35">
      <c r="A331" s="31">
        <v>200000660</v>
      </c>
      <c r="B331" s="31">
        <v>1010</v>
      </c>
      <c r="C331" s="31">
        <v>4297</v>
      </c>
      <c r="D331" s="29" t="str">
        <f>LOOKUP(CAPA!C331,'QALS - Inspection Lot Record'!P:P,'QALS - Inspection Lot Record'!O:O)</f>
        <v>Metformin Tablets (200 MG)</v>
      </c>
      <c r="E331" s="31">
        <v>100</v>
      </c>
      <c r="F331" s="62">
        <f ca="1">IF(TODAY()&gt;=LOOKUP(C331,'QALS - Inspection Lot Record'!P:P,'QALS - Inspection Lot Record'!J:J)+RANDBETWEEN(0,1),LOOKUP(C331,'QALS - Inspection Lot Record'!P:P,'QALS - Inspection Lot Record'!J:J)+RANDBETWEEN(0,1),"")</f>
        <v>46018</v>
      </c>
      <c r="G331" s="2" t="s">
        <v>470</v>
      </c>
      <c r="H331" s="62">
        <f t="shared" ca="1" si="5"/>
        <v>46018</v>
      </c>
      <c r="I331" s="29" t="s">
        <v>471</v>
      </c>
    </row>
    <row r="332" spans="1:9" x14ac:dyDescent="0.35">
      <c r="A332" s="31">
        <v>200000661</v>
      </c>
      <c r="B332" s="31">
        <v>1010</v>
      </c>
      <c r="C332" s="31">
        <v>4298</v>
      </c>
      <c r="D332" s="29" t="str">
        <f>LOOKUP(CAPA!C332,'QALS - Inspection Lot Record'!P:P,'QALS - Inspection Lot Record'!O:O)</f>
        <v>Aspirin Tablets (500 MG)</v>
      </c>
      <c r="E332" s="31">
        <v>38.9</v>
      </c>
      <c r="F332" s="62">
        <f ca="1">IF(TODAY()&gt;=LOOKUP(C332,'QALS - Inspection Lot Record'!P:P,'QALS - Inspection Lot Record'!J:J)+RANDBETWEEN(0,1),LOOKUP(C332,'QALS - Inspection Lot Record'!P:P,'QALS - Inspection Lot Record'!J:J)+RANDBETWEEN(0,1),"")</f>
        <v>46019</v>
      </c>
      <c r="G332" s="2" t="s">
        <v>447</v>
      </c>
      <c r="H332" s="62">
        <f t="shared" ca="1" si="5"/>
        <v>46019</v>
      </c>
      <c r="I332" s="29" t="s">
        <v>448</v>
      </c>
    </row>
    <row r="333" spans="1:9" x14ac:dyDescent="0.35">
      <c r="A333" s="31">
        <v>200000661</v>
      </c>
      <c r="B333" s="31">
        <v>1010</v>
      </c>
      <c r="C333" s="31">
        <v>4298</v>
      </c>
      <c r="D333" s="29" t="str">
        <f>LOOKUP(CAPA!C333,'QALS - Inspection Lot Record'!P:P,'QALS - Inspection Lot Record'!O:O)</f>
        <v>Aspirin Tablets (500 MG)</v>
      </c>
      <c r="E333" s="31">
        <v>68.8</v>
      </c>
      <c r="F333" s="62">
        <f ca="1">IF(TODAY()&gt;=LOOKUP(C333,'QALS - Inspection Lot Record'!P:P,'QALS - Inspection Lot Record'!J:J)+RANDBETWEEN(0,1),LOOKUP(C333,'QALS - Inspection Lot Record'!P:P,'QALS - Inspection Lot Record'!J:J)+RANDBETWEEN(0,1),"")</f>
        <v>46019</v>
      </c>
      <c r="G333" s="2" t="s">
        <v>447</v>
      </c>
      <c r="H333" s="62">
        <f t="shared" ca="1" si="5"/>
        <v>46021</v>
      </c>
      <c r="I333" s="29" t="s">
        <v>448</v>
      </c>
    </row>
    <row r="334" spans="1:9" x14ac:dyDescent="0.35">
      <c r="A334" s="31">
        <v>200000661</v>
      </c>
      <c r="B334" s="31">
        <v>1010</v>
      </c>
      <c r="C334" s="31">
        <v>4298</v>
      </c>
      <c r="D334" s="29" t="str">
        <f>LOOKUP(CAPA!C334,'QALS - Inspection Lot Record'!P:P,'QALS - Inspection Lot Record'!O:O)</f>
        <v>Aspirin Tablets (500 MG)</v>
      </c>
      <c r="E334" s="31">
        <v>78</v>
      </c>
      <c r="F334" s="62">
        <f ca="1">IF(TODAY()&gt;=LOOKUP(C334,'QALS - Inspection Lot Record'!P:P,'QALS - Inspection Lot Record'!J:J)+RANDBETWEEN(0,1),LOOKUP(C334,'QALS - Inspection Lot Record'!P:P,'QALS - Inspection Lot Record'!J:J)+RANDBETWEEN(0,1),"")</f>
        <v>46019</v>
      </c>
      <c r="G334" s="2" t="s">
        <v>447</v>
      </c>
      <c r="H334" s="62">
        <f t="shared" ca="1" si="5"/>
        <v>46021</v>
      </c>
      <c r="I334" s="29" t="s">
        <v>448</v>
      </c>
    </row>
    <row r="335" spans="1:9" x14ac:dyDescent="0.35">
      <c r="A335" s="31">
        <v>200000662</v>
      </c>
      <c r="B335" s="31">
        <v>1010</v>
      </c>
      <c r="C335" s="31">
        <v>4303</v>
      </c>
      <c r="D335" s="29" t="str">
        <f>LOOKUP(CAPA!C335,'QALS - Inspection Lot Record'!P:P,'QALS - Inspection Lot Record'!O:O)</f>
        <v>Metformin Tablets (200 MG)</v>
      </c>
      <c r="E335" s="31">
        <v>4.4000000000000004</v>
      </c>
      <c r="F335" s="62">
        <f ca="1">IF(TODAY()&gt;=LOOKUP(C335,'QALS - Inspection Lot Record'!P:P,'QALS - Inspection Lot Record'!J:J)+RANDBETWEEN(0,1),LOOKUP(C335,'QALS - Inspection Lot Record'!P:P,'QALS - Inspection Lot Record'!J:J)+RANDBETWEEN(0,1),"")</f>
        <v>46022</v>
      </c>
      <c r="G335" s="2" t="s">
        <v>443</v>
      </c>
      <c r="H335" s="62">
        <f t="shared" ca="1" si="5"/>
        <v>46024</v>
      </c>
      <c r="I335" s="29" t="s">
        <v>444</v>
      </c>
    </row>
    <row r="336" spans="1:9" x14ac:dyDescent="0.35">
      <c r="A336" s="31">
        <v>200000662</v>
      </c>
      <c r="B336" s="31">
        <v>1010</v>
      </c>
      <c r="C336" s="31">
        <v>4303</v>
      </c>
      <c r="D336" s="29" t="str">
        <f>LOOKUP(CAPA!C336,'QALS - Inspection Lot Record'!P:P,'QALS - Inspection Lot Record'!O:O)</f>
        <v>Metformin Tablets (200 MG)</v>
      </c>
      <c r="E336" s="31">
        <v>69</v>
      </c>
      <c r="F336" s="62">
        <f ca="1">IF(TODAY()&gt;=LOOKUP(C336,'QALS - Inspection Lot Record'!P:P,'QALS - Inspection Lot Record'!J:J)+RANDBETWEEN(0,1),LOOKUP(C336,'QALS - Inspection Lot Record'!P:P,'QALS - Inspection Lot Record'!J:J)+RANDBETWEEN(0,1),"")</f>
        <v>46021</v>
      </c>
      <c r="G336" s="2" t="s">
        <v>447</v>
      </c>
      <c r="H336" s="62">
        <f t="shared" ca="1" si="5"/>
        <v>46023</v>
      </c>
      <c r="I336" s="29" t="s">
        <v>448</v>
      </c>
    </row>
    <row r="337" spans="1:9" x14ac:dyDescent="0.35">
      <c r="A337" s="31">
        <v>200000662</v>
      </c>
      <c r="B337" s="31">
        <v>1010</v>
      </c>
      <c r="C337" s="31">
        <v>4303</v>
      </c>
      <c r="D337" s="29" t="str">
        <f>LOOKUP(CAPA!C337,'QALS - Inspection Lot Record'!P:P,'QALS - Inspection Lot Record'!O:O)</f>
        <v>Metformin Tablets (200 MG)</v>
      </c>
      <c r="E337" s="31">
        <v>78.7</v>
      </c>
      <c r="F337" s="62">
        <f ca="1">IF(TODAY()&gt;=LOOKUP(C337,'QALS - Inspection Lot Record'!P:P,'QALS - Inspection Lot Record'!J:J)+RANDBETWEEN(0,1),LOOKUP(C337,'QALS - Inspection Lot Record'!P:P,'QALS - Inspection Lot Record'!J:J)+RANDBETWEEN(0,1),"")</f>
        <v>46022</v>
      </c>
      <c r="G337" s="2" t="s">
        <v>447</v>
      </c>
      <c r="H337" s="62">
        <f t="shared" ca="1" si="5"/>
        <v>46024</v>
      </c>
      <c r="I337" s="29" t="s">
        <v>448</v>
      </c>
    </row>
    <row r="338" spans="1:9" x14ac:dyDescent="0.35">
      <c r="A338" s="31">
        <v>200000663</v>
      </c>
      <c r="B338" s="31">
        <v>1010</v>
      </c>
      <c r="C338" s="31">
        <v>4304</v>
      </c>
      <c r="D338" s="29" t="str">
        <f>LOOKUP(CAPA!C338,'QALS - Inspection Lot Record'!P:P,'QALS - Inspection Lot Record'!O:O)</f>
        <v>Aspirin Tablets (500 MG)</v>
      </c>
      <c r="E338" s="31">
        <v>94</v>
      </c>
      <c r="F338" s="62">
        <f ca="1">IF(TODAY()&gt;=LOOKUP(C338,'QALS - Inspection Lot Record'!P:P,'QALS - Inspection Lot Record'!J:J)+RANDBETWEEN(0,1),LOOKUP(C338,'QALS - Inspection Lot Record'!P:P,'QALS - Inspection Lot Record'!J:J)+RANDBETWEEN(0,1),"")</f>
        <v>46021</v>
      </c>
      <c r="G338" s="2" t="s">
        <v>441</v>
      </c>
      <c r="H338" s="62">
        <f t="shared" ca="1" si="5"/>
        <v>46021</v>
      </c>
      <c r="I338" s="29" t="s">
        <v>442</v>
      </c>
    </row>
    <row r="339" spans="1:9" x14ac:dyDescent="0.35">
      <c r="A339" s="31">
        <v>200000663</v>
      </c>
      <c r="B339" s="31">
        <v>1010</v>
      </c>
      <c r="C339" s="31">
        <v>4304</v>
      </c>
      <c r="D339" s="29" t="str">
        <f>LOOKUP(CAPA!C339,'QALS - Inspection Lot Record'!P:P,'QALS - Inspection Lot Record'!O:O)</f>
        <v>Aspirin Tablets (500 MG)</v>
      </c>
      <c r="E339" s="31">
        <v>38</v>
      </c>
      <c r="F339" s="62">
        <f ca="1">IF(TODAY()&gt;=LOOKUP(C339,'QALS - Inspection Lot Record'!P:P,'QALS - Inspection Lot Record'!J:J)+RANDBETWEEN(0,1),LOOKUP(C339,'QALS - Inspection Lot Record'!P:P,'QALS - Inspection Lot Record'!J:J)+RANDBETWEEN(0,1),"")</f>
        <v>46022</v>
      </c>
      <c r="G339" s="2" t="s">
        <v>449</v>
      </c>
      <c r="H339" s="62">
        <f t="shared" ca="1" si="5"/>
        <v>46023</v>
      </c>
      <c r="I339" s="29" t="s">
        <v>450</v>
      </c>
    </row>
    <row r="340" spans="1:9" x14ac:dyDescent="0.35">
      <c r="A340" s="31">
        <v>200000663</v>
      </c>
      <c r="B340" s="31">
        <v>1010</v>
      </c>
      <c r="C340" s="31">
        <v>4304</v>
      </c>
      <c r="D340" s="29" t="str">
        <f>LOOKUP(CAPA!C340,'QALS - Inspection Lot Record'!P:P,'QALS - Inspection Lot Record'!O:O)</f>
        <v>Aspirin Tablets (500 MG)</v>
      </c>
      <c r="E340" s="31">
        <v>68.7</v>
      </c>
      <c r="F340" s="62">
        <f ca="1">IF(TODAY()&gt;=LOOKUP(C340,'QALS - Inspection Lot Record'!P:P,'QALS - Inspection Lot Record'!J:J)+RANDBETWEEN(0,1),LOOKUP(C340,'QALS - Inspection Lot Record'!P:P,'QALS - Inspection Lot Record'!J:J)+RANDBETWEEN(0,1),"")</f>
        <v>46021</v>
      </c>
      <c r="G340" s="2" t="s">
        <v>447</v>
      </c>
      <c r="H340" s="62">
        <f t="shared" ca="1" si="5"/>
        <v>46022</v>
      </c>
      <c r="I340" s="29" t="s">
        <v>448</v>
      </c>
    </row>
    <row r="341" spans="1:9" x14ac:dyDescent="0.35">
      <c r="A341" s="31">
        <v>200000663</v>
      </c>
      <c r="B341" s="31">
        <v>1010</v>
      </c>
      <c r="C341" s="31">
        <v>4304</v>
      </c>
      <c r="D341" s="29" t="str">
        <f>LOOKUP(CAPA!C341,'QALS - Inspection Lot Record'!P:P,'QALS - Inspection Lot Record'!O:O)</f>
        <v>Aspirin Tablets (500 MG)</v>
      </c>
      <c r="E341" s="31">
        <v>78.900000000000006</v>
      </c>
      <c r="F341" s="62">
        <f ca="1">IF(TODAY()&gt;=LOOKUP(C341,'QALS - Inspection Lot Record'!P:P,'QALS - Inspection Lot Record'!J:J)+RANDBETWEEN(0,1),LOOKUP(C341,'QALS - Inspection Lot Record'!P:P,'QALS - Inspection Lot Record'!J:J)+RANDBETWEEN(0,1),"")</f>
        <v>46022</v>
      </c>
      <c r="G341" s="2" t="s">
        <v>447</v>
      </c>
      <c r="H341" s="62">
        <f t="shared" ca="1" si="5"/>
        <v>46024</v>
      </c>
      <c r="I341" s="29" t="s">
        <v>448</v>
      </c>
    </row>
    <row r="342" spans="1:9" x14ac:dyDescent="0.35">
      <c r="A342" s="31">
        <v>200000664</v>
      </c>
      <c r="B342" s="31">
        <v>1010</v>
      </c>
      <c r="C342" s="31">
        <v>4305</v>
      </c>
      <c r="D342" s="29" t="str">
        <f>LOOKUP(CAPA!C342,'QALS - Inspection Lot Record'!P:P,'QALS - Inspection Lot Record'!O:O)</f>
        <v>Metformin Tablets (100 MG)</v>
      </c>
      <c r="E342" s="31">
        <v>93.8</v>
      </c>
      <c r="F342" s="62">
        <f ca="1">IF(TODAY()&gt;=LOOKUP(C342,'QALS - Inspection Lot Record'!P:P,'QALS - Inspection Lot Record'!J:J)+RANDBETWEEN(0,1),LOOKUP(C342,'QALS - Inspection Lot Record'!P:P,'QALS - Inspection Lot Record'!J:J)+RANDBETWEEN(0,1),"")</f>
        <v>46023</v>
      </c>
      <c r="G342" s="2" t="s">
        <v>451</v>
      </c>
      <c r="H342" s="62">
        <f t="shared" ca="1" si="5"/>
        <v>46024</v>
      </c>
      <c r="I342" s="29" t="s">
        <v>452</v>
      </c>
    </row>
    <row r="343" spans="1:9" x14ac:dyDescent="0.35">
      <c r="A343" s="31">
        <v>200000665</v>
      </c>
      <c r="B343" s="31">
        <v>1010</v>
      </c>
      <c r="C343" s="31">
        <v>4306</v>
      </c>
      <c r="D343" s="29" t="str">
        <f>LOOKUP(CAPA!C343,'QALS - Inspection Lot Record'!P:P,'QALS - Inspection Lot Record'!O:O)</f>
        <v>Metformin Tablets (200 MG)</v>
      </c>
      <c r="E343" s="31">
        <v>68.7</v>
      </c>
      <c r="F343" s="62">
        <f ca="1">IF(TODAY()&gt;=LOOKUP(C343,'QALS - Inspection Lot Record'!P:P,'QALS - Inspection Lot Record'!J:J)+RANDBETWEEN(0,1),LOOKUP(C343,'QALS - Inspection Lot Record'!P:P,'QALS - Inspection Lot Record'!J:J)+RANDBETWEEN(0,1),"")</f>
        <v>46022</v>
      </c>
      <c r="G343" s="2" t="s">
        <v>447</v>
      </c>
      <c r="H343" s="62">
        <f t="shared" ca="1" si="5"/>
        <v>46023</v>
      </c>
      <c r="I343" s="29" t="s">
        <v>448</v>
      </c>
    </row>
    <row r="344" spans="1:9" x14ac:dyDescent="0.35">
      <c r="A344" s="31">
        <v>200000665</v>
      </c>
      <c r="B344" s="31">
        <v>1010</v>
      </c>
      <c r="C344" s="31">
        <v>4306</v>
      </c>
      <c r="D344" s="29" t="str">
        <f>LOOKUP(CAPA!C344,'QALS - Inspection Lot Record'!P:P,'QALS - Inspection Lot Record'!O:O)</f>
        <v>Metformin Tablets (200 MG)</v>
      </c>
      <c r="E344" s="31">
        <v>78.3</v>
      </c>
      <c r="F344" s="62">
        <f ca="1">IF(TODAY()&gt;=LOOKUP(C344,'QALS - Inspection Lot Record'!P:P,'QALS - Inspection Lot Record'!J:J)+RANDBETWEEN(0,1),LOOKUP(C344,'QALS - Inspection Lot Record'!P:P,'QALS - Inspection Lot Record'!J:J)+RANDBETWEEN(0,1),"")</f>
        <v>46022</v>
      </c>
      <c r="G344" s="2" t="s">
        <v>447</v>
      </c>
      <c r="H344" s="62">
        <f t="shared" ca="1" si="5"/>
        <v>46022</v>
      </c>
      <c r="I344" s="29" t="s">
        <v>448</v>
      </c>
    </row>
    <row r="345" spans="1:9" x14ac:dyDescent="0.35">
      <c r="A345" s="31">
        <v>200000666</v>
      </c>
      <c r="B345" s="31">
        <v>1010</v>
      </c>
      <c r="C345" s="31">
        <v>4307</v>
      </c>
      <c r="D345" s="29" t="str">
        <f>LOOKUP(CAPA!C345,'QALS - Inspection Lot Record'!P:P,'QALS - Inspection Lot Record'!O:O)</f>
        <v>Ibuprofen Tablets (100 MG)</v>
      </c>
      <c r="E345" s="31">
        <v>2.2000000000000002</v>
      </c>
      <c r="F345" s="62">
        <f ca="1">IF(TODAY()&gt;=LOOKUP(C345,'QALS - Inspection Lot Record'!P:P,'QALS - Inspection Lot Record'!J:J)+RANDBETWEEN(0,1),LOOKUP(C345,'QALS - Inspection Lot Record'!P:P,'QALS - Inspection Lot Record'!J:J)+RANDBETWEEN(0,1),"")</f>
        <v>46024</v>
      </c>
      <c r="G345" s="2" t="s">
        <v>457</v>
      </c>
      <c r="H345" s="62">
        <f t="shared" ca="1" si="5"/>
        <v>46025</v>
      </c>
      <c r="I345" s="29" t="s">
        <v>458</v>
      </c>
    </row>
    <row r="346" spans="1:9" x14ac:dyDescent="0.35">
      <c r="A346" s="31">
        <v>200000666</v>
      </c>
      <c r="B346" s="31">
        <v>1010</v>
      </c>
      <c r="C346" s="31">
        <v>4307</v>
      </c>
      <c r="D346" s="29" t="str">
        <f>LOOKUP(CAPA!C346,'QALS - Inspection Lot Record'!P:P,'QALS - Inspection Lot Record'!O:O)</f>
        <v>Ibuprofen Tablets (100 MG)</v>
      </c>
      <c r="E346" s="31">
        <v>39</v>
      </c>
      <c r="F346" s="62">
        <f ca="1">IF(TODAY()&gt;=LOOKUP(C346,'QALS - Inspection Lot Record'!P:P,'QALS - Inspection Lot Record'!J:J)+RANDBETWEEN(0,1),LOOKUP(C346,'QALS - Inspection Lot Record'!P:P,'QALS - Inspection Lot Record'!J:J)+RANDBETWEEN(0,1),"")</f>
        <v>46024</v>
      </c>
      <c r="G346" s="2" t="s">
        <v>447</v>
      </c>
      <c r="H346" s="62">
        <f t="shared" ca="1" si="5"/>
        <v>46026</v>
      </c>
      <c r="I346" s="29" t="s">
        <v>448</v>
      </c>
    </row>
    <row r="347" spans="1:9" x14ac:dyDescent="0.35">
      <c r="A347" s="31">
        <v>200000666</v>
      </c>
      <c r="B347" s="31">
        <v>1010</v>
      </c>
      <c r="C347" s="31">
        <v>4307</v>
      </c>
      <c r="D347" s="29" t="str">
        <f>LOOKUP(CAPA!C347,'QALS - Inspection Lot Record'!P:P,'QALS - Inspection Lot Record'!O:O)</f>
        <v>Ibuprofen Tablets (100 MG)</v>
      </c>
      <c r="E347" s="31">
        <v>78.2</v>
      </c>
      <c r="F347" s="62">
        <f ca="1">IF(TODAY()&gt;=LOOKUP(C347,'QALS - Inspection Lot Record'!P:P,'QALS - Inspection Lot Record'!J:J)+RANDBETWEEN(0,1),LOOKUP(C347,'QALS - Inspection Lot Record'!P:P,'QALS - Inspection Lot Record'!J:J)+RANDBETWEEN(0,1),"")</f>
        <v>46023</v>
      </c>
      <c r="G347" s="2" t="s">
        <v>447</v>
      </c>
      <c r="H347" s="62">
        <f t="shared" ca="1" si="5"/>
        <v>46024</v>
      </c>
      <c r="I347" s="29" t="s">
        <v>448</v>
      </c>
    </row>
    <row r="348" spans="1:9" x14ac:dyDescent="0.35">
      <c r="A348" s="31">
        <v>200000666</v>
      </c>
      <c r="B348" s="31">
        <v>1010</v>
      </c>
      <c r="C348" s="31">
        <v>4307</v>
      </c>
      <c r="D348" s="29" t="str">
        <f>LOOKUP(CAPA!C348,'QALS - Inspection Lot Record'!P:P,'QALS - Inspection Lot Record'!O:O)</f>
        <v>Ibuprofen Tablets (100 MG)</v>
      </c>
      <c r="E348" s="31">
        <v>21.5</v>
      </c>
      <c r="F348" s="62">
        <f ca="1">IF(TODAY()&gt;=LOOKUP(C348,'QALS - Inspection Lot Record'!P:P,'QALS - Inspection Lot Record'!J:J)+RANDBETWEEN(0,1),LOOKUP(C348,'QALS - Inspection Lot Record'!P:P,'QALS - Inspection Lot Record'!J:J)+RANDBETWEEN(0,1),"")</f>
        <v>46023</v>
      </c>
      <c r="G348" s="2" t="s">
        <v>453</v>
      </c>
      <c r="H348" s="62">
        <f t="shared" ca="1" si="5"/>
        <v>46025</v>
      </c>
      <c r="I348" s="29" t="s">
        <v>454</v>
      </c>
    </row>
    <row r="349" spans="1:9" x14ac:dyDescent="0.35">
      <c r="A349" s="31">
        <v>200000667</v>
      </c>
      <c r="B349" s="31">
        <v>1010</v>
      </c>
      <c r="C349" s="31">
        <v>4308</v>
      </c>
      <c r="D349" s="29" t="str">
        <f>LOOKUP(CAPA!C349,'QALS - Inspection Lot Record'!P:P,'QALS - Inspection Lot Record'!O:O)</f>
        <v>Ibuprofen Tablets (100 MG)</v>
      </c>
      <c r="E349" s="31">
        <v>2.2999999999999998</v>
      </c>
      <c r="F349" s="62">
        <f ca="1">IF(TODAY()&gt;=LOOKUP(C349,'QALS - Inspection Lot Record'!P:P,'QALS - Inspection Lot Record'!J:J)+RANDBETWEEN(0,1),LOOKUP(C349,'QALS - Inspection Lot Record'!P:P,'QALS - Inspection Lot Record'!J:J)+RANDBETWEEN(0,1),"")</f>
        <v>46023</v>
      </c>
      <c r="G349" s="2" t="s">
        <v>457</v>
      </c>
      <c r="H349" s="62">
        <f t="shared" ca="1" si="5"/>
        <v>46025</v>
      </c>
      <c r="I349" s="29" t="s">
        <v>458</v>
      </c>
    </row>
    <row r="350" spans="1:9" x14ac:dyDescent="0.35">
      <c r="A350" s="31">
        <v>200000667</v>
      </c>
      <c r="B350" s="31">
        <v>1010</v>
      </c>
      <c r="C350" s="31">
        <v>4308</v>
      </c>
      <c r="D350" s="29" t="str">
        <f>LOOKUP(CAPA!C350,'QALS - Inspection Lot Record'!P:P,'QALS - Inspection Lot Record'!O:O)</f>
        <v>Ibuprofen Tablets (100 MG)</v>
      </c>
      <c r="E350" s="31">
        <v>1.2</v>
      </c>
      <c r="F350" s="62">
        <f ca="1">IF(TODAY()&gt;=LOOKUP(C350,'QALS - Inspection Lot Record'!P:P,'QALS - Inspection Lot Record'!J:J)+RANDBETWEEN(0,1),LOOKUP(C350,'QALS - Inspection Lot Record'!P:P,'QALS - Inspection Lot Record'!J:J)+RANDBETWEEN(0,1),"")</f>
        <v>46024</v>
      </c>
      <c r="G350" s="2" t="s">
        <v>445</v>
      </c>
      <c r="H350" s="62">
        <f t="shared" ca="1" si="5"/>
        <v>46026</v>
      </c>
      <c r="I350" s="29" t="s">
        <v>446</v>
      </c>
    </row>
    <row r="351" spans="1:9" x14ac:dyDescent="0.35">
      <c r="A351" s="31">
        <v>200000667</v>
      </c>
      <c r="B351" s="31">
        <v>1010</v>
      </c>
      <c r="C351" s="31">
        <v>4308</v>
      </c>
      <c r="D351" s="29" t="str">
        <f>LOOKUP(CAPA!C351,'QALS - Inspection Lot Record'!P:P,'QALS - Inspection Lot Record'!O:O)</f>
        <v>Ibuprofen Tablets (100 MG)</v>
      </c>
      <c r="E351" s="31">
        <v>68.8</v>
      </c>
      <c r="F351" s="62">
        <f ca="1">IF(TODAY()&gt;=LOOKUP(C351,'QALS - Inspection Lot Record'!P:P,'QALS - Inspection Lot Record'!J:J)+RANDBETWEEN(0,1),LOOKUP(C351,'QALS - Inspection Lot Record'!P:P,'QALS - Inspection Lot Record'!J:J)+RANDBETWEEN(0,1),"")</f>
        <v>46023</v>
      </c>
      <c r="G351" s="2" t="s">
        <v>447</v>
      </c>
      <c r="H351" s="62">
        <f t="shared" ca="1" si="5"/>
        <v>46025</v>
      </c>
      <c r="I351" s="29" t="s">
        <v>448</v>
      </c>
    </row>
    <row r="352" spans="1:9" x14ac:dyDescent="0.35">
      <c r="A352" s="31">
        <v>200000667</v>
      </c>
      <c r="B352" s="31">
        <v>1010</v>
      </c>
      <c r="C352" s="31">
        <v>4308</v>
      </c>
      <c r="D352" s="29" t="str">
        <f>LOOKUP(CAPA!C352,'QALS - Inspection Lot Record'!P:P,'QALS - Inspection Lot Record'!O:O)</f>
        <v>Ibuprofen Tablets (100 MG)</v>
      </c>
      <c r="E352" s="31">
        <v>78.099999999999994</v>
      </c>
      <c r="F352" s="62">
        <f ca="1">IF(TODAY()&gt;=LOOKUP(C352,'QALS - Inspection Lot Record'!P:P,'QALS - Inspection Lot Record'!J:J)+RANDBETWEEN(0,1),LOOKUP(C352,'QALS - Inspection Lot Record'!P:P,'QALS - Inspection Lot Record'!J:J)+RANDBETWEEN(0,1),"")</f>
        <v>46023</v>
      </c>
      <c r="G352" s="2" t="s">
        <v>447</v>
      </c>
      <c r="H352" s="62">
        <f t="shared" ca="1" si="5"/>
        <v>46024</v>
      </c>
      <c r="I352" s="29" t="s">
        <v>448</v>
      </c>
    </row>
    <row r="353" spans="1:9" x14ac:dyDescent="0.35">
      <c r="A353" s="31">
        <v>200000668</v>
      </c>
      <c r="B353" s="31">
        <v>1010</v>
      </c>
      <c r="C353" s="31">
        <v>4309</v>
      </c>
      <c r="D353" s="29" t="str">
        <f>LOOKUP(CAPA!C353,'QALS - Inspection Lot Record'!P:P,'QALS - Inspection Lot Record'!O:O)</f>
        <v>Metformin Tablets (500 MG)</v>
      </c>
      <c r="E353" s="31">
        <v>21.6</v>
      </c>
      <c r="F353" s="62">
        <f ca="1">IF(TODAY()&gt;=LOOKUP(C353,'QALS - Inspection Lot Record'!P:P,'QALS - Inspection Lot Record'!J:J)+RANDBETWEEN(0,1),LOOKUP(C353,'QALS - Inspection Lot Record'!P:P,'QALS - Inspection Lot Record'!J:J)+RANDBETWEEN(0,1),"")</f>
        <v>46025</v>
      </c>
      <c r="G353" s="2" t="s">
        <v>453</v>
      </c>
      <c r="H353" s="62">
        <f t="shared" ca="1" si="5"/>
        <v>46027</v>
      </c>
      <c r="I353" s="29" t="s">
        <v>454</v>
      </c>
    </row>
    <row r="354" spans="1:9" x14ac:dyDescent="0.35">
      <c r="A354" s="31">
        <v>200000669</v>
      </c>
      <c r="B354" s="31">
        <v>1010</v>
      </c>
      <c r="C354" s="31">
        <v>4310</v>
      </c>
      <c r="D354" s="29" t="str">
        <f>LOOKUP(CAPA!C354,'QALS - Inspection Lot Record'!P:P,'QALS - Inspection Lot Record'!O:O)</f>
        <v>Metformin Tablets (100 MG)</v>
      </c>
      <c r="E354" s="31">
        <v>2</v>
      </c>
      <c r="F354" s="62">
        <f ca="1">IF(TODAY()&gt;=LOOKUP(C354,'QALS - Inspection Lot Record'!P:P,'QALS - Inspection Lot Record'!J:J)+RANDBETWEEN(0,1),LOOKUP(C354,'QALS - Inspection Lot Record'!P:P,'QALS - Inspection Lot Record'!J:J)+RANDBETWEEN(0,1),"")</f>
        <v>46024</v>
      </c>
      <c r="G354" s="2" t="s">
        <v>457</v>
      </c>
      <c r="H354" s="62">
        <f t="shared" ca="1" si="5"/>
        <v>46024</v>
      </c>
      <c r="I354" s="29" t="s">
        <v>458</v>
      </c>
    </row>
    <row r="355" spans="1:9" x14ac:dyDescent="0.35">
      <c r="A355" s="31">
        <v>200000669</v>
      </c>
      <c r="B355" s="31">
        <v>1010</v>
      </c>
      <c r="C355" s="31">
        <v>4310</v>
      </c>
      <c r="D355" s="29" t="str">
        <f>LOOKUP(CAPA!C355,'QALS - Inspection Lot Record'!P:P,'QALS - Inspection Lot Record'!O:O)</f>
        <v>Metformin Tablets (100 MG)</v>
      </c>
      <c r="E355" s="31">
        <v>68.2</v>
      </c>
      <c r="F355" s="62">
        <f ca="1">IF(TODAY()&gt;=LOOKUP(C355,'QALS - Inspection Lot Record'!P:P,'QALS - Inspection Lot Record'!J:J)+RANDBETWEEN(0,1),LOOKUP(C355,'QALS - Inspection Lot Record'!P:P,'QALS - Inspection Lot Record'!J:J)+RANDBETWEEN(0,1),"")</f>
        <v>46025</v>
      </c>
      <c r="G355" s="2" t="s">
        <v>447</v>
      </c>
      <c r="H355" s="62">
        <f t="shared" ca="1" si="5"/>
        <v>46027</v>
      </c>
      <c r="I355" s="29" t="s">
        <v>448</v>
      </c>
    </row>
    <row r="356" spans="1:9" x14ac:dyDescent="0.35">
      <c r="A356" s="31">
        <v>200000670</v>
      </c>
      <c r="B356" s="31">
        <v>1010</v>
      </c>
      <c r="C356" s="31">
        <v>4311</v>
      </c>
      <c r="D356" s="29" t="str">
        <f>LOOKUP(CAPA!C356,'QALS - Inspection Lot Record'!P:P,'QALS - Inspection Lot Record'!O:O)</f>
        <v>Metformin Tablets (200 MG)</v>
      </c>
      <c r="E356" s="31">
        <v>93.7</v>
      </c>
      <c r="F356" s="62">
        <f ca="1">IF(TODAY()&gt;=LOOKUP(C356,'QALS - Inspection Lot Record'!P:P,'QALS - Inspection Lot Record'!J:J)+RANDBETWEEN(0,1),LOOKUP(C356,'QALS - Inspection Lot Record'!P:P,'QALS - Inspection Lot Record'!J:J)+RANDBETWEEN(0,1),"")</f>
        <v>46026</v>
      </c>
      <c r="G356" s="2" t="s">
        <v>441</v>
      </c>
      <c r="H356" s="62">
        <f t="shared" ca="1" si="5"/>
        <v>46027</v>
      </c>
      <c r="I356" s="29" t="s">
        <v>442</v>
      </c>
    </row>
    <row r="357" spans="1:9" x14ac:dyDescent="0.35">
      <c r="A357" s="31">
        <v>200000671</v>
      </c>
      <c r="B357" s="31">
        <v>1010</v>
      </c>
      <c r="C357" s="31">
        <v>4313</v>
      </c>
      <c r="D357" s="29" t="str">
        <f>LOOKUP(CAPA!C357,'QALS - Inspection Lot Record'!P:P,'QALS - Inspection Lot Record'!O:O)</f>
        <v>Metformin Tablets (100 MG)</v>
      </c>
      <c r="E357" s="31">
        <v>78.900000000000006</v>
      </c>
      <c r="F357" s="62">
        <f ca="1">IF(TODAY()&gt;=LOOKUP(C357,'QALS - Inspection Lot Record'!P:P,'QALS - Inspection Lot Record'!J:J)+RANDBETWEEN(0,1),LOOKUP(C357,'QALS - Inspection Lot Record'!P:P,'QALS - Inspection Lot Record'!J:J)+RANDBETWEEN(0,1),"")</f>
        <v>46027</v>
      </c>
      <c r="G357" s="2" t="s">
        <v>447</v>
      </c>
      <c r="H357" s="62">
        <f t="shared" ca="1" si="5"/>
        <v>46029</v>
      </c>
      <c r="I357" s="29" t="s">
        <v>448</v>
      </c>
    </row>
    <row r="358" spans="1:9" x14ac:dyDescent="0.35">
      <c r="A358" s="31">
        <v>200000672</v>
      </c>
      <c r="B358" s="31">
        <v>1010</v>
      </c>
      <c r="C358" s="31">
        <v>4314</v>
      </c>
      <c r="D358" s="29" t="str">
        <f>LOOKUP(CAPA!C358,'QALS - Inspection Lot Record'!P:P,'QALS - Inspection Lot Record'!O:O)</f>
        <v>Aspirin Tablets (500 MG)</v>
      </c>
      <c r="E358" s="31">
        <v>93.1</v>
      </c>
      <c r="F358" s="62">
        <f ca="1">IF(TODAY()&gt;=LOOKUP(C358,'QALS - Inspection Lot Record'!P:P,'QALS - Inspection Lot Record'!J:J)+RANDBETWEEN(0,1),LOOKUP(C358,'QALS - Inspection Lot Record'!P:P,'QALS - Inspection Lot Record'!J:J)+RANDBETWEEN(0,1),"")</f>
        <v>46026</v>
      </c>
      <c r="G358" s="2" t="s">
        <v>441</v>
      </c>
      <c r="H358" s="62">
        <f t="shared" ca="1" si="5"/>
        <v>46028</v>
      </c>
      <c r="I358" s="29" t="s">
        <v>442</v>
      </c>
    </row>
    <row r="359" spans="1:9" x14ac:dyDescent="0.35">
      <c r="A359" s="31">
        <v>200000672</v>
      </c>
      <c r="B359" s="31">
        <v>1010</v>
      </c>
      <c r="C359" s="31">
        <v>4314</v>
      </c>
      <c r="D359" s="29" t="str">
        <f>LOOKUP(CAPA!C359,'QALS - Inspection Lot Record'!P:P,'QALS - Inspection Lot Record'!O:O)</f>
        <v>Aspirin Tablets (500 MG)</v>
      </c>
      <c r="E359" s="31">
        <v>38.4</v>
      </c>
      <c r="F359" s="62">
        <f ca="1">IF(TODAY()&gt;=LOOKUP(C359,'QALS - Inspection Lot Record'!P:P,'QALS - Inspection Lot Record'!J:J)+RANDBETWEEN(0,1),LOOKUP(C359,'QALS - Inspection Lot Record'!P:P,'QALS - Inspection Lot Record'!J:J)+RANDBETWEEN(0,1),"")</f>
        <v>46026</v>
      </c>
      <c r="G359" s="2" t="s">
        <v>447</v>
      </c>
      <c r="H359" s="62">
        <f t="shared" ca="1" si="5"/>
        <v>46028</v>
      </c>
      <c r="I359" s="29" t="s">
        <v>448</v>
      </c>
    </row>
    <row r="360" spans="1:9" x14ac:dyDescent="0.35">
      <c r="A360" s="31">
        <v>200000672</v>
      </c>
      <c r="B360" s="31">
        <v>1010</v>
      </c>
      <c r="C360" s="31">
        <v>4314</v>
      </c>
      <c r="D360" s="29" t="str">
        <f>LOOKUP(CAPA!C360,'QALS - Inspection Lot Record'!P:P,'QALS - Inspection Lot Record'!O:O)</f>
        <v>Aspirin Tablets (500 MG)</v>
      </c>
      <c r="E360" s="31">
        <v>68.8</v>
      </c>
      <c r="F360" s="62">
        <f ca="1">IF(TODAY()&gt;=LOOKUP(C360,'QALS - Inspection Lot Record'!P:P,'QALS - Inspection Lot Record'!J:J)+RANDBETWEEN(0,1),LOOKUP(C360,'QALS - Inspection Lot Record'!P:P,'QALS - Inspection Lot Record'!J:J)+RANDBETWEEN(0,1),"")</f>
        <v>46026</v>
      </c>
      <c r="G360" s="2" t="s">
        <v>447</v>
      </c>
      <c r="H360" s="62">
        <f t="shared" ca="1" si="5"/>
        <v>46026</v>
      </c>
      <c r="I360" s="29" t="s">
        <v>448</v>
      </c>
    </row>
    <row r="361" spans="1:9" x14ac:dyDescent="0.35">
      <c r="A361" s="31">
        <v>200000673</v>
      </c>
      <c r="B361" s="31">
        <v>1010</v>
      </c>
      <c r="C361" s="31">
        <v>4317</v>
      </c>
      <c r="D361" s="29" t="str">
        <f>LOOKUP(CAPA!C361,'QALS - Inspection Lot Record'!P:P,'QALS - Inspection Lot Record'!O:O)</f>
        <v>Metformin Tablets (100 MG)</v>
      </c>
      <c r="E361" s="31">
        <v>78.099999999999994</v>
      </c>
      <c r="F361" s="62">
        <f ca="1">IF(TODAY()&gt;=LOOKUP(C361,'QALS - Inspection Lot Record'!P:P,'QALS - Inspection Lot Record'!J:J)+RANDBETWEEN(0,1),LOOKUP(C361,'QALS - Inspection Lot Record'!P:P,'QALS - Inspection Lot Record'!J:J)+RANDBETWEEN(0,1),"")</f>
        <v>46029</v>
      </c>
      <c r="G361" s="2" t="s">
        <v>447</v>
      </c>
      <c r="H361" s="62">
        <f t="shared" ca="1" si="5"/>
        <v>46031</v>
      </c>
      <c r="I361" s="29" t="s">
        <v>448</v>
      </c>
    </row>
    <row r="362" spans="1:9" x14ac:dyDescent="0.35">
      <c r="A362" s="31">
        <v>200000674</v>
      </c>
      <c r="B362" s="31">
        <v>1010</v>
      </c>
      <c r="C362" s="31">
        <v>4318</v>
      </c>
      <c r="D362" s="29" t="str">
        <f>LOOKUP(CAPA!C362,'QALS - Inspection Lot Record'!P:P,'QALS - Inspection Lot Record'!O:O)</f>
        <v>Metformin Tablets (200 MG)</v>
      </c>
      <c r="E362" s="31">
        <v>93.3</v>
      </c>
      <c r="F362" s="62">
        <f ca="1">IF(TODAY()&gt;=LOOKUP(C362,'QALS - Inspection Lot Record'!P:P,'QALS - Inspection Lot Record'!J:J)+RANDBETWEEN(0,1),LOOKUP(C362,'QALS - Inspection Lot Record'!P:P,'QALS - Inspection Lot Record'!J:J)+RANDBETWEEN(0,1),"")</f>
        <v>46028</v>
      </c>
      <c r="G362" s="2" t="s">
        <v>441</v>
      </c>
      <c r="H362" s="62">
        <f t="shared" ca="1" si="5"/>
        <v>46028</v>
      </c>
      <c r="I362" s="29" t="s">
        <v>442</v>
      </c>
    </row>
    <row r="363" spans="1:9" x14ac:dyDescent="0.35">
      <c r="A363" s="31">
        <v>200000675</v>
      </c>
      <c r="B363" s="31">
        <v>1010</v>
      </c>
      <c r="C363" s="31">
        <v>4320</v>
      </c>
      <c r="D363" s="29" t="str">
        <f>LOOKUP(CAPA!C363,'QALS - Inspection Lot Record'!P:P,'QALS - Inspection Lot Record'!O:O)</f>
        <v>Metformin Tablets (200 MG)</v>
      </c>
      <c r="E363" s="31">
        <v>93.2</v>
      </c>
      <c r="F363" s="62">
        <f ca="1">IF(TODAY()&gt;=LOOKUP(C363,'QALS - Inspection Lot Record'!P:P,'QALS - Inspection Lot Record'!J:J)+RANDBETWEEN(0,1),LOOKUP(C363,'QALS - Inspection Lot Record'!P:P,'QALS - Inspection Lot Record'!J:J)+RANDBETWEEN(0,1),"")</f>
        <v>46030</v>
      </c>
      <c r="G363" s="2" t="s">
        <v>441</v>
      </c>
      <c r="H363" s="62">
        <f t="shared" ca="1" si="5"/>
        <v>46032</v>
      </c>
      <c r="I363" s="29" t="s">
        <v>442</v>
      </c>
    </row>
    <row r="364" spans="1:9" x14ac:dyDescent="0.35">
      <c r="A364" s="31">
        <v>200000676</v>
      </c>
      <c r="B364" s="31">
        <v>1010</v>
      </c>
      <c r="C364" s="31">
        <v>4325</v>
      </c>
      <c r="D364" s="29" t="str">
        <f>LOOKUP(CAPA!C364,'QALS - Inspection Lot Record'!P:P,'QALS - Inspection Lot Record'!O:O)</f>
        <v>Metformin Tablets (500 MG)</v>
      </c>
      <c r="E364" s="31">
        <v>2.4</v>
      </c>
      <c r="F364" s="62">
        <f ca="1">IF(TODAY()&gt;=LOOKUP(C364,'QALS - Inspection Lot Record'!P:P,'QALS - Inspection Lot Record'!J:J)+RANDBETWEEN(0,1),LOOKUP(C364,'QALS - Inspection Lot Record'!P:P,'QALS - Inspection Lot Record'!J:J)+RANDBETWEEN(0,1),"")</f>
        <v>46032</v>
      </c>
      <c r="G364" s="2" t="s">
        <v>457</v>
      </c>
      <c r="H364" s="62">
        <f t="shared" ca="1" si="5"/>
        <v>46033</v>
      </c>
      <c r="I364" s="29" t="s">
        <v>458</v>
      </c>
    </row>
    <row r="365" spans="1:9" x14ac:dyDescent="0.35">
      <c r="A365" s="31">
        <v>200000676</v>
      </c>
      <c r="B365" s="31">
        <v>1010</v>
      </c>
      <c r="C365" s="31">
        <v>4325</v>
      </c>
      <c r="D365" s="29" t="str">
        <f>LOOKUP(CAPA!C365,'QALS - Inspection Lot Record'!P:P,'QALS - Inspection Lot Record'!O:O)</f>
        <v>Metformin Tablets (500 MG)</v>
      </c>
      <c r="E365" s="31">
        <v>78.8</v>
      </c>
      <c r="F365" s="62">
        <f ca="1">IF(TODAY()&gt;=LOOKUP(C365,'QALS - Inspection Lot Record'!P:P,'QALS - Inspection Lot Record'!J:J)+RANDBETWEEN(0,1),LOOKUP(C365,'QALS - Inspection Lot Record'!P:P,'QALS - Inspection Lot Record'!J:J)+RANDBETWEEN(0,1),"")</f>
        <v>46033</v>
      </c>
      <c r="G365" s="2" t="s">
        <v>447</v>
      </c>
      <c r="H365" s="62">
        <f t="shared" ca="1" si="5"/>
        <v>46033</v>
      </c>
      <c r="I365" s="29" t="s">
        <v>448</v>
      </c>
    </row>
    <row r="366" spans="1:9" x14ac:dyDescent="0.35">
      <c r="A366" s="31">
        <v>200000676</v>
      </c>
      <c r="B366" s="31">
        <v>1010</v>
      </c>
      <c r="C366" s="31">
        <v>4325</v>
      </c>
      <c r="D366" s="29" t="str">
        <f>LOOKUP(CAPA!C366,'QALS - Inspection Lot Record'!P:P,'QALS - Inspection Lot Record'!O:O)</f>
        <v>Metformin Tablets (500 MG)</v>
      </c>
      <c r="E366" s="31">
        <v>21.7</v>
      </c>
      <c r="F366" s="62">
        <f ca="1">IF(TODAY()&gt;=LOOKUP(C366,'QALS - Inspection Lot Record'!P:P,'QALS - Inspection Lot Record'!J:J)+RANDBETWEEN(0,1),LOOKUP(C366,'QALS - Inspection Lot Record'!P:P,'QALS - Inspection Lot Record'!J:J)+RANDBETWEEN(0,1),"")</f>
        <v>46032</v>
      </c>
      <c r="G366" s="2" t="s">
        <v>453</v>
      </c>
      <c r="H366" s="62">
        <f t="shared" ca="1" si="5"/>
        <v>46032</v>
      </c>
      <c r="I366" s="29" t="s">
        <v>454</v>
      </c>
    </row>
    <row r="367" spans="1:9" x14ac:dyDescent="0.35">
      <c r="A367" s="31">
        <v>200000677</v>
      </c>
      <c r="B367" s="31">
        <v>1010</v>
      </c>
      <c r="C367" s="31">
        <v>4337</v>
      </c>
      <c r="D367" s="29" t="str">
        <f>LOOKUP(CAPA!C367,'QALS - Inspection Lot Record'!P:P,'QALS - Inspection Lot Record'!O:O)</f>
        <v>Aspirin Tablets (500 MG)</v>
      </c>
      <c r="E367" s="31">
        <v>2.2000000000000002</v>
      </c>
      <c r="F367" s="62">
        <f ca="1">IF(TODAY()&gt;=LOOKUP(C367,'QALS - Inspection Lot Record'!P:P,'QALS - Inspection Lot Record'!J:J)+RANDBETWEEN(0,1),LOOKUP(C367,'QALS - Inspection Lot Record'!P:P,'QALS - Inspection Lot Record'!J:J)+RANDBETWEEN(0,1),"")</f>
        <v>46039</v>
      </c>
      <c r="G367" s="2" t="s">
        <v>457</v>
      </c>
      <c r="H367" s="62">
        <f t="shared" ca="1" si="5"/>
        <v>46039</v>
      </c>
      <c r="I367" s="29" t="s">
        <v>458</v>
      </c>
    </row>
    <row r="368" spans="1:9" x14ac:dyDescent="0.35">
      <c r="A368" s="31">
        <v>200000677</v>
      </c>
      <c r="B368" s="31">
        <v>1010</v>
      </c>
      <c r="C368" s="31">
        <v>4337</v>
      </c>
      <c r="D368" s="29" t="str">
        <f>LOOKUP(CAPA!C368,'QALS - Inspection Lot Record'!P:P,'QALS - Inspection Lot Record'!O:O)</f>
        <v>Aspirin Tablets (500 MG)</v>
      </c>
      <c r="E368" s="31">
        <v>68.400000000000006</v>
      </c>
      <c r="F368" s="62">
        <f ca="1">IF(TODAY()&gt;=LOOKUP(C368,'QALS - Inspection Lot Record'!P:P,'QALS - Inspection Lot Record'!J:J)+RANDBETWEEN(0,1),LOOKUP(C368,'QALS - Inspection Lot Record'!P:P,'QALS - Inspection Lot Record'!J:J)+RANDBETWEEN(0,1),"")</f>
        <v>46038</v>
      </c>
      <c r="G368" s="2" t="s">
        <v>447</v>
      </c>
      <c r="H368" s="62">
        <f t="shared" ca="1" si="5"/>
        <v>46040</v>
      </c>
      <c r="I368" s="29" t="s">
        <v>448</v>
      </c>
    </row>
    <row r="369" spans="1:9" x14ac:dyDescent="0.35">
      <c r="A369" s="31">
        <v>200000678</v>
      </c>
      <c r="B369" s="31">
        <v>1010</v>
      </c>
      <c r="C369" s="31">
        <v>4338</v>
      </c>
      <c r="D369" s="29" t="str">
        <f>LOOKUP(CAPA!C369,'QALS - Inspection Lot Record'!P:P,'QALS - Inspection Lot Record'!O:O)</f>
        <v>Aspirin Tablets (500 MG)</v>
      </c>
      <c r="E369" s="31">
        <v>78.7</v>
      </c>
      <c r="F369" s="62">
        <f ca="1">IF(TODAY()&gt;=LOOKUP(C369,'QALS - Inspection Lot Record'!P:P,'QALS - Inspection Lot Record'!J:J)+RANDBETWEEN(0,1),LOOKUP(C369,'QALS - Inspection Lot Record'!P:P,'QALS - Inspection Lot Record'!J:J)+RANDBETWEEN(0,1),"")</f>
        <v>46039</v>
      </c>
      <c r="G369" s="2" t="s">
        <v>447</v>
      </c>
      <c r="H369" s="62">
        <f t="shared" ca="1" si="5"/>
        <v>46039</v>
      </c>
      <c r="I369" s="29" t="s">
        <v>448</v>
      </c>
    </row>
    <row r="370" spans="1:9" x14ac:dyDescent="0.35">
      <c r="A370" s="31">
        <v>200000679</v>
      </c>
      <c r="B370" s="31">
        <v>1010</v>
      </c>
      <c r="C370" s="31">
        <v>4341</v>
      </c>
      <c r="D370" s="29" t="str">
        <f>LOOKUP(CAPA!C370,'QALS - Inspection Lot Record'!P:P,'QALS - Inspection Lot Record'!O:O)</f>
        <v>Metformin Tablets (200 MG)</v>
      </c>
      <c r="E370" s="31">
        <v>94</v>
      </c>
      <c r="F370" s="62">
        <f ca="1">IF(TODAY()&gt;=LOOKUP(C370,'QALS - Inspection Lot Record'!P:P,'QALS - Inspection Lot Record'!J:J)+RANDBETWEEN(0,1),LOOKUP(C370,'QALS - Inspection Lot Record'!P:P,'QALS - Inspection Lot Record'!J:J)+RANDBETWEEN(0,1),"")</f>
        <v>46041</v>
      </c>
      <c r="G370" s="2" t="s">
        <v>441</v>
      </c>
      <c r="H370" s="62">
        <f t="shared" ca="1" si="5"/>
        <v>46042</v>
      </c>
      <c r="I370" s="29" t="s">
        <v>442</v>
      </c>
    </row>
    <row r="371" spans="1:9" x14ac:dyDescent="0.35">
      <c r="A371" s="31">
        <v>200000680</v>
      </c>
      <c r="B371" s="31">
        <v>1010</v>
      </c>
      <c r="C371" s="31">
        <v>4342</v>
      </c>
      <c r="D371" s="29" t="str">
        <f>LOOKUP(CAPA!C371,'QALS - Inspection Lot Record'!P:P,'QALS - Inspection Lot Record'!O:O)</f>
        <v>Ibuprofen Tablets (100 MG)</v>
      </c>
      <c r="E371" s="31">
        <v>68.8</v>
      </c>
      <c r="F371" s="62">
        <f ca="1">IF(TODAY()&gt;=LOOKUP(C371,'QALS - Inspection Lot Record'!P:P,'QALS - Inspection Lot Record'!J:J)+RANDBETWEEN(0,1),LOOKUP(C371,'QALS - Inspection Lot Record'!P:P,'QALS - Inspection Lot Record'!J:J)+RANDBETWEEN(0,1),"")</f>
        <v>46040</v>
      </c>
      <c r="G371" s="2" t="s">
        <v>447</v>
      </c>
      <c r="H371" s="62">
        <f t="shared" ca="1" si="5"/>
        <v>46041</v>
      </c>
      <c r="I371" s="29" t="s">
        <v>448</v>
      </c>
    </row>
    <row r="372" spans="1:9" x14ac:dyDescent="0.35">
      <c r="A372" s="31">
        <v>200000680</v>
      </c>
      <c r="B372" s="31">
        <v>1010</v>
      </c>
      <c r="C372" s="31">
        <v>4342</v>
      </c>
      <c r="D372" s="29" t="str">
        <f>LOOKUP(CAPA!C372,'QALS - Inspection Lot Record'!P:P,'QALS - Inspection Lot Record'!O:O)</f>
        <v>Ibuprofen Tablets (100 MG)</v>
      </c>
      <c r="E372" s="31">
        <v>21.9</v>
      </c>
      <c r="F372" s="62">
        <f ca="1">IF(TODAY()&gt;=LOOKUP(C372,'QALS - Inspection Lot Record'!P:P,'QALS - Inspection Lot Record'!J:J)+RANDBETWEEN(0,1),LOOKUP(C372,'QALS - Inspection Lot Record'!P:P,'QALS - Inspection Lot Record'!J:J)+RANDBETWEEN(0,1),"")</f>
        <v>46040</v>
      </c>
      <c r="G372" s="2" t="s">
        <v>453</v>
      </c>
      <c r="H372" s="62">
        <f t="shared" ca="1" si="5"/>
        <v>46040</v>
      </c>
      <c r="I372" s="29" t="s">
        <v>454</v>
      </c>
    </row>
    <row r="373" spans="1:9" x14ac:dyDescent="0.35">
      <c r="A373" s="31">
        <v>200000681</v>
      </c>
      <c r="B373" s="31">
        <v>1010</v>
      </c>
      <c r="C373" s="31">
        <v>4353</v>
      </c>
      <c r="D373" s="29" t="str">
        <f>LOOKUP(CAPA!C373,'QALS - Inspection Lot Record'!P:P,'QALS - Inspection Lot Record'!O:O)</f>
        <v>Metformin Tablets (100 MG)</v>
      </c>
      <c r="E373" s="31">
        <v>2.4</v>
      </c>
      <c r="F373" s="62">
        <f ca="1">IF(TODAY()&gt;=LOOKUP(C373,'QALS - Inspection Lot Record'!P:P,'QALS - Inspection Lot Record'!J:J)+RANDBETWEEN(0,1),LOOKUP(C373,'QALS - Inspection Lot Record'!P:P,'QALS - Inspection Lot Record'!J:J)+RANDBETWEEN(0,1),"")</f>
        <v>46046</v>
      </c>
      <c r="G373" s="2" t="s">
        <v>457</v>
      </c>
      <c r="H373" s="62">
        <f t="shared" ca="1" si="5"/>
        <v>46047</v>
      </c>
      <c r="I373" s="29" t="s">
        <v>458</v>
      </c>
    </row>
    <row r="374" spans="1:9" x14ac:dyDescent="0.35">
      <c r="A374" s="31">
        <v>200000682</v>
      </c>
      <c r="B374" s="31">
        <v>1010</v>
      </c>
      <c r="C374" s="31">
        <v>4354</v>
      </c>
      <c r="D374" s="29" t="str">
        <f>LOOKUP(CAPA!C374,'QALS - Inspection Lot Record'!P:P,'QALS - Inspection Lot Record'!O:O)</f>
        <v>Aspirin Tablets (500 MG)</v>
      </c>
      <c r="E374" s="31">
        <v>93.7</v>
      </c>
      <c r="F374" s="62">
        <f ca="1">IF(TODAY()&gt;=LOOKUP(C374,'QALS - Inspection Lot Record'!P:P,'QALS - Inspection Lot Record'!J:J)+RANDBETWEEN(0,1),LOOKUP(C374,'QALS - Inspection Lot Record'!P:P,'QALS - Inspection Lot Record'!J:J)+RANDBETWEEN(0,1),"")</f>
        <v>46047</v>
      </c>
      <c r="G374" s="2" t="s">
        <v>441</v>
      </c>
      <c r="H374" s="62">
        <f t="shared" ca="1" si="5"/>
        <v>46049</v>
      </c>
      <c r="I374" s="29" t="s">
        <v>442</v>
      </c>
    </row>
    <row r="375" spans="1:9" x14ac:dyDescent="0.35">
      <c r="A375" s="31">
        <v>200000682</v>
      </c>
      <c r="B375" s="31">
        <v>1010</v>
      </c>
      <c r="C375" s="31">
        <v>4354</v>
      </c>
      <c r="D375" s="29" t="str">
        <f>LOOKUP(CAPA!C375,'QALS - Inspection Lot Record'!P:P,'QALS - Inspection Lot Record'!O:O)</f>
        <v>Aspirin Tablets (500 MG)</v>
      </c>
      <c r="E375" s="31">
        <v>68.5</v>
      </c>
      <c r="F375" s="62">
        <f ca="1">IF(TODAY()&gt;=LOOKUP(C375,'QALS - Inspection Lot Record'!P:P,'QALS - Inspection Lot Record'!J:J)+RANDBETWEEN(0,1),LOOKUP(C375,'QALS - Inspection Lot Record'!P:P,'QALS - Inspection Lot Record'!J:J)+RANDBETWEEN(0,1),"")</f>
        <v>46047</v>
      </c>
      <c r="G375" s="2" t="s">
        <v>447</v>
      </c>
      <c r="H375" s="62">
        <f t="shared" ca="1" si="5"/>
        <v>46048</v>
      </c>
      <c r="I375" s="29" t="s">
        <v>448</v>
      </c>
    </row>
    <row r="376" spans="1:9" x14ac:dyDescent="0.35">
      <c r="A376" s="31">
        <v>200000683</v>
      </c>
      <c r="B376" s="31">
        <v>1010</v>
      </c>
      <c r="C376" s="31">
        <v>4358</v>
      </c>
      <c r="D376" s="29" t="str">
        <f>LOOKUP(CAPA!C376,'QALS - Inspection Lot Record'!P:P,'QALS - Inspection Lot Record'!O:O)</f>
        <v>Metformin Tablets (100 MG)</v>
      </c>
      <c r="E376" s="31">
        <v>93.1</v>
      </c>
      <c r="F376" s="62">
        <f ca="1">IF(TODAY()&gt;=LOOKUP(C376,'QALS - Inspection Lot Record'!P:P,'QALS - Inspection Lot Record'!J:J)+RANDBETWEEN(0,1),LOOKUP(C376,'QALS - Inspection Lot Record'!P:P,'QALS - Inspection Lot Record'!J:J)+RANDBETWEEN(0,1),"")</f>
        <v>46049</v>
      </c>
      <c r="G376" s="2" t="s">
        <v>441</v>
      </c>
      <c r="H376" s="62">
        <f ca="1">TODAY()</f>
        <v>46049</v>
      </c>
      <c r="I376" s="29" t="s">
        <v>442</v>
      </c>
    </row>
    <row r="377" spans="1:9" x14ac:dyDescent="0.35">
      <c r="A377" s="31">
        <v>200000683</v>
      </c>
      <c r="B377" s="31">
        <v>1010</v>
      </c>
      <c r="C377" s="31">
        <v>4358</v>
      </c>
      <c r="D377" s="29" t="str">
        <f>LOOKUP(CAPA!C377,'QALS - Inspection Lot Record'!P:P,'QALS - Inspection Lot Record'!O:O)</f>
        <v>Metformin Tablets (100 MG)</v>
      </c>
      <c r="E377" s="31">
        <v>68</v>
      </c>
      <c r="F377" s="62">
        <f ca="1">IF(TODAY()&gt;=LOOKUP(C377,'QALS - Inspection Lot Record'!P:P,'QALS - Inspection Lot Record'!J:J)+RANDBETWEEN(0,1),LOOKUP(C377,'QALS - Inspection Lot Record'!P:P,'QALS - Inspection Lot Record'!J:J)+RANDBETWEEN(0,1),"")</f>
        <v>46049</v>
      </c>
      <c r="G377" s="2" t="s">
        <v>447</v>
      </c>
      <c r="H377" s="62">
        <f ca="1">TODAY()</f>
        <v>46049</v>
      </c>
      <c r="I377" s="29" t="s">
        <v>448</v>
      </c>
    </row>
  </sheetData>
  <autoFilter ref="A1:I1" xr:uid="{C95F9146-8A35-4260-91B8-546D55449A7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178C-CDE4-47BB-AC60-43519903D086}">
  <dimension ref="A1:I377"/>
  <sheetViews>
    <sheetView workbookViewId="0">
      <pane ySplit="1" topLeftCell="A359" activePane="bottomLeft" state="frozen"/>
      <selection pane="bottomLeft" activeCell="H1" sqref="H1:I1"/>
    </sheetView>
  </sheetViews>
  <sheetFormatPr defaultColWidth="8.7265625" defaultRowHeight="14.5" x14ac:dyDescent="0.35"/>
  <cols>
    <col min="1" max="1" width="12.26953125" style="33" bestFit="1" customWidth="1"/>
    <col min="2" max="2" width="9.54296875" style="33" customWidth="1"/>
    <col min="3" max="3" width="14" style="33" customWidth="1"/>
    <col min="4" max="4" width="24.7265625" style="28" bestFit="1" customWidth="1"/>
    <col min="5" max="5" width="15.81640625" style="33" customWidth="1"/>
    <col min="6" max="6" width="21.1796875" style="33" bestFit="1" customWidth="1"/>
    <col min="7" max="7" width="25.7265625" style="40" bestFit="1" customWidth="1"/>
    <col min="8" max="8" width="20.26953125" style="33" bestFit="1" customWidth="1"/>
    <col min="9" max="9" width="27.81640625" style="28" customWidth="1"/>
    <col min="10" max="16384" width="8.7265625" style="28"/>
  </cols>
  <sheetData>
    <row r="1" spans="1:9" x14ac:dyDescent="0.35">
      <c r="A1" s="42" t="s">
        <v>434</v>
      </c>
      <c r="B1" s="42" t="s">
        <v>435</v>
      </c>
      <c r="C1" s="42" t="s">
        <v>15</v>
      </c>
      <c r="D1" s="43" t="s">
        <v>14</v>
      </c>
      <c r="E1" s="42" t="s">
        <v>436</v>
      </c>
      <c r="F1" s="42" t="s">
        <v>437</v>
      </c>
      <c r="G1" s="45" t="s">
        <v>438</v>
      </c>
      <c r="H1" s="42" t="s">
        <v>439</v>
      </c>
      <c r="I1" s="10" t="s">
        <v>440</v>
      </c>
    </row>
    <row r="2" spans="1:9" x14ac:dyDescent="0.35">
      <c r="A2" s="31">
        <v>200000501</v>
      </c>
      <c r="B2" s="31">
        <v>1010</v>
      </c>
      <c r="C2" s="31">
        <v>4001</v>
      </c>
      <c r="D2" s="29" t="str">
        <f>LOOKUP('CAPA-old'!C2,'QALS - Inspection Lot Record'!P:P,'QALS - Inspection Lot Record'!O:O)</f>
        <v>Metformin Tablets (100 MG)</v>
      </c>
      <c r="E2" s="31">
        <v>93.5</v>
      </c>
      <c r="F2" s="34">
        <f ca="1">IF(TODAY()&gt;=LOOKUP(C2,'QALS - Inspection Lot Record'!P:P,'QALS - Inspection Lot Record'!J:J)+RANDBETWEEN(0,1),LOOKUP(C2,'QALS - Inspection Lot Record'!P:P,'QALS - Inspection Lot Record'!J:J)+RANDBETWEEN(0,1),"")</f>
        <v>45871</v>
      </c>
      <c r="G2" s="41" t="str">
        <f ca="1">IF(F2="","",'Reference CAPA - Test data'!G2)</f>
        <v>Potency out of spec</v>
      </c>
      <c r="H2" s="34">
        <f ca="1">IF(TODAY()&gt;=F2+RANDBETWEEN(0,2),F2+RANDBETWEEN(0,2),"")</f>
        <v>45872</v>
      </c>
      <c r="I2" s="29" t="str">
        <f ca="1">IF(H2="","",'Reference CAPA - Test data'!I2)</f>
        <v>Improve formulation</v>
      </c>
    </row>
    <row r="3" spans="1:9" x14ac:dyDescent="0.35">
      <c r="A3" s="31">
        <v>200000501</v>
      </c>
      <c r="B3" s="31">
        <v>1010</v>
      </c>
      <c r="C3" s="31">
        <v>4001</v>
      </c>
      <c r="D3" s="29" t="str">
        <f>LOOKUP('CAPA-old'!C3,'QALS - Inspection Lot Record'!P:P,'QALS - Inspection Lot Record'!O:O)</f>
        <v>Metformin Tablets (100 MG)</v>
      </c>
      <c r="E3" s="31">
        <v>1.7</v>
      </c>
      <c r="F3" s="34">
        <f ca="1">IF(TODAY()&gt;=LOOKUP(C3,'QALS - Inspection Lot Record'!P:P,'QALS - Inspection Lot Record'!J:J)+RANDBETWEEN(0,1),LOOKUP(C3,'QALS - Inspection Lot Record'!P:P,'QALS - Inspection Lot Record'!J:J)+RANDBETWEEN(0,1),"")</f>
        <v>45870</v>
      </c>
      <c r="G3" s="41" t="str">
        <f ca="1">IF(F3="","",'Reference CAPA - Test data'!G3)</f>
        <v>PH Level out of range</v>
      </c>
      <c r="H3" s="34">
        <f t="shared" ref="H3:H66" ca="1" si="0">IF(TODAY()&gt;=F3+RANDBETWEEN(0,2),F3+RANDBETWEEN(0,2),"")</f>
        <v>45872</v>
      </c>
      <c r="I3" s="29" t="str">
        <f ca="1">IF(H3="","",'Reference CAPA - Test data'!I3)</f>
        <v>Training for operators</v>
      </c>
    </row>
    <row r="4" spans="1:9" x14ac:dyDescent="0.35">
      <c r="A4" s="31">
        <v>200000502</v>
      </c>
      <c r="B4" s="31">
        <v>1010</v>
      </c>
      <c r="C4" s="31">
        <v>4002</v>
      </c>
      <c r="D4" s="29" t="str">
        <f>LOOKUP('CAPA-old'!C4,'QALS - Inspection Lot Record'!P:P,'QALS - Inspection Lot Record'!O:O)</f>
        <v>Ibuprofen Tablets (100 MG)</v>
      </c>
      <c r="E4" s="31">
        <v>94</v>
      </c>
      <c r="F4" s="34">
        <f ca="1">IF(TODAY()&gt;=LOOKUP(C4,'QALS - Inspection Lot Record'!P:P,'QALS - Inspection Lot Record'!J:J)+RANDBETWEEN(0,1),LOOKUP(C4,'QALS - Inspection Lot Record'!P:P,'QALS - Inspection Lot Record'!J:J)+RANDBETWEEN(0,1),"")</f>
        <v>45871</v>
      </c>
      <c r="G4" s="41" t="str">
        <f ca="1">IF(F4="","",'Reference CAPA - Test data'!G4)</f>
        <v>Potency out of spec</v>
      </c>
      <c r="H4" s="34">
        <f t="shared" ca="1" si="0"/>
        <v>45871</v>
      </c>
      <c r="I4" s="29" t="str">
        <f ca="1">IF(H4="","",'Reference CAPA - Test data'!I4)</f>
        <v>Training for operators</v>
      </c>
    </row>
    <row r="5" spans="1:9" x14ac:dyDescent="0.35">
      <c r="A5" s="31">
        <v>200000503</v>
      </c>
      <c r="B5" s="31">
        <v>1010</v>
      </c>
      <c r="C5" s="31">
        <v>4003</v>
      </c>
      <c r="D5" s="29" t="str">
        <f>LOOKUP('CAPA-old'!C5,'QALS - Inspection Lot Record'!P:P,'QALS - Inspection Lot Record'!O:O)</f>
        <v>Metformin Tablets (100 MG)</v>
      </c>
      <c r="E5" s="31">
        <v>1.2</v>
      </c>
      <c r="F5" s="34">
        <f ca="1">IF(TODAY()&gt;=LOOKUP(C5,'QALS - Inspection Lot Record'!P:P,'QALS - Inspection Lot Record'!J:J)+RANDBETWEEN(0,1),LOOKUP(C5,'QALS - Inspection Lot Record'!P:P,'QALS - Inspection Lot Record'!J:J)+RANDBETWEEN(0,1),"")</f>
        <v>45872</v>
      </c>
      <c r="G5" s="41" t="str">
        <f ca="1">IF(F5="","",'Reference CAPA - Test data'!G5)</f>
        <v>Impurities out of limit</v>
      </c>
      <c r="H5" s="34">
        <f t="shared" ca="1" si="0"/>
        <v>45873</v>
      </c>
      <c r="I5" s="29" t="str">
        <f ca="1">IF(H5="","",'Reference CAPA - Test data'!I5)</f>
        <v>Supplier evaluation</v>
      </c>
    </row>
    <row r="6" spans="1:9" x14ac:dyDescent="0.35">
      <c r="A6" s="31">
        <v>200000503</v>
      </c>
      <c r="B6" s="31">
        <v>1010</v>
      </c>
      <c r="C6" s="31">
        <v>4003</v>
      </c>
      <c r="D6" s="29" t="str">
        <f>LOOKUP('CAPA-old'!C6,'QALS - Inspection Lot Record'!P:P,'QALS - Inspection Lot Record'!O:O)</f>
        <v>Metformin Tablets (100 MG)</v>
      </c>
      <c r="E6" s="31">
        <v>38.700000000000003</v>
      </c>
      <c r="F6" s="34">
        <f ca="1">IF(TODAY()&gt;=LOOKUP(C6,'QALS - Inspection Lot Record'!P:P,'QALS - Inspection Lot Record'!J:J)+RANDBETWEEN(0,1),LOOKUP(C6,'QALS - Inspection Lot Record'!P:P,'QALS - Inspection Lot Record'!J:J)+RANDBETWEEN(0,1),"")</f>
        <v>45871</v>
      </c>
      <c r="G6" s="41" t="str">
        <f ca="1">IF(F6="","",'Reference CAPA - Test data'!G6)</f>
        <v>Dissolution rate low - 15 mins</v>
      </c>
      <c r="H6" s="34">
        <f t="shared" ca="1" si="0"/>
        <v>45872</v>
      </c>
      <c r="I6" s="29" t="str">
        <f ca="1">IF(H6="","",'Reference CAPA - Test data'!I6)</f>
        <v>Increase agitation</v>
      </c>
    </row>
    <row r="7" spans="1:9" x14ac:dyDescent="0.35">
      <c r="A7" s="31">
        <v>200000503</v>
      </c>
      <c r="B7" s="31">
        <v>1010</v>
      </c>
      <c r="C7" s="31">
        <v>4003</v>
      </c>
      <c r="D7" s="29" t="str">
        <f>LOOKUP('CAPA-old'!C7,'QALS - Inspection Lot Record'!P:P,'QALS - Inspection Lot Record'!O:O)</f>
        <v>Metformin Tablets (100 MG)</v>
      </c>
      <c r="E7" s="31">
        <v>68</v>
      </c>
      <c r="F7" s="34">
        <f ca="1">IF(TODAY()&gt;=LOOKUP(C7,'QALS - Inspection Lot Record'!P:P,'QALS - Inspection Lot Record'!J:J)+RANDBETWEEN(0,1),LOOKUP(C7,'QALS - Inspection Lot Record'!P:P,'QALS - Inspection Lot Record'!J:J)+RANDBETWEEN(0,1),"")</f>
        <v>45872</v>
      </c>
      <c r="G7" s="41" t="str">
        <f ca="1">IF(F7="","",'Reference CAPA - Test data'!G7)</f>
        <v>Dissolution rate low - 30 mins</v>
      </c>
      <c r="H7" s="34">
        <f t="shared" ca="1" si="0"/>
        <v>45872</v>
      </c>
      <c r="I7" s="29" t="str">
        <f ca="1">IF(H7="","",'Reference CAPA - Test data'!I7)</f>
        <v>Update production SOP</v>
      </c>
    </row>
    <row r="8" spans="1:9" x14ac:dyDescent="0.35">
      <c r="A8" s="31">
        <v>200000504</v>
      </c>
      <c r="B8" s="31">
        <v>1010</v>
      </c>
      <c r="C8" s="31">
        <v>4004</v>
      </c>
      <c r="D8" s="29" t="str">
        <f>LOOKUP('CAPA-old'!C8,'QALS - Inspection Lot Record'!P:P,'QALS - Inspection Lot Record'!O:O)</f>
        <v>Metformin Tablets (100 MG)</v>
      </c>
      <c r="E8" s="31">
        <v>93.6</v>
      </c>
      <c r="F8" s="34">
        <f ca="1">IF(TODAY()&gt;=LOOKUP(C8,'QALS - Inspection Lot Record'!P:P,'QALS - Inspection Lot Record'!J:J)+RANDBETWEEN(0,1),LOOKUP(C8,'QALS - Inspection Lot Record'!P:P,'QALS - Inspection Lot Record'!J:J)+RANDBETWEEN(0,1),"")</f>
        <v>45872</v>
      </c>
      <c r="G8" s="41" t="str">
        <f ca="1">IF(F8="","",'Reference CAPA - Test data'!G8)</f>
        <v>Potency out of spec</v>
      </c>
      <c r="H8" s="34">
        <f t="shared" ca="1" si="0"/>
        <v>45872</v>
      </c>
      <c r="I8" s="29" t="str">
        <f ca="1">IF(H8="","",'Reference CAPA - Test data'!I8)</f>
        <v>Additional testing</v>
      </c>
    </row>
    <row r="9" spans="1:9" x14ac:dyDescent="0.35">
      <c r="A9" s="31">
        <v>200000504</v>
      </c>
      <c r="B9" s="31">
        <v>1010</v>
      </c>
      <c r="C9" s="31">
        <v>4004</v>
      </c>
      <c r="D9" s="29" t="str">
        <f>LOOKUP('CAPA-old'!C9,'QALS - Inspection Lot Record'!P:P,'QALS - Inspection Lot Record'!O:O)</f>
        <v>Metformin Tablets (100 MG)</v>
      </c>
      <c r="E9" s="31">
        <v>1.8</v>
      </c>
      <c r="F9" s="34">
        <f ca="1">IF(TODAY()&gt;=LOOKUP(C9,'QALS - Inspection Lot Record'!P:P,'QALS - Inspection Lot Record'!J:J)+RANDBETWEEN(0,1),LOOKUP(C9,'QALS - Inspection Lot Record'!P:P,'QALS - Inspection Lot Record'!J:J)+RANDBETWEEN(0,1),"")</f>
        <v>45871</v>
      </c>
      <c r="G9" s="41" t="str">
        <f ca="1">IF(F9="","",'Reference CAPA - Test data'!G9)</f>
        <v>PH Level out of range</v>
      </c>
      <c r="H9" s="34">
        <f t="shared" ca="1" si="0"/>
        <v>45871</v>
      </c>
      <c r="I9" s="29" t="str">
        <f ca="1">IF(H9="","",'Reference CAPA - Test data'!I9)</f>
        <v>Supplier evaluation</v>
      </c>
    </row>
    <row r="10" spans="1:9" x14ac:dyDescent="0.35">
      <c r="A10" s="31">
        <v>200000504</v>
      </c>
      <c r="B10" s="31">
        <v>1010</v>
      </c>
      <c r="C10" s="31">
        <v>4004</v>
      </c>
      <c r="D10" s="29" t="str">
        <f>LOOKUP('CAPA-old'!C10,'QALS - Inspection Lot Record'!P:P,'QALS - Inspection Lot Record'!O:O)</f>
        <v>Metformin Tablets (100 MG)</v>
      </c>
      <c r="E10" s="31">
        <v>38.200000000000003</v>
      </c>
      <c r="F10" s="34">
        <f ca="1">IF(TODAY()&gt;=LOOKUP(C10,'QALS - Inspection Lot Record'!P:P,'QALS - Inspection Lot Record'!J:J)+RANDBETWEEN(0,1),LOOKUP(C10,'QALS - Inspection Lot Record'!P:P,'QALS - Inspection Lot Record'!J:J)+RANDBETWEEN(0,1),"")</f>
        <v>45871</v>
      </c>
      <c r="G10" s="41" t="str">
        <f ca="1">IF(F10="","",'Reference CAPA - Test data'!G10)</f>
        <v>Dissolution rate low - 15 mins</v>
      </c>
      <c r="H10" s="34">
        <f t="shared" ca="1" si="0"/>
        <v>45871</v>
      </c>
      <c r="I10" s="29" t="str">
        <f ca="1">IF(H10="","",'Reference CAPA - Test data'!I10)</f>
        <v>Update production SOP</v>
      </c>
    </row>
    <row r="11" spans="1:9" x14ac:dyDescent="0.35">
      <c r="A11" s="31">
        <v>200000505</v>
      </c>
      <c r="B11" s="31">
        <v>1010</v>
      </c>
      <c r="C11" s="31">
        <v>4005</v>
      </c>
      <c r="D11" s="29" t="str">
        <f>LOOKUP('CAPA-old'!C11,'QALS - Inspection Lot Record'!P:P,'QALS - Inspection Lot Record'!O:O)</f>
        <v>Metformin Tablets (500 MG)</v>
      </c>
      <c r="E11" s="31">
        <v>93.9</v>
      </c>
      <c r="F11" s="34">
        <f ca="1">IF(TODAY()&gt;=LOOKUP(C11,'QALS - Inspection Lot Record'!P:P,'QALS - Inspection Lot Record'!J:J)+RANDBETWEEN(0,1),LOOKUP(C11,'QALS - Inspection Lot Record'!P:P,'QALS - Inspection Lot Record'!J:J)+RANDBETWEEN(0,1),"")</f>
        <v>45872</v>
      </c>
      <c r="G11" s="41" t="str">
        <f ca="1">IF(F11="","",'Reference CAPA - Test data'!G11)</f>
        <v>Potency out of spec</v>
      </c>
      <c r="H11" s="34">
        <f t="shared" ca="1" si="0"/>
        <v>45872</v>
      </c>
      <c r="I11" s="29" t="str">
        <f ca="1">IF(H11="","",'Reference CAPA - Test data'!I11)</f>
        <v>Supplier evaluation</v>
      </c>
    </row>
    <row r="12" spans="1:9" x14ac:dyDescent="0.35">
      <c r="A12" s="31">
        <v>200000505</v>
      </c>
      <c r="B12" s="31">
        <v>1010</v>
      </c>
      <c r="C12" s="31">
        <v>4005</v>
      </c>
      <c r="D12" s="29" t="str">
        <f>LOOKUP('CAPA-old'!C12,'QALS - Inspection Lot Record'!P:P,'QALS - Inspection Lot Record'!O:O)</f>
        <v>Metformin Tablets (500 MG)</v>
      </c>
      <c r="E12" s="31">
        <v>22</v>
      </c>
      <c r="F12" s="34">
        <f ca="1">IF(TODAY()&gt;=LOOKUP(C12,'QALS - Inspection Lot Record'!P:P,'QALS - Inspection Lot Record'!J:J)+RANDBETWEEN(0,1),LOOKUP(C12,'QALS - Inspection Lot Record'!P:P,'QALS - Inspection Lot Record'!J:J)+RANDBETWEEN(0,1),"")</f>
        <v>45872</v>
      </c>
      <c r="G12" s="41" t="str">
        <f ca="1">IF(F12="","",'Reference CAPA - Test data'!G12)</f>
        <v>Process temp out of range</v>
      </c>
      <c r="H12" s="34">
        <f t="shared" ca="1" si="0"/>
        <v>45874</v>
      </c>
      <c r="I12" s="29" t="str">
        <f ca="1">IF(H12="","",'Reference CAPA - Test data'!I12)</f>
        <v>Training for operators</v>
      </c>
    </row>
    <row r="13" spans="1:9" x14ac:dyDescent="0.35">
      <c r="A13" s="31">
        <v>200000506</v>
      </c>
      <c r="B13" s="31">
        <v>1010</v>
      </c>
      <c r="C13" s="31">
        <v>4008</v>
      </c>
      <c r="D13" s="29" t="str">
        <f>LOOKUP('CAPA-old'!C13,'QALS - Inspection Lot Record'!P:P,'QALS - Inspection Lot Record'!O:O)</f>
        <v>Metformin Tablets (500 MG)</v>
      </c>
      <c r="E13" s="31">
        <v>93.9</v>
      </c>
      <c r="F13" s="34">
        <f ca="1">IF(TODAY()&gt;=LOOKUP(C13,'QALS - Inspection Lot Record'!P:P,'QALS - Inspection Lot Record'!J:J)+RANDBETWEEN(0,1),LOOKUP(C13,'QALS - Inspection Lot Record'!P:P,'QALS - Inspection Lot Record'!J:J)+RANDBETWEEN(0,1),"")</f>
        <v>45873</v>
      </c>
      <c r="G13" s="41" t="str">
        <f ca="1">IF(F13="","",'Reference CAPA - Test data'!G13)</f>
        <v>Potency out of spec</v>
      </c>
      <c r="H13" s="34">
        <f t="shared" ca="1" si="0"/>
        <v>45873</v>
      </c>
      <c r="I13" s="29" t="str">
        <f ca="1">IF(H13="","",'Reference CAPA - Test data'!I13)</f>
        <v>Equipment calibration</v>
      </c>
    </row>
    <row r="14" spans="1:9" x14ac:dyDescent="0.35">
      <c r="A14" s="31">
        <v>200000507</v>
      </c>
      <c r="B14" s="31">
        <v>1010</v>
      </c>
      <c r="C14" s="31">
        <v>4009</v>
      </c>
      <c r="D14" s="29" t="str">
        <f>LOOKUP('CAPA-old'!C14,'QALS - Inspection Lot Record'!P:P,'QALS - Inspection Lot Record'!O:O)</f>
        <v>Metformin Tablets (200 MG)</v>
      </c>
      <c r="E14" s="31">
        <v>93.4</v>
      </c>
      <c r="F14" s="34">
        <f ca="1">IF(TODAY()&gt;=LOOKUP(C14,'QALS - Inspection Lot Record'!P:P,'QALS - Inspection Lot Record'!J:J)+RANDBETWEEN(0,1),LOOKUP(C14,'QALS - Inspection Lot Record'!P:P,'QALS - Inspection Lot Record'!J:J)+RANDBETWEEN(0,1),"")</f>
        <v>45875</v>
      </c>
      <c r="G14" s="41" t="str">
        <f ca="1">IF(F14="","",'Reference CAPA - Test data'!G14)</f>
        <v>Potency out of spec</v>
      </c>
      <c r="H14" s="34">
        <f t="shared" ca="1" si="0"/>
        <v>45877</v>
      </c>
      <c r="I14" s="29" t="str">
        <f ca="1">IF(H14="","",'Reference CAPA - Test data'!I14)</f>
        <v>Training for operators</v>
      </c>
    </row>
    <row r="15" spans="1:9" x14ac:dyDescent="0.35">
      <c r="A15" s="31">
        <v>200000507</v>
      </c>
      <c r="B15" s="31">
        <v>1010</v>
      </c>
      <c r="C15" s="31">
        <v>4009</v>
      </c>
      <c r="D15" s="29" t="str">
        <f>LOOKUP('CAPA-old'!C15,'QALS - Inspection Lot Record'!P:P,'QALS - Inspection Lot Record'!O:O)</f>
        <v>Metformin Tablets (200 MG)</v>
      </c>
      <c r="E15" s="31">
        <v>5</v>
      </c>
      <c r="F15" s="34">
        <f ca="1">IF(TODAY()&gt;=LOOKUP(C15,'QALS - Inspection Lot Record'!P:P,'QALS - Inspection Lot Record'!J:J)+RANDBETWEEN(0,1),LOOKUP(C15,'QALS - Inspection Lot Record'!P:P,'QALS - Inspection Lot Record'!J:J)+RANDBETWEEN(0,1),"")</f>
        <v>45875</v>
      </c>
      <c r="G15" s="41" t="str">
        <f ca="1">IF(F15="","",'Reference CAPA - Test data'!G15)</f>
        <v>PH Level out of range</v>
      </c>
      <c r="H15" s="34">
        <f t="shared" ca="1" si="0"/>
        <v>45876</v>
      </c>
      <c r="I15" s="29" t="str">
        <f ca="1">IF(H15="","",'Reference CAPA - Test data'!I15)</f>
        <v>PH monitoring</v>
      </c>
    </row>
    <row r="16" spans="1:9" x14ac:dyDescent="0.35">
      <c r="A16" s="31">
        <v>200000508</v>
      </c>
      <c r="B16" s="31">
        <v>1010</v>
      </c>
      <c r="C16" s="31">
        <v>4010</v>
      </c>
      <c r="D16" s="29" t="str">
        <f>LOOKUP('CAPA-old'!C16,'QALS - Inspection Lot Record'!P:P,'QALS - Inspection Lot Record'!O:O)</f>
        <v>Metformin Tablets (100 MG)</v>
      </c>
      <c r="E16" s="31">
        <v>78.7</v>
      </c>
      <c r="F16" s="34">
        <f ca="1">IF(TODAY()&gt;=LOOKUP(C16,'QALS - Inspection Lot Record'!P:P,'QALS - Inspection Lot Record'!J:J)+RANDBETWEEN(0,1),LOOKUP(C16,'QALS - Inspection Lot Record'!P:P,'QALS - Inspection Lot Record'!J:J)+RANDBETWEEN(0,1),"")</f>
        <v>45874</v>
      </c>
      <c r="G16" s="41" t="str">
        <f ca="1">IF(F16="","",'Reference CAPA - Test data'!G16)</f>
        <v>Dissolution rate low - 40 mins</v>
      </c>
      <c r="H16" s="34">
        <f t="shared" ca="1" si="0"/>
        <v>45875</v>
      </c>
      <c r="I16" s="29" t="str">
        <f ca="1">IF(H16="","",'Reference CAPA - Test data'!I16)</f>
        <v>Update production SOP</v>
      </c>
    </row>
    <row r="17" spans="1:9" x14ac:dyDescent="0.35">
      <c r="A17" s="31">
        <v>200000509</v>
      </c>
      <c r="B17" s="31">
        <v>1010</v>
      </c>
      <c r="C17" s="31">
        <v>4011</v>
      </c>
      <c r="D17" s="29" t="str">
        <f>LOOKUP('CAPA-old'!C17,'QALS - Inspection Lot Record'!P:P,'QALS - Inspection Lot Record'!O:O)</f>
        <v>Ibuprofen Tablets (100 MG)</v>
      </c>
      <c r="E17" s="31">
        <v>93.9</v>
      </c>
      <c r="F17" s="34">
        <f ca="1">IF(TODAY()&gt;=LOOKUP(C17,'QALS - Inspection Lot Record'!P:P,'QALS - Inspection Lot Record'!J:J)+RANDBETWEEN(0,1),LOOKUP(C17,'QALS - Inspection Lot Record'!P:P,'QALS - Inspection Lot Record'!J:J)+RANDBETWEEN(0,1),"")</f>
        <v>45876</v>
      </c>
      <c r="G17" s="41" t="str">
        <f ca="1">IF(F17="","",'Reference CAPA - Test data'!G17)</f>
        <v>Potency out of spec</v>
      </c>
      <c r="H17" s="34">
        <f t="shared" ca="1" si="0"/>
        <v>45878</v>
      </c>
      <c r="I17" s="29" t="str">
        <f ca="1">IF(H17="","",'Reference CAPA - Test data'!I17)</f>
        <v>Additional testing</v>
      </c>
    </row>
    <row r="18" spans="1:9" x14ac:dyDescent="0.35">
      <c r="A18" s="31">
        <v>200000510</v>
      </c>
      <c r="B18" s="31">
        <v>1010</v>
      </c>
      <c r="C18" s="31">
        <v>4012</v>
      </c>
      <c r="D18" s="29" t="str">
        <f>LOOKUP('CAPA-old'!C18,'QALS - Inspection Lot Record'!P:P,'QALS - Inspection Lot Record'!O:O)</f>
        <v>Metformin Tablets (100 MG)</v>
      </c>
      <c r="E18" s="31">
        <v>93.2</v>
      </c>
      <c r="F18" s="34">
        <f ca="1">IF(TODAY()&gt;=LOOKUP(C18,'QALS - Inspection Lot Record'!P:P,'QALS - Inspection Lot Record'!J:J)+RANDBETWEEN(0,1),LOOKUP(C18,'QALS - Inspection Lot Record'!P:P,'QALS - Inspection Lot Record'!J:J)+RANDBETWEEN(0,1),"")</f>
        <v>45876</v>
      </c>
      <c r="G18" s="41" t="str">
        <f ca="1">IF(F18="","",'Reference CAPA - Test data'!G18)</f>
        <v>Potency out of spec</v>
      </c>
      <c r="H18" s="34">
        <f t="shared" ca="1" si="0"/>
        <v>45878</v>
      </c>
      <c r="I18" s="29" t="str">
        <f ca="1">IF(H18="","",'Reference CAPA - Test data'!I18)</f>
        <v>Improve formulation</v>
      </c>
    </row>
    <row r="19" spans="1:9" x14ac:dyDescent="0.35">
      <c r="A19" s="31">
        <v>200000511</v>
      </c>
      <c r="B19" s="31">
        <v>1010</v>
      </c>
      <c r="C19" s="31">
        <v>4013</v>
      </c>
      <c r="D19" s="29" t="str">
        <f>LOOKUP('CAPA-old'!C19,'QALS - Inspection Lot Record'!P:P,'QALS - Inspection Lot Record'!O:O)</f>
        <v>Metformin Tablets (500 MG)</v>
      </c>
      <c r="E19" s="31">
        <v>68.3</v>
      </c>
      <c r="F19" s="34">
        <f ca="1">IF(TODAY()&gt;=LOOKUP(C19,'QALS - Inspection Lot Record'!P:P,'QALS - Inspection Lot Record'!J:J)+RANDBETWEEN(0,1),LOOKUP(C19,'QALS - Inspection Lot Record'!P:P,'QALS - Inspection Lot Record'!J:J)+RANDBETWEEN(0,1),"")</f>
        <v>45877</v>
      </c>
      <c r="G19" s="41" t="str">
        <f ca="1">IF(F19="","",'Reference CAPA - Test data'!G19)</f>
        <v>Dissolution rate low - 30 mins</v>
      </c>
      <c r="H19" s="34">
        <f t="shared" ca="1" si="0"/>
        <v>45877</v>
      </c>
      <c r="I19" s="29" t="str">
        <f ca="1">IF(H19="","",'Reference CAPA - Test data'!I19)</f>
        <v>Training for operators</v>
      </c>
    </row>
    <row r="20" spans="1:9" x14ac:dyDescent="0.35">
      <c r="A20" s="31">
        <v>200000512</v>
      </c>
      <c r="B20" s="31">
        <v>1010</v>
      </c>
      <c r="C20" s="31">
        <v>4014</v>
      </c>
      <c r="D20" s="29" t="str">
        <f>LOOKUP('CAPA-old'!C20,'QALS - Inspection Lot Record'!P:P,'QALS - Inspection Lot Record'!O:O)</f>
        <v>Ibuprofen Tablets (100 MG)</v>
      </c>
      <c r="E20" s="31">
        <v>1.2</v>
      </c>
      <c r="F20" s="34">
        <f ca="1">IF(TODAY()&gt;=LOOKUP(C20,'QALS - Inspection Lot Record'!P:P,'QALS - Inspection Lot Record'!J:J)+RANDBETWEEN(0,1),LOOKUP(C20,'QALS - Inspection Lot Record'!P:P,'QALS - Inspection Lot Record'!J:J)+RANDBETWEEN(0,1),"")</f>
        <v>45876</v>
      </c>
      <c r="G20" s="41" t="str">
        <f ca="1">IF(F20="","",'Reference CAPA - Test data'!G20)</f>
        <v>Impurities out of limit</v>
      </c>
      <c r="H20" s="34">
        <f t="shared" ca="1" si="0"/>
        <v>45877</v>
      </c>
      <c r="I20" s="29" t="str">
        <f ca="1">IF(H20="","",'Reference CAPA - Test data'!I20)</f>
        <v>Equipment maintenance</v>
      </c>
    </row>
    <row r="21" spans="1:9" x14ac:dyDescent="0.35">
      <c r="A21" s="31">
        <v>200000512</v>
      </c>
      <c r="B21" s="31">
        <v>1010</v>
      </c>
      <c r="C21" s="31">
        <v>4014</v>
      </c>
      <c r="D21" s="29" t="str">
        <f>LOOKUP('CAPA-old'!C21,'QALS - Inspection Lot Record'!P:P,'QALS - Inspection Lot Record'!O:O)</f>
        <v>Ibuprofen Tablets (100 MG)</v>
      </c>
      <c r="E21" s="31">
        <v>78.099999999999994</v>
      </c>
      <c r="F21" s="34">
        <f ca="1">IF(TODAY()&gt;=LOOKUP(C21,'QALS - Inspection Lot Record'!P:P,'QALS - Inspection Lot Record'!J:J)+RANDBETWEEN(0,1),LOOKUP(C21,'QALS - Inspection Lot Record'!P:P,'QALS - Inspection Lot Record'!J:J)+RANDBETWEEN(0,1),"")</f>
        <v>45877</v>
      </c>
      <c r="G21" s="41" t="str">
        <f ca="1">IF(F21="","",'Reference CAPA - Test data'!G21)</f>
        <v>Dissolution rate low - 40 mins</v>
      </c>
      <c r="H21" s="34">
        <f t="shared" ca="1" si="0"/>
        <v>45878</v>
      </c>
      <c r="I21" s="29" t="str">
        <f ca="1">IF(H21="","",'Reference CAPA - Test data'!I21)</f>
        <v>Increase surface area</v>
      </c>
    </row>
    <row r="22" spans="1:9" x14ac:dyDescent="0.35">
      <c r="A22" s="31">
        <v>200000513</v>
      </c>
      <c r="B22" s="31">
        <v>1010</v>
      </c>
      <c r="C22" s="31">
        <v>4015</v>
      </c>
      <c r="D22" s="29" t="str">
        <f>LOOKUP('CAPA-old'!C22,'QALS - Inspection Lot Record'!P:P,'QALS - Inspection Lot Record'!O:O)</f>
        <v>Ibuprofen Tablets (100 MG)</v>
      </c>
      <c r="E22" s="31">
        <v>94</v>
      </c>
      <c r="F22" s="34">
        <f ca="1">IF(TODAY()&gt;=LOOKUP(C22,'QALS - Inspection Lot Record'!P:P,'QALS - Inspection Lot Record'!J:J)+RANDBETWEEN(0,1),LOOKUP(C22,'QALS - Inspection Lot Record'!P:P,'QALS - Inspection Lot Record'!J:J)+RANDBETWEEN(0,1),"")</f>
        <v>45878</v>
      </c>
      <c r="G22" s="41" t="str">
        <f ca="1">IF(F22="","",'Reference CAPA - Test data'!G22)</f>
        <v>Potency out of spec</v>
      </c>
      <c r="H22" s="34">
        <f t="shared" ca="1" si="0"/>
        <v>45879</v>
      </c>
      <c r="I22" s="29" t="str">
        <f ca="1">IF(H22="","",'Reference CAPA - Test data'!I22)</f>
        <v>Training for operators</v>
      </c>
    </row>
    <row r="23" spans="1:9" x14ac:dyDescent="0.35">
      <c r="A23" s="31">
        <v>200000514</v>
      </c>
      <c r="B23" s="31">
        <v>1010</v>
      </c>
      <c r="C23" s="31">
        <v>4016</v>
      </c>
      <c r="D23" s="29" t="str">
        <f>LOOKUP('CAPA-old'!C23,'QALS - Inspection Lot Record'!P:P,'QALS - Inspection Lot Record'!O:O)</f>
        <v>Metformin Tablets (200 MG)</v>
      </c>
      <c r="E23" s="31">
        <v>93.7</v>
      </c>
      <c r="F23" s="34">
        <f ca="1">IF(TODAY()&gt;=LOOKUP(C23,'QALS - Inspection Lot Record'!P:P,'QALS - Inspection Lot Record'!J:J)+RANDBETWEEN(0,1),LOOKUP(C23,'QALS - Inspection Lot Record'!P:P,'QALS - Inspection Lot Record'!J:J)+RANDBETWEEN(0,1),"")</f>
        <v>45878</v>
      </c>
      <c r="G23" s="41" t="str">
        <f ca="1">IF(F23="","",'Reference CAPA - Test data'!G23)</f>
        <v>Potency out of spec</v>
      </c>
      <c r="H23" s="34">
        <f t="shared" ca="1" si="0"/>
        <v>45880</v>
      </c>
      <c r="I23" s="29" t="str">
        <f ca="1">IF(H23="","",'Reference CAPA - Test data'!I23)</f>
        <v>Training for operators</v>
      </c>
    </row>
    <row r="24" spans="1:9" x14ac:dyDescent="0.35">
      <c r="A24" s="31">
        <v>200000515</v>
      </c>
      <c r="B24" s="31">
        <v>1010</v>
      </c>
      <c r="C24" s="31">
        <v>4017</v>
      </c>
      <c r="D24" s="29" t="str">
        <f>LOOKUP('CAPA-old'!C24,'QALS - Inspection Lot Record'!P:P,'QALS - Inspection Lot Record'!O:O)</f>
        <v>Metformin Tablets (200 MG)</v>
      </c>
      <c r="E24" s="31">
        <v>21.2</v>
      </c>
      <c r="F24" s="34">
        <f ca="1">IF(TODAY()&gt;=LOOKUP(C24,'QALS - Inspection Lot Record'!P:P,'QALS - Inspection Lot Record'!J:J)+RANDBETWEEN(0,1),LOOKUP(C24,'QALS - Inspection Lot Record'!P:P,'QALS - Inspection Lot Record'!J:J)+RANDBETWEEN(0,1),"")</f>
        <v>45878</v>
      </c>
      <c r="G24" s="41" t="str">
        <f ca="1">IF(F24="","",'Reference CAPA - Test data'!G24)</f>
        <v>Process temp out of range</v>
      </c>
      <c r="H24" s="34">
        <f t="shared" ca="1" si="0"/>
        <v>45880</v>
      </c>
      <c r="I24" s="29" t="str">
        <f ca="1">IF(H24="","",'Reference CAPA - Test data'!I24)</f>
        <v>Preventive maintenance</v>
      </c>
    </row>
    <row r="25" spans="1:9" x14ac:dyDescent="0.35">
      <c r="A25" s="31">
        <v>200000516</v>
      </c>
      <c r="B25" s="31">
        <v>1010</v>
      </c>
      <c r="C25" s="31">
        <v>4021</v>
      </c>
      <c r="D25" s="29" t="str">
        <f>LOOKUP('CAPA-old'!C25,'QALS - Inspection Lot Record'!P:P,'QALS - Inspection Lot Record'!O:O)</f>
        <v>Ibuprofen Tablets (100 MG)</v>
      </c>
      <c r="E25" s="31">
        <v>38.700000000000003</v>
      </c>
      <c r="F25" s="34">
        <f ca="1">IF(TODAY()&gt;=LOOKUP(C25,'QALS - Inspection Lot Record'!P:P,'QALS - Inspection Lot Record'!J:J)+RANDBETWEEN(0,1),LOOKUP(C25,'QALS - Inspection Lot Record'!P:P,'QALS - Inspection Lot Record'!J:J)+RANDBETWEEN(0,1),"")</f>
        <v>45880</v>
      </c>
      <c r="G25" s="41" t="str">
        <f ca="1">IF(F25="","",'Reference CAPA - Test data'!G25)</f>
        <v>Dissolution rate low - 15 mins</v>
      </c>
      <c r="H25" s="34">
        <f t="shared" ca="1" si="0"/>
        <v>45881</v>
      </c>
      <c r="I25" s="29" t="str">
        <f ca="1">IF(H25="","",'Reference CAPA - Test data'!I25)</f>
        <v>Equipment calibration</v>
      </c>
    </row>
    <row r="26" spans="1:9" x14ac:dyDescent="0.35">
      <c r="A26" s="31">
        <v>200000516</v>
      </c>
      <c r="B26" s="31">
        <v>1010</v>
      </c>
      <c r="C26" s="31">
        <v>4021</v>
      </c>
      <c r="D26" s="29" t="str">
        <f>LOOKUP('CAPA-old'!C26,'QALS - Inspection Lot Record'!P:P,'QALS - Inspection Lot Record'!O:O)</f>
        <v>Ibuprofen Tablets (100 MG)</v>
      </c>
      <c r="E26" s="31">
        <v>68.099999999999994</v>
      </c>
      <c r="F26" s="34">
        <f ca="1">IF(TODAY()&gt;=LOOKUP(C26,'QALS - Inspection Lot Record'!P:P,'QALS - Inspection Lot Record'!J:J)+RANDBETWEEN(0,1),LOOKUP(C26,'QALS - Inspection Lot Record'!P:P,'QALS - Inspection Lot Record'!J:J)+RANDBETWEEN(0,1),"")</f>
        <v>45880</v>
      </c>
      <c r="G26" s="41" t="str">
        <f ca="1">IF(F26="","",'Reference CAPA - Test data'!G26)</f>
        <v>Dissolution rate low - 30 mins</v>
      </c>
      <c r="H26" s="34">
        <f t="shared" ca="1" si="0"/>
        <v>45880</v>
      </c>
      <c r="I26" s="29" t="str">
        <f ca="1">IF(H26="","",'Reference CAPA - Test data'!I26)</f>
        <v>Equipment calibration</v>
      </c>
    </row>
    <row r="27" spans="1:9" x14ac:dyDescent="0.35">
      <c r="A27" s="31">
        <v>200000517</v>
      </c>
      <c r="B27" s="31">
        <v>1010</v>
      </c>
      <c r="C27" s="31">
        <v>4025</v>
      </c>
      <c r="D27" s="29" t="str">
        <f>LOOKUP('CAPA-old'!C27,'QALS - Inspection Lot Record'!P:P,'QALS - Inspection Lot Record'!O:O)</f>
        <v>Ibuprofen Tablets (100 MG)</v>
      </c>
      <c r="E27" s="31">
        <v>21.1</v>
      </c>
      <c r="F27" s="34">
        <f ca="1">IF(TODAY()&gt;=LOOKUP(C27,'QALS - Inspection Lot Record'!P:P,'QALS - Inspection Lot Record'!J:J)+RANDBETWEEN(0,1),LOOKUP(C27,'QALS - Inspection Lot Record'!P:P,'QALS - Inspection Lot Record'!J:J)+RANDBETWEEN(0,1),"")</f>
        <v>45883</v>
      </c>
      <c r="G27" s="41" t="str">
        <f ca="1">IF(F27="","",'Reference CAPA - Test data'!G27)</f>
        <v>Process temp out of range</v>
      </c>
      <c r="H27" s="34">
        <f t="shared" ca="1" si="0"/>
        <v>45885</v>
      </c>
      <c r="I27" s="29" t="str">
        <f ca="1">IF(H27="","",'Reference CAPA - Test data'!I27)</f>
        <v>Preventive maintenance</v>
      </c>
    </row>
    <row r="28" spans="1:9" x14ac:dyDescent="0.35">
      <c r="A28" s="31">
        <v>200000518</v>
      </c>
      <c r="B28" s="31">
        <v>1010</v>
      </c>
      <c r="C28" s="31">
        <v>4029</v>
      </c>
      <c r="D28" s="29" t="str">
        <f>LOOKUP('CAPA-old'!C28,'QALS - Inspection Lot Record'!P:P,'QALS - Inspection Lot Record'!O:O)</f>
        <v>Metformin Tablets (100 MG)</v>
      </c>
      <c r="E28" s="31">
        <v>78.599999999999994</v>
      </c>
      <c r="F28" s="34">
        <f ca="1">IF(TODAY()&gt;=LOOKUP(C28,'QALS - Inspection Lot Record'!P:P,'QALS - Inspection Lot Record'!J:J)+RANDBETWEEN(0,1),LOOKUP(C28,'QALS - Inspection Lot Record'!P:P,'QALS - Inspection Lot Record'!J:J)+RANDBETWEEN(0,1),"")</f>
        <v>45885</v>
      </c>
      <c r="G28" s="41" t="str">
        <f ca="1">IF(F28="","",'Reference CAPA - Test data'!G28)</f>
        <v>Dissolution rate low - 40 mins</v>
      </c>
      <c r="H28" s="34">
        <f t="shared" ca="1" si="0"/>
        <v>45887</v>
      </c>
      <c r="I28" s="29" t="str">
        <f ca="1">IF(H28="","",'Reference CAPA - Test data'!I28)</f>
        <v>Increase surface area</v>
      </c>
    </row>
    <row r="29" spans="1:9" x14ac:dyDescent="0.35">
      <c r="A29" s="31">
        <v>200000519</v>
      </c>
      <c r="B29" s="31">
        <v>1010</v>
      </c>
      <c r="C29" s="31">
        <v>4030</v>
      </c>
      <c r="D29" s="29" t="str">
        <f>LOOKUP('CAPA-old'!C29,'QALS - Inspection Lot Record'!P:P,'QALS - Inspection Lot Record'!O:O)</f>
        <v>Aspirin Tablets (500 MG)</v>
      </c>
      <c r="E29" s="31">
        <v>2.4</v>
      </c>
      <c r="F29" s="34">
        <f ca="1">IF(TODAY()&gt;=LOOKUP(C29,'QALS - Inspection Lot Record'!P:P,'QALS - Inspection Lot Record'!J:J)+RANDBETWEEN(0,1),LOOKUP(C29,'QALS - Inspection Lot Record'!P:P,'QALS - Inspection Lot Record'!J:J)+RANDBETWEEN(0,1),"")</f>
        <v>45884</v>
      </c>
      <c r="G29" s="41" t="str">
        <f ca="1">IF(F29="","",'Reference CAPA - Test data'!G29)</f>
        <v>PH Level out of range</v>
      </c>
      <c r="H29" s="34">
        <f t="shared" ca="1" si="0"/>
        <v>45885</v>
      </c>
      <c r="I29" s="29" t="str">
        <f ca="1">IF(H29="","",'Reference CAPA - Test data'!I29)</f>
        <v>Equipment calibration</v>
      </c>
    </row>
    <row r="30" spans="1:9" x14ac:dyDescent="0.35">
      <c r="A30" s="31">
        <v>200000519</v>
      </c>
      <c r="B30" s="31">
        <v>1010</v>
      </c>
      <c r="C30" s="31">
        <v>4030</v>
      </c>
      <c r="D30" s="29" t="str">
        <f>LOOKUP('CAPA-old'!C30,'QALS - Inspection Lot Record'!P:P,'QALS - Inspection Lot Record'!O:O)</f>
        <v>Aspirin Tablets (500 MG)</v>
      </c>
      <c r="E30" s="31">
        <v>68.2</v>
      </c>
      <c r="F30" s="34">
        <f ca="1">IF(TODAY()&gt;=LOOKUP(C30,'QALS - Inspection Lot Record'!P:P,'QALS - Inspection Lot Record'!J:J)+RANDBETWEEN(0,1),LOOKUP(C30,'QALS - Inspection Lot Record'!P:P,'QALS - Inspection Lot Record'!J:J)+RANDBETWEEN(0,1),"")</f>
        <v>45884</v>
      </c>
      <c r="G30" s="41" t="str">
        <f ca="1">IF(F30="","",'Reference CAPA - Test data'!G30)</f>
        <v>Dissolution rate low - 30 mins</v>
      </c>
      <c r="H30" s="34">
        <f t="shared" ca="1" si="0"/>
        <v>45885</v>
      </c>
      <c r="I30" s="29" t="str">
        <f ca="1">IF(H30="","",'Reference CAPA - Test data'!I30)</f>
        <v>Optimize granulation</v>
      </c>
    </row>
    <row r="31" spans="1:9" x14ac:dyDescent="0.35">
      <c r="A31" s="31">
        <v>200000520</v>
      </c>
      <c r="B31" s="31">
        <v>1010</v>
      </c>
      <c r="C31" s="31">
        <v>4034</v>
      </c>
      <c r="D31" s="29" t="str">
        <f>LOOKUP('CAPA-old'!C31,'QALS - Inspection Lot Record'!P:P,'QALS - Inspection Lot Record'!O:O)</f>
        <v>Metformin Tablets (200 MG)</v>
      </c>
      <c r="E31" s="31">
        <v>5</v>
      </c>
      <c r="F31" s="34">
        <f ca="1">IF(TODAY()&gt;=LOOKUP(C31,'QALS - Inspection Lot Record'!P:P,'QALS - Inspection Lot Record'!J:J)+RANDBETWEEN(0,1),LOOKUP(C31,'QALS - Inspection Lot Record'!P:P,'QALS - Inspection Lot Record'!J:J)+RANDBETWEEN(0,1),"")</f>
        <v>45886</v>
      </c>
      <c r="G31" s="41" t="str">
        <f ca="1">IF(F31="","",'Reference CAPA - Test data'!G31)</f>
        <v>PH Level out of range</v>
      </c>
      <c r="H31" s="34">
        <f t="shared" ca="1" si="0"/>
        <v>45886</v>
      </c>
      <c r="I31" s="29" t="str">
        <f ca="1">IF(H31="","",'Reference CAPA - Test data'!I31)</f>
        <v>PH monitoring</v>
      </c>
    </row>
    <row r="32" spans="1:9" x14ac:dyDescent="0.35">
      <c r="A32" s="31">
        <v>200000520</v>
      </c>
      <c r="B32" s="31">
        <v>1010</v>
      </c>
      <c r="C32" s="31">
        <v>4034</v>
      </c>
      <c r="D32" s="29" t="str">
        <f>LOOKUP('CAPA-old'!C32,'QALS - Inspection Lot Record'!P:P,'QALS - Inspection Lot Record'!O:O)</f>
        <v>Metformin Tablets (200 MG)</v>
      </c>
      <c r="E32" s="31">
        <v>39</v>
      </c>
      <c r="F32" s="34">
        <f ca="1">IF(TODAY()&gt;=LOOKUP(C32,'QALS - Inspection Lot Record'!P:P,'QALS - Inspection Lot Record'!J:J)+RANDBETWEEN(0,1),LOOKUP(C32,'QALS - Inspection Lot Record'!P:P,'QALS - Inspection Lot Record'!J:J)+RANDBETWEEN(0,1),"")</f>
        <v>45886</v>
      </c>
      <c r="G32" s="41" t="str">
        <f ca="1">IF(F32="","",'Reference CAPA - Test data'!G32)</f>
        <v>Dissolution rate low - 15 mins</v>
      </c>
      <c r="H32" s="34">
        <f t="shared" ca="1" si="0"/>
        <v>45888</v>
      </c>
      <c r="I32" s="29" t="str">
        <f ca="1">IF(H32="","",'Reference CAPA - Test data'!I32)</f>
        <v>Reduce particle size</v>
      </c>
    </row>
    <row r="33" spans="1:9" x14ac:dyDescent="0.35">
      <c r="A33" s="31">
        <v>200000521</v>
      </c>
      <c r="B33" s="31">
        <v>1010</v>
      </c>
      <c r="C33" s="31">
        <v>4036</v>
      </c>
      <c r="D33" s="29" t="str">
        <f>LOOKUP('CAPA-old'!C33,'QALS - Inspection Lot Record'!P:P,'QALS - Inspection Lot Record'!O:O)</f>
        <v>Metformin Tablets (500 MG)</v>
      </c>
      <c r="E33" s="31">
        <v>2.2000000000000002</v>
      </c>
      <c r="F33" s="34">
        <f ca="1">IF(TODAY()&gt;=LOOKUP(C33,'QALS - Inspection Lot Record'!P:P,'QALS - Inspection Lot Record'!J:J)+RANDBETWEEN(0,1),LOOKUP(C33,'QALS - Inspection Lot Record'!P:P,'QALS - Inspection Lot Record'!J:J)+RANDBETWEEN(0,1),"")</f>
        <v>45887</v>
      </c>
      <c r="G33" s="41" t="str">
        <f ca="1">IF(F33="","",'Reference CAPA - Test data'!G33)</f>
        <v>Impurities out of limit</v>
      </c>
      <c r="H33" s="34">
        <f t="shared" ca="1" si="0"/>
        <v>45888</v>
      </c>
      <c r="I33" s="29" t="str">
        <f ca="1">IF(H33="","",'Reference CAPA - Test data'!I33)</f>
        <v>Raw material control</v>
      </c>
    </row>
    <row r="34" spans="1:9" x14ac:dyDescent="0.35">
      <c r="A34" s="31">
        <v>200000522</v>
      </c>
      <c r="B34" s="31">
        <v>1010</v>
      </c>
      <c r="C34" s="31">
        <v>4037</v>
      </c>
      <c r="D34" s="29" t="str">
        <f>LOOKUP('CAPA-old'!C34,'QALS - Inspection Lot Record'!P:P,'QALS - Inspection Lot Record'!O:O)</f>
        <v>Ibuprofen Tablets (100 MG)</v>
      </c>
      <c r="E34" s="31">
        <v>2.2000000000000002</v>
      </c>
      <c r="F34" s="34">
        <f ca="1">IF(TODAY()&gt;=LOOKUP(C34,'QALS - Inspection Lot Record'!P:P,'QALS - Inspection Lot Record'!J:J)+RANDBETWEEN(0,1),LOOKUP(C34,'QALS - Inspection Lot Record'!P:P,'QALS - Inspection Lot Record'!J:J)+RANDBETWEEN(0,1),"")</f>
        <v>45889</v>
      </c>
      <c r="G34" s="41" t="str">
        <f ca="1">IF(F34="","",'Reference CAPA - Test data'!G34)</f>
        <v>PH Level out of range</v>
      </c>
      <c r="H34" s="34">
        <f t="shared" ca="1" si="0"/>
        <v>45890</v>
      </c>
      <c r="I34" s="29" t="str">
        <f ca="1">IF(H34="","",'Reference CAPA - Test data'!I34)</f>
        <v>Update production SOP</v>
      </c>
    </row>
    <row r="35" spans="1:9" x14ac:dyDescent="0.35">
      <c r="A35" s="31">
        <v>200000522</v>
      </c>
      <c r="B35" s="31">
        <v>1010</v>
      </c>
      <c r="C35" s="31">
        <v>4037</v>
      </c>
      <c r="D35" s="29" t="str">
        <f>LOOKUP('CAPA-old'!C35,'QALS - Inspection Lot Record'!P:P,'QALS - Inspection Lot Record'!O:O)</f>
        <v>Ibuprofen Tablets (100 MG)</v>
      </c>
      <c r="E35" s="31">
        <v>78.5</v>
      </c>
      <c r="F35" s="34">
        <f ca="1">IF(TODAY()&gt;=LOOKUP(C35,'QALS - Inspection Lot Record'!P:P,'QALS - Inspection Lot Record'!J:J)+RANDBETWEEN(0,1),LOOKUP(C35,'QALS - Inspection Lot Record'!P:P,'QALS - Inspection Lot Record'!J:J)+RANDBETWEEN(0,1),"")</f>
        <v>45888</v>
      </c>
      <c r="G35" s="41" t="str">
        <f ca="1">IF(F35="","",'Reference CAPA - Test data'!G35)</f>
        <v>Dissolution rate low - 40 mins</v>
      </c>
      <c r="H35" s="34">
        <f t="shared" ca="1" si="0"/>
        <v>45889</v>
      </c>
      <c r="I35" s="29" t="str">
        <f ca="1">IF(H35="","",'Reference CAPA - Test data'!I35)</f>
        <v>Equipment calibration</v>
      </c>
    </row>
    <row r="36" spans="1:9" x14ac:dyDescent="0.35">
      <c r="A36" s="31">
        <v>200000522</v>
      </c>
      <c r="B36" s="31">
        <v>1010</v>
      </c>
      <c r="C36" s="31">
        <v>4037</v>
      </c>
      <c r="D36" s="29" t="str">
        <f>LOOKUP('CAPA-old'!C36,'QALS - Inspection Lot Record'!P:P,'QALS - Inspection Lot Record'!O:O)</f>
        <v>Ibuprofen Tablets (100 MG)</v>
      </c>
      <c r="E36" s="31">
        <v>21.9</v>
      </c>
      <c r="F36" s="34">
        <f ca="1">IF(TODAY()&gt;=LOOKUP(C36,'QALS - Inspection Lot Record'!P:P,'QALS - Inspection Lot Record'!J:J)+RANDBETWEEN(0,1),LOOKUP(C36,'QALS - Inspection Lot Record'!P:P,'QALS - Inspection Lot Record'!J:J)+RANDBETWEEN(0,1),"")</f>
        <v>45889</v>
      </c>
      <c r="G36" s="41" t="str">
        <f ca="1">IF(F36="","",'Reference CAPA - Test data'!G36)</f>
        <v>Process temp out of range</v>
      </c>
      <c r="H36" s="34">
        <f t="shared" ca="1" si="0"/>
        <v>45889</v>
      </c>
      <c r="I36" s="29" t="str">
        <f ca="1">IF(H36="","",'Reference CAPA - Test data'!I36)</f>
        <v>Preventive maintenance</v>
      </c>
    </row>
    <row r="37" spans="1:9" x14ac:dyDescent="0.35">
      <c r="A37" s="31">
        <v>200000523</v>
      </c>
      <c r="B37" s="31">
        <v>1010</v>
      </c>
      <c r="C37" s="31">
        <v>4040</v>
      </c>
      <c r="D37" s="29" t="str">
        <f>LOOKUP('CAPA-old'!C37,'QALS - Inspection Lot Record'!P:P,'QALS - Inspection Lot Record'!O:O)</f>
        <v>Metformin Tablets (200 MG)</v>
      </c>
      <c r="E37" s="31">
        <v>2.1</v>
      </c>
      <c r="F37" s="34">
        <f ca="1">IF(TODAY()&gt;=LOOKUP(C37,'QALS - Inspection Lot Record'!P:P,'QALS - Inspection Lot Record'!J:J)+RANDBETWEEN(0,1),LOOKUP(C37,'QALS - Inspection Lot Record'!P:P,'QALS - Inspection Lot Record'!J:J)+RANDBETWEEN(0,1),"")</f>
        <v>45889</v>
      </c>
      <c r="G37" s="41" t="str">
        <f ca="1">IF(F37="","",'Reference CAPA - Test data'!G37)</f>
        <v>Impurities out of limit</v>
      </c>
      <c r="H37" s="34">
        <f t="shared" ca="1" si="0"/>
        <v>45889</v>
      </c>
      <c r="I37" s="29" t="str">
        <f ca="1">IF(H37="","",'Reference CAPA - Test data'!I37)</f>
        <v>Improve purification</v>
      </c>
    </row>
    <row r="38" spans="1:9" x14ac:dyDescent="0.35">
      <c r="A38" s="31">
        <v>200000524</v>
      </c>
      <c r="B38" s="31">
        <v>1010</v>
      </c>
      <c r="C38" s="31">
        <v>4041</v>
      </c>
      <c r="D38" s="29" t="str">
        <f>LOOKUP('CAPA-old'!C38,'QALS - Inspection Lot Record'!P:P,'QALS - Inspection Lot Record'!O:O)</f>
        <v>Metformin Tablets (100 MG)</v>
      </c>
      <c r="E38" s="31">
        <v>22</v>
      </c>
      <c r="F38" s="34">
        <f ca="1">IF(TODAY()&gt;=LOOKUP(C38,'QALS - Inspection Lot Record'!P:P,'QALS - Inspection Lot Record'!J:J)+RANDBETWEEN(0,1),LOOKUP(C38,'QALS - Inspection Lot Record'!P:P,'QALS - Inspection Lot Record'!J:J)+RANDBETWEEN(0,1),"")</f>
        <v>45891</v>
      </c>
      <c r="G38" s="41" t="str">
        <f ca="1">IF(F38="","",'Reference CAPA - Test data'!G38)</f>
        <v>Process temp out of range</v>
      </c>
      <c r="H38" s="34">
        <f t="shared" ca="1" si="0"/>
        <v>45891</v>
      </c>
      <c r="I38" s="29" t="str">
        <f ca="1">IF(H38="","",'Reference CAPA - Test data'!I38)</f>
        <v>Equipment calibration</v>
      </c>
    </row>
    <row r="39" spans="1:9" x14ac:dyDescent="0.35">
      <c r="A39" s="31">
        <v>200000525</v>
      </c>
      <c r="B39" s="31">
        <v>1010</v>
      </c>
      <c r="C39" s="31">
        <v>4042</v>
      </c>
      <c r="D39" s="29" t="str">
        <f>LOOKUP('CAPA-old'!C39,'QALS - Inspection Lot Record'!P:P,'QALS - Inspection Lot Record'!O:O)</f>
        <v>Metformin Tablets (500 MG)</v>
      </c>
      <c r="E39" s="31">
        <v>93.1</v>
      </c>
      <c r="F39" s="34">
        <f ca="1">IF(TODAY()&gt;=LOOKUP(C39,'QALS - Inspection Lot Record'!P:P,'QALS - Inspection Lot Record'!J:J)+RANDBETWEEN(0,1),LOOKUP(C39,'QALS - Inspection Lot Record'!P:P,'QALS - Inspection Lot Record'!J:J)+RANDBETWEEN(0,1),"")</f>
        <v>45891</v>
      </c>
      <c r="G39" s="41" t="str">
        <f ca="1">IF(F39="","",'Reference CAPA - Test data'!G39)</f>
        <v>Potency out of spec</v>
      </c>
      <c r="H39" s="34">
        <f t="shared" ca="1" si="0"/>
        <v>45892</v>
      </c>
      <c r="I39" s="29" t="str">
        <f ca="1">IF(H39="","",'Reference CAPA - Test data'!I39)</f>
        <v>Supplier evaluation</v>
      </c>
    </row>
    <row r="40" spans="1:9" x14ac:dyDescent="0.35">
      <c r="A40" s="31">
        <v>200000526</v>
      </c>
      <c r="B40" s="31">
        <v>1010</v>
      </c>
      <c r="C40" s="31">
        <v>4045</v>
      </c>
      <c r="D40" s="29" t="str">
        <f>LOOKUP('CAPA-old'!C40,'QALS - Inspection Lot Record'!P:P,'QALS - Inspection Lot Record'!O:O)</f>
        <v>Metformin Tablets (200 MG)</v>
      </c>
      <c r="E40" s="31">
        <v>21.1</v>
      </c>
      <c r="F40" s="34">
        <f ca="1">IF(TODAY()&gt;=LOOKUP(C40,'QALS - Inspection Lot Record'!P:P,'QALS - Inspection Lot Record'!J:J)+RANDBETWEEN(0,1),LOOKUP(C40,'QALS - Inspection Lot Record'!P:P,'QALS - Inspection Lot Record'!J:J)+RANDBETWEEN(0,1),"")</f>
        <v>45893</v>
      </c>
      <c r="G40" s="41" t="str">
        <f ca="1">IF(F40="","",'Reference CAPA - Test data'!G40)</f>
        <v>Process temp out of range</v>
      </c>
      <c r="H40" s="34">
        <f t="shared" ca="1" si="0"/>
        <v>45895</v>
      </c>
      <c r="I40" s="29" t="str">
        <f ca="1">IF(H40="","",'Reference CAPA - Test data'!I40)</f>
        <v>Equipment calibration</v>
      </c>
    </row>
    <row r="41" spans="1:9" x14ac:dyDescent="0.35">
      <c r="A41" s="31">
        <v>200000527</v>
      </c>
      <c r="B41" s="31">
        <v>1010</v>
      </c>
      <c r="C41" s="31">
        <v>4047</v>
      </c>
      <c r="D41" s="29" t="str">
        <f>LOOKUP('CAPA-old'!C41,'QALS - Inspection Lot Record'!P:P,'QALS - Inspection Lot Record'!O:O)</f>
        <v>Aspirin Tablets (500 MG)</v>
      </c>
      <c r="E41" s="31">
        <v>3</v>
      </c>
      <c r="F41" s="34">
        <f ca="1">IF(TODAY()&gt;=LOOKUP(C41,'QALS - Inspection Lot Record'!P:P,'QALS - Inspection Lot Record'!J:J)+RANDBETWEEN(0,1),LOOKUP(C41,'QALS - Inspection Lot Record'!P:P,'QALS - Inspection Lot Record'!J:J)+RANDBETWEEN(0,1),"")</f>
        <v>45893</v>
      </c>
      <c r="G41" s="41" t="str">
        <f ca="1">IF(F41="","",'Reference CAPA - Test data'!G41)</f>
        <v>Impurities out of limit</v>
      </c>
      <c r="H41" s="34">
        <f t="shared" ca="1" si="0"/>
        <v>45895</v>
      </c>
      <c r="I41" s="29" t="str">
        <f ca="1">IF(H41="","",'Reference CAPA - Test data'!I41)</f>
        <v>Supplier evaluation</v>
      </c>
    </row>
    <row r="42" spans="1:9" x14ac:dyDescent="0.35">
      <c r="A42" s="31">
        <v>200000528</v>
      </c>
      <c r="B42" s="31">
        <v>1010</v>
      </c>
      <c r="C42" s="31">
        <v>4048</v>
      </c>
      <c r="D42" s="29" t="str">
        <f>LOOKUP('CAPA-old'!C42,'QALS - Inspection Lot Record'!P:P,'QALS - Inspection Lot Record'!O:O)</f>
        <v>Ibuprofen Tablets (100 MG)</v>
      </c>
      <c r="E42" s="31">
        <v>1.2</v>
      </c>
      <c r="F42" s="34">
        <f ca="1">IF(TODAY()&gt;=LOOKUP(C42,'QALS - Inspection Lot Record'!P:P,'QALS - Inspection Lot Record'!J:J)+RANDBETWEEN(0,1),LOOKUP(C42,'QALS - Inspection Lot Record'!P:P,'QALS - Inspection Lot Record'!J:J)+RANDBETWEEN(0,1),"")</f>
        <v>45893</v>
      </c>
      <c r="G42" s="41" t="str">
        <f ca="1">IF(F42="","",'Reference CAPA - Test data'!G42)</f>
        <v>Impurities out of limit</v>
      </c>
      <c r="H42" s="34">
        <f t="shared" ca="1" si="0"/>
        <v>45893</v>
      </c>
      <c r="I42" s="29" t="str">
        <f ca="1">IF(H42="","",'Reference CAPA - Test data'!I42)</f>
        <v>Equipment maintenance</v>
      </c>
    </row>
    <row r="43" spans="1:9" x14ac:dyDescent="0.35">
      <c r="A43" s="31">
        <v>200000529</v>
      </c>
      <c r="B43" s="31">
        <v>1010</v>
      </c>
      <c r="C43" s="31">
        <v>4049</v>
      </c>
      <c r="D43" s="29" t="str">
        <f>LOOKUP('CAPA-old'!C43,'QALS - Inspection Lot Record'!P:P,'QALS - Inspection Lot Record'!O:O)</f>
        <v>Metformin Tablets (200 MG)</v>
      </c>
      <c r="E43" s="31">
        <v>21.8</v>
      </c>
      <c r="F43" s="34">
        <f ca="1">IF(TODAY()&gt;=LOOKUP(C43,'QALS - Inspection Lot Record'!P:P,'QALS - Inspection Lot Record'!J:J)+RANDBETWEEN(0,1),LOOKUP(C43,'QALS - Inspection Lot Record'!P:P,'QALS - Inspection Lot Record'!J:J)+RANDBETWEEN(0,1),"")</f>
        <v>45895</v>
      </c>
      <c r="G43" s="41" t="str">
        <f ca="1">IF(F43="","",'Reference CAPA - Test data'!G43)</f>
        <v>Process temp out of range</v>
      </c>
      <c r="H43" s="34">
        <f t="shared" ca="1" si="0"/>
        <v>45896</v>
      </c>
      <c r="I43" s="29" t="str">
        <f ca="1">IF(H43="","",'Reference CAPA - Test data'!I43)</f>
        <v>Equipment calibration</v>
      </c>
    </row>
    <row r="44" spans="1:9" x14ac:dyDescent="0.35">
      <c r="A44" s="31">
        <v>200000530</v>
      </c>
      <c r="B44" s="31">
        <v>1010</v>
      </c>
      <c r="C44" s="31">
        <v>4050</v>
      </c>
      <c r="D44" s="29" t="str">
        <f>LOOKUP('CAPA-old'!C44,'QALS - Inspection Lot Record'!P:P,'QALS - Inspection Lot Record'!O:O)</f>
        <v>Metformin Tablets (100 MG)</v>
      </c>
      <c r="E44" s="31">
        <v>2.2999999999999998</v>
      </c>
      <c r="F44" s="34">
        <f ca="1">IF(TODAY()&gt;=LOOKUP(C44,'QALS - Inspection Lot Record'!P:P,'QALS - Inspection Lot Record'!J:J)+RANDBETWEEN(0,1),LOOKUP(C44,'QALS - Inspection Lot Record'!P:P,'QALS - Inspection Lot Record'!J:J)+RANDBETWEEN(0,1),"")</f>
        <v>45895</v>
      </c>
      <c r="G44" s="41" t="str">
        <f ca="1">IF(F44="","",'Reference CAPA - Test data'!G44)</f>
        <v>PH Level out of range</v>
      </c>
      <c r="H44" s="34">
        <f t="shared" ca="1" si="0"/>
        <v>45896</v>
      </c>
      <c r="I44" s="29" t="str">
        <f ca="1">IF(H44="","",'Reference CAPA - Test data'!I44)</f>
        <v>Supplier evaluation</v>
      </c>
    </row>
    <row r="45" spans="1:9" x14ac:dyDescent="0.35">
      <c r="A45" s="31">
        <v>200000530</v>
      </c>
      <c r="B45" s="31">
        <v>1010</v>
      </c>
      <c r="C45" s="31">
        <v>4050</v>
      </c>
      <c r="D45" s="29" t="str">
        <f>LOOKUP('CAPA-old'!C45,'QALS - Inspection Lot Record'!P:P,'QALS - Inspection Lot Record'!O:O)</f>
        <v>Metformin Tablets (100 MG)</v>
      </c>
      <c r="E45" s="31">
        <v>78.400000000000006</v>
      </c>
      <c r="F45" s="34">
        <f ca="1">IF(TODAY()&gt;=LOOKUP(C45,'QALS - Inspection Lot Record'!P:P,'QALS - Inspection Lot Record'!J:J)+RANDBETWEEN(0,1),LOOKUP(C45,'QALS - Inspection Lot Record'!P:P,'QALS - Inspection Lot Record'!J:J)+RANDBETWEEN(0,1),"")</f>
        <v>45894</v>
      </c>
      <c r="G45" s="41" t="str">
        <f ca="1">IF(F45="","",'Reference CAPA - Test data'!G45)</f>
        <v>Dissolution rate low - 40 mins</v>
      </c>
      <c r="H45" s="34">
        <f t="shared" ca="1" si="0"/>
        <v>45896</v>
      </c>
      <c r="I45" s="29" t="str">
        <f ca="1">IF(H45="","",'Reference CAPA - Test data'!I45)</f>
        <v>Increase surface area</v>
      </c>
    </row>
    <row r="46" spans="1:9" x14ac:dyDescent="0.35">
      <c r="A46" s="31">
        <v>200000531</v>
      </c>
      <c r="B46" s="31">
        <v>1010</v>
      </c>
      <c r="C46" s="31">
        <v>4053</v>
      </c>
      <c r="D46" s="29" t="str">
        <f>LOOKUP('CAPA-old'!C46,'QALS - Inspection Lot Record'!P:P,'QALS - Inspection Lot Record'!O:O)</f>
        <v>Aspirin Tablets (500 MG)</v>
      </c>
      <c r="E46" s="31">
        <v>38.700000000000003</v>
      </c>
      <c r="F46" s="34">
        <f ca="1">IF(TODAY()&gt;=LOOKUP(C46,'QALS - Inspection Lot Record'!P:P,'QALS - Inspection Lot Record'!J:J)+RANDBETWEEN(0,1),LOOKUP(C46,'QALS - Inspection Lot Record'!P:P,'QALS - Inspection Lot Record'!J:J)+RANDBETWEEN(0,1),"")</f>
        <v>45897</v>
      </c>
      <c r="G46" s="41" t="str">
        <f ca="1">IF(F46="","",'Reference CAPA - Test data'!G46)</f>
        <v>Dissolution rate low - 15 mins</v>
      </c>
      <c r="H46" s="34">
        <f t="shared" ca="1" si="0"/>
        <v>45898</v>
      </c>
      <c r="I46" s="29" t="str">
        <f ca="1">IF(H46="","",'Reference CAPA - Test data'!I46)</f>
        <v>Equipment calibration</v>
      </c>
    </row>
    <row r="47" spans="1:9" x14ac:dyDescent="0.35">
      <c r="A47" s="31">
        <v>200000531</v>
      </c>
      <c r="B47" s="31">
        <v>1010</v>
      </c>
      <c r="C47" s="31">
        <v>4053</v>
      </c>
      <c r="D47" s="29" t="str">
        <f>LOOKUP('CAPA-old'!C47,'QALS - Inspection Lot Record'!P:P,'QALS - Inspection Lot Record'!O:O)</f>
        <v>Aspirin Tablets (500 MG)</v>
      </c>
      <c r="E47" s="31">
        <v>21.8</v>
      </c>
      <c r="F47" s="34">
        <f ca="1">IF(TODAY()&gt;=LOOKUP(C47,'QALS - Inspection Lot Record'!P:P,'QALS - Inspection Lot Record'!J:J)+RANDBETWEEN(0,1),LOOKUP(C47,'QALS - Inspection Lot Record'!P:P,'QALS - Inspection Lot Record'!J:J)+RANDBETWEEN(0,1),"")</f>
        <v>45897</v>
      </c>
      <c r="G47" s="41" t="str">
        <f ca="1">IF(F47="","",'Reference CAPA - Test data'!G47)</f>
        <v>Process temp out of range</v>
      </c>
      <c r="H47" s="34">
        <f t="shared" ca="1" si="0"/>
        <v>45899</v>
      </c>
      <c r="I47" s="29" t="str">
        <f ca="1">IF(H47="","",'Reference CAPA - Test data'!I47)</f>
        <v>Temperature control</v>
      </c>
    </row>
    <row r="48" spans="1:9" x14ac:dyDescent="0.35">
      <c r="A48" s="31">
        <v>200000532</v>
      </c>
      <c r="B48" s="31">
        <v>1010</v>
      </c>
      <c r="C48" s="31">
        <v>4057</v>
      </c>
      <c r="D48" s="29" t="str">
        <f>LOOKUP('CAPA-old'!C48,'QALS - Inspection Lot Record'!P:P,'QALS - Inspection Lot Record'!O:O)</f>
        <v>Metformin Tablets (100 MG)</v>
      </c>
      <c r="E48" s="31">
        <v>93.6</v>
      </c>
      <c r="F48" s="34">
        <f ca="1">IF(TODAY()&gt;=LOOKUP(C48,'QALS - Inspection Lot Record'!P:P,'QALS - Inspection Lot Record'!J:J)+RANDBETWEEN(0,1),LOOKUP(C48,'QALS - Inspection Lot Record'!P:P,'QALS - Inspection Lot Record'!J:J)+RANDBETWEEN(0,1),"")</f>
        <v>45898</v>
      </c>
      <c r="G48" s="41" t="str">
        <f ca="1">IF(F48="","",'Reference CAPA - Test data'!G48)</f>
        <v>Potency out of spec</v>
      </c>
      <c r="H48" s="34">
        <f t="shared" ca="1" si="0"/>
        <v>45898</v>
      </c>
      <c r="I48" s="29" t="str">
        <f ca="1">IF(H48="","",'Reference CAPA - Test data'!I48)</f>
        <v>Improve formulation</v>
      </c>
    </row>
    <row r="49" spans="1:9" x14ac:dyDescent="0.35">
      <c r="A49" s="31">
        <v>200000532</v>
      </c>
      <c r="B49" s="31">
        <v>1010</v>
      </c>
      <c r="C49" s="31">
        <v>4057</v>
      </c>
      <c r="D49" s="29" t="str">
        <f>LOOKUP('CAPA-old'!C49,'QALS - Inspection Lot Record'!P:P,'QALS - Inspection Lot Record'!O:O)</f>
        <v>Metformin Tablets (100 MG)</v>
      </c>
      <c r="E49" s="31">
        <v>21.3</v>
      </c>
      <c r="F49" s="34">
        <f ca="1">IF(TODAY()&gt;=LOOKUP(C49,'QALS - Inspection Lot Record'!P:P,'QALS - Inspection Lot Record'!J:J)+RANDBETWEEN(0,1),LOOKUP(C49,'QALS - Inspection Lot Record'!P:P,'QALS - Inspection Lot Record'!J:J)+RANDBETWEEN(0,1),"")</f>
        <v>45899</v>
      </c>
      <c r="G49" s="41" t="str">
        <f ca="1">IF(F49="","",'Reference CAPA - Test data'!G49)</f>
        <v>Process temp out of range</v>
      </c>
      <c r="H49" s="34">
        <f t="shared" ca="1" si="0"/>
        <v>45901</v>
      </c>
      <c r="I49" s="29" t="str">
        <f ca="1">IF(H49="","",'Reference CAPA - Test data'!I49)</f>
        <v>Equipment calibration</v>
      </c>
    </row>
    <row r="50" spans="1:9" x14ac:dyDescent="0.35">
      <c r="A50" s="31">
        <v>200000533</v>
      </c>
      <c r="B50" s="31">
        <v>1010</v>
      </c>
      <c r="C50" s="31">
        <v>4059</v>
      </c>
      <c r="D50" s="29" t="str">
        <f>LOOKUP('CAPA-old'!C50,'QALS - Inspection Lot Record'!P:P,'QALS - Inspection Lot Record'!O:O)</f>
        <v>Aspirin Tablets (500 MG)</v>
      </c>
      <c r="E50" s="31">
        <v>2.1</v>
      </c>
      <c r="F50" s="34">
        <f ca="1">IF(TODAY()&gt;=LOOKUP(C50,'QALS - Inspection Lot Record'!P:P,'QALS - Inspection Lot Record'!J:J)+RANDBETWEEN(0,1),LOOKUP(C50,'QALS - Inspection Lot Record'!P:P,'QALS - Inspection Lot Record'!J:J)+RANDBETWEEN(0,1),"")</f>
        <v>45899</v>
      </c>
      <c r="G50" s="41" t="str">
        <f ca="1">IF(F50="","",'Reference CAPA - Test data'!G50)</f>
        <v>PH Level out of range</v>
      </c>
      <c r="H50" s="34">
        <f t="shared" ca="1" si="0"/>
        <v>45901</v>
      </c>
      <c r="I50" s="29" t="str">
        <f ca="1">IF(H50="","",'Reference CAPA - Test data'!I50)</f>
        <v>PH monitoring</v>
      </c>
    </row>
    <row r="51" spans="1:9" x14ac:dyDescent="0.35">
      <c r="A51" s="31">
        <v>200000533</v>
      </c>
      <c r="B51" s="31">
        <v>1010</v>
      </c>
      <c r="C51" s="31">
        <v>4059</v>
      </c>
      <c r="D51" s="29" t="str">
        <f>LOOKUP('CAPA-old'!C51,'QALS - Inspection Lot Record'!P:P,'QALS - Inspection Lot Record'!O:O)</f>
        <v>Aspirin Tablets (500 MG)</v>
      </c>
      <c r="E51" s="31">
        <v>78.900000000000006</v>
      </c>
      <c r="F51" s="34">
        <f ca="1">IF(TODAY()&gt;=LOOKUP(C51,'QALS - Inspection Lot Record'!P:P,'QALS - Inspection Lot Record'!J:J)+RANDBETWEEN(0,1),LOOKUP(C51,'QALS - Inspection Lot Record'!P:P,'QALS - Inspection Lot Record'!J:J)+RANDBETWEEN(0,1),"")</f>
        <v>45899</v>
      </c>
      <c r="G51" s="41" t="str">
        <f ca="1">IF(F51="","",'Reference CAPA - Test data'!G51)</f>
        <v>Dissolution rate low - 40 mins</v>
      </c>
      <c r="H51" s="34">
        <f t="shared" ca="1" si="0"/>
        <v>45899</v>
      </c>
      <c r="I51" s="29" t="str">
        <f ca="1">IF(H51="","",'Reference CAPA - Test data'!I51)</f>
        <v>Optimize compression</v>
      </c>
    </row>
    <row r="52" spans="1:9" x14ac:dyDescent="0.35">
      <c r="A52" s="31">
        <v>200000534</v>
      </c>
      <c r="B52" s="31">
        <v>1010</v>
      </c>
      <c r="C52" s="31">
        <v>4060</v>
      </c>
      <c r="D52" s="29" t="str">
        <f>LOOKUP('CAPA-old'!C52,'QALS - Inspection Lot Record'!P:P,'QALS - Inspection Lot Record'!O:O)</f>
        <v>Metformin Tablets (500 MG)</v>
      </c>
      <c r="E52" s="31">
        <v>93.6</v>
      </c>
      <c r="F52" s="34">
        <f ca="1">IF(TODAY()&gt;=LOOKUP(C52,'QALS - Inspection Lot Record'!P:P,'QALS - Inspection Lot Record'!J:J)+RANDBETWEEN(0,1),LOOKUP(C52,'QALS - Inspection Lot Record'!P:P,'QALS - Inspection Lot Record'!J:J)+RANDBETWEEN(0,1),"")</f>
        <v>45900</v>
      </c>
      <c r="G52" s="41" t="str">
        <f ca="1">IF(F52="","",'Reference CAPA - Test data'!G52)</f>
        <v>Potency out of spec</v>
      </c>
      <c r="H52" s="34">
        <f t="shared" ca="1" si="0"/>
        <v>45901</v>
      </c>
      <c r="I52" s="29" t="str">
        <f ca="1">IF(H52="","",'Reference CAPA - Test data'!I52)</f>
        <v>Supplier evaluation</v>
      </c>
    </row>
    <row r="53" spans="1:9" x14ac:dyDescent="0.35">
      <c r="A53" s="31">
        <v>200000534</v>
      </c>
      <c r="B53" s="31">
        <v>1010</v>
      </c>
      <c r="C53" s="31">
        <v>4060</v>
      </c>
      <c r="D53" s="29" t="str">
        <f>LOOKUP('CAPA-old'!C53,'QALS - Inspection Lot Record'!P:P,'QALS - Inspection Lot Record'!O:O)</f>
        <v>Metformin Tablets (500 MG)</v>
      </c>
      <c r="E53" s="31">
        <v>38.4</v>
      </c>
      <c r="F53" s="34">
        <f ca="1">IF(TODAY()&gt;=LOOKUP(C53,'QALS - Inspection Lot Record'!P:P,'QALS - Inspection Lot Record'!J:J)+RANDBETWEEN(0,1),LOOKUP(C53,'QALS - Inspection Lot Record'!P:P,'QALS - Inspection Lot Record'!J:J)+RANDBETWEEN(0,1),"")</f>
        <v>45899</v>
      </c>
      <c r="G53" s="41" t="str">
        <f ca="1">IF(F53="","",'Reference CAPA - Test data'!G53)</f>
        <v>Dissolution rate low - 15 mins</v>
      </c>
      <c r="H53" s="34">
        <f t="shared" ca="1" si="0"/>
        <v>45899</v>
      </c>
      <c r="I53" s="29" t="str">
        <f ca="1">IF(H53="","",'Reference CAPA - Test data'!I53)</f>
        <v>Increase agitation</v>
      </c>
    </row>
    <row r="54" spans="1:9" x14ac:dyDescent="0.35">
      <c r="A54" s="31">
        <v>200000534</v>
      </c>
      <c r="B54" s="31">
        <v>1010</v>
      </c>
      <c r="C54" s="31">
        <v>4060</v>
      </c>
      <c r="D54" s="29" t="str">
        <f>LOOKUP('CAPA-old'!C54,'QALS - Inspection Lot Record'!P:P,'QALS - Inspection Lot Record'!O:O)</f>
        <v>Metformin Tablets (500 MG)</v>
      </c>
      <c r="E54" s="31">
        <v>78.5</v>
      </c>
      <c r="F54" s="34">
        <f ca="1">IF(TODAY()&gt;=LOOKUP(C54,'QALS - Inspection Lot Record'!P:P,'QALS - Inspection Lot Record'!J:J)+RANDBETWEEN(0,1),LOOKUP(C54,'QALS - Inspection Lot Record'!P:P,'QALS - Inspection Lot Record'!J:J)+RANDBETWEEN(0,1),"")</f>
        <v>45899</v>
      </c>
      <c r="G54" s="41" t="str">
        <f ca="1">IF(F54="","",'Reference CAPA - Test data'!G54)</f>
        <v>Dissolution rate low - 40 mins</v>
      </c>
      <c r="H54" s="34">
        <f t="shared" ca="1" si="0"/>
        <v>45901</v>
      </c>
      <c r="I54" s="29" t="str">
        <f ca="1">IF(H54="","",'Reference CAPA - Test data'!I54)</f>
        <v>Increase surface area</v>
      </c>
    </row>
    <row r="55" spans="1:9" x14ac:dyDescent="0.35">
      <c r="A55" s="31">
        <v>200000535</v>
      </c>
      <c r="B55" s="31">
        <v>1010</v>
      </c>
      <c r="C55" s="31">
        <v>4061</v>
      </c>
      <c r="D55" s="29" t="str">
        <f>LOOKUP('CAPA-old'!C55,'QALS - Inspection Lot Record'!P:P,'QALS - Inspection Lot Record'!O:O)</f>
        <v>Metformin Tablets (100 MG)</v>
      </c>
      <c r="E55" s="31">
        <v>1.7</v>
      </c>
      <c r="F55" s="34">
        <f ca="1">IF(TODAY()&gt;=LOOKUP(C55,'QALS - Inspection Lot Record'!P:P,'QALS - Inspection Lot Record'!J:J)+RANDBETWEEN(0,1),LOOKUP(C55,'QALS - Inspection Lot Record'!P:P,'QALS - Inspection Lot Record'!J:J)+RANDBETWEEN(0,1),"")</f>
        <v>45901</v>
      </c>
      <c r="G55" s="41" t="str">
        <f ca="1">IF(F55="","",'Reference CAPA - Test data'!G55)</f>
        <v>PH Level out of range</v>
      </c>
      <c r="H55" s="34">
        <f t="shared" ca="1" si="0"/>
        <v>45901</v>
      </c>
      <c r="I55" s="29" t="str">
        <f ca="1">IF(H55="","",'Reference CAPA - Test data'!I55)</f>
        <v>Adjust formulation</v>
      </c>
    </row>
    <row r="56" spans="1:9" x14ac:dyDescent="0.35">
      <c r="A56" s="31">
        <v>200000535</v>
      </c>
      <c r="B56" s="31">
        <v>1010</v>
      </c>
      <c r="C56" s="31">
        <v>4061</v>
      </c>
      <c r="D56" s="29" t="str">
        <f>LOOKUP('CAPA-old'!C56,'QALS - Inspection Lot Record'!P:P,'QALS - Inspection Lot Record'!O:O)</f>
        <v>Metformin Tablets (100 MG)</v>
      </c>
      <c r="E56" s="31">
        <v>78.3</v>
      </c>
      <c r="F56" s="34">
        <f ca="1">IF(TODAY()&gt;=LOOKUP(C56,'QALS - Inspection Lot Record'!P:P,'QALS - Inspection Lot Record'!J:J)+RANDBETWEEN(0,1),LOOKUP(C56,'QALS - Inspection Lot Record'!P:P,'QALS - Inspection Lot Record'!J:J)+RANDBETWEEN(0,1),"")</f>
        <v>45900</v>
      </c>
      <c r="G56" s="41" t="str">
        <f ca="1">IF(F56="","",'Reference CAPA - Test data'!G56)</f>
        <v>Dissolution rate low - 40 mins</v>
      </c>
      <c r="H56" s="34">
        <f t="shared" ca="1" si="0"/>
        <v>45901</v>
      </c>
      <c r="I56" s="29" t="str">
        <f ca="1">IF(H56="","",'Reference CAPA - Test data'!I56)</f>
        <v>Supplier evaluation</v>
      </c>
    </row>
    <row r="57" spans="1:9" x14ac:dyDescent="0.35">
      <c r="A57" s="31">
        <v>200000536</v>
      </c>
      <c r="B57" s="31">
        <v>1010</v>
      </c>
      <c r="C57" s="31">
        <v>4062</v>
      </c>
      <c r="D57" s="29" t="str">
        <f>LOOKUP('CAPA-old'!C57,'QALS - Inspection Lot Record'!P:P,'QALS - Inspection Lot Record'!O:O)</f>
        <v>Metformin Tablets (500 MG)</v>
      </c>
      <c r="E57" s="31">
        <v>93.8</v>
      </c>
      <c r="F57" s="34">
        <f ca="1">IF(TODAY()&gt;=LOOKUP(C57,'QALS - Inspection Lot Record'!P:P,'QALS - Inspection Lot Record'!J:J)+RANDBETWEEN(0,1),LOOKUP(C57,'QALS - Inspection Lot Record'!P:P,'QALS - Inspection Lot Record'!J:J)+RANDBETWEEN(0,1),"")</f>
        <v>45900</v>
      </c>
      <c r="G57" s="41" t="str">
        <f ca="1">IF(F57="","",'Reference CAPA - Test data'!G57)</f>
        <v>Potency out of spec</v>
      </c>
      <c r="H57" s="34">
        <f t="shared" ca="1" si="0"/>
        <v>45902</v>
      </c>
      <c r="I57" s="29" t="str">
        <f ca="1">IF(H57="","",'Reference CAPA - Test data'!I57)</f>
        <v>Update production SOP</v>
      </c>
    </row>
    <row r="58" spans="1:9" x14ac:dyDescent="0.35">
      <c r="A58" s="31">
        <v>200000536</v>
      </c>
      <c r="B58" s="31">
        <v>1010</v>
      </c>
      <c r="C58" s="31">
        <v>4062</v>
      </c>
      <c r="D58" s="29" t="str">
        <f>LOOKUP('CAPA-old'!C58,'QALS - Inspection Lot Record'!P:P,'QALS - Inspection Lot Record'!O:O)</f>
        <v>Metformin Tablets (500 MG)</v>
      </c>
      <c r="E58" s="31">
        <v>79</v>
      </c>
      <c r="F58" s="34">
        <f ca="1">IF(TODAY()&gt;=LOOKUP(C58,'QALS - Inspection Lot Record'!P:P,'QALS - Inspection Lot Record'!J:J)+RANDBETWEEN(0,1),LOOKUP(C58,'QALS - Inspection Lot Record'!P:P,'QALS - Inspection Lot Record'!J:J)+RANDBETWEEN(0,1),"")</f>
        <v>45900</v>
      </c>
      <c r="G58" s="41" t="str">
        <f ca="1">IF(F58="","",'Reference CAPA - Test data'!G58)</f>
        <v>Dissolution rate low - 40 mins</v>
      </c>
      <c r="H58" s="34">
        <f t="shared" ca="1" si="0"/>
        <v>45900</v>
      </c>
      <c r="I58" s="29" t="str">
        <f ca="1">IF(H58="","",'Reference CAPA - Test data'!I58)</f>
        <v>Training for operators</v>
      </c>
    </row>
    <row r="59" spans="1:9" x14ac:dyDescent="0.35">
      <c r="A59" s="31">
        <v>200000537</v>
      </c>
      <c r="B59" s="31">
        <v>1010</v>
      </c>
      <c r="C59" s="31">
        <v>4063</v>
      </c>
      <c r="D59" s="29" t="str">
        <f>LOOKUP('CAPA-old'!C59,'QALS - Inspection Lot Record'!P:P,'QALS - Inspection Lot Record'!O:O)</f>
        <v>Metformin Tablets (100 MG)</v>
      </c>
      <c r="E59" s="31">
        <v>93.8</v>
      </c>
      <c r="F59" s="34">
        <f ca="1">IF(TODAY()&gt;=LOOKUP(C59,'QALS - Inspection Lot Record'!P:P,'QALS - Inspection Lot Record'!J:J)+RANDBETWEEN(0,1),LOOKUP(C59,'QALS - Inspection Lot Record'!P:P,'QALS - Inspection Lot Record'!J:J)+RANDBETWEEN(0,1),"")</f>
        <v>45901</v>
      </c>
      <c r="G59" s="41" t="str">
        <f ca="1">IF(F59="","",'Reference CAPA - Test data'!G59)</f>
        <v>Potency out of spec</v>
      </c>
      <c r="H59" s="34">
        <f t="shared" ca="1" si="0"/>
        <v>45901</v>
      </c>
      <c r="I59" s="29" t="str">
        <f ca="1">IF(H59="","",'Reference CAPA - Test data'!I59)</f>
        <v>Additional testing</v>
      </c>
    </row>
    <row r="60" spans="1:9" x14ac:dyDescent="0.35">
      <c r="A60" s="31">
        <v>200000537</v>
      </c>
      <c r="B60" s="31">
        <v>1010</v>
      </c>
      <c r="C60" s="31">
        <v>4063</v>
      </c>
      <c r="D60" s="29" t="str">
        <f>LOOKUP('CAPA-old'!C60,'QALS - Inspection Lot Record'!P:P,'QALS - Inspection Lot Record'!O:O)</f>
        <v>Metformin Tablets (100 MG)</v>
      </c>
      <c r="E60" s="31">
        <v>79</v>
      </c>
      <c r="F60" s="34">
        <f ca="1">IF(TODAY()&gt;=LOOKUP(C60,'QALS - Inspection Lot Record'!P:P,'QALS - Inspection Lot Record'!J:J)+RANDBETWEEN(0,1),LOOKUP(C60,'QALS - Inspection Lot Record'!P:P,'QALS - Inspection Lot Record'!J:J)+RANDBETWEEN(0,1),"")</f>
        <v>45902</v>
      </c>
      <c r="G60" s="41" t="str">
        <f ca="1">IF(F60="","",'Reference CAPA - Test data'!G60)</f>
        <v>Dissolution rate low - 40 mins</v>
      </c>
      <c r="H60" s="34">
        <f t="shared" ca="1" si="0"/>
        <v>45904</v>
      </c>
      <c r="I60" s="29" t="str">
        <f ca="1">IF(H60="","",'Reference CAPA - Test data'!I60)</f>
        <v>Optimize compression</v>
      </c>
    </row>
    <row r="61" spans="1:9" x14ac:dyDescent="0.35">
      <c r="A61" s="31">
        <v>200000538</v>
      </c>
      <c r="B61" s="31">
        <v>1010</v>
      </c>
      <c r="C61" s="31">
        <v>4064</v>
      </c>
      <c r="D61" s="29" t="str">
        <f>LOOKUP('CAPA-old'!C61,'QALS - Inspection Lot Record'!P:P,'QALS - Inspection Lot Record'!O:O)</f>
        <v>Aspirin Tablets (500 MG)</v>
      </c>
      <c r="E61" s="31">
        <v>94</v>
      </c>
      <c r="F61" s="34">
        <f ca="1">IF(TODAY()&gt;=LOOKUP(C61,'QALS - Inspection Lot Record'!P:P,'QALS - Inspection Lot Record'!J:J)+RANDBETWEEN(0,1),LOOKUP(C61,'QALS - Inspection Lot Record'!P:P,'QALS - Inspection Lot Record'!J:J)+RANDBETWEEN(0,1),"")</f>
        <v>45902</v>
      </c>
      <c r="G61" s="41" t="str">
        <f ca="1">IF(F61="","",'Reference CAPA - Test data'!G61)</f>
        <v>Potency out of spec</v>
      </c>
      <c r="H61" s="34">
        <f t="shared" ca="1" si="0"/>
        <v>45903</v>
      </c>
      <c r="I61" s="29" t="str">
        <f ca="1">IF(H61="","",'Reference CAPA - Test data'!I61)</f>
        <v>Additional testing</v>
      </c>
    </row>
    <row r="62" spans="1:9" x14ac:dyDescent="0.35">
      <c r="A62" s="31">
        <v>200000538</v>
      </c>
      <c r="B62" s="31">
        <v>1010</v>
      </c>
      <c r="C62" s="31">
        <v>4064</v>
      </c>
      <c r="D62" s="29" t="str">
        <f>LOOKUP('CAPA-old'!C62,'QALS - Inspection Lot Record'!P:P,'QALS - Inspection Lot Record'!O:O)</f>
        <v>Aspirin Tablets (500 MG)</v>
      </c>
      <c r="E62" s="31">
        <v>1.9</v>
      </c>
      <c r="F62" s="34">
        <f ca="1">IF(TODAY()&gt;=LOOKUP(C62,'QALS - Inspection Lot Record'!P:P,'QALS - Inspection Lot Record'!J:J)+RANDBETWEEN(0,1),LOOKUP(C62,'QALS - Inspection Lot Record'!P:P,'QALS - Inspection Lot Record'!J:J)+RANDBETWEEN(0,1),"")</f>
        <v>45902</v>
      </c>
      <c r="G62" s="41" t="str">
        <f ca="1">IF(F62="","",'Reference CAPA - Test data'!G62)</f>
        <v>PH Level out of range</v>
      </c>
      <c r="H62" s="34">
        <f t="shared" ca="1" si="0"/>
        <v>45904</v>
      </c>
      <c r="I62" s="29" t="str">
        <f ca="1">IF(H62="","",'Reference CAPA - Test data'!I62)</f>
        <v>Equipment calibration</v>
      </c>
    </row>
    <row r="63" spans="1:9" x14ac:dyDescent="0.35">
      <c r="A63" s="31">
        <v>200000538</v>
      </c>
      <c r="B63" s="31">
        <v>1010</v>
      </c>
      <c r="C63" s="31">
        <v>4064</v>
      </c>
      <c r="D63" s="29" t="str">
        <f>LOOKUP('CAPA-old'!C63,'QALS - Inspection Lot Record'!P:P,'QALS - Inspection Lot Record'!O:O)</f>
        <v>Aspirin Tablets (500 MG)</v>
      </c>
      <c r="E63" s="31">
        <v>78.900000000000006</v>
      </c>
      <c r="F63" s="34">
        <f ca="1">IF(TODAY()&gt;=LOOKUP(C63,'QALS - Inspection Lot Record'!P:P,'QALS - Inspection Lot Record'!J:J)+RANDBETWEEN(0,1),LOOKUP(C63,'QALS - Inspection Lot Record'!P:P,'QALS - Inspection Lot Record'!J:J)+RANDBETWEEN(0,1),"")</f>
        <v>45901</v>
      </c>
      <c r="G63" s="41" t="str">
        <f ca="1">IF(F63="","",'Reference CAPA - Test data'!G63)</f>
        <v>Dissolution rate low - 40 mins</v>
      </c>
      <c r="H63" s="34">
        <f t="shared" ca="1" si="0"/>
        <v>45901</v>
      </c>
      <c r="I63" s="29" t="str">
        <f ca="1">IF(H63="","",'Reference CAPA - Test data'!I63)</f>
        <v>Increase surface area</v>
      </c>
    </row>
    <row r="64" spans="1:9" x14ac:dyDescent="0.35">
      <c r="A64" s="31">
        <v>200000539</v>
      </c>
      <c r="B64" s="31">
        <v>1010</v>
      </c>
      <c r="C64" s="31">
        <v>4065</v>
      </c>
      <c r="D64" s="29" t="str">
        <f>LOOKUP('CAPA-old'!C64,'QALS - Inspection Lot Record'!P:P,'QALS - Inspection Lot Record'!O:O)</f>
        <v>Metformin Tablets (500 MG)</v>
      </c>
      <c r="E64" s="31">
        <v>1.8</v>
      </c>
      <c r="F64" s="34">
        <f ca="1">IF(TODAY()&gt;=LOOKUP(C64,'QALS - Inspection Lot Record'!P:P,'QALS - Inspection Lot Record'!J:J)+RANDBETWEEN(0,1),LOOKUP(C64,'QALS - Inspection Lot Record'!P:P,'QALS - Inspection Lot Record'!J:J)+RANDBETWEEN(0,1),"")</f>
        <v>45902</v>
      </c>
      <c r="G64" s="41" t="str">
        <f ca="1">IF(F64="","",'Reference CAPA - Test data'!G64)</f>
        <v>PH Level out of range</v>
      </c>
      <c r="H64" s="34">
        <f t="shared" ca="1" si="0"/>
        <v>45903</v>
      </c>
      <c r="I64" s="29" t="str">
        <f ca="1">IF(H64="","",'Reference CAPA - Test data'!I64)</f>
        <v>PH monitoring</v>
      </c>
    </row>
    <row r="65" spans="1:9" x14ac:dyDescent="0.35">
      <c r="A65" s="31">
        <v>200000540</v>
      </c>
      <c r="B65" s="31">
        <v>1010</v>
      </c>
      <c r="C65" s="31">
        <v>4066</v>
      </c>
      <c r="D65" s="29" t="str">
        <f>LOOKUP('CAPA-old'!C65,'QALS - Inspection Lot Record'!P:P,'QALS - Inspection Lot Record'!O:O)</f>
        <v>Aspirin Tablets (500 MG)</v>
      </c>
      <c r="E65" s="31">
        <v>93.4</v>
      </c>
      <c r="F65" s="34">
        <f ca="1">IF(TODAY()&gt;=LOOKUP(C65,'QALS - Inspection Lot Record'!P:P,'QALS - Inspection Lot Record'!J:J)+RANDBETWEEN(0,1),LOOKUP(C65,'QALS - Inspection Lot Record'!P:P,'QALS - Inspection Lot Record'!J:J)+RANDBETWEEN(0,1),"")</f>
        <v>45902</v>
      </c>
      <c r="G65" s="41" t="str">
        <f ca="1">IF(F65="","",'Reference CAPA - Test data'!G65)</f>
        <v>Potency out of spec</v>
      </c>
      <c r="H65" s="34">
        <f t="shared" ca="1" si="0"/>
        <v>45903</v>
      </c>
      <c r="I65" s="29" t="str">
        <f ca="1">IF(H65="","",'Reference CAPA - Test data'!I65)</f>
        <v>Equipment calibration</v>
      </c>
    </row>
    <row r="66" spans="1:9" x14ac:dyDescent="0.35">
      <c r="A66" s="31">
        <v>200000540</v>
      </c>
      <c r="B66" s="31">
        <v>1010</v>
      </c>
      <c r="C66" s="31">
        <v>4066</v>
      </c>
      <c r="D66" s="29" t="str">
        <f>LOOKUP('CAPA-old'!C66,'QALS - Inspection Lot Record'!P:P,'QALS - Inspection Lot Record'!O:O)</f>
        <v>Aspirin Tablets (500 MG)</v>
      </c>
      <c r="E66" s="31">
        <v>68.5</v>
      </c>
      <c r="F66" s="34">
        <f ca="1">IF(TODAY()&gt;=LOOKUP(C66,'QALS - Inspection Lot Record'!P:P,'QALS - Inspection Lot Record'!J:J)+RANDBETWEEN(0,1),LOOKUP(C66,'QALS - Inspection Lot Record'!P:P,'QALS - Inspection Lot Record'!J:J)+RANDBETWEEN(0,1),"")</f>
        <v>45903</v>
      </c>
      <c r="G66" s="41" t="str">
        <f ca="1">IF(F66="","",'Reference CAPA - Test data'!G66)</f>
        <v>Dissolution rate low - 30 mins</v>
      </c>
      <c r="H66" s="34">
        <f t="shared" ca="1" si="0"/>
        <v>45904</v>
      </c>
      <c r="I66" s="29" t="str">
        <f ca="1">IF(H66="","",'Reference CAPA - Test data'!I66)</f>
        <v>Increase disintegrant</v>
      </c>
    </row>
    <row r="67" spans="1:9" x14ac:dyDescent="0.35">
      <c r="A67" s="31">
        <v>200000540</v>
      </c>
      <c r="B67" s="31">
        <v>1010</v>
      </c>
      <c r="C67" s="31">
        <v>4066</v>
      </c>
      <c r="D67" s="29" t="str">
        <f>LOOKUP('CAPA-old'!C67,'QALS - Inspection Lot Record'!P:P,'QALS - Inspection Lot Record'!O:O)</f>
        <v>Aspirin Tablets (500 MG)</v>
      </c>
      <c r="E67" s="31">
        <v>78.3</v>
      </c>
      <c r="F67" s="34">
        <f ca="1">IF(TODAY()&gt;=LOOKUP(C67,'QALS - Inspection Lot Record'!P:P,'QALS - Inspection Lot Record'!J:J)+RANDBETWEEN(0,1),LOOKUP(C67,'QALS - Inspection Lot Record'!P:P,'QALS - Inspection Lot Record'!J:J)+RANDBETWEEN(0,1),"")</f>
        <v>45902</v>
      </c>
      <c r="G67" s="41" t="str">
        <f ca="1">IF(F67="","",'Reference CAPA - Test data'!G67)</f>
        <v>Dissolution rate low - 40 mins</v>
      </c>
      <c r="H67" s="34">
        <f t="shared" ref="H67:H130" ca="1" si="1">IF(TODAY()&gt;=F67+RANDBETWEEN(0,2),F67+RANDBETWEEN(0,2),"")</f>
        <v>45903</v>
      </c>
      <c r="I67" s="29" t="str">
        <f ca="1">IF(H67="","",'Reference CAPA - Test data'!I67)</f>
        <v>Supplier evaluation</v>
      </c>
    </row>
    <row r="68" spans="1:9" x14ac:dyDescent="0.35">
      <c r="A68" s="31">
        <v>200000541</v>
      </c>
      <c r="B68" s="31">
        <v>1010</v>
      </c>
      <c r="C68" s="31">
        <v>4067</v>
      </c>
      <c r="D68" s="29" t="str">
        <f>LOOKUP('CAPA-old'!C68,'QALS - Inspection Lot Record'!P:P,'QALS - Inspection Lot Record'!O:O)</f>
        <v>Metformin Tablets (500 MG)</v>
      </c>
      <c r="E68" s="31">
        <v>93.8</v>
      </c>
      <c r="F68" s="34">
        <f ca="1">IF(TODAY()&gt;=LOOKUP(C68,'QALS - Inspection Lot Record'!P:P,'QALS - Inspection Lot Record'!J:J)+RANDBETWEEN(0,1),LOOKUP(C68,'QALS - Inspection Lot Record'!P:P,'QALS - Inspection Lot Record'!J:J)+RANDBETWEEN(0,1),"")</f>
        <v>45903</v>
      </c>
      <c r="G68" s="41" t="str">
        <f ca="1">IF(F68="","",'Reference CAPA - Test data'!G68)</f>
        <v>Potency out of spec</v>
      </c>
      <c r="H68" s="34">
        <f t="shared" ca="1" si="1"/>
        <v>45903</v>
      </c>
      <c r="I68" s="29" t="str">
        <f ca="1">IF(H68="","",'Reference CAPA - Test data'!I68)</f>
        <v>Improve formulation</v>
      </c>
    </row>
    <row r="69" spans="1:9" x14ac:dyDescent="0.35">
      <c r="A69" s="31">
        <v>200000542</v>
      </c>
      <c r="B69" s="31">
        <v>1010</v>
      </c>
      <c r="C69" s="31">
        <v>4069</v>
      </c>
      <c r="D69" s="29" t="str">
        <f>LOOKUP('CAPA-old'!C69,'QALS - Inspection Lot Record'!P:P,'QALS - Inspection Lot Record'!O:O)</f>
        <v>Metformin Tablets (200 MG)</v>
      </c>
      <c r="E69" s="31">
        <v>21.6</v>
      </c>
      <c r="F69" s="34">
        <f ca="1">IF(TODAY()&gt;=LOOKUP(C69,'QALS - Inspection Lot Record'!P:P,'QALS - Inspection Lot Record'!J:J)+RANDBETWEEN(0,1),LOOKUP(C69,'QALS - Inspection Lot Record'!P:P,'QALS - Inspection Lot Record'!J:J)+RANDBETWEEN(0,1),"")</f>
        <v>45904</v>
      </c>
      <c r="G69" s="41" t="str">
        <f ca="1">IF(F69="","",'Reference CAPA - Test data'!G69)</f>
        <v>Process temp out of range</v>
      </c>
      <c r="H69" s="34">
        <f t="shared" ca="1" si="1"/>
        <v>45906</v>
      </c>
      <c r="I69" s="29" t="str">
        <f ca="1">IF(H69="","",'Reference CAPA - Test data'!I69)</f>
        <v>Temperature control</v>
      </c>
    </row>
    <row r="70" spans="1:9" x14ac:dyDescent="0.35">
      <c r="A70" s="31">
        <v>200000543</v>
      </c>
      <c r="B70" s="31">
        <v>1010</v>
      </c>
      <c r="C70" s="31">
        <v>4070</v>
      </c>
      <c r="D70" s="29" t="str">
        <f>LOOKUP('CAPA-old'!C70,'QALS - Inspection Lot Record'!P:P,'QALS - Inspection Lot Record'!O:O)</f>
        <v>Metformin Tablets (100 MG)</v>
      </c>
      <c r="E70" s="31">
        <v>93.6</v>
      </c>
      <c r="F70" s="34">
        <f ca="1">IF(TODAY()&gt;=LOOKUP(C70,'QALS - Inspection Lot Record'!P:P,'QALS - Inspection Lot Record'!J:J)+RANDBETWEEN(0,1),LOOKUP(C70,'QALS - Inspection Lot Record'!P:P,'QALS - Inspection Lot Record'!J:J)+RANDBETWEEN(0,1),"")</f>
        <v>45905</v>
      </c>
      <c r="G70" s="41" t="str">
        <f ca="1">IF(F70="","",'Reference CAPA - Test data'!G70)</f>
        <v>Potency out of spec</v>
      </c>
      <c r="H70" s="34">
        <f t="shared" ca="1" si="1"/>
        <v>45907</v>
      </c>
      <c r="I70" s="29" t="str">
        <f ca="1">IF(H70="","",'Reference CAPA - Test data'!I70)</f>
        <v>Equipment calibration</v>
      </c>
    </row>
    <row r="71" spans="1:9" x14ac:dyDescent="0.35">
      <c r="A71" s="31">
        <v>200000543</v>
      </c>
      <c r="B71" s="31">
        <v>1010</v>
      </c>
      <c r="C71" s="31">
        <v>4070</v>
      </c>
      <c r="D71" s="29" t="str">
        <f>LOOKUP('CAPA-old'!C71,'QALS - Inspection Lot Record'!P:P,'QALS - Inspection Lot Record'!O:O)</f>
        <v>Metformin Tablets (100 MG)</v>
      </c>
      <c r="E71" s="31">
        <v>38.4</v>
      </c>
      <c r="F71" s="34">
        <f ca="1">IF(TODAY()&gt;=LOOKUP(C71,'QALS - Inspection Lot Record'!P:P,'QALS - Inspection Lot Record'!J:J)+RANDBETWEEN(0,1),LOOKUP(C71,'QALS - Inspection Lot Record'!P:P,'QALS - Inspection Lot Record'!J:J)+RANDBETWEEN(0,1),"")</f>
        <v>45905</v>
      </c>
      <c r="G71" s="41" t="str">
        <f ca="1">IF(F71="","",'Reference CAPA - Test data'!G71)</f>
        <v>Dissolution rate low - 15 mins</v>
      </c>
      <c r="H71" s="34">
        <f t="shared" ca="1" si="1"/>
        <v>45905</v>
      </c>
      <c r="I71" s="29" t="str">
        <f ca="1">IF(H71="","",'Reference CAPA - Test data'!I71)</f>
        <v>Reduce particle size</v>
      </c>
    </row>
    <row r="72" spans="1:9" x14ac:dyDescent="0.35">
      <c r="A72" s="31">
        <v>200000543</v>
      </c>
      <c r="B72" s="31">
        <v>1010</v>
      </c>
      <c r="C72" s="31">
        <v>4070</v>
      </c>
      <c r="D72" s="29" t="str">
        <f>LOOKUP('CAPA-old'!C72,'QALS - Inspection Lot Record'!P:P,'QALS - Inspection Lot Record'!O:O)</f>
        <v>Metformin Tablets (100 MG)</v>
      </c>
      <c r="E72" s="31">
        <v>68.400000000000006</v>
      </c>
      <c r="F72" s="34">
        <f ca="1">IF(TODAY()&gt;=LOOKUP(C72,'QALS - Inspection Lot Record'!P:P,'QALS - Inspection Lot Record'!J:J)+RANDBETWEEN(0,1),LOOKUP(C72,'QALS - Inspection Lot Record'!P:P,'QALS - Inspection Lot Record'!J:J)+RANDBETWEEN(0,1),"")</f>
        <v>45905</v>
      </c>
      <c r="G72" s="41" t="str">
        <f ca="1">IF(F72="","",'Reference CAPA - Test data'!G72)</f>
        <v>Dissolution rate low - 30 mins</v>
      </c>
      <c r="H72" s="34">
        <f t="shared" ca="1" si="1"/>
        <v>45905</v>
      </c>
      <c r="I72" s="29" t="str">
        <f ca="1">IF(H72="","",'Reference CAPA - Test data'!I72)</f>
        <v>Supplier evaluation</v>
      </c>
    </row>
    <row r="73" spans="1:9" x14ac:dyDescent="0.35">
      <c r="A73" s="31">
        <v>200000544</v>
      </c>
      <c r="B73" s="31">
        <v>1010</v>
      </c>
      <c r="C73" s="31">
        <v>4071</v>
      </c>
      <c r="D73" s="29" t="str">
        <f>LOOKUP('CAPA-old'!C73,'QALS - Inspection Lot Record'!P:P,'QALS - Inspection Lot Record'!O:O)</f>
        <v>Metformin Tablets (100 MG)</v>
      </c>
      <c r="E73" s="31">
        <v>93.6</v>
      </c>
      <c r="F73" s="34">
        <f ca="1">IF(TODAY()&gt;=LOOKUP(C73,'QALS - Inspection Lot Record'!P:P,'QALS - Inspection Lot Record'!J:J)+RANDBETWEEN(0,1),LOOKUP(C73,'QALS - Inspection Lot Record'!P:P,'QALS - Inspection Lot Record'!J:J)+RANDBETWEEN(0,1),"")</f>
        <v>45906</v>
      </c>
      <c r="G73" s="41" t="str">
        <f ca="1">IF(F73="","",'Reference CAPA - Test data'!G73)</f>
        <v>Potency out of spec</v>
      </c>
      <c r="H73" s="34">
        <f t="shared" ca="1" si="1"/>
        <v>45908</v>
      </c>
      <c r="I73" s="29" t="str">
        <f ca="1">IF(H73="","",'Reference CAPA - Test data'!I73)</f>
        <v>Equipment calibration</v>
      </c>
    </row>
    <row r="74" spans="1:9" x14ac:dyDescent="0.35">
      <c r="A74" s="31">
        <v>200000545</v>
      </c>
      <c r="B74" s="31">
        <v>1010</v>
      </c>
      <c r="C74" s="31">
        <v>4074</v>
      </c>
      <c r="D74" s="29" t="str">
        <f>LOOKUP('CAPA-old'!C74,'QALS - Inspection Lot Record'!P:P,'QALS - Inspection Lot Record'!O:O)</f>
        <v>Metformin Tablets (500 MG)</v>
      </c>
      <c r="E74" s="31">
        <v>93</v>
      </c>
      <c r="F74" s="34">
        <f ca="1">IF(TODAY()&gt;=LOOKUP(C74,'QALS - Inspection Lot Record'!P:P,'QALS - Inspection Lot Record'!J:J)+RANDBETWEEN(0,1),LOOKUP(C74,'QALS - Inspection Lot Record'!P:P,'QALS - Inspection Lot Record'!J:J)+RANDBETWEEN(0,1),"")</f>
        <v>45906</v>
      </c>
      <c r="G74" s="41" t="str">
        <f ca="1">IF(F74="","",'Reference CAPA - Test data'!G74)</f>
        <v>Potency out of spec</v>
      </c>
      <c r="H74" s="34">
        <f t="shared" ca="1" si="1"/>
        <v>45907</v>
      </c>
      <c r="I74" s="29" t="str">
        <f ca="1">IF(H74="","",'Reference CAPA - Test data'!I74)</f>
        <v>Equipment calibration</v>
      </c>
    </row>
    <row r="75" spans="1:9" x14ac:dyDescent="0.35">
      <c r="A75" s="31">
        <v>200000545</v>
      </c>
      <c r="B75" s="31">
        <v>1010</v>
      </c>
      <c r="C75" s="31">
        <v>4074</v>
      </c>
      <c r="D75" s="29" t="str">
        <f>LOOKUP('CAPA-old'!C75,'QALS - Inspection Lot Record'!P:P,'QALS - Inspection Lot Record'!O:O)</f>
        <v>Metformin Tablets (500 MG)</v>
      </c>
      <c r="E75" s="31">
        <v>79</v>
      </c>
      <c r="F75" s="34">
        <f ca="1">IF(TODAY()&gt;=LOOKUP(C75,'QALS - Inspection Lot Record'!P:P,'QALS - Inspection Lot Record'!J:J)+RANDBETWEEN(0,1),LOOKUP(C75,'QALS - Inspection Lot Record'!P:P,'QALS - Inspection Lot Record'!J:J)+RANDBETWEEN(0,1),"")</f>
        <v>45906</v>
      </c>
      <c r="G75" s="41" t="str">
        <f ca="1">IF(F75="","",'Reference CAPA - Test data'!G75)</f>
        <v>Dissolution rate low - 40 mins</v>
      </c>
      <c r="H75" s="34">
        <f t="shared" ca="1" si="1"/>
        <v>45906</v>
      </c>
      <c r="I75" s="29" t="str">
        <f ca="1">IF(H75="","",'Reference CAPA - Test data'!I75)</f>
        <v>Increase surface area</v>
      </c>
    </row>
    <row r="76" spans="1:9" x14ac:dyDescent="0.35">
      <c r="A76" s="31">
        <v>200000546</v>
      </c>
      <c r="B76" s="31">
        <v>1010</v>
      </c>
      <c r="C76" s="31">
        <v>4075</v>
      </c>
      <c r="D76" s="29" t="str">
        <f>LOOKUP('CAPA-old'!C76,'QALS - Inspection Lot Record'!P:P,'QALS - Inspection Lot Record'!O:O)</f>
        <v>Metformin Tablets (100 MG)</v>
      </c>
      <c r="E76" s="31">
        <v>93.8</v>
      </c>
      <c r="F76" s="34">
        <f ca="1">IF(TODAY()&gt;=LOOKUP(C76,'QALS - Inspection Lot Record'!P:P,'QALS - Inspection Lot Record'!J:J)+RANDBETWEEN(0,1),LOOKUP(C76,'QALS - Inspection Lot Record'!P:P,'QALS - Inspection Lot Record'!J:J)+RANDBETWEEN(0,1),"")</f>
        <v>45907</v>
      </c>
      <c r="G76" s="41" t="str">
        <f ca="1">IF(F76="","",'Reference CAPA - Test data'!G76)</f>
        <v>Potency out of spec</v>
      </c>
      <c r="H76" s="34">
        <f t="shared" ca="1" si="1"/>
        <v>45908</v>
      </c>
      <c r="I76" s="29" t="str">
        <f ca="1">IF(H76="","",'Reference CAPA - Test data'!I76)</f>
        <v>Improve formulation</v>
      </c>
    </row>
    <row r="77" spans="1:9" x14ac:dyDescent="0.35">
      <c r="A77" s="31">
        <v>200000547</v>
      </c>
      <c r="B77" s="31">
        <v>1010</v>
      </c>
      <c r="C77" s="31">
        <v>4077</v>
      </c>
      <c r="D77" s="29" t="str">
        <f>LOOKUP('CAPA-old'!C77,'QALS - Inspection Lot Record'!P:P,'QALS - Inspection Lot Record'!O:O)</f>
        <v>Metformin Tablets (200 MG)</v>
      </c>
      <c r="E77" s="31">
        <v>93.3</v>
      </c>
      <c r="F77" s="34">
        <f ca="1">IF(TODAY()&gt;=LOOKUP(C77,'QALS - Inspection Lot Record'!P:P,'QALS - Inspection Lot Record'!J:J)+RANDBETWEEN(0,1),LOOKUP(C77,'QALS - Inspection Lot Record'!P:P,'QALS - Inspection Lot Record'!J:J)+RANDBETWEEN(0,1),"")</f>
        <v>45909</v>
      </c>
      <c r="G77" s="41" t="str">
        <f ca="1">IF(F77="","",'Reference CAPA - Test data'!G77)</f>
        <v>Potency out of spec</v>
      </c>
      <c r="H77" s="34">
        <f t="shared" ca="1" si="1"/>
        <v>45909</v>
      </c>
      <c r="I77" s="29" t="str">
        <f ca="1">IF(H77="","",'Reference CAPA - Test data'!I77)</f>
        <v>Update production SOP</v>
      </c>
    </row>
    <row r="78" spans="1:9" x14ac:dyDescent="0.35">
      <c r="A78" s="31">
        <v>200000547</v>
      </c>
      <c r="B78" s="31">
        <v>1010</v>
      </c>
      <c r="C78" s="31">
        <v>4077</v>
      </c>
      <c r="D78" s="29" t="str">
        <f>LOOKUP('CAPA-old'!C78,'QALS - Inspection Lot Record'!P:P,'QALS - Inspection Lot Record'!O:O)</f>
        <v>Metformin Tablets (200 MG)</v>
      </c>
      <c r="E78" s="31">
        <v>4.0999999999999996</v>
      </c>
      <c r="F78" s="34">
        <f ca="1">IF(TODAY()&gt;=LOOKUP(C78,'QALS - Inspection Lot Record'!P:P,'QALS - Inspection Lot Record'!J:J)+RANDBETWEEN(0,1),LOOKUP(C78,'QALS - Inspection Lot Record'!P:P,'QALS - Inspection Lot Record'!J:J)+RANDBETWEEN(0,1),"")</f>
        <v>45908</v>
      </c>
      <c r="G78" s="41" t="str">
        <f ca="1">IF(F78="","",'Reference CAPA - Test data'!G78)</f>
        <v>PH Level out of range</v>
      </c>
      <c r="H78" s="34">
        <f t="shared" ca="1" si="1"/>
        <v>45908</v>
      </c>
      <c r="I78" s="29" t="str">
        <f ca="1">IF(H78="","",'Reference CAPA - Test data'!I78)</f>
        <v>Adjust formulation</v>
      </c>
    </row>
    <row r="79" spans="1:9" x14ac:dyDescent="0.35">
      <c r="A79" s="31">
        <v>200000548</v>
      </c>
      <c r="B79" s="31">
        <v>1010</v>
      </c>
      <c r="C79" s="31">
        <v>4081</v>
      </c>
      <c r="D79" s="29" t="str">
        <f>LOOKUP('CAPA-old'!C79,'QALS - Inspection Lot Record'!P:P,'QALS - Inspection Lot Record'!O:O)</f>
        <v>Ibuprofen Tablets (100 MG)</v>
      </c>
      <c r="E79" s="31">
        <v>1.8</v>
      </c>
      <c r="F79" s="34">
        <f ca="1">IF(TODAY()&gt;=LOOKUP(C79,'QALS - Inspection Lot Record'!P:P,'QALS - Inspection Lot Record'!J:J)+RANDBETWEEN(0,1),LOOKUP(C79,'QALS - Inspection Lot Record'!P:P,'QALS - Inspection Lot Record'!J:J)+RANDBETWEEN(0,1),"")</f>
        <v>45911</v>
      </c>
      <c r="G79" s="41" t="str">
        <f ca="1">IF(F79="","",'Reference CAPA - Test data'!G79)</f>
        <v>PH Level out of range</v>
      </c>
      <c r="H79" s="34">
        <f t="shared" ca="1" si="1"/>
        <v>45913</v>
      </c>
      <c r="I79" s="29" t="str">
        <f ca="1">IF(H79="","",'Reference CAPA - Test data'!I79)</f>
        <v>PH monitoring</v>
      </c>
    </row>
    <row r="80" spans="1:9" x14ac:dyDescent="0.35">
      <c r="A80" s="31">
        <v>200000548</v>
      </c>
      <c r="B80" s="31">
        <v>1010</v>
      </c>
      <c r="C80" s="31">
        <v>4081</v>
      </c>
      <c r="D80" s="29" t="str">
        <f>LOOKUP('CAPA-old'!C80,'QALS - Inspection Lot Record'!P:P,'QALS - Inspection Lot Record'!O:O)</f>
        <v>Ibuprofen Tablets (100 MG)</v>
      </c>
      <c r="E80" s="31">
        <v>68.3</v>
      </c>
      <c r="F80" s="34">
        <f ca="1">IF(TODAY()&gt;=LOOKUP(C80,'QALS - Inspection Lot Record'!P:P,'QALS - Inspection Lot Record'!J:J)+RANDBETWEEN(0,1),LOOKUP(C80,'QALS - Inspection Lot Record'!P:P,'QALS - Inspection Lot Record'!J:J)+RANDBETWEEN(0,1),"")</f>
        <v>45910</v>
      </c>
      <c r="G80" s="41" t="str">
        <f ca="1">IF(F80="","",'Reference CAPA - Test data'!G80)</f>
        <v>Dissolution rate low - 30 mins</v>
      </c>
      <c r="H80" s="34">
        <f t="shared" ca="1" si="1"/>
        <v>45911</v>
      </c>
      <c r="I80" s="29" t="str">
        <f ca="1">IF(H80="","",'Reference CAPA - Test data'!I80)</f>
        <v>Optimize granulation</v>
      </c>
    </row>
    <row r="81" spans="1:9" x14ac:dyDescent="0.35">
      <c r="A81" s="31">
        <v>200000548</v>
      </c>
      <c r="B81" s="31">
        <v>1010</v>
      </c>
      <c r="C81" s="31">
        <v>4081</v>
      </c>
      <c r="D81" s="29" t="str">
        <f>LOOKUP('CAPA-old'!C81,'QALS - Inspection Lot Record'!P:P,'QALS - Inspection Lot Record'!O:O)</f>
        <v>Ibuprofen Tablets (100 MG)</v>
      </c>
      <c r="E81" s="31">
        <v>78.8</v>
      </c>
      <c r="F81" s="34">
        <f ca="1">IF(TODAY()&gt;=LOOKUP(C81,'QALS - Inspection Lot Record'!P:P,'QALS - Inspection Lot Record'!J:J)+RANDBETWEEN(0,1),LOOKUP(C81,'QALS - Inspection Lot Record'!P:P,'QALS - Inspection Lot Record'!J:J)+RANDBETWEEN(0,1),"")</f>
        <v>45911</v>
      </c>
      <c r="G81" s="41" t="str">
        <f ca="1">IF(F81="","",'Reference CAPA - Test data'!G81)</f>
        <v>Dissolution rate low - 40 mins</v>
      </c>
      <c r="H81" s="34">
        <f t="shared" ca="1" si="1"/>
        <v>45913</v>
      </c>
      <c r="I81" s="29" t="str">
        <f ca="1">IF(H81="","",'Reference CAPA - Test data'!I81)</f>
        <v>Training for operators</v>
      </c>
    </row>
    <row r="82" spans="1:9" x14ac:dyDescent="0.35">
      <c r="A82" s="31">
        <v>200000548</v>
      </c>
      <c r="B82" s="31">
        <v>1010</v>
      </c>
      <c r="C82" s="31">
        <v>4081</v>
      </c>
      <c r="D82" s="29" t="str">
        <f>LOOKUP('CAPA-old'!C82,'QALS - Inspection Lot Record'!P:P,'QALS - Inspection Lot Record'!O:O)</f>
        <v>Ibuprofen Tablets (100 MG)</v>
      </c>
      <c r="E82" s="31">
        <v>21.4</v>
      </c>
      <c r="F82" s="34">
        <f ca="1">IF(TODAY()&gt;=LOOKUP(C82,'QALS - Inspection Lot Record'!P:P,'QALS - Inspection Lot Record'!J:J)+RANDBETWEEN(0,1),LOOKUP(C82,'QALS - Inspection Lot Record'!P:P,'QALS - Inspection Lot Record'!J:J)+RANDBETWEEN(0,1),"")</f>
        <v>45910</v>
      </c>
      <c r="G82" s="41" t="str">
        <f ca="1">IF(F82="","",'Reference CAPA - Test data'!G82)</f>
        <v>Process temp out of range</v>
      </c>
      <c r="H82" s="34">
        <f t="shared" ca="1" si="1"/>
        <v>45912</v>
      </c>
      <c r="I82" s="29" t="str">
        <f ca="1">IF(H82="","",'Reference CAPA - Test data'!I82)</f>
        <v>Equipment calibration</v>
      </c>
    </row>
    <row r="83" spans="1:9" x14ac:dyDescent="0.35">
      <c r="A83" s="31">
        <v>200000549</v>
      </c>
      <c r="B83" s="31">
        <v>1010</v>
      </c>
      <c r="C83" s="31">
        <v>4085</v>
      </c>
      <c r="D83" s="29" t="str">
        <f>LOOKUP('CAPA-old'!C83,'QALS - Inspection Lot Record'!P:P,'QALS - Inspection Lot Record'!O:O)</f>
        <v>Ibuprofen Tablets (100 MG)</v>
      </c>
      <c r="E83" s="31">
        <v>21.3</v>
      </c>
      <c r="F83" s="34">
        <f ca="1">IF(TODAY()&gt;=LOOKUP(C83,'QALS - Inspection Lot Record'!P:P,'QALS - Inspection Lot Record'!J:J)+RANDBETWEEN(0,1),LOOKUP(C83,'QALS - Inspection Lot Record'!P:P,'QALS - Inspection Lot Record'!J:J)+RANDBETWEEN(0,1),"")</f>
        <v>45912</v>
      </c>
      <c r="G83" s="41" t="str">
        <f ca="1">IF(F83="","",'Reference CAPA - Test data'!G83)</f>
        <v>Process temp out of range</v>
      </c>
      <c r="H83" s="34">
        <f t="shared" ca="1" si="1"/>
        <v>45914</v>
      </c>
      <c r="I83" s="29" t="str">
        <f ca="1">IF(H83="","",'Reference CAPA - Test data'!I83)</f>
        <v>Supplier evaluation</v>
      </c>
    </row>
    <row r="84" spans="1:9" x14ac:dyDescent="0.35">
      <c r="A84" s="31">
        <v>200000550</v>
      </c>
      <c r="B84" s="31">
        <v>1010</v>
      </c>
      <c r="C84" s="31">
        <v>4089</v>
      </c>
      <c r="D84" s="29" t="str">
        <f>LOOKUP('CAPA-old'!C84,'QALS - Inspection Lot Record'!P:P,'QALS - Inspection Lot Record'!O:O)</f>
        <v>Aspirin Tablets (500 MG)</v>
      </c>
      <c r="E84" s="31">
        <v>21.1</v>
      </c>
      <c r="F84" s="34">
        <f ca="1">IF(TODAY()&gt;=LOOKUP(C84,'QALS - Inspection Lot Record'!P:P,'QALS - Inspection Lot Record'!J:J)+RANDBETWEEN(0,1),LOOKUP(C84,'QALS - Inspection Lot Record'!P:P,'QALS - Inspection Lot Record'!J:J)+RANDBETWEEN(0,1),"")</f>
        <v>45914</v>
      </c>
      <c r="G84" s="41" t="str">
        <f ca="1">IF(F84="","",'Reference CAPA - Test data'!G84)</f>
        <v>Process temp out of range</v>
      </c>
      <c r="H84" s="34">
        <f t="shared" ca="1" si="1"/>
        <v>45914</v>
      </c>
      <c r="I84" s="29" t="str">
        <f ca="1">IF(H84="","",'Reference CAPA - Test data'!I84)</f>
        <v>Preventive maintenance</v>
      </c>
    </row>
    <row r="85" spans="1:9" x14ac:dyDescent="0.35">
      <c r="A85" s="31">
        <v>200000551</v>
      </c>
      <c r="B85" s="31">
        <v>1010</v>
      </c>
      <c r="C85" s="31">
        <v>4090</v>
      </c>
      <c r="D85" s="29" t="str">
        <f>LOOKUP('CAPA-old'!C85,'QALS - Inspection Lot Record'!P:P,'QALS - Inspection Lot Record'!O:O)</f>
        <v>Metformin Tablets (100 MG)</v>
      </c>
      <c r="E85" s="31">
        <v>1.9</v>
      </c>
      <c r="F85" s="34">
        <f ca="1">IF(TODAY()&gt;=LOOKUP(C85,'QALS - Inspection Lot Record'!P:P,'QALS - Inspection Lot Record'!J:J)+RANDBETWEEN(0,1),LOOKUP(C85,'QALS - Inspection Lot Record'!P:P,'QALS - Inspection Lot Record'!J:J)+RANDBETWEEN(0,1),"")</f>
        <v>45915</v>
      </c>
      <c r="G85" s="41" t="str">
        <f ca="1">IF(F85="","",'Reference CAPA - Test data'!G85)</f>
        <v>PH Level out of range</v>
      </c>
      <c r="H85" s="34">
        <f t="shared" ca="1" si="1"/>
        <v>45916</v>
      </c>
      <c r="I85" s="29" t="str">
        <f ca="1">IF(H85="","",'Reference CAPA - Test data'!I85)</f>
        <v>Equipment calibration</v>
      </c>
    </row>
    <row r="86" spans="1:9" x14ac:dyDescent="0.35">
      <c r="A86" s="31">
        <v>200000551</v>
      </c>
      <c r="B86" s="31">
        <v>1010</v>
      </c>
      <c r="C86" s="31">
        <v>4090</v>
      </c>
      <c r="D86" s="29" t="str">
        <f>LOOKUP('CAPA-old'!C86,'QALS - Inspection Lot Record'!P:P,'QALS - Inspection Lot Record'!O:O)</f>
        <v>Metformin Tablets (100 MG)</v>
      </c>
      <c r="E86" s="31">
        <v>78.8</v>
      </c>
      <c r="F86" s="34">
        <f ca="1">IF(TODAY()&gt;=LOOKUP(C86,'QALS - Inspection Lot Record'!P:P,'QALS - Inspection Lot Record'!J:J)+RANDBETWEEN(0,1),LOOKUP(C86,'QALS - Inspection Lot Record'!P:P,'QALS - Inspection Lot Record'!J:J)+RANDBETWEEN(0,1),"")</f>
        <v>45914</v>
      </c>
      <c r="G86" s="41" t="str">
        <f ca="1">IF(F86="","",'Reference CAPA - Test data'!G86)</f>
        <v>Dissolution rate low - 40 mins</v>
      </c>
      <c r="H86" s="34">
        <f t="shared" ca="1" si="1"/>
        <v>45915</v>
      </c>
      <c r="I86" s="29" t="str">
        <f ca="1">IF(H86="","",'Reference CAPA - Test data'!I86)</f>
        <v>Supplier evaluation</v>
      </c>
    </row>
    <row r="87" spans="1:9" x14ac:dyDescent="0.35">
      <c r="A87" s="31">
        <v>200000552</v>
      </c>
      <c r="B87" s="31">
        <v>1010</v>
      </c>
      <c r="C87" s="31">
        <v>4092</v>
      </c>
      <c r="D87" s="29" t="str">
        <f>LOOKUP('CAPA-old'!C87,'QALS - Inspection Lot Record'!P:P,'QALS - Inspection Lot Record'!O:O)</f>
        <v>Metformin Tablets (200 MG)</v>
      </c>
      <c r="E87" s="31">
        <v>38.6</v>
      </c>
      <c r="F87" s="34">
        <f ca="1">IF(TODAY()&gt;=LOOKUP(C87,'QALS - Inspection Lot Record'!P:P,'QALS - Inspection Lot Record'!J:J)+RANDBETWEEN(0,1),LOOKUP(C87,'QALS - Inspection Lot Record'!P:P,'QALS - Inspection Lot Record'!J:J)+RANDBETWEEN(0,1),"")</f>
        <v>45916</v>
      </c>
      <c r="G87" s="41" t="str">
        <f ca="1">IF(F87="","",'Reference CAPA - Test data'!G87)</f>
        <v>Dissolution rate low - 15 mins</v>
      </c>
      <c r="H87" s="34">
        <f t="shared" ca="1" si="1"/>
        <v>45918</v>
      </c>
      <c r="I87" s="29" t="str">
        <f ca="1">IF(H87="","",'Reference CAPA - Test data'!I87)</f>
        <v>Reduce particle size</v>
      </c>
    </row>
    <row r="88" spans="1:9" x14ac:dyDescent="0.35">
      <c r="A88" s="31">
        <v>200000552</v>
      </c>
      <c r="B88" s="31">
        <v>1010</v>
      </c>
      <c r="C88" s="31">
        <v>4092</v>
      </c>
      <c r="D88" s="29" t="str">
        <f>LOOKUP('CAPA-old'!C88,'QALS - Inspection Lot Record'!P:P,'QALS - Inspection Lot Record'!O:O)</f>
        <v>Metformin Tablets (200 MG)</v>
      </c>
      <c r="E88" s="31">
        <v>68.5</v>
      </c>
      <c r="F88" s="34">
        <f ca="1">IF(TODAY()&gt;=LOOKUP(C88,'QALS - Inspection Lot Record'!P:P,'QALS - Inspection Lot Record'!J:J)+RANDBETWEEN(0,1),LOOKUP(C88,'QALS - Inspection Lot Record'!P:P,'QALS - Inspection Lot Record'!J:J)+RANDBETWEEN(0,1),"")</f>
        <v>45916</v>
      </c>
      <c r="G88" s="41" t="str">
        <f ca="1">IF(F88="","",'Reference CAPA - Test data'!G88)</f>
        <v>Dissolution rate low - 30 mins</v>
      </c>
      <c r="H88" s="34">
        <f t="shared" ca="1" si="1"/>
        <v>45916</v>
      </c>
      <c r="I88" s="29" t="str">
        <f ca="1">IF(H88="","",'Reference CAPA - Test data'!I88)</f>
        <v>Equipment calibration</v>
      </c>
    </row>
    <row r="89" spans="1:9" x14ac:dyDescent="0.35">
      <c r="A89" s="31">
        <v>200000553</v>
      </c>
      <c r="B89" s="31">
        <v>1010</v>
      </c>
      <c r="C89" s="31">
        <v>4095</v>
      </c>
      <c r="D89" s="29" t="str">
        <f>LOOKUP('CAPA-old'!C89,'QALS - Inspection Lot Record'!P:P,'QALS - Inspection Lot Record'!O:O)</f>
        <v>Metformin Tablets (200 MG)</v>
      </c>
      <c r="E89" s="31">
        <v>38.9</v>
      </c>
      <c r="F89" s="34">
        <f ca="1">IF(TODAY()&gt;=LOOKUP(C89,'QALS - Inspection Lot Record'!P:P,'QALS - Inspection Lot Record'!J:J)+RANDBETWEEN(0,1),LOOKUP(C89,'QALS - Inspection Lot Record'!P:P,'QALS - Inspection Lot Record'!J:J)+RANDBETWEEN(0,1),"")</f>
        <v>45917</v>
      </c>
      <c r="G89" s="41" t="str">
        <f ca="1">IF(F89="","",'Reference CAPA - Test data'!G89)</f>
        <v>Dissolution rate low - 15 mins</v>
      </c>
      <c r="H89" s="34">
        <f t="shared" ca="1" si="1"/>
        <v>45917</v>
      </c>
      <c r="I89" s="29" t="str">
        <f ca="1">IF(H89="","",'Reference CAPA - Test data'!I89)</f>
        <v>Training for operators</v>
      </c>
    </row>
    <row r="90" spans="1:9" x14ac:dyDescent="0.35">
      <c r="A90" s="31">
        <v>200000553</v>
      </c>
      <c r="B90" s="31">
        <v>1010</v>
      </c>
      <c r="C90" s="31">
        <v>4095</v>
      </c>
      <c r="D90" s="29" t="str">
        <f>LOOKUP('CAPA-old'!C90,'QALS - Inspection Lot Record'!P:P,'QALS - Inspection Lot Record'!O:O)</f>
        <v>Metformin Tablets (200 MG)</v>
      </c>
      <c r="E90" s="31">
        <v>68</v>
      </c>
      <c r="F90" s="34">
        <f ca="1">IF(TODAY()&gt;=LOOKUP(C90,'QALS - Inspection Lot Record'!P:P,'QALS - Inspection Lot Record'!J:J)+RANDBETWEEN(0,1),LOOKUP(C90,'QALS - Inspection Lot Record'!P:P,'QALS - Inspection Lot Record'!J:J)+RANDBETWEEN(0,1),"")</f>
        <v>45917</v>
      </c>
      <c r="G90" s="41" t="str">
        <f ca="1">IF(F90="","",'Reference CAPA - Test data'!G90)</f>
        <v>Dissolution rate low - 30 mins</v>
      </c>
      <c r="H90" s="34">
        <f t="shared" ca="1" si="1"/>
        <v>45919</v>
      </c>
      <c r="I90" s="29" t="str">
        <f ca="1">IF(H90="","",'Reference CAPA - Test data'!I90)</f>
        <v>Training for operators</v>
      </c>
    </row>
    <row r="91" spans="1:9" x14ac:dyDescent="0.35">
      <c r="A91" s="31">
        <v>200000554</v>
      </c>
      <c r="B91" s="31">
        <v>1010</v>
      </c>
      <c r="C91" s="31">
        <v>4096</v>
      </c>
      <c r="D91" s="29" t="str">
        <f>LOOKUP('CAPA-old'!C91,'QALS - Inspection Lot Record'!P:P,'QALS - Inspection Lot Record'!O:O)</f>
        <v>Ibuprofen Tablets (100 MG)</v>
      </c>
      <c r="E91" s="31">
        <v>38.299999999999997</v>
      </c>
      <c r="F91" s="34">
        <f ca="1">IF(TODAY()&gt;=LOOKUP(C91,'QALS - Inspection Lot Record'!P:P,'QALS - Inspection Lot Record'!J:J)+RANDBETWEEN(0,1),LOOKUP(C91,'QALS - Inspection Lot Record'!P:P,'QALS - Inspection Lot Record'!J:J)+RANDBETWEEN(0,1),"")</f>
        <v>45918</v>
      </c>
      <c r="G91" s="41" t="str">
        <f ca="1">IF(F91="","",'Reference CAPA - Test data'!G91)</f>
        <v>Dissolution rate low - 15 mins</v>
      </c>
      <c r="H91" s="34">
        <f t="shared" ca="1" si="1"/>
        <v>45920</v>
      </c>
      <c r="I91" s="29" t="str">
        <f ca="1">IF(H91="","",'Reference CAPA - Test data'!I91)</f>
        <v>Supplier evaluation</v>
      </c>
    </row>
    <row r="92" spans="1:9" x14ac:dyDescent="0.35">
      <c r="A92" s="31">
        <v>200000554</v>
      </c>
      <c r="B92" s="31">
        <v>1010</v>
      </c>
      <c r="C92" s="31">
        <v>4096</v>
      </c>
      <c r="D92" s="29" t="str">
        <f>LOOKUP('CAPA-old'!C92,'QALS - Inspection Lot Record'!P:P,'QALS - Inspection Lot Record'!O:O)</f>
        <v>Ibuprofen Tablets (100 MG)</v>
      </c>
      <c r="E92" s="31">
        <v>68.3</v>
      </c>
      <c r="F92" s="34">
        <f ca="1">IF(TODAY()&gt;=LOOKUP(C92,'QALS - Inspection Lot Record'!P:P,'QALS - Inspection Lot Record'!J:J)+RANDBETWEEN(0,1),LOOKUP(C92,'QALS - Inspection Lot Record'!P:P,'QALS - Inspection Lot Record'!J:J)+RANDBETWEEN(0,1),"")</f>
        <v>45918</v>
      </c>
      <c r="G92" s="41" t="str">
        <f ca="1">IF(F92="","",'Reference CAPA - Test data'!G92)</f>
        <v>Dissolution rate low - 30 mins</v>
      </c>
      <c r="H92" s="34">
        <f t="shared" ca="1" si="1"/>
        <v>45919</v>
      </c>
      <c r="I92" s="29" t="str">
        <f ca="1">IF(H92="","",'Reference CAPA - Test data'!I92)</f>
        <v>Update production SOP</v>
      </c>
    </row>
    <row r="93" spans="1:9" x14ac:dyDescent="0.35">
      <c r="A93" s="31">
        <v>200000554</v>
      </c>
      <c r="B93" s="31">
        <v>1010</v>
      </c>
      <c r="C93" s="31">
        <v>4096</v>
      </c>
      <c r="D93" s="29" t="str">
        <f>LOOKUP('CAPA-old'!C93,'QALS - Inspection Lot Record'!P:P,'QALS - Inspection Lot Record'!O:O)</f>
        <v>Ibuprofen Tablets (100 MG)</v>
      </c>
      <c r="E93" s="31">
        <v>78.400000000000006</v>
      </c>
      <c r="F93" s="34">
        <f ca="1">IF(TODAY()&gt;=LOOKUP(C93,'QALS - Inspection Lot Record'!P:P,'QALS - Inspection Lot Record'!J:J)+RANDBETWEEN(0,1),LOOKUP(C93,'QALS - Inspection Lot Record'!P:P,'QALS - Inspection Lot Record'!J:J)+RANDBETWEEN(0,1),"")</f>
        <v>45917</v>
      </c>
      <c r="G93" s="41" t="str">
        <f ca="1">IF(F93="","",'Reference CAPA - Test data'!G93)</f>
        <v>Dissolution rate low - 40 mins</v>
      </c>
      <c r="H93" s="34">
        <f t="shared" ca="1" si="1"/>
        <v>45919</v>
      </c>
      <c r="I93" s="29" t="str">
        <f ca="1">IF(H93="","",'Reference CAPA - Test data'!I93)</f>
        <v>Optimize compression</v>
      </c>
    </row>
    <row r="94" spans="1:9" x14ac:dyDescent="0.35">
      <c r="A94" s="31">
        <v>200000555</v>
      </c>
      <c r="B94" s="31">
        <v>1010</v>
      </c>
      <c r="C94" s="31">
        <v>4099</v>
      </c>
      <c r="D94" s="29" t="str">
        <f>LOOKUP('CAPA-old'!C94,'QALS - Inspection Lot Record'!P:P,'QALS - Inspection Lot Record'!O:O)</f>
        <v>Metformin Tablets (100 MG)</v>
      </c>
      <c r="E94" s="31">
        <v>2.5</v>
      </c>
      <c r="F94" s="34">
        <f ca="1">IF(TODAY()&gt;=LOOKUP(C94,'QALS - Inspection Lot Record'!P:P,'QALS - Inspection Lot Record'!J:J)+RANDBETWEEN(0,1),LOOKUP(C94,'QALS - Inspection Lot Record'!P:P,'QALS - Inspection Lot Record'!J:J)+RANDBETWEEN(0,1),"")</f>
        <v>45920</v>
      </c>
      <c r="G94" s="41" t="str">
        <f ca="1">IF(F94="","",'Reference CAPA - Test data'!G94)</f>
        <v>PH Level out of range</v>
      </c>
      <c r="H94" s="34">
        <f t="shared" ca="1" si="1"/>
        <v>45920</v>
      </c>
      <c r="I94" s="29" t="str">
        <f ca="1">IF(H94="","",'Reference CAPA - Test data'!I94)</f>
        <v>PH monitoring</v>
      </c>
    </row>
    <row r="95" spans="1:9" x14ac:dyDescent="0.35">
      <c r="A95" s="31">
        <v>200000555</v>
      </c>
      <c r="B95" s="31">
        <v>1010</v>
      </c>
      <c r="C95" s="31">
        <v>4099</v>
      </c>
      <c r="D95" s="29" t="str">
        <f>LOOKUP('CAPA-old'!C95,'QALS - Inspection Lot Record'!P:P,'QALS - Inspection Lot Record'!O:O)</f>
        <v>Metformin Tablets (100 MG)</v>
      </c>
      <c r="E95" s="31">
        <v>38</v>
      </c>
      <c r="F95" s="34">
        <f ca="1">IF(TODAY()&gt;=LOOKUP(C95,'QALS - Inspection Lot Record'!P:P,'QALS - Inspection Lot Record'!J:J)+RANDBETWEEN(0,1),LOOKUP(C95,'QALS - Inspection Lot Record'!P:P,'QALS - Inspection Lot Record'!J:J)+RANDBETWEEN(0,1),"")</f>
        <v>45920</v>
      </c>
      <c r="G95" s="41" t="str">
        <f ca="1">IF(F95="","",'Reference CAPA - Test data'!G95)</f>
        <v>Dissolution rate low - 15 mins</v>
      </c>
      <c r="H95" s="34">
        <f t="shared" ca="1" si="1"/>
        <v>45920</v>
      </c>
      <c r="I95" s="29" t="str">
        <f ca="1">IF(H95="","",'Reference CAPA - Test data'!I95)</f>
        <v>Increase agitation</v>
      </c>
    </row>
    <row r="96" spans="1:9" x14ac:dyDescent="0.35">
      <c r="A96" s="31">
        <v>200000556</v>
      </c>
      <c r="B96" s="31">
        <v>1010</v>
      </c>
      <c r="C96" s="31">
        <v>4100</v>
      </c>
      <c r="D96" s="29" t="str">
        <f>LOOKUP('CAPA-old'!C96,'QALS - Inspection Lot Record'!P:P,'QALS - Inspection Lot Record'!O:O)</f>
        <v>Aspirin Tablets (500 MG)</v>
      </c>
      <c r="E96" s="31">
        <v>93.4</v>
      </c>
      <c r="F96" s="34">
        <f ca="1">IF(TODAY()&gt;=LOOKUP(C96,'QALS - Inspection Lot Record'!P:P,'QALS - Inspection Lot Record'!J:J)+RANDBETWEEN(0,1),LOOKUP(C96,'QALS - Inspection Lot Record'!P:P,'QALS - Inspection Lot Record'!J:J)+RANDBETWEEN(0,1),"")</f>
        <v>45920</v>
      </c>
      <c r="G96" s="41" t="str">
        <f ca="1">IF(F96="","",'Reference CAPA - Test data'!G96)</f>
        <v>Potency out of spec</v>
      </c>
      <c r="H96" s="34">
        <f t="shared" ca="1" si="1"/>
        <v>45920</v>
      </c>
      <c r="I96" s="29" t="str">
        <f ca="1">IF(H96="","",'Reference CAPA - Test data'!I96)</f>
        <v>Update production SOP</v>
      </c>
    </row>
    <row r="97" spans="1:9" x14ac:dyDescent="0.35">
      <c r="A97" s="31">
        <v>200000556</v>
      </c>
      <c r="B97" s="31">
        <v>1010</v>
      </c>
      <c r="C97" s="31">
        <v>4100</v>
      </c>
      <c r="D97" s="29" t="str">
        <f>LOOKUP('CAPA-old'!C97,'QALS - Inspection Lot Record'!P:P,'QALS - Inspection Lot Record'!O:O)</f>
        <v>Aspirin Tablets (500 MG)</v>
      </c>
      <c r="E97" s="31">
        <v>2.4</v>
      </c>
      <c r="F97" s="34">
        <f ca="1">IF(TODAY()&gt;=LOOKUP(C97,'QALS - Inspection Lot Record'!P:P,'QALS - Inspection Lot Record'!J:J)+RANDBETWEEN(0,1),LOOKUP(C97,'QALS - Inspection Lot Record'!P:P,'QALS - Inspection Lot Record'!J:J)+RANDBETWEEN(0,1),"")</f>
        <v>45919</v>
      </c>
      <c r="G97" s="41" t="str">
        <f ca="1">IF(F97="","",'Reference CAPA - Test data'!G97)</f>
        <v>PH Level out of range</v>
      </c>
      <c r="H97" s="34">
        <f t="shared" ca="1" si="1"/>
        <v>45919</v>
      </c>
      <c r="I97" s="29" t="str">
        <f ca="1">IF(H97="","",'Reference CAPA - Test data'!I97)</f>
        <v>Supplier evaluation</v>
      </c>
    </row>
    <row r="98" spans="1:9" x14ac:dyDescent="0.35">
      <c r="A98" s="31">
        <v>200000556</v>
      </c>
      <c r="B98" s="31">
        <v>1010</v>
      </c>
      <c r="C98" s="31">
        <v>4100</v>
      </c>
      <c r="D98" s="29" t="str">
        <f>LOOKUP('CAPA-old'!C98,'QALS - Inspection Lot Record'!P:P,'QALS - Inspection Lot Record'!O:O)</f>
        <v>Aspirin Tablets (500 MG)</v>
      </c>
      <c r="E98" s="31">
        <v>2.6</v>
      </c>
      <c r="F98" s="34">
        <f ca="1">IF(TODAY()&gt;=LOOKUP(C98,'QALS - Inspection Lot Record'!P:P,'QALS - Inspection Lot Record'!J:J)+RANDBETWEEN(0,1),LOOKUP(C98,'QALS - Inspection Lot Record'!P:P,'QALS - Inspection Lot Record'!J:J)+RANDBETWEEN(0,1),"")</f>
        <v>45920</v>
      </c>
      <c r="G98" s="41" t="str">
        <f ca="1">IF(F98="","",'Reference CAPA - Test data'!G98)</f>
        <v>Impurities out of limit</v>
      </c>
      <c r="H98" s="34">
        <f t="shared" ca="1" si="1"/>
        <v>45922</v>
      </c>
      <c r="I98" s="29" t="str">
        <f ca="1">IF(H98="","",'Reference CAPA - Test data'!I98)</f>
        <v>Improve purification</v>
      </c>
    </row>
    <row r="99" spans="1:9" x14ac:dyDescent="0.35">
      <c r="A99" s="31">
        <v>200000556</v>
      </c>
      <c r="B99" s="31">
        <v>1010</v>
      </c>
      <c r="C99" s="31">
        <v>4100</v>
      </c>
      <c r="D99" s="29" t="str">
        <f>LOOKUP('CAPA-old'!C99,'QALS - Inspection Lot Record'!P:P,'QALS - Inspection Lot Record'!O:O)</f>
        <v>Aspirin Tablets (500 MG)</v>
      </c>
      <c r="E99" s="31">
        <v>78.400000000000006</v>
      </c>
      <c r="F99" s="34">
        <f ca="1">IF(TODAY()&gt;=LOOKUP(C99,'QALS - Inspection Lot Record'!P:P,'QALS - Inspection Lot Record'!J:J)+RANDBETWEEN(0,1),LOOKUP(C99,'QALS - Inspection Lot Record'!P:P,'QALS - Inspection Lot Record'!J:J)+RANDBETWEEN(0,1),"")</f>
        <v>45920</v>
      </c>
      <c r="G99" s="41" t="str">
        <f ca="1">IF(F99="","",'Reference CAPA - Test data'!G99)</f>
        <v>Dissolution rate low - 40 mins</v>
      </c>
      <c r="H99" s="34">
        <f t="shared" ca="1" si="1"/>
        <v>45921</v>
      </c>
      <c r="I99" s="29" t="str">
        <f ca="1">IF(H99="","",'Reference CAPA - Test data'!I99)</f>
        <v>Increase surface area</v>
      </c>
    </row>
    <row r="100" spans="1:9" x14ac:dyDescent="0.35">
      <c r="A100" s="31">
        <v>200000557</v>
      </c>
      <c r="B100" s="31">
        <v>1010</v>
      </c>
      <c r="C100" s="31">
        <v>4103</v>
      </c>
      <c r="D100" s="29" t="str">
        <f>LOOKUP('CAPA-old'!C100,'QALS - Inspection Lot Record'!P:P,'QALS - Inspection Lot Record'!O:O)</f>
        <v>Ibuprofen Tablets (100 MG)</v>
      </c>
      <c r="E100" s="31">
        <v>2.2999999999999998</v>
      </c>
      <c r="F100" s="34">
        <f ca="1">IF(TODAY()&gt;=LOOKUP(C100,'QALS - Inspection Lot Record'!P:P,'QALS - Inspection Lot Record'!J:J)+RANDBETWEEN(0,1),LOOKUP(C100,'QALS - Inspection Lot Record'!P:P,'QALS - Inspection Lot Record'!J:J)+RANDBETWEEN(0,1),"")</f>
        <v>45921</v>
      </c>
      <c r="G100" s="41" t="str">
        <f ca="1">IF(F100="","",'Reference CAPA - Test data'!G100)</f>
        <v>PH Level out of range</v>
      </c>
      <c r="H100" s="34">
        <f t="shared" ca="1" si="1"/>
        <v>45921</v>
      </c>
      <c r="I100" s="29" t="str">
        <f ca="1">IF(H100="","",'Reference CAPA - Test data'!I100)</f>
        <v>PH monitoring</v>
      </c>
    </row>
    <row r="101" spans="1:9" x14ac:dyDescent="0.35">
      <c r="A101" s="31">
        <v>200000557</v>
      </c>
      <c r="B101" s="31">
        <v>1010</v>
      </c>
      <c r="C101" s="31">
        <v>4103</v>
      </c>
      <c r="D101" s="29" t="str">
        <f>LOOKUP('CAPA-old'!C101,'QALS - Inspection Lot Record'!P:P,'QALS - Inspection Lot Record'!O:O)</f>
        <v>Ibuprofen Tablets (100 MG)</v>
      </c>
      <c r="E101" s="31">
        <v>78</v>
      </c>
      <c r="F101" s="34">
        <f ca="1">IF(TODAY()&gt;=LOOKUP(C101,'QALS - Inspection Lot Record'!P:P,'QALS - Inspection Lot Record'!J:J)+RANDBETWEEN(0,1),LOOKUP(C101,'QALS - Inspection Lot Record'!P:P,'QALS - Inspection Lot Record'!J:J)+RANDBETWEEN(0,1),"")</f>
        <v>45922</v>
      </c>
      <c r="G101" s="41" t="str">
        <f ca="1">IF(F101="","",'Reference CAPA - Test data'!G101)</f>
        <v>Dissolution rate low - 40 mins</v>
      </c>
      <c r="H101" s="34">
        <f t="shared" ca="1" si="1"/>
        <v>45922</v>
      </c>
      <c r="I101" s="29" t="str">
        <f ca="1">IF(H101="","",'Reference CAPA - Test data'!I101)</f>
        <v>Optimize compression</v>
      </c>
    </row>
    <row r="102" spans="1:9" x14ac:dyDescent="0.35">
      <c r="A102" s="31">
        <v>200000557</v>
      </c>
      <c r="B102" s="31">
        <v>1010</v>
      </c>
      <c r="C102" s="31">
        <v>4103</v>
      </c>
      <c r="D102" s="29" t="str">
        <f>LOOKUP('CAPA-old'!C102,'QALS - Inspection Lot Record'!P:P,'QALS - Inspection Lot Record'!O:O)</f>
        <v>Ibuprofen Tablets (100 MG)</v>
      </c>
      <c r="E102" s="31">
        <v>21.5</v>
      </c>
      <c r="F102" s="34">
        <f ca="1">IF(TODAY()&gt;=LOOKUP(C102,'QALS - Inspection Lot Record'!P:P,'QALS - Inspection Lot Record'!J:J)+RANDBETWEEN(0,1),LOOKUP(C102,'QALS - Inspection Lot Record'!P:P,'QALS - Inspection Lot Record'!J:J)+RANDBETWEEN(0,1),"")</f>
        <v>45922</v>
      </c>
      <c r="G102" s="41" t="str">
        <f ca="1">IF(F102="","",'Reference CAPA - Test data'!G102)</f>
        <v>Process temp out of range</v>
      </c>
      <c r="H102" s="34">
        <f t="shared" ca="1" si="1"/>
        <v>45922</v>
      </c>
      <c r="I102" s="29" t="str">
        <f ca="1">IF(H102="","",'Reference CAPA - Test data'!I102)</f>
        <v>Update production SOP</v>
      </c>
    </row>
    <row r="103" spans="1:9" x14ac:dyDescent="0.35">
      <c r="A103" s="31">
        <v>200000558</v>
      </c>
      <c r="B103" s="31">
        <v>1010</v>
      </c>
      <c r="C103" s="31">
        <v>4104</v>
      </c>
      <c r="D103" s="29" t="str">
        <f>LOOKUP('CAPA-old'!C103,'QALS - Inspection Lot Record'!P:P,'QALS - Inspection Lot Record'!O:O)</f>
        <v>Ibuprofen Tablets (100 MG)</v>
      </c>
      <c r="E103" s="31">
        <v>2</v>
      </c>
      <c r="F103" s="34">
        <f ca="1">IF(TODAY()&gt;=LOOKUP(C103,'QALS - Inspection Lot Record'!P:P,'QALS - Inspection Lot Record'!J:J)+RANDBETWEEN(0,1),LOOKUP(C103,'QALS - Inspection Lot Record'!P:P,'QALS - Inspection Lot Record'!J:J)+RANDBETWEEN(0,1),"")</f>
        <v>45921</v>
      </c>
      <c r="G103" s="41" t="str">
        <f ca="1">IF(F103="","",'Reference CAPA - Test data'!G103)</f>
        <v>PH Level out of range</v>
      </c>
      <c r="H103" s="34">
        <f t="shared" ca="1" si="1"/>
        <v>45922</v>
      </c>
      <c r="I103" s="29" t="str">
        <f ca="1">IF(H103="","",'Reference CAPA - Test data'!I103)</f>
        <v>Equipment calibration</v>
      </c>
    </row>
    <row r="104" spans="1:9" x14ac:dyDescent="0.35">
      <c r="A104" s="31">
        <v>200000558</v>
      </c>
      <c r="B104" s="31">
        <v>1010</v>
      </c>
      <c r="C104" s="31">
        <v>4104</v>
      </c>
      <c r="D104" s="29" t="str">
        <f>LOOKUP('CAPA-old'!C104,'QALS - Inspection Lot Record'!P:P,'QALS - Inspection Lot Record'!O:O)</f>
        <v>Ibuprofen Tablets (100 MG)</v>
      </c>
      <c r="E104" s="31">
        <v>38.6</v>
      </c>
      <c r="F104" s="34">
        <f ca="1">IF(TODAY()&gt;=LOOKUP(C104,'QALS - Inspection Lot Record'!P:P,'QALS - Inspection Lot Record'!J:J)+RANDBETWEEN(0,1),LOOKUP(C104,'QALS - Inspection Lot Record'!P:P,'QALS - Inspection Lot Record'!J:J)+RANDBETWEEN(0,1),"")</f>
        <v>45922</v>
      </c>
      <c r="G104" s="41" t="str">
        <f ca="1">IF(F104="","",'Reference CAPA - Test data'!G104)</f>
        <v>Dissolution rate low - 15 mins</v>
      </c>
      <c r="H104" s="34">
        <f t="shared" ca="1" si="1"/>
        <v>45923</v>
      </c>
      <c r="I104" s="29" t="str">
        <f ca="1">IF(H104="","",'Reference CAPA - Test data'!I104)</f>
        <v>Equipment calibration</v>
      </c>
    </row>
    <row r="105" spans="1:9" x14ac:dyDescent="0.35">
      <c r="A105" s="31">
        <v>200000558</v>
      </c>
      <c r="B105" s="31">
        <v>1010</v>
      </c>
      <c r="C105" s="31">
        <v>4104</v>
      </c>
      <c r="D105" s="29" t="str">
        <f>LOOKUP('CAPA-old'!C105,'QALS - Inspection Lot Record'!P:P,'QALS - Inspection Lot Record'!O:O)</f>
        <v>Ibuprofen Tablets (100 MG)</v>
      </c>
      <c r="E105" s="31">
        <v>21.2</v>
      </c>
      <c r="F105" s="34">
        <f ca="1">IF(TODAY()&gt;=LOOKUP(C105,'QALS - Inspection Lot Record'!P:P,'QALS - Inspection Lot Record'!J:J)+RANDBETWEEN(0,1),LOOKUP(C105,'QALS - Inspection Lot Record'!P:P,'QALS - Inspection Lot Record'!J:J)+RANDBETWEEN(0,1),"")</f>
        <v>45921</v>
      </c>
      <c r="G105" s="41" t="str">
        <f ca="1">IF(F105="","",'Reference CAPA - Test data'!G105)</f>
        <v>Process temp out of range</v>
      </c>
      <c r="H105" s="34">
        <f t="shared" ca="1" si="1"/>
        <v>45923</v>
      </c>
      <c r="I105" s="29" t="str">
        <f ca="1">IF(H105="","",'Reference CAPA - Test data'!I105)</f>
        <v>Supplier evaluation</v>
      </c>
    </row>
    <row r="106" spans="1:9" x14ac:dyDescent="0.35">
      <c r="A106" s="31">
        <v>200000559</v>
      </c>
      <c r="B106" s="31">
        <v>1010</v>
      </c>
      <c r="C106" s="31">
        <v>4107</v>
      </c>
      <c r="D106" s="29" t="str">
        <f>LOOKUP('CAPA-old'!C106,'QALS - Inspection Lot Record'!P:P,'QALS - Inspection Lot Record'!O:O)</f>
        <v>Metformin Tablets (500 MG)</v>
      </c>
      <c r="E106" s="31">
        <v>93.3</v>
      </c>
      <c r="F106" s="34">
        <f ca="1">IF(TODAY()&gt;=LOOKUP(C106,'QALS - Inspection Lot Record'!P:P,'QALS - Inspection Lot Record'!J:J)+RANDBETWEEN(0,1),LOOKUP(C106,'QALS - Inspection Lot Record'!P:P,'QALS - Inspection Lot Record'!J:J)+RANDBETWEEN(0,1),"")</f>
        <v>45924</v>
      </c>
      <c r="G106" s="41" t="str">
        <f ca="1">IF(F106="","",'Reference CAPA - Test data'!G106)</f>
        <v>Potency out of spec</v>
      </c>
      <c r="H106" s="34">
        <f t="shared" ca="1" si="1"/>
        <v>45926</v>
      </c>
      <c r="I106" s="29" t="str">
        <f ca="1">IF(H106="","",'Reference CAPA - Test data'!I106)</f>
        <v>Training for operators</v>
      </c>
    </row>
    <row r="107" spans="1:9" x14ac:dyDescent="0.35">
      <c r="A107" s="31">
        <v>200000559</v>
      </c>
      <c r="B107" s="31">
        <v>1010</v>
      </c>
      <c r="C107" s="31">
        <v>4107</v>
      </c>
      <c r="D107" s="29" t="str">
        <f>LOOKUP('CAPA-old'!C107,'QALS - Inspection Lot Record'!P:P,'QALS - Inspection Lot Record'!O:O)</f>
        <v>Metformin Tablets (500 MG)</v>
      </c>
      <c r="E107" s="31">
        <v>38.799999999999997</v>
      </c>
      <c r="F107" s="34">
        <f ca="1">IF(TODAY()&gt;=LOOKUP(C107,'QALS - Inspection Lot Record'!P:P,'QALS - Inspection Lot Record'!J:J)+RANDBETWEEN(0,1),LOOKUP(C107,'QALS - Inspection Lot Record'!P:P,'QALS - Inspection Lot Record'!J:J)+RANDBETWEEN(0,1),"")</f>
        <v>45924</v>
      </c>
      <c r="G107" s="41" t="str">
        <f ca="1">IF(F107="","",'Reference CAPA - Test data'!G107)</f>
        <v>Dissolution rate low - 15 mins</v>
      </c>
      <c r="H107" s="34">
        <f t="shared" ca="1" si="1"/>
        <v>45924</v>
      </c>
      <c r="I107" s="29" t="str">
        <f ca="1">IF(H107="","",'Reference CAPA - Test data'!I107)</f>
        <v>Training for operators</v>
      </c>
    </row>
    <row r="108" spans="1:9" x14ac:dyDescent="0.35">
      <c r="A108" s="31">
        <v>200000559</v>
      </c>
      <c r="B108" s="31">
        <v>1010</v>
      </c>
      <c r="C108" s="31">
        <v>4107</v>
      </c>
      <c r="D108" s="29" t="str">
        <f>LOOKUP('CAPA-old'!C108,'QALS - Inspection Lot Record'!P:P,'QALS - Inspection Lot Record'!O:O)</f>
        <v>Metformin Tablets (500 MG)</v>
      </c>
      <c r="E108" s="31">
        <v>78</v>
      </c>
      <c r="F108" s="34">
        <f ca="1">IF(TODAY()&gt;=LOOKUP(C108,'QALS - Inspection Lot Record'!P:P,'QALS - Inspection Lot Record'!J:J)+RANDBETWEEN(0,1),LOOKUP(C108,'QALS - Inspection Lot Record'!P:P,'QALS - Inspection Lot Record'!J:J)+RANDBETWEEN(0,1),"")</f>
        <v>45924</v>
      </c>
      <c r="G108" s="41" t="str">
        <f ca="1">IF(F108="","",'Reference CAPA - Test data'!G108)</f>
        <v>Dissolution rate low - 40 mins</v>
      </c>
      <c r="H108" s="34">
        <f t="shared" ca="1" si="1"/>
        <v>45925</v>
      </c>
      <c r="I108" s="29" t="str">
        <f ca="1">IF(H108="","",'Reference CAPA - Test data'!I108)</f>
        <v>Increase surface area</v>
      </c>
    </row>
    <row r="109" spans="1:9" x14ac:dyDescent="0.35">
      <c r="A109" s="31">
        <v>200000560</v>
      </c>
      <c r="B109" s="31">
        <v>1010</v>
      </c>
      <c r="C109" s="31">
        <v>4108</v>
      </c>
      <c r="D109" s="29" t="str">
        <f>LOOKUP('CAPA-old'!C109,'QALS - Inspection Lot Record'!P:P,'QALS - Inspection Lot Record'!O:O)</f>
        <v>Metformin Tablets (200 MG)</v>
      </c>
      <c r="E109" s="31">
        <v>78.400000000000006</v>
      </c>
      <c r="F109" s="34">
        <f ca="1">IF(TODAY()&gt;=LOOKUP(C109,'QALS - Inspection Lot Record'!P:P,'QALS - Inspection Lot Record'!J:J)+RANDBETWEEN(0,1),LOOKUP(C109,'QALS - Inspection Lot Record'!P:P,'QALS - Inspection Lot Record'!J:J)+RANDBETWEEN(0,1),"")</f>
        <v>45923</v>
      </c>
      <c r="G109" s="41" t="str">
        <f ca="1">IF(F109="","",'Reference CAPA - Test data'!G109)</f>
        <v>Dissolution rate low - 40 mins</v>
      </c>
      <c r="H109" s="34">
        <f t="shared" ca="1" si="1"/>
        <v>45925</v>
      </c>
      <c r="I109" s="29" t="str">
        <f ca="1">IF(H109="","",'Reference CAPA - Test data'!I109)</f>
        <v>Optimize compression</v>
      </c>
    </row>
    <row r="110" spans="1:9" x14ac:dyDescent="0.35">
      <c r="A110" s="31">
        <v>200000560</v>
      </c>
      <c r="B110" s="31">
        <v>1010</v>
      </c>
      <c r="C110" s="31">
        <v>4108</v>
      </c>
      <c r="D110" s="29" t="str">
        <f>LOOKUP('CAPA-old'!C110,'QALS - Inspection Lot Record'!P:P,'QALS - Inspection Lot Record'!O:O)</f>
        <v>Metformin Tablets (200 MG)</v>
      </c>
      <c r="E110" s="31">
        <v>21</v>
      </c>
      <c r="F110" s="34">
        <f ca="1">IF(TODAY()&gt;=LOOKUP(C110,'QALS - Inspection Lot Record'!P:P,'QALS - Inspection Lot Record'!J:J)+RANDBETWEEN(0,1),LOOKUP(C110,'QALS - Inspection Lot Record'!P:P,'QALS - Inspection Lot Record'!J:J)+RANDBETWEEN(0,1),"")</f>
        <v>45923</v>
      </c>
      <c r="G110" s="41" t="str">
        <f ca="1">IF(F110="","",'Reference CAPA - Test data'!G110)</f>
        <v>Process temp out of range</v>
      </c>
      <c r="H110" s="34">
        <f t="shared" ca="1" si="1"/>
        <v>45923</v>
      </c>
      <c r="I110" s="29" t="str">
        <f ca="1">IF(H110="","",'Reference CAPA - Test data'!I110)</f>
        <v>Supplier evaluation</v>
      </c>
    </row>
    <row r="111" spans="1:9" x14ac:dyDescent="0.35">
      <c r="A111" s="31">
        <v>200000561</v>
      </c>
      <c r="B111" s="31">
        <v>1010</v>
      </c>
      <c r="C111" s="31">
        <v>4111</v>
      </c>
      <c r="D111" s="29" t="str">
        <f>LOOKUP('CAPA-old'!C111,'QALS - Inspection Lot Record'!P:P,'QALS - Inspection Lot Record'!O:O)</f>
        <v>Metformin Tablets (100 MG)</v>
      </c>
      <c r="E111" s="31">
        <v>93.3</v>
      </c>
      <c r="F111" s="34">
        <f ca="1">IF(TODAY()&gt;=LOOKUP(C111,'QALS - Inspection Lot Record'!P:P,'QALS - Inspection Lot Record'!J:J)+RANDBETWEEN(0,1),LOOKUP(C111,'QALS - Inspection Lot Record'!P:P,'QALS - Inspection Lot Record'!J:J)+RANDBETWEEN(0,1),"")</f>
        <v>45925</v>
      </c>
      <c r="G111" s="41" t="str">
        <f ca="1">IF(F111="","",'Reference CAPA - Test data'!G111)</f>
        <v>Potency out of spec</v>
      </c>
      <c r="H111" s="34">
        <f t="shared" ca="1" si="1"/>
        <v>45925</v>
      </c>
      <c r="I111" s="29" t="str">
        <f ca="1">IF(H111="","",'Reference CAPA - Test data'!I111)</f>
        <v>Update production SOP</v>
      </c>
    </row>
    <row r="112" spans="1:9" x14ac:dyDescent="0.35">
      <c r="A112" s="31">
        <v>200000561</v>
      </c>
      <c r="B112" s="31">
        <v>1010</v>
      </c>
      <c r="C112" s="31">
        <v>4111</v>
      </c>
      <c r="D112" s="29" t="str">
        <f>LOOKUP('CAPA-old'!C112,'QALS - Inspection Lot Record'!P:P,'QALS - Inspection Lot Record'!O:O)</f>
        <v>Metformin Tablets (100 MG)</v>
      </c>
      <c r="E112" s="31">
        <v>2.2000000000000002</v>
      </c>
      <c r="F112" s="34">
        <f ca="1">IF(TODAY()&gt;=LOOKUP(C112,'QALS - Inspection Lot Record'!P:P,'QALS - Inspection Lot Record'!J:J)+RANDBETWEEN(0,1),LOOKUP(C112,'QALS - Inspection Lot Record'!P:P,'QALS - Inspection Lot Record'!J:J)+RANDBETWEEN(0,1),"")</f>
        <v>45925</v>
      </c>
      <c r="G112" s="41" t="str">
        <f ca="1">IF(F112="","",'Reference CAPA - Test data'!G112)</f>
        <v>PH Level out of range</v>
      </c>
      <c r="H112" s="34">
        <f t="shared" ca="1" si="1"/>
        <v>45926</v>
      </c>
      <c r="I112" s="29" t="str">
        <f ca="1">IF(H112="","",'Reference CAPA - Test data'!I112)</f>
        <v>Adjust formulation</v>
      </c>
    </row>
    <row r="113" spans="1:9" x14ac:dyDescent="0.35">
      <c r="A113" s="31">
        <v>200000561</v>
      </c>
      <c r="B113" s="31">
        <v>1010</v>
      </c>
      <c r="C113" s="31">
        <v>4111</v>
      </c>
      <c r="D113" s="29" t="str">
        <f>LOOKUP('CAPA-old'!C113,'QALS - Inspection Lot Record'!P:P,'QALS - Inspection Lot Record'!O:O)</f>
        <v>Metformin Tablets (100 MG)</v>
      </c>
      <c r="E113" s="31">
        <v>69</v>
      </c>
      <c r="F113" s="34">
        <f ca="1">IF(TODAY()&gt;=LOOKUP(C113,'QALS - Inspection Lot Record'!P:P,'QALS - Inspection Lot Record'!J:J)+RANDBETWEEN(0,1),LOOKUP(C113,'QALS - Inspection Lot Record'!P:P,'QALS - Inspection Lot Record'!J:J)+RANDBETWEEN(0,1),"")</f>
        <v>45925</v>
      </c>
      <c r="G113" s="41" t="str">
        <f ca="1">IF(F113="","",'Reference CAPA - Test data'!G113)</f>
        <v>Dissolution rate low - 30 mins</v>
      </c>
      <c r="H113" s="34">
        <f t="shared" ca="1" si="1"/>
        <v>45927</v>
      </c>
      <c r="I113" s="29" t="str">
        <f ca="1">IF(H113="","",'Reference CAPA - Test data'!I113)</f>
        <v>Supplier evaluation</v>
      </c>
    </row>
    <row r="114" spans="1:9" x14ac:dyDescent="0.35">
      <c r="A114" s="31">
        <v>200000561</v>
      </c>
      <c r="B114" s="31">
        <v>1010</v>
      </c>
      <c r="C114" s="31">
        <v>4111</v>
      </c>
      <c r="D114" s="29" t="str">
        <f>LOOKUP('CAPA-old'!C114,'QALS - Inspection Lot Record'!P:P,'QALS - Inspection Lot Record'!O:O)</f>
        <v>Metformin Tablets (100 MG)</v>
      </c>
      <c r="E114" s="31">
        <v>78.7</v>
      </c>
      <c r="F114" s="34">
        <f ca="1">IF(TODAY()&gt;=LOOKUP(C114,'QALS - Inspection Lot Record'!P:P,'QALS - Inspection Lot Record'!J:J)+RANDBETWEEN(0,1),LOOKUP(C114,'QALS - Inspection Lot Record'!P:P,'QALS - Inspection Lot Record'!J:J)+RANDBETWEEN(0,1),"")</f>
        <v>45925</v>
      </c>
      <c r="G114" s="41" t="str">
        <f ca="1">IF(F114="","",'Reference CAPA - Test data'!G114)</f>
        <v>Dissolution rate low - 40 mins</v>
      </c>
      <c r="H114" s="34">
        <f t="shared" ca="1" si="1"/>
        <v>45925</v>
      </c>
      <c r="I114" s="29" t="str">
        <f ca="1">IF(H114="","",'Reference CAPA - Test data'!I114)</f>
        <v>Supplier evaluation</v>
      </c>
    </row>
    <row r="115" spans="1:9" x14ac:dyDescent="0.35">
      <c r="A115" s="31">
        <v>200000562</v>
      </c>
      <c r="B115" s="31">
        <v>1010</v>
      </c>
      <c r="C115" s="31">
        <v>4112</v>
      </c>
      <c r="D115" s="29" t="str">
        <f>LOOKUP('CAPA-old'!C115,'QALS - Inspection Lot Record'!P:P,'QALS - Inspection Lot Record'!O:O)</f>
        <v>Ibuprofen Tablets (100 MG)</v>
      </c>
      <c r="E115" s="31">
        <v>93.5</v>
      </c>
      <c r="F115" s="34">
        <f ca="1">IF(TODAY()&gt;=LOOKUP(C115,'QALS - Inspection Lot Record'!P:P,'QALS - Inspection Lot Record'!J:J)+RANDBETWEEN(0,1),LOOKUP(C115,'QALS - Inspection Lot Record'!P:P,'QALS - Inspection Lot Record'!J:J)+RANDBETWEEN(0,1),"")</f>
        <v>45925</v>
      </c>
      <c r="G115" s="41" t="str">
        <f ca="1">IF(F115="","",'Reference CAPA - Test data'!G115)</f>
        <v>Potency out of spec</v>
      </c>
      <c r="H115" s="34">
        <f t="shared" ca="1" si="1"/>
        <v>45926</v>
      </c>
      <c r="I115" s="29" t="str">
        <f ca="1">IF(H115="","",'Reference CAPA - Test data'!I115)</f>
        <v>Equipment calibration</v>
      </c>
    </row>
    <row r="116" spans="1:9" x14ac:dyDescent="0.35">
      <c r="A116" s="31">
        <v>200000562</v>
      </c>
      <c r="B116" s="31">
        <v>1010</v>
      </c>
      <c r="C116" s="31">
        <v>4112</v>
      </c>
      <c r="D116" s="29" t="str">
        <f>LOOKUP('CAPA-old'!C116,'QALS - Inspection Lot Record'!P:P,'QALS - Inspection Lot Record'!O:O)</f>
        <v>Ibuprofen Tablets (100 MG)</v>
      </c>
      <c r="E116" s="31">
        <v>2.4</v>
      </c>
      <c r="F116" s="34">
        <f ca="1">IF(TODAY()&gt;=LOOKUP(C116,'QALS - Inspection Lot Record'!P:P,'QALS - Inspection Lot Record'!J:J)+RANDBETWEEN(0,1),LOOKUP(C116,'QALS - Inspection Lot Record'!P:P,'QALS - Inspection Lot Record'!J:J)+RANDBETWEEN(0,1),"")</f>
        <v>45926</v>
      </c>
      <c r="G116" s="41" t="str">
        <f ca="1">IF(F116="","",'Reference CAPA - Test data'!G116)</f>
        <v>PH Level out of range</v>
      </c>
      <c r="H116" s="34">
        <f t="shared" ca="1" si="1"/>
        <v>45926</v>
      </c>
      <c r="I116" s="29" t="str">
        <f ca="1">IF(H116="","",'Reference CAPA - Test data'!I116)</f>
        <v>Supplier evaluation</v>
      </c>
    </row>
    <row r="117" spans="1:9" x14ac:dyDescent="0.35">
      <c r="A117" s="31">
        <v>200000562</v>
      </c>
      <c r="B117" s="31">
        <v>1010</v>
      </c>
      <c r="C117" s="31">
        <v>4112</v>
      </c>
      <c r="D117" s="29" t="str">
        <f>LOOKUP('CAPA-old'!C117,'QALS - Inspection Lot Record'!P:P,'QALS - Inspection Lot Record'!O:O)</f>
        <v>Ibuprofen Tablets (100 MG)</v>
      </c>
      <c r="E117" s="31">
        <v>63</v>
      </c>
      <c r="F117" s="34">
        <f ca="1">IF(TODAY()&gt;=LOOKUP(C117,'QALS - Inspection Lot Record'!P:P,'QALS - Inspection Lot Record'!J:J)+RANDBETWEEN(0,1),LOOKUP(C117,'QALS - Inspection Lot Record'!P:P,'QALS - Inspection Lot Record'!J:J)+RANDBETWEEN(0,1),"")</f>
        <v>45925</v>
      </c>
      <c r="G117" s="41" t="str">
        <f ca="1">IF(F117="","",'Reference CAPA - Test data'!G117)</f>
        <v>Dissolution rate high - 15 mins</v>
      </c>
      <c r="H117" s="34">
        <f t="shared" ca="1" si="1"/>
        <v>45925</v>
      </c>
      <c r="I117" s="29" t="str">
        <f ca="1">IF(H117="","",'Reference CAPA - Test data'!I117)</f>
        <v>Increase particle size</v>
      </c>
    </row>
    <row r="118" spans="1:9" x14ac:dyDescent="0.35">
      <c r="A118" s="31">
        <v>200000562</v>
      </c>
      <c r="B118" s="31">
        <v>1010</v>
      </c>
      <c r="C118" s="31">
        <v>4112</v>
      </c>
      <c r="D118" s="29" t="str">
        <f>LOOKUP('CAPA-old'!C118,'QALS - Inspection Lot Record'!P:P,'QALS - Inspection Lot Record'!O:O)</f>
        <v>Ibuprofen Tablets (100 MG)</v>
      </c>
      <c r="E118" s="31">
        <v>21.8</v>
      </c>
      <c r="F118" s="34">
        <f ca="1">IF(TODAY()&gt;=LOOKUP(C118,'QALS - Inspection Lot Record'!P:P,'QALS - Inspection Lot Record'!J:J)+RANDBETWEEN(0,1),LOOKUP(C118,'QALS - Inspection Lot Record'!P:P,'QALS - Inspection Lot Record'!J:J)+RANDBETWEEN(0,1),"")</f>
        <v>45926</v>
      </c>
      <c r="G118" s="41" t="str">
        <f ca="1">IF(F118="","",'Reference CAPA - Test data'!G118)</f>
        <v>Process temp out of range</v>
      </c>
      <c r="H118" s="34">
        <f t="shared" ca="1" si="1"/>
        <v>45926</v>
      </c>
      <c r="I118" s="29" t="str">
        <f ca="1">IF(H118="","",'Reference CAPA - Test data'!I118)</f>
        <v>Training for operators</v>
      </c>
    </row>
    <row r="119" spans="1:9" x14ac:dyDescent="0.35">
      <c r="A119" s="31">
        <v>200000563</v>
      </c>
      <c r="B119" s="31">
        <v>1010</v>
      </c>
      <c r="C119" s="31">
        <v>4115</v>
      </c>
      <c r="D119" s="29" t="str">
        <f>LOOKUP('CAPA-old'!C119,'QALS - Inspection Lot Record'!P:P,'QALS - Inspection Lot Record'!O:O)</f>
        <v>Ibuprofen Tablets (100 MG)</v>
      </c>
      <c r="E119" s="31">
        <v>93.1</v>
      </c>
      <c r="F119" s="34">
        <f ca="1">IF(TODAY()&gt;=LOOKUP(C119,'QALS - Inspection Lot Record'!P:P,'QALS - Inspection Lot Record'!J:J)+RANDBETWEEN(0,1),LOOKUP(C119,'QALS - Inspection Lot Record'!P:P,'QALS - Inspection Lot Record'!J:J)+RANDBETWEEN(0,1),"")</f>
        <v>45927</v>
      </c>
      <c r="G119" s="41" t="str">
        <f ca="1">IF(F119="","",'Reference CAPA - Test data'!G119)</f>
        <v>Potency out of spec</v>
      </c>
      <c r="H119" s="34">
        <f t="shared" ca="1" si="1"/>
        <v>45928</v>
      </c>
      <c r="I119" s="29" t="str">
        <f ca="1">IF(H119="","",'Reference CAPA - Test data'!I119)</f>
        <v>Supplier evaluation</v>
      </c>
    </row>
    <row r="120" spans="1:9" x14ac:dyDescent="0.35">
      <c r="A120" s="31">
        <v>200000563</v>
      </c>
      <c r="B120" s="31">
        <v>1010</v>
      </c>
      <c r="C120" s="31">
        <v>4115</v>
      </c>
      <c r="D120" s="29" t="str">
        <f>LOOKUP('CAPA-old'!C120,'QALS - Inspection Lot Record'!P:P,'QALS - Inspection Lot Record'!O:O)</f>
        <v>Ibuprofen Tablets (100 MG)</v>
      </c>
      <c r="E120" s="31">
        <v>1.8</v>
      </c>
      <c r="F120" s="34">
        <f ca="1">IF(TODAY()&gt;=LOOKUP(C120,'QALS - Inspection Lot Record'!P:P,'QALS - Inspection Lot Record'!J:J)+RANDBETWEEN(0,1),LOOKUP(C120,'QALS - Inspection Lot Record'!P:P,'QALS - Inspection Lot Record'!J:J)+RANDBETWEEN(0,1),"")</f>
        <v>45927</v>
      </c>
      <c r="G120" s="41" t="str">
        <f ca="1">IF(F120="","",'Reference CAPA - Test data'!G120)</f>
        <v>PH Level out of range</v>
      </c>
      <c r="H120" s="34">
        <f t="shared" ca="1" si="1"/>
        <v>45927</v>
      </c>
      <c r="I120" s="29" t="str">
        <f ca="1">IF(H120="","",'Reference CAPA - Test data'!I120)</f>
        <v>Equipment calibration</v>
      </c>
    </row>
    <row r="121" spans="1:9" x14ac:dyDescent="0.35">
      <c r="A121" s="31">
        <v>200000563</v>
      </c>
      <c r="B121" s="31">
        <v>1010</v>
      </c>
      <c r="C121" s="31">
        <v>4115</v>
      </c>
      <c r="D121" s="29" t="str">
        <f>LOOKUP('CAPA-old'!C121,'QALS - Inspection Lot Record'!P:P,'QALS - Inspection Lot Record'!O:O)</f>
        <v>Ibuprofen Tablets (100 MG)</v>
      </c>
      <c r="E121" s="31">
        <v>78.3</v>
      </c>
      <c r="F121" s="34">
        <f ca="1">IF(TODAY()&gt;=LOOKUP(C121,'QALS - Inspection Lot Record'!P:P,'QALS - Inspection Lot Record'!J:J)+RANDBETWEEN(0,1),LOOKUP(C121,'QALS - Inspection Lot Record'!P:P,'QALS - Inspection Lot Record'!J:J)+RANDBETWEEN(0,1),"")</f>
        <v>45928</v>
      </c>
      <c r="G121" s="41" t="str">
        <f ca="1">IF(F121="","",'Reference CAPA - Test data'!G121)</f>
        <v>Dissolution rate low - 40 mins</v>
      </c>
      <c r="H121" s="34">
        <f t="shared" ca="1" si="1"/>
        <v>45929</v>
      </c>
      <c r="I121" s="29" t="str">
        <f ca="1">IF(H121="","",'Reference CAPA - Test data'!I121)</f>
        <v>Increase surface area</v>
      </c>
    </row>
    <row r="122" spans="1:9" x14ac:dyDescent="0.35">
      <c r="A122" s="31">
        <v>200000564</v>
      </c>
      <c r="B122" s="31">
        <v>1010</v>
      </c>
      <c r="C122" s="31">
        <v>4116</v>
      </c>
      <c r="D122" s="29" t="str">
        <f>LOOKUP('CAPA-old'!C122,'QALS - Inspection Lot Record'!P:P,'QALS - Inspection Lot Record'!O:O)</f>
        <v>Metformin Tablets (100 MG)</v>
      </c>
      <c r="E122" s="31">
        <v>2</v>
      </c>
      <c r="F122" s="34">
        <f ca="1">IF(TODAY()&gt;=LOOKUP(C122,'QALS - Inspection Lot Record'!P:P,'QALS - Inspection Lot Record'!J:J)+RANDBETWEEN(0,1),LOOKUP(C122,'QALS - Inspection Lot Record'!P:P,'QALS - Inspection Lot Record'!J:J)+RANDBETWEEN(0,1),"")</f>
        <v>45928</v>
      </c>
      <c r="G122" s="41" t="str">
        <f ca="1">IF(F122="","",'Reference CAPA - Test data'!G122)</f>
        <v>PH Level out of range</v>
      </c>
      <c r="H122" s="34">
        <f t="shared" ca="1" si="1"/>
        <v>45929</v>
      </c>
      <c r="I122" s="29" t="str">
        <f ca="1">IF(H122="","",'Reference CAPA - Test data'!I122)</f>
        <v>Supplier evaluation</v>
      </c>
    </row>
    <row r="123" spans="1:9" x14ac:dyDescent="0.35">
      <c r="A123" s="31">
        <v>200000564</v>
      </c>
      <c r="B123" s="31">
        <v>1010</v>
      </c>
      <c r="C123" s="31">
        <v>4116</v>
      </c>
      <c r="D123" s="29" t="str">
        <f>LOOKUP('CAPA-old'!C123,'QALS - Inspection Lot Record'!P:P,'QALS - Inspection Lot Record'!O:O)</f>
        <v>Metformin Tablets (100 MG)</v>
      </c>
      <c r="E123" s="31">
        <v>78.7</v>
      </c>
      <c r="F123" s="34">
        <f ca="1">IF(TODAY()&gt;=LOOKUP(C123,'QALS - Inspection Lot Record'!P:P,'QALS - Inspection Lot Record'!J:J)+RANDBETWEEN(0,1),LOOKUP(C123,'QALS - Inspection Lot Record'!P:P,'QALS - Inspection Lot Record'!J:J)+RANDBETWEEN(0,1),"")</f>
        <v>45927</v>
      </c>
      <c r="G123" s="41" t="str">
        <f ca="1">IF(F123="","",'Reference CAPA - Test data'!G123)</f>
        <v>Dissolution rate low - 40 mins</v>
      </c>
      <c r="H123" s="34">
        <f t="shared" ca="1" si="1"/>
        <v>45927</v>
      </c>
      <c r="I123" s="29" t="str">
        <f ca="1">IF(H123="","",'Reference CAPA - Test data'!I123)</f>
        <v>Equipment calibration</v>
      </c>
    </row>
    <row r="124" spans="1:9" x14ac:dyDescent="0.35">
      <c r="A124" s="31">
        <v>200000564</v>
      </c>
      <c r="B124" s="31">
        <v>1010</v>
      </c>
      <c r="C124" s="31">
        <v>4116</v>
      </c>
      <c r="D124" s="29" t="str">
        <f>LOOKUP('CAPA-old'!C124,'QALS - Inspection Lot Record'!P:P,'QALS - Inspection Lot Record'!O:O)</f>
        <v>Metformin Tablets (100 MG)</v>
      </c>
      <c r="E124" s="31">
        <v>21.5</v>
      </c>
      <c r="F124" s="34">
        <f ca="1">IF(TODAY()&gt;=LOOKUP(C124,'QALS - Inspection Lot Record'!P:P,'QALS - Inspection Lot Record'!J:J)+RANDBETWEEN(0,1),LOOKUP(C124,'QALS - Inspection Lot Record'!P:P,'QALS - Inspection Lot Record'!J:J)+RANDBETWEEN(0,1),"")</f>
        <v>45927</v>
      </c>
      <c r="G124" s="41" t="str">
        <f ca="1">IF(F124="","",'Reference CAPA - Test data'!G124)</f>
        <v>Process temp out of range</v>
      </c>
      <c r="H124" s="34">
        <f t="shared" ca="1" si="1"/>
        <v>45929</v>
      </c>
      <c r="I124" s="29" t="str">
        <f ca="1">IF(H124="","",'Reference CAPA - Test data'!I124)</f>
        <v>Supplier evaluation</v>
      </c>
    </row>
    <row r="125" spans="1:9" x14ac:dyDescent="0.35">
      <c r="A125" s="31">
        <v>200000565</v>
      </c>
      <c r="B125" s="31">
        <v>1010</v>
      </c>
      <c r="C125" s="31">
        <v>4119</v>
      </c>
      <c r="D125" s="29" t="str">
        <f>LOOKUP('CAPA-old'!C125,'QALS - Inspection Lot Record'!P:P,'QALS - Inspection Lot Record'!O:O)</f>
        <v>Ibuprofen Tablets (100 MG)</v>
      </c>
      <c r="E125" s="31">
        <v>93.2</v>
      </c>
      <c r="F125" s="34">
        <f ca="1">IF(TODAY()&gt;=LOOKUP(C125,'QALS - Inspection Lot Record'!P:P,'QALS - Inspection Lot Record'!J:J)+RANDBETWEEN(0,1),LOOKUP(C125,'QALS - Inspection Lot Record'!P:P,'QALS - Inspection Lot Record'!J:J)+RANDBETWEEN(0,1),"")</f>
        <v>45930</v>
      </c>
      <c r="G125" s="41" t="str">
        <f ca="1">IF(F125="","",'Reference CAPA - Test data'!G125)</f>
        <v>Potency out of spec</v>
      </c>
      <c r="H125" s="34">
        <f t="shared" ca="1" si="1"/>
        <v>45931</v>
      </c>
      <c r="I125" s="29" t="str">
        <f ca="1">IF(H125="","",'Reference CAPA - Test data'!I125)</f>
        <v>Training for operators</v>
      </c>
    </row>
    <row r="126" spans="1:9" x14ac:dyDescent="0.35">
      <c r="A126" s="31">
        <v>200000566</v>
      </c>
      <c r="B126" s="31">
        <v>1010</v>
      </c>
      <c r="C126" s="31">
        <v>4121</v>
      </c>
      <c r="D126" s="29" t="str">
        <f>LOOKUP('CAPA-old'!C126,'QALS - Inspection Lot Record'!P:P,'QALS - Inspection Lot Record'!O:O)</f>
        <v>Aspirin Tablets (500 MG)</v>
      </c>
      <c r="E126" s="31">
        <v>93.5</v>
      </c>
      <c r="F126" s="34">
        <f ca="1">IF(TODAY()&gt;=LOOKUP(C126,'QALS - Inspection Lot Record'!P:P,'QALS - Inspection Lot Record'!J:J)+RANDBETWEEN(0,1),LOOKUP(C126,'QALS - Inspection Lot Record'!P:P,'QALS - Inspection Lot Record'!J:J)+RANDBETWEEN(0,1),"")</f>
        <v>45931</v>
      </c>
      <c r="G126" s="41" t="str">
        <f ca="1">IF(F126="","",'Reference CAPA - Test data'!G126)</f>
        <v>Potency out of spec</v>
      </c>
      <c r="H126" s="34">
        <f t="shared" ca="1" si="1"/>
        <v>45932</v>
      </c>
      <c r="I126" s="29" t="str">
        <f ca="1">IF(H126="","",'Reference CAPA - Test data'!I126)</f>
        <v>Improve formulation</v>
      </c>
    </row>
    <row r="127" spans="1:9" x14ac:dyDescent="0.35">
      <c r="A127" s="31">
        <v>200000566</v>
      </c>
      <c r="B127" s="31">
        <v>1010</v>
      </c>
      <c r="C127" s="31">
        <v>4121</v>
      </c>
      <c r="D127" s="29" t="str">
        <f>LOOKUP('CAPA-old'!C127,'QALS - Inspection Lot Record'!P:P,'QALS - Inspection Lot Record'!O:O)</f>
        <v>Aspirin Tablets (500 MG)</v>
      </c>
      <c r="E127" s="31">
        <v>3</v>
      </c>
      <c r="F127" s="34">
        <f ca="1">IF(TODAY()&gt;=LOOKUP(C127,'QALS - Inspection Lot Record'!P:P,'QALS - Inspection Lot Record'!J:J)+RANDBETWEEN(0,1),LOOKUP(C127,'QALS - Inspection Lot Record'!P:P,'QALS - Inspection Lot Record'!J:J)+RANDBETWEEN(0,1),"")</f>
        <v>45931</v>
      </c>
      <c r="G127" s="41" t="str">
        <f ca="1">IF(F127="","",'Reference CAPA - Test data'!G127)</f>
        <v>Impurities out of limit</v>
      </c>
      <c r="H127" s="34">
        <f t="shared" ca="1" si="1"/>
        <v>45931</v>
      </c>
      <c r="I127" s="29" t="str">
        <f ca="1">IF(H127="","",'Reference CAPA - Test data'!I127)</f>
        <v>Raw material control</v>
      </c>
    </row>
    <row r="128" spans="1:9" x14ac:dyDescent="0.35">
      <c r="A128" s="31">
        <v>200000566</v>
      </c>
      <c r="B128" s="31">
        <v>1010</v>
      </c>
      <c r="C128" s="31">
        <v>4121</v>
      </c>
      <c r="D128" s="29" t="str">
        <f>LOOKUP('CAPA-old'!C128,'QALS - Inspection Lot Record'!P:P,'QALS - Inspection Lot Record'!O:O)</f>
        <v>Aspirin Tablets (500 MG)</v>
      </c>
      <c r="E128" s="31">
        <v>38.700000000000003</v>
      </c>
      <c r="F128" s="34">
        <f ca="1">IF(TODAY()&gt;=LOOKUP(C128,'QALS - Inspection Lot Record'!P:P,'QALS - Inspection Lot Record'!J:J)+RANDBETWEEN(0,1),LOOKUP(C128,'QALS - Inspection Lot Record'!P:P,'QALS - Inspection Lot Record'!J:J)+RANDBETWEEN(0,1),"")</f>
        <v>45930</v>
      </c>
      <c r="G128" s="41" t="str">
        <f ca="1">IF(F128="","",'Reference CAPA - Test data'!G128)</f>
        <v>Dissolution rate low - 15 mins</v>
      </c>
      <c r="H128" s="34">
        <f t="shared" ca="1" si="1"/>
        <v>45930</v>
      </c>
      <c r="I128" s="29" t="str">
        <f ca="1">IF(H128="","",'Reference CAPA - Test data'!I128)</f>
        <v>Reduce particle size</v>
      </c>
    </row>
    <row r="129" spans="1:9" x14ac:dyDescent="0.35">
      <c r="A129" s="31">
        <v>200000566</v>
      </c>
      <c r="B129" s="31">
        <v>1010</v>
      </c>
      <c r="C129" s="31">
        <v>4121</v>
      </c>
      <c r="D129" s="29" t="str">
        <f>LOOKUP('CAPA-old'!C129,'QALS - Inspection Lot Record'!P:P,'QALS - Inspection Lot Record'!O:O)</f>
        <v>Aspirin Tablets (500 MG)</v>
      </c>
      <c r="E129" s="31">
        <v>21.9</v>
      </c>
      <c r="F129" s="34">
        <f ca="1">IF(TODAY()&gt;=LOOKUP(C129,'QALS - Inspection Lot Record'!P:P,'QALS - Inspection Lot Record'!J:J)+RANDBETWEEN(0,1),LOOKUP(C129,'QALS - Inspection Lot Record'!P:P,'QALS - Inspection Lot Record'!J:J)+RANDBETWEEN(0,1),"")</f>
        <v>45931</v>
      </c>
      <c r="G129" s="41" t="str">
        <f ca="1">IF(F129="","",'Reference CAPA - Test data'!G129)</f>
        <v>Process temp out of range</v>
      </c>
      <c r="H129" s="34">
        <f t="shared" ca="1" si="1"/>
        <v>45932</v>
      </c>
      <c r="I129" s="29" t="str">
        <f ca="1">IF(H129="","",'Reference CAPA - Test data'!I129)</f>
        <v>Supplier evaluation</v>
      </c>
    </row>
    <row r="130" spans="1:9" x14ac:dyDescent="0.35">
      <c r="A130" s="31">
        <v>200000567</v>
      </c>
      <c r="B130" s="31">
        <v>1010</v>
      </c>
      <c r="C130" s="31">
        <v>4122</v>
      </c>
      <c r="D130" s="29" t="str">
        <f>LOOKUP('CAPA-old'!C130,'QALS - Inspection Lot Record'!P:P,'QALS - Inspection Lot Record'!O:O)</f>
        <v>Metformin Tablets (100 MG)</v>
      </c>
      <c r="E130" s="31">
        <v>93.8</v>
      </c>
      <c r="F130" s="34">
        <f ca="1">IF(TODAY()&gt;=LOOKUP(C130,'QALS - Inspection Lot Record'!P:P,'QALS - Inspection Lot Record'!J:J)+RANDBETWEEN(0,1),LOOKUP(C130,'QALS - Inspection Lot Record'!P:P,'QALS - Inspection Lot Record'!J:J)+RANDBETWEEN(0,1),"")</f>
        <v>45930</v>
      </c>
      <c r="G130" s="41" t="str">
        <f ca="1">IF(F130="","",'Reference CAPA - Test data'!G130)</f>
        <v>Potency out of spec</v>
      </c>
      <c r="H130" s="34">
        <f t="shared" ca="1" si="1"/>
        <v>45932</v>
      </c>
      <c r="I130" s="29" t="str">
        <f ca="1">IF(H130="","",'Reference CAPA - Test data'!I130)</f>
        <v>Improve formulation</v>
      </c>
    </row>
    <row r="131" spans="1:9" x14ac:dyDescent="0.35">
      <c r="A131" s="31">
        <v>200000567</v>
      </c>
      <c r="B131" s="31">
        <v>1010</v>
      </c>
      <c r="C131" s="31">
        <v>4122</v>
      </c>
      <c r="D131" s="29" t="str">
        <f>LOOKUP('CAPA-old'!C131,'QALS - Inspection Lot Record'!P:P,'QALS - Inspection Lot Record'!O:O)</f>
        <v>Metformin Tablets (100 MG)</v>
      </c>
      <c r="E131" s="31">
        <v>2.4</v>
      </c>
      <c r="F131" s="34">
        <f ca="1">IF(TODAY()&gt;=LOOKUP(C131,'QALS - Inspection Lot Record'!P:P,'QALS - Inspection Lot Record'!J:J)+RANDBETWEEN(0,1),LOOKUP(C131,'QALS - Inspection Lot Record'!P:P,'QALS - Inspection Lot Record'!J:J)+RANDBETWEEN(0,1),"")</f>
        <v>45930</v>
      </c>
      <c r="G131" s="41" t="str">
        <f ca="1">IF(F131="","",'Reference CAPA - Test data'!G131)</f>
        <v>PH Level out of range</v>
      </c>
      <c r="H131" s="34">
        <f t="shared" ref="H131:H194" ca="1" si="2">IF(TODAY()&gt;=F131+RANDBETWEEN(0,2),F131+RANDBETWEEN(0,2),"")</f>
        <v>45931</v>
      </c>
      <c r="I131" s="29" t="str">
        <f ca="1">IF(H131="","",'Reference CAPA - Test data'!I131)</f>
        <v>Equipment calibration</v>
      </c>
    </row>
    <row r="132" spans="1:9" x14ac:dyDescent="0.35">
      <c r="A132" s="31">
        <v>200000567</v>
      </c>
      <c r="B132" s="31">
        <v>1010</v>
      </c>
      <c r="C132" s="31">
        <v>4122</v>
      </c>
      <c r="D132" s="29" t="str">
        <f>LOOKUP('CAPA-old'!C132,'QALS - Inspection Lot Record'!P:P,'QALS - Inspection Lot Record'!O:O)</f>
        <v>Metformin Tablets (100 MG)</v>
      </c>
      <c r="E132" s="31">
        <v>1.2</v>
      </c>
      <c r="F132" s="34">
        <f ca="1">IF(TODAY()&gt;=LOOKUP(C132,'QALS - Inspection Lot Record'!P:P,'QALS - Inspection Lot Record'!J:J)+RANDBETWEEN(0,1),LOOKUP(C132,'QALS - Inspection Lot Record'!P:P,'QALS - Inspection Lot Record'!J:J)+RANDBETWEEN(0,1),"")</f>
        <v>45931</v>
      </c>
      <c r="G132" s="41" t="str">
        <f ca="1">IF(F132="","",'Reference CAPA - Test data'!G132)</f>
        <v>Impurities out of limit</v>
      </c>
      <c r="H132" s="34">
        <f t="shared" ca="1" si="2"/>
        <v>45931</v>
      </c>
      <c r="I132" s="29" t="str">
        <f ca="1">IF(H132="","",'Reference CAPA - Test data'!I132)</f>
        <v>Improve purification</v>
      </c>
    </row>
    <row r="133" spans="1:9" x14ac:dyDescent="0.35">
      <c r="A133" s="31">
        <v>200000567</v>
      </c>
      <c r="B133" s="31">
        <v>1010</v>
      </c>
      <c r="C133" s="31">
        <v>4122</v>
      </c>
      <c r="D133" s="29" t="str">
        <f>LOOKUP('CAPA-old'!C133,'QALS - Inspection Lot Record'!P:P,'QALS - Inspection Lot Record'!O:O)</f>
        <v>Metformin Tablets (100 MG)</v>
      </c>
      <c r="E133" s="31">
        <v>38.799999999999997</v>
      </c>
      <c r="F133" s="34">
        <f ca="1">IF(TODAY()&gt;=LOOKUP(C133,'QALS - Inspection Lot Record'!P:P,'QALS - Inspection Lot Record'!J:J)+RANDBETWEEN(0,1),LOOKUP(C133,'QALS - Inspection Lot Record'!P:P,'QALS - Inspection Lot Record'!J:J)+RANDBETWEEN(0,1),"")</f>
        <v>45930</v>
      </c>
      <c r="G133" s="41" t="str">
        <f ca="1">IF(F133="","",'Reference CAPA - Test data'!G133)</f>
        <v>Dissolution rate low - 15 mins</v>
      </c>
      <c r="H133" s="34">
        <f t="shared" ca="1" si="2"/>
        <v>45931</v>
      </c>
      <c r="I133" s="29" t="str">
        <f ca="1">IF(H133="","",'Reference CAPA - Test data'!I133)</f>
        <v>Increase agitation</v>
      </c>
    </row>
    <row r="134" spans="1:9" x14ac:dyDescent="0.35">
      <c r="A134" s="31">
        <v>200000568</v>
      </c>
      <c r="B134" s="31">
        <v>1010</v>
      </c>
      <c r="C134" s="31">
        <v>4123</v>
      </c>
      <c r="D134" s="29" t="str">
        <f>LOOKUP('CAPA-old'!C134,'QALS - Inspection Lot Record'!P:P,'QALS - Inspection Lot Record'!O:O)</f>
        <v>Metformin Tablets (200 MG)</v>
      </c>
      <c r="E134" s="31">
        <v>4.9000000000000004</v>
      </c>
      <c r="F134" s="34">
        <f ca="1">IF(TODAY()&gt;=LOOKUP(C134,'QALS - Inspection Lot Record'!P:P,'QALS - Inspection Lot Record'!J:J)+RANDBETWEEN(0,1),LOOKUP(C134,'QALS - Inspection Lot Record'!P:P,'QALS - Inspection Lot Record'!J:J)+RANDBETWEEN(0,1),"")</f>
        <v>45931</v>
      </c>
      <c r="G134" s="41" t="str">
        <f ca="1">IF(F134="","",'Reference CAPA - Test data'!G134)</f>
        <v>PH Level out of range</v>
      </c>
      <c r="H134" s="34">
        <f t="shared" ca="1" si="2"/>
        <v>45931</v>
      </c>
      <c r="I134" s="29" t="str">
        <f ca="1">IF(H134="","",'Reference CAPA - Test data'!I134)</f>
        <v>Supplier evaluation</v>
      </c>
    </row>
    <row r="135" spans="1:9" x14ac:dyDescent="0.35">
      <c r="A135" s="31">
        <v>200000568</v>
      </c>
      <c r="B135" s="31">
        <v>1010</v>
      </c>
      <c r="C135" s="31">
        <v>4123</v>
      </c>
      <c r="D135" s="29" t="str">
        <f>LOOKUP('CAPA-old'!C135,'QALS - Inspection Lot Record'!P:P,'QALS - Inspection Lot Record'!O:O)</f>
        <v>Metformin Tablets (200 MG)</v>
      </c>
      <c r="E135" s="31">
        <v>21.3</v>
      </c>
      <c r="F135" s="34">
        <f ca="1">IF(TODAY()&gt;=LOOKUP(C135,'QALS - Inspection Lot Record'!P:P,'QALS - Inspection Lot Record'!J:J)+RANDBETWEEN(0,1),LOOKUP(C135,'QALS - Inspection Lot Record'!P:P,'QALS - Inspection Lot Record'!J:J)+RANDBETWEEN(0,1),"")</f>
        <v>45931</v>
      </c>
      <c r="G135" s="41" t="str">
        <f ca="1">IF(F135="","",'Reference CAPA - Test data'!G135)</f>
        <v>Process temp out of range</v>
      </c>
      <c r="H135" s="34">
        <f t="shared" ca="1" si="2"/>
        <v>45931</v>
      </c>
      <c r="I135" s="29" t="str">
        <f ca="1">IF(H135="","",'Reference CAPA - Test data'!I135)</f>
        <v>Update production SOP</v>
      </c>
    </row>
    <row r="136" spans="1:9" x14ac:dyDescent="0.35">
      <c r="A136" s="31">
        <v>200000569</v>
      </c>
      <c r="B136" s="31">
        <v>1010</v>
      </c>
      <c r="C136" s="31">
        <v>4125</v>
      </c>
      <c r="D136" s="29" t="str">
        <f>LOOKUP('CAPA-old'!C136,'QALS - Inspection Lot Record'!P:P,'QALS - Inspection Lot Record'!O:O)</f>
        <v>Aspirin Tablets (500 MG)</v>
      </c>
      <c r="E136" s="31">
        <v>93.3</v>
      </c>
      <c r="F136" s="34">
        <f ca="1">IF(TODAY()&gt;=LOOKUP(C136,'QALS - Inspection Lot Record'!P:P,'QALS - Inspection Lot Record'!J:J)+RANDBETWEEN(0,1),LOOKUP(C136,'QALS - Inspection Lot Record'!P:P,'QALS - Inspection Lot Record'!J:J)+RANDBETWEEN(0,1),"")</f>
        <v>45932</v>
      </c>
      <c r="G136" s="41" t="str">
        <f ca="1">IF(F136="","",'Reference CAPA - Test data'!G136)</f>
        <v>Potency out of spec</v>
      </c>
      <c r="H136" s="34">
        <f t="shared" ca="1" si="2"/>
        <v>45932</v>
      </c>
      <c r="I136" s="29" t="str">
        <f ca="1">IF(H136="","",'Reference CAPA - Test data'!I136)</f>
        <v>Improve formulation</v>
      </c>
    </row>
    <row r="137" spans="1:9" x14ac:dyDescent="0.35">
      <c r="A137" s="31">
        <v>200000569</v>
      </c>
      <c r="B137" s="31">
        <v>1010</v>
      </c>
      <c r="C137" s="31">
        <v>4125</v>
      </c>
      <c r="D137" s="29" t="str">
        <f>LOOKUP('CAPA-old'!C137,'QALS - Inspection Lot Record'!P:P,'QALS - Inspection Lot Record'!O:O)</f>
        <v>Aspirin Tablets (500 MG)</v>
      </c>
      <c r="E137" s="31">
        <v>38.1</v>
      </c>
      <c r="F137" s="34">
        <f ca="1">IF(TODAY()&gt;=LOOKUP(C137,'QALS - Inspection Lot Record'!P:P,'QALS - Inspection Lot Record'!J:J)+RANDBETWEEN(0,1),LOOKUP(C137,'QALS - Inspection Lot Record'!P:P,'QALS - Inspection Lot Record'!J:J)+RANDBETWEEN(0,1),"")</f>
        <v>45932</v>
      </c>
      <c r="G137" s="41" t="str">
        <f ca="1">IF(F137="","",'Reference CAPA - Test data'!G137)</f>
        <v>Dissolution rate low - 15 mins</v>
      </c>
      <c r="H137" s="34">
        <f t="shared" ca="1" si="2"/>
        <v>45934</v>
      </c>
      <c r="I137" s="29" t="str">
        <f ca="1">IF(H137="","",'Reference CAPA - Test data'!I137)</f>
        <v>Training for operators</v>
      </c>
    </row>
    <row r="138" spans="1:9" x14ac:dyDescent="0.35">
      <c r="A138" s="31">
        <v>200000569</v>
      </c>
      <c r="B138" s="31">
        <v>1010</v>
      </c>
      <c r="C138" s="31">
        <v>4125</v>
      </c>
      <c r="D138" s="29" t="str">
        <f>LOOKUP('CAPA-old'!C138,'QALS - Inspection Lot Record'!P:P,'QALS - Inspection Lot Record'!O:O)</f>
        <v>Aspirin Tablets (500 MG)</v>
      </c>
      <c r="E138" s="31">
        <v>68.599999999999994</v>
      </c>
      <c r="F138" s="34">
        <f ca="1">IF(TODAY()&gt;=LOOKUP(C138,'QALS - Inspection Lot Record'!P:P,'QALS - Inspection Lot Record'!J:J)+RANDBETWEEN(0,1),LOOKUP(C138,'QALS - Inspection Lot Record'!P:P,'QALS - Inspection Lot Record'!J:J)+RANDBETWEEN(0,1),"")</f>
        <v>45933</v>
      </c>
      <c r="G138" s="41" t="str">
        <f ca="1">IF(F138="","",'Reference CAPA - Test data'!G138)</f>
        <v>Dissolution rate low - 30 mins</v>
      </c>
      <c r="H138" s="34">
        <f t="shared" ca="1" si="2"/>
        <v>45934</v>
      </c>
      <c r="I138" s="29" t="str">
        <f ca="1">IF(H138="","",'Reference CAPA - Test data'!I138)</f>
        <v>Increase disintegrant</v>
      </c>
    </row>
    <row r="139" spans="1:9" x14ac:dyDescent="0.35">
      <c r="A139" s="31">
        <v>200000569</v>
      </c>
      <c r="B139" s="31">
        <v>1010</v>
      </c>
      <c r="C139" s="31">
        <v>4125</v>
      </c>
      <c r="D139" s="29" t="str">
        <f>LOOKUP('CAPA-old'!C139,'QALS - Inspection Lot Record'!P:P,'QALS - Inspection Lot Record'!O:O)</f>
        <v>Aspirin Tablets (500 MG)</v>
      </c>
      <c r="E139" s="31">
        <v>78.900000000000006</v>
      </c>
      <c r="F139" s="34">
        <f ca="1">IF(TODAY()&gt;=LOOKUP(C139,'QALS - Inspection Lot Record'!P:P,'QALS - Inspection Lot Record'!J:J)+RANDBETWEEN(0,1),LOOKUP(C139,'QALS - Inspection Lot Record'!P:P,'QALS - Inspection Lot Record'!J:J)+RANDBETWEEN(0,1),"")</f>
        <v>45933</v>
      </c>
      <c r="G139" s="41" t="str">
        <f ca="1">IF(F139="","",'Reference CAPA - Test data'!G139)</f>
        <v>Dissolution rate low - 40 mins</v>
      </c>
      <c r="H139" s="34">
        <f t="shared" ca="1" si="2"/>
        <v>45935</v>
      </c>
      <c r="I139" s="29" t="str">
        <f ca="1">IF(H139="","",'Reference CAPA - Test data'!I139)</f>
        <v>Supplier evaluation</v>
      </c>
    </row>
    <row r="140" spans="1:9" x14ac:dyDescent="0.35">
      <c r="A140" s="31">
        <v>200000570</v>
      </c>
      <c r="B140" s="31">
        <v>1010</v>
      </c>
      <c r="C140" s="31">
        <v>4126</v>
      </c>
      <c r="D140" s="29" t="str">
        <f>LOOKUP('CAPA-old'!C140,'QALS - Inspection Lot Record'!P:P,'QALS - Inspection Lot Record'!O:O)</f>
        <v>Metformin Tablets (100 MG)</v>
      </c>
      <c r="E140" s="31">
        <v>94</v>
      </c>
      <c r="F140" s="34">
        <f ca="1">IF(TODAY()&gt;=LOOKUP(C140,'QALS - Inspection Lot Record'!P:P,'QALS - Inspection Lot Record'!J:J)+RANDBETWEEN(0,1),LOOKUP(C140,'QALS - Inspection Lot Record'!P:P,'QALS - Inspection Lot Record'!J:J)+RANDBETWEEN(0,1),"")</f>
        <v>45933</v>
      </c>
      <c r="G140" s="41" t="str">
        <f ca="1">IF(F140="","",'Reference CAPA - Test data'!G140)</f>
        <v>Potency out of spec</v>
      </c>
      <c r="H140" s="34">
        <f t="shared" ca="1" si="2"/>
        <v>45934</v>
      </c>
      <c r="I140" s="29" t="str">
        <f ca="1">IF(H140="","",'Reference CAPA - Test data'!I140)</f>
        <v>Additional testing</v>
      </c>
    </row>
    <row r="141" spans="1:9" x14ac:dyDescent="0.35">
      <c r="A141" s="31">
        <v>200000570</v>
      </c>
      <c r="B141" s="31">
        <v>1010</v>
      </c>
      <c r="C141" s="31">
        <v>4126</v>
      </c>
      <c r="D141" s="29" t="str">
        <f>LOOKUP('CAPA-old'!C141,'QALS - Inspection Lot Record'!P:P,'QALS - Inspection Lot Record'!O:O)</f>
        <v>Metformin Tablets (100 MG)</v>
      </c>
      <c r="E141" s="31">
        <v>2.1</v>
      </c>
      <c r="F141" s="34">
        <f ca="1">IF(TODAY()&gt;=LOOKUP(C141,'QALS - Inspection Lot Record'!P:P,'QALS - Inspection Lot Record'!J:J)+RANDBETWEEN(0,1),LOOKUP(C141,'QALS - Inspection Lot Record'!P:P,'QALS - Inspection Lot Record'!J:J)+RANDBETWEEN(0,1),"")</f>
        <v>45932</v>
      </c>
      <c r="G141" s="41" t="str">
        <f ca="1">IF(F141="","",'Reference CAPA - Test data'!G141)</f>
        <v>PH Level out of range</v>
      </c>
      <c r="H141" s="34">
        <f t="shared" ca="1" si="2"/>
        <v>45933</v>
      </c>
      <c r="I141" s="29" t="str">
        <f ca="1">IF(H141="","",'Reference CAPA - Test data'!I141)</f>
        <v>Adjust formulation</v>
      </c>
    </row>
    <row r="142" spans="1:9" x14ac:dyDescent="0.35">
      <c r="A142" s="31">
        <v>200000570</v>
      </c>
      <c r="B142" s="31">
        <v>1010</v>
      </c>
      <c r="C142" s="31">
        <v>4126</v>
      </c>
      <c r="D142" s="29" t="str">
        <f>LOOKUP('CAPA-old'!C142,'QALS - Inspection Lot Record'!P:P,'QALS - Inspection Lot Record'!O:O)</f>
        <v>Metformin Tablets (100 MG)</v>
      </c>
      <c r="E142" s="31">
        <v>2</v>
      </c>
      <c r="F142" s="34">
        <f ca="1">IF(TODAY()&gt;=LOOKUP(C142,'QALS - Inspection Lot Record'!P:P,'QALS - Inspection Lot Record'!J:J)+RANDBETWEEN(0,1),LOOKUP(C142,'QALS - Inspection Lot Record'!P:P,'QALS - Inspection Lot Record'!J:J)+RANDBETWEEN(0,1),"")</f>
        <v>45933</v>
      </c>
      <c r="G142" s="41" t="str">
        <f ca="1">IF(F142="","",'Reference CAPA - Test data'!G142)</f>
        <v>Impurities out of limit</v>
      </c>
      <c r="H142" s="34">
        <f t="shared" ca="1" si="2"/>
        <v>45935</v>
      </c>
      <c r="I142" s="29" t="str">
        <f ca="1">IF(H142="","",'Reference CAPA - Test data'!I142)</f>
        <v>Equipment maintenance</v>
      </c>
    </row>
    <row r="143" spans="1:9" x14ac:dyDescent="0.35">
      <c r="A143" s="31">
        <v>200000570</v>
      </c>
      <c r="B143" s="31">
        <v>1010</v>
      </c>
      <c r="C143" s="31">
        <v>4126</v>
      </c>
      <c r="D143" s="29" t="str">
        <f>LOOKUP('CAPA-old'!C143,'QALS - Inspection Lot Record'!P:P,'QALS - Inspection Lot Record'!O:O)</f>
        <v>Metformin Tablets (100 MG)</v>
      </c>
      <c r="E143" s="31">
        <v>62</v>
      </c>
      <c r="F143" s="34">
        <f ca="1">IF(TODAY()&gt;=LOOKUP(C143,'QALS - Inspection Lot Record'!P:P,'QALS - Inspection Lot Record'!J:J)+RANDBETWEEN(0,1),LOOKUP(C143,'QALS - Inspection Lot Record'!P:P,'QALS - Inspection Lot Record'!J:J)+RANDBETWEEN(0,1),"")</f>
        <v>45933</v>
      </c>
      <c r="G143" s="41" t="str">
        <f ca="1">IF(F143="","",'Reference CAPA - Test data'!G143)</f>
        <v>Dissolution rate high - 15 mins</v>
      </c>
      <c r="H143" s="34">
        <f t="shared" ca="1" si="2"/>
        <v>45934</v>
      </c>
      <c r="I143" s="29" t="str">
        <f ca="1">IF(H143="","",'Reference CAPA - Test data'!I143)</f>
        <v>Decrease agitation</v>
      </c>
    </row>
    <row r="144" spans="1:9" x14ac:dyDescent="0.35">
      <c r="A144" s="31">
        <v>200000571</v>
      </c>
      <c r="B144" s="31">
        <v>1010</v>
      </c>
      <c r="C144" s="31">
        <v>4127</v>
      </c>
      <c r="D144" s="29" t="str">
        <f>LOOKUP('CAPA-old'!C144,'QALS - Inspection Lot Record'!P:P,'QALS - Inspection Lot Record'!O:O)</f>
        <v>Aspirin Tablets (500 MG)</v>
      </c>
      <c r="E144" s="31">
        <v>68.900000000000006</v>
      </c>
      <c r="F144" s="34">
        <f ca="1">IF(TODAY()&gt;=LOOKUP(C144,'QALS - Inspection Lot Record'!P:P,'QALS - Inspection Lot Record'!J:J)+RANDBETWEEN(0,1),LOOKUP(C144,'QALS - Inspection Lot Record'!P:P,'QALS - Inspection Lot Record'!J:J)+RANDBETWEEN(0,1),"")</f>
        <v>45933</v>
      </c>
      <c r="G144" s="41" t="str">
        <f ca="1">IF(F144="","",'Reference CAPA - Test data'!G144)</f>
        <v>Dissolution rate low - 30 mins</v>
      </c>
      <c r="H144" s="34">
        <f t="shared" ca="1" si="2"/>
        <v>45935</v>
      </c>
      <c r="I144" s="29" t="str">
        <f ca="1">IF(H144="","",'Reference CAPA - Test data'!I144)</f>
        <v>Equipment calibration</v>
      </c>
    </row>
    <row r="145" spans="1:9" x14ac:dyDescent="0.35">
      <c r="A145" s="31">
        <v>200000571</v>
      </c>
      <c r="B145" s="31">
        <v>1010</v>
      </c>
      <c r="C145" s="31">
        <v>4127</v>
      </c>
      <c r="D145" s="29" t="str">
        <f>LOOKUP('CAPA-old'!C145,'QALS - Inspection Lot Record'!P:P,'QALS - Inspection Lot Record'!O:O)</f>
        <v>Aspirin Tablets (500 MG)</v>
      </c>
      <c r="E145" s="31">
        <v>21.8</v>
      </c>
      <c r="F145" s="34">
        <f ca="1">IF(TODAY()&gt;=LOOKUP(C145,'QALS - Inspection Lot Record'!P:P,'QALS - Inspection Lot Record'!J:J)+RANDBETWEEN(0,1),LOOKUP(C145,'QALS - Inspection Lot Record'!P:P,'QALS - Inspection Lot Record'!J:J)+RANDBETWEEN(0,1),"")</f>
        <v>45934</v>
      </c>
      <c r="G145" s="41" t="str">
        <f ca="1">IF(F145="","",'Reference CAPA - Test data'!G145)</f>
        <v>Process temp out of range</v>
      </c>
      <c r="H145" s="34">
        <f t="shared" ca="1" si="2"/>
        <v>45934</v>
      </c>
      <c r="I145" s="29" t="str">
        <f ca="1">IF(H145="","",'Reference CAPA - Test data'!I145)</f>
        <v>Temperature control</v>
      </c>
    </row>
    <row r="146" spans="1:9" x14ac:dyDescent="0.35">
      <c r="A146" s="31">
        <v>200000572</v>
      </c>
      <c r="B146" s="31">
        <v>1010</v>
      </c>
      <c r="C146" s="31">
        <v>4129</v>
      </c>
      <c r="D146" s="29" t="str">
        <f>LOOKUP('CAPA-old'!C146,'QALS - Inspection Lot Record'!P:P,'QALS - Inspection Lot Record'!O:O)</f>
        <v>Metformin Tablets (100 MG)</v>
      </c>
      <c r="E146" s="31">
        <v>93.3</v>
      </c>
      <c r="F146" s="34">
        <f ca="1">IF(TODAY()&gt;=LOOKUP(C146,'QALS - Inspection Lot Record'!P:P,'QALS - Inspection Lot Record'!J:J)+RANDBETWEEN(0,1),LOOKUP(C146,'QALS - Inspection Lot Record'!P:P,'QALS - Inspection Lot Record'!J:J)+RANDBETWEEN(0,1),"")</f>
        <v>45935</v>
      </c>
      <c r="G146" s="41" t="str">
        <f ca="1">IF(F146="","",'Reference CAPA - Test data'!G146)</f>
        <v>Potency out of spec</v>
      </c>
      <c r="H146" s="34">
        <f t="shared" ca="1" si="2"/>
        <v>45937</v>
      </c>
      <c r="I146" s="29" t="str">
        <f ca="1">IF(H146="","",'Reference CAPA - Test data'!I146)</f>
        <v>Training for operators</v>
      </c>
    </row>
    <row r="147" spans="1:9" x14ac:dyDescent="0.35">
      <c r="A147" s="31">
        <v>200000573</v>
      </c>
      <c r="B147" s="31">
        <v>1010</v>
      </c>
      <c r="C147" s="31">
        <v>4131</v>
      </c>
      <c r="D147" s="29" t="str">
        <f>LOOKUP('CAPA-old'!C147,'QALS - Inspection Lot Record'!P:P,'QALS - Inspection Lot Record'!O:O)</f>
        <v>Metformin Tablets (500 MG)</v>
      </c>
      <c r="E147" s="31">
        <v>21.1</v>
      </c>
      <c r="F147" s="34">
        <f ca="1">IF(TODAY()&gt;=LOOKUP(C147,'QALS - Inspection Lot Record'!P:P,'QALS - Inspection Lot Record'!J:J)+RANDBETWEEN(0,1),LOOKUP(C147,'QALS - Inspection Lot Record'!P:P,'QALS - Inspection Lot Record'!J:J)+RANDBETWEEN(0,1),"")</f>
        <v>45935</v>
      </c>
      <c r="G147" s="41" t="str">
        <f ca="1">IF(F147="","",'Reference CAPA - Test data'!G147)</f>
        <v>Process temp out of range</v>
      </c>
      <c r="H147" s="34">
        <f t="shared" ca="1" si="2"/>
        <v>45936</v>
      </c>
      <c r="I147" s="29" t="str">
        <f ca="1">IF(H147="","",'Reference CAPA - Test data'!I147)</f>
        <v>Supplier evaluation</v>
      </c>
    </row>
    <row r="148" spans="1:9" x14ac:dyDescent="0.35">
      <c r="A148" s="31">
        <v>200000574</v>
      </c>
      <c r="B148" s="31">
        <v>1010</v>
      </c>
      <c r="C148" s="31">
        <v>4133</v>
      </c>
      <c r="D148" s="29" t="str">
        <f>LOOKUP('CAPA-old'!C148,'QALS - Inspection Lot Record'!P:P,'QALS - Inspection Lot Record'!O:O)</f>
        <v>Metformin Tablets (100 MG)</v>
      </c>
      <c r="E148" s="31">
        <v>93.1</v>
      </c>
      <c r="F148" s="34">
        <f ca="1">IF(TODAY()&gt;=LOOKUP(C148,'QALS - Inspection Lot Record'!P:P,'QALS - Inspection Lot Record'!J:J)+RANDBETWEEN(0,1),LOOKUP(C148,'QALS - Inspection Lot Record'!P:P,'QALS - Inspection Lot Record'!J:J)+RANDBETWEEN(0,1),"")</f>
        <v>45936</v>
      </c>
      <c r="G148" s="41" t="str">
        <f ca="1">IF(F148="","",'Reference CAPA - Test data'!G148)</f>
        <v>Potency out of spec</v>
      </c>
      <c r="H148" s="34">
        <f t="shared" ca="1" si="2"/>
        <v>45937</v>
      </c>
      <c r="I148" s="29" t="str">
        <f ca="1">IF(H148="","",'Reference CAPA - Test data'!I148)</f>
        <v>Improve formulation</v>
      </c>
    </row>
    <row r="149" spans="1:9" x14ac:dyDescent="0.35">
      <c r="A149" s="31">
        <v>200000575</v>
      </c>
      <c r="B149" s="31">
        <v>1010</v>
      </c>
      <c r="C149" s="31">
        <v>4135</v>
      </c>
      <c r="D149" s="29" t="str">
        <f>LOOKUP('CAPA-old'!C149,'QALS - Inspection Lot Record'!P:P,'QALS - Inspection Lot Record'!O:O)</f>
        <v>Ibuprofen Tablets (100 MG)</v>
      </c>
      <c r="E149" s="31">
        <v>2.1</v>
      </c>
      <c r="F149" s="34">
        <f ca="1">IF(TODAY()&gt;=LOOKUP(C149,'QALS - Inspection Lot Record'!P:P,'QALS - Inspection Lot Record'!J:J)+RANDBETWEEN(0,1),LOOKUP(C149,'QALS - Inspection Lot Record'!P:P,'QALS - Inspection Lot Record'!J:J)+RANDBETWEEN(0,1),"")</f>
        <v>45938</v>
      </c>
      <c r="G149" s="41" t="str">
        <f ca="1">IF(F149="","",'Reference CAPA - Test data'!G149)</f>
        <v>PH Level out of range</v>
      </c>
      <c r="H149" s="34">
        <f t="shared" ca="1" si="2"/>
        <v>45939</v>
      </c>
      <c r="I149" s="29" t="str">
        <f ca="1">IF(H149="","",'Reference CAPA - Test data'!I149)</f>
        <v>Supplier evaluation</v>
      </c>
    </row>
    <row r="150" spans="1:9" x14ac:dyDescent="0.35">
      <c r="A150" s="31">
        <v>200000575</v>
      </c>
      <c r="B150" s="31">
        <v>1010</v>
      </c>
      <c r="C150" s="31">
        <v>4135</v>
      </c>
      <c r="D150" s="29" t="str">
        <f>LOOKUP('CAPA-old'!C150,'QALS - Inspection Lot Record'!P:P,'QALS - Inspection Lot Record'!O:O)</f>
        <v>Ibuprofen Tablets (100 MG)</v>
      </c>
      <c r="E150" s="31">
        <v>68.2</v>
      </c>
      <c r="F150" s="34">
        <f ca="1">IF(TODAY()&gt;=LOOKUP(C150,'QALS - Inspection Lot Record'!P:P,'QALS - Inspection Lot Record'!J:J)+RANDBETWEEN(0,1),LOOKUP(C150,'QALS - Inspection Lot Record'!P:P,'QALS - Inspection Lot Record'!J:J)+RANDBETWEEN(0,1),"")</f>
        <v>45938</v>
      </c>
      <c r="G150" s="41" t="str">
        <f ca="1">IF(F150="","",'Reference CAPA - Test data'!G150)</f>
        <v>Dissolution rate low - 30 mins</v>
      </c>
      <c r="H150" s="34">
        <f t="shared" ca="1" si="2"/>
        <v>45939</v>
      </c>
      <c r="I150" s="29" t="str">
        <f ca="1">IF(H150="","",'Reference CAPA - Test data'!I150)</f>
        <v>Increase disintegrant</v>
      </c>
    </row>
    <row r="151" spans="1:9" x14ac:dyDescent="0.35">
      <c r="A151" s="31">
        <v>200000575</v>
      </c>
      <c r="B151" s="31">
        <v>1010</v>
      </c>
      <c r="C151" s="31">
        <v>4135</v>
      </c>
      <c r="D151" s="29" t="str">
        <f>LOOKUP('CAPA-old'!C151,'QALS - Inspection Lot Record'!P:P,'QALS - Inspection Lot Record'!O:O)</f>
        <v>Ibuprofen Tablets (100 MG)</v>
      </c>
      <c r="E151" s="31">
        <v>78.3</v>
      </c>
      <c r="F151" s="34">
        <f ca="1">IF(TODAY()&gt;=LOOKUP(C151,'QALS - Inspection Lot Record'!P:P,'QALS - Inspection Lot Record'!J:J)+RANDBETWEEN(0,1),LOOKUP(C151,'QALS - Inspection Lot Record'!P:P,'QALS - Inspection Lot Record'!J:J)+RANDBETWEEN(0,1),"")</f>
        <v>45938</v>
      </c>
      <c r="G151" s="41" t="str">
        <f ca="1">IF(F151="","",'Reference CAPA - Test data'!G151)</f>
        <v>Dissolution rate low - 40 mins</v>
      </c>
      <c r="H151" s="34">
        <f t="shared" ca="1" si="2"/>
        <v>45939</v>
      </c>
      <c r="I151" s="29" t="str">
        <f ca="1">IF(H151="","",'Reference CAPA - Test data'!I151)</f>
        <v>Optimize compression</v>
      </c>
    </row>
    <row r="152" spans="1:9" x14ac:dyDescent="0.35">
      <c r="A152" s="31">
        <v>200000575</v>
      </c>
      <c r="B152" s="31">
        <v>1010</v>
      </c>
      <c r="C152" s="31">
        <v>4135</v>
      </c>
      <c r="D152" s="29" t="str">
        <f>LOOKUP('CAPA-old'!C152,'QALS - Inspection Lot Record'!P:P,'QALS - Inspection Lot Record'!O:O)</f>
        <v>Ibuprofen Tablets (100 MG)</v>
      </c>
      <c r="E152" s="31">
        <v>22</v>
      </c>
      <c r="F152" s="34">
        <f ca="1">IF(TODAY()&gt;=LOOKUP(C152,'QALS - Inspection Lot Record'!P:P,'QALS - Inspection Lot Record'!J:J)+RANDBETWEEN(0,1),LOOKUP(C152,'QALS - Inspection Lot Record'!P:P,'QALS - Inspection Lot Record'!J:J)+RANDBETWEEN(0,1),"")</f>
        <v>45938</v>
      </c>
      <c r="G152" s="41" t="str">
        <f ca="1">IF(F152="","",'Reference CAPA - Test data'!G152)</f>
        <v>Process temp out of range</v>
      </c>
      <c r="H152" s="34">
        <f t="shared" ca="1" si="2"/>
        <v>45939</v>
      </c>
      <c r="I152" s="29" t="str">
        <f ca="1">IF(H152="","",'Reference CAPA - Test data'!I152)</f>
        <v>Training for operators</v>
      </c>
    </row>
    <row r="153" spans="1:9" x14ac:dyDescent="0.35">
      <c r="A153" s="31">
        <v>200000576</v>
      </c>
      <c r="B153" s="31">
        <v>1010</v>
      </c>
      <c r="C153" s="31">
        <v>4136</v>
      </c>
      <c r="D153" s="29" t="str">
        <f>LOOKUP('CAPA-old'!C153,'QALS - Inspection Lot Record'!P:P,'QALS - Inspection Lot Record'!O:O)</f>
        <v>Metformin Tablets (200 MG)</v>
      </c>
      <c r="E153" s="31">
        <v>38.9</v>
      </c>
      <c r="F153" s="34">
        <f ca="1">IF(TODAY()&gt;=LOOKUP(C153,'QALS - Inspection Lot Record'!P:P,'QALS - Inspection Lot Record'!J:J)+RANDBETWEEN(0,1),LOOKUP(C153,'QALS - Inspection Lot Record'!P:P,'QALS - Inspection Lot Record'!J:J)+RANDBETWEEN(0,1),"")</f>
        <v>45938</v>
      </c>
      <c r="G153" s="41" t="str">
        <f ca="1">IF(F153="","",'Reference CAPA - Test data'!G153)</f>
        <v>Dissolution rate low - 15 mins</v>
      </c>
      <c r="H153" s="34">
        <f t="shared" ca="1" si="2"/>
        <v>45939</v>
      </c>
      <c r="I153" s="29" t="str">
        <f ca="1">IF(H153="","",'Reference CAPA - Test data'!I153)</f>
        <v>Reduce particle size</v>
      </c>
    </row>
    <row r="154" spans="1:9" x14ac:dyDescent="0.35">
      <c r="A154" s="31">
        <v>200000577</v>
      </c>
      <c r="B154" s="31">
        <v>1010</v>
      </c>
      <c r="C154" s="31">
        <v>4137</v>
      </c>
      <c r="D154" s="29" t="str">
        <f>LOOKUP('CAPA-old'!C154,'QALS - Inspection Lot Record'!P:P,'QALS - Inspection Lot Record'!O:O)</f>
        <v>Metformin Tablets (100 MG)</v>
      </c>
      <c r="E154" s="31">
        <v>93.2</v>
      </c>
      <c r="F154" s="34">
        <f ca="1">IF(TODAY()&gt;=LOOKUP(C154,'QALS - Inspection Lot Record'!P:P,'QALS - Inspection Lot Record'!J:J)+RANDBETWEEN(0,1),LOOKUP(C154,'QALS - Inspection Lot Record'!P:P,'QALS - Inspection Lot Record'!J:J)+RANDBETWEEN(0,1),"")</f>
        <v>45939</v>
      </c>
      <c r="G154" s="41" t="str">
        <f ca="1">IF(F154="","",'Reference CAPA - Test data'!G154)</f>
        <v>Potency out of spec</v>
      </c>
      <c r="H154" s="34">
        <f t="shared" ca="1" si="2"/>
        <v>45941</v>
      </c>
      <c r="I154" s="29" t="str">
        <f ca="1">IF(H154="","",'Reference CAPA - Test data'!I154)</f>
        <v>Supplier evaluation</v>
      </c>
    </row>
    <row r="155" spans="1:9" x14ac:dyDescent="0.35">
      <c r="A155" s="31">
        <v>200000578</v>
      </c>
      <c r="B155" s="31">
        <v>1010</v>
      </c>
      <c r="C155" s="31">
        <v>4138</v>
      </c>
      <c r="D155" s="29" t="str">
        <f>LOOKUP('CAPA-old'!C155,'QALS - Inspection Lot Record'!P:P,'QALS - Inspection Lot Record'!O:O)</f>
        <v>Ibuprofen Tablets (100 MG)</v>
      </c>
      <c r="E155" s="31">
        <v>93.5</v>
      </c>
      <c r="F155" s="34">
        <f ca="1">IF(TODAY()&gt;=LOOKUP(C155,'QALS - Inspection Lot Record'!P:P,'QALS - Inspection Lot Record'!J:J)+RANDBETWEEN(0,1),LOOKUP(C155,'QALS - Inspection Lot Record'!P:P,'QALS - Inspection Lot Record'!J:J)+RANDBETWEEN(0,1),"")</f>
        <v>45939</v>
      </c>
      <c r="G155" s="41" t="str">
        <f ca="1">IF(F155="","",'Reference CAPA - Test data'!G155)</f>
        <v>Potency out of spec</v>
      </c>
      <c r="H155" s="34">
        <f t="shared" ca="1" si="2"/>
        <v>45941</v>
      </c>
      <c r="I155" s="29" t="str">
        <f ca="1">IF(H155="","",'Reference CAPA - Test data'!I155)</f>
        <v>Equipment calibration</v>
      </c>
    </row>
    <row r="156" spans="1:9" x14ac:dyDescent="0.35">
      <c r="A156" s="31">
        <v>200000579</v>
      </c>
      <c r="B156" s="31">
        <v>1010</v>
      </c>
      <c r="C156" s="31">
        <v>4139</v>
      </c>
      <c r="D156" s="29" t="str">
        <f>LOOKUP('CAPA-old'!C156,'QALS - Inspection Lot Record'!P:P,'QALS - Inspection Lot Record'!O:O)</f>
        <v>Ibuprofen Tablets (100 MG)</v>
      </c>
      <c r="E156" s="31">
        <v>21.7</v>
      </c>
      <c r="F156" s="34">
        <f ca="1">IF(TODAY()&gt;=LOOKUP(C156,'QALS - Inspection Lot Record'!P:P,'QALS - Inspection Lot Record'!J:J)+RANDBETWEEN(0,1),LOOKUP(C156,'QALS - Inspection Lot Record'!P:P,'QALS - Inspection Lot Record'!J:J)+RANDBETWEEN(0,1),"")</f>
        <v>45939</v>
      </c>
      <c r="G156" s="41" t="str">
        <f ca="1">IF(F156="","",'Reference CAPA - Test data'!G156)</f>
        <v>Process temp out of range</v>
      </c>
      <c r="H156" s="34">
        <f t="shared" ca="1" si="2"/>
        <v>45941</v>
      </c>
      <c r="I156" s="29" t="str">
        <f ca="1">IF(H156="","",'Reference CAPA - Test data'!I156)</f>
        <v>Supplier evaluation</v>
      </c>
    </row>
    <row r="157" spans="1:9" x14ac:dyDescent="0.35">
      <c r="A157" s="31">
        <v>200000580</v>
      </c>
      <c r="B157" s="31">
        <v>1010</v>
      </c>
      <c r="C157" s="31">
        <v>4141</v>
      </c>
      <c r="D157" s="29" t="str">
        <f>LOOKUP('CAPA-old'!C157,'QALS - Inspection Lot Record'!P:P,'QALS - Inspection Lot Record'!O:O)</f>
        <v>Metformin Tablets (200 MG)</v>
      </c>
      <c r="E157" s="31">
        <v>2.1</v>
      </c>
      <c r="F157" s="34">
        <f ca="1">IF(TODAY()&gt;=LOOKUP(C157,'QALS - Inspection Lot Record'!P:P,'QALS - Inspection Lot Record'!J:J)+RANDBETWEEN(0,1),LOOKUP(C157,'QALS - Inspection Lot Record'!P:P,'QALS - Inspection Lot Record'!J:J)+RANDBETWEEN(0,1),"")</f>
        <v>45940</v>
      </c>
      <c r="G157" s="41" t="str">
        <f ca="1">IF(F157="","",'Reference CAPA - Test data'!G157)</f>
        <v>Impurities out of limit</v>
      </c>
      <c r="H157" s="34">
        <f t="shared" ca="1" si="2"/>
        <v>45940</v>
      </c>
      <c r="I157" s="29" t="str">
        <f ca="1">IF(H157="","",'Reference CAPA - Test data'!I157)</f>
        <v>Raw material control</v>
      </c>
    </row>
    <row r="158" spans="1:9" x14ac:dyDescent="0.35">
      <c r="A158" s="31">
        <v>200000581</v>
      </c>
      <c r="B158" s="31">
        <v>1010</v>
      </c>
      <c r="C158" s="31">
        <v>4143</v>
      </c>
      <c r="D158" s="29" t="str">
        <f>LOOKUP('CAPA-old'!C158,'QALS - Inspection Lot Record'!P:P,'QALS - Inspection Lot Record'!O:O)</f>
        <v>Metformin Tablets (500 MG)</v>
      </c>
      <c r="E158" s="31">
        <v>1.8</v>
      </c>
      <c r="F158" s="34">
        <f ca="1">IF(TODAY()&gt;=LOOKUP(C158,'QALS - Inspection Lot Record'!P:P,'QALS - Inspection Lot Record'!J:J)+RANDBETWEEN(0,1),LOOKUP(C158,'QALS - Inspection Lot Record'!P:P,'QALS - Inspection Lot Record'!J:J)+RANDBETWEEN(0,1),"")</f>
        <v>45942</v>
      </c>
      <c r="G158" s="41" t="str">
        <f ca="1">IF(F158="","",'Reference CAPA - Test data'!G158)</f>
        <v>PH Level out of range</v>
      </c>
      <c r="H158" s="34">
        <f t="shared" ca="1" si="2"/>
        <v>45942</v>
      </c>
      <c r="I158" s="29" t="str">
        <f ca="1">IF(H158="","",'Reference CAPA - Test data'!I158)</f>
        <v>PH monitoring</v>
      </c>
    </row>
    <row r="159" spans="1:9" x14ac:dyDescent="0.35">
      <c r="A159" s="31">
        <v>200000582</v>
      </c>
      <c r="B159" s="31">
        <v>1010</v>
      </c>
      <c r="C159" s="31">
        <v>4147</v>
      </c>
      <c r="D159" s="29" t="str">
        <f>LOOKUP('CAPA-old'!C159,'QALS - Inspection Lot Record'!P:P,'QALS - Inspection Lot Record'!O:O)</f>
        <v>Aspirin Tablets (500 MG)</v>
      </c>
      <c r="E159" s="31">
        <v>93.9</v>
      </c>
      <c r="F159" s="34">
        <f ca="1">IF(TODAY()&gt;=LOOKUP(C159,'QALS - Inspection Lot Record'!P:P,'QALS - Inspection Lot Record'!J:J)+RANDBETWEEN(0,1),LOOKUP(C159,'QALS - Inspection Lot Record'!P:P,'QALS - Inspection Lot Record'!J:J)+RANDBETWEEN(0,1),"")</f>
        <v>45944</v>
      </c>
      <c r="G159" s="41" t="str">
        <f ca="1">IF(F159="","",'Reference CAPA - Test data'!G159)</f>
        <v>Potency out of spec</v>
      </c>
      <c r="H159" s="34">
        <f t="shared" ca="1" si="2"/>
        <v>45944</v>
      </c>
      <c r="I159" s="29" t="str">
        <f ca="1">IF(H159="","",'Reference CAPA - Test data'!I159)</f>
        <v>Equipment calibration</v>
      </c>
    </row>
    <row r="160" spans="1:9" x14ac:dyDescent="0.35">
      <c r="A160" s="31">
        <v>200000582</v>
      </c>
      <c r="B160" s="31">
        <v>1010</v>
      </c>
      <c r="C160" s="31">
        <v>4147</v>
      </c>
      <c r="D160" s="29" t="str">
        <f>LOOKUP('CAPA-old'!C160,'QALS - Inspection Lot Record'!P:P,'QALS - Inspection Lot Record'!O:O)</f>
        <v>Aspirin Tablets (500 MG)</v>
      </c>
      <c r="E160" s="31">
        <v>2.4</v>
      </c>
      <c r="F160" s="34">
        <f ca="1">IF(TODAY()&gt;=LOOKUP(C160,'QALS - Inspection Lot Record'!P:P,'QALS - Inspection Lot Record'!J:J)+RANDBETWEEN(0,1),LOOKUP(C160,'QALS - Inspection Lot Record'!P:P,'QALS - Inspection Lot Record'!J:J)+RANDBETWEEN(0,1),"")</f>
        <v>45944</v>
      </c>
      <c r="G160" s="41" t="str">
        <f ca="1">IF(F160="","",'Reference CAPA - Test data'!G160)</f>
        <v>PH Level out of range</v>
      </c>
      <c r="H160" s="34">
        <f t="shared" ca="1" si="2"/>
        <v>45945</v>
      </c>
      <c r="I160" s="29" t="str">
        <f ca="1">IF(H160="","",'Reference CAPA - Test data'!I160)</f>
        <v>Supplier evaluation</v>
      </c>
    </row>
    <row r="161" spans="1:9" x14ac:dyDescent="0.35">
      <c r="A161" s="31">
        <v>200000583</v>
      </c>
      <c r="B161" s="31">
        <v>1010</v>
      </c>
      <c r="C161" s="31">
        <v>4148</v>
      </c>
      <c r="D161" s="29" t="str">
        <f>LOOKUP('CAPA-old'!C161,'QALS - Inspection Lot Record'!P:P,'QALS - Inspection Lot Record'!O:O)</f>
        <v>Metformin Tablets (200 MG)</v>
      </c>
      <c r="E161" s="31">
        <v>68.2</v>
      </c>
      <c r="F161" s="34">
        <f ca="1">IF(TODAY()&gt;=LOOKUP(C161,'QALS - Inspection Lot Record'!P:P,'QALS - Inspection Lot Record'!J:J)+RANDBETWEEN(0,1),LOOKUP(C161,'QALS - Inspection Lot Record'!P:P,'QALS - Inspection Lot Record'!J:J)+RANDBETWEEN(0,1),"")</f>
        <v>45944</v>
      </c>
      <c r="G161" s="41" t="str">
        <f ca="1">IF(F161="","",'Reference CAPA - Test data'!G161)</f>
        <v>Dissolution rate low - 30 mins</v>
      </c>
      <c r="H161" s="34">
        <f t="shared" ca="1" si="2"/>
        <v>45944</v>
      </c>
      <c r="I161" s="29" t="str">
        <f ca="1">IF(H161="","",'Reference CAPA - Test data'!I161)</f>
        <v>Supplier evaluation</v>
      </c>
    </row>
    <row r="162" spans="1:9" x14ac:dyDescent="0.35">
      <c r="A162" s="31">
        <v>200000584</v>
      </c>
      <c r="B162" s="31">
        <v>1010</v>
      </c>
      <c r="C162" s="31">
        <v>4157</v>
      </c>
      <c r="D162" s="29" t="str">
        <f>LOOKUP('CAPA-old'!C162,'QALS - Inspection Lot Record'!P:P,'QALS - Inspection Lot Record'!O:O)</f>
        <v>Metformin Tablets (500 MG)</v>
      </c>
      <c r="E162" s="31">
        <v>2.2000000000000002</v>
      </c>
      <c r="F162" s="34">
        <f ca="1">IF(TODAY()&gt;=LOOKUP(C162,'QALS - Inspection Lot Record'!P:P,'QALS - Inspection Lot Record'!J:J)+RANDBETWEEN(0,1),LOOKUP(C162,'QALS - Inspection Lot Record'!P:P,'QALS - Inspection Lot Record'!J:J)+RANDBETWEEN(0,1),"")</f>
        <v>45948</v>
      </c>
      <c r="G162" s="41" t="str">
        <f ca="1">IF(F162="","",'Reference CAPA - Test data'!G162)</f>
        <v>PH Level out of range</v>
      </c>
      <c r="H162" s="34">
        <f t="shared" ca="1" si="2"/>
        <v>45948</v>
      </c>
      <c r="I162" s="29" t="str">
        <f ca="1">IF(H162="","",'Reference CAPA - Test data'!I162)</f>
        <v>Adjust formulation</v>
      </c>
    </row>
    <row r="163" spans="1:9" x14ac:dyDescent="0.35">
      <c r="A163" s="31">
        <v>200000584</v>
      </c>
      <c r="B163" s="31">
        <v>1010</v>
      </c>
      <c r="C163" s="31">
        <v>4157</v>
      </c>
      <c r="D163" s="29" t="str">
        <f>LOOKUP('CAPA-old'!C163,'QALS - Inspection Lot Record'!P:P,'QALS - Inspection Lot Record'!O:O)</f>
        <v>Metformin Tablets (500 MG)</v>
      </c>
      <c r="E163" s="31">
        <v>68.099999999999994</v>
      </c>
      <c r="F163" s="34">
        <f ca="1">IF(TODAY()&gt;=LOOKUP(C163,'QALS - Inspection Lot Record'!P:P,'QALS - Inspection Lot Record'!J:J)+RANDBETWEEN(0,1),LOOKUP(C163,'QALS - Inspection Lot Record'!P:P,'QALS - Inspection Lot Record'!J:J)+RANDBETWEEN(0,1),"")</f>
        <v>45948</v>
      </c>
      <c r="G163" s="41" t="str">
        <f ca="1">IF(F163="","",'Reference CAPA - Test data'!G163)</f>
        <v>Dissolution rate low - 30 mins</v>
      </c>
      <c r="H163" s="34">
        <f t="shared" ca="1" si="2"/>
        <v>45949</v>
      </c>
      <c r="I163" s="29" t="str">
        <f ca="1">IF(H163="","",'Reference CAPA - Test data'!I163)</f>
        <v>Increase disintegrant</v>
      </c>
    </row>
    <row r="164" spans="1:9" x14ac:dyDescent="0.35">
      <c r="A164" s="31">
        <v>200000584</v>
      </c>
      <c r="B164" s="31">
        <v>1010</v>
      </c>
      <c r="C164" s="31">
        <v>4157</v>
      </c>
      <c r="D164" s="29" t="str">
        <f>LOOKUP('CAPA-old'!C164,'QALS - Inspection Lot Record'!P:P,'QALS - Inspection Lot Record'!O:O)</f>
        <v>Metformin Tablets (500 MG)</v>
      </c>
      <c r="E164" s="31">
        <v>78.8</v>
      </c>
      <c r="F164" s="34">
        <f ca="1">IF(TODAY()&gt;=LOOKUP(C164,'QALS - Inspection Lot Record'!P:P,'QALS - Inspection Lot Record'!J:J)+RANDBETWEEN(0,1),LOOKUP(C164,'QALS - Inspection Lot Record'!P:P,'QALS - Inspection Lot Record'!J:J)+RANDBETWEEN(0,1),"")</f>
        <v>45948</v>
      </c>
      <c r="G164" s="41" t="str">
        <f ca="1">IF(F164="","",'Reference CAPA - Test data'!G164)</f>
        <v>Dissolution rate low - 40 mins</v>
      </c>
      <c r="H164" s="34">
        <f t="shared" ca="1" si="2"/>
        <v>45949</v>
      </c>
      <c r="I164" s="29" t="str">
        <f ca="1">IF(H164="","",'Reference CAPA - Test data'!I164)</f>
        <v>Increase surface area</v>
      </c>
    </row>
    <row r="165" spans="1:9" x14ac:dyDescent="0.35">
      <c r="A165" s="31">
        <v>200000585</v>
      </c>
      <c r="B165" s="31">
        <v>1010</v>
      </c>
      <c r="C165" s="31">
        <v>4158</v>
      </c>
      <c r="D165" s="29" t="str">
        <f>LOOKUP('CAPA-old'!C165,'QALS - Inspection Lot Record'!P:P,'QALS - Inspection Lot Record'!O:O)</f>
        <v>Ibuprofen Tablets (100 MG)</v>
      </c>
      <c r="E165" s="31">
        <v>2.2000000000000002</v>
      </c>
      <c r="F165" s="34">
        <f ca="1">IF(TODAY()&gt;=LOOKUP(C165,'QALS - Inspection Lot Record'!P:P,'QALS - Inspection Lot Record'!J:J)+RANDBETWEEN(0,1),LOOKUP(C165,'QALS - Inspection Lot Record'!P:P,'QALS - Inspection Lot Record'!J:J)+RANDBETWEEN(0,1),"")</f>
        <v>45949</v>
      </c>
      <c r="G165" s="41" t="str">
        <f ca="1">IF(F165="","",'Reference CAPA - Test data'!G165)</f>
        <v>PH Level out of range</v>
      </c>
      <c r="H165" s="34">
        <f t="shared" ca="1" si="2"/>
        <v>45951</v>
      </c>
      <c r="I165" s="29" t="str">
        <f ca="1">IF(H165="","",'Reference CAPA - Test data'!I165)</f>
        <v>Training for operators</v>
      </c>
    </row>
    <row r="166" spans="1:9" x14ac:dyDescent="0.35">
      <c r="A166" s="31">
        <v>200000585</v>
      </c>
      <c r="B166" s="31">
        <v>1010</v>
      </c>
      <c r="C166" s="31">
        <v>4158</v>
      </c>
      <c r="D166" s="29" t="str">
        <f>LOOKUP('CAPA-old'!C166,'QALS - Inspection Lot Record'!P:P,'QALS - Inspection Lot Record'!O:O)</f>
        <v>Ibuprofen Tablets (100 MG)</v>
      </c>
      <c r="E166" s="31">
        <v>38</v>
      </c>
      <c r="F166" s="34">
        <f ca="1">IF(TODAY()&gt;=LOOKUP(C166,'QALS - Inspection Lot Record'!P:P,'QALS - Inspection Lot Record'!J:J)+RANDBETWEEN(0,1),LOOKUP(C166,'QALS - Inspection Lot Record'!P:P,'QALS - Inspection Lot Record'!J:J)+RANDBETWEEN(0,1),"")</f>
        <v>45948</v>
      </c>
      <c r="G166" s="41" t="str">
        <f ca="1">IF(F166="","",'Reference CAPA - Test data'!G166)</f>
        <v>Dissolution rate low - 15 mins</v>
      </c>
      <c r="H166" s="34">
        <f t="shared" ca="1" si="2"/>
        <v>45950</v>
      </c>
      <c r="I166" s="29" t="str">
        <f ca="1">IF(H166="","",'Reference CAPA - Test data'!I166)</f>
        <v>Supplier evaluation</v>
      </c>
    </row>
    <row r="167" spans="1:9" x14ac:dyDescent="0.35">
      <c r="A167" s="31">
        <v>200000585</v>
      </c>
      <c r="B167" s="31">
        <v>1010</v>
      </c>
      <c r="C167" s="31">
        <v>4158</v>
      </c>
      <c r="D167" s="29" t="str">
        <f>LOOKUP('CAPA-old'!C167,'QALS - Inspection Lot Record'!P:P,'QALS - Inspection Lot Record'!O:O)</f>
        <v>Ibuprofen Tablets (100 MG)</v>
      </c>
      <c r="E167" s="31">
        <v>68.900000000000006</v>
      </c>
      <c r="F167" s="34">
        <f ca="1">IF(TODAY()&gt;=LOOKUP(C167,'QALS - Inspection Lot Record'!P:P,'QALS - Inspection Lot Record'!J:J)+RANDBETWEEN(0,1),LOOKUP(C167,'QALS - Inspection Lot Record'!P:P,'QALS - Inspection Lot Record'!J:J)+RANDBETWEEN(0,1),"")</f>
        <v>45949</v>
      </c>
      <c r="G167" s="41" t="str">
        <f ca="1">IF(F167="","",'Reference CAPA - Test data'!G167)</f>
        <v>Dissolution rate low - 30 mins</v>
      </c>
      <c r="H167" s="34">
        <f t="shared" ca="1" si="2"/>
        <v>45950</v>
      </c>
      <c r="I167" s="29" t="str">
        <f ca="1">IF(H167="","",'Reference CAPA - Test data'!I167)</f>
        <v>Optimize granulation</v>
      </c>
    </row>
    <row r="168" spans="1:9" x14ac:dyDescent="0.35">
      <c r="A168" s="31">
        <v>200000585</v>
      </c>
      <c r="B168" s="31">
        <v>1010</v>
      </c>
      <c r="C168" s="31">
        <v>4158</v>
      </c>
      <c r="D168" s="29" t="str">
        <f>LOOKUP('CAPA-old'!C168,'QALS - Inspection Lot Record'!P:P,'QALS - Inspection Lot Record'!O:O)</f>
        <v>Ibuprofen Tablets (100 MG)</v>
      </c>
      <c r="E168" s="31">
        <v>78.599999999999994</v>
      </c>
      <c r="F168" s="34">
        <f ca="1">IF(TODAY()&gt;=LOOKUP(C168,'QALS - Inspection Lot Record'!P:P,'QALS - Inspection Lot Record'!J:J)+RANDBETWEEN(0,1),LOOKUP(C168,'QALS - Inspection Lot Record'!P:P,'QALS - Inspection Lot Record'!J:J)+RANDBETWEEN(0,1),"")</f>
        <v>45948</v>
      </c>
      <c r="G168" s="41" t="str">
        <f ca="1">IF(F168="","",'Reference CAPA - Test data'!G168)</f>
        <v>Dissolution rate low - 40 mins</v>
      </c>
      <c r="H168" s="34">
        <f t="shared" ca="1" si="2"/>
        <v>45949</v>
      </c>
      <c r="I168" s="29" t="str">
        <f ca="1">IF(H168="","",'Reference CAPA - Test data'!I168)</f>
        <v>Equipment calibration</v>
      </c>
    </row>
    <row r="169" spans="1:9" x14ac:dyDescent="0.35">
      <c r="A169" s="31">
        <v>200000586</v>
      </c>
      <c r="B169" s="31">
        <v>1010</v>
      </c>
      <c r="C169" s="31">
        <v>4161</v>
      </c>
      <c r="D169" s="29" t="str">
        <f>LOOKUP('CAPA-old'!C169,'QALS - Inspection Lot Record'!P:P,'QALS - Inspection Lot Record'!O:O)</f>
        <v>Metformin Tablets (500 MG)</v>
      </c>
      <c r="E169" s="31">
        <v>1.5</v>
      </c>
      <c r="F169" s="34">
        <f ca="1">IF(TODAY()&gt;=LOOKUP(C169,'QALS - Inspection Lot Record'!P:P,'QALS - Inspection Lot Record'!J:J)+RANDBETWEEN(0,1),LOOKUP(C169,'QALS - Inspection Lot Record'!P:P,'QALS - Inspection Lot Record'!J:J)+RANDBETWEEN(0,1),"")</f>
        <v>45950</v>
      </c>
      <c r="G169" s="41" t="str">
        <f ca="1">IF(F169="","",'Reference CAPA - Test data'!G169)</f>
        <v>PH Level out of range</v>
      </c>
      <c r="H169" s="34">
        <f t="shared" ca="1" si="2"/>
        <v>45950</v>
      </c>
      <c r="I169" s="29" t="str">
        <f ca="1">IF(H169="","",'Reference CAPA - Test data'!I169)</f>
        <v>Equipment calibration</v>
      </c>
    </row>
    <row r="170" spans="1:9" x14ac:dyDescent="0.35">
      <c r="A170" s="31">
        <v>200000586</v>
      </c>
      <c r="B170" s="31">
        <v>1010</v>
      </c>
      <c r="C170" s="31">
        <v>4161</v>
      </c>
      <c r="D170" s="29" t="str">
        <f>LOOKUP('CAPA-old'!C170,'QALS - Inspection Lot Record'!P:P,'QALS - Inspection Lot Record'!O:O)</f>
        <v>Metformin Tablets (500 MG)</v>
      </c>
      <c r="E170" s="31">
        <v>68.3</v>
      </c>
      <c r="F170" s="34">
        <f ca="1">IF(TODAY()&gt;=LOOKUP(C170,'QALS - Inspection Lot Record'!P:P,'QALS - Inspection Lot Record'!J:J)+RANDBETWEEN(0,1),LOOKUP(C170,'QALS - Inspection Lot Record'!P:P,'QALS - Inspection Lot Record'!J:J)+RANDBETWEEN(0,1),"")</f>
        <v>45950</v>
      </c>
      <c r="G170" s="41" t="str">
        <f ca="1">IF(F170="","",'Reference CAPA - Test data'!G170)</f>
        <v>Dissolution rate low - 30 mins</v>
      </c>
      <c r="H170" s="34">
        <f t="shared" ca="1" si="2"/>
        <v>45952</v>
      </c>
      <c r="I170" s="29" t="str">
        <f ca="1">IF(H170="","",'Reference CAPA - Test data'!I170)</f>
        <v>Supplier evaluation</v>
      </c>
    </row>
    <row r="171" spans="1:9" x14ac:dyDescent="0.35">
      <c r="A171" s="31">
        <v>200000586</v>
      </c>
      <c r="B171" s="31">
        <v>1010</v>
      </c>
      <c r="C171" s="31">
        <v>4161</v>
      </c>
      <c r="D171" s="29" t="str">
        <f>LOOKUP('CAPA-old'!C171,'QALS - Inspection Lot Record'!P:P,'QALS - Inspection Lot Record'!O:O)</f>
        <v>Metformin Tablets (500 MG)</v>
      </c>
      <c r="E171" s="31">
        <v>78</v>
      </c>
      <c r="F171" s="34">
        <f ca="1">IF(TODAY()&gt;=LOOKUP(C171,'QALS - Inspection Lot Record'!P:P,'QALS - Inspection Lot Record'!J:J)+RANDBETWEEN(0,1),LOOKUP(C171,'QALS - Inspection Lot Record'!P:P,'QALS - Inspection Lot Record'!J:J)+RANDBETWEEN(0,1),"")</f>
        <v>45950</v>
      </c>
      <c r="G171" s="41" t="str">
        <f ca="1">IF(F171="","",'Reference CAPA - Test data'!G171)</f>
        <v>Dissolution rate low - 40 mins</v>
      </c>
      <c r="H171" s="34">
        <f t="shared" ca="1" si="2"/>
        <v>45952</v>
      </c>
      <c r="I171" s="29" t="str">
        <f ca="1">IF(H171="","",'Reference CAPA - Test data'!I171)</f>
        <v>Optimize compression</v>
      </c>
    </row>
    <row r="172" spans="1:9" x14ac:dyDescent="0.35">
      <c r="A172" s="31">
        <v>200000587</v>
      </c>
      <c r="B172" s="31">
        <v>1010</v>
      </c>
      <c r="C172" s="31">
        <v>4162</v>
      </c>
      <c r="D172" s="29" t="str">
        <f>LOOKUP('CAPA-old'!C172,'QALS - Inspection Lot Record'!P:P,'QALS - Inspection Lot Record'!O:O)</f>
        <v>Metformin Tablets (100 MG)</v>
      </c>
      <c r="E172" s="31">
        <v>69</v>
      </c>
      <c r="F172" s="34">
        <f ca="1">IF(TODAY()&gt;=LOOKUP(C172,'QALS - Inspection Lot Record'!P:P,'QALS - Inspection Lot Record'!J:J)+RANDBETWEEN(0,1),LOOKUP(C172,'QALS - Inspection Lot Record'!P:P,'QALS - Inspection Lot Record'!J:J)+RANDBETWEEN(0,1),"")</f>
        <v>45950</v>
      </c>
      <c r="G172" s="41" t="str">
        <f ca="1">IF(F172="","",'Reference CAPA - Test data'!G172)</f>
        <v>Dissolution rate low - 30 mins</v>
      </c>
      <c r="H172" s="34">
        <f t="shared" ca="1" si="2"/>
        <v>45952</v>
      </c>
      <c r="I172" s="29" t="str">
        <f ca="1">IF(H172="","",'Reference CAPA - Test data'!I172)</f>
        <v>Optimize granulation</v>
      </c>
    </row>
    <row r="173" spans="1:9" x14ac:dyDescent="0.35">
      <c r="A173" s="31">
        <v>200000587</v>
      </c>
      <c r="B173" s="31">
        <v>1010</v>
      </c>
      <c r="C173" s="31">
        <v>4162</v>
      </c>
      <c r="D173" s="29" t="str">
        <f>LOOKUP('CAPA-old'!C173,'QALS - Inspection Lot Record'!P:P,'QALS - Inspection Lot Record'!O:O)</f>
        <v>Metformin Tablets (100 MG)</v>
      </c>
      <c r="E173" s="31">
        <v>78.2</v>
      </c>
      <c r="F173" s="34">
        <f ca="1">IF(TODAY()&gt;=LOOKUP(C173,'QALS - Inspection Lot Record'!P:P,'QALS - Inspection Lot Record'!J:J)+RANDBETWEEN(0,1),LOOKUP(C173,'QALS - Inspection Lot Record'!P:P,'QALS - Inspection Lot Record'!J:J)+RANDBETWEEN(0,1),"")</f>
        <v>45951</v>
      </c>
      <c r="G173" s="41" t="str">
        <f ca="1">IF(F173="","",'Reference CAPA - Test data'!G173)</f>
        <v>Dissolution rate low - 40 mins</v>
      </c>
      <c r="H173" s="34">
        <f t="shared" ca="1" si="2"/>
        <v>45951</v>
      </c>
      <c r="I173" s="29" t="str">
        <f ca="1">IF(H173="","",'Reference CAPA - Test data'!I173)</f>
        <v>Supplier evaluation</v>
      </c>
    </row>
    <row r="174" spans="1:9" x14ac:dyDescent="0.35">
      <c r="A174" s="31">
        <v>200000588</v>
      </c>
      <c r="B174" s="31">
        <v>1010</v>
      </c>
      <c r="C174" s="31">
        <v>4165</v>
      </c>
      <c r="D174" s="29" t="str">
        <f>LOOKUP('CAPA-old'!C174,'QALS - Inspection Lot Record'!P:P,'QALS - Inspection Lot Record'!O:O)</f>
        <v>Ibuprofen Tablets (100 MG)</v>
      </c>
      <c r="E174" s="31">
        <v>2</v>
      </c>
      <c r="F174" s="34">
        <f ca="1">IF(TODAY()&gt;=LOOKUP(C174,'QALS - Inspection Lot Record'!P:P,'QALS - Inspection Lot Record'!J:J)+RANDBETWEEN(0,1),LOOKUP(C174,'QALS - Inspection Lot Record'!P:P,'QALS - Inspection Lot Record'!J:J)+RANDBETWEEN(0,1),"")</f>
        <v>45953</v>
      </c>
      <c r="G174" s="41" t="str">
        <f ca="1">IF(F174="","",'Reference CAPA - Test data'!G174)</f>
        <v>PH Level out of range</v>
      </c>
      <c r="H174" s="34">
        <f t="shared" ca="1" si="2"/>
        <v>45955</v>
      </c>
      <c r="I174" s="29" t="str">
        <f ca="1">IF(H174="","",'Reference CAPA - Test data'!I174)</f>
        <v>PH monitoring</v>
      </c>
    </row>
    <row r="175" spans="1:9" x14ac:dyDescent="0.35">
      <c r="A175" s="31">
        <v>200000588</v>
      </c>
      <c r="B175" s="31">
        <v>1010</v>
      </c>
      <c r="C175" s="31">
        <v>4165</v>
      </c>
      <c r="D175" s="29" t="str">
        <f>LOOKUP('CAPA-old'!C175,'QALS - Inspection Lot Record'!P:P,'QALS - Inspection Lot Record'!O:O)</f>
        <v>Ibuprofen Tablets (100 MG)</v>
      </c>
      <c r="E175" s="31">
        <v>1.6</v>
      </c>
      <c r="F175" s="34">
        <f ca="1">IF(TODAY()&gt;=LOOKUP(C175,'QALS - Inspection Lot Record'!P:P,'QALS - Inspection Lot Record'!J:J)+RANDBETWEEN(0,1),LOOKUP(C175,'QALS - Inspection Lot Record'!P:P,'QALS - Inspection Lot Record'!J:J)+RANDBETWEEN(0,1),"")</f>
        <v>45952</v>
      </c>
      <c r="G175" s="41" t="str">
        <f ca="1">IF(F175="","",'Reference CAPA - Test data'!G175)</f>
        <v>Impurities out of limit</v>
      </c>
      <c r="H175" s="34">
        <f t="shared" ca="1" si="2"/>
        <v>45953</v>
      </c>
      <c r="I175" s="29" t="str">
        <f ca="1">IF(H175="","",'Reference CAPA - Test data'!I175)</f>
        <v>Improve purification</v>
      </c>
    </row>
    <row r="176" spans="1:9" x14ac:dyDescent="0.35">
      <c r="A176" s="31">
        <v>200000588</v>
      </c>
      <c r="B176" s="31">
        <v>1010</v>
      </c>
      <c r="C176" s="31">
        <v>4165</v>
      </c>
      <c r="D176" s="29" t="str">
        <f>LOOKUP('CAPA-old'!C176,'QALS - Inspection Lot Record'!P:P,'QALS - Inspection Lot Record'!O:O)</f>
        <v>Ibuprofen Tablets (100 MG)</v>
      </c>
      <c r="E176" s="31">
        <v>78.599999999999994</v>
      </c>
      <c r="F176" s="34">
        <f ca="1">IF(TODAY()&gt;=LOOKUP(C176,'QALS - Inspection Lot Record'!P:P,'QALS - Inspection Lot Record'!J:J)+RANDBETWEEN(0,1),LOOKUP(C176,'QALS - Inspection Lot Record'!P:P,'QALS - Inspection Lot Record'!J:J)+RANDBETWEEN(0,1),"")</f>
        <v>45952</v>
      </c>
      <c r="G176" s="41" t="str">
        <f ca="1">IF(F176="","",'Reference CAPA - Test data'!G176)</f>
        <v>Dissolution rate low - 40 mins</v>
      </c>
      <c r="H176" s="34">
        <f t="shared" ca="1" si="2"/>
        <v>45953</v>
      </c>
      <c r="I176" s="29" t="str">
        <f ca="1">IF(H176="","",'Reference CAPA - Test data'!I176)</f>
        <v>Equipment calibration</v>
      </c>
    </row>
    <row r="177" spans="1:9" x14ac:dyDescent="0.35">
      <c r="A177" s="31">
        <v>200000588</v>
      </c>
      <c r="B177" s="31">
        <v>1010</v>
      </c>
      <c r="C177" s="31">
        <v>4165</v>
      </c>
      <c r="D177" s="29" t="str">
        <f>LOOKUP('CAPA-old'!C177,'QALS - Inspection Lot Record'!P:P,'QALS - Inspection Lot Record'!O:O)</f>
        <v>Ibuprofen Tablets (100 MG)</v>
      </c>
      <c r="E177" s="31">
        <v>21.5</v>
      </c>
      <c r="F177" s="34">
        <f ca="1">IF(TODAY()&gt;=LOOKUP(C177,'QALS - Inspection Lot Record'!P:P,'QALS - Inspection Lot Record'!J:J)+RANDBETWEEN(0,1),LOOKUP(C177,'QALS - Inspection Lot Record'!P:P,'QALS - Inspection Lot Record'!J:J)+RANDBETWEEN(0,1),"")</f>
        <v>45952</v>
      </c>
      <c r="G177" s="41" t="str">
        <f ca="1">IF(F177="","",'Reference CAPA - Test data'!G177)</f>
        <v>Process temp out of range</v>
      </c>
      <c r="H177" s="34">
        <f t="shared" ca="1" si="2"/>
        <v>45952</v>
      </c>
      <c r="I177" s="29" t="str">
        <f ca="1">IF(H177="","",'Reference CAPA - Test data'!I177)</f>
        <v>Equipment calibration</v>
      </c>
    </row>
    <row r="178" spans="1:9" x14ac:dyDescent="0.35">
      <c r="A178" s="31">
        <v>200000589</v>
      </c>
      <c r="B178" s="31">
        <v>1010</v>
      </c>
      <c r="C178" s="31">
        <v>4166</v>
      </c>
      <c r="D178" s="29" t="str">
        <f>LOOKUP('CAPA-old'!C178,'QALS - Inspection Lot Record'!P:P,'QALS - Inspection Lot Record'!O:O)</f>
        <v>Metformin Tablets (500 MG)</v>
      </c>
      <c r="E178" s="31">
        <v>2.2999999999999998</v>
      </c>
      <c r="F178" s="34">
        <f ca="1">IF(TODAY()&gt;=LOOKUP(C178,'QALS - Inspection Lot Record'!P:P,'QALS - Inspection Lot Record'!J:J)+RANDBETWEEN(0,1),LOOKUP(C178,'QALS - Inspection Lot Record'!P:P,'QALS - Inspection Lot Record'!J:J)+RANDBETWEEN(0,1),"")</f>
        <v>45953</v>
      </c>
      <c r="G178" s="41" t="str">
        <f ca="1">IF(F178="","",'Reference CAPA - Test data'!G178)</f>
        <v>PH Level out of range</v>
      </c>
      <c r="H178" s="34">
        <f t="shared" ca="1" si="2"/>
        <v>45955</v>
      </c>
      <c r="I178" s="29" t="str">
        <f ca="1">IF(H178="","",'Reference CAPA - Test data'!I178)</f>
        <v>Update production SOP</v>
      </c>
    </row>
    <row r="179" spans="1:9" x14ac:dyDescent="0.35">
      <c r="A179" s="31">
        <v>200000589</v>
      </c>
      <c r="B179" s="31">
        <v>1010</v>
      </c>
      <c r="C179" s="31">
        <v>4166</v>
      </c>
      <c r="D179" s="29" t="str">
        <f>LOOKUP('CAPA-old'!C179,'QALS - Inspection Lot Record'!P:P,'QALS - Inspection Lot Record'!O:O)</f>
        <v>Metformin Tablets (500 MG)</v>
      </c>
      <c r="E179" s="31">
        <v>78.099999999999994</v>
      </c>
      <c r="F179" s="34">
        <f ca="1">IF(TODAY()&gt;=LOOKUP(C179,'QALS - Inspection Lot Record'!P:P,'QALS - Inspection Lot Record'!J:J)+RANDBETWEEN(0,1),LOOKUP(C179,'QALS - Inspection Lot Record'!P:P,'QALS - Inspection Lot Record'!J:J)+RANDBETWEEN(0,1),"")</f>
        <v>45952</v>
      </c>
      <c r="G179" s="41" t="str">
        <f ca="1">IF(F179="","",'Reference CAPA - Test data'!G179)</f>
        <v>Dissolution rate low - 40 mins</v>
      </c>
      <c r="H179" s="34">
        <f t="shared" ca="1" si="2"/>
        <v>45952</v>
      </c>
      <c r="I179" s="29" t="str">
        <f ca="1">IF(H179="","",'Reference CAPA - Test data'!I179)</f>
        <v>Supplier evaluation</v>
      </c>
    </row>
    <row r="180" spans="1:9" x14ac:dyDescent="0.35">
      <c r="A180" s="31">
        <v>200000589</v>
      </c>
      <c r="B180" s="31">
        <v>1010</v>
      </c>
      <c r="C180" s="31">
        <v>4166</v>
      </c>
      <c r="D180" s="29" t="str">
        <f>LOOKUP('CAPA-old'!C180,'QALS - Inspection Lot Record'!P:P,'QALS - Inspection Lot Record'!O:O)</f>
        <v>Metformin Tablets (500 MG)</v>
      </c>
      <c r="E180" s="31">
        <v>21.7</v>
      </c>
      <c r="F180" s="34">
        <f ca="1">IF(TODAY()&gt;=LOOKUP(C180,'QALS - Inspection Lot Record'!P:P,'QALS - Inspection Lot Record'!J:J)+RANDBETWEEN(0,1),LOOKUP(C180,'QALS - Inspection Lot Record'!P:P,'QALS - Inspection Lot Record'!J:J)+RANDBETWEEN(0,1),"")</f>
        <v>45952</v>
      </c>
      <c r="G180" s="41" t="str">
        <f ca="1">IF(F180="","",'Reference CAPA - Test data'!G180)</f>
        <v>Process temp out of range</v>
      </c>
      <c r="H180" s="34">
        <f t="shared" ca="1" si="2"/>
        <v>45953</v>
      </c>
      <c r="I180" s="29" t="str">
        <f ca="1">IF(H180="","",'Reference CAPA - Test data'!I180)</f>
        <v>Update production SOP</v>
      </c>
    </row>
    <row r="181" spans="1:9" x14ac:dyDescent="0.35">
      <c r="A181" s="31">
        <v>200000590</v>
      </c>
      <c r="B181" s="31">
        <v>1010</v>
      </c>
      <c r="C181" s="31">
        <v>4169</v>
      </c>
      <c r="D181" s="29" t="str">
        <f>LOOKUP('CAPA-old'!C181,'QALS - Inspection Lot Record'!P:P,'QALS - Inspection Lot Record'!O:O)</f>
        <v>Aspirin Tablets (500 MG)</v>
      </c>
      <c r="E181" s="31">
        <v>93.1</v>
      </c>
      <c r="F181" s="34">
        <f ca="1">IF(TODAY()&gt;=LOOKUP(C181,'QALS - Inspection Lot Record'!P:P,'QALS - Inspection Lot Record'!J:J)+RANDBETWEEN(0,1),LOOKUP(C181,'QALS - Inspection Lot Record'!P:P,'QALS - Inspection Lot Record'!J:J)+RANDBETWEEN(0,1),"")</f>
        <v>45955</v>
      </c>
      <c r="G181" s="41" t="str">
        <f ca="1">IF(F181="","",'Reference CAPA - Test data'!G181)</f>
        <v>Potency out of spec</v>
      </c>
      <c r="H181" s="34">
        <f t="shared" ca="1" si="2"/>
        <v>45955</v>
      </c>
      <c r="I181" s="29" t="str">
        <f ca="1">IF(H181="","",'Reference CAPA - Test data'!I181)</f>
        <v>Training for operators</v>
      </c>
    </row>
    <row r="182" spans="1:9" x14ac:dyDescent="0.35">
      <c r="A182" s="31">
        <v>200000590</v>
      </c>
      <c r="B182" s="31">
        <v>1010</v>
      </c>
      <c r="C182" s="31">
        <v>4169</v>
      </c>
      <c r="D182" s="29" t="str">
        <f>LOOKUP('CAPA-old'!C182,'QALS - Inspection Lot Record'!P:P,'QALS - Inspection Lot Record'!O:O)</f>
        <v>Aspirin Tablets (500 MG)</v>
      </c>
      <c r="E182" s="31">
        <v>2.5</v>
      </c>
      <c r="F182" s="34">
        <f ca="1">IF(TODAY()&gt;=LOOKUP(C182,'QALS - Inspection Lot Record'!P:P,'QALS - Inspection Lot Record'!J:J)+RANDBETWEEN(0,1),LOOKUP(C182,'QALS - Inspection Lot Record'!P:P,'QALS - Inspection Lot Record'!J:J)+RANDBETWEEN(0,1),"")</f>
        <v>45954</v>
      </c>
      <c r="G182" s="41" t="str">
        <f ca="1">IF(F182="","",'Reference CAPA - Test data'!G182)</f>
        <v>PH Level out of range</v>
      </c>
      <c r="H182" s="34">
        <f t="shared" ca="1" si="2"/>
        <v>45955</v>
      </c>
      <c r="I182" s="29" t="str">
        <f ca="1">IF(H182="","",'Reference CAPA - Test data'!I182)</f>
        <v>PH monitoring</v>
      </c>
    </row>
    <row r="183" spans="1:9" x14ac:dyDescent="0.35">
      <c r="A183" s="31">
        <v>200000590</v>
      </c>
      <c r="B183" s="31">
        <v>1010</v>
      </c>
      <c r="C183" s="31">
        <v>4169</v>
      </c>
      <c r="D183" s="29" t="str">
        <f>LOOKUP('CAPA-old'!C183,'QALS - Inspection Lot Record'!P:P,'QALS - Inspection Lot Record'!O:O)</f>
        <v>Aspirin Tablets (500 MG)</v>
      </c>
      <c r="E183" s="31">
        <v>78</v>
      </c>
      <c r="F183" s="34">
        <f ca="1">IF(TODAY()&gt;=LOOKUP(C183,'QALS - Inspection Lot Record'!P:P,'QALS - Inspection Lot Record'!J:J)+RANDBETWEEN(0,1),LOOKUP(C183,'QALS - Inspection Lot Record'!P:P,'QALS - Inspection Lot Record'!J:J)+RANDBETWEEN(0,1),"")</f>
        <v>45954</v>
      </c>
      <c r="G183" s="41" t="str">
        <f ca="1">IF(F183="","",'Reference CAPA - Test data'!G183)</f>
        <v>Dissolution rate low - 40 mins</v>
      </c>
      <c r="H183" s="34">
        <f t="shared" ca="1" si="2"/>
        <v>45954</v>
      </c>
      <c r="I183" s="29" t="str">
        <f ca="1">IF(H183="","",'Reference CAPA - Test data'!I183)</f>
        <v>Optimize compression</v>
      </c>
    </row>
    <row r="184" spans="1:9" x14ac:dyDescent="0.35">
      <c r="A184" s="31">
        <v>200000591</v>
      </c>
      <c r="B184" s="31">
        <v>1010</v>
      </c>
      <c r="C184" s="31">
        <v>4170</v>
      </c>
      <c r="D184" s="29" t="str">
        <f>LOOKUP('CAPA-old'!C184,'QALS - Inspection Lot Record'!P:P,'QALS - Inspection Lot Record'!O:O)</f>
        <v>Ibuprofen Tablets (100 MG)</v>
      </c>
      <c r="E184" s="31">
        <v>93.4</v>
      </c>
      <c r="F184" s="34">
        <f ca="1">IF(TODAY()&gt;=LOOKUP(C184,'QALS - Inspection Lot Record'!P:P,'QALS - Inspection Lot Record'!J:J)+RANDBETWEEN(0,1),LOOKUP(C184,'QALS - Inspection Lot Record'!P:P,'QALS - Inspection Lot Record'!J:J)+RANDBETWEEN(0,1),"")</f>
        <v>45955</v>
      </c>
      <c r="G184" s="41" t="str">
        <f ca="1">IF(F184="","",'Reference CAPA - Test data'!G184)</f>
        <v>Potency out of spec</v>
      </c>
      <c r="H184" s="34">
        <f t="shared" ca="1" si="2"/>
        <v>45957</v>
      </c>
      <c r="I184" s="29" t="str">
        <f ca="1">IF(H184="","",'Reference CAPA - Test data'!I184)</f>
        <v>Additional testing</v>
      </c>
    </row>
    <row r="185" spans="1:9" x14ac:dyDescent="0.35">
      <c r="A185" s="31">
        <v>200000591</v>
      </c>
      <c r="B185" s="31">
        <v>1010</v>
      </c>
      <c r="C185" s="31">
        <v>4170</v>
      </c>
      <c r="D185" s="29" t="str">
        <f>LOOKUP('CAPA-old'!C185,'QALS - Inspection Lot Record'!P:P,'QALS - Inspection Lot Record'!O:O)</f>
        <v>Ibuprofen Tablets (100 MG)</v>
      </c>
      <c r="E185" s="31">
        <v>1.5</v>
      </c>
      <c r="F185" s="34">
        <f ca="1">IF(TODAY()&gt;=LOOKUP(C185,'QALS - Inspection Lot Record'!P:P,'QALS - Inspection Lot Record'!J:J)+RANDBETWEEN(0,1),LOOKUP(C185,'QALS - Inspection Lot Record'!P:P,'QALS - Inspection Lot Record'!J:J)+RANDBETWEEN(0,1),"")</f>
        <v>45955</v>
      </c>
      <c r="G185" s="41" t="str">
        <f ca="1">IF(F185="","",'Reference CAPA - Test data'!G185)</f>
        <v>PH Level out of range</v>
      </c>
      <c r="H185" s="34">
        <f t="shared" ca="1" si="2"/>
        <v>45957</v>
      </c>
      <c r="I185" s="29" t="str">
        <f ca="1">IF(H185="","",'Reference CAPA - Test data'!I185)</f>
        <v>Supplier evaluation</v>
      </c>
    </row>
    <row r="186" spans="1:9" x14ac:dyDescent="0.35">
      <c r="A186" s="31">
        <v>200000591</v>
      </c>
      <c r="B186" s="31">
        <v>1010</v>
      </c>
      <c r="C186" s="31">
        <v>4170</v>
      </c>
      <c r="D186" s="29" t="str">
        <f>LOOKUP('CAPA-old'!C186,'QALS - Inspection Lot Record'!P:P,'QALS - Inspection Lot Record'!O:O)</f>
        <v>Ibuprofen Tablets (100 MG)</v>
      </c>
      <c r="E186" s="31">
        <v>78.400000000000006</v>
      </c>
      <c r="F186" s="34">
        <f ca="1">IF(TODAY()&gt;=LOOKUP(C186,'QALS - Inspection Lot Record'!P:P,'QALS - Inspection Lot Record'!J:J)+RANDBETWEEN(0,1),LOOKUP(C186,'QALS - Inspection Lot Record'!P:P,'QALS - Inspection Lot Record'!J:J)+RANDBETWEEN(0,1),"")</f>
        <v>45955</v>
      </c>
      <c r="G186" s="41" t="str">
        <f ca="1">IF(F186="","",'Reference CAPA - Test data'!G186)</f>
        <v>Dissolution rate low - 40 mins</v>
      </c>
      <c r="H186" s="34">
        <f t="shared" ca="1" si="2"/>
        <v>45957</v>
      </c>
      <c r="I186" s="29" t="str">
        <f ca="1">IF(H186="","",'Reference CAPA - Test data'!I186)</f>
        <v>Training for operators</v>
      </c>
    </row>
    <row r="187" spans="1:9" x14ac:dyDescent="0.35">
      <c r="A187" s="31">
        <v>200000591</v>
      </c>
      <c r="B187" s="31">
        <v>1010</v>
      </c>
      <c r="C187" s="31">
        <v>4170</v>
      </c>
      <c r="D187" s="29" t="str">
        <f>LOOKUP('CAPA-old'!C187,'QALS - Inspection Lot Record'!P:P,'QALS - Inspection Lot Record'!O:O)</f>
        <v>Ibuprofen Tablets (100 MG)</v>
      </c>
      <c r="E187" s="31">
        <v>22</v>
      </c>
      <c r="F187" s="34">
        <f ca="1">IF(TODAY()&gt;=LOOKUP(C187,'QALS - Inspection Lot Record'!P:P,'QALS - Inspection Lot Record'!J:J)+RANDBETWEEN(0,1),LOOKUP(C187,'QALS - Inspection Lot Record'!P:P,'QALS - Inspection Lot Record'!J:J)+RANDBETWEEN(0,1),"")</f>
        <v>45955</v>
      </c>
      <c r="G187" s="41" t="str">
        <f ca="1">IF(F187="","",'Reference CAPA - Test data'!G187)</f>
        <v>Process temp out of range</v>
      </c>
      <c r="H187" s="34">
        <f t="shared" ca="1" si="2"/>
        <v>45957</v>
      </c>
      <c r="I187" s="29" t="str">
        <f ca="1">IF(H187="","",'Reference CAPA - Test data'!I187)</f>
        <v>Equipment calibration</v>
      </c>
    </row>
    <row r="188" spans="1:9" x14ac:dyDescent="0.35">
      <c r="A188" s="31">
        <v>200000592</v>
      </c>
      <c r="B188" s="31">
        <v>1010</v>
      </c>
      <c r="C188" s="31">
        <v>4173</v>
      </c>
      <c r="D188" s="29" t="str">
        <f>LOOKUP('CAPA-old'!C188,'QALS - Inspection Lot Record'!P:P,'QALS - Inspection Lot Record'!O:O)</f>
        <v>Aspirin Tablets (500 MG)</v>
      </c>
      <c r="E188" s="31">
        <v>2.1</v>
      </c>
      <c r="F188" s="34">
        <f ca="1">IF(TODAY()&gt;=LOOKUP(C188,'QALS - Inspection Lot Record'!P:P,'QALS - Inspection Lot Record'!J:J)+RANDBETWEEN(0,1),LOOKUP(C188,'QALS - Inspection Lot Record'!P:P,'QALS - Inspection Lot Record'!J:J)+RANDBETWEEN(0,1),"")</f>
        <v>45956</v>
      </c>
      <c r="G188" s="41" t="str">
        <f ca="1">IF(F188="","",'Reference CAPA - Test data'!G188)</f>
        <v>PH Level out of range</v>
      </c>
      <c r="H188" s="34">
        <f t="shared" ca="1" si="2"/>
        <v>45958</v>
      </c>
      <c r="I188" s="29" t="str">
        <f ca="1">IF(H188="","",'Reference CAPA - Test data'!I188)</f>
        <v>Equipment calibration</v>
      </c>
    </row>
    <row r="189" spans="1:9" x14ac:dyDescent="0.35">
      <c r="A189" s="31">
        <v>200000592</v>
      </c>
      <c r="B189" s="31">
        <v>1010</v>
      </c>
      <c r="C189" s="31">
        <v>4173</v>
      </c>
      <c r="D189" s="29" t="str">
        <f>LOOKUP('CAPA-old'!C189,'QALS - Inspection Lot Record'!P:P,'QALS - Inspection Lot Record'!O:O)</f>
        <v>Aspirin Tablets (500 MG)</v>
      </c>
      <c r="E189" s="31">
        <v>38.200000000000003</v>
      </c>
      <c r="F189" s="34">
        <f ca="1">IF(TODAY()&gt;=LOOKUP(C189,'QALS - Inspection Lot Record'!P:P,'QALS - Inspection Lot Record'!J:J)+RANDBETWEEN(0,1),LOOKUP(C189,'QALS - Inspection Lot Record'!P:P,'QALS - Inspection Lot Record'!J:J)+RANDBETWEEN(0,1),"")</f>
        <v>45957</v>
      </c>
      <c r="G189" s="41" t="str">
        <f ca="1">IF(F189="","",'Reference CAPA - Test data'!G189)</f>
        <v>Dissolution rate low - 15 mins</v>
      </c>
      <c r="H189" s="34">
        <f t="shared" ca="1" si="2"/>
        <v>45958</v>
      </c>
      <c r="I189" s="29" t="str">
        <f ca="1">IF(H189="","",'Reference CAPA - Test data'!I189)</f>
        <v>Update production SOP</v>
      </c>
    </row>
    <row r="190" spans="1:9" x14ac:dyDescent="0.35">
      <c r="A190" s="31">
        <v>200000593</v>
      </c>
      <c r="B190" s="31">
        <v>1010</v>
      </c>
      <c r="C190" s="31">
        <v>4174</v>
      </c>
      <c r="D190" s="29" t="str">
        <f>LOOKUP('CAPA-old'!C190,'QALS - Inspection Lot Record'!P:P,'QALS - Inspection Lot Record'!O:O)</f>
        <v>Metformin Tablets (500 MG)</v>
      </c>
      <c r="E190" s="31">
        <v>2.1</v>
      </c>
      <c r="F190" s="34">
        <f ca="1">IF(TODAY()&gt;=LOOKUP(C190,'QALS - Inspection Lot Record'!P:P,'QALS - Inspection Lot Record'!J:J)+RANDBETWEEN(0,1),LOOKUP(C190,'QALS - Inspection Lot Record'!P:P,'QALS - Inspection Lot Record'!J:J)+RANDBETWEEN(0,1),"")</f>
        <v>45956</v>
      </c>
      <c r="G190" s="41" t="str">
        <f ca="1">IF(F190="","",'Reference CAPA - Test data'!G190)</f>
        <v>Impurities out of limit</v>
      </c>
      <c r="H190" s="34">
        <f t="shared" ca="1" si="2"/>
        <v>45958</v>
      </c>
      <c r="I190" s="29" t="str">
        <f ca="1">IF(H190="","",'Reference CAPA - Test data'!I190)</f>
        <v>Equipment maintenance</v>
      </c>
    </row>
    <row r="191" spans="1:9" x14ac:dyDescent="0.35">
      <c r="A191" s="31">
        <v>200000593</v>
      </c>
      <c r="B191" s="31">
        <v>1010</v>
      </c>
      <c r="C191" s="31">
        <v>4174</v>
      </c>
      <c r="D191" s="29" t="str">
        <f>LOOKUP('CAPA-old'!C191,'QALS - Inspection Lot Record'!P:P,'QALS - Inspection Lot Record'!O:O)</f>
        <v>Metformin Tablets (500 MG)</v>
      </c>
      <c r="E191" s="31">
        <v>38.5</v>
      </c>
      <c r="F191" s="34">
        <f ca="1">IF(TODAY()&gt;=LOOKUP(C191,'QALS - Inspection Lot Record'!P:P,'QALS - Inspection Lot Record'!J:J)+RANDBETWEEN(0,1),LOOKUP(C191,'QALS - Inspection Lot Record'!P:P,'QALS - Inspection Lot Record'!J:J)+RANDBETWEEN(0,1),"")</f>
        <v>45957</v>
      </c>
      <c r="G191" s="41" t="str">
        <f ca="1">IF(F191="","",'Reference CAPA - Test data'!G191)</f>
        <v>Dissolution rate low - 15 mins</v>
      </c>
      <c r="H191" s="34">
        <f t="shared" ca="1" si="2"/>
        <v>45958</v>
      </c>
      <c r="I191" s="29" t="str">
        <f ca="1">IF(H191="","",'Reference CAPA - Test data'!I191)</f>
        <v>Increase agitation</v>
      </c>
    </row>
    <row r="192" spans="1:9" x14ac:dyDescent="0.35">
      <c r="A192" s="31">
        <v>200000593</v>
      </c>
      <c r="B192" s="31">
        <v>1010</v>
      </c>
      <c r="C192" s="31">
        <v>4174</v>
      </c>
      <c r="D192" s="29" t="str">
        <f>LOOKUP('CAPA-old'!C192,'QALS - Inspection Lot Record'!P:P,'QALS - Inspection Lot Record'!O:O)</f>
        <v>Metformin Tablets (500 MG)</v>
      </c>
      <c r="E192" s="31">
        <v>78.8</v>
      </c>
      <c r="F192" s="34">
        <f ca="1">IF(TODAY()&gt;=LOOKUP(C192,'QALS - Inspection Lot Record'!P:P,'QALS - Inspection Lot Record'!J:J)+RANDBETWEEN(0,1),LOOKUP(C192,'QALS - Inspection Lot Record'!P:P,'QALS - Inspection Lot Record'!J:J)+RANDBETWEEN(0,1),"")</f>
        <v>45956</v>
      </c>
      <c r="G192" s="41" t="str">
        <f ca="1">IF(F192="","",'Reference CAPA - Test data'!G192)</f>
        <v>Dissolution rate low - 40 mins</v>
      </c>
      <c r="H192" s="34">
        <f t="shared" ca="1" si="2"/>
        <v>45958</v>
      </c>
      <c r="I192" s="29" t="str">
        <f ca="1">IF(H192="","",'Reference CAPA - Test data'!I192)</f>
        <v>Equipment calibration</v>
      </c>
    </row>
    <row r="193" spans="1:9" x14ac:dyDescent="0.35">
      <c r="A193" s="31">
        <v>200000593</v>
      </c>
      <c r="B193" s="31">
        <v>1010</v>
      </c>
      <c r="C193" s="31">
        <v>4174</v>
      </c>
      <c r="D193" s="29" t="str">
        <f>LOOKUP('CAPA-old'!C193,'QALS - Inspection Lot Record'!P:P,'QALS - Inspection Lot Record'!O:O)</f>
        <v>Metformin Tablets (500 MG)</v>
      </c>
      <c r="E193" s="31">
        <v>22</v>
      </c>
      <c r="F193" s="34">
        <f ca="1">IF(TODAY()&gt;=LOOKUP(C193,'QALS - Inspection Lot Record'!P:P,'QALS - Inspection Lot Record'!J:J)+RANDBETWEEN(0,1),LOOKUP(C193,'QALS - Inspection Lot Record'!P:P,'QALS - Inspection Lot Record'!J:J)+RANDBETWEEN(0,1),"")</f>
        <v>45956</v>
      </c>
      <c r="G193" s="41" t="str">
        <f ca="1">IF(F193="","",'Reference CAPA - Test data'!G193)</f>
        <v>Process temp out of range</v>
      </c>
      <c r="H193" s="34">
        <f t="shared" ca="1" si="2"/>
        <v>45957</v>
      </c>
      <c r="I193" s="29" t="str">
        <f ca="1">IF(H193="","",'Reference CAPA - Test data'!I193)</f>
        <v>Equipment calibration</v>
      </c>
    </row>
    <row r="194" spans="1:9" x14ac:dyDescent="0.35">
      <c r="A194" s="31">
        <v>200000594</v>
      </c>
      <c r="B194" s="31">
        <v>1010</v>
      </c>
      <c r="C194" s="31">
        <v>4177</v>
      </c>
      <c r="D194" s="29" t="str">
        <f>LOOKUP('CAPA-old'!C194,'QALS - Inspection Lot Record'!P:P,'QALS - Inspection Lot Record'!O:O)</f>
        <v>Aspirin Tablets (500 MG)</v>
      </c>
      <c r="E194" s="31">
        <v>68.8</v>
      </c>
      <c r="F194" s="34">
        <f ca="1">IF(TODAY()&gt;=LOOKUP(C194,'QALS - Inspection Lot Record'!P:P,'QALS - Inspection Lot Record'!J:J)+RANDBETWEEN(0,1),LOOKUP(C194,'QALS - Inspection Lot Record'!P:P,'QALS - Inspection Lot Record'!J:J)+RANDBETWEEN(0,1),"")</f>
        <v>45958</v>
      </c>
      <c r="G194" s="41" t="str">
        <f ca="1">IF(F194="","",'Reference CAPA - Test data'!G194)</f>
        <v>Dissolution rate low - 30 mins</v>
      </c>
      <c r="H194" s="34">
        <f t="shared" ca="1" si="2"/>
        <v>45960</v>
      </c>
      <c r="I194" s="29" t="str">
        <f ca="1">IF(H194="","",'Reference CAPA - Test data'!I194)</f>
        <v>Increase disintegrant</v>
      </c>
    </row>
    <row r="195" spans="1:9" x14ac:dyDescent="0.35">
      <c r="A195" s="31">
        <v>200000595</v>
      </c>
      <c r="B195" s="31">
        <v>1010</v>
      </c>
      <c r="C195" s="31">
        <v>4178</v>
      </c>
      <c r="D195" s="29" t="str">
        <f>LOOKUP('CAPA-old'!C195,'QALS - Inspection Lot Record'!P:P,'QALS - Inspection Lot Record'!O:O)</f>
        <v>Ibuprofen Tablets (100 MG)</v>
      </c>
      <c r="E195" s="31">
        <v>93</v>
      </c>
      <c r="F195" s="34">
        <f ca="1">IF(TODAY()&gt;=LOOKUP(C195,'QALS - Inspection Lot Record'!P:P,'QALS - Inspection Lot Record'!J:J)+RANDBETWEEN(0,1),LOOKUP(C195,'QALS - Inspection Lot Record'!P:P,'QALS - Inspection Lot Record'!J:J)+RANDBETWEEN(0,1),"")</f>
        <v>45958</v>
      </c>
      <c r="G195" s="41" t="str">
        <f ca="1">IF(F195="","",'Reference CAPA - Test data'!G195)</f>
        <v>Potency out of spec</v>
      </c>
      <c r="H195" s="34">
        <f t="shared" ref="H195:H258" ca="1" si="3">IF(TODAY()&gt;=F195+RANDBETWEEN(0,2),F195+RANDBETWEEN(0,2),"")</f>
        <v>45960</v>
      </c>
      <c r="I195" s="29" t="str">
        <f ca="1">IF(H195="","",'Reference CAPA - Test data'!I195)</f>
        <v>Additional testing</v>
      </c>
    </row>
    <row r="196" spans="1:9" x14ac:dyDescent="0.35">
      <c r="A196" s="31">
        <v>200000595</v>
      </c>
      <c r="B196" s="31">
        <v>1010</v>
      </c>
      <c r="C196" s="31">
        <v>4178</v>
      </c>
      <c r="D196" s="29" t="str">
        <f>LOOKUP('CAPA-old'!C196,'QALS - Inspection Lot Record'!P:P,'QALS - Inspection Lot Record'!O:O)</f>
        <v>Ibuprofen Tablets (100 MG)</v>
      </c>
      <c r="E196" s="31">
        <v>1.7</v>
      </c>
      <c r="F196" s="34">
        <f ca="1">IF(TODAY()&gt;=LOOKUP(C196,'QALS - Inspection Lot Record'!P:P,'QALS - Inspection Lot Record'!J:J)+RANDBETWEEN(0,1),LOOKUP(C196,'QALS - Inspection Lot Record'!P:P,'QALS - Inspection Lot Record'!J:J)+RANDBETWEEN(0,1),"")</f>
        <v>45959</v>
      </c>
      <c r="G196" s="41" t="str">
        <f ca="1">IF(F196="","",'Reference CAPA - Test data'!G196)</f>
        <v>PH Level out of range</v>
      </c>
      <c r="H196" s="34">
        <f t="shared" ca="1" si="3"/>
        <v>45961</v>
      </c>
      <c r="I196" s="29" t="str">
        <f ca="1">IF(H196="","",'Reference CAPA - Test data'!I196)</f>
        <v>Supplier evaluation</v>
      </c>
    </row>
    <row r="197" spans="1:9" x14ac:dyDescent="0.35">
      <c r="A197" s="31">
        <v>200000595</v>
      </c>
      <c r="B197" s="31">
        <v>1010</v>
      </c>
      <c r="C197" s="31">
        <v>4178</v>
      </c>
      <c r="D197" s="29" t="str">
        <f>LOOKUP('CAPA-old'!C197,'QALS - Inspection Lot Record'!P:P,'QALS - Inspection Lot Record'!O:O)</f>
        <v>Ibuprofen Tablets (100 MG)</v>
      </c>
      <c r="E197" s="31">
        <v>1.2</v>
      </c>
      <c r="F197" s="34">
        <f ca="1">IF(TODAY()&gt;=LOOKUP(C197,'QALS - Inspection Lot Record'!P:P,'QALS - Inspection Lot Record'!J:J)+RANDBETWEEN(0,1),LOOKUP(C197,'QALS - Inspection Lot Record'!P:P,'QALS - Inspection Lot Record'!J:J)+RANDBETWEEN(0,1),"")</f>
        <v>45959</v>
      </c>
      <c r="G197" s="41" t="str">
        <f ca="1">IF(F197="","",'Reference CAPA - Test data'!G197)</f>
        <v>Impurities out of limit</v>
      </c>
      <c r="H197" s="34">
        <f t="shared" ca="1" si="3"/>
        <v>45961</v>
      </c>
      <c r="I197" s="29" t="str">
        <f ca="1">IF(H197="","",'Reference CAPA - Test data'!I197)</f>
        <v>Supplier evaluation</v>
      </c>
    </row>
    <row r="198" spans="1:9" x14ac:dyDescent="0.35">
      <c r="A198" s="31">
        <v>200000595</v>
      </c>
      <c r="B198" s="31">
        <v>1010</v>
      </c>
      <c r="C198" s="31">
        <v>4178</v>
      </c>
      <c r="D198" s="29" t="str">
        <f>LOOKUP('CAPA-old'!C198,'QALS - Inspection Lot Record'!P:P,'QALS - Inspection Lot Record'!O:O)</f>
        <v>Ibuprofen Tablets (100 MG)</v>
      </c>
      <c r="E198" s="31">
        <v>78.400000000000006</v>
      </c>
      <c r="F198" s="34">
        <f ca="1">IF(TODAY()&gt;=LOOKUP(C198,'QALS - Inspection Lot Record'!P:P,'QALS - Inspection Lot Record'!J:J)+RANDBETWEEN(0,1),LOOKUP(C198,'QALS - Inspection Lot Record'!P:P,'QALS - Inspection Lot Record'!J:J)+RANDBETWEEN(0,1),"")</f>
        <v>45958</v>
      </c>
      <c r="G198" s="41" t="str">
        <f ca="1">IF(F198="","",'Reference CAPA - Test data'!G198)</f>
        <v>Dissolution rate low - 40 mins</v>
      </c>
      <c r="H198" s="34">
        <f t="shared" ca="1" si="3"/>
        <v>45958</v>
      </c>
      <c r="I198" s="29" t="str">
        <f ca="1">IF(H198="","",'Reference CAPA - Test data'!I198)</f>
        <v>Optimize compression</v>
      </c>
    </row>
    <row r="199" spans="1:9" x14ac:dyDescent="0.35">
      <c r="A199" s="31">
        <v>200000595</v>
      </c>
      <c r="B199" s="31">
        <v>1010</v>
      </c>
      <c r="C199" s="31">
        <v>4178</v>
      </c>
      <c r="D199" s="29" t="str">
        <f>LOOKUP('CAPA-old'!C199,'QALS - Inspection Lot Record'!P:P,'QALS - Inspection Lot Record'!O:O)</f>
        <v>Ibuprofen Tablets (100 MG)</v>
      </c>
      <c r="E199" s="31">
        <v>21.1</v>
      </c>
      <c r="F199" s="34">
        <f ca="1">IF(TODAY()&gt;=LOOKUP(C199,'QALS - Inspection Lot Record'!P:P,'QALS - Inspection Lot Record'!J:J)+RANDBETWEEN(0,1),LOOKUP(C199,'QALS - Inspection Lot Record'!P:P,'QALS - Inspection Lot Record'!J:J)+RANDBETWEEN(0,1),"")</f>
        <v>45959</v>
      </c>
      <c r="G199" s="41" t="str">
        <f ca="1">IF(F199="","",'Reference CAPA - Test data'!G199)</f>
        <v>Process temp out of range</v>
      </c>
      <c r="H199" s="34">
        <f t="shared" ca="1" si="3"/>
        <v>45959</v>
      </c>
      <c r="I199" s="29" t="str">
        <f ca="1">IF(H199="","",'Reference CAPA - Test data'!I199)</f>
        <v>Equipment calibration</v>
      </c>
    </row>
    <row r="200" spans="1:9" x14ac:dyDescent="0.35">
      <c r="A200" s="31">
        <v>200000596</v>
      </c>
      <c r="B200" s="31">
        <v>1010</v>
      </c>
      <c r="C200" s="31">
        <v>4181</v>
      </c>
      <c r="D200" s="29" t="str">
        <f>LOOKUP('CAPA-old'!C200,'QALS - Inspection Lot Record'!P:P,'QALS - Inspection Lot Record'!O:O)</f>
        <v>Aspirin Tablets (500 MG)</v>
      </c>
      <c r="E200" s="31">
        <v>93.8</v>
      </c>
      <c r="F200" s="34">
        <f ca="1">IF(TODAY()&gt;=LOOKUP(C200,'QALS - Inspection Lot Record'!P:P,'QALS - Inspection Lot Record'!J:J)+RANDBETWEEN(0,1),LOOKUP(C200,'QALS - Inspection Lot Record'!P:P,'QALS - Inspection Lot Record'!J:J)+RANDBETWEEN(0,1),"")</f>
        <v>45961</v>
      </c>
      <c r="G200" s="41" t="str">
        <f ca="1">IF(F200="","",'Reference CAPA - Test data'!G200)</f>
        <v>Potency out of spec</v>
      </c>
      <c r="H200" s="34">
        <f t="shared" ca="1" si="3"/>
        <v>45963</v>
      </c>
      <c r="I200" s="29" t="str">
        <f ca="1">IF(H200="","",'Reference CAPA - Test data'!I200)</f>
        <v>Additional testing</v>
      </c>
    </row>
    <row r="201" spans="1:9" x14ac:dyDescent="0.35">
      <c r="A201" s="31">
        <v>200000597</v>
      </c>
      <c r="B201" s="31">
        <v>1010</v>
      </c>
      <c r="C201" s="31">
        <v>4182</v>
      </c>
      <c r="D201" s="29" t="str">
        <f>LOOKUP('CAPA-old'!C201,'QALS - Inspection Lot Record'!P:P,'QALS - Inspection Lot Record'!O:O)</f>
        <v>Aspirin Tablets (500 MG)</v>
      </c>
      <c r="E201" s="31">
        <v>21.6</v>
      </c>
      <c r="F201" s="34">
        <f ca="1">IF(TODAY()&gt;=LOOKUP(C201,'QALS - Inspection Lot Record'!P:P,'QALS - Inspection Lot Record'!J:J)+RANDBETWEEN(0,1),LOOKUP(C201,'QALS - Inspection Lot Record'!P:P,'QALS - Inspection Lot Record'!J:J)+RANDBETWEEN(0,1),"")</f>
        <v>45961</v>
      </c>
      <c r="G201" s="41" t="str">
        <f ca="1">IF(F201="","",'Reference CAPA - Test data'!G201)</f>
        <v>Process temp out of range</v>
      </c>
      <c r="H201" s="34">
        <f t="shared" ca="1" si="3"/>
        <v>45962</v>
      </c>
      <c r="I201" s="29" t="str">
        <f ca="1">IF(H201="","",'Reference CAPA - Test data'!I201)</f>
        <v>Preventive maintenance</v>
      </c>
    </row>
    <row r="202" spans="1:9" x14ac:dyDescent="0.35">
      <c r="A202" s="31">
        <v>200000598</v>
      </c>
      <c r="B202" s="31">
        <v>1010</v>
      </c>
      <c r="C202" s="31">
        <v>4183</v>
      </c>
      <c r="D202" s="29" t="str">
        <f>LOOKUP('CAPA-old'!C202,'QALS - Inspection Lot Record'!P:P,'QALS - Inspection Lot Record'!O:O)</f>
        <v>Ibuprofen Tablets (100 MG)</v>
      </c>
      <c r="E202" s="31">
        <v>93.5</v>
      </c>
      <c r="F202" s="34">
        <f ca="1">IF(TODAY()&gt;=LOOKUP(C202,'QALS - Inspection Lot Record'!P:P,'QALS - Inspection Lot Record'!J:J)+RANDBETWEEN(0,1),LOOKUP(C202,'QALS - Inspection Lot Record'!P:P,'QALS - Inspection Lot Record'!J:J)+RANDBETWEEN(0,1),"")</f>
        <v>45961</v>
      </c>
      <c r="G202" s="41" t="str">
        <f ca="1">IF(F202="","",'Reference CAPA - Test data'!G202)</f>
        <v>Potency out of spec</v>
      </c>
      <c r="H202" s="34">
        <f t="shared" ca="1" si="3"/>
        <v>45961</v>
      </c>
      <c r="I202" s="29" t="str">
        <f ca="1">IF(H202="","",'Reference CAPA - Test data'!I202)</f>
        <v>Training for operators</v>
      </c>
    </row>
    <row r="203" spans="1:9" x14ac:dyDescent="0.35">
      <c r="A203" s="31">
        <v>200000598</v>
      </c>
      <c r="B203" s="31">
        <v>1010</v>
      </c>
      <c r="C203" s="31">
        <v>4183</v>
      </c>
      <c r="D203" s="29" t="str">
        <f>LOOKUP('CAPA-old'!C203,'QALS - Inspection Lot Record'!P:P,'QALS - Inspection Lot Record'!O:O)</f>
        <v>Ibuprofen Tablets (100 MG)</v>
      </c>
      <c r="E203" s="31">
        <v>68.599999999999994</v>
      </c>
      <c r="F203" s="34">
        <f ca="1">IF(TODAY()&gt;=LOOKUP(C203,'QALS - Inspection Lot Record'!P:P,'QALS - Inspection Lot Record'!J:J)+RANDBETWEEN(0,1),LOOKUP(C203,'QALS - Inspection Lot Record'!P:P,'QALS - Inspection Lot Record'!J:J)+RANDBETWEEN(0,1),"")</f>
        <v>45962</v>
      </c>
      <c r="G203" s="41" t="str">
        <f ca="1">IF(F203="","",'Reference CAPA - Test data'!G203)</f>
        <v>Dissolution rate low - 30 mins</v>
      </c>
      <c r="H203" s="34">
        <f t="shared" ca="1" si="3"/>
        <v>45964</v>
      </c>
      <c r="I203" s="29" t="str">
        <f ca="1">IF(H203="","",'Reference CAPA - Test data'!I203)</f>
        <v>Optimize granulation</v>
      </c>
    </row>
    <row r="204" spans="1:9" x14ac:dyDescent="0.35">
      <c r="A204" s="31">
        <v>200000598</v>
      </c>
      <c r="B204" s="31">
        <v>1010</v>
      </c>
      <c r="C204" s="31">
        <v>4183</v>
      </c>
      <c r="D204" s="29" t="str">
        <f>LOOKUP('CAPA-old'!C204,'QALS - Inspection Lot Record'!P:P,'QALS - Inspection Lot Record'!O:O)</f>
        <v>Ibuprofen Tablets (100 MG)</v>
      </c>
      <c r="E204" s="31">
        <v>78.400000000000006</v>
      </c>
      <c r="F204" s="34">
        <f ca="1">IF(TODAY()&gt;=LOOKUP(C204,'QALS - Inspection Lot Record'!P:P,'QALS - Inspection Lot Record'!J:J)+RANDBETWEEN(0,1),LOOKUP(C204,'QALS - Inspection Lot Record'!P:P,'QALS - Inspection Lot Record'!J:J)+RANDBETWEEN(0,1),"")</f>
        <v>45961</v>
      </c>
      <c r="G204" s="41" t="str">
        <f ca="1">IF(F204="","",'Reference CAPA - Test data'!G204)</f>
        <v>Dissolution rate low - 40 mins</v>
      </c>
      <c r="H204" s="34">
        <f t="shared" ca="1" si="3"/>
        <v>45961</v>
      </c>
      <c r="I204" s="29" t="str">
        <f ca="1">IF(H204="","",'Reference CAPA - Test data'!I204)</f>
        <v>Supplier evaluation</v>
      </c>
    </row>
    <row r="205" spans="1:9" x14ac:dyDescent="0.35">
      <c r="A205" s="31">
        <v>200000599</v>
      </c>
      <c r="B205" s="31">
        <v>1010</v>
      </c>
      <c r="C205" s="31">
        <v>4184</v>
      </c>
      <c r="D205" s="29" t="str">
        <f>LOOKUP('CAPA-old'!C205,'QALS - Inspection Lot Record'!P:P,'QALS - Inspection Lot Record'!O:O)</f>
        <v>Metformin Tablets (100 MG)</v>
      </c>
      <c r="E205" s="31">
        <v>93.2</v>
      </c>
      <c r="F205" s="34">
        <f ca="1">IF(TODAY()&gt;=LOOKUP(C205,'QALS - Inspection Lot Record'!P:P,'QALS - Inspection Lot Record'!J:J)+RANDBETWEEN(0,1),LOOKUP(C205,'QALS - Inspection Lot Record'!P:P,'QALS - Inspection Lot Record'!J:J)+RANDBETWEEN(0,1),"")</f>
        <v>45961</v>
      </c>
      <c r="G205" s="41" t="str">
        <f ca="1">IF(F205="","",'Reference CAPA - Test data'!G205)</f>
        <v>Potency out of spec</v>
      </c>
      <c r="H205" s="34">
        <f t="shared" ca="1" si="3"/>
        <v>45961</v>
      </c>
      <c r="I205" s="29" t="str">
        <f ca="1">IF(H205="","",'Reference CAPA - Test data'!I205)</f>
        <v>Supplier evaluation</v>
      </c>
    </row>
    <row r="206" spans="1:9" x14ac:dyDescent="0.35">
      <c r="A206" s="31">
        <v>200000599</v>
      </c>
      <c r="B206" s="31">
        <v>1010</v>
      </c>
      <c r="C206" s="31">
        <v>4184</v>
      </c>
      <c r="D206" s="29" t="str">
        <f>LOOKUP('CAPA-old'!C206,'QALS - Inspection Lot Record'!P:P,'QALS - Inspection Lot Record'!O:O)</f>
        <v>Metformin Tablets (100 MG)</v>
      </c>
      <c r="E206" s="31">
        <v>38.799999999999997</v>
      </c>
      <c r="F206" s="34">
        <f ca="1">IF(TODAY()&gt;=LOOKUP(C206,'QALS - Inspection Lot Record'!P:P,'QALS - Inspection Lot Record'!J:J)+RANDBETWEEN(0,1),LOOKUP(C206,'QALS - Inspection Lot Record'!P:P,'QALS - Inspection Lot Record'!J:J)+RANDBETWEEN(0,1),"")</f>
        <v>45962</v>
      </c>
      <c r="G206" s="41" t="str">
        <f ca="1">IF(F206="","",'Reference CAPA - Test data'!G206)</f>
        <v>Dissolution rate low - 15 mins</v>
      </c>
      <c r="H206" s="34">
        <f t="shared" ca="1" si="3"/>
        <v>45962</v>
      </c>
      <c r="I206" s="29" t="str">
        <f ca="1">IF(H206="","",'Reference CAPA - Test data'!I206)</f>
        <v>Reduce particle size</v>
      </c>
    </row>
    <row r="207" spans="1:9" x14ac:dyDescent="0.35">
      <c r="A207" s="31">
        <v>200000599</v>
      </c>
      <c r="B207" s="31">
        <v>1010</v>
      </c>
      <c r="C207" s="31">
        <v>4184</v>
      </c>
      <c r="D207" s="29" t="str">
        <f>LOOKUP('CAPA-old'!C207,'QALS - Inspection Lot Record'!P:P,'QALS - Inspection Lot Record'!O:O)</f>
        <v>Metformin Tablets (100 MG)</v>
      </c>
      <c r="E207" s="31">
        <v>68</v>
      </c>
      <c r="F207" s="34">
        <f ca="1">IF(TODAY()&gt;=LOOKUP(C207,'QALS - Inspection Lot Record'!P:P,'QALS - Inspection Lot Record'!J:J)+RANDBETWEEN(0,1),LOOKUP(C207,'QALS - Inspection Lot Record'!P:P,'QALS - Inspection Lot Record'!J:J)+RANDBETWEEN(0,1),"")</f>
        <v>45962</v>
      </c>
      <c r="G207" s="41" t="str">
        <f ca="1">IF(F207="","",'Reference CAPA - Test data'!G207)</f>
        <v>Dissolution rate low - 30 mins</v>
      </c>
      <c r="H207" s="34">
        <f t="shared" ca="1" si="3"/>
        <v>45962</v>
      </c>
      <c r="I207" s="29" t="str">
        <f ca="1">IF(H207="","",'Reference CAPA - Test data'!I207)</f>
        <v>Equipment calibration</v>
      </c>
    </row>
    <row r="208" spans="1:9" x14ac:dyDescent="0.35">
      <c r="A208" s="31">
        <v>200000599</v>
      </c>
      <c r="B208" s="31">
        <v>1010</v>
      </c>
      <c r="C208" s="31">
        <v>4184</v>
      </c>
      <c r="D208" s="29" t="str">
        <f>LOOKUP('CAPA-old'!C208,'QALS - Inspection Lot Record'!P:P,'QALS - Inspection Lot Record'!O:O)</f>
        <v>Metformin Tablets (100 MG)</v>
      </c>
      <c r="E208" s="31">
        <v>78.8</v>
      </c>
      <c r="F208" s="34">
        <f ca="1">IF(TODAY()&gt;=LOOKUP(C208,'QALS - Inspection Lot Record'!P:P,'QALS - Inspection Lot Record'!J:J)+RANDBETWEEN(0,1),LOOKUP(C208,'QALS - Inspection Lot Record'!P:P,'QALS - Inspection Lot Record'!J:J)+RANDBETWEEN(0,1),"")</f>
        <v>45961</v>
      </c>
      <c r="G208" s="41" t="str">
        <f ca="1">IF(F208="","",'Reference CAPA - Test data'!G208)</f>
        <v>Dissolution rate low - 40 mins</v>
      </c>
      <c r="H208" s="34">
        <f t="shared" ca="1" si="3"/>
        <v>45963</v>
      </c>
      <c r="I208" s="29" t="str">
        <f ca="1">IF(H208="","",'Reference CAPA - Test data'!I208)</f>
        <v>Training for operators</v>
      </c>
    </row>
    <row r="209" spans="1:9" x14ac:dyDescent="0.35">
      <c r="A209" s="31">
        <v>200000600</v>
      </c>
      <c r="B209" s="31">
        <v>1010</v>
      </c>
      <c r="C209" s="31">
        <v>4185</v>
      </c>
      <c r="D209" s="29" t="str">
        <f>LOOKUP('CAPA-old'!C209,'QALS - Inspection Lot Record'!P:P,'QALS - Inspection Lot Record'!O:O)</f>
        <v>Aspirin Tablets (500 MG)</v>
      </c>
      <c r="E209" s="31">
        <v>68.099999999999994</v>
      </c>
      <c r="F209" s="34">
        <f ca="1">IF(TODAY()&gt;=LOOKUP(C209,'QALS - Inspection Lot Record'!P:P,'QALS - Inspection Lot Record'!J:J)+RANDBETWEEN(0,1),LOOKUP(C209,'QALS - Inspection Lot Record'!P:P,'QALS - Inspection Lot Record'!J:J)+RANDBETWEEN(0,1),"")</f>
        <v>45962</v>
      </c>
      <c r="G209" s="41" t="str">
        <f ca="1">IF(F209="","",'Reference CAPA - Test data'!G209)</f>
        <v>Dissolution rate low - 30 mins</v>
      </c>
      <c r="H209" s="34">
        <f t="shared" ca="1" si="3"/>
        <v>45964</v>
      </c>
      <c r="I209" s="29" t="str">
        <f ca="1">IF(H209="","",'Reference CAPA - Test data'!I209)</f>
        <v>Optimize granulation</v>
      </c>
    </row>
    <row r="210" spans="1:9" x14ac:dyDescent="0.35">
      <c r="A210" s="31">
        <v>200000601</v>
      </c>
      <c r="B210" s="31">
        <v>1010</v>
      </c>
      <c r="C210" s="31">
        <v>4186</v>
      </c>
      <c r="D210" s="29" t="str">
        <f>LOOKUP('CAPA-old'!C210,'QALS - Inspection Lot Record'!P:P,'QALS - Inspection Lot Record'!O:O)</f>
        <v>Ibuprofen Tablets (100 MG)</v>
      </c>
      <c r="E210" s="31">
        <v>21.8</v>
      </c>
      <c r="F210" s="34">
        <f ca="1">IF(TODAY()&gt;=LOOKUP(C210,'QALS - Inspection Lot Record'!P:P,'QALS - Inspection Lot Record'!J:J)+RANDBETWEEN(0,1),LOOKUP(C210,'QALS - Inspection Lot Record'!P:P,'QALS - Inspection Lot Record'!J:J)+RANDBETWEEN(0,1),"")</f>
        <v>45962</v>
      </c>
      <c r="G210" s="41" t="str">
        <f ca="1">IF(F210="","",'Reference CAPA - Test data'!G210)</f>
        <v>Process temp out of range</v>
      </c>
      <c r="H210" s="34">
        <f t="shared" ca="1" si="3"/>
        <v>45964</v>
      </c>
      <c r="I210" s="29" t="str">
        <f ca="1">IF(H210="","",'Reference CAPA - Test data'!I210)</f>
        <v>Update production SOP</v>
      </c>
    </row>
    <row r="211" spans="1:9" x14ac:dyDescent="0.35">
      <c r="A211" s="31">
        <v>200000602</v>
      </c>
      <c r="B211" s="31">
        <v>1010</v>
      </c>
      <c r="C211" s="31">
        <v>4187</v>
      </c>
      <c r="D211" s="29" t="str">
        <f>LOOKUP('CAPA-old'!C211,'QALS - Inspection Lot Record'!P:P,'QALS - Inspection Lot Record'!O:O)</f>
        <v>Aspirin Tablets (500 MG)</v>
      </c>
      <c r="E211" s="31">
        <v>93.5</v>
      </c>
      <c r="F211" s="34">
        <f ca="1">IF(TODAY()&gt;=LOOKUP(C211,'QALS - Inspection Lot Record'!P:P,'QALS - Inspection Lot Record'!J:J)+RANDBETWEEN(0,1),LOOKUP(C211,'QALS - Inspection Lot Record'!P:P,'QALS - Inspection Lot Record'!J:J)+RANDBETWEEN(0,1),"")</f>
        <v>45964</v>
      </c>
      <c r="G211" s="41" t="str">
        <f ca="1">IF(F211="","",'Reference CAPA - Test data'!G211)</f>
        <v>Potency out of spec</v>
      </c>
      <c r="H211" s="34">
        <f t="shared" ca="1" si="3"/>
        <v>45965</v>
      </c>
      <c r="I211" s="29" t="str">
        <f ca="1">IF(H211="","",'Reference CAPA - Test data'!I211)</f>
        <v>Improve formulation</v>
      </c>
    </row>
    <row r="212" spans="1:9" x14ac:dyDescent="0.35">
      <c r="A212" s="31">
        <v>200000602</v>
      </c>
      <c r="B212" s="31">
        <v>1010</v>
      </c>
      <c r="C212" s="31">
        <v>4187</v>
      </c>
      <c r="D212" s="29" t="str">
        <f>LOOKUP('CAPA-old'!C212,'QALS - Inspection Lot Record'!P:P,'QALS - Inspection Lot Record'!O:O)</f>
        <v>Aspirin Tablets (500 MG)</v>
      </c>
      <c r="E212" s="31">
        <v>68.599999999999994</v>
      </c>
      <c r="F212" s="34">
        <f ca="1">IF(TODAY()&gt;=LOOKUP(C212,'QALS - Inspection Lot Record'!P:P,'QALS - Inspection Lot Record'!J:J)+RANDBETWEEN(0,1),LOOKUP(C212,'QALS - Inspection Lot Record'!P:P,'QALS - Inspection Lot Record'!J:J)+RANDBETWEEN(0,1),"")</f>
        <v>45963</v>
      </c>
      <c r="G212" s="41" t="str">
        <f ca="1">IF(F212="","",'Reference CAPA - Test data'!G212)</f>
        <v>Dissolution rate low - 30 mins</v>
      </c>
      <c r="H212" s="34">
        <f t="shared" ca="1" si="3"/>
        <v>45963</v>
      </c>
      <c r="I212" s="29" t="str">
        <f ca="1">IF(H212="","",'Reference CAPA - Test data'!I212)</f>
        <v>Increase disintegrant</v>
      </c>
    </row>
    <row r="213" spans="1:9" x14ac:dyDescent="0.35">
      <c r="A213" s="31">
        <v>200000602</v>
      </c>
      <c r="B213" s="31">
        <v>1010</v>
      </c>
      <c r="C213" s="31">
        <v>4187</v>
      </c>
      <c r="D213" s="29" t="str">
        <f>LOOKUP('CAPA-old'!C213,'QALS - Inspection Lot Record'!P:P,'QALS - Inspection Lot Record'!O:O)</f>
        <v>Aspirin Tablets (500 MG)</v>
      </c>
      <c r="E213" s="31">
        <v>78.5</v>
      </c>
      <c r="F213" s="34">
        <f ca="1">IF(TODAY()&gt;=LOOKUP(C213,'QALS - Inspection Lot Record'!P:P,'QALS - Inspection Lot Record'!J:J)+RANDBETWEEN(0,1),LOOKUP(C213,'QALS - Inspection Lot Record'!P:P,'QALS - Inspection Lot Record'!J:J)+RANDBETWEEN(0,1),"")</f>
        <v>45964</v>
      </c>
      <c r="G213" s="41" t="str">
        <f ca="1">IF(F213="","",'Reference CAPA - Test data'!G213)</f>
        <v>Dissolution rate low - 40 mins</v>
      </c>
      <c r="H213" s="34">
        <f t="shared" ca="1" si="3"/>
        <v>45965</v>
      </c>
      <c r="I213" s="29" t="str">
        <f ca="1">IF(H213="","",'Reference CAPA - Test data'!I213)</f>
        <v>Optimize compression</v>
      </c>
    </row>
    <row r="214" spans="1:9" x14ac:dyDescent="0.35">
      <c r="A214" s="31">
        <v>200000603</v>
      </c>
      <c r="B214" s="31">
        <v>1010</v>
      </c>
      <c r="C214" s="31">
        <v>4188</v>
      </c>
      <c r="D214" s="29" t="str">
        <f>LOOKUP('CAPA-old'!C214,'QALS - Inspection Lot Record'!P:P,'QALS - Inspection Lot Record'!O:O)</f>
        <v>Aspirin Tablets (500 MG)</v>
      </c>
      <c r="E214" s="31">
        <v>93.1</v>
      </c>
      <c r="F214" s="34">
        <f ca="1">IF(TODAY()&gt;=LOOKUP(C214,'QALS - Inspection Lot Record'!P:P,'QALS - Inspection Lot Record'!J:J)+RANDBETWEEN(0,1),LOOKUP(C214,'QALS - Inspection Lot Record'!P:P,'QALS - Inspection Lot Record'!J:J)+RANDBETWEEN(0,1),"")</f>
        <v>45964</v>
      </c>
      <c r="G214" s="41" t="str">
        <f ca="1">IF(F214="","",'Reference CAPA - Test data'!G214)</f>
        <v>Potency out of spec</v>
      </c>
      <c r="H214" s="34">
        <f t="shared" ca="1" si="3"/>
        <v>45964</v>
      </c>
      <c r="I214" s="29" t="str">
        <f ca="1">IF(H214="","",'Reference CAPA - Test data'!I214)</f>
        <v>Update production SOP</v>
      </c>
    </row>
    <row r="215" spans="1:9" x14ac:dyDescent="0.35">
      <c r="A215" s="31">
        <v>200000603</v>
      </c>
      <c r="B215" s="31">
        <v>1010</v>
      </c>
      <c r="C215" s="31">
        <v>4188</v>
      </c>
      <c r="D215" s="29" t="str">
        <f>LOOKUP('CAPA-old'!C215,'QALS - Inspection Lot Record'!P:P,'QALS - Inspection Lot Record'!O:O)</f>
        <v>Aspirin Tablets (500 MG)</v>
      </c>
      <c r="E215" s="31">
        <v>1.6</v>
      </c>
      <c r="F215" s="34">
        <f ca="1">IF(TODAY()&gt;=LOOKUP(C215,'QALS - Inspection Lot Record'!P:P,'QALS - Inspection Lot Record'!J:J)+RANDBETWEEN(0,1),LOOKUP(C215,'QALS - Inspection Lot Record'!P:P,'QALS - Inspection Lot Record'!J:J)+RANDBETWEEN(0,1),"")</f>
        <v>45964</v>
      </c>
      <c r="G215" s="41" t="str">
        <f ca="1">IF(F215="","",'Reference CAPA - Test data'!G215)</f>
        <v>PH Level out of range</v>
      </c>
      <c r="H215" s="34">
        <f t="shared" ca="1" si="3"/>
        <v>45965</v>
      </c>
      <c r="I215" s="29" t="str">
        <f ca="1">IF(H215="","",'Reference CAPA - Test data'!I215)</f>
        <v>PH monitoring</v>
      </c>
    </row>
    <row r="216" spans="1:9" x14ac:dyDescent="0.35">
      <c r="A216" s="31">
        <v>200000603</v>
      </c>
      <c r="B216" s="31">
        <v>1010</v>
      </c>
      <c r="C216" s="31">
        <v>4188</v>
      </c>
      <c r="D216" s="29" t="str">
        <f>LOOKUP('CAPA-old'!C216,'QALS - Inspection Lot Record'!P:P,'QALS - Inspection Lot Record'!O:O)</f>
        <v>Aspirin Tablets (500 MG)</v>
      </c>
      <c r="E216" s="31">
        <v>78.3</v>
      </c>
      <c r="F216" s="34">
        <f ca="1">IF(TODAY()&gt;=LOOKUP(C216,'QALS - Inspection Lot Record'!P:P,'QALS - Inspection Lot Record'!J:J)+RANDBETWEEN(0,1),LOOKUP(C216,'QALS - Inspection Lot Record'!P:P,'QALS - Inspection Lot Record'!J:J)+RANDBETWEEN(0,1),"")</f>
        <v>45963</v>
      </c>
      <c r="G216" s="41" t="str">
        <f ca="1">IF(F216="","",'Reference CAPA - Test data'!G216)</f>
        <v>Dissolution rate low - 40 mins</v>
      </c>
      <c r="H216" s="34">
        <f t="shared" ca="1" si="3"/>
        <v>45963</v>
      </c>
      <c r="I216" s="29" t="str">
        <f ca="1">IF(H216="","",'Reference CAPA - Test data'!I216)</f>
        <v>Supplier evaluation</v>
      </c>
    </row>
    <row r="217" spans="1:9" x14ac:dyDescent="0.35">
      <c r="A217" s="31">
        <v>200000604</v>
      </c>
      <c r="B217" s="31">
        <v>1010</v>
      </c>
      <c r="C217" s="31">
        <v>4189</v>
      </c>
      <c r="D217" s="29" t="str">
        <f>LOOKUP('CAPA-old'!C217,'QALS - Inspection Lot Record'!P:P,'QALS - Inspection Lot Record'!O:O)</f>
        <v>Aspirin Tablets (500 MG)</v>
      </c>
      <c r="E217" s="31">
        <v>94</v>
      </c>
      <c r="F217" s="34">
        <f ca="1">IF(TODAY()&gt;=LOOKUP(C217,'QALS - Inspection Lot Record'!P:P,'QALS - Inspection Lot Record'!J:J)+RANDBETWEEN(0,1),LOOKUP(C217,'QALS - Inspection Lot Record'!P:P,'QALS - Inspection Lot Record'!J:J)+RANDBETWEEN(0,1),"")</f>
        <v>45964</v>
      </c>
      <c r="G217" s="41" t="str">
        <f ca="1">IF(F217="","",'Reference CAPA - Test data'!G217)</f>
        <v>Potency out of spec</v>
      </c>
      <c r="H217" s="34">
        <f t="shared" ca="1" si="3"/>
        <v>45964</v>
      </c>
      <c r="I217" s="29" t="str">
        <f ca="1">IF(H217="","",'Reference CAPA - Test data'!I217)</f>
        <v>Equipment calibration</v>
      </c>
    </row>
    <row r="218" spans="1:9" x14ac:dyDescent="0.35">
      <c r="A218" s="31">
        <v>200000604</v>
      </c>
      <c r="B218" s="31">
        <v>1010</v>
      </c>
      <c r="C218" s="31">
        <v>4189</v>
      </c>
      <c r="D218" s="29" t="str">
        <f>LOOKUP('CAPA-old'!C218,'QALS - Inspection Lot Record'!P:P,'QALS - Inspection Lot Record'!O:O)</f>
        <v>Aspirin Tablets (500 MG)</v>
      </c>
      <c r="E218" s="31">
        <v>1.5</v>
      </c>
      <c r="F218" s="34">
        <f ca="1">IF(TODAY()&gt;=LOOKUP(C218,'QALS - Inspection Lot Record'!P:P,'QALS - Inspection Lot Record'!J:J)+RANDBETWEEN(0,1),LOOKUP(C218,'QALS - Inspection Lot Record'!P:P,'QALS - Inspection Lot Record'!J:J)+RANDBETWEEN(0,1),"")</f>
        <v>45964</v>
      </c>
      <c r="G218" s="41" t="str">
        <f ca="1">IF(F218="","",'Reference CAPA - Test data'!G218)</f>
        <v>PH Level out of range</v>
      </c>
      <c r="H218" s="34">
        <f t="shared" ca="1" si="3"/>
        <v>45964</v>
      </c>
      <c r="I218" s="29" t="str">
        <f ca="1">IF(H218="","",'Reference CAPA - Test data'!I218)</f>
        <v>PH monitoring</v>
      </c>
    </row>
    <row r="219" spans="1:9" x14ac:dyDescent="0.35">
      <c r="A219" s="31">
        <v>200000604</v>
      </c>
      <c r="B219" s="31">
        <v>1010</v>
      </c>
      <c r="C219" s="31">
        <v>4189</v>
      </c>
      <c r="D219" s="29" t="str">
        <f>LOOKUP('CAPA-old'!C219,'QALS - Inspection Lot Record'!P:P,'QALS - Inspection Lot Record'!O:O)</f>
        <v>Aspirin Tablets (500 MG)</v>
      </c>
      <c r="E219" s="31">
        <v>38.700000000000003</v>
      </c>
      <c r="F219" s="34">
        <f ca="1">IF(TODAY()&gt;=LOOKUP(C219,'QALS - Inspection Lot Record'!P:P,'QALS - Inspection Lot Record'!J:J)+RANDBETWEEN(0,1),LOOKUP(C219,'QALS - Inspection Lot Record'!P:P,'QALS - Inspection Lot Record'!J:J)+RANDBETWEEN(0,1),"")</f>
        <v>45964</v>
      </c>
      <c r="G219" s="41" t="str">
        <f ca="1">IF(F219="","",'Reference CAPA - Test data'!G219)</f>
        <v>Dissolution rate low - 15 mins</v>
      </c>
      <c r="H219" s="34">
        <f t="shared" ca="1" si="3"/>
        <v>45964</v>
      </c>
      <c r="I219" s="29" t="str">
        <f ca="1">IF(H219="","",'Reference CAPA - Test data'!I219)</f>
        <v>Equipment calibration</v>
      </c>
    </row>
    <row r="220" spans="1:9" x14ac:dyDescent="0.35">
      <c r="A220" s="31">
        <v>200000604</v>
      </c>
      <c r="B220" s="31">
        <v>1010</v>
      </c>
      <c r="C220" s="31">
        <v>4189</v>
      </c>
      <c r="D220" s="29" t="str">
        <f>LOOKUP('CAPA-old'!C220,'QALS - Inspection Lot Record'!P:P,'QALS - Inspection Lot Record'!O:O)</f>
        <v>Aspirin Tablets (500 MG)</v>
      </c>
      <c r="E220" s="31">
        <v>78.7</v>
      </c>
      <c r="F220" s="34">
        <f ca="1">IF(TODAY()&gt;=LOOKUP(C220,'QALS - Inspection Lot Record'!P:P,'QALS - Inspection Lot Record'!J:J)+RANDBETWEEN(0,1),LOOKUP(C220,'QALS - Inspection Lot Record'!P:P,'QALS - Inspection Lot Record'!J:J)+RANDBETWEEN(0,1),"")</f>
        <v>45964</v>
      </c>
      <c r="G220" s="41" t="str">
        <f ca="1">IF(F220="","",'Reference CAPA - Test data'!G220)</f>
        <v>Dissolution rate low - 40 mins</v>
      </c>
      <c r="H220" s="34">
        <f t="shared" ca="1" si="3"/>
        <v>45964</v>
      </c>
      <c r="I220" s="29" t="str">
        <f ca="1">IF(H220="","",'Reference CAPA - Test data'!I220)</f>
        <v>Increase surface area</v>
      </c>
    </row>
    <row r="221" spans="1:9" x14ac:dyDescent="0.35">
      <c r="A221" s="31">
        <v>200000605</v>
      </c>
      <c r="B221" s="31">
        <v>1010</v>
      </c>
      <c r="C221" s="31">
        <v>4190</v>
      </c>
      <c r="D221" s="29" t="str">
        <f>LOOKUP('CAPA-old'!C221,'QALS - Inspection Lot Record'!P:P,'QALS - Inspection Lot Record'!O:O)</f>
        <v>Metformin Tablets (100 MG)</v>
      </c>
      <c r="E221" s="31">
        <v>21.4</v>
      </c>
      <c r="F221" s="34">
        <f ca="1">IF(TODAY()&gt;=LOOKUP(C221,'QALS - Inspection Lot Record'!P:P,'QALS - Inspection Lot Record'!J:J)+RANDBETWEEN(0,1),LOOKUP(C221,'QALS - Inspection Lot Record'!P:P,'QALS - Inspection Lot Record'!J:J)+RANDBETWEEN(0,1),"")</f>
        <v>45964</v>
      </c>
      <c r="G221" s="41" t="str">
        <f ca="1">IF(F221="","",'Reference CAPA - Test data'!G221)</f>
        <v>Process temp out of range</v>
      </c>
      <c r="H221" s="34">
        <f t="shared" ca="1" si="3"/>
        <v>45965</v>
      </c>
      <c r="I221" s="29" t="str">
        <f ca="1">IF(H221="","",'Reference CAPA - Test data'!I221)</f>
        <v>Training for operators</v>
      </c>
    </row>
    <row r="222" spans="1:9" x14ac:dyDescent="0.35">
      <c r="A222" s="31">
        <v>200000606</v>
      </c>
      <c r="B222" s="31">
        <v>1010</v>
      </c>
      <c r="C222" s="31">
        <v>4191</v>
      </c>
      <c r="D222" s="29" t="str">
        <f>LOOKUP('CAPA-old'!C222,'QALS - Inspection Lot Record'!P:P,'QALS - Inspection Lot Record'!O:O)</f>
        <v>Metformin Tablets (500 MG)</v>
      </c>
      <c r="E222" s="31">
        <v>93.4</v>
      </c>
      <c r="F222" s="34">
        <f ca="1">IF(TODAY()&gt;=LOOKUP(C222,'QALS - Inspection Lot Record'!P:P,'QALS - Inspection Lot Record'!J:J)+RANDBETWEEN(0,1),LOOKUP(C222,'QALS - Inspection Lot Record'!P:P,'QALS - Inspection Lot Record'!J:J)+RANDBETWEEN(0,1),"")</f>
        <v>45965</v>
      </c>
      <c r="G222" s="41" t="str">
        <f ca="1">IF(F222="","",'Reference CAPA - Test data'!G222)</f>
        <v>Potency out of spec</v>
      </c>
      <c r="H222" s="34">
        <f t="shared" ca="1" si="3"/>
        <v>45967</v>
      </c>
      <c r="I222" s="29" t="str">
        <f ca="1">IF(H222="","",'Reference CAPA - Test data'!I222)</f>
        <v>Improve formulation</v>
      </c>
    </row>
    <row r="223" spans="1:9" x14ac:dyDescent="0.35">
      <c r="A223" s="31">
        <v>200000607</v>
      </c>
      <c r="B223" s="31">
        <v>1010</v>
      </c>
      <c r="C223" s="31">
        <v>4192</v>
      </c>
      <c r="D223" s="29" t="str">
        <f>LOOKUP('CAPA-old'!C223,'QALS - Inspection Lot Record'!P:P,'QALS - Inspection Lot Record'!O:O)</f>
        <v>Metformin Tablets (200 MG)</v>
      </c>
      <c r="E223" s="31">
        <v>93.8</v>
      </c>
      <c r="F223" s="34">
        <f ca="1">IF(TODAY()&gt;=LOOKUP(C223,'QALS - Inspection Lot Record'!P:P,'QALS - Inspection Lot Record'!J:J)+RANDBETWEEN(0,1),LOOKUP(C223,'QALS - Inspection Lot Record'!P:P,'QALS - Inspection Lot Record'!J:J)+RANDBETWEEN(0,1),"")</f>
        <v>45966</v>
      </c>
      <c r="G223" s="41" t="str">
        <f ca="1">IF(F223="","",'Reference CAPA - Test data'!G223)</f>
        <v>Potency out of spec</v>
      </c>
      <c r="H223" s="34">
        <f t="shared" ca="1" si="3"/>
        <v>45966</v>
      </c>
      <c r="I223" s="29" t="str">
        <f ca="1">IF(H223="","",'Reference CAPA - Test data'!I223)</f>
        <v>Improve formulation</v>
      </c>
    </row>
    <row r="224" spans="1:9" x14ac:dyDescent="0.35">
      <c r="A224" s="31">
        <v>200000608</v>
      </c>
      <c r="B224" s="31">
        <v>1010</v>
      </c>
      <c r="C224" s="31">
        <v>4195</v>
      </c>
      <c r="D224" s="29" t="str">
        <f>LOOKUP('CAPA-old'!C224,'QALS - Inspection Lot Record'!P:P,'QALS - Inspection Lot Record'!O:O)</f>
        <v>Metformin Tablets (500 MG)</v>
      </c>
      <c r="E224" s="31">
        <v>93.8</v>
      </c>
      <c r="F224" s="34">
        <f ca="1">IF(TODAY()&gt;=LOOKUP(C224,'QALS - Inspection Lot Record'!P:P,'QALS - Inspection Lot Record'!J:J)+RANDBETWEEN(0,1),LOOKUP(C224,'QALS - Inspection Lot Record'!P:P,'QALS - Inspection Lot Record'!J:J)+RANDBETWEEN(0,1),"")</f>
        <v>45967</v>
      </c>
      <c r="G224" s="41" t="str">
        <f ca="1">IF(F224="","",'Reference CAPA - Test data'!G224)</f>
        <v>Potency out of spec</v>
      </c>
      <c r="H224" s="34">
        <f t="shared" ca="1" si="3"/>
        <v>45969</v>
      </c>
      <c r="I224" s="29" t="str">
        <f ca="1">IF(H224="","",'Reference CAPA - Test data'!I224)</f>
        <v>Supplier evaluation</v>
      </c>
    </row>
    <row r="225" spans="1:9" x14ac:dyDescent="0.35">
      <c r="A225" s="31">
        <v>200000609</v>
      </c>
      <c r="B225" s="31">
        <v>1010</v>
      </c>
      <c r="C225" s="31">
        <v>4196</v>
      </c>
      <c r="D225" s="29" t="str">
        <f>LOOKUP('CAPA-old'!C225,'QALS - Inspection Lot Record'!P:P,'QALS - Inspection Lot Record'!O:O)</f>
        <v>Metformin Tablets (100 MG)</v>
      </c>
      <c r="E225" s="31">
        <v>93.1</v>
      </c>
      <c r="F225" s="34">
        <f ca="1">IF(TODAY()&gt;=LOOKUP(C225,'QALS - Inspection Lot Record'!P:P,'QALS - Inspection Lot Record'!J:J)+RANDBETWEEN(0,1),LOOKUP(C225,'QALS - Inspection Lot Record'!P:P,'QALS - Inspection Lot Record'!J:J)+RANDBETWEEN(0,1),"")</f>
        <v>45967</v>
      </c>
      <c r="G225" s="41" t="str">
        <f ca="1">IF(F225="","",'Reference CAPA - Test data'!G225)</f>
        <v>Potency out of spec</v>
      </c>
      <c r="H225" s="34">
        <f t="shared" ca="1" si="3"/>
        <v>45967</v>
      </c>
      <c r="I225" s="29" t="str">
        <f ca="1">IF(H225="","",'Reference CAPA - Test data'!I225)</f>
        <v>Update production SOP</v>
      </c>
    </row>
    <row r="226" spans="1:9" x14ac:dyDescent="0.35">
      <c r="A226" s="31">
        <v>200000610</v>
      </c>
      <c r="B226" s="31">
        <v>1010</v>
      </c>
      <c r="C226" s="31">
        <v>4197</v>
      </c>
      <c r="D226" s="29" t="str">
        <f>LOOKUP('CAPA-old'!C226,'QALS - Inspection Lot Record'!P:P,'QALS - Inspection Lot Record'!O:O)</f>
        <v>Metformin Tablets (500 MG)</v>
      </c>
      <c r="E226" s="31">
        <v>93.2</v>
      </c>
      <c r="F226" s="34">
        <f ca="1">IF(TODAY()&gt;=LOOKUP(C226,'QALS - Inspection Lot Record'!P:P,'QALS - Inspection Lot Record'!J:J)+RANDBETWEEN(0,1),LOOKUP(C226,'QALS - Inspection Lot Record'!P:P,'QALS - Inspection Lot Record'!J:J)+RANDBETWEEN(0,1),"")</f>
        <v>45969</v>
      </c>
      <c r="G226" s="41" t="str">
        <f ca="1">IF(F226="","",'Reference CAPA - Test data'!G226)</f>
        <v>Potency out of spec</v>
      </c>
      <c r="H226" s="34">
        <f t="shared" ca="1" si="3"/>
        <v>45969</v>
      </c>
      <c r="I226" s="29" t="str">
        <f ca="1">IF(H226="","",'Reference CAPA - Test data'!I226)</f>
        <v>Supplier evaluation</v>
      </c>
    </row>
    <row r="227" spans="1:9" x14ac:dyDescent="0.35">
      <c r="A227" s="31">
        <v>200000610</v>
      </c>
      <c r="B227" s="31">
        <v>1010</v>
      </c>
      <c r="C227" s="31">
        <v>4197</v>
      </c>
      <c r="D227" s="29" t="str">
        <f>LOOKUP('CAPA-old'!C227,'QALS - Inspection Lot Record'!P:P,'QALS - Inspection Lot Record'!O:O)</f>
        <v>Metformin Tablets (500 MG)</v>
      </c>
      <c r="E227" s="31">
        <v>38.200000000000003</v>
      </c>
      <c r="F227" s="34">
        <f ca="1">IF(TODAY()&gt;=LOOKUP(C227,'QALS - Inspection Lot Record'!P:P,'QALS - Inspection Lot Record'!J:J)+RANDBETWEEN(0,1),LOOKUP(C227,'QALS - Inspection Lot Record'!P:P,'QALS - Inspection Lot Record'!J:J)+RANDBETWEEN(0,1),"")</f>
        <v>45969</v>
      </c>
      <c r="G227" s="41" t="str">
        <f ca="1">IF(F227="","",'Reference CAPA - Test data'!G227)</f>
        <v>Dissolution rate low - 15 mins</v>
      </c>
      <c r="H227" s="34">
        <f t="shared" ca="1" si="3"/>
        <v>45971</v>
      </c>
      <c r="I227" s="29" t="str">
        <f ca="1">IF(H227="","",'Reference CAPA - Test data'!I227)</f>
        <v>Training for operators</v>
      </c>
    </row>
    <row r="228" spans="1:9" x14ac:dyDescent="0.35">
      <c r="A228" s="31">
        <v>200000610</v>
      </c>
      <c r="B228" s="31">
        <v>1010</v>
      </c>
      <c r="C228" s="31">
        <v>4197</v>
      </c>
      <c r="D228" s="29" t="str">
        <f>LOOKUP('CAPA-old'!C228,'QALS - Inspection Lot Record'!P:P,'QALS - Inspection Lot Record'!O:O)</f>
        <v>Metformin Tablets (500 MG)</v>
      </c>
      <c r="E228" s="31">
        <v>68</v>
      </c>
      <c r="F228" s="34">
        <f ca="1">IF(TODAY()&gt;=LOOKUP(C228,'QALS - Inspection Lot Record'!P:P,'QALS - Inspection Lot Record'!J:J)+RANDBETWEEN(0,1),LOOKUP(C228,'QALS - Inspection Lot Record'!P:P,'QALS - Inspection Lot Record'!J:J)+RANDBETWEEN(0,1),"")</f>
        <v>45969</v>
      </c>
      <c r="G228" s="41" t="str">
        <f ca="1">IF(F228="","",'Reference CAPA - Test data'!G228)</f>
        <v>Dissolution rate low - 30 mins</v>
      </c>
      <c r="H228" s="34">
        <f t="shared" ca="1" si="3"/>
        <v>45969</v>
      </c>
      <c r="I228" s="29" t="str">
        <f ca="1">IF(H228="","",'Reference CAPA - Test data'!I228)</f>
        <v>Optimize granulation</v>
      </c>
    </row>
    <row r="229" spans="1:9" x14ac:dyDescent="0.35">
      <c r="A229" s="31">
        <v>200000610</v>
      </c>
      <c r="B229" s="31">
        <v>1010</v>
      </c>
      <c r="C229" s="31">
        <v>4197</v>
      </c>
      <c r="D229" s="29" t="str">
        <f>LOOKUP('CAPA-old'!C229,'QALS - Inspection Lot Record'!P:P,'QALS - Inspection Lot Record'!O:O)</f>
        <v>Metformin Tablets (500 MG)</v>
      </c>
      <c r="E229" s="31">
        <v>78.400000000000006</v>
      </c>
      <c r="F229" s="34">
        <f ca="1">IF(TODAY()&gt;=LOOKUP(C229,'QALS - Inspection Lot Record'!P:P,'QALS - Inspection Lot Record'!J:J)+RANDBETWEEN(0,1),LOOKUP(C229,'QALS - Inspection Lot Record'!P:P,'QALS - Inspection Lot Record'!J:J)+RANDBETWEEN(0,1),"")</f>
        <v>45969</v>
      </c>
      <c r="G229" s="41" t="str">
        <f ca="1">IF(F229="","",'Reference CAPA - Test data'!G229)</f>
        <v>Dissolution rate low - 40 mins</v>
      </c>
      <c r="H229" s="34">
        <f t="shared" ca="1" si="3"/>
        <v>45970</v>
      </c>
      <c r="I229" s="29" t="str">
        <f ca="1">IF(H229="","",'Reference CAPA - Test data'!I229)</f>
        <v>Optimize compression</v>
      </c>
    </row>
    <row r="230" spans="1:9" x14ac:dyDescent="0.35">
      <c r="A230" s="31">
        <v>200000611</v>
      </c>
      <c r="B230" s="31">
        <v>1010</v>
      </c>
      <c r="C230" s="31">
        <v>4198</v>
      </c>
      <c r="D230" s="29" t="str">
        <f>LOOKUP('CAPA-old'!C230,'QALS - Inspection Lot Record'!P:P,'QALS - Inspection Lot Record'!O:O)</f>
        <v>Ibuprofen Tablets (100 MG)</v>
      </c>
      <c r="E230" s="31">
        <v>68.3</v>
      </c>
      <c r="F230" s="34">
        <f ca="1">IF(TODAY()&gt;=LOOKUP(C230,'QALS - Inspection Lot Record'!P:P,'QALS - Inspection Lot Record'!J:J)+RANDBETWEEN(0,1),LOOKUP(C230,'QALS - Inspection Lot Record'!P:P,'QALS - Inspection Lot Record'!J:J)+RANDBETWEEN(0,1),"")</f>
        <v>45968</v>
      </c>
      <c r="G230" s="41" t="str">
        <f ca="1">IF(F230="","",'Reference CAPA - Test data'!G230)</f>
        <v>Dissolution rate low - 30 mins</v>
      </c>
      <c r="H230" s="34">
        <f t="shared" ca="1" si="3"/>
        <v>45969</v>
      </c>
      <c r="I230" s="29" t="str">
        <f ca="1">IF(H230="","",'Reference CAPA - Test data'!I230)</f>
        <v>Equipment calibration</v>
      </c>
    </row>
    <row r="231" spans="1:9" x14ac:dyDescent="0.35">
      <c r="A231" s="31">
        <v>200000612</v>
      </c>
      <c r="B231" s="31">
        <v>1010</v>
      </c>
      <c r="C231" s="31">
        <v>4199</v>
      </c>
      <c r="D231" s="29" t="str">
        <f>LOOKUP('CAPA-old'!C231,'QALS - Inspection Lot Record'!P:P,'QALS - Inspection Lot Record'!O:O)</f>
        <v>Metformin Tablets (500 MG)</v>
      </c>
      <c r="E231" s="31">
        <v>93.6</v>
      </c>
      <c r="F231" s="34">
        <f ca="1">IF(TODAY()&gt;=LOOKUP(C231,'QALS - Inspection Lot Record'!P:P,'QALS - Inspection Lot Record'!J:J)+RANDBETWEEN(0,1),LOOKUP(C231,'QALS - Inspection Lot Record'!P:P,'QALS - Inspection Lot Record'!J:J)+RANDBETWEEN(0,1),"")</f>
        <v>45969</v>
      </c>
      <c r="G231" s="41" t="str">
        <f ca="1">IF(F231="","",'Reference CAPA - Test data'!G231)</f>
        <v>Potency out of spec</v>
      </c>
      <c r="H231" s="34">
        <f t="shared" ca="1" si="3"/>
        <v>45970</v>
      </c>
      <c r="I231" s="29" t="str">
        <f ca="1">IF(H231="","",'Reference CAPA - Test data'!I231)</f>
        <v>Supplier evaluation</v>
      </c>
    </row>
    <row r="232" spans="1:9" x14ac:dyDescent="0.35">
      <c r="A232" s="31">
        <v>200000613</v>
      </c>
      <c r="B232" s="31">
        <v>1010</v>
      </c>
      <c r="C232" s="31">
        <v>4200</v>
      </c>
      <c r="D232" s="29" t="str">
        <f>LOOKUP('CAPA-old'!C232,'QALS - Inspection Lot Record'!P:P,'QALS - Inspection Lot Record'!O:O)</f>
        <v>Metformin Tablets (200 MG)</v>
      </c>
      <c r="E232" s="31">
        <v>93.6</v>
      </c>
      <c r="F232" s="34">
        <f ca="1">IF(TODAY()&gt;=LOOKUP(C232,'QALS - Inspection Lot Record'!P:P,'QALS - Inspection Lot Record'!J:J)+RANDBETWEEN(0,1),LOOKUP(C232,'QALS - Inspection Lot Record'!P:P,'QALS - Inspection Lot Record'!J:J)+RANDBETWEEN(0,1),"")</f>
        <v>45969</v>
      </c>
      <c r="G232" s="41" t="str">
        <f ca="1">IF(F232="","",'Reference CAPA - Test data'!G232)</f>
        <v>Potency out of spec</v>
      </c>
      <c r="H232" s="34">
        <f t="shared" ca="1" si="3"/>
        <v>45969</v>
      </c>
      <c r="I232" s="29" t="str">
        <f ca="1">IF(H232="","",'Reference CAPA - Test data'!I232)</f>
        <v>Improve formulation</v>
      </c>
    </row>
    <row r="233" spans="1:9" x14ac:dyDescent="0.35">
      <c r="A233" s="31">
        <v>200000614</v>
      </c>
      <c r="B233" s="31">
        <v>1010</v>
      </c>
      <c r="C233" s="31">
        <v>4202</v>
      </c>
      <c r="D233" s="29" t="str">
        <f>LOOKUP('CAPA-old'!C233,'QALS - Inspection Lot Record'!P:P,'QALS - Inspection Lot Record'!O:O)</f>
        <v>Metformin Tablets (200 MG)</v>
      </c>
      <c r="E233" s="31">
        <v>21.4</v>
      </c>
      <c r="F233" s="34">
        <f ca="1">IF(TODAY()&gt;=LOOKUP(C233,'QALS - Inspection Lot Record'!P:P,'QALS - Inspection Lot Record'!J:J)+RANDBETWEEN(0,1),LOOKUP(C233,'QALS - Inspection Lot Record'!P:P,'QALS - Inspection Lot Record'!J:J)+RANDBETWEEN(0,1),"")</f>
        <v>45971</v>
      </c>
      <c r="G233" s="41" t="str">
        <f ca="1">IF(F233="","",'Reference CAPA - Test data'!G233)</f>
        <v>Process temp out of range</v>
      </c>
      <c r="H233" s="34">
        <f t="shared" ca="1" si="3"/>
        <v>45971</v>
      </c>
      <c r="I233" s="29" t="str">
        <f ca="1">IF(H233="","",'Reference CAPA - Test data'!I233)</f>
        <v>Equipment calibration</v>
      </c>
    </row>
    <row r="234" spans="1:9" x14ac:dyDescent="0.35">
      <c r="A234" s="31">
        <v>200000615</v>
      </c>
      <c r="B234" s="31">
        <v>1010</v>
      </c>
      <c r="C234" s="31">
        <v>4206</v>
      </c>
      <c r="D234" s="29" t="str">
        <f>LOOKUP('CAPA-old'!C234,'QALS - Inspection Lot Record'!P:P,'QALS - Inspection Lot Record'!O:O)</f>
        <v>Metformin Tablets (200 MG)</v>
      </c>
      <c r="E234" s="31">
        <v>21.2</v>
      </c>
      <c r="F234" s="34">
        <f ca="1">IF(TODAY()&gt;=LOOKUP(C234,'QALS - Inspection Lot Record'!P:P,'QALS - Inspection Lot Record'!J:J)+RANDBETWEEN(0,1),LOOKUP(C234,'QALS - Inspection Lot Record'!P:P,'QALS - Inspection Lot Record'!J:J)+RANDBETWEEN(0,1),"")</f>
        <v>45972</v>
      </c>
      <c r="G234" s="41" t="str">
        <f ca="1">IF(F234="","",'Reference CAPA - Test data'!G234)</f>
        <v>Process temp out of range</v>
      </c>
      <c r="H234" s="34">
        <f t="shared" ca="1" si="3"/>
        <v>45974</v>
      </c>
      <c r="I234" s="29" t="str">
        <f ca="1">IF(H234="","",'Reference CAPA - Test data'!I234)</f>
        <v>Temperature control</v>
      </c>
    </row>
    <row r="235" spans="1:9" x14ac:dyDescent="0.35">
      <c r="A235" s="31">
        <v>200000616</v>
      </c>
      <c r="B235" s="31">
        <v>1010</v>
      </c>
      <c r="C235" s="31">
        <v>4209</v>
      </c>
      <c r="D235" s="29" t="str">
        <f>LOOKUP('CAPA-old'!C235,'QALS - Inspection Lot Record'!P:P,'QALS - Inspection Lot Record'!O:O)</f>
        <v>Metformin Tablets (100 MG)</v>
      </c>
      <c r="E235" s="31">
        <v>2.4</v>
      </c>
      <c r="F235" s="34">
        <f ca="1">IF(TODAY()&gt;=LOOKUP(C235,'QALS - Inspection Lot Record'!P:P,'QALS - Inspection Lot Record'!J:J)+RANDBETWEEN(0,1),LOOKUP(C235,'QALS - Inspection Lot Record'!P:P,'QALS - Inspection Lot Record'!J:J)+RANDBETWEEN(0,1),"")</f>
        <v>45975</v>
      </c>
      <c r="G235" s="41" t="str">
        <f ca="1">IF(F235="","",'Reference CAPA - Test data'!G235)</f>
        <v>PH Level out of range</v>
      </c>
      <c r="H235" s="34">
        <f t="shared" ca="1" si="3"/>
        <v>45976</v>
      </c>
      <c r="I235" s="29" t="str">
        <f ca="1">IF(H235="","",'Reference CAPA - Test data'!I235)</f>
        <v>PH monitoring</v>
      </c>
    </row>
    <row r="236" spans="1:9" x14ac:dyDescent="0.35">
      <c r="A236" s="31">
        <v>200000616</v>
      </c>
      <c r="B236" s="31">
        <v>1010</v>
      </c>
      <c r="C236" s="31">
        <v>4209</v>
      </c>
      <c r="D236" s="29" t="str">
        <f>LOOKUP('CAPA-old'!C236,'QALS - Inspection Lot Record'!P:P,'QALS - Inspection Lot Record'!O:O)</f>
        <v>Metformin Tablets (100 MG)</v>
      </c>
      <c r="E236" s="31">
        <v>78.5</v>
      </c>
      <c r="F236" s="34">
        <f ca="1">IF(TODAY()&gt;=LOOKUP(C236,'QALS - Inspection Lot Record'!P:P,'QALS - Inspection Lot Record'!J:J)+RANDBETWEEN(0,1),LOOKUP(C236,'QALS - Inspection Lot Record'!P:P,'QALS - Inspection Lot Record'!J:J)+RANDBETWEEN(0,1),"")</f>
        <v>45974</v>
      </c>
      <c r="G236" s="41" t="str">
        <f ca="1">IF(F236="","",'Reference CAPA - Test data'!G236)</f>
        <v>Dissolution rate low - 40 mins</v>
      </c>
      <c r="H236" s="34">
        <f t="shared" ca="1" si="3"/>
        <v>45975</v>
      </c>
      <c r="I236" s="29" t="str">
        <f ca="1">IF(H236="","",'Reference CAPA - Test data'!I236)</f>
        <v>Increase surface area</v>
      </c>
    </row>
    <row r="237" spans="1:9" x14ac:dyDescent="0.35">
      <c r="A237" s="31">
        <v>200000617</v>
      </c>
      <c r="B237" s="31">
        <v>1010</v>
      </c>
      <c r="C237" s="31">
        <v>4210</v>
      </c>
      <c r="D237" s="29" t="str">
        <f>LOOKUP('CAPA-old'!C237,'QALS - Inspection Lot Record'!P:P,'QALS - Inspection Lot Record'!O:O)</f>
        <v>Ibuprofen Tablets (100 MG)</v>
      </c>
      <c r="E237" s="31">
        <v>93.1</v>
      </c>
      <c r="F237" s="34">
        <f ca="1">IF(TODAY()&gt;=LOOKUP(C237,'QALS - Inspection Lot Record'!P:P,'QALS - Inspection Lot Record'!J:J)+RANDBETWEEN(0,1),LOOKUP(C237,'QALS - Inspection Lot Record'!P:P,'QALS - Inspection Lot Record'!J:J)+RANDBETWEEN(0,1),"")</f>
        <v>45975</v>
      </c>
      <c r="G237" s="41" t="str">
        <f ca="1">IF(F237="","",'Reference CAPA - Test data'!G237)</f>
        <v>Potency out of spec</v>
      </c>
      <c r="H237" s="34">
        <f t="shared" ca="1" si="3"/>
        <v>45976</v>
      </c>
      <c r="I237" s="29" t="str">
        <f ca="1">IF(H237="","",'Reference CAPA - Test data'!I237)</f>
        <v>Update production SOP</v>
      </c>
    </row>
    <row r="238" spans="1:9" x14ac:dyDescent="0.35">
      <c r="A238" s="31">
        <v>200000617</v>
      </c>
      <c r="B238" s="31">
        <v>1010</v>
      </c>
      <c r="C238" s="31">
        <v>4210</v>
      </c>
      <c r="D238" s="29" t="str">
        <f>LOOKUP('CAPA-old'!C238,'QALS - Inspection Lot Record'!P:P,'QALS - Inspection Lot Record'!O:O)</f>
        <v>Ibuprofen Tablets (100 MG)</v>
      </c>
      <c r="E238" s="31">
        <v>78.099999999999994</v>
      </c>
      <c r="F238" s="34">
        <f ca="1">IF(TODAY()&gt;=LOOKUP(C238,'QALS - Inspection Lot Record'!P:P,'QALS - Inspection Lot Record'!J:J)+RANDBETWEEN(0,1),LOOKUP(C238,'QALS - Inspection Lot Record'!P:P,'QALS - Inspection Lot Record'!J:J)+RANDBETWEEN(0,1),"")</f>
        <v>45975</v>
      </c>
      <c r="G238" s="41" t="str">
        <f ca="1">IF(F238="","",'Reference CAPA - Test data'!G238)</f>
        <v>Dissolution rate low - 40 mins</v>
      </c>
      <c r="H238" s="34">
        <f t="shared" ca="1" si="3"/>
        <v>45975</v>
      </c>
      <c r="I238" s="29" t="str">
        <f ca="1">IF(H238="","",'Reference CAPA - Test data'!I238)</f>
        <v>Equipment calibration</v>
      </c>
    </row>
    <row r="239" spans="1:9" x14ac:dyDescent="0.35">
      <c r="A239" s="31">
        <v>200000618</v>
      </c>
      <c r="B239" s="31">
        <v>1010</v>
      </c>
      <c r="C239" s="31">
        <v>4211</v>
      </c>
      <c r="D239" s="29" t="str">
        <f>LOOKUP('CAPA-old'!C239,'QALS - Inspection Lot Record'!P:P,'QALS - Inspection Lot Record'!O:O)</f>
        <v>Aspirin Tablets (500 MG)</v>
      </c>
      <c r="E239" s="31">
        <v>68.099999999999994</v>
      </c>
      <c r="F239" s="34">
        <f ca="1">IF(TODAY()&gt;=LOOKUP(C239,'QALS - Inspection Lot Record'!P:P,'QALS - Inspection Lot Record'!J:J)+RANDBETWEEN(0,1),LOOKUP(C239,'QALS - Inspection Lot Record'!P:P,'QALS - Inspection Lot Record'!J:J)+RANDBETWEEN(0,1),"")</f>
        <v>45976</v>
      </c>
      <c r="G239" s="41" t="str">
        <f ca="1">IF(F239="","",'Reference CAPA - Test data'!G239)</f>
        <v>Dissolution rate low - 30 mins</v>
      </c>
      <c r="H239" s="34">
        <f t="shared" ca="1" si="3"/>
        <v>45977</v>
      </c>
      <c r="I239" s="29" t="str">
        <f ca="1">IF(H239="","",'Reference CAPA - Test data'!I239)</f>
        <v>Optimize granulation</v>
      </c>
    </row>
    <row r="240" spans="1:9" x14ac:dyDescent="0.35">
      <c r="A240" s="31">
        <v>200000619</v>
      </c>
      <c r="B240" s="31">
        <v>1010</v>
      </c>
      <c r="C240" s="31">
        <v>4212</v>
      </c>
      <c r="D240" s="29" t="str">
        <f>LOOKUP('CAPA-old'!C240,'QALS - Inspection Lot Record'!P:P,'QALS - Inspection Lot Record'!O:O)</f>
        <v>Ibuprofen Tablets (100 MG)</v>
      </c>
      <c r="E240" s="31">
        <v>21.1</v>
      </c>
      <c r="F240" s="34">
        <f ca="1">IF(TODAY()&gt;=LOOKUP(C240,'QALS - Inspection Lot Record'!P:P,'QALS - Inspection Lot Record'!J:J)+RANDBETWEEN(0,1),LOOKUP(C240,'QALS - Inspection Lot Record'!P:P,'QALS - Inspection Lot Record'!J:J)+RANDBETWEEN(0,1),"")</f>
        <v>45976</v>
      </c>
      <c r="G240" s="41" t="str">
        <f ca="1">IF(F240="","",'Reference CAPA - Test data'!G240)</f>
        <v>Process temp out of range</v>
      </c>
      <c r="H240" s="34">
        <f t="shared" ca="1" si="3"/>
        <v>45978</v>
      </c>
      <c r="I240" s="29" t="str">
        <f ca="1">IF(H240="","",'Reference CAPA - Test data'!I240)</f>
        <v>Preventive maintenance</v>
      </c>
    </row>
    <row r="241" spans="1:9" x14ac:dyDescent="0.35">
      <c r="A241" s="31">
        <v>200000620</v>
      </c>
      <c r="B241" s="31">
        <v>1010</v>
      </c>
      <c r="C241" s="31">
        <v>4219</v>
      </c>
      <c r="D241" s="29" t="str">
        <f>LOOKUP('CAPA-old'!C241,'QALS - Inspection Lot Record'!P:P,'QALS - Inspection Lot Record'!O:O)</f>
        <v>Aspirin Tablets (500 MG)</v>
      </c>
      <c r="E241" s="31">
        <v>38.6</v>
      </c>
      <c r="F241" s="34">
        <f ca="1">IF(TODAY()&gt;=LOOKUP(C241,'QALS - Inspection Lot Record'!P:P,'QALS - Inspection Lot Record'!J:J)+RANDBETWEEN(0,1),LOOKUP(C241,'QALS - Inspection Lot Record'!P:P,'QALS - Inspection Lot Record'!J:J)+RANDBETWEEN(0,1),"")</f>
        <v>45980</v>
      </c>
      <c r="G241" s="41" t="str">
        <f ca="1">IF(F241="","",'Reference CAPA - Test data'!G241)</f>
        <v>Dissolution rate low - 15 mins</v>
      </c>
      <c r="H241" s="34">
        <f t="shared" ca="1" si="3"/>
        <v>45981</v>
      </c>
      <c r="I241" s="29" t="str">
        <f ca="1">IF(H241="","",'Reference CAPA - Test data'!I241)</f>
        <v>Reduce particle size</v>
      </c>
    </row>
    <row r="242" spans="1:9" x14ac:dyDescent="0.35">
      <c r="A242" s="31">
        <v>200000620</v>
      </c>
      <c r="B242" s="31">
        <v>1010</v>
      </c>
      <c r="C242" s="31">
        <v>4219</v>
      </c>
      <c r="D242" s="29" t="str">
        <f>LOOKUP('CAPA-old'!C242,'QALS - Inspection Lot Record'!P:P,'QALS - Inspection Lot Record'!O:O)</f>
        <v>Aspirin Tablets (500 MG)</v>
      </c>
      <c r="E242" s="31">
        <v>68.2</v>
      </c>
      <c r="F242" s="34">
        <f ca="1">IF(TODAY()&gt;=LOOKUP(C242,'QALS - Inspection Lot Record'!P:P,'QALS - Inspection Lot Record'!J:J)+RANDBETWEEN(0,1),LOOKUP(C242,'QALS - Inspection Lot Record'!P:P,'QALS - Inspection Lot Record'!J:J)+RANDBETWEEN(0,1),"")</f>
        <v>45979</v>
      </c>
      <c r="G242" s="41" t="str">
        <f ca="1">IF(F242="","",'Reference CAPA - Test data'!G242)</f>
        <v>Dissolution rate low - 30 mins</v>
      </c>
      <c r="H242" s="34">
        <f t="shared" ca="1" si="3"/>
        <v>45980</v>
      </c>
      <c r="I242" s="29" t="str">
        <f ca="1">IF(H242="","",'Reference CAPA - Test data'!I242)</f>
        <v>Supplier evaluation</v>
      </c>
    </row>
    <row r="243" spans="1:9" x14ac:dyDescent="0.35">
      <c r="A243" s="31">
        <v>200000620</v>
      </c>
      <c r="B243" s="31">
        <v>1010</v>
      </c>
      <c r="C243" s="31">
        <v>4219</v>
      </c>
      <c r="D243" s="29" t="str">
        <f>LOOKUP('CAPA-old'!C243,'QALS - Inspection Lot Record'!P:P,'QALS - Inspection Lot Record'!O:O)</f>
        <v>Aspirin Tablets (500 MG)</v>
      </c>
      <c r="E243" s="31">
        <v>78.2</v>
      </c>
      <c r="F243" s="34">
        <f ca="1">IF(TODAY()&gt;=LOOKUP(C243,'QALS - Inspection Lot Record'!P:P,'QALS - Inspection Lot Record'!J:J)+RANDBETWEEN(0,1),LOOKUP(C243,'QALS - Inspection Lot Record'!P:P,'QALS - Inspection Lot Record'!J:J)+RANDBETWEEN(0,1),"")</f>
        <v>45979</v>
      </c>
      <c r="G243" s="41" t="str">
        <f ca="1">IF(F243="","",'Reference CAPA - Test data'!G243)</f>
        <v>Dissolution rate low - 40 mins</v>
      </c>
      <c r="H243" s="34">
        <f t="shared" ca="1" si="3"/>
        <v>45979</v>
      </c>
      <c r="I243" s="29" t="str">
        <f ca="1">IF(H243="","",'Reference CAPA - Test data'!I243)</f>
        <v>Optimize compression</v>
      </c>
    </row>
    <row r="244" spans="1:9" x14ac:dyDescent="0.35">
      <c r="A244" s="31">
        <v>200000620</v>
      </c>
      <c r="B244" s="31">
        <v>1010</v>
      </c>
      <c r="C244" s="31">
        <v>4219</v>
      </c>
      <c r="D244" s="29" t="str">
        <f>LOOKUP('CAPA-old'!C244,'QALS - Inspection Lot Record'!P:P,'QALS - Inspection Lot Record'!O:O)</f>
        <v>Aspirin Tablets (500 MG)</v>
      </c>
      <c r="E244" s="31">
        <v>22.4</v>
      </c>
      <c r="F244" s="34">
        <f ca="1">IF(TODAY()&gt;=LOOKUP(C244,'QALS - Inspection Lot Record'!P:P,'QALS - Inspection Lot Record'!J:J)+RANDBETWEEN(0,1),LOOKUP(C244,'QALS - Inspection Lot Record'!P:P,'QALS - Inspection Lot Record'!J:J)+RANDBETWEEN(0,1),"")</f>
        <v>45979</v>
      </c>
      <c r="G244" s="41" t="str">
        <f ca="1">IF(F244="","",'Reference CAPA - Test data'!G244)</f>
        <v>Process temp out of range</v>
      </c>
      <c r="H244" s="34">
        <f t="shared" ca="1" si="3"/>
        <v>45981</v>
      </c>
      <c r="I244" s="29" t="str">
        <f ca="1">IF(H244="","",'Reference CAPA - Test data'!I244)</f>
        <v>Training for operators</v>
      </c>
    </row>
    <row r="245" spans="1:9" x14ac:dyDescent="0.35">
      <c r="A245" s="31">
        <v>200000621</v>
      </c>
      <c r="B245" s="31">
        <v>1010</v>
      </c>
      <c r="C245" s="31">
        <v>4220</v>
      </c>
      <c r="D245" s="29" t="str">
        <f>LOOKUP('CAPA-old'!C245,'QALS - Inspection Lot Record'!P:P,'QALS - Inspection Lot Record'!O:O)</f>
        <v>Metformin Tablets (100 MG)</v>
      </c>
      <c r="E245" s="31">
        <v>1.7</v>
      </c>
      <c r="F245" s="34">
        <f ca="1">IF(TODAY()&gt;=LOOKUP(C245,'QALS - Inspection Lot Record'!P:P,'QALS - Inspection Lot Record'!J:J)+RANDBETWEEN(0,1),LOOKUP(C245,'QALS - Inspection Lot Record'!P:P,'QALS - Inspection Lot Record'!J:J)+RANDBETWEEN(0,1),"")</f>
        <v>45980</v>
      </c>
      <c r="G245" s="41" t="str">
        <f ca="1">IF(F245="","",'Reference CAPA - Test data'!G245)</f>
        <v>PH Level out of range</v>
      </c>
      <c r="H245" s="34">
        <f t="shared" ca="1" si="3"/>
        <v>45980</v>
      </c>
      <c r="I245" s="29" t="str">
        <f ca="1">IF(H245="","",'Reference CAPA - Test data'!I245)</f>
        <v>Training for operators</v>
      </c>
    </row>
    <row r="246" spans="1:9" x14ac:dyDescent="0.35">
      <c r="A246" s="31">
        <v>200000621</v>
      </c>
      <c r="B246" s="31">
        <v>1010</v>
      </c>
      <c r="C246" s="31">
        <v>4220</v>
      </c>
      <c r="D246" s="29" t="str">
        <f>LOOKUP('CAPA-old'!C246,'QALS - Inspection Lot Record'!P:P,'QALS - Inspection Lot Record'!O:O)</f>
        <v>Metformin Tablets (100 MG)</v>
      </c>
      <c r="E246" s="31">
        <v>68.3</v>
      </c>
      <c r="F246" s="34">
        <f ca="1">IF(TODAY()&gt;=LOOKUP(C246,'QALS - Inspection Lot Record'!P:P,'QALS - Inspection Lot Record'!J:J)+RANDBETWEEN(0,1),LOOKUP(C246,'QALS - Inspection Lot Record'!P:P,'QALS - Inspection Lot Record'!J:J)+RANDBETWEEN(0,1),"")</f>
        <v>45980</v>
      </c>
      <c r="G246" s="41" t="str">
        <f ca="1">IF(F246="","",'Reference CAPA - Test data'!G246)</f>
        <v>Dissolution rate low - 30 mins</v>
      </c>
      <c r="H246" s="34">
        <f t="shared" ca="1" si="3"/>
        <v>45981</v>
      </c>
      <c r="I246" s="29" t="str">
        <f ca="1">IF(H246="","",'Reference CAPA - Test data'!I246)</f>
        <v>Optimize granulation</v>
      </c>
    </row>
    <row r="247" spans="1:9" x14ac:dyDescent="0.35">
      <c r="A247" s="31">
        <v>200000621</v>
      </c>
      <c r="B247" s="31">
        <v>1010</v>
      </c>
      <c r="C247" s="31">
        <v>4220</v>
      </c>
      <c r="D247" s="29" t="str">
        <f>LOOKUP('CAPA-old'!C247,'QALS - Inspection Lot Record'!P:P,'QALS - Inspection Lot Record'!O:O)</f>
        <v>Metformin Tablets (100 MG)</v>
      </c>
      <c r="E247" s="31">
        <v>78.2</v>
      </c>
      <c r="F247" s="34">
        <f ca="1">IF(TODAY()&gt;=LOOKUP(C247,'QALS - Inspection Lot Record'!P:P,'QALS - Inspection Lot Record'!J:J)+RANDBETWEEN(0,1),LOOKUP(C247,'QALS - Inspection Lot Record'!P:P,'QALS - Inspection Lot Record'!J:J)+RANDBETWEEN(0,1),"")</f>
        <v>45980</v>
      </c>
      <c r="G247" s="41" t="str">
        <f ca="1">IF(F247="","",'Reference CAPA - Test data'!G247)</f>
        <v>Dissolution rate low - 40 mins</v>
      </c>
      <c r="H247" s="34">
        <f t="shared" ca="1" si="3"/>
        <v>45980</v>
      </c>
      <c r="I247" s="29" t="str">
        <f ca="1">IF(H247="","",'Reference CAPA - Test data'!I247)</f>
        <v>Optimize compression</v>
      </c>
    </row>
    <row r="248" spans="1:9" x14ac:dyDescent="0.35">
      <c r="A248" s="31">
        <v>200000622</v>
      </c>
      <c r="B248" s="31">
        <v>1010</v>
      </c>
      <c r="C248" s="31">
        <v>4223</v>
      </c>
      <c r="D248" s="29" t="str">
        <f>LOOKUP('CAPA-old'!C248,'QALS - Inspection Lot Record'!P:P,'QALS - Inspection Lot Record'!O:O)</f>
        <v>Metformin Tablets (200 MG)</v>
      </c>
      <c r="E248" s="31">
        <v>4.4000000000000004</v>
      </c>
      <c r="F248" s="34">
        <f ca="1">IF(TODAY()&gt;=LOOKUP(C248,'QALS - Inspection Lot Record'!P:P,'QALS - Inspection Lot Record'!J:J)+RANDBETWEEN(0,1),LOOKUP(C248,'QALS - Inspection Lot Record'!P:P,'QALS - Inspection Lot Record'!J:J)+RANDBETWEEN(0,1),"")</f>
        <v>45982</v>
      </c>
      <c r="G248" s="41" t="str">
        <f ca="1">IF(F248="","",'Reference CAPA - Test data'!G248)</f>
        <v>PH Level out of range</v>
      </c>
      <c r="H248" s="34">
        <f t="shared" ca="1" si="3"/>
        <v>45984</v>
      </c>
      <c r="I248" s="29" t="str">
        <f ca="1">IF(H248="","",'Reference CAPA - Test data'!I248)</f>
        <v>Equipment calibration</v>
      </c>
    </row>
    <row r="249" spans="1:9" x14ac:dyDescent="0.35">
      <c r="A249" s="31">
        <v>200000622</v>
      </c>
      <c r="B249" s="31">
        <v>1010</v>
      </c>
      <c r="C249" s="31">
        <v>4223</v>
      </c>
      <c r="D249" s="29" t="str">
        <f>LOOKUP('CAPA-old'!C249,'QALS - Inspection Lot Record'!P:P,'QALS - Inspection Lot Record'!O:O)</f>
        <v>Metformin Tablets (200 MG)</v>
      </c>
      <c r="E249" s="31">
        <v>69</v>
      </c>
      <c r="F249" s="34">
        <f ca="1">IF(TODAY()&gt;=LOOKUP(C249,'QALS - Inspection Lot Record'!P:P,'QALS - Inspection Lot Record'!J:J)+RANDBETWEEN(0,1),LOOKUP(C249,'QALS - Inspection Lot Record'!P:P,'QALS - Inspection Lot Record'!J:J)+RANDBETWEEN(0,1),"")</f>
        <v>45982</v>
      </c>
      <c r="G249" s="41" t="str">
        <f ca="1">IF(F249="","",'Reference CAPA - Test data'!G249)</f>
        <v>Dissolution rate low - 30 mins</v>
      </c>
      <c r="H249" s="34">
        <f t="shared" ca="1" si="3"/>
        <v>45983</v>
      </c>
      <c r="I249" s="29" t="str">
        <f ca="1">IF(H249="","",'Reference CAPA - Test data'!I249)</f>
        <v>Increase disintegrant</v>
      </c>
    </row>
    <row r="250" spans="1:9" x14ac:dyDescent="0.35">
      <c r="A250" s="31">
        <v>200000622</v>
      </c>
      <c r="B250" s="31">
        <v>1010</v>
      </c>
      <c r="C250" s="31">
        <v>4223</v>
      </c>
      <c r="D250" s="29" t="str">
        <f>LOOKUP('CAPA-old'!C250,'QALS - Inspection Lot Record'!P:P,'QALS - Inspection Lot Record'!O:O)</f>
        <v>Metformin Tablets (200 MG)</v>
      </c>
      <c r="E250" s="31">
        <v>79</v>
      </c>
      <c r="F250" s="34">
        <f ca="1">IF(TODAY()&gt;=LOOKUP(C250,'QALS - Inspection Lot Record'!P:P,'QALS - Inspection Lot Record'!J:J)+RANDBETWEEN(0,1),LOOKUP(C250,'QALS - Inspection Lot Record'!P:P,'QALS - Inspection Lot Record'!J:J)+RANDBETWEEN(0,1),"")</f>
        <v>45982</v>
      </c>
      <c r="G250" s="41" t="str">
        <f ca="1">IF(F250="","",'Reference CAPA - Test data'!G250)</f>
        <v>Dissolution rate low - 40 mins</v>
      </c>
      <c r="H250" s="34">
        <f t="shared" ca="1" si="3"/>
        <v>45983</v>
      </c>
      <c r="I250" s="29" t="str">
        <f ca="1">IF(H250="","",'Reference CAPA - Test data'!I250)</f>
        <v>Increase surface area</v>
      </c>
    </row>
    <row r="251" spans="1:9" x14ac:dyDescent="0.35">
      <c r="A251" s="31">
        <v>200000623</v>
      </c>
      <c r="B251" s="31">
        <v>1010</v>
      </c>
      <c r="C251" s="31">
        <v>4224</v>
      </c>
      <c r="D251" s="29" t="str">
        <f>LOOKUP('CAPA-old'!C251,'QALS - Inspection Lot Record'!P:P,'QALS - Inspection Lot Record'!O:O)</f>
        <v>Metformin Tablets (500 MG)</v>
      </c>
      <c r="E251" s="31">
        <v>68.599999999999994</v>
      </c>
      <c r="F251" s="34">
        <f ca="1">IF(TODAY()&gt;=LOOKUP(C251,'QALS - Inspection Lot Record'!P:P,'QALS - Inspection Lot Record'!J:J)+RANDBETWEEN(0,1),LOOKUP(C251,'QALS - Inspection Lot Record'!P:P,'QALS - Inspection Lot Record'!J:J)+RANDBETWEEN(0,1),"")</f>
        <v>45981</v>
      </c>
      <c r="G251" s="41" t="str">
        <f ca="1">IF(F251="","",'Reference CAPA - Test data'!G251)</f>
        <v>Dissolution rate low - 30 mins</v>
      </c>
      <c r="H251" s="34">
        <f t="shared" ca="1" si="3"/>
        <v>45983</v>
      </c>
      <c r="I251" s="29" t="str">
        <f ca="1">IF(H251="","",'Reference CAPA - Test data'!I251)</f>
        <v>Optimize granulation</v>
      </c>
    </row>
    <row r="252" spans="1:9" x14ac:dyDescent="0.35">
      <c r="A252" s="31">
        <v>200000623</v>
      </c>
      <c r="B252" s="31">
        <v>1010</v>
      </c>
      <c r="C252" s="31">
        <v>4224</v>
      </c>
      <c r="D252" s="29" t="str">
        <f>LOOKUP('CAPA-old'!C252,'QALS - Inspection Lot Record'!P:P,'QALS - Inspection Lot Record'!O:O)</f>
        <v>Metformin Tablets (500 MG)</v>
      </c>
      <c r="E252" s="31">
        <v>78.900000000000006</v>
      </c>
      <c r="F252" s="34">
        <f ca="1">IF(TODAY()&gt;=LOOKUP(C252,'QALS - Inspection Lot Record'!P:P,'QALS - Inspection Lot Record'!J:J)+RANDBETWEEN(0,1),LOOKUP(C252,'QALS - Inspection Lot Record'!P:P,'QALS - Inspection Lot Record'!J:J)+RANDBETWEEN(0,1),"")</f>
        <v>45981</v>
      </c>
      <c r="G252" s="41" t="str">
        <f ca="1">IF(F252="","",'Reference CAPA - Test data'!G252)</f>
        <v>Dissolution rate low - 40 mins</v>
      </c>
      <c r="H252" s="34">
        <f t="shared" ca="1" si="3"/>
        <v>45983</v>
      </c>
      <c r="I252" s="29" t="str">
        <f ca="1">IF(H252="","",'Reference CAPA - Test data'!I252)</f>
        <v>Training for operators</v>
      </c>
    </row>
    <row r="253" spans="1:9" x14ac:dyDescent="0.35">
      <c r="A253" s="31">
        <v>200000624</v>
      </c>
      <c r="B253" s="31">
        <v>1010</v>
      </c>
      <c r="C253" s="31">
        <v>4227</v>
      </c>
      <c r="D253" s="29" t="str">
        <f>LOOKUP('CAPA-old'!C253,'QALS - Inspection Lot Record'!P:P,'QALS - Inspection Lot Record'!O:O)</f>
        <v>Aspirin Tablets (500 MG)</v>
      </c>
      <c r="E253" s="31">
        <v>93.9</v>
      </c>
      <c r="F253" s="34">
        <f ca="1">IF(TODAY()&gt;=LOOKUP(C253,'QALS - Inspection Lot Record'!P:P,'QALS - Inspection Lot Record'!J:J)+RANDBETWEEN(0,1),LOOKUP(C253,'QALS - Inspection Lot Record'!P:P,'QALS - Inspection Lot Record'!J:J)+RANDBETWEEN(0,1),"")</f>
        <v>45984</v>
      </c>
      <c r="G253" s="41" t="str">
        <f ca="1">IF(F253="","",'Reference CAPA - Test data'!G253)</f>
        <v>Potency out of spec</v>
      </c>
      <c r="H253" s="34">
        <f t="shared" ca="1" si="3"/>
        <v>45986</v>
      </c>
      <c r="I253" s="29" t="str">
        <f ca="1">IF(H253="","",'Reference CAPA - Test data'!I253)</f>
        <v>Training for operators</v>
      </c>
    </row>
    <row r="254" spans="1:9" x14ac:dyDescent="0.35">
      <c r="A254" s="31">
        <v>200000624</v>
      </c>
      <c r="B254" s="31">
        <v>1010</v>
      </c>
      <c r="C254" s="31">
        <v>4227</v>
      </c>
      <c r="D254" s="29" t="str">
        <f>LOOKUP('CAPA-old'!C254,'QALS - Inspection Lot Record'!P:P,'QALS - Inspection Lot Record'!O:O)</f>
        <v>Aspirin Tablets (500 MG)</v>
      </c>
      <c r="E254" s="31">
        <v>1.9</v>
      </c>
      <c r="F254" s="34">
        <f ca="1">IF(TODAY()&gt;=LOOKUP(C254,'QALS - Inspection Lot Record'!P:P,'QALS - Inspection Lot Record'!J:J)+RANDBETWEEN(0,1),LOOKUP(C254,'QALS - Inspection Lot Record'!P:P,'QALS - Inspection Lot Record'!J:J)+RANDBETWEEN(0,1),"")</f>
        <v>45983</v>
      </c>
      <c r="G254" s="41" t="str">
        <f ca="1">IF(F254="","",'Reference CAPA - Test data'!G254)</f>
        <v>PH Level out of range</v>
      </c>
      <c r="H254" s="34">
        <f t="shared" ca="1" si="3"/>
        <v>45984</v>
      </c>
      <c r="I254" s="29" t="str">
        <f ca="1">IF(H254="","",'Reference CAPA - Test data'!I254)</f>
        <v>PH monitoring</v>
      </c>
    </row>
    <row r="255" spans="1:9" x14ac:dyDescent="0.35">
      <c r="A255" s="31">
        <v>200000624</v>
      </c>
      <c r="B255" s="31">
        <v>1010</v>
      </c>
      <c r="C255" s="31">
        <v>4227</v>
      </c>
      <c r="D255" s="29" t="str">
        <f>LOOKUP('CAPA-old'!C255,'QALS - Inspection Lot Record'!P:P,'QALS - Inspection Lot Record'!O:O)</f>
        <v>Aspirin Tablets (500 MG)</v>
      </c>
      <c r="E255" s="31">
        <v>78.900000000000006</v>
      </c>
      <c r="F255" s="34">
        <f ca="1">IF(TODAY()&gt;=LOOKUP(C255,'QALS - Inspection Lot Record'!P:P,'QALS - Inspection Lot Record'!J:J)+RANDBETWEEN(0,1),LOOKUP(C255,'QALS - Inspection Lot Record'!P:P,'QALS - Inspection Lot Record'!J:J)+RANDBETWEEN(0,1),"")</f>
        <v>45983</v>
      </c>
      <c r="G255" s="41" t="str">
        <f ca="1">IF(F255="","",'Reference CAPA - Test data'!G255)</f>
        <v>Dissolution rate low - 40 mins</v>
      </c>
      <c r="H255" s="34">
        <f t="shared" ca="1" si="3"/>
        <v>45985</v>
      </c>
      <c r="I255" s="29" t="str">
        <f ca="1">IF(H255="","",'Reference CAPA - Test data'!I255)</f>
        <v>Increase surface area</v>
      </c>
    </row>
    <row r="256" spans="1:9" x14ac:dyDescent="0.35">
      <c r="A256" s="31">
        <v>200000625</v>
      </c>
      <c r="B256" s="31">
        <v>1010</v>
      </c>
      <c r="C256" s="31">
        <v>4228</v>
      </c>
      <c r="D256" s="29" t="str">
        <f>LOOKUP('CAPA-old'!C256,'QALS - Inspection Lot Record'!P:P,'QALS - Inspection Lot Record'!O:O)</f>
        <v>Metformin Tablets (100 MG)</v>
      </c>
      <c r="E256" s="31">
        <v>2.5</v>
      </c>
      <c r="F256" s="34">
        <f ca="1">IF(TODAY()&gt;=LOOKUP(C256,'QALS - Inspection Lot Record'!P:P,'QALS - Inspection Lot Record'!J:J)+RANDBETWEEN(0,1),LOOKUP(C256,'QALS - Inspection Lot Record'!P:P,'QALS - Inspection Lot Record'!J:J)+RANDBETWEEN(0,1),"")</f>
        <v>45984</v>
      </c>
      <c r="G256" s="41" t="str">
        <f ca="1">IF(F256="","",'Reference CAPA - Test data'!G256)</f>
        <v>PH Level out of range</v>
      </c>
      <c r="H256" s="34">
        <f t="shared" ca="1" si="3"/>
        <v>45986</v>
      </c>
      <c r="I256" s="29" t="str">
        <f ca="1">IF(H256="","",'Reference CAPA - Test data'!I256)</f>
        <v>Training for operators</v>
      </c>
    </row>
    <row r="257" spans="1:9" x14ac:dyDescent="0.35">
      <c r="A257" s="31">
        <v>200000625</v>
      </c>
      <c r="B257" s="31">
        <v>1010</v>
      </c>
      <c r="C257" s="31">
        <v>4228</v>
      </c>
      <c r="D257" s="29" t="str">
        <f>LOOKUP('CAPA-old'!C257,'QALS - Inspection Lot Record'!P:P,'QALS - Inspection Lot Record'!O:O)</f>
        <v>Metformin Tablets (100 MG)</v>
      </c>
      <c r="E257" s="31">
        <v>38.1</v>
      </c>
      <c r="F257" s="34">
        <f ca="1">IF(TODAY()&gt;=LOOKUP(C257,'QALS - Inspection Lot Record'!P:P,'QALS - Inspection Lot Record'!J:J)+RANDBETWEEN(0,1),LOOKUP(C257,'QALS - Inspection Lot Record'!P:P,'QALS - Inspection Lot Record'!J:J)+RANDBETWEEN(0,1),"")</f>
        <v>45984</v>
      </c>
      <c r="G257" s="41" t="str">
        <f ca="1">IF(F257="","",'Reference CAPA - Test data'!G257)</f>
        <v>Dissolution rate low - 15 mins</v>
      </c>
      <c r="H257" s="34">
        <f t="shared" ca="1" si="3"/>
        <v>45986</v>
      </c>
      <c r="I257" s="29" t="str">
        <f ca="1">IF(H257="","",'Reference CAPA - Test data'!I257)</f>
        <v>Equipment calibration</v>
      </c>
    </row>
    <row r="258" spans="1:9" x14ac:dyDescent="0.35">
      <c r="A258" s="31">
        <v>200000625</v>
      </c>
      <c r="B258" s="31">
        <v>1010</v>
      </c>
      <c r="C258" s="31">
        <v>4228</v>
      </c>
      <c r="D258" s="29" t="str">
        <f>LOOKUP('CAPA-old'!C258,'QALS - Inspection Lot Record'!P:P,'QALS - Inspection Lot Record'!O:O)</f>
        <v>Metformin Tablets (100 MG)</v>
      </c>
      <c r="E258" s="31">
        <v>68.5</v>
      </c>
      <c r="F258" s="34">
        <f ca="1">IF(TODAY()&gt;=LOOKUP(C258,'QALS - Inspection Lot Record'!P:P,'QALS - Inspection Lot Record'!J:J)+RANDBETWEEN(0,1),LOOKUP(C258,'QALS - Inspection Lot Record'!P:P,'QALS - Inspection Lot Record'!J:J)+RANDBETWEEN(0,1),"")</f>
        <v>45984</v>
      </c>
      <c r="G258" s="41" t="str">
        <f ca="1">IF(F258="","",'Reference CAPA - Test data'!G258)</f>
        <v>Dissolution rate low - 30 mins</v>
      </c>
      <c r="H258" s="34">
        <f t="shared" ca="1" si="3"/>
        <v>45985</v>
      </c>
      <c r="I258" s="29" t="str">
        <f ca="1">IF(H258="","",'Reference CAPA - Test data'!I258)</f>
        <v>Increase disintegrant</v>
      </c>
    </row>
    <row r="259" spans="1:9" x14ac:dyDescent="0.35">
      <c r="A259" s="31">
        <v>200000626</v>
      </c>
      <c r="B259" s="31">
        <v>1010</v>
      </c>
      <c r="C259" s="31">
        <v>4231</v>
      </c>
      <c r="D259" s="29" t="str">
        <f>LOOKUP('CAPA-old'!C259,'QALS - Inspection Lot Record'!P:P,'QALS - Inspection Lot Record'!O:O)</f>
        <v>Metformin Tablets (200 MG)</v>
      </c>
      <c r="E259" s="31">
        <v>78.8</v>
      </c>
      <c r="F259" s="34">
        <f ca="1">IF(TODAY()&gt;=LOOKUP(C259,'QALS - Inspection Lot Record'!P:P,'QALS - Inspection Lot Record'!J:J)+RANDBETWEEN(0,1),LOOKUP(C259,'QALS - Inspection Lot Record'!P:P,'QALS - Inspection Lot Record'!J:J)+RANDBETWEEN(0,1),"")</f>
        <v>45985</v>
      </c>
      <c r="G259" s="41" t="str">
        <f ca="1">IF(F259="","",'Reference CAPA - Test data'!G259)</f>
        <v>Dissolution rate low - 40 mins</v>
      </c>
      <c r="H259" s="34">
        <f t="shared" ref="H259:H322" ca="1" si="4">IF(TODAY()&gt;=F259+RANDBETWEEN(0,2),F259+RANDBETWEEN(0,2),"")</f>
        <v>45986</v>
      </c>
      <c r="I259" s="29" t="str">
        <f ca="1">IF(H259="","",'Reference CAPA - Test data'!I259)</f>
        <v>Optimize compression</v>
      </c>
    </row>
    <row r="260" spans="1:9" x14ac:dyDescent="0.35">
      <c r="A260" s="31">
        <v>200000627</v>
      </c>
      <c r="B260" s="31">
        <v>1010</v>
      </c>
      <c r="C260" s="31">
        <v>4232</v>
      </c>
      <c r="D260" s="29" t="str">
        <f>LOOKUP('CAPA-old'!C260,'QALS - Inspection Lot Record'!P:P,'QALS - Inspection Lot Record'!O:O)</f>
        <v>Metformin Tablets (500 MG)</v>
      </c>
      <c r="E260" s="31">
        <v>93.7</v>
      </c>
      <c r="F260" s="34">
        <f ca="1">IF(TODAY()&gt;=LOOKUP(C260,'QALS - Inspection Lot Record'!P:P,'QALS - Inspection Lot Record'!J:J)+RANDBETWEEN(0,1),LOOKUP(C260,'QALS - Inspection Lot Record'!P:P,'QALS - Inspection Lot Record'!J:J)+RANDBETWEEN(0,1),"")</f>
        <v>45986</v>
      </c>
      <c r="G260" s="41" t="str">
        <f ca="1">IF(F260="","",'Reference CAPA - Test data'!G260)</f>
        <v>Potency out of spec</v>
      </c>
      <c r="H260" s="34">
        <f t="shared" ca="1" si="4"/>
        <v>45987</v>
      </c>
      <c r="I260" s="29" t="str">
        <f ca="1">IF(H260="","",'Reference CAPA - Test data'!I260)</f>
        <v>Update production SOP</v>
      </c>
    </row>
    <row r="261" spans="1:9" x14ac:dyDescent="0.35">
      <c r="A261" s="31">
        <v>200000627</v>
      </c>
      <c r="B261" s="31">
        <v>1010</v>
      </c>
      <c r="C261" s="31">
        <v>4232</v>
      </c>
      <c r="D261" s="29" t="str">
        <f>LOOKUP('CAPA-old'!C261,'QALS - Inspection Lot Record'!P:P,'QALS - Inspection Lot Record'!O:O)</f>
        <v>Metformin Tablets (500 MG)</v>
      </c>
      <c r="E261" s="31">
        <v>68.400000000000006</v>
      </c>
      <c r="F261" s="34">
        <f ca="1">IF(TODAY()&gt;=LOOKUP(C261,'QALS - Inspection Lot Record'!P:P,'QALS - Inspection Lot Record'!J:J)+RANDBETWEEN(0,1),LOOKUP(C261,'QALS - Inspection Lot Record'!P:P,'QALS - Inspection Lot Record'!J:J)+RANDBETWEEN(0,1),"")</f>
        <v>45985</v>
      </c>
      <c r="G261" s="41" t="str">
        <f ca="1">IF(F261="","",'Reference CAPA - Test data'!G261)</f>
        <v>Dissolution rate low - 30 mins</v>
      </c>
      <c r="H261" s="34">
        <f t="shared" ca="1" si="4"/>
        <v>45985</v>
      </c>
      <c r="I261" s="29" t="str">
        <f ca="1">IF(H261="","",'Reference CAPA - Test data'!I261)</f>
        <v>Optimize granulation</v>
      </c>
    </row>
    <row r="262" spans="1:9" x14ac:dyDescent="0.35">
      <c r="A262" s="31">
        <v>200000628</v>
      </c>
      <c r="B262" s="31">
        <v>1010</v>
      </c>
      <c r="C262" s="31">
        <v>4235</v>
      </c>
      <c r="D262" s="29" t="str">
        <f>LOOKUP('CAPA-old'!C262,'QALS - Inspection Lot Record'!P:P,'QALS - Inspection Lot Record'!O:O)</f>
        <v>Metformin Tablets (100 MG)</v>
      </c>
      <c r="E262" s="31">
        <v>94.3</v>
      </c>
      <c r="F262" s="34">
        <f ca="1">IF(TODAY()&gt;=LOOKUP(C262,'QALS - Inspection Lot Record'!P:P,'QALS - Inspection Lot Record'!J:J)+RANDBETWEEN(0,1),LOOKUP(C262,'QALS - Inspection Lot Record'!P:P,'QALS - Inspection Lot Record'!J:J)+RANDBETWEEN(0,1),"")</f>
        <v>45987</v>
      </c>
      <c r="G262" s="41" t="str">
        <f ca="1">IF(F262="","",'Reference CAPA - Test data'!G262)</f>
        <v>Potency out of spec</v>
      </c>
      <c r="H262" s="34">
        <f t="shared" ca="1" si="4"/>
        <v>45988</v>
      </c>
      <c r="I262" s="29" t="str">
        <f ca="1">IF(H262="","",'Reference CAPA - Test data'!I262)</f>
        <v>Equipment calibration</v>
      </c>
    </row>
    <row r="263" spans="1:9" x14ac:dyDescent="0.35">
      <c r="A263" s="31">
        <v>200000628</v>
      </c>
      <c r="B263" s="31">
        <v>1010</v>
      </c>
      <c r="C263" s="31">
        <v>4235</v>
      </c>
      <c r="D263" s="29" t="str">
        <f>LOOKUP('CAPA-old'!C263,'QALS - Inspection Lot Record'!P:P,'QALS - Inspection Lot Record'!O:O)</f>
        <v>Metformin Tablets (100 MG)</v>
      </c>
      <c r="E263" s="31">
        <v>1.2</v>
      </c>
      <c r="F263" s="34">
        <f ca="1">IF(TODAY()&gt;=LOOKUP(C263,'QALS - Inspection Lot Record'!P:P,'QALS - Inspection Lot Record'!J:J)+RANDBETWEEN(0,1),LOOKUP(C263,'QALS - Inspection Lot Record'!P:P,'QALS - Inspection Lot Record'!J:J)+RANDBETWEEN(0,1),"")</f>
        <v>45988</v>
      </c>
      <c r="G263" s="41" t="str">
        <f ca="1">IF(F263="","",'Reference CAPA - Test data'!G263)</f>
        <v>Impurities out of limit</v>
      </c>
      <c r="H263" s="34">
        <f t="shared" ca="1" si="4"/>
        <v>45990</v>
      </c>
      <c r="I263" s="29" t="str">
        <f ca="1">IF(H263="","",'Reference CAPA - Test data'!I263)</f>
        <v>Improve purification</v>
      </c>
    </row>
    <row r="264" spans="1:9" x14ac:dyDescent="0.35">
      <c r="A264" s="31">
        <v>200000628</v>
      </c>
      <c r="B264" s="31">
        <v>1010</v>
      </c>
      <c r="C264" s="31">
        <v>4235</v>
      </c>
      <c r="D264" s="29" t="str">
        <f>LOOKUP('CAPA-old'!C264,'QALS - Inspection Lot Record'!P:P,'QALS - Inspection Lot Record'!O:O)</f>
        <v>Metformin Tablets (100 MG)</v>
      </c>
      <c r="E264" s="31">
        <v>38.9</v>
      </c>
      <c r="F264" s="34">
        <f ca="1">IF(TODAY()&gt;=LOOKUP(C264,'QALS - Inspection Lot Record'!P:P,'QALS - Inspection Lot Record'!J:J)+RANDBETWEEN(0,1),LOOKUP(C264,'QALS - Inspection Lot Record'!P:P,'QALS - Inspection Lot Record'!J:J)+RANDBETWEEN(0,1),"")</f>
        <v>45987</v>
      </c>
      <c r="G264" s="41" t="str">
        <f ca="1">IF(F264="","",'Reference CAPA - Test data'!G264)</f>
        <v>Dissolution rate low - 15 mins</v>
      </c>
      <c r="H264" s="34">
        <f t="shared" ca="1" si="4"/>
        <v>45987</v>
      </c>
      <c r="I264" s="29" t="str">
        <f ca="1">IF(H264="","",'Reference CAPA - Test data'!I264)</f>
        <v>Increase agitation</v>
      </c>
    </row>
    <row r="265" spans="1:9" x14ac:dyDescent="0.35">
      <c r="A265" s="31">
        <v>200000629</v>
      </c>
      <c r="B265" s="31">
        <v>1010</v>
      </c>
      <c r="C265" s="31">
        <v>4236</v>
      </c>
      <c r="D265" s="29" t="str">
        <f>LOOKUP('CAPA-old'!C265,'QALS - Inspection Lot Record'!P:P,'QALS - Inspection Lot Record'!O:O)</f>
        <v>Ibuprofen Tablets (100 MG)</v>
      </c>
      <c r="E265" s="31">
        <v>93.2</v>
      </c>
      <c r="F265" s="34">
        <f ca="1">IF(TODAY()&gt;=LOOKUP(C265,'QALS - Inspection Lot Record'!P:P,'QALS - Inspection Lot Record'!J:J)+RANDBETWEEN(0,1),LOOKUP(C265,'QALS - Inspection Lot Record'!P:P,'QALS - Inspection Lot Record'!J:J)+RANDBETWEEN(0,1),"")</f>
        <v>45988</v>
      </c>
      <c r="G265" s="41" t="str">
        <f ca="1">IF(F265="","",'Reference CAPA - Test data'!G265)</f>
        <v>Potency out of spec</v>
      </c>
      <c r="H265" s="34">
        <f t="shared" ca="1" si="4"/>
        <v>45990</v>
      </c>
      <c r="I265" s="29" t="str">
        <f ca="1">IF(H265="","",'Reference CAPA - Test data'!I265)</f>
        <v>Improve formulation</v>
      </c>
    </row>
    <row r="266" spans="1:9" x14ac:dyDescent="0.35">
      <c r="A266" s="31">
        <v>200000629</v>
      </c>
      <c r="B266" s="31">
        <v>1010</v>
      </c>
      <c r="C266" s="31">
        <v>4236</v>
      </c>
      <c r="D266" s="29" t="str">
        <f>LOOKUP('CAPA-old'!C266,'QALS - Inspection Lot Record'!P:P,'QALS - Inspection Lot Record'!O:O)</f>
        <v>Ibuprofen Tablets (100 MG)</v>
      </c>
      <c r="E266" s="31">
        <v>1.6</v>
      </c>
      <c r="F266" s="34">
        <f ca="1">IF(TODAY()&gt;=LOOKUP(C266,'QALS - Inspection Lot Record'!P:P,'QALS - Inspection Lot Record'!J:J)+RANDBETWEEN(0,1),LOOKUP(C266,'QALS - Inspection Lot Record'!P:P,'QALS - Inspection Lot Record'!J:J)+RANDBETWEEN(0,1),"")</f>
        <v>45988</v>
      </c>
      <c r="G266" s="41" t="str">
        <f ca="1">IF(F266="","",'Reference CAPA - Test data'!G266)</f>
        <v>PH Level out of range</v>
      </c>
      <c r="H266" s="34">
        <f t="shared" ca="1" si="4"/>
        <v>45988</v>
      </c>
      <c r="I266" s="29" t="str">
        <f ca="1">IF(H266="","",'Reference CAPA - Test data'!I266)</f>
        <v>PH monitoring</v>
      </c>
    </row>
    <row r="267" spans="1:9" x14ac:dyDescent="0.35">
      <c r="A267" s="31">
        <v>200000629</v>
      </c>
      <c r="B267" s="31">
        <v>1010</v>
      </c>
      <c r="C267" s="31">
        <v>4236</v>
      </c>
      <c r="D267" s="29" t="str">
        <f>LOOKUP('CAPA-old'!C267,'QALS - Inspection Lot Record'!P:P,'QALS - Inspection Lot Record'!O:O)</f>
        <v>Ibuprofen Tablets (100 MG)</v>
      </c>
      <c r="E267" s="31">
        <v>68.3</v>
      </c>
      <c r="F267" s="34">
        <f ca="1">IF(TODAY()&gt;=LOOKUP(C267,'QALS - Inspection Lot Record'!P:P,'QALS - Inspection Lot Record'!J:J)+RANDBETWEEN(0,1),LOOKUP(C267,'QALS - Inspection Lot Record'!P:P,'QALS - Inspection Lot Record'!J:J)+RANDBETWEEN(0,1),"")</f>
        <v>45988</v>
      </c>
      <c r="G267" s="41" t="str">
        <f ca="1">IF(F267="","",'Reference CAPA - Test data'!G267)</f>
        <v>Dissolution rate low - 30 mins</v>
      </c>
      <c r="H267" s="34">
        <f t="shared" ca="1" si="4"/>
        <v>45990</v>
      </c>
      <c r="I267" s="29" t="str">
        <f ca="1">IF(H267="","",'Reference CAPA - Test data'!I267)</f>
        <v>Training for operators</v>
      </c>
    </row>
    <row r="268" spans="1:9" x14ac:dyDescent="0.35">
      <c r="A268" s="31">
        <v>200000630</v>
      </c>
      <c r="B268" s="31">
        <v>1010</v>
      </c>
      <c r="C268" s="31">
        <v>4239</v>
      </c>
      <c r="D268" s="29" t="str">
        <f>LOOKUP('CAPA-old'!C268,'QALS - Inspection Lot Record'!P:P,'QALS - Inspection Lot Record'!O:O)</f>
        <v>Metformin Tablets (500 MG)</v>
      </c>
      <c r="E268" s="31">
        <v>1.6</v>
      </c>
      <c r="F268" s="34">
        <f ca="1">IF(TODAY()&gt;=LOOKUP(C268,'QALS - Inspection Lot Record'!P:P,'QALS - Inspection Lot Record'!J:J)+RANDBETWEEN(0,1),LOOKUP(C268,'QALS - Inspection Lot Record'!P:P,'QALS - Inspection Lot Record'!J:J)+RANDBETWEEN(0,1),"")</f>
        <v>45989</v>
      </c>
      <c r="G268" s="41" t="str">
        <f ca="1">IF(F268="","",'Reference CAPA - Test data'!G268)</f>
        <v>PH Level out of range</v>
      </c>
      <c r="H268" s="34">
        <f t="shared" ca="1" si="4"/>
        <v>45991</v>
      </c>
      <c r="I268" s="29" t="str">
        <f ca="1">IF(H268="","",'Reference CAPA - Test data'!I268)</f>
        <v>Adjust formulation</v>
      </c>
    </row>
    <row r="269" spans="1:9" x14ac:dyDescent="0.35">
      <c r="A269" s="31">
        <v>200000631</v>
      </c>
      <c r="B269" s="31">
        <v>1010</v>
      </c>
      <c r="C269" s="31">
        <v>4240</v>
      </c>
      <c r="D269" s="29" t="str">
        <f>LOOKUP('CAPA-old'!C269,'QALS - Inspection Lot Record'!P:P,'QALS - Inspection Lot Record'!O:O)</f>
        <v>Aspirin Tablets (500 MG)</v>
      </c>
      <c r="E269" s="31">
        <v>21.9</v>
      </c>
      <c r="F269" s="34">
        <f ca="1">IF(TODAY()&gt;=LOOKUP(C269,'QALS - Inspection Lot Record'!P:P,'QALS - Inspection Lot Record'!J:J)+RANDBETWEEN(0,1),LOOKUP(C269,'QALS - Inspection Lot Record'!P:P,'QALS - Inspection Lot Record'!J:J)+RANDBETWEEN(0,1),"")</f>
        <v>45989</v>
      </c>
      <c r="G269" s="41" t="str">
        <f ca="1">IF(F269="","",'Reference CAPA - Test data'!G269)</f>
        <v>Process temp out of range</v>
      </c>
      <c r="H269" s="34">
        <f t="shared" ca="1" si="4"/>
        <v>45991</v>
      </c>
      <c r="I269" s="29" t="str">
        <f ca="1">IF(H269="","",'Reference CAPA - Test data'!I269)</f>
        <v>Temperature control</v>
      </c>
    </row>
    <row r="270" spans="1:9" x14ac:dyDescent="0.35">
      <c r="A270" s="31">
        <v>200000632</v>
      </c>
      <c r="B270" s="31">
        <v>1010</v>
      </c>
      <c r="C270" s="31">
        <v>4241</v>
      </c>
      <c r="D270" s="29" t="str">
        <f>LOOKUP('CAPA-old'!C270,'QALS - Inspection Lot Record'!P:P,'QALS - Inspection Lot Record'!O:O)</f>
        <v>Ibuprofen Tablets (100 MG)</v>
      </c>
      <c r="E270" s="31">
        <v>38.5</v>
      </c>
      <c r="F270" s="34">
        <f ca="1">IF(TODAY()&gt;=LOOKUP(C270,'QALS - Inspection Lot Record'!P:P,'QALS - Inspection Lot Record'!J:J)+RANDBETWEEN(0,1),LOOKUP(C270,'QALS - Inspection Lot Record'!P:P,'QALS - Inspection Lot Record'!J:J)+RANDBETWEEN(0,1),"")</f>
        <v>45991</v>
      </c>
      <c r="G270" s="41" t="str">
        <f ca="1">IF(F270="","",'Reference CAPA - Test data'!G270)</f>
        <v>Dissolution rate low - 15 mins</v>
      </c>
      <c r="H270" s="34">
        <f t="shared" ca="1" si="4"/>
        <v>45993</v>
      </c>
      <c r="I270" s="29" t="str">
        <f ca="1">IF(H270="","",'Reference CAPA - Test data'!I270)</f>
        <v>Reduce particle size</v>
      </c>
    </row>
    <row r="271" spans="1:9" x14ac:dyDescent="0.35">
      <c r="A271" s="31">
        <v>200000632</v>
      </c>
      <c r="B271" s="31">
        <v>1010</v>
      </c>
      <c r="C271" s="31">
        <v>4241</v>
      </c>
      <c r="D271" s="29" t="str">
        <f>LOOKUP('CAPA-old'!C271,'QALS - Inspection Lot Record'!P:P,'QALS - Inspection Lot Record'!O:O)</f>
        <v>Ibuprofen Tablets (100 MG)</v>
      </c>
      <c r="E271" s="31">
        <v>78.599999999999994</v>
      </c>
      <c r="F271" s="34">
        <f ca="1">IF(TODAY()&gt;=LOOKUP(C271,'QALS - Inspection Lot Record'!P:P,'QALS - Inspection Lot Record'!J:J)+RANDBETWEEN(0,1),LOOKUP(C271,'QALS - Inspection Lot Record'!P:P,'QALS - Inspection Lot Record'!J:J)+RANDBETWEEN(0,1),"")</f>
        <v>45990</v>
      </c>
      <c r="G271" s="41" t="str">
        <f ca="1">IF(F271="","",'Reference CAPA - Test data'!G271)</f>
        <v>Dissolution rate low - 40 mins</v>
      </c>
      <c r="H271" s="34">
        <f t="shared" ca="1" si="4"/>
        <v>45992</v>
      </c>
      <c r="I271" s="29" t="str">
        <f ca="1">IF(H271="","",'Reference CAPA - Test data'!I271)</f>
        <v>Equipment calibration</v>
      </c>
    </row>
    <row r="272" spans="1:9" x14ac:dyDescent="0.35">
      <c r="A272" s="31">
        <v>200000633</v>
      </c>
      <c r="B272" s="31">
        <v>1010</v>
      </c>
      <c r="C272" s="31">
        <v>4242</v>
      </c>
      <c r="D272" s="29" t="str">
        <f>LOOKUP('CAPA-old'!C272,'QALS - Inspection Lot Record'!P:P,'QALS - Inspection Lot Record'!O:O)</f>
        <v>Metformin Tablets (100 MG)</v>
      </c>
      <c r="E272" s="31">
        <v>94</v>
      </c>
      <c r="F272" s="34">
        <f ca="1">IF(TODAY()&gt;=LOOKUP(C272,'QALS - Inspection Lot Record'!P:P,'QALS - Inspection Lot Record'!J:J)+RANDBETWEEN(0,1),LOOKUP(C272,'QALS - Inspection Lot Record'!P:P,'QALS - Inspection Lot Record'!J:J)+RANDBETWEEN(0,1),"")</f>
        <v>45990</v>
      </c>
      <c r="G272" s="41" t="str">
        <f ca="1">IF(F272="","",'Reference CAPA - Test data'!G272)</f>
        <v>Potency out of spec</v>
      </c>
      <c r="H272" s="34">
        <f t="shared" ca="1" si="4"/>
        <v>45992</v>
      </c>
      <c r="I272" s="29" t="str">
        <f ca="1">IF(H272="","",'Reference CAPA - Test data'!I272)</f>
        <v>Update production SOP</v>
      </c>
    </row>
    <row r="273" spans="1:9" x14ac:dyDescent="0.35">
      <c r="A273" s="31">
        <v>200000633</v>
      </c>
      <c r="B273" s="31">
        <v>1010</v>
      </c>
      <c r="C273" s="31">
        <v>4242</v>
      </c>
      <c r="D273" s="29" t="str">
        <f>LOOKUP('CAPA-old'!C273,'QALS - Inspection Lot Record'!P:P,'QALS - Inspection Lot Record'!O:O)</f>
        <v>Metformin Tablets (100 MG)</v>
      </c>
      <c r="E273" s="31">
        <v>68.2</v>
      </c>
      <c r="F273" s="34">
        <f ca="1">IF(TODAY()&gt;=LOOKUP(C273,'QALS - Inspection Lot Record'!P:P,'QALS - Inspection Lot Record'!J:J)+RANDBETWEEN(0,1),LOOKUP(C273,'QALS - Inspection Lot Record'!P:P,'QALS - Inspection Lot Record'!J:J)+RANDBETWEEN(0,1),"")</f>
        <v>45990</v>
      </c>
      <c r="G273" s="41" t="str">
        <f ca="1">IF(F273="","",'Reference CAPA - Test data'!G273)</f>
        <v>Dissolution rate low - 30 mins</v>
      </c>
      <c r="H273" s="34">
        <f t="shared" ca="1" si="4"/>
        <v>45991</v>
      </c>
      <c r="I273" s="29" t="str">
        <f ca="1">IF(H273="","",'Reference CAPA - Test data'!I273)</f>
        <v>Equipment calibration</v>
      </c>
    </row>
    <row r="274" spans="1:9" x14ac:dyDescent="0.35">
      <c r="A274" s="31">
        <v>200000633</v>
      </c>
      <c r="B274" s="31">
        <v>1010</v>
      </c>
      <c r="C274" s="31">
        <v>4242</v>
      </c>
      <c r="D274" s="29" t="str">
        <f>LOOKUP('CAPA-old'!C274,'QALS - Inspection Lot Record'!P:P,'QALS - Inspection Lot Record'!O:O)</f>
        <v>Metformin Tablets (100 MG)</v>
      </c>
      <c r="E274" s="31">
        <v>78.5</v>
      </c>
      <c r="F274" s="34">
        <f ca="1">IF(TODAY()&gt;=LOOKUP(C274,'QALS - Inspection Lot Record'!P:P,'QALS - Inspection Lot Record'!J:J)+RANDBETWEEN(0,1),LOOKUP(C274,'QALS - Inspection Lot Record'!P:P,'QALS - Inspection Lot Record'!J:J)+RANDBETWEEN(0,1),"")</f>
        <v>45990</v>
      </c>
      <c r="G274" s="41" t="str">
        <f ca="1">IF(F274="","",'Reference CAPA - Test data'!G274)</f>
        <v>Dissolution rate low - 40 mins</v>
      </c>
      <c r="H274" s="34">
        <f t="shared" ca="1" si="4"/>
        <v>45992</v>
      </c>
      <c r="I274" s="29" t="str">
        <f ca="1">IF(H274="","",'Reference CAPA - Test data'!I274)</f>
        <v>Optimize compression</v>
      </c>
    </row>
    <row r="275" spans="1:9" x14ac:dyDescent="0.35">
      <c r="A275" s="31">
        <v>200000634</v>
      </c>
      <c r="B275" s="31">
        <v>1010</v>
      </c>
      <c r="C275" s="31">
        <v>4243</v>
      </c>
      <c r="D275" s="29" t="str">
        <f>LOOKUP('CAPA-old'!C275,'QALS - Inspection Lot Record'!P:P,'QALS - Inspection Lot Record'!O:O)</f>
        <v>Metformin Tablets (200 MG)</v>
      </c>
      <c r="E275" s="31">
        <v>93.2</v>
      </c>
      <c r="F275" s="34">
        <f ca="1">IF(TODAY()&gt;=LOOKUP(C275,'QALS - Inspection Lot Record'!P:P,'QALS - Inspection Lot Record'!J:J)+RANDBETWEEN(0,1),LOOKUP(C275,'QALS - Inspection Lot Record'!P:P,'QALS - Inspection Lot Record'!J:J)+RANDBETWEEN(0,1),"")</f>
        <v>45991</v>
      </c>
      <c r="G275" s="41" t="str">
        <f ca="1">IF(F275="","",'Reference CAPA - Test data'!G275)</f>
        <v>Potency out of spec</v>
      </c>
      <c r="H275" s="34">
        <f t="shared" ca="1" si="4"/>
        <v>45991</v>
      </c>
      <c r="I275" s="29" t="str">
        <f ca="1">IF(H275="","",'Reference CAPA - Test data'!I275)</f>
        <v>Additional testing</v>
      </c>
    </row>
    <row r="276" spans="1:9" x14ac:dyDescent="0.35">
      <c r="A276" s="31">
        <v>200000634</v>
      </c>
      <c r="B276" s="31">
        <v>1010</v>
      </c>
      <c r="C276" s="31">
        <v>4243</v>
      </c>
      <c r="D276" s="29" t="str">
        <f>LOOKUP('CAPA-old'!C276,'QALS - Inspection Lot Record'!P:P,'QALS - Inspection Lot Record'!O:O)</f>
        <v>Metformin Tablets (200 MG)</v>
      </c>
      <c r="E276" s="31">
        <v>5</v>
      </c>
      <c r="F276" s="34">
        <f ca="1">IF(TODAY()&gt;=LOOKUP(C276,'QALS - Inspection Lot Record'!P:P,'QALS - Inspection Lot Record'!J:J)+RANDBETWEEN(0,1),LOOKUP(C276,'QALS - Inspection Lot Record'!P:P,'QALS - Inspection Lot Record'!J:J)+RANDBETWEEN(0,1),"")</f>
        <v>45992</v>
      </c>
      <c r="G276" s="41" t="str">
        <f ca="1">IF(F276="","",'Reference CAPA - Test data'!G276)</f>
        <v>PH Level out of range</v>
      </c>
      <c r="H276" s="34">
        <f t="shared" ca="1" si="4"/>
        <v>45992</v>
      </c>
      <c r="I276" s="29" t="str">
        <f ca="1">IF(H276="","",'Reference CAPA - Test data'!I276)</f>
        <v>PH monitoring</v>
      </c>
    </row>
    <row r="277" spans="1:9" x14ac:dyDescent="0.35">
      <c r="A277" s="31">
        <v>200000634</v>
      </c>
      <c r="B277" s="31">
        <v>1010</v>
      </c>
      <c r="C277" s="31">
        <v>4243</v>
      </c>
      <c r="D277" s="29" t="str">
        <f>LOOKUP('CAPA-old'!C277,'QALS - Inspection Lot Record'!P:P,'QALS - Inspection Lot Record'!O:O)</f>
        <v>Metformin Tablets (200 MG)</v>
      </c>
      <c r="E277" s="31">
        <v>21.6</v>
      </c>
      <c r="F277" s="34">
        <f ca="1">IF(TODAY()&gt;=LOOKUP(C277,'QALS - Inspection Lot Record'!P:P,'QALS - Inspection Lot Record'!J:J)+RANDBETWEEN(0,1),LOOKUP(C277,'QALS - Inspection Lot Record'!P:P,'QALS - Inspection Lot Record'!J:J)+RANDBETWEEN(0,1),"")</f>
        <v>45992</v>
      </c>
      <c r="G277" s="41" t="str">
        <f ca="1">IF(F277="","",'Reference CAPA - Test data'!G277)</f>
        <v>Process temp out of range</v>
      </c>
      <c r="H277" s="34">
        <f t="shared" ca="1" si="4"/>
        <v>45992</v>
      </c>
      <c r="I277" s="29" t="str">
        <f ca="1">IF(H277="","",'Reference CAPA - Test data'!I277)</f>
        <v>Supplier evaluation</v>
      </c>
    </row>
    <row r="278" spans="1:9" x14ac:dyDescent="0.35">
      <c r="A278" s="31">
        <v>200000635</v>
      </c>
      <c r="B278" s="31">
        <v>1010</v>
      </c>
      <c r="C278" s="31">
        <v>4244</v>
      </c>
      <c r="D278" s="29" t="str">
        <f>LOOKUP('CAPA-old'!C278,'QALS - Inspection Lot Record'!P:P,'QALS - Inspection Lot Record'!O:O)</f>
        <v>Metformin Tablets (500 MG)</v>
      </c>
      <c r="E278" s="31">
        <v>78.7</v>
      </c>
      <c r="F278" s="34">
        <f ca="1">IF(TODAY()&gt;=LOOKUP(C278,'QALS - Inspection Lot Record'!P:P,'QALS - Inspection Lot Record'!J:J)+RANDBETWEEN(0,1),LOOKUP(C278,'QALS - Inspection Lot Record'!P:P,'QALS - Inspection Lot Record'!J:J)+RANDBETWEEN(0,1),"")</f>
        <v>45991</v>
      </c>
      <c r="G278" s="41" t="str">
        <f ca="1">IF(F278="","",'Reference CAPA - Test data'!G278)</f>
        <v>Dissolution rate low - 40 mins</v>
      </c>
      <c r="H278" s="34">
        <f t="shared" ca="1" si="4"/>
        <v>45992</v>
      </c>
      <c r="I278" s="29" t="str">
        <f ca="1">IF(H278="","",'Reference CAPA - Test data'!I278)</f>
        <v>Increase surface area</v>
      </c>
    </row>
    <row r="279" spans="1:9" x14ac:dyDescent="0.35">
      <c r="A279" s="31">
        <v>200000636</v>
      </c>
      <c r="B279" s="31">
        <v>1010</v>
      </c>
      <c r="C279" s="31">
        <v>4245</v>
      </c>
      <c r="D279" s="29" t="str">
        <f>LOOKUP('CAPA-old'!C279,'QALS - Inspection Lot Record'!P:P,'QALS - Inspection Lot Record'!O:O)</f>
        <v>Metformin Tablets (100 MG)</v>
      </c>
      <c r="E279" s="31">
        <v>93</v>
      </c>
      <c r="F279" s="34">
        <f ca="1">IF(TODAY()&gt;=LOOKUP(C279,'QALS - Inspection Lot Record'!P:P,'QALS - Inspection Lot Record'!J:J)+RANDBETWEEN(0,1),LOOKUP(C279,'QALS - Inspection Lot Record'!P:P,'QALS - Inspection Lot Record'!J:J)+RANDBETWEEN(0,1),"")</f>
        <v>45992</v>
      </c>
      <c r="G279" s="41" t="str">
        <f ca="1">IF(F279="","",'Reference CAPA - Test data'!G279)</f>
        <v>Potency out of spec</v>
      </c>
      <c r="H279" s="34">
        <f t="shared" ca="1" si="4"/>
        <v>45994</v>
      </c>
      <c r="I279" s="29" t="str">
        <f ca="1">IF(H279="","",'Reference CAPA - Test data'!I279)</f>
        <v>Update production SOP</v>
      </c>
    </row>
    <row r="280" spans="1:9" x14ac:dyDescent="0.35">
      <c r="A280" s="31">
        <v>200000636</v>
      </c>
      <c r="B280" s="31">
        <v>1010</v>
      </c>
      <c r="C280" s="31">
        <v>4245</v>
      </c>
      <c r="D280" s="29" t="str">
        <f>LOOKUP('CAPA-old'!C280,'QALS - Inspection Lot Record'!P:P,'QALS - Inspection Lot Record'!O:O)</f>
        <v>Metformin Tablets (100 MG)</v>
      </c>
      <c r="E280" s="31">
        <v>1.9</v>
      </c>
      <c r="F280" s="34">
        <f ca="1">IF(TODAY()&gt;=LOOKUP(C280,'QALS - Inspection Lot Record'!P:P,'QALS - Inspection Lot Record'!J:J)+RANDBETWEEN(0,1),LOOKUP(C280,'QALS - Inspection Lot Record'!P:P,'QALS - Inspection Lot Record'!J:J)+RANDBETWEEN(0,1),"")</f>
        <v>45992</v>
      </c>
      <c r="G280" s="41" t="str">
        <f ca="1">IF(F280="","",'Reference CAPA - Test data'!G280)</f>
        <v>PH Level out of range</v>
      </c>
      <c r="H280" s="34">
        <f t="shared" ca="1" si="4"/>
        <v>45993</v>
      </c>
      <c r="I280" s="29" t="str">
        <f ca="1">IF(H280="","",'Reference CAPA - Test data'!I280)</f>
        <v>Equipment calibration</v>
      </c>
    </row>
    <row r="281" spans="1:9" x14ac:dyDescent="0.35">
      <c r="A281" s="31">
        <v>200000636</v>
      </c>
      <c r="B281" s="31">
        <v>1010</v>
      </c>
      <c r="C281" s="31">
        <v>4245</v>
      </c>
      <c r="D281" s="29" t="str">
        <f>LOOKUP('CAPA-old'!C281,'QALS - Inspection Lot Record'!P:P,'QALS - Inspection Lot Record'!O:O)</f>
        <v>Metformin Tablets (100 MG)</v>
      </c>
      <c r="E281" s="31">
        <v>68.599999999999994</v>
      </c>
      <c r="F281" s="34">
        <f ca="1">IF(TODAY()&gt;=LOOKUP(C281,'QALS - Inspection Lot Record'!P:P,'QALS - Inspection Lot Record'!J:J)+RANDBETWEEN(0,1),LOOKUP(C281,'QALS - Inspection Lot Record'!P:P,'QALS - Inspection Lot Record'!J:J)+RANDBETWEEN(0,1),"")</f>
        <v>45993</v>
      </c>
      <c r="G281" s="41" t="str">
        <f ca="1">IF(F281="","",'Reference CAPA - Test data'!G281)</f>
        <v>Dissolution rate low - 30 mins</v>
      </c>
      <c r="H281" s="34">
        <f t="shared" ca="1" si="4"/>
        <v>45995</v>
      </c>
      <c r="I281" s="29" t="str">
        <f ca="1">IF(H281="","",'Reference CAPA - Test data'!I281)</f>
        <v>Increase disintegrant</v>
      </c>
    </row>
    <row r="282" spans="1:9" x14ac:dyDescent="0.35">
      <c r="A282" s="31">
        <v>200000636</v>
      </c>
      <c r="B282" s="31">
        <v>1010</v>
      </c>
      <c r="C282" s="31">
        <v>4245</v>
      </c>
      <c r="D282" s="29" t="str">
        <f>LOOKUP('CAPA-old'!C282,'QALS - Inspection Lot Record'!P:P,'QALS - Inspection Lot Record'!O:O)</f>
        <v>Metformin Tablets (100 MG)</v>
      </c>
      <c r="E282" s="31">
        <v>78.3</v>
      </c>
      <c r="F282" s="34">
        <f ca="1">IF(TODAY()&gt;=LOOKUP(C282,'QALS - Inspection Lot Record'!P:P,'QALS - Inspection Lot Record'!J:J)+RANDBETWEEN(0,1),LOOKUP(C282,'QALS - Inspection Lot Record'!P:P,'QALS - Inspection Lot Record'!J:J)+RANDBETWEEN(0,1),"")</f>
        <v>45992</v>
      </c>
      <c r="G282" s="41" t="str">
        <f ca="1">IF(F282="","",'Reference CAPA - Test data'!G282)</f>
        <v>Dissolution rate low - 40 mins</v>
      </c>
      <c r="H282" s="34">
        <f t="shared" ca="1" si="4"/>
        <v>45993</v>
      </c>
      <c r="I282" s="29" t="str">
        <f ca="1">IF(H282="","",'Reference CAPA - Test data'!I282)</f>
        <v>Optimize compression</v>
      </c>
    </row>
    <row r="283" spans="1:9" x14ac:dyDescent="0.35">
      <c r="A283" s="31">
        <v>200000637</v>
      </c>
      <c r="B283" s="31">
        <v>1010</v>
      </c>
      <c r="C283" s="31">
        <v>4246</v>
      </c>
      <c r="D283" s="29" t="str">
        <f>LOOKUP('CAPA-old'!C283,'QALS - Inspection Lot Record'!P:P,'QALS - Inspection Lot Record'!O:O)</f>
        <v>Ibuprofen Tablets (100 MG)</v>
      </c>
      <c r="E283" s="31">
        <v>78.8</v>
      </c>
      <c r="F283" s="34">
        <f ca="1">IF(TODAY()&gt;=LOOKUP(C283,'QALS - Inspection Lot Record'!P:P,'QALS - Inspection Lot Record'!J:J)+RANDBETWEEN(0,1),LOOKUP(C283,'QALS - Inspection Lot Record'!P:P,'QALS - Inspection Lot Record'!J:J)+RANDBETWEEN(0,1),"")</f>
        <v>45993</v>
      </c>
      <c r="G283" s="41" t="str">
        <f ca="1">IF(F283="","",'Reference CAPA - Test data'!G283)</f>
        <v>Dissolution rate low - 40 mins</v>
      </c>
      <c r="H283" s="34">
        <f t="shared" ca="1" si="4"/>
        <v>45994</v>
      </c>
      <c r="I283" s="29" t="str">
        <f ca="1">IF(H283="","",'Reference CAPA - Test data'!I283)</f>
        <v>Equipment calibration</v>
      </c>
    </row>
    <row r="284" spans="1:9" x14ac:dyDescent="0.35">
      <c r="A284" s="31">
        <v>200000638</v>
      </c>
      <c r="B284" s="31">
        <v>1010</v>
      </c>
      <c r="C284" s="31">
        <v>4247</v>
      </c>
      <c r="D284" s="29" t="str">
        <f>LOOKUP('CAPA-old'!C284,'QALS - Inspection Lot Record'!P:P,'QALS - Inspection Lot Record'!O:O)</f>
        <v>Aspirin Tablets (500 MG)</v>
      </c>
      <c r="E284" s="31">
        <v>93.8</v>
      </c>
      <c r="F284" s="34">
        <f ca="1">IF(TODAY()&gt;=LOOKUP(C284,'QALS - Inspection Lot Record'!P:P,'QALS - Inspection Lot Record'!J:J)+RANDBETWEEN(0,1),LOOKUP(C284,'QALS - Inspection Lot Record'!P:P,'QALS - Inspection Lot Record'!J:J)+RANDBETWEEN(0,1),"")</f>
        <v>45994</v>
      </c>
      <c r="G284" s="41" t="str">
        <f ca="1">IF(F284="","",'Reference CAPA - Test data'!G284)</f>
        <v>Potency out of spec</v>
      </c>
      <c r="H284" s="34">
        <f t="shared" ca="1" si="4"/>
        <v>45996</v>
      </c>
      <c r="I284" s="29" t="str">
        <f ca="1">IF(H284="","",'Reference CAPA - Test data'!I284)</f>
        <v>Training for operators</v>
      </c>
    </row>
    <row r="285" spans="1:9" x14ac:dyDescent="0.35">
      <c r="A285" s="31">
        <v>200000639</v>
      </c>
      <c r="B285" s="31">
        <v>1010</v>
      </c>
      <c r="C285" s="31">
        <v>4248</v>
      </c>
      <c r="D285" s="29" t="str">
        <f>LOOKUP('CAPA-old'!C285,'QALS - Inspection Lot Record'!P:P,'QALS - Inspection Lot Record'!O:O)</f>
        <v>Aspirin Tablets (500 MG)</v>
      </c>
      <c r="E285" s="31">
        <v>38.9</v>
      </c>
      <c r="F285" s="34">
        <f ca="1">IF(TODAY()&gt;=LOOKUP(C285,'QALS - Inspection Lot Record'!P:P,'QALS - Inspection Lot Record'!J:J)+RANDBETWEEN(0,1),LOOKUP(C285,'QALS - Inspection Lot Record'!P:P,'QALS - Inspection Lot Record'!J:J)+RANDBETWEEN(0,1),"")</f>
        <v>45994</v>
      </c>
      <c r="G285" s="41" t="str">
        <f ca="1">IF(F285="","",'Reference CAPA - Test data'!G285)</f>
        <v>Dissolution rate low - 15 mins</v>
      </c>
      <c r="H285" s="34">
        <f t="shared" ca="1" si="4"/>
        <v>45995</v>
      </c>
      <c r="I285" s="29" t="str">
        <f ca="1">IF(H285="","",'Reference CAPA - Test data'!I285)</f>
        <v>Increase agitation</v>
      </c>
    </row>
    <row r="286" spans="1:9" x14ac:dyDescent="0.35">
      <c r="A286" s="31">
        <v>200000639</v>
      </c>
      <c r="B286" s="31">
        <v>1010</v>
      </c>
      <c r="C286" s="31">
        <v>4248</v>
      </c>
      <c r="D286" s="29" t="str">
        <f>LOOKUP('CAPA-old'!C286,'QALS - Inspection Lot Record'!P:P,'QALS - Inspection Lot Record'!O:O)</f>
        <v>Aspirin Tablets (500 MG)</v>
      </c>
      <c r="E286" s="31">
        <v>68.5</v>
      </c>
      <c r="F286" s="34">
        <f ca="1">IF(TODAY()&gt;=LOOKUP(C286,'QALS - Inspection Lot Record'!P:P,'QALS - Inspection Lot Record'!J:J)+RANDBETWEEN(0,1),LOOKUP(C286,'QALS - Inspection Lot Record'!P:P,'QALS - Inspection Lot Record'!J:J)+RANDBETWEEN(0,1),"")</f>
        <v>45993</v>
      </c>
      <c r="G286" s="41" t="str">
        <f ca="1">IF(F286="","",'Reference CAPA - Test data'!G286)</f>
        <v>Dissolution rate low - 30 mins</v>
      </c>
      <c r="H286" s="34">
        <f t="shared" ca="1" si="4"/>
        <v>45993</v>
      </c>
      <c r="I286" s="29" t="str">
        <f ca="1">IF(H286="","",'Reference CAPA - Test data'!I286)</f>
        <v>Optimize granulation</v>
      </c>
    </row>
    <row r="287" spans="1:9" x14ac:dyDescent="0.35">
      <c r="A287" s="31">
        <v>200000639</v>
      </c>
      <c r="B287" s="31">
        <v>1010</v>
      </c>
      <c r="C287" s="31">
        <v>4248</v>
      </c>
      <c r="D287" s="29" t="str">
        <f>LOOKUP('CAPA-old'!C287,'QALS - Inspection Lot Record'!P:P,'QALS - Inspection Lot Record'!O:O)</f>
        <v>Aspirin Tablets (500 MG)</v>
      </c>
      <c r="E287" s="31">
        <v>21.3</v>
      </c>
      <c r="F287" s="34">
        <f ca="1">IF(TODAY()&gt;=LOOKUP(C287,'QALS - Inspection Lot Record'!P:P,'QALS - Inspection Lot Record'!J:J)+RANDBETWEEN(0,1),LOOKUP(C287,'QALS - Inspection Lot Record'!P:P,'QALS - Inspection Lot Record'!J:J)+RANDBETWEEN(0,1),"")</f>
        <v>45994</v>
      </c>
      <c r="G287" s="41" t="str">
        <f ca="1">IF(F287="","",'Reference CAPA - Test data'!G287)</f>
        <v>Process temp out of range</v>
      </c>
      <c r="H287" s="34">
        <f t="shared" ca="1" si="4"/>
        <v>45995</v>
      </c>
      <c r="I287" s="29" t="str">
        <f ca="1">IF(H287="","",'Reference CAPA - Test data'!I287)</f>
        <v>Training for operators</v>
      </c>
    </row>
    <row r="288" spans="1:9" x14ac:dyDescent="0.35">
      <c r="A288" s="31">
        <v>200000640</v>
      </c>
      <c r="B288" s="31">
        <v>1010</v>
      </c>
      <c r="C288" s="31">
        <v>4251</v>
      </c>
      <c r="D288" s="29" t="str">
        <f>LOOKUP('CAPA-old'!C288,'QALS - Inspection Lot Record'!P:P,'QALS - Inspection Lot Record'!O:O)</f>
        <v>Metformin Tablets (100 MG)</v>
      </c>
      <c r="E288" s="31">
        <v>2.2999999999999998</v>
      </c>
      <c r="F288" s="34">
        <f ca="1">IF(TODAY()&gt;=LOOKUP(C288,'QALS - Inspection Lot Record'!P:P,'QALS - Inspection Lot Record'!J:J)+RANDBETWEEN(0,1),LOOKUP(C288,'QALS - Inspection Lot Record'!P:P,'QALS - Inspection Lot Record'!J:J)+RANDBETWEEN(0,1),"")</f>
        <v>45996</v>
      </c>
      <c r="G288" s="41" t="str">
        <f ca="1">IF(F288="","",'Reference CAPA - Test data'!G288)</f>
        <v>PH Level out of range</v>
      </c>
      <c r="H288" s="34">
        <f t="shared" ca="1" si="4"/>
        <v>45996</v>
      </c>
      <c r="I288" s="29" t="str">
        <f ca="1">IF(H288="","",'Reference CAPA - Test data'!I288)</f>
        <v>PH monitoring</v>
      </c>
    </row>
    <row r="289" spans="1:9" x14ac:dyDescent="0.35">
      <c r="A289" s="31">
        <v>200000640</v>
      </c>
      <c r="B289" s="31">
        <v>1010</v>
      </c>
      <c r="C289" s="31">
        <v>4251</v>
      </c>
      <c r="D289" s="29" t="str">
        <f>LOOKUP('CAPA-old'!C289,'QALS - Inspection Lot Record'!P:P,'QALS - Inspection Lot Record'!O:O)</f>
        <v>Metformin Tablets (100 MG)</v>
      </c>
      <c r="E289" s="31">
        <v>78.400000000000006</v>
      </c>
      <c r="F289" s="34">
        <f ca="1">IF(TODAY()&gt;=LOOKUP(C289,'QALS - Inspection Lot Record'!P:P,'QALS - Inspection Lot Record'!J:J)+RANDBETWEEN(0,1),LOOKUP(C289,'QALS - Inspection Lot Record'!P:P,'QALS - Inspection Lot Record'!J:J)+RANDBETWEEN(0,1),"")</f>
        <v>45996</v>
      </c>
      <c r="G289" s="41" t="str">
        <f ca="1">IF(F289="","",'Reference CAPA - Test data'!G289)</f>
        <v>Dissolution rate low - 40 mins</v>
      </c>
      <c r="H289" s="34">
        <f t="shared" ca="1" si="4"/>
        <v>45996</v>
      </c>
      <c r="I289" s="29" t="str">
        <f ca="1">IF(H289="","",'Reference CAPA - Test data'!I289)</f>
        <v>Increase surface area</v>
      </c>
    </row>
    <row r="290" spans="1:9" x14ac:dyDescent="0.35">
      <c r="A290" s="31">
        <v>200000641</v>
      </c>
      <c r="B290" s="31">
        <v>1010</v>
      </c>
      <c r="C290" s="31">
        <v>4253</v>
      </c>
      <c r="D290" s="29" t="str">
        <f>LOOKUP('CAPA-old'!C290,'QALS - Inspection Lot Record'!P:P,'QALS - Inspection Lot Record'!O:O)</f>
        <v>Metformin Tablets (200 MG)</v>
      </c>
      <c r="E290" s="31">
        <v>93.5</v>
      </c>
      <c r="F290" s="34">
        <f ca="1">IF(TODAY()&gt;=LOOKUP(C290,'QALS - Inspection Lot Record'!P:P,'QALS - Inspection Lot Record'!J:J)+RANDBETWEEN(0,1),LOOKUP(C290,'QALS - Inspection Lot Record'!P:P,'QALS - Inspection Lot Record'!J:J)+RANDBETWEEN(0,1),"")</f>
        <v>45996</v>
      </c>
      <c r="G290" s="41" t="str">
        <f ca="1">IF(F290="","",'Reference CAPA - Test data'!G290)</f>
        <v>Potency out of spec</v>
      </c>
      <c r="H290" s="34">
        <f t="shared" ca="1" si="4"/>
        <v>45996</v>
      </c>
      <c r="I290" s="29" t="str">
        <f ca="1">IF(H290="","",'Reference CAPA - Test data'!I290)</f>
        <v>Equipment calibration</v>
      </c>
    </row>
    <row r="291" spans="1:9" x14ac:dyDescent="0.35">
      <c r="A291" s="31">
        <v>200000642</v>
      </c>
      <c r="B291" s="31">
        <v>1010</v>
      </c>
      <c r="C291" s="31">
        <v>4257</v>
      </c>
      <c r="D291" s="29" t="str">
        <f>LOOKUP('CAPA-old'!C291,'QALS - Inspection Lot Record'!P:P,'QALS - Inspection Lot Record'!O:O)</f>
        <v>Ibuprofen Tablets (100 MG)</v>
      </c>
      <c r="E291" s="31">
        <v>93.8</v>
      </c>
      <c r="F291" s="34">
        <f ca="1">IF(TODAY()&gt;=LOOKUP(C291,'QALS - Inspection Lot Record'!P:P,'QALS - Inspection Lot Record'!J:J)+RANDBETWEEN(0,1),LOOKUP(C291,'QALS - Inspection Lot Record'!P:P,'QALS - Inspection Lot Record'!J:J)+RANDBETWEEN(0,1),"")</f>
        <v>45998</v>
      </c>
      <c r="G291" s="41" t="str">
        <f ca="1">IF(F291="","",'Reference CAPA - Test data'!G291)</f>
        <v>Potency out of spec</v>
      </c>
      <c r="H291" s="34">
        <f t="shared" ca="1" si="4"/>
        <v>45998</v>
      </c>
      <c r="I291" s="29" t="str">
        <f ca="1">IF(H291="","",'Reference CAPA - Test data'!I291)</f>
        <v>Update production SOP</v>
      </c>
    </row>
    <row r="292" spans="1:9" x14ac:dyDescent="0.35">
      <c r="A292" s="31">
        <v>200000643</v>
      </c>
      <c r="B292" s="31">
        <v>1010</v>
      </c>
      <c r="C292" s="31">
        <v>4258</v>
      </c>
      <c r="D292" s="29" t="str">
        <f>LOOKUP('CAPA-old'!C292,'QALS - Inspection Lot Record'!P:P,'QALS - Inspection Lot Record'!O:O)</f>
        <v>Metformin Tablets (500 MG)</v>
      </c>
      <c r="E292" s="31">
        <v>93.6</v>
      </c>
      <c r="F292" s="34">
        <f ca="1">IF(TODAY()&gt;=LOOKUP(C292,'QALS - Inspection Lot Record'!P:P,'QALS - Inspection Lot Record'!J:J)+RANDBETWEEN(0,1),LOOKUP(C292,'QALS - Inspection Lot Record'!P:P,'QALS - Inspection Lot Record'!J:J)+RANDBETWEEN(0,1),"")</f>
        <v>45999</v>
      </c>
      <c r="G292" s="41" t="str">
        <f ca="1">IF(F292="","",'Reference CAPA - Test data'!G292)</f>
        <v>Potency out of spec</v>
      </c>
      <c r="H292" s="34">
        <f t="shared" ca="1" si="4"/>
        <v>46001</v>
      </c>
      <c r="I292" s="29" t="str">
        <f ca="1">IF(H292="","",'Reference CAPA - Test data'!I292)</f>
        <v>Supplier evaluation</v>
      </c>
    </row>
    <row r="293" spans="1:9" x14ac:dyDescent="0.35">
      <c r="A293" s="31">
        <v>200000644</v>
      </c>
      <c r="B293" s="31">
        <v>1010</v>
      </c>
      <c r="C293" s="31">
        <v>4259</v>
      </c>
      <c r="D293" s="29" t="str">
        <f>LOOKUP('CAPA-old'!C293,'QALS - Inspection Lot Record'!P:P,'QALS - Inspection Lot Record'!O:O)</f>
        <v>Metformin Tablets (500 MG)</v>
      </c>
      <c r="E293" s="31">
        <v>93</v>
      </c>
      <c r="F293" s="34">
        <f ca="1">IF(TODAY()&gt;=LOOKUP(C293,'QALS - Inspection Lot Record'!P:P,'QALS - Inspection Lot Record'!J:J)+RANDBETWEEN(0,1),LOOKUP(C293,'QALS - Inspection Lot Record'!P:P,'QALS - Inspection Lot Record'!J:J)+RANDBETWEEN(0,1),"")</f>
        <v>46000</v>
      </c>
      <c r="G293" s="41" t="str">
        <f ca="1">IF(F293="","",'Reference CAPA - Test data'!G293)</f>
        <v>Potency out of spec</v>
      </c>
      <c r="H293" s="34">
        <f t="shared" ca="1" si="4"/>
        <v>46000</v>
      </c>
      <c r="I293" s="29" t="str">
        <f ca="1">IF(H293="","",'Reference CAPA - Test data'!I293)</f>
        <v>Equipment calibration</v>
      </c>
    </row>
    <row r="294" spans="1:9" x14ac:dyDescent="0.35">
      <c r="A294" s="31">
        <v>200000644</v>
      </c>
      <c r="B294" s="31">
        <v>1010</v>
      </c>
      <c r="C294" s="31">
        <v>4259</v>
      </c>
      <c r="D294" s="29" t="str">
        <f>LOOKUP('CAPA-old'!C294,'QALS - Inspection Lot Record'!P:P,'QALS - Inspection Lot Record'!O:O)</f>
        <v>Metformin Tablets (500 MG)</v>
      </c>
      <c r="E294" s="31">
        <v>1.9</v>
      </c>
      <c r="F294" s="34">
        <f ca="1">IF(TODAY()&gt;=LOOKUP(C294,'QALS - Inspection Lot Record'!P:P,'QALS - Inspection Lot Record'!J:J)+RANDBETWEEN(0,1),LOOKUP(C294,'QALS - Inspection Lot Record'!P:P,'QALS - Inspection Lot Record'!J:J)+RANDBETWEEN(0,1),"")</f>
        <v>45999</v>
      </c>
      <c r="G294" s="41" t="str">
        <f ca="1">IF(F294="","",'Reference CAPA - Test data'!G294)</f>
        <v>PH Level out of range</v>
      </c>
      <c r="H294" s="34">
        <f t="shared" ca="1" si="4"/>
        <v>45999</v>
      </c>
      <c r="I294" s="29" t="str">
        <f ca="1">IF(H294="","",'Reference CAPA - Test data'!I294)</f>
        <v>PH monitoring</v>
      </c>
    </row>
    <row r="295" spans="1:9" x14ac:dyDescent="0.35">
      <c r="A295" s="31">
        <v>200000645</v>
      </c>
      <c r="B295" s="31">
        <v>1010</v>
      </c>
      <c r="C295" s="31">
        <v>4260</v>
      </c>
      <c r="D295" s="29" t="str">
        <f>LOOKUP('CAPA-old'!C295,'QALS - Inspection Lot Record'!P:P,'QALS - Inspection Lot Record'!O:O)</f>
        <v>Ibuprofen Tablets (100 MG)</v>
      </c>
      <c r="E295" s="31">
        <v>21.2</v>
      </c>
      <c r="F295" s="34">
        <f ca="1">IF(TODAY()&gt;=LOOKUP(C295,'QALS - Inspection Lot Record'!P:P,'QALS - Inspection Lot Record'!J:J)+RANDBETWEEN(0,1),LOOKUP(C295,'QALS - Inspection Lot Record'!P:P,'QALS - Inspection Lot Record'!J:J)+RANDBETWEEN(0,1),"")</f>
        <v>45999</v>
      </c>
      <c r="G295" s="41" t="str">
        <f ca="1">IF(F295="","",'Reference CAPA - Test data'!G295)</f>
        <v>Process temp out of range</v>
      </c>
      <c r="H295" s="34">
        <f t="shared" ca="1" si="4"/>
        <v>46001</v>
      </c>
      <c r="I295" s="29" t="str">
        <f ca="1">IF(H295="","",'Reference CAPA - Test data'!I295)</f>
        <v>Training for operators</v>
      </c>
    </row>
    <row r="296" spans="1:9" x14ac:dyDescent="0.35">
      <c r="A296" s="31">
        <v>200000646</v>
      </c>
      <c r="B296" s="31">
        <v>1010</v>
      </c>
      <c r="C296" s="31">
        <v>4264</v>
      </c>
      <c r="D296" s="29" t="str">
        <f>LOOKUP('CAPA-old'!C296,'QALS - Inspection Lot Record'!P:P,'QALS - Inspection Lot Record'!O:O)</f>
        <v>Aspirin Tablets (500 MG)</v>
      </c>
      <c r="E296" s="31">
        <v>39</v>
      </c>
      <c r="F296" s="34">
        <f ca="1">IF(TODAY()&gt;=LOOKUP(C296,'QALS - Inspection Lot Record'!P:P,'QALS - Inspection Lot Record'!J:J)+RANDBETWEEN(0,1),LOOKUP(C296,'QALS - Inspection Lot Record'!P:P,'QALS - Inspection Lot Record'!J:J)+RANDBETWEEN(0,1),"")</f>
        <v>46002</v>
      </c>
      <c r="G296" s="41" t="str">
        <f ca="1">IF(F296="","",'Reference CAPA - Test data'!G296)</f>
        <v>Dissolution rate low - 15 mins</v>
      </c>
      <c r="H296" s="34">
        <f t="shared" ca="1" si="4"/>
        <v>46004</v>
      </c>
      <c r="I296" s="29" t="str">
        <f ca="1">IF(H296="","",'Reference CAPA - Test data'!I296)</f>
        <v>Increase agitation</v>
      </c>
    </row>
    <row r="297" spans="1:9" x14ac:dyDescent="0.35">
      <c r="A297" s="31">
        <v>200000646</v>
      </c>
      <c r="B297" s="31">
        <v>1010</v>
      </c>
      <c r="C297" s="31">
        <v>4264</v>
      </c>
      <c r="D297" s="29" t="str">
        <f>LOOKUP('CAPA-old'!C297,'QALS - Inspection Lot Record'!P:P,'QALS - Inspection Lot Record'!O:O)</f>
        <v>Aspirin Tablets (500 MG)</v>
      </c>
      <c r="E297" s="31">
        <v>21.9</v>
      </c>
      <c r="F297" s="34">
        <f ca="1">IF(TODAY()&gt;=LOOKUP(C297,'QALS - Inspection Lot Record'!P:P,'QALS - Inspection Lot Record'!J:J)+RANDBETWEEN(0,1),LOOKUP(C297,'QALS - Inspection Lot Record'!P:P,'QALS - Inspection Lot Record'!J:J)+RANDBETWEEN(0,1),"")</f>
        <v>46001</v>
      </c>
      <c r="G297" s="41" t="str">
        <f ca="1">IF(F297="","",'Reference CAPA - Test data'!G297)</f>
        <v>Process temp out of range</v>
      </c>
      <c r="H297" s="34">
        <f t="shared" ca="1" si="4"/>
        <v>46001</v>
      </c>
      <c r="I297" s="29" t="str">
        <f ca="1">IF(H297="","",'Reference CAPA - Test data'!I297)</f>
        <v>Temperature control</v>
      </c>
    </row>
    <row r="298" spans="1:9" x14ac:dyDescent="0.35">
      <c r="A298" s="31">
        <v>200000647</v>
      </c>
      <c r="B298" s="31">
        <v>1010</v>
      </c>
      <c r="C298" s="31">
        <v>4267</v>
      </c>
      <c r="D298" s="29" t="str">
        <f>LOOKUP('CAPA-old'!C298,'QALS - Inspection Lot Record'!P:P,'QALS - Inspection Lot Record'!O:O)</f>
        <v>Metformin Tablets (200 MG)</v>
      </c>
      <c r="E298" s="31">
        <v>68.599999999999994</v>
      </c>
      <c r="F298" s="34">
        <f ca="1">IF(TODAY()&gt;=LOOKUP(C298,'QALS - Inspection Lot Record'!P:P,'QALS - Inspection Lot Record'!J:J)+RANDBETWEEN(0,1),LOOKUP(C298,'QALS - Inspection Lot Record'!P:P,'QALS - Inspection Lot Record'!J:J)+RANDBETWEEN(0,1),"")</f>
        <v>46004</v>
      </c>
      <c r="G298" s="41" t="str">
        <f ca="1">IF(F298="","",'Reference CAPA - Test data'!G298)</f>
        <v>Dissolution rate low - 30 mins</v>
      </c>
      <c r="H298" s="34">
        <f t="shared" ca="1" si="4"/>
        <v>46005</v>
      </c>
      <c r="I298" s="29" t="str">
        <f ca="1">IF(H298="","",'Reference CAPA - Test data'!I298)</f>
        <v>Increase disintegrant</v>
      </c>
    </row>
    <row r="299" spans="1:9" x14ac:dyDescent="0.35">
      <c r="A299" s="31">
        <v>200000648</v>
      </c>
      <c r="B299" s="31">
        <v>1010</v>
      </c>
      <c r="C299" s="31">
        <v>4272</v>
      </c>
      <c r="D299" s="29" t="str">
        <f>LOOKUP('CAPA-old'!C299,'QALS - Inspection Lot Record'!P:P,'QALS - Inspection Lot Record'!O:O)</f>
        <v>Ibuprofen Tablets (100 MG)</v>
      </c>
      <c r="E299" s="31">
        <v>78.8</v>
      </c>
      <c r="F299" s="34">
        <f ca="1">IF(TODAY()&gt;=LOOKUP(C299,'QALS - Inspection Lot Record'!P:P,'QALS - Inspection Lot Record'!J:J)+RANDBETWEEN(0,1),LOOKUP(C299,'QALS - Inspection Lot Record'!P:P,'QALS - Inspection Lot Record'!J:J)+RANDBETWEEN(0,1),"")</f>
        <v>46006</v>
      </c>
      <c r="G299" s="41" t="str">
        <f ca="1">IF(F299="","",'Reference CAPA - Test data'!G299)</f>
        <v>Dissolution rate low - 40 mins</v>
      </c>
      <c r="H299" s="34">
        <f t="shared" ca="1" si="4"/>
        <v>46007</v>
      </c>
      <c r="I299" s="29" t="str">
        <f ca="1">IF(H299="","",'Reference CAPA - Test data'!I299)</f>
        <v>Optimize compression</v>
      </c>
    </row>
    <row r="300" spans="1:9" x14ac:dyDescent="0.35">
      <c r="A300" s="31">
        <v>200000648</v>
      </c>
      <c r="B300" s="31">
        <v>1010</v>
      </c>
      <c r="C300" s="31">
        <v>4272</v>
      </c>
      <c r="D300" s="29" t="str">
        <f>LOOKUP('CAPA-old'!C300,'QALS - Inspection Lot Record'!P:P,'QALS - Inspection Lot Record'!O:O)</f>
        <v>Ibuprofen Tablets (100 MG)</v>
      </c>
      <c r="E300" s="31">
        <v>21.1</v>
      </c>
      <c r="F300" s="34">
        <f ca="1">IF(TODAY()&gt;=LOOKUP(C300,'QALS - Inspection Lot Record'!P:P,'QALS - Inspection Lot Record'!J:J)+RANDBETWEEN(0,1),LOOKUP(C300,'QALS - Inspection Lot Record'!P:P,'QALS - Inspection Lot Record'!J:J)+RANDBETWEEN(0,1),"")</f>
        <v>46006</v>
      </c>
      <c r="G300" s="41" t="str">
        <f ca="1">IF(F300="","",'Reference CAPA - Test data'!G300)</f>
        <v>Process temp out of range</v>
      </c>
      <c r="H300" s="34">
        <f t="shared" ca="1" si="4"/>
        <v>46008</v>
      </c>
      <c r="I300" s="29" t="str">
        <f ca="1">IF(H300="","",'Reference CAPA - Test data'!I300)</f>
        <v>Update production SOP</v>
      </c>
    </row>
    <row r="301" spans="1:9" x14ac:dyDescent="0.35">
      <c r="A301" s="31">
        <v>200000649</v>
      </c>
      <c r="B301" s="31">
        <v>1010</v>
      </c>
      <c r="C301" s="31">
        <v>4273</v>
      </c>
      <c r="D301" s="29" t="str">
        <f>LOOKUP('CAPA-old'!C301,'QALS - Inspection Lot Record'!P:P,'QALS - Inspection Lot Record'!O:O)</f>
        <v>Ibuprofen Tablets (100 MG)</v>
      </c>
      <c r="E301" s="31">
        <v>68.599999999999994</v>
      </c>
      <c r="F301" s="34">
        <f ca="1">IF(TODAY()&gt;=LOOKUP(C301,'QALS - Inspection Lot Record'!P:P,'QALS - Inspection Lot Record'!J:J)+RANDBETWEEN(0,1),LOOKUP(C301,'QALS - Inspection Lot Record'!P:P,'QALS - Inspection Lot Record'!J:J)+RANDBETWEEN(0,1),"")</f>
        <v>46007</v>
      </c>
      <c r="G301" s="41" t="str">
        <f ca="1">IF(F301="","",'Reference CAPA - Test data'!G301)</f>
        <v>Dissolution rate low - 30 mins</v>
      </c>
      <c r="H301" s="34">
        <f t="shared" ca="1" si="4"/>
        <v>46009</v>
      </c>
      <c r="I301" s="29" t="str">
        <f ca="1">IF(H301="","",'Reference CAPA - Test data'!I301)</f>
        <v>Supplier evaluation</v>
      </c>
    </row>
    <row r="302" spans="1:9" x14ac:dyDescent="0.35">
      <c r="A302" s="31">
        <v>200000650</v>
      </c>
      <c r="B302" s="31">
        <v>1010</v>
      </c>
      <c r="C302" s="31">
        <v>4277</v>
      </c>
      <c r="D302" s="29" t="str">
        <f>LOOKUP('CAPA-old'!C302,'QALS - Inspection Lot Record'!P:P,'QALS - Inspection Lot Record'!O:O)</f>
        <v>Metformin Tablets (100 MG)</v>
      </c>
      <c r="E302" s="31">
        <v>38.9</v>
      </c>
      <c r="F302" s="34">
        <f ca="1">IF(TODAY()&gt;=LOOKUP(C302,'QALS - Inspection Lot Record'!P:P,'QALS - Inspection Lot Record'!J:J)+RANDBETWEEN(0,1),LOOKUP(C302,'QALS - Inspection Lot Record'!P:P,'QALS - Inspection Lot Record'!J:J)+RANDBETWEEN(0,1),"")</f>
        <v>46009</v>
      </c>
      <c r="G302" s="41" t="str">
        <f ca="1">IF(F302="","",'Reference CAPA - Test data'!G302)</f>
        <v>Dissolution rate low - 15 mins</v>
      </c>
      <c r="H302" s="34">
        <f t="shared" ca="1" si="4"/>
        <v>46010</v>
      </c>
      <c r="I302" s="29" t="str">
        <f ca="1">IF(H302="","",'Reference CAPA - Test data'!I302)</f>
        <v>Training for operators</v>
      </c>
    </row>
    <row r="303" spans="1:9" x14ac:dyDescent="0.35">
      <c r="A303" s="31">
        <v>200000650</v>
      </c>
      <c r="B303" s="31">
        <v>1010</v>
      </c>
      <c r="C303" s="31">
        <v>4277</v>
      </c>
      <c r="D303" s="29" t="str">
        <f>LOOKUP('CAPA-old'!C303,'QALS - Inspection Lot Record'!P:P,'QALS - Inspection Lot Record'!O:O)</f>
        <v>Metformin Tablets (100 MG)</v>
      </c>
      <c r="E303" s="31">
        <v>21.8</v>
      </c>
      <c r="F303" s="34">
        <f ca="1">IF(TODAY()&gt;=LOOKUP(C303,'QALS - Inspection Lot Record'!P:P,'QALS - Inspection Lot Record'!J:J)+RANDBETWEEN(0,1),LOOKUP(C303,'QALS - Inspection Lot Record'!P:P,'QALS - Inspection Lot Record'!J:J)+RANDBETWEEN(0,1),"")</f>
        <v>46008</v>
      </c>
      <c r="G303" s="41" t="str">
        <f ca="1">IF(F303="","",'Reference CAPA - Test data'!G303)</f>
        <v>Process temp out of range</v>
      </c>
      <c r="H303" s="34">
        <f t="shared" ca="1" si="4"/>
        <v>46008</v>
      </c>
      <c r="I303" s="29" t="str">
        <f ca="1">IF(H303="","",'Reference CAPA - Test data'!I303)</f>
        <v>Equipment calibration</v>
      </c>
    </row>
    <row r="304" spans="1:9" x14ac:dyDescent="0.35">
      <c r="A304" s="31">
        <v>200000651</v>
      </c>
      <c r="B304" s="31">
        <v>1010</v>
      </c>
      <c r="C304" s="31">
        <v>4278</v>
      </c>
      <c r="D304" s="29" t="str">
        <f>LOOKUP('CAPA-old'!C304,'QALS - Inspection Lot Record'!P:P,'QALS - Inspection Lot Record'!O:O)</f>
        <v>Metformin Tablets (500 MG)</v>
      </c>
      <c r="E304" s="31">
        <v>2</v>
      </c>
      <c r="F304" s="34">
        <f ca="1">IF(TODAY()&gt;=LOOKUP(C304,'QALS - Inspection Lot Record'!P:P,'QALS - Inspection Lot Record'!J:J)+RANDBETWEEN(0,1),LOOKUP(C304,'QALS - Inspection Lot Record'!P:P,'QALS - Inspection Lot Record'!J:J)+RANDBETWEEN(0,1),"")</f>
        <v>46009</v>
      </c>
      <c r="G304" s="41" t="str">
        <f ca="1">IF(F304="","",'Reference CAPA - Test data'!G304)</f>
        <v>PH Level out of range</v>
      </c>
      <c r="H304" s="34">
        <f t="shared" ca="1" si="4"/>
        <v>46011</v>
      </c>
      <c r="I304" s="29" t="str">
        <f ca="1">IF(H304="","",'Reference CAPA - Test data'!I304)</f>
        <v>PH monitoring</v>
      </c>
    </row>
    <row r="305" spans="1:9" x14ac:dyDescent="0.35">
      <c r="A305" s="31">
        <v>200000651</v>
      </c>
      <c r="B305" s="31">
        <v>1010</v>
      </c>
      <c r="C305" s="31">
        <v>4278</v>
      </c>
      <c r="D305" s="29" t="str">
        <f>LOOKUP('CAPA-old'!C305,'QALS - Inspection Lot Record'!P:P,'QALS - Inspection Lot Record'!O:O)</f>
        <v>Metformin Tablets (500 MG)</v>
      </c>
      <c r="E305" s="31">
        <v>69</v>
      </c>
      <c r="F305" s="34">
        <f ca="1">IF(TODAY()&gt;=LOOKUP(C305,'QALS - Inspection Lot Record'!P:P,'QALS - Inspection Lot Record'!J:J)+RANDBETWEEN(0,1),LOOKUP(C305,'QALS - Inspection Lot Record'!P:P,'QALS - Inspection Lot Record'!J:J)+RANDBETWEEN(0,1),"")</f>
        <v>46009</v>
      </c>
      <c r="G305" s="41" t="str">
        <f ca="1">IF(F305="","",'Reference CAPA - Test data'!G305)</f>
        <v>Dissolution rate low - 30 mins</v>
      </c>
      <c r="H305" s="34">
        <f t="shared" ca="1" si="4"/>
        <v>46010</v>
      </c>
      <c r="I305" s="29" t="str">
        <f ca="1">IF(H305="","",'Reference CAPA - Test data'!I305)</f>
        <v>Supplier evaluation</v>
      </c>
    </row>
    <row r="306" spans="1:9" x14ac:dyDescent="0.35">
      <c r="A306" s="31">
        <v>200000651</v>
      </c>
      <c r="B306" s="31">
        <v>1010</v>
      </c>
      <c r="C306" s="31">
        <v>4278</v>
      </c>
      <c r="D306" s="29" t="str">
        <f>LOOKUP('CAPA-old'!C306,'QALS - Inspection Lot Record'!P:P,'QALS - Inspection Lot Record'!O:O)</f>
        <v>Metformin Tablets (500 MG)</v>
      </c>
      <c r="E306" s="31">
        <v>21.1</v>
      </c>
      <c r="F306" s="34">
        <f ca="1">IF(TODAY()&gt;=LOOKUP(C306,'QALS - Inspection Lot Record'!P:P,'QALS - Inspection Lot Record'!J:J)+RANDBETWEEN(0,1),LOOKUP(C306,'QALS - Inspection Lot Record'!P:P,'QALS - Inspection Lot Record'!J:J)+RANDBETWEEN(0,1),"")</f>
        <v>46009</v>
      </c>
      <c r="G306" s="41" t="str">
        <f ca="1">IF(F306="","",'Reference CAPA - Test data'!G306)</f>
        <v>Process temp out of range</v>
      </c>
      <c r="H306" s="34">
        <f t="shared" ca="1" si="4"/>
        <v>46009</v>
      </c>
      <c r="I306" s="29" t="str">
        <f ca="1">IF(H306="","",'Reference CAPA - Test data'!I306)</f>
        <v>Update production SOP</v>
      </c>
    </row>
    <row r="307" spans="1:9" x14ac:dyDescent="0.35">
      <c r="A307" s="31">
        <v>200000652</v>
      </c>
      <c r="B307" s="31">
        <v>1010</v>
      </c>
      <c r="C307" s="31">
        <v>4281</v>
      </c>
      <c r="D307" s="29" t="str">
        <f>LOOKUP('CAPA-old'!C307,'QALS - Inspection Lot Record'!P:P,'QALS - Inspection Lot Record'!O:O)</f>
        <v>Aspirin Tablets (500 MG)</v>
      </c>
      <c r="E307" s="31">
        <v>93.9</v>
      </c>
      <c r="F307" s="34">
        <f ca="1">IF(TODAY()&gt;=LOOKUP(C307,'QALS - Inspection Lot Record'!P:P,'QALS - Inspection Lot Record'!J:J)+RANDBETWEEN(0,1),LOOKUP(C307,'QALS - Inspection Lot Record'!P:P,'QALS - Inspection Lot Record'!J:J)+RANDBETWEEN(0,1),"")</f>
        <v>46010</v>
      </c>
      <c r="G307" s="41" t="str">
        <f ca="1">IF(F307="","",'Reference CAPA - Test data'!G307)</f>
        <v>Potency out of spec</v>
      </c>
      <c r="H307" s="34">
        <f t="shared" ca="1" si="4"/>
        <v>46010</v>
      </c>
      <c r="I307" s="29" t="str">
        <f ca="1">IF(H307="","",'Reference CAPA - Test data'!I307)</f>
        <v>Supplier evaluation</v>
      </c>
    </row>
    <row r="308" spans="1:9" x14ac:dyDescent="0.35">
      <c r="A308" s="31">
        <v>200000652</v>
      </c>
      <c r="B308" s="31">
        <v>1010</v>
      </c>
      <c r="C308" s="31">
        <v>4281</v>
      </c>
      <c r="D308" s="29" t="str">
        <f>LOOKUP('CAPA-old'!C308,'QALS - Inspection Lot Record'!P:P,'QALS - Inspection Lot Record'!O:O)</f>
        <v>Aspirin Tablets (500 MG)</v>
      </c>
      <c r="E308" s="31">
        <v>68.3</v>
      </c>
      <c r="F308" s="34">
        <f ca="1">IF(TODAY()&gt;=LOOKUP(C308,'QALS - Inspection Lot Record'!P:P,'QALS - Inspection Lot Record'!J:J)+RANDBETWEEN(0,1),LOOKUP(C308,'QALS - Inspection Lot Record'!P:P,'QALS - Inspection Lot Record'!J:J)+RANDBETWEEN(0,1),"")</f>
        <v>46011</v>
      </c>
      <c r="G308" s="41" t="str">
        <f ca="1">IF(F308="","",'Reference CAPA - Test data'!G308)</f>
        <v>Dissolution rate low - 30 mins</v>
      </c>
      <c r="H308" s="34">
        <f t="shared" ca="1" si="4"/>
        <v>46011</v>
      </c>
      <c r="I308" s="29" t="str">
        <f ca="1">IF(H308="","",'Reference CAPA - Test data'!I308)</f>
        <v>Increase disintegrant</v>
      </c>
    </row>
    <row r="309" spans="1:9" x14ac:dyDescent="0.35">
      <c r="A309" s="31">
        <v>200000652</v>
      </c>
      <c r="B309" s="31">
        <v>1010</v>
      </c>
      <c r="C309" s="31">
        <v>4281</v>
      </c>
      <c r="D309" s="29" t="str">
        <f>LOOKUP('CAPA-old'!C309,'QALS - Inspection Lot Record'!P:P,'QALS - Inspection Lot Record'!O:O)</f>
        <v>Aspirin Tablets (500 MG)</v>
      </c>
      <c r="E309" s="31">
        <v>21</v>
      </c>
      <c r="F309" s="34">
        <f ca="1">IF(TODAY()&gt;=LOOKUP(C309,'QALS - Inspection Lot Record'!P:P,'QALS - Inspection Lot Record'!J:J)+RANDBETWEEN(0,1),LOOKUP(C309,'QALS - Inspection Lot Record'!P:P,'QALS - Inspection Lot Record'!J:J)+RANDBETWEEN(0,1),"")</f>
        <v>46010</v>
      </c>
      <c r="G309" s="41" t="str">
        <f ca="1">IF(F309="","",'Reference CAPA - Test data'!G309)</f>
        <v>Process temp out of range</v>
      </c>
      <c r="H309" s="34">
        <f t="shared" ca="1" si="4"/>
        <v>46012</v>
      </c>
      <c r="I309" s="29" t="str">
        <f ca="1">IF(H309="","",'Reference CAPA - Test data'!I309)</f>
        <v>Update production SOP</v>
      </c>
    </row>
    <row r="310" spans="1:9" x14ac:dyDescent="0.35">
      <c r="A310" s="31">
        <v>200000653</v>
      </c>
      <c r="B310" s="31">
        <v>1010</v>
      </c>
      <c r="C310" s="31">
        <v>4282</v>
      </c>
      <c r="D310" s="29" t="str">
        <f>LOOKUP('CAPA-old'!C310,'QALS - Inspection Lot Record'!P:P,'QALS - Inspection Lot Record'!O:O)</f>
        <v>Metformin Tablets (500 MG)</v>
      </c>
      <c r="E310" s="31">
        <v>2</v>
      </c>
      <c r="F310" s="34">
        <f ca="1">IF(TODAY()&gt;=LOOKUP(C310,'QALS - Inspection Lot Record'!P:P,'QALS - Inspection Lot Record'!J:J)+RANDBETWEEN(0,1),LOOKUP(C310,'QALS - Inspection Lot Record'!P:P,'QALS - Inspection Lot Record'!J:J)+RANDBETWEEN(0,1),"")</f>
        <v>46011</v>
      </c>
      <c r="G310" s="41" t="str">
        <f ca="1">IF(F310="","",'Reference CAPA - Test data'!G310)</f>
        <v>PH Level out of range</v>
      </c>
      <c r="H310" s="34">
        <f t="shared" ca="1" si="4"/>
        <v>46012</v>
      </c>
      <c r="I310" s="29" t="str">
        <f ca="1">IF(H310="","",'Reference CAPA - Test data'!I310)</f>
        <v>Training for operators</v>
      </c>
    </row>
    <row r="311" spans="1:9" x14ac:dyDescent="0.35">
      <c r="A311" s="31">
        <v>200000653</v>
      </c>
      <c r="B311" s="31">
        <v>1010</v>
      </c>
      <c r="C311" s="31">
        <v>4282</v>
      </c>
      <c r="D311" s="29" t="str">
        <f>LOOKUP('CAPA-old'!C311,'QALS - Inspection Lot Record'!P:P,'QALS - Inspection Lot Record'!O:O)</f>
        <v>Metformin Tablets (500 MG)</v>
      </c>
      <c r="E311" s="31">
        <v>78.400000000000006</v>
      </c>
      <c r="F311" s="34">
        <f ca="1">IF(TODAY()&gt;=LOOKUP(C311,'QALS - Inspection Lot Record'!P:P,'QALS - Inspection Lot Record'!J:J)+RANDBETWEEN(0,1),LOOKUP(C311,'QALS - Inspection Lot Record'!P:P,'QALS - Inspection Lot Record'!J:J)+RANDBETWEEN(0,1),"")</f>
        <v>46011</v>
      </c>
      <c r="G311" s="41" t="str">
        <f ca="1">IF(F311="","",'Reference CAPA - Test data'!G311)</f>
        <v>Dissolution rate low - 40 mins</v>
      </c>
      <c r="H311" s="34">
        <f t="shared" ca="1" si="4"/>
        <v>46011</v>
      </c>
      <c r="I311" s="29" t="str">
        <f ca="1">IF(H311="","",'Reference CAPA - Test data'!I311)</f>
        <v>Update production SOP</v>
      </c>
    </row>
    <row r="312" spans="1:9" x14ac:dyDescent="0.35">
      <c r="A312" s="31">
        <v>200000654</v>
      </c>
      <c r="B312" s="31">
        <v>1010</v>
      </c>
      <c r="C312" s="31">
        <v>4285</v>
      </c>
      <c r="D312" s="29" t="str">
        <f>LOOKUP('CAPA-old'!C312,'QALS - Inspection Lot Record'!P:P,'QALS - Inspection Lot Record'!O:O)</f>
        <v>Ibuprofen Tablets (100 MG)</v>
      </c>
      <c r="E312" s="31">
        <v>1.9</v>
      </c>
      <c r="F312" s="34">
        <f ca="1">IF(TODAY()&gt;=LOOKUP(C312,'QALS - Inspection Lot Record'!P:P,'QALS - Inspection Lot Record'!J:J)+RANDBETWEEN(0,1),LOOKUP(C312,'QALS - Inspection Lot Record'!P:P,'QALS - Inspection Lot Record'!J:J)+RANDBETWEEN(0,1),"")</f>
        <v>46013</v>
      </c>
      <c r="G312" s="41" t="str">
        <f ca="1">IF(F312="","",'Reference CAPA - Test data'!G312)</f>
        <v>PH Level out of range</v>
      </c>
      <c r="H312" s="34">
        <f t="shared" ca="1" si="4"/>
        <v>46013</v>
      </c>
      <c r="I312" s="29" t="str">
        <f ca="1">IF(H312="","",'Reference CAPA - Test data'!I312)</f>
        <v>Equipment calibration</v>
      </c>
    </row>
    <row r="313" spans="1:9" x14ac:dyDescent="0.35">
      <c r="A313" s="31">
        <v>200000654</v>
      </c>
      <c r="B313" s="31">
        <v>1010</v>
      </c>
      <c r="C313" s="31">
        <v>4285</v>
      </c>
      <c r="D313" s="29" t="str">
        <f>LOOKUP('CAPA-old'!C313,'QALS - Inspection Lot Record'!P:P,'QALS - Inspection Lot Record'!O:O)</f>
        <v>Ibuprofen Tablets (100 MG)</v>
      </c>
      <c r="E313" s="31">
        <v>68.099999999999994</v>
      </c>
      <c r="F313" s="34">
        <f ca="1">IF(TODAY()&gt;=LOOKUP(C313,'QALS - Inspection Lot Record'!P:P,'QALS - Inspection Lot Record'!J:J)+RANDBETWEEN(0,1),LOOKUP(C313,'QALS - Inspection Lot Record'!P:P,'QALS - Inspection Lot Record'!J:J)+RANDBETWEEN(0,1),"")</f>
        <v>46013</v>
      </c>
      <c r="G313" s="41" t="str">
        <f ca="1">IF(F313="","",'Reference CAPA - Test data'!G313)</f>
        <v>Dissolution rate low - 30 mins</v>
      </c>
      <c r="H313" s="34">
        <f t="shared" ca="1" si="4"/>
        <v>46013</v>
      </c>
      <c r="I313" s="29" t="str">
        <f ca="1">IF(H313="","",'Reference CAPA - Test data'!I313)</f>
        <v>Supplier evaluation</v>
      </c>
    </row>
    <row r="314" spans="1:9" x14ac:dyDescent="0.35">
      <c r="A314" s="31">
        <v>200000654</v>
      </c>
      <c r="B314" s="31">
        <v>1010</v>
      </c>
      <c r="C314" s="31">
        <v>4285</v>
      </c>
      <c r="D314" s="29" t="str">
        <f>LOOKUP('CAPA-old'!C314,'QALS - Inspection Lot Record'!P:P,'QALS - Inspection Lot Record'!O:O)</f>
        <v>Ibuprofen Tablets (100 MG)</v>
      </c>
      <c r="E314" s="31">
        <v>78</v>
      </c>
      <c r="F314" s="34">
        <f ca="1">IF(TODAY()&gt;=LOOKUP(C314,'QALS - Inspection Lot Record'!P:P,'QALS - Inspection Lot Record'!J:J)+RANDBETWEEN(0,1),LOOKUP(C314,'QALS - Inspection Lot Record'!P:P,'QALS - Inspection Lot Record'!J:J)+RANDBETWEEN(0,1),"")</f>
        <v>46012</v>
      </c>
      <c r="G314" s="41" t="str">
        <f ca="1">IF(F314="","",'Reference CAPA - Test data'!G314)</f>
        <v>Dissolution rate low - 40 mins</v>
      </c>
      <c r="H314" s="34">
        <f t="shared" ca="1" si="4"/>
        <v>46013</v>
      </c>
      <c r="I314" s="29" t="str">
        <f ca="1">IF(H314="","",'Reference CAPA - Test data'!I314)</f>
        <v>Optimize compression</v>
      </c>
    </row>
    <row r="315" spans="1:9" x14ac:dyDescent="0.35">
      <c r="A315" s="31">
        <v>200000655</v>
      </c>
      <c r="B315" s="31">
        <v>1010</v>
      </c>
      <c r="C315" s="31">
        <v>4286</v>
      </c>
      <c r="D315" s="29" t="str">
        <f>LOOKUP('CAPA-old'!C315,'QALS - Inspection Lot Record'!P:P,'QALS - Inspection Lot Record'!O:O)</f>
        <v>Aspirin Tablets (500 MG)</v>
      </c>
      <c r="E315" s="31">
        <v>94</v>
      </c>
      <c r="F315" s="34">
        <f ca="1">IF(TODAY()&gt;=LOOKUP(C315,'QALS - Inspection Lot Record'!P:P,'QALS - Inspection Lot Record'!J:J)+RANDBETWEEN(0,1),LOOKUP(C315,'QALS - Inspection Lot Record'!P:P,'QALS - Inspection Lot Record'!J:J)+RANDBETWEEN(0,1),"")</f>
        <v>46012</v>
      </c>
      <c r="G315" s="41" t="str">
        <f ca="1">IF(F315="","",'Reference CAPA - Test data'!G315)</f>
        <v>Potency out of spec</v>
      </c>
      <c r="H315" s="34">
        <f t="shared" ca="1" si="4"/>
        <v>46013</v>
      </c>
      <c r="I315" s="29" t="str">
        <f ca="1">IF(H315="","",'Reference CAPA - Test data'!I315)</f>
        <v>Training for operators</v>
      </c>
    </row>
    <row r="316" spans="1:9" x14ac:dyDescent="0.35">
      <c r="A316" s="31">
        <v>200000655</v>
      </c>
      <c r="B316" s="31">
        <v>1010</v>
      </c>
      <c r="C316" s="31">
        <v>4286</v>
      </c>
      <c r="D316" s="29" t="str">
        <f>LOOKUP('CAPA-old'!C316,'QALS - Inspection Lot Record'!P:P,'QALS - Inspection Lot Record'!O:O)</f>
        <v>Aspirin Tablets (500 MG)</v>
      </c>
      <c r="E316" s="31">
        <v>3</v>
      </c>
      <c r="F316" s="34">
        <f ca="1">IF(TODAY()&gt;=LOOKUP(C316,'QALS - Inspection Lot Record'!P:P,'QALS - Inspection Lot Record'!J:J)+RANDBETWEEN(0,1),LOOKUP(C316,'QALS - Inspection Lot Record'!P:P,'QALS - Inspection Lot Record'!J:J)+RANDBETWEEN(0,1),"")</f>
        <v>46013</v>
      </c>
      <c r="G316" s="41" t="str">
        <f ca="1">IF(F316="","",'Reference CAPA - Test data'!G316)</f>
        <v>Impurities out of limit</v>
      </c>
      <c r="H316" s="34">
        <f t="shared" ca="1" si="4"/>
        <v>46014</v>
      </c>
      <c r="I316" s="29" t="str">
        <f ca="1">IF(H316="","",'Reference CAPA - Test data'!I316)</f>
        <v>Raw material control</v>
      </c>
    </row>
    <row r="317" spans="1:9" x14ac:dyDescent="0.35">
      <c r="A317" s="31">
        <v>200000656</v>
      </c>
      <c r="B317" s="31">
        <v>1010</v>
      </c>
      <c r="C317" s="31">
        <v>4289</v>
      </c>
      <c r="D317" s="29" t="str">
        <f>LOOKUP('CAPA-old'!C317,'QALS - Inspection Lot Record'!P:P,'QALS - Inspection Lot Record'!O:O)</f>
        <v>Ibuprofen Tablets (100 MG)</v>
      </c>
      <c r="E317" s="31">
        <v>93.1</v>
      </c>
      <c r="F317" s="34">
        <f ca="1">IF(TODAY()&gt;=LOOKUP(C317,'QALS - Inspection Lot Record'!P:P,'QALS - Inspection Lot Record'!J:J)+RANDBETWEEN(0,1),LOOKUP(C317,'QALS - Inspection Lot Record'!P:P,'QALS - Inspection Lot Record'!J:J)+RANDBETWEEN(0,1),"")</f>
        <v>46015</v>
      </c>
      <c r="G317" s="41" t="str">
        <f ca="1">IF(F317="","",'Reference CAPA - Test data'!G317)</f>
        <v>Potency out of spec</v>
      </c>
      <c r="H317" s="34">
        <f t="shared" ca="1" si="4"/>
        <v>46017</v>
      </c>
      <c r="I317" s="29" t="str">
        <f ca="1">IF(H317="","",'Reference CAPA - Test data'!I317)</f>
        <v>Additional testing</v>
      </c>
    </row>
    <row r="318" spans="1:9" x14ac:dyDescent="0.35">
      <c r="A318" s="31">
        <v>200000656</v>
      </c>
      <c r="B318" s="31">
        <v>1010</v>
      </c>
      <c r="C318" s="31">
        <v>4289</v>
      </c>
      <c r="D318" s="29" t="str">
        <f>LOOKUP('CAPA-old'!C318,'QALS - Inspection Lot Record'!P:P,'QALS - Inspection Lot Record'!O:O)</f>
        <v>Ibuprofen Tablets (100 MG)</v>
      </c>
      <c r="E318" s="31">
        <v>2.2999999999999998</v>
      </c>
      <c r="F318" s="34">
        <f ca="1">IF(TODAY()&gt;=LOOKUP(C318,'QALS - Inspection Lot Record'!P:P,'QALS - Inspection Lot Record'!J:J)+RANDBETWEEN(0,1),LOOKUP(C318,'QALS - Inspection Lot Record'!P:P,'QALS - Inspection Lot Record'!J:J)+RANDBETWEEN(0,1),"")</f>
        <v>46014</v>
      </c>
      <c r="G318" s="41" t="str">
        <f ca="1">IF(F318="","",'Reference CAPA - Test data'!G318)</f>
        <v>PH Level out of range</v>
      </c>
      <c r="H318" s="34">
        <f t="shared" ca="1" si="4"/>
        <v>46015</v>
      </c>
      <c r="I318" s="29" t="str">
        <f ca="1">IF(H318="","",'Reference CAPA - Test data'!I318)</f>
        <v>PH monitoring</v>
      </c>
    </row>
    <row r="319" spans="1:9" x14ac:dyDescent="0.35">
      <c r="A319" s="31">
        <v>200000657</v>
      </c>
      <c r="B319" s="31">
        <v>1010</v>
      </c>
      <c r="C319" s="31">
        <v>4290</v>
      </c>
      <c r="D319" s="29" t="str">
        <f>LOOKUP('CAPA-old'!C319,'QALS - Inspection Lot Record'!P:P,'QALS - Inspection Lot Record'!O:O)</f>
        <v>Ibuprofen Tablets (100 MG)</v>
      </c>
      <c r="E319" s="31">
        <v>93.7</v>
      </c>
      <c r="F319" s="34">
        <f ca="1">IF(TODAY()&gt;=LOOKUP(C319,'QALS - Inspection Lot Record'!P:P,'QALS - Inspection Lot Record'!J:J)+RANDBETWEEN(0,1),LOOKUP(C319,'QALS - Inspection Lot Record'!P:P,'QALS - Inspection Lot Record'!J:J)+RANDBETWEEN(0,1),"")</f>
        <v>46014</v>
      </c>
      <c r="G319" s="41" t="str">
        <f ca="1">IF(F319="","",'Reference CAPA - Test data'!G319)</f>
        <v>Potency out of spec</v>
      </c>
      <c r="H319" s="34">
        <f t="shared" ca="1" si="4"/>
        <v>46014</v>
      </c>
      <c r="I319" s="29" t="str">
        <f ca="1">IF(H319="","",'Reference CAPA - Test data'!I319)</f>
        <v>Equipment calibration</v>
      </c>
    </row>
    <row r="320" spans="1:9" x14ac:dyDescent="0.35">
      <c r="A320" s="31">
        <v>200000657</v>
      </c>
      <c r="B320" s="31">
        <v>1010</v>
      </c>
      <c r="C320" s="31">
        <v>4290</v>
      </c>
      <c r="D320" s="29" t="str">
        <f>LOOKUP('CAPA-old'!C320,'QALS - Inspection Lot Record'!P:P,'QALS - Inspection Lot Record'!O:O)</f>
        <v>Ibuprofen Tablets (100 MG)</v>
      </c>
      <c r="E320" s="31">
        <v>68.400000000000006</v>
      </c>
      <c r="F320" s="34">
        <f ca="1">IF(TODAY()&gt;=LOOKUP(C320,'QALS - Inspection Lot Record'!P:P,'QALS - Inspection Lot Record'!J:J)+RANDBETWEEN(0,1),LOOKUP(C320,'QALS - Inspection Lot Record'!P:P,'QALS - Inspection Lot Record'!J:J)+RANDBETWEEN(0,1),"")</f>
        <v>46014</v>
      </c>
      <c r="G320" s="41" t="str">
        <f ca="1">IF(F320="","",'Reference CAPA - Test data'!G320)</f>
        <v>Dissolution rate low - 30 mins</v>
      </c>
      <c r="H320" s="34">
        <f t="shared" ca="1" si="4"/>
        <v>46016</v>
      </c>
      <c r="I320" s="29" t="str">
        <f ca="1">IF(H320="","",'Reference CAPA - Test data'!I320)</f>
        <v>Equipment calibration</v>
      </c>
    </row>
    <row r="321" spans="1:9" x14ac:dyDescent="0.35">
      <c r="A321" s="31">
        <v>200000657</v>
      </c>
      <c r="B321" s="31">
        <v>1010</v>
      </c>
      <c r="C321" s="31">
        <v>4290</v>
      </c>
      <c r="D321" s="29" t="str">
        <f>LOOKUP('CAPA-old'!C321,'QALS - Inspection Lot Record'!P:P,'QALS - Inspection Lot Record'!O:O)</f>
        <v>Ibuprofen Tablets (100 MG)</v>
      </c>
      <c r="E321" s="31">
        <v>78.2</v>
      </c>
      <c r="F321" s="34">
        <f ca="1">IF(TODAY()&gt;=LOOKUP(C321,'QALS - Inspection Lot Record'!P:P,'QALS - Inspection Lot Record'!J:J)+RANDBETWEEN(0,1),LOOKUP(C321,'QALS - Inspection Lot Record'!P:P,'QALS - Inspection Lot Record'!J:J)+RANDBETWEEN(0,1),"")</f>
        <v>46015</v>
      </c>
      <c r="G321" s="41" t="str">
        <f ca="1">IF(F321="","",'Reference CAPA - Test data'!G321)</f>
        <v>Dissolution rate low - 40 mins</v>
      </c>
      <c r="H321" s="34">
        <f t="shared" ca="1" si="4"/>
        <v>46016</v>
      </c>
      <c r="I321" s="29" t="str">
        <f ca="1">IF(H321="","",'Reference CAPA - Test data'!I321)</f>
        <v>Increase surface area</v>
      </c>
    </row>
    <row r="322" spans="1:9" x14ac:dyDescent="0.35">
      <c r="A322" s="31">
        <v>200000658</v>
      </c>
      <c r="B322" s="31">
        <v>1010</v>
      </c>
      <c r="C322" s="31">
        <v>4293</v>
      </c>
      <c r="D322" s="29" t="str">
        <f>LOOKUP('CAPA-old'!C322,'QALS - Inspection Lot Record'!P:P,'QALS - Inspection Lot Record'!O:O)</f>
        <v>Metformin Tablets (500 MG)</v>
      </c>
      <c r="E322" s="31">
        <v>1.5</v>
      </c>
      <c r="F322" s="34">
        <f ca="1">IF(TODAY()&gt;=LOOKUP(C322,'QALS - Inspection Lot Record'!P:P,'QALS - Inspection Lot Record'!J:J)+RANDBETWEEN(0,1),LOOKUP(C322,'QALS - Inspection Lot Record'!P:P,'QALS - Inspection Lot Record'!J:J)+RANDBETWEEN(0,1),"")</f>
        <v>46016</v>
      </c>
      <c r="G322" s="41" t="str">
        <f ca="1">IF(F322="","",'Reference CAPA - Test data'!G322)</f>
        <v>PH Level out of range</v>
      </c>
      <c r="H322" s="34">
        <f t="shared" ca="1" si="4"/>
        <v>46018</v>
      </c>
      <c r="I322" s="29" t="str">
        <f ca="1">IF(H322="","",'Reference CAPA - Test data'!I322)</f>
        <v>Update production SOP</v>
      </c>
    </row>
    <row r="323" spans="1:9" x14ac:dyDescent="0.35">
      <c r="A323" s="31">
        <v>200000658</v>
      </c>
      <c r="B323" s="31">
        <v>1010</v>
      </c>
      <c r="C323" s="31">
        <v>4293</v>
      </c>
      <c r="D323" s="29" t="str">
        <f>LOOKUP('CAPA-old'!C323,'QALS - Inspection Lot Record'!P:P,'QALS - Inspection Lot Record'!O:O)</f>
        <v>Metformin Tablets (500 MG)</v>
      </c>
      <c r="E323" s="31">
        <v>38</v>
      </c>
      <c r="F323" s="34">
        <f ca="1">IF(TODAY()&gt;=LOOKUP(C323,'QALS - Inspection Lot Record'!P:P,'QALS - Inspection Lot Record'!J:J)+RANDBETWEEN(0,1),LOOKUP(C323,'QALS - Inspection Lot Record'!P:P,'QALS - Inspection Lot Record'!J:J)+RANDBETWEEN(0,1),"")</f>
        <v>46017</v>
      </c>
      <c r="G323" s="41" t="str">
        <f ca="1">IF(F323="","",'Reference CAPA - Test data'!G323)</f>
        <v>Dissolution rate low - 15 mins</v>
      </c>
      <c r="H323" s="34">
        <f t="shared" ref="H323:H377" ca="1" si="5">IF(TODAY()&gt;=F323+RANDBETWEEN(0,2),F323+RANDBETWEEN(0,2),"")</f>
        <v>46018</v>
      </c>
      <c r="I323" s="29" t="str">
        <f ca="1">IF(H323="","",'Reference CAPA - Test data'!I323)</f>
        <v>Increase agitation</v>
      </c>
    </row>
    <row r="324" spans="1:9" x14ac:dyDescent="0.35">
      <c r="A324" s="31">
        <v>200000659</v>
      </c>
      <c r="B324" s="31">
        <v>1010</v>
      </c>
      <c r="C324" s="31">
        <v>4294</v>
      </c>
      <c r="D324" s="29" t="str">
        <f>LOOKUP('CAPA-old'!C324,'QALS - Inspection Lot Record'!P:P,'QALS - Inspection Lot Record'!O:O)</f>
        <v>Metformin Tablets (500 MG)</v>
      </c>
      <c r="E324" s="31">
        <v>94</v>
      </c>
      <c r="F324" s="34">
        <f ca="1">IF(TODAY()&gt;=LOOKUP(C324,'QALS - Inspection Lot Record'!P:P,'QALS - Inspection Lot Record'!J:J)+RANDBETWEEN(0,1),LOOKUP(C324,'QALS - Inspection Lot Record'!P:P,'QALS - Inspection Lot Record'!J:J)+RANDBETWEEN(0,1),"")</f>
        <v>46017</v>
      </c>
      <c r="G324" s="41" t="str">
        <f ca="1">IF(F324="","",'Reference CAPA - Test data'!G324)</f>
        <v>Potency out of spec</v>
      </c>
      <c r="H324" s="34">
        <f t="shared" ca="1" si="5"/>
        <v>46019</v>
      </c>
      <c r="I324" s="29" t="str">
        <f ca="1">IF(H324="","",'Reference CAPA - Test data'!I324)</f>
        <v>Update production SOP</v>
      </c>
    </row>
    <row r="325" spans="1:9" x14ac:dyDescent="0.35">
      <c r="A325" s="31">
        <v>200000659</v>
      </c>
      <c r="B325" s="31">
        <v>1010</v>
      </c>
      <c r="C325" s="31">
        <v>4294</v>
      </c>
      <c r="D325" s="29" t="str">
        <f>LOOKUP('CAPA-old'!C325,'QALS - Inspection Lot Record'!P:P,'QALS - Inspection Lot Record'!O:O)</f>
        <v>Metformin Tablets (500 MG)</v>
      </c>
      <c r="E325" s="31">
        <v>2</v>
      </c>
      <c r="F325" s="34">
        <f ca="1">IF(TODAY()&gt;=LOOKUP(C325,'QALS - Inspection Lot Record'!P:P,'QALS - Inspection Lot Record'!J:J)+RANDBETWEEN(0,1),LOOKUP(C325,'QALS - Inspection Lot Record'!P:P,'QALS - Inspection Lot Record'!J:J)+RANDBETWEEN(0,1),"")</f>
        <v>46017</v>
      </c>
      <c r="G325" s="41" t="str">
        <f ca="1">IF(F325="","",'Reference CAPA - Test data'!G325)</f>
        <v>PH Level out of range</v>
      </c>
      <c r="H325" s="34">
        <f t="shared" ca="1" si="5"/>
        <v>46018</v>
      </c>
      <c r="I325" s="29" t="str">
        <f ca="1">IF(H325="","",'Reference CAPA - Test data'!I325)</f>
        <v>PH monitoring</v>
      </c>
    </row>
    <row r="326" spans="1:9" x14ac:dyDescent="0.35">
      <c r="A326" s="31">
        <v>200000659</v>
      </c>
      <c r="B326" s="31">
        <v>1010</v>
      </c>
      <c r="C326" s="31">
        <v>4294</v>
      </c>
      <c r="D326" s="29" t="str">
        <f>LOOKUP('CAPA-old'!C326,'QALS - Inspection Lot Record'!P:P,'QALS - Inspection Lot Record'!O:O)</f>
        <v>Metformin Tablets (500 MG)</v>
      </c>
      <c r="E326" s="31">
        <v>2.2000000000000002</v>
      </c>
      <c r="F326" s="34">
        <f ca="1">IF(TODAY()&gt;=LOOKUP(C326,'QALS - Inspection Lot Record'!P:P,'QALS - Inspection Lot Record'!J:J)+RANDBETWEEN(0,1),LOOKUP(C326,'QALS - Inspection Lot Record'!P:P,'QALS - Inspection Lot Record'!J:J)+RANDBETWEEN(0,1),"")</f>
        <v>46016</v>
      </c>
      <c r="G326" s="41" t="str">
        <f ca="1">IF(F326="","",'Reference CAPA - Test data'!G326)</f>
        <v>Impurities out of limit</v>
      </c>
      <c r="H326" s="34">
        <f t="shared" ca="1" si="5"/>
        <v>46017</v>
      </c>
      <c r="I326" s="29" t="str">
        <f ca="1">IF(H326="","",'Reference CAPA - Test data'!I326)</f>
        <v>Improve purification</v>
      </c>
    </row>
    <row r="327" spans="1:9" x14ac:dyDescent="0.35">
      <c r="A327" s="31">
        <v>200000659</v>
      </c>
      <c r="B327" s="31">
        <v>1010</v>
      </c>
      <c r="C327" s="31">
        <v>4294</v>
      </c>
      <c r="D327" s="29" t="str">
        <f>LOOKUP('CAPA-old'!C327,'QALS - Inspection Lot Record'!P:P,'QALS - Inspection Lot Record'!O:O)</f>
        <v>Metformin Tablets (500 MG)</v>
      </c>
      <c r="E327" s="31">
        <v>78.2</v>
      </c>
      <c r="F327" s="34">
        <f ca="1">IF(TODAY()&gt;=LOOKUP(C327,'QALS - Inspection Lot Record'!P:P,'QALS - Inspection Lot Record'!J:J)+RANDBETWEEN(0,1),LOOKUP(C327,'QALS - Inspection Lot Record'!P:P,'QALS - Inspection Lot Record'!J:J)+RANDBETWEEN(0,1),"")</f>
        <v>46016</v>
      </c>
      <c r="G327" s="41" t="str">
        <f ca="1">IF(F327="","",'Reference CAPA - Test data'!G327)</f>
        <v>Dissolution rate low - 40 mins</v>
      </c>
      <c r="H327" s="34">
        <f t="shared" ca="1" si="5"/>
        <v>46016</v>
      </c>
      <c r="I327" s="29" t="str">
        <f ca="1">IF(H327="","",'Reference CAPA - Test data'!I327)</f>
        <v>Optimize compression</v>
      </c>
    </row>
    <row r="328" spans="1:9" x14ac:dyDescent="0.35">
      <c r="A328" s="31">
        <v>200000660</v>
      </c>
      <c r="B328" s="31">
        <v>1010</v>
      </c>
      <c r="C328" s="31">
        <v>4297</v>
      </c>
      <c r="D328" s="29" t="str">
        <f>LOOKUP('CAPA-old'!C328,'QALS - Inspection Lot Record'!P:P,'QALS - Inspection Lot Record'!O:O)</f>
        <v>Metformin Tablets (200 MG)</v>
      </c>
      <c r="E328" s="31">
        <v>5</v>
      </c>
      <c r="F328" s="34">
        <f ca="1">IF(TODAY()&gt;=LOOKUP(C328,'QALS - Inspection Lot Record'!P:P,'QALS - Inspection Lot Record'!J:J)+RANDBETWEEN(0,1),LOOKUP(C328,'QALS - Inspection Lot Record'!P:P,'QALS - Inspection Lot Record'!J:J)+RANDBETWEEN(0,1),"")</f>
        <v>46018</v>
      </c>
      <c r="G328" s="41" t="str">
        <f ca="1">IF(F328="","",'Reference CAPA - Test data'!G328)</f>
        <v>PH Level out of range</v>
      </c>
      <c r="H328" s="34">
        <f t="shared" ca="1" si="5"/>
        <v>46018</v>
      </c>
      <c r="I328" s="29" t="str">
        <f ca="1">IF(H328="","",'Reference CAPA - Test data'!I328)</f>
        <v>PH monitoring</v>
      </c>
    </row>
    <row r="329" spans="1:9" x14ac:dyDescent="0.35">
      <c r="A329" s="31">
        <v>200000660</v>
      </c>
      <c r="B329" s="31">
        <v>1010</v>
      </c>
      <c r="C329" s="31">
        <v>4297</v>
      </c>
      <c r="D329" s="29" t="str">
        <f>LOOKUP('CAPA-old'!C329,'QALS - Inspection Lot Record'!P:P,'QALS - Inspection Lot Record'!O:O)</f>
        <v>Metformin Tablets (200 MG)</v>
      </c>
      <c r="E329" s="31">
        <v>2.1</v>
      </c>
      <c r="F329" s="34">
        <f ca="1">IF(TODAY()&gt;=LOOKUP(C329,'QALS - Inspection Lot Record'!P:P,'QALS - Inspection Lot Record'!J:J)+RANDBETWEEN(0,1),LOOKUP(C329,'QALS - Inspection Lot Record'!P:P,'QALS - Inspection Lot Record'!J:J)+RANDBETWEEN(0,1),"")</f>
        <v>46018</v>
      </c>
      <c r="G329" s="41" t="str">
        <f ca="1">IF(F329="","",'Reference CAPA - Test data'!G329)</f>
        <v>Impurities out of limit</v>
      </c>
      <c r="H329" s="34">
        <f t="shared" ca="1" si="5"/>
        <v>46020</v>
      </c>
      <c r="I329" s="29" t="str">
        <f ca="1">IF(H329="","",'Reference CAPA - Test data'!I329)</f>
        <v>Supplier evaluation</v>
      </c>
    </row>
    <row r="330" spans="1:9" x14ac:dyDescent="0.35">
      <c r="A330" s="31">
        <v>200000660</v>
      </c>
      <c r="B330" s="31">
        <v>1010</v>
      </c>
      <c r="C330" s="31">
        <v>4297</v>
      </c>
      <c r="D330" s="29" t="str">
        <f>LOOKUP('CAPA-old'!C330,'QALS - Inspection Lot Record'!P:P,'QALS - Inspection Lot Record'!O:O)</f>
        <v>Metformin Tablets (200 MG)</v>
      </c>
      <c r="E330" s="31">
        <v>90</v>
      </c>
      <c r="F330" s="34">
        <f ca="1">IF(TODAY()&gt;=LOOKUP(C330,'QALS - Inspection Lot Record'!P:P,'QALS - Inspection Lot Record'!J:J)+RANDBETWEEN(0,1),LOOKUP(C330,'QALS - Inspection Lot Record'!P:P,'QALS - Inspection Lot Record'!J:J)+RANDBETWEEN(0,1),"")</f>
        <v>46018</v>
      </c>
      <c r="G330" s="41" t="str">
        <f ca="1">IF(F330="","",'Reference CAPA - Test data'!G330)</f>
        <v>Dissolution rate high - 30 mins</v>
      </c>
      <c r="H330" s="34">
        <f t="shared" ca="1" si="5"/>
        <v>46020</v>
      </c>
      <c r="I330" s="29" t="str">
        <f ca="1">IF(H330="","",'Reference CAPA - Test data'!I330)</f>
        <v>Optimize granulation</v>
      </c>
    </row>
    <row r="331" spans="1:9" x14ac:dyDescent="0.35">
      <c r="A331" s="31">
        <v>200000660</v>
      </c>
      <c r="B331" s="31">
        <v>1010</v>
      </c>
      <c r="C331" s="31">
        <v>4297</v>
      </c>
      <c r="D331" s="29" t="str">
        <f>LOOKUP('CAPA-old'!C331,'QALS - Inspection Lot Record'!P:P,'QALS - Inspection Lot Record'!O:O)</f>
        <v>Metformin Tablets (200 MG)</v>
      </c>
      <c r="E331" s="31">
        <v>100</v>
      </c>
      <c r="F331" s="34">
        <f ca="1">IF(TODAY()&gt;=LOOKUP(C331,'QALS - Inspection Lot Record'!P:P,'QALS - Inspection Lot Record'!J:J)+RANDBETWEEN(0,1),LOOKUP(C331,'QALS - Inspection Lot Record'!P:P,'QALS - Inspection Lot Record'!J:J)+RANDBETWEEN(0,1),"")</f>
        <v>46019</v>
      </c>
      <c r="G331" s="41" t="str">
        <f ca="1">IF(F331="","",'Reference CAPA - Test data'!G331)</f>
        <v>Dissolution rate high - 40 mins</v>
      </c>
      <c r="H331" s="34">
        <f t="shared" ca="1" si="5"/>
        <v>46020</v>
      </c>
      <c r="I331" s="29" t="str">
        <f ca="1">IF(H331="","",'Reference CAPA - Test data'!I331)</f>
        <v>Optimize compression</v>
      </c>
    </row>
    <row r="332" spans="1:9" x14ac:dyDescent="0.35">
      <c r="A332" s="31">
        <v>200000661</v>
      </c>
      <c r="B332" s="31">
        <v>1010</v>
      </c>
      <c r="C332" s="31">
        <v>4298</v>
      </c>
      <c r="D332" s="29" t="str">
        <f>LOOKUP('CAPA-old'!C332,'QALS - Inspection Lot Record'!P:P,'QALS - Inspection Lot Record'!O:O)</f>
        <v>Aspirin Tablets (500 MG)</v>
      </c>
      <c r="E332" s="31">
        <v>38.9</v>
      </c>
      <c r="F332" s="34">
        <f ca="1">IF(TODAY()&gt;=LOOKUP(C332,'QALS - Inspection Lot Record'!P:P,'QALS - Inspection Lot Record'!J:J)+RANDBETWEEN(0,1),LOOKUP(C332,'QALS - Inspection Lot Record'!P:P,'QALS - Inspection Lot Record'!J:J)+RANDBETWEEN(0,1),"")</f>
        <v>46018</v>
      </c>
      <c r="G332" s="41" t="str">
        <f ca="1">IF(F332="","",'Reference CAPA - Test data'!G332)</f>
        <v>Dissolution rate low - 15 mins</v>
      </c>
      <c r="H332" s="34">
        <f t="shared" ca="1" si="5"/>
        <v>46020</v>
      </c>
      <c r="I332" s="29" t="str">
        <f ca="1">IF(H332="","",'Reference CAPA - Test data'!I332)</f>
        <v>Reduce particle size</v>
      </c>
    </row>
    <row r="333" spans="1:9" x14ac:dyDescent="0.35">
      <c r="A333" s="31">
        <v>200000661</v>
      </c>
      <c r="B333" s="31">
        <v>1010</v>
      </c>
      <c r="C333" s="31">
        <v>4298</v>
      </c>
      <c r="D333" s="29" t="str">
        <f>LOOKUP('CAPA-old'!C333,'QALS - Inspection Lot Record'!P:P,'QALS - Inspection Lot Record'!O:O)</f>
        <v>Aspirin Tablets (500 MG)</v>
      </c>
      <c r="E333" s="31">
        <v>68.8</v>
      </c>
      <c r="F333" s="34">
        <f ca="1">IF(TODAY()&gt;=LOOKUP(C333,'QALS - Inspection Lot Record'!P:P,'QALS - Inspection Lot Record'!J:J)+RANDBETWEEN(0,1),LOOKUP(C333,'QALS - Inspection Lot Record'!P:P,'QALS - Inspection Lot Record'!J:J)+RANDBETWEEN(0,1),"")</f>
        <v>46019</v>
      </c>
      <c r="G333" s="41" t="str">
        <f ca="1">IF(F333="","",'Reference CAPA - Test data'!G333)</f>
        <v>Dissolution rate low - 30 mins</v>
      </c>
      <c r="H333" s="34">
        <f t="shared" ca="1" si="5"/>
        <v>46020</v>
      </c>
      <c r="I333" s="29" t="str">
        <f ca="1">IF(H333="","",'Reference CAPA - Test data'!I333)</f>
        <v>Optimize granulation</v>
      </c>
    </row>
    <row r="334" spans="1:9" x14ac:dyDescent="0.35">
      <c r="A334" s="31">
        <v>200000661</v>
      </c>
      <c r="B334" s="31">
        <v>1010</v>
      </c>
      <c r="C334" s="31">
        <v>4298</v>
      </c>
      <c r="D334" s="29" t="str">
        <f>LOOKUP('CAPA-old'!C334,'QALS - Inspection Lot Record'!P:P,'QALS - Inspection Lot Record'!O:O)</f>
        <v>Aspirin Tablets (500 MG)</v>
      </c>
      <c r="E334" s="31">
        <v>78</v>
      </c>
      <c r="F334" s="34">
        <f ca="1">IF(TODAY()&gt;=LOOKUP(C334,'QALS - Inspection Lot Record'!P:P,'QALS - Inspection Lot Record'!J:J)+RANDBETWEEN(0,1),LOOKUP(C334,'QALS - Inspection Lot Record'!P:P,'QALS - Inspection Lot Record'!J:J)+RANDBETWEEN(0,1),"")</f>
        <v>46019</v>
      </c>
      <c r="G334" s="41" t="str">
        <f ca="1">IF(F334="","",'Reference CAPA - Test data'!G334)</f>
        <v>Dissolution rate low - 40 mins</v>
      </c>
      <c r="H334" s="34">
        <f t="shared" ca="1" si="5"/>
        <v>46020</v>
      </c>
      <c r="I334" s="29" t="str">
        <f ca="1">IF(H334="","",'Reference CAPA - Test data'!I334)</f>
        <v>Increase surface area</v>
      </c>
    </row>
    <row r="335" spans="1:9" x14ac:dyDescent="0.35">
      <c r="A335" s="31">
        <v>200000662</v>
      </c>
      <c r="B335" s="31">
        <v>1010</v>
      </c>
      <c r="C335" s="31">
        <v>4303</v>
      </c>
      <c r="D335" s="29" t="str">
        <f>LOOKUP('CAPA-old'!C335,'QALS - Inspection Lot Record'!P:P,'QALS - Inspection Lot Record'!O:O)</f>
        <v>Metformin Tablets (200 MG)</v>
      </c>
      <c r="E335" s="31">
        <v>4.4000000000000004</v>
      </c>
      <c r="F335" s="34">
        <f ca="1">IF(TODAY()&gt;=LOOKUP(C335,'QALS - Inspection Lot Record'!P:P,'QALS - Inspection Lot Record'!J:J)+RANDBETWEEN(0,1),LOOKUP(C335,'QALS - Inspection Lot Record'!P:P,'QALS - Inspection Lot Record'!J:J)+RANDBETWEEN(0,1),"")</f>
        <v>46021</v>
      </c>
      <c r="G335" s="41" t="str">
        <f ca="1">IF(F335="","",'Reference CAPA - Test data'!G335)</f>
        <v>PH Level out of range</v>
      </c>
      <c r="H335" s="34">
        <f t="shared" ca="1" si="5"/>
        <v>46023</v>
      </c>
      <c r="I335" s="29" t="str">
        <f ca="1">IF(H335="","",'Reference CAPA - Test data'!I335)</f>
        <v>Training for operators</v>
      </c>
    </row>
    <row r="336" spans="1:9" x14ac:dyDescent="0.35">
      <c r="A336" s="31">
        <v>200000662</v>
      </c>
      <c r="B336" s="31">
        <v>1010</v>
      </c>
      <c r="C336" s="31">
        <v>4303</v>
      </c>
      <c r="D336" s="29" t="str">
        <f>LOOKUP('CAPA-old'!C336,'QALS - Inspection Lot Record'!P:P,'QALS - Inspection Lot Record'!O:O)</f>
        <v>Metformin Tablets (200 MG)</v>
      </c>
      <c r="E336" s="31">
        <v>69</v>
      </c>
      <c r="F336" s="34">
        <f ca="1">IF(TODAY()&gt;=LOOKUP(C336,'QALS - Inspection Lot Record'!P:P,'QALS - Inspection Lot Record'!J:J)+RANDBETWEEN(0,1),LOOKUP(C336,'QALS - Inspection Lot Record'!P:P,'QALS - Inspection Lot Record'!J:J)+RANDBETWEEN(0,1),"")</f>
        <v>46022</v>
      </c>
      <c r="G336" s="41" t="str">
        <f ca="1">IF(F336="","",'Reference CAPA - Test data'!G336)</f>
        <v>Dissolution rate low - 30 mins</v>
      </c>
      <c r="H336" s="34">
        <f t="shared" ca="1" si="5"/>
        <v>46022</v>
      </c>
      <c r="I336" s="29" t="str">
        <f ca="1">IF(H336="","",'Reference CAPA - Test data'!I336)</f>
        <v>Equipment calibration</v>
      </c>
    </row>
    <row r="337" spans="1:9" x14ac:dyDescent="0.35">
      <c r="A337" s="31">
        <v>200000662</v>
      </c>
      <c r="B337" s="31">
        <v>1010</v>
      </c>
      <c r="C337" s="31">
        <v>4303</v>
      </c>
      <c r="D337" s="29" t="str">
        <f>LOOKUP('CAPA-old'!C337,'QALS - Inspection Lot Record'!P:P,'QALS - Inspection Lot Record'!O:O)</f>
        <v>Metformin Tablets (200 MG)</v>
      </c>
      <c r="E337" s="31">
        <v>78.7</v>
      </c>
      <c r="F337" s="34">
        <f ca="1">IF(TODAY()&gt;=LOOKUP(C337,'QALS - Inspection Lot Record'!P:P,'QALS - Inspection Lot Record'!J:J)+RANDBETWEEN(0,1),LOOKUP(C337,'QALS - Inspection Lot Record'!P:P,'QALS - Inspection Lot Record'!J:J)+RANDBETWEEN(0,1),"")</f>
        <v>46022</v>
      </c>
      <c r="G337" s="41" t="str">
        <f ca="1">IF(F337="","",'Reference CAPA - Test data'!G337)</f>
        <v>Dissolution rate low - 40 mins</v>
      </c>
      <c r="H337" s="34">
        <f t="shared" ca="1" si="5"/>
        <v>46024</v>
      </c>
      <c r="I337" s="29" t="str">
        <f ca="1">IF(H337="","",'Reference CAPA - Test data'!I337)</f>
        <v>Supplier evaluation</v>
      </c>
    </row>
    <row r="338" spans="1:9" x14ac:dyDescent="0.35">
      <c r="A338" s="31">
        <v>200000663</v>
      </c>
      <c r="B338" s="31">
        <v>1010</v>
      </c>
      <c r="C338" s="31">
        <v>4304</v>
      </c>
      <c r="D338" s="29" t="str">
        <f>LOOKUP('CAPA-old'!C338,'QALS - Inspection Lot Record'!P:P,'QALS - Inspection Lot Record'!O:O)</f>
        <v>Aspirin Tablets (500 MG)</v>
      </c>
      <c r="E338" s="31">
        <v>94</v>
      </c>
      <c r="F338" s="34">
        <f ca="1">IF(TODAY()&gt;=LOOKUP(C338,'QALS - Inspection Lot Record'!P:P,'QALS - Inspection Lot Record'!J:J)+RANDBETWEEN(0,1),LOOKUP(C338,'QALS - Inspection Lot Record'!P:P,'QALS - Inspection Lot Record'!J:J)+RANDBETWEEN(0,1),"")</f>
        <v>46021</v>
      </c>
      <c r="G338" s="41" t="str">
        <f ca="1">IF(F338="","",'Reference CAPA - Test data'!G338)</f>
        <v>Potency out of spec</v>
      </c>
      <c r="H338" s="34">
        <f t="shared" ca="1" si="5"/>
        <v>46023</v>
      </c>
      <c r="I338" s="29" t="str">
        <f ca="1">IF(H338="","",'Reference CAPA - Test data'!I338)</f>
        <v>Update production SOP</v>
      </c>
    </row>
    <row r="339" spans="1:9" x14ac:dyDescent="0.35">
      <c r="A339" s="31">
        <v>200000663</v>
      </c>
      <c r="B339" s="31">
        <v>1010</v>
      </c>
      <c r="C339" s="31">
        <v>4304</v>
      </c>
      <c r="D339" s="29" t="str">
        <f>LOOKUP('CAPA-old'!C339,'QALS - Inspection Lot Record'!P:P,'QALS - Inspection Lot Record'!O:O)</f>
        <v>Aspirin Tablets (500 MG)</v>
      </c>
      <c r="E339" s="31">
        <v>38</v>
      </c>
      <c r="F339" s="34">
        <f ca="1">IF(TODAY()&gt;=LOOKUP(C339,'QALS - Inspection Lot Record'!P:P,'QALS - Inspection Lot Record'!J:J)+RANDBETWEEN(0,1),LOOKUP(C339,'QALS - Inspection Lot Record'!P:P,'QALS - Inspection Lot Record'!J:J)+RANDBETWEEN(0,1),"")</f>
        <v>46021</v>
      </c>
      <c r="G339" s="41" t="str">
        <f ca="1">IF(F339="","",'Reference CAPA - Test data'!G339)</f>
        <v>Dissolution rate low - 15 mins</v>
      </c>
      <c r="H339" s="34">
        <f t="shared" ca="1" si="5"/>
        <v>46021</v>
      </c>
      <c r="I339" s="29" t="str">
        <f ca="1">IF(H339="","",'Reference CAPA - Test data'!I339)</f>
        <v>Update production SOP</v>
      </c>
    </row>
    <row r="340" spans="1:9" x14ac:dyDescent="0.35">
      <c r="A340" s="31">
        <v>200000663</v>
      </c>
      <c r="B340" s="31">
        <v>1010</v>
      </c>
      <c r="C340" s="31">
        <v>4304</v>
      </c>
      <c r="D340" s="29" t="str">
        <f>LOOKUP('CAPA-old'!C340,'QALS - Inspection Lot Record'!P:P,'QALS - Inspection Lot Record'!O:O)</f>
        <v>Aspirin Tablets (500 MG)</v>
      </c>
      <c r="E340" s="31">
        <v>68.7</v>
      </c>
      <c r="F340" s="34">
        <f ca="1">IF(TODAY()&gt;=LOOKUP(C340,'QALS - Inspection Lot Record'!P:P,'QALS - Inspection Lot Record'!J:J)+RANDBETWEEN(0,1),LOOKUP(C340,'QALS - Inspection Lot Record'!P:P,'QALS - Inspection Lot Record'!J:J)+RANDBETWEEN(0,1),"")</f>
        <v>46021</v>
      </c>
      <c r="G340" s="41" t="str">
        <f ca="1">IF(F340="","",'Reference CAPA - Test data'!G340)</f>
        <v>Dissolution rate low - 30 mins</v>
      </c>
      <c r="H340" s="34">
        <f t="shared" ca="1" si="5"/>
        <v>46022</v>
      </c>
      <c r="I340" s="29" t="str">
        <f ca="1">IF(H340="","",'Reference CAPA - Test data'!I340)</f>
        <v>Update production SOP</v>
      </c>
    </row>
    <row r="341" spans="1:9" x14ac:dyDescent="0.35">
      <c r="A341" s="31">
        <v>200000663</v>
      </c>
      <c r="B341" s="31">
        <v>1010</v>
      </c>
      <c r="C341" s="31">
        <v>4304</v>
      </c>
      <c r="D341" s="29" t="str">
        <f>LOOKUP('CAPA-old'!C341,'QALS - Inspection Lot Record'!P:P,'QALS - Inspection Lot Record'!O:O)</f>
        <v>Aspirin Tablets (500 MG)</v>
      </c>
      <c r="E341" s="31">
        <v>78.900000000000006</v>
      </c>
      <c r="F341" s="34">
        <f ca="1">IF(TODAY()&gt;=LOOKUP(C341,'QALS - Inspection Lot Record'!P:P,'QALS - Inspection Lot Record'!J:J)+RANDBETWEEN(0,1),LOOKUP(C341,'QALS - Inspection Lot Record'!P:P,'QALS - Inspection Lot Record'!J:J)+RANDBETWEEN(0,1),"")</f>
        <v>46022</v>
      </c>
      <c r="G341" s="41" t="str">
        <f ca="1">IF(F341="","",'Reference CAPA - Test data'!G341)</f>
        <v>Dissolution rate low - 40 mins</v>
      </c>
      <c r="H341" s="34">
        <f t="shared" ca="1" si="5"/>
        <v>46023</v>
      </c>
      <c r="I341" s="29" t="str">
        <f ca="1">IF(H341="","",'Reference CAPA - Test data'!I341)</f>
        <v>Training for operators</v>
      </c>
    </row>
    <row r="342" spans="1:9" x14ac:dyDescent="0.35">
      <c r="A342" s="31">
        <v>200000664</v>
      </c>
      <c r="B342" s="31">
        <v>1010</v>
      </c>
      <c r="C342" s="31">
        <v>4305</v>
      </c>
      <c r="D342" s="29" t="str">
        <f>LOOKUP('CAPA-old'!C342,'QALS - Inspection Lot Record'!P:P,'QALS - Inspection Lot Record'!O:O)</f>
        <v>Metformin Tablets (100 MG)</v>
      </c>
      <c r="E342" s="31">
        <v>93.8</v>
      </c>
      <c r="F342" s="34">
        <f ca="1">IF(TODAY()&gt;=LOOKUP(C342,'QALS - Inspection Lot Record'!P:P,'QALS - Inspection Lot Record'!J:J)+RANDBETWEEN(0,1),LOOKUP(C342,'QALS - Inspection Lot Record'!P:P,'QALS - Inspection Lot Record'!J:J)+RANDBETWEEN(0,1),"")</f>
        <v>46023</v>
      </c>
      <c r="G342" s="41" t="str">
        <f ca="1">IF(F342="","",'Reference CAPA - Test data'!G342)</f>
        <v>Potency out of spec</v>
      </c>
      <c r="H342" s="34">
        <f t="shared" ca="1" si="5"/>
        <v>46023</v>
      </c>
      <c r="I342" s="29" t="str">
        <f ca="1">IF(H342="","",'Reference CAPA - Test data'!I342)</f>
        <v>Equipment calibration</v>
      </c>
    </row>
    <row r="343" spans="1:9" x14ac:dyDescent="0.35">
      <c r="A343" s="31">
        <v>200000665</v>
      </c>
      <c r="B343" s="31">
        <v>1010</v>
      </c>
      <c r="C343" s="31">
        <v>4306</v>
      </c>
      <c r="D343" s="29" t="str">
        <f>LOOKUP('CAPA-old'!C343,'QALS - Inspection Lot Record'!P:P,'QALS - Inspection Lot Record'!O:O)</f>
        <v>Metformin Tablets (200 MG)</v>
      </c>
      <c r="E343" s="31">
        <v>68.7</v>
      </c>
      <c r="F343" s="34">
        <f ca="1">IF(TODAY()&gt;=LOOKUP(C343,'QALS - Inspection Lot Record'!P:P,'QALS - Inspection Lot Record'!J:J)+RANDBETWEEN(0,1),LOOKUP(C343,'QALS - Inspection Lot Record'!P:P,'QALS - Inspection Lot Record'!J:J)+RANDBETWEEN(0,1),"")</f>
        <v>46022</v>
      </c>
      <c r="G343" s="41" t="str">
        <f ca="1">IF(F343="","",'Reference CAPA - Test data'!G343)</f>
        <v>Dissolution rate low - 30 mins</v>
      </c>
      <c r="H343" s="34">
        <f t="shared" ca="1" si="5"/>
        <v>46024</v>
      </c>
      <c r="I343" s="29" t="str">
        <f ca="1">IF(H343="","",'Reference CAPA - Test data'!I343)</f>
        <v>Increase disintegrant</v>
      </c>
    </row>
    <row r="344" spans="1:9" x14ac:dyDescent="0.35">
      <c r="A344" s="31">
        <v>200000665</v>
      </c>
      <c r="B344" s="31">
        <v>1010</v>
      </c>
      <c r="C344" s="31">
        <v>4306</v>
      </c>
      <c r="D344" s="29" t="str">
        <f>LOOKUP('CAPA-old'!C344,'QALS - Inspection Lot Record'!P:P,'QALS - Inspection Lot Record'!O:O)</f>
        <v>Metformin Tablets (200 MG)</v>
      </c>
      <c r="E344" s="31">
        <v>78.3</v>
      </c>
      <c r="F344" s="34">
        <f ca="1">IF(TODAY()&gt;=LOOKUP(C344,'QALS - Inspection Lot Record'!P:P,'QALS - Inspection Lot Record'!J:J)+RANDBETWEEN(0,1),LOOKUP(C344,'QALS - Inspection Lot Record'!P:P,'QALS - Inspection Lot Record'!J:J)+RANDBETWEEN(0,1),"")</f>
        <v>46022</v>
      </c>
      <c r="G344" s="41" t="str">
        <f ca="1">IF(F344="","",'Reference CAPA - Test data'!G344)</f>
        <v>Dissolution rate low - 40 mins</v>
      </c>
      <c r="H344" s="34">
        <f t="shared" ca="1" si="5"/>
        <v>46022</v>
      </c>
      <c r="I344" s="29" t="str">
        <f ca="1">IF(H344="","",'Reference CAPA - Test data'!I344)</f>
        <v>Increase surface area</v>
      </c>
    </row>
    <row r="345" spans="1:9" x14ac:dyDescent="0.35">
      <c r="A345" s="31">
        <v>200000666</v>
      </c>
      <c r="B345" s="31">
        <v>1010</v>
      </c>
      <c r="C345" s="31">
        <v>4307</v>
      </c>
      <c r="D345" s="29" t="str">
        <f>LOOKUP('CAPA-old'!C345,'QALS - Inspection Lot Record'!P:P,'QALS - Inspection Lot Record'!O:O)</f>
        <v>Ibuprofen Tablets (100 MG)</v>
      </c>
      <c r="E345" s="31">
        <v>2.2000000000000002</v>
      </c>
      <c r="F345" s="34">
        <f ca="1">IF(TODAY()&gt;=LOOKUP(C345,'QALS - Inspection Lot Record'!P:P,'QALS - Inspection Lot Record'!J:J)+RANDBETWEEN(0,1),LOOKUP(C345,'QALS - Inspection Lot Record'!P:P,'QALS - Inspection Lot Record'!J:J)+RANDBETWEEN(0,1),"")</f>
        <v>46023</v>
      </c>
      <c r="G345" s="41" t="str">
        <f ca="1">IF(F345="","",'Reference CAPA - Test data'!G345)</f>
        <v>PH Level out of range</v>
      </c>
      <c r="H345" s="34">
        <f t="shared" ca="1" si="5"/>
        <v>46025</v>
      </c>
      <c r="I345" s="29" t="str">
        <f ca="1">IF(H345="","",'Reference CAPA - Test data'!I345)</f>
        <v>Equipment calibration</v>
      </c>
    </row>
    <row r="346" spans="1:9" x14ac:dyDescent="0.35">
      <c r="A346" s="31">
        <v>200000666</v>
      </c>
      <c r="B346" s="31">
        <v>1010</v>
      </c>
      <c r="C346" s="31">
        <v>4307</v>
      </c>
      <c r="D346" s="29" t="str">
        <f>LOOKUP('CAPA-old'!C346,'QALS - Inspection Lot Record'!P:P,'QALS - Inspection Lot Record'!O:O)</f>
        <v>Ibuprofen Tablets (100 MG)</v>
      </c>
      <c r="E346" s="31">
        <v>39</v>
      </c>
      <c r="F346" s="34">
        <f ca="1">IF(TODAY()&gt;=LOOKUP(C346,'QALS - Inspection Lot Record'!P:P,'QALS - Inspection Lot Record'!J:J)+RANDBETWEEN(0,1),LOOKUP(C346,'QALS - Inspection Lot Record'!P:P,'QALS - Inspection Lot Record'!J:J)+RANDBETWEEN(0,1),"")</f>
        <v>46023</v>
      </c>
      <c r="G346" s="41" t="str">
        <f ca="1">IF(F346="","",'Reference CAPA - Test data'!G346)</f>
        <v>Dissolution rate low - 15 mins</v>
      </c>
      <c r="H346" s="34">
        <f t="shared" ca="1" si="5"/>
        <v>46025</v>
      </c>
      <c r="I346" s="29" t="str">
        <f ca="1">IF(H346="","",'Reference CAPA - Test data'!I346)</f>
        <v>Increase agitation</v>
      </c>
    </row>
    <row r="347" spans="1:9" x14ac:dyDescent="0.35">
      <c r="A347" s="31">
        <v>200000666</v>
      </c>
      <c r="B347" s="31">
        <v>1010</v>
      </c>
      <c r="C347" s="31">
        <v>4307</v>
      </c>
      <c r="D347" s="29" t="str">
        <f>LOOKUP('CAPA-old'!C347,'QALS - Inspection Lot Record'!P:P,'QALS - Inspection Lot Record'!O:O)</f>
        <v>Ibuprofen Tablets (100 MG)</v>
      </c>
      <c r="E347" s="31">
        <v>78.2</v>
      </c>
      <c r="F347" s="34">
        <f ca="1">IF(TODAY()&gt;=LOOKUP(C347,'QALS - Inspection Lot Record'!P:P,'QALS - Inspection Lot Record'!J:J)+RANDBETWEEN(0,1),LOOKUP(C347,'QALS - Inspection Lot Record'!P:P,'QALS - Inspection Lot Record'!J:J)+RANDBETWEEN(0,1),"")</f>
        <v>46023</v>
      </c>
      <c r="G347" s="41" t="str">
        <f ca="1">IF(F347="","",'Reference CAPA - Test data'!G347)</f>
        <v>Dissolution rate low - 40 mins</v>
      </c>
      <c r="H347" s="34">
        <f t="shared" ca="1" si="5"/>
        <v>46023</v>
      </c>
      <c r="I347" s="29" t="str">
        <f ca="1">IF(H347="","",'Reference CAPA - Test data'!I347)</f>
        <v>Optimize compression</v>
      </c>
    </row>
    <row r="348" spans="1:9" x14ac:dyDescent="0.35">
      <c r="A348" s="31">
        <v>200000666</v>
      </c>
      <c r="B348" s="31">
        <v>1010</v>
      </c>
      <c r="C348" s="31">
        <v>4307</v>
      </c>
      <c r="D348" s="29" t="str">
        <f>LOOKUP('CAPA-old'!C348,'QALS - Inspection Lot Record'!P:P,'QALS - Inspection Lot Record'!O:O)</f>
        <v>Ibuprofen Tablets (100 MG)</v>
      </c>
      <c r="E348" s="31">
        <v>21.5</v>
      </c>
      <c r="F348" s="34">
        <f ca="1">IF(TODAY()&gt;=LOOKUP(C348,'QALS - Inspection Lot Record'!P:P,'QALS - Inspection Lot Record'!J:J)+RANDBETWEEN(0,1),LOOKUP(C348,'QALS - Inspection Lot Record'!P:P,'QALS - Inspection Lot Record'!J:J)+RANDBETWEEN(0,1),"")</f>
        <v>46024</v>
      </c>
      <c r="G348" s="41" t="str">
        <f ca="1">IF(F348="","",'Reference CAPA - Test data'!G348)</f>
        <v>Process temp out of range</v>
      </c>
      <c r="H348" s="34">
        <f t="shared" ca="1" si="5"/>
        <v>46024</v>
      </c>
      <c r="I348" s="29" t="str">
        <f ca="1">IF(H348="","",'Reference CAPA - Test data'!I348)</f>
        <v>Temperature control</v>
      </c>
    </row>
    <row r="349" spans="1:9" x14ac:dyDescent="0.35">
      <c r="A349" s="31">
        <v>200000667</v>
      </c>
      <c r="B349" s="31">
        <v>1010</v>
      </c>
      <c r="C349" s="31">
        <v>4308</v>
      </c>
      <c r="D349" s="29" t="str">
        <f>LOOKUP('CAPA-old'!C349,'QALS - Inspection Lot Record'!P:P,'QALS - Inspection Lot Record'!O:O)</f>
        <v>Ibuprofen Tablets (100 MG)</v>
      </c>
      <c r="E349" s="31">
        <v>2.2999999999999998</v>
      </c>
      <c r="F349" s="34">
        <f ca="1">IF(TODAY()&gt;=LOOKUP(C349,'QALS - Inspection Lot Record'!P:P,'QALS - Inspection Lot Record'!J:J)+RANDBETWEEN(0,1),LOOKUP(C349,'QALS - Inspection Lot Record'!P:P,'QALS - Inspection Lot Record'!J:J)+RANDBETWEEN(0,1),"")</f>
        <v>46024</v>
      </c>
      <c r="G349" s="41" t="str">
        <f ca="1">IF(F349="","",'Reference CAPA - Test data'!G349)</f>
        <v>PH Level out of range</v>
      </c>
      <c r="H349" s="34">
        <f t="shared" ca="1" si="5"/>
        <v>46024</v>
      </c>
      <c r="I349" s="29" t="str">
        <f ca="1">IF(H349="","",'Reference CAPA - Test data'!I349)</f>
        <v>PH monitoring</v>
      </c>
    </row>
    <row r="350" spans="1:9" x14ac:dyDescent="0.35">
      <c r="A350" s="31">
        <v>200000667</v>
      </c>
      <c r="B350" s="31">
        <v>1010</v>
      </c>
      <c r="C350" s="31">
        <v>4308</v>
      </c>
      <c r="D350" s="29" t="str">
        <f>LOOKUP('CAPA-old'!C350,'QALS - Inspection Lot Record'!P:P,'QALS - Inspection Lot Record'!O:O)</f>
        <v>Ibuprofen Tablets (100 MG)</v>
      </c>
      <c r="E350" s="31">
        <v>1.2</v>
      </c>
      <c r="F350" s="34">
        <f ca="1">IF(TODAY()&gt;=LOOKUP(C350,'QALS - Inspection Lot Record'!P:P,'QALS - Inspection Lot Record'!J:J)+RANDBETWEEN(0,1),LOOKUP(C350,'QALS - Inspection Lot Record'!P:P,'QALS - Inspection Lot Record'!J:J)+RANDBETWEEN(0,1),"")</f>
        <v>46024</v>
      </c>
      <c r="G350" s="41" t="str">
        <f ca="1">IF(F350="","",'Reference CAPA - Test data'!G350)</f>
        <v>Impurities out of limit</v>
      </c>
      <c r="H350" s="34">
        <f t="shared" ca="1" si="5"/>
        <v>46025</v>
      </c>
      <c r="I350" s="29" t="str">
        <f ca="1">IF(H350="","",'Reference CAPA - Test data'!I350)</f>
        <v>Equipment maintenance</v>
      </c>
    </row>
    <row r="351" spans="1:9" x14ac:dyDescent="0.35">
      <c r="A351" s="31">
        <v>200000667</v>
      </c>
      <c r="B351" s="31">
        <v>1010</v>
      </c>
      <c r="C351" s="31">
        <v>4308</v>
      </c>
      <c r="D351" s="29" t="str">
        <f>LOOKUP('CAPA-old'!C351,'QALS - Inspection Lot Record'!P:P,'QALS - Inspection Lot Record'!O:O)</f>
        <v>Ibuprofen Tablets (100 MG)</v>
      </c>
      <c r="E351" s="31">
        <v>68.8</v>
      </c>
      <c r="F351" s="34">
        <f ca="1">IF(TODAY()&gt;=LOOKUP(C351,'QALS - Inspection Lot Record'!P:P,'QALS - Inspection Lot Record'!J:J)+RANDBETWEEN(0,1),LOOKUP(C351,'QALS - Inspection Lot Record'!P:P,'QALS - Inspection Lot Record'!J:J)+RANDBETWEEN(0,1),"")</f>
        <v>46023</v>
      </c>
      <c r="G351" s="41" t="str">
        <f ca="1">IF(F351="","",'Reference CAPA - Test data'!G351)</f>
        <v>Dissolution rate low - 30 mins</v>
      </c>
      <c r="H351" s="34">
        <f t="shared" ca="1" si="5"/>
        <v>46024</v>
      </c>
      <c r="I351" s="29" t="str">
        <f ca="1">IF(H351="","",'Reference CAPA - Test data'!I351)</f>
        <v>Supplier evaluation</v>
      </c>
    </row>
    <row r="352" spans="1:9" x14ac:dyDescent="0.35">
      <c r="A352" s="31">
        <v>200000667</v>
      </c>
      <c r="B352" s="31">
        <v>1010</v>
      </c>
      <c r="C352" s="31">
        <v>4308</v>
      </c>
      <c r="D352" s="29" t="str">
        <f>LOOKUP('CAPA-old'!C352,'QALS - Inspection Lot Record'!P:P,'QALS - Inspection Lot Record'!O:O)</f>
        <v>Ibuprofen Tablets (100 MG)</v>
      </c>
      <c r="E352" s="31">
        <v>78.099999999999994</v>
      </c>
      <c r="F352" s="34">
        <f ca="1">IF(TODAY()&gt;=LOOKUP(C352,'QALS - Inspection Lot Record'!P:P,'QALS - Inspection Lot Record'!J:J)+RANDBETWEEN(0,1),LOOKUP(C352,'QALS - Inspection Lot Record'!P:P,'QALS - Inspection Lot Record'!J:J)+RANDBETWEEN(0,1),"")</f>
        <v>46024</v>
      </c>
      <c r="G352" s="41" t="str">
        <f ca="1">IF(F352="","",'Reference CAPA - Test data'!G352)</f>
        <v>Dissolution rate low - 40 mins</v>
      </c>
      <c r="H352" s="34">
        <f t="shared" ca="1" si="5"/>
        <v>46026</v>
      </c>
      <c r="I352" s="29" t="str">
        <f ca="1">IF(H352="","",'Reference CAPA - Test data'!I352)</f>
        <v>Increase surface area</v>
      </c>
    </row>
    <row r="353" spans="1:9" x14ac:dyDescent="0.35">
      <c r="A353" s="31">
        <v>200000668</v>
      </c>
      <c r="B353" s="31">
        <v>1010</v>
      </c>
      <c r="C353" s="31">
        <v>4309</v>
      </c>
      <c r="D353" s="29" t="str">
        <f>LOOKUP('CAPA-old'!C353,'QALS - Inspection Lot Record'!P:P,'QALS - Inspection Lot Record'!O:O)</f>
        <v>Metformin Tablets (500 MG)</v>
      </c>
      <c r="E353" s="31">
        <v>21.6</v>
      </c>
      <c r="F353" s="34">
        <f ca="1">IF(TODAY()&gt;=LOOKUP(C353,'QALS - Inspection Lot Record'!P:P,'QALS - Inspection Lot Record'!J:J)+RANDBETWEEN(0,1),LOOKUP(C353,'QALS - Inspection Lot Record'!P:P,'QALS - Inspection Lot Record'!J:J)+RANDBETWEEN(0,1),"")</f>
        <v>46025</v>
      </c>
      <c r="G353" s="41" t="str">
        <f ca="1">IF(F353="","",'Reference CAPA - Test data'!G353)</f>
        <v>Process temp out of range</v>
      </c>
      <c r="H353" s="34">
        <f t="shared" ca="1" si="5"/>
        <v>46027</v>
      </c>
      <c r="I353" s="29" t="str">
        <f ca="1">IF(H353="","",'Reference CAPA - Test data'!I353)</f>
        <v>Update production SOP</v>
      </c>
    </row>
    <row r="354" spans="1:9" x14ac:dyDescent="0.35">
      <c r="A354" s="31">
        <v>200000669</v>
      </c>
      <c r="B354" s="31">
        <v>1010</v>
      </c>
      <c r="C354" s="31">
        <v>4310</v>
      </c>
      <c r="D354" s="29" t="str">
        <f>LOOKUP('CAPA-old'!C354,'QALS - Inspection Lot Record'!P:P,'QALS - Inspection Lot Record'!O:O)</f>
        <v>Metformin Tablets (100 MG)</v>
      </c>
      <c r="E354" s="31">
        <v>2</v>
      </c>
      <c r="F354" s="34">
        <f ca="1">IF(TODAY()&gt;=LOOKUP(C354,'QALS - Inspection Lot Record'!P:P,'QALS - Inspection Lot Record'!J:J)+RANDBETWEEN(0,1),LOOKUP(C354,'QALS - Inspection Lot Record'!P:P,'QALS - Inspection Lot Record'!J:J)+RANDBETWEEN(0,1),"")</f>
        <v>46024</v>
      </c>
      <c r="G354" s="41" t="str">
        <f ca="1">IF(F354="","",'Reference CAPA - Test data'!G354)</f>
        <v>PH Level out of range</v>
      </c>
      <c r="H354" s="34">
        <f t="shared" ca="1" si="5"/>
        <v>46025</v>
      </c>
      <c r="I354" s="29" t="str">
        <f ca="1">IF(H354="","",'Reference CAPA - Test data'!I354)</f>
        <v>Training for operators</v>
      </c>
    </row>
    <row r="355" spans="1:9" x14ac:dyDescent="0.35">
      <c r="A355" s="31">
        <v>200000669</v>
      </c>
      <c r="B355" s="31">
        <v>1010</v>
      </c>
      <c r="C355" s="31">
        <v>4310</v>
      </c>
      <c r="D355" s="29" t="str">
        <f>LOOKUP('CAPA-old'!C355,'QALS - Inspection Lot Record'!P:P,'QALS - Inspection Lot Record'!O:O)</f>
        <v>Metformin Tablets (100 MG)</v>
      </c>
      <c r="E355" s="31">
        <v>68.2</v>
      </c>
      <c r="F355" s="34">
        <f ca="1">IF(TODAY()&gt;=LOOKUP(C355,'QALS - Inspection Lot Record'!P:P,'QALS - Inspection Lot Record'!J:J)+RANDBETWEEN(0,1),LOOKUP(C355,'QALS - Inspection Lot Record'!P:P,'QALS - Inspection Lot Record'!J:J)+RANDBETWEEN(0,1),"")</f>
        <v>46024</v>
      </c>
      <c r="G355" s="41" t="str">
        <f ca="1">IF(F355="","",'Reference CAPA - Test data'!G355)</f>
        <v>Dissolution rate low - 30 mins</v>
      </c>
      <c r="H355" s="34">
        <f t="shared" ca="1" si="5"/>
        <v>46024</v>
      </c>
      <c r="I355" s="29" t="str">
        <f ca="1">IF(H355="","",'Reference CAPA - Test data'!I355)</f>
        <v>Increase disintegrant</v>
      </c>
    </row>
    <row r="356" spans="1:9" x14ac:dyDescent="0.35">
      <c r="A356" s="31">
        <v>200000670</v>
      </c>
      <c r="B356" s="31">
        <v>1010</v>
      </c>
      <c r="C356" s="31">
        <v>4311</v>
      </c>
      <c r="D356" s="29" t="str">
        <f>LOOKUP('CAPA-old'!C356,'QALS - Inspection Lot Record'!P:P,'QALS - Inspection Lot Record'!O:O)</f>
        <v>Metformin Tablets (200 MG)</v>
      </c>
      <c r="E356" s="31">
        <v>93.7</v>
      </c>
      <c r="F356" s="34">
        <f ca="1">IF(TODAY()&gt;=LOOKUP(C356,'QALS - Inspection Lot Record'!P:P,'QALS - Inspection Lot Record'!J:J)+RANDBETWEEN(0,1),LOOKUP(C356,'QALS - Inspection Lot Record'!P:P,'QALS - Inspection Lot Record'!J:J)+RANDBETWEEN(0,1),"")</f>
        <v>46025</v>
      </c>
      <c r="G356" s="41" t="str">
        <f ca="1">IF(F356="","",'Reference CAPA - Test data'!G356)</f>
        <v>Potency out of spec</v>
      </c>
      <c r="H356" s="34">
        <f t="shared" ca="1" si="5"/>
        <v>46025</v>
      </c>
      <c r="I356" s="29" t="str">
        <f ca="1">IF(H356="","",'Reference CAPA - Test data'!I356)</f>
        <v>Update production SOP</v>
      </c>
    </row>
    <row r="357" spans="1:9" x14ac:dyDescent="0.35">
      <c r="A357" s="31">
        <v>200000671</v>
      </c>
      <c r="B357" s="31">
        <v>1010</v>
      </c>
      <c r="C357" s="31">
        <v>4313</v>
      </c>
      <c r="D357" s="29" t="str">
        <f>LOOKUP('CAPA-old'!C357,'QALS - Inspection Lot Record'!P:P,'QALS - Inspection Lot Record'!O:O)</f>
        <v>Metformin Tablets (100 MG)</v>
      </c>
      <c r="E357" s="31">
        <v>78.900000000000006</v>
      </c>
      <c r="F357" s="34">
        <f ca="1">IF(TODAY()&gt;=LOOKUP(C357,'QALS - Inspection Lot Record'!P:P,'QALS - Inspection Lot Record'!J:J)+RANDBETWEEN(0,1),LOOKUP(C357,'QALS - Inspection Lot Record'!P:P,'QALS - Inspection Lot Record'!J:J)+RANDBETWEEN(0,1),"")</f>
        <v>46027</v>
      </c>
      <c r="G357" s="41" t="str">
        <f ca="1">IF(F357="","",'Reference CAPA - Test data'!G357)</f>
        <v>Dissolution rate low - 40 mins</v>
      </c>
      <c r="H357" s="34">
        <f t="shared" ca="1" si="5"/>
        <v>46027</v>
      </c>
      <c r="I357" s="29" t="str">
        <f ca="1">IF(H357="","",'Reference CAPA - Test data'!I357)</f>
        <v>Optimize compression</v>
      </c>
    </row>
    <row r="358" spans="1:9" x14ac:dyDescent="0.35">
      <c r="A358" s="31">
        <v>200000672</v>
      </c>
      <c r="B358" s="31">
        <v>1010</v>
      </c>
      <c r="C358" s="31">
        <v>4314</v>
      </c>
      <c r="D358" s="29" t="str">
        <f>LOOKUP('CAPA-old'!C358,'QALS - Inspection Lot Record'!P:P,'QALS - Inspection Lot Record'!O:O)</f>
        <v>Aspirin Tablets (500 MG)</v>
      </c>
      <c r="E358" s="31">
        <v>93.1</v>
      </c>
      <c r="F358" s="34">
        <f ca="1">IF(TODAY()&gt;=LOOKUP(C358,'QALS - Inspection Lot Record'!P:P,'QALS - Inspection Lot Record'!J:J)+RANDBETWEEN(0,1),LOOKUP(C358,'QALS - Inspection Lot Record'!P:P,'QALS - Inspection Lot Record'!J:J)+RANDBETWEEN(0,1),"")</f>
        <v>46026</v>
      </c>
      <c r="G358" s="41" t="str">
        <f ca="1">IF(F358="","",'Reference CAPA - Test data'!G358)</f>
        <v>Potency out of spec</v>
      </c>
      <c r="H358" s="34">
        <f t="shared" ca="1" si="5"/>
        <v>46026</v>
      </c>
      <c r="I358" s="29" t="str">
        <f ca="1">IF(H358="","",'Reference CAPA - Test data'!I358)</f>
        <v>Additional testing</v>
      </c>
    </row>
    <row r="359" spans="1:9" x14ac:dyDescent="0.35">
      <c r="A359" s="31">
        <v>200000672</v>
      </c>
      <c r="B359" s="31">
        <v>1010</v>
      </c>
      <c r="C359" s="31">
        <v>4314</v>
      </c>
      <c r="D359" s="29" t="str">
        <f>LOOKUP('CAPA-old'!C359,'QALS - Inspection Lot Record'!P:P,'QALS - Inspection Lot Record'!O:O)</f>
        <v>Aspirin Tablets (500 MG)</v>
      </c>
      <c r="E359" s="31">
        <v>38.4</v>
      </c>
      <c r="F359" s="34">
        <f ca="1">IF(TODAY()&gt;=LOOKUP(C359,'QALS - Inspection Lot Record'!P:P,'QALS - Inspection Lot Record'!J:J)+RANDBETWEEN(0,1),LOOKUP(C359,'QALS - Inspection Lot Record'!P:P,'QALS - Inspection Lot Record'!J:J)+RANDBETWEEN(0,1),"")</f>
        <v>46026</v>
      </c>
      <c r="G359" s="41" t="str">
        <f ca="1">IF(F359="","",'Reference CAPA - Test data'!G359)</f>
        <v>Dissolution rate low - 15 mins</v>
      </c>
      <c r="H359" s="34">
        <f t="shared" ca="1" si="5"/>
        <v>46026</v>
      </c>
      <c r="I359" s="29" t="str">
        <f ca="1">IF(H359="","",'Reference CAPA - Test data'!I359)</f>
        <v>Reduce particle size</v>
      </c>
    </row>
    <row r="360" spans="1:9" x14ac:dyDescent="0.35">
      <c r="A360" s="31">
        <v>200000672</v>
      </c>
      <c r="B360" s="31">
        <v>1010</v>
      </c>
      <c r="C360" s="31">
        <v>4314</v>
      </c>
      <c r="D360" s="29" t="str">
        <f>LOOKUP('CAPA-old'!C360,'QALS - Inspection Lot Record'!P:P,'QALS - Inspection Lot Record'!O:O)</f>
        <v>Aspirin Tablets (500 MG)</v>
      </c>
      <c r="E360" s="31">
        <v>68.8</v>
      </c>
      <c r="F360" s="34">
        <f ca="1">IF(TODAY()&gt;=LOOKUP(C360,'QALS - Inspection Lot Record'!P:P,'QALS - Inspection Lot Record'!J:J)+RANDBETWEEN(0,1),LOOKUP(C360,'QALS - Inspection Lot Record'!P:P,'QALS - Inspection Lot Record'!J:J)+RANDBETWEEN(0,1),"")</f>
        <v>46026</v>
      </c>
      <c r="G360" s="41" t="str">
        <f ca="1">IF(F360="","",'Reference CAPA - Test data'!G360)</f>
        <v>Dissolution rate low - 30 mins</v>
      </c>
      <c r="H360" s="34">
        <f t="shared" ca="1" si="5"/>
        <v>46026</v>
      </c>
      <c r="I360" s="29" t="str">
        <f ca="1">IF(H360="","",'Reference CAPA - Test data'!I360)</f>
        <v>Optimize granulation</v>
      </c>
    </row>
    <row r="361" spans="1:9" x14ac:dyDescent="0.35">
      <c r="A361" s="31">
        <v>200000673</v>
      </c>
      <c r="B361" s="31">
        <v>1010</v>
      </c>
      <c r="C361" s="31">
        <v>4317</v>
      </c>
      <c r="D361" s="29" t="str">
        <f>LOOKUP('CAPA-old'!C361,'QALS - Inspection Lot Record'!P:P,'QALS - Inspection Lot Record'!O:O)</f>
        <v>Metformin Tablets (100 MG)</v>
      </c>
      <c r="E361" s="31">
        <v>78.099999999999994</v>
      </c>
      <c r="F361" s="34">
        <f ca="1">IF(TODAY()&gt;=LOOKUP(C361,'QALS - Inspection Lot Record'!P:P,'QALS - Inspection Lot Record'!J:J)+RANDBETWEEN(0,1),LOOKUP(C361,'QALS - Inspection Lot Record'!P:P,'QALS - Inspection Lot Record'!J:J)+RANDBETWEEN(0,1),"")</f>
        <v>46029</v>
      </c>
      <c r="G361" s="41" t="str">
        <f ca="1">IF(F361="","",'Reference CAPA - Test data'!G361)</f>
        <v>Dissolution rate low - 40 mins</v>
      </c>
      <c r="H361" s="34">
        <f t="shared" ca="1" si="5"/>
        <v>46031</v>
      </c>
      <c r="I361" s="29" t="str">
        <f ca="1">IF(H361="","",'Reference CAPA - Test data'!I361)</f>
        <v>Increase surface area</v>
      </c>
    </row>
    <row r="362" spans="1:9" x14ac:dyDescent="0.35">
      <c r="A362" s="31">
        <v>200000674</v>
      </c>
      <c r="B362" s="31">
        <v>1010</v>
      </c>
      <c r="C362" s="31">
        <v>4318</v>
      </c>
      <c r="D362" s="29" t="str">
        <f>LOOKUP('CAPA-old'!C362,'QALS - Inspection Lot Record'!P:P,'QALS - Inspection Lot Record'!O:O)</f>
        <v>Metformin Tablets (200 MG)</v>
      </c>
      <c r="E362" s="31">
        <v>93.3</v>
      </c>
      <c r="F362" s="34">
        <f ca="1">IF(TODAY()&gt;=LOOKUP(C362,'QALS - Inspection Lot Record'!P:P,'QALS - Inspection Lot Record'!J:J)+RANDBETWEEN(0,1),LOOKUP(C362,'QALS - Inspection Lot Record'!P:P,'QALS - Inspection Lot Record'!J:J)+RANDBETWEEN(0,1),"")</f>
        <v>46028</v>
      </c>
      <c r="G362" s="41" t="str">
        <f ca="1">IF(F362="","",'Reference CAPA - Test data'!G362)</f>
        <v>Potency out of spec</v>
      </c>
      <c r="H362" s="34">
        <f t="shared" ca="1" si="5"/>
        <v>46030</v>
      </c>
      <c r="I362" s="29" t="str">
        <f ca="1">IF(H362="","",'Reference CAPA - Test data'!I362)</f>
        <v>Supplier evaluation</v>
      </c>
    </row>
    <row r="363" spans="1:9" x14ac:dyDescent="0.35">
      <c r="A363" s="31">
        <v>200000675</v>
      </c>
      <c r="B363" s="31">
        <v>1010</v>
      </c>
      <c r="C363" s="31">
        <v>4320</v>
      </c>
      <c r="D363" s="29" t="str">
        <f>LOOKUP('CAPA-old'!C363,'QALS - Inspection Lot Record'!P:P,'QALS - Inspection Lot Record'!O:O)</f>
        <v>Metformin Tablets (200 MG)</v>
      </c>
      <c r="E363" s="31">
        <v>93.2</v>
      </c>
      <c r="F363" s="34">
        <f ca="1">IF(TODAY()&gt;=LOOKUP(C363,'QALS - Inspection Lot Record'!P:P,'QALS - Inspection Lot Record'!J:J)+RANDBETWEEN(0,1),LOOKUP(C363,'QALS - Inspection Lot Record'!P:P,'QALS - Inspection Lot Record'!J:J)+RANDBETWEEN(0,1),"")</f>
        <v>46029</v>
      </c>
      <c r="G363" s="41" t="str">
        <f ca="1">IF(F363="","",'Reference CAPA - Test data'!G363)</f>
        <v>Potency out of spec</v>
      </c>
      <c r="H363" s="34">
        <f t="shared" ca="1" si="5"/>
        <v>46030</v>
      </c>
      <c r="I363" s="29" t="str">
        <f ca="1">IF(H363="","",'Reference CAPA - Test data'!I363)</f>
        <v>Update production SOP</v>
      </c>
    </row>
    <row r="364" spans="1:9" x14ac:dyDescent="0.35">
      <c r="A364" s="31">
        <v>200000676</v>
      </c>
      <c r="B364" s="31">
        <v>1010</v>
      </c>
      <c r="C364" s="31">
        <v>4325</v>
      </c>
      <c r="D364" s="29" t="str">
        <f>LOOKUP('CAPA-old'!C364,'QALS - Inspection Lot Record'!P:P,'QALS - Inspection Lot Record'!O:O)</f>
        <v>Metformin Tablets (500 MG)</v>
      </c>
      <c r="E364" s="31">
        <v>2.4</v>
      </c>
      <c r="F364" s="34">
        <f ca="1">IF(TODAY()&gt;=LOOKUP(C364,'QALS - Inspection Lot Record'!P:P,'QALS - Inspection Lot Record'!J:J)+RANDBETWEEN(0,1),LOOKUP(C364,'QALS - Inspection Lot Record'!P:P,'QALS - Inspection Lot Record'!J:J)+RANDBETWEEN(0,1),"")</f>
        <v>46033</v>
      </c>
      <c r="G364" s="41" t="str">
        <f ca="1">IF(F364="","",'Reference CAPA - Test data'!G364)</f>
        <v>PH Level out of range</v>
      </c>
      <c r="H364" s="34">
        <f t="shared" ca="1" si="5"/>
        <v>46034</v>
      </c>
      <c r="I364" s="29" t="str">
        <f ca="1">IF(H364="","",'Reference CAPA - Test data'!I364)</f>
        <v>Adjust formulation</v>
      </c>
    </row>
    <row r="365" spans="1:9" x14ac:dyDescent="0.35">
      <c r="A365" s="31">
        <v>200000676</v>
      </c>
      <c r="B365" s="31">
        <v>1010</v>
      </c>
      <c r="C365" s="31">
        <v>4325</v>
      </c>
      <c r="D365" s="29" t="str">
        <f>LOOKUP('CAPA-old'!C365,'QALS - Inspection Lot Record'!P:P,'QALS - Inspection Lot Record'!O:O)</f>
        <v>Metformin Tablets (500 MG)</v>
      </c>
      <c r="E365" s="31">
        <v>78.8</v>
      </c>
      <c r="F365" s="34">
        <f ca="1">IF(TODAY()&gt;=LOOKUP(C365,'QALS - Inspection Lot Record'!P:P,'QALS - Inspection Lot Record'!J:J)+RANDBETWEEN(0,1),LOOKUP(C365,'QALS - Inspection Lot Record'!P:P,'QALS - Inspection Lot Record'!J:J)+RANDBETWEEN(0,1),"")</f>
        <v>46032</v>
      </c>
      <c r="G365" s="41" t="str">
        <f ca="1">IF(F365="","",'Reference CAPA - Test data'!G365)</f>
        <v>Dissolution rate low - 40 mins</v>
      </c>
      <c r="H365" s="34">
        <f t="shared" ca="1" si="5"/>
        <v>46034</v>
      </c>
      <c r="I365" s="29" t="str">
        <f ca="1">IF(H365="","",'Reference CAPA - Test data'!I365)</f>
        <v>Equipment calibration</v>
      </c>
    </row>
    <row r="366" spans="1:9" x14ac:dyDescent="0.35">
      <c r="A366" s="31">
        <v>200000676</v>
      </c>
      <c r="B366" s="31">
        <v>1010</v>
      </c>
      <c r="C366" s="31">
        <v>4325</v>
      </c>
      <c r="D366" s="29" t="str">
        <f>LOOKUP('CAPA-old'!C366,'QALS - Inspection Lot Record'!P:P,'QALS - Inspection Lot Record'!O:O)</f>
        <v>Metformin Tablets (500 MG)</v>
      </c>
      <c r="E366" s="31">
        <v>21.7</v>
      </c>
      <c r="F366" s="34">
        <f ca="1">IF(TODAY()&gt;=LOOKUP(C366,'QALS - Inspection Lot Record'!P:P,'QALS - Inspection Lot Record'!J:J)+RANDBETWEEN(0,1),LOOKUP(C366,'QALS - Inspection Lot Record'!P:P,'QALS - Inspection Lot Record'!J:J)+RANDBETWEEN(0,1),"")</f>
        <v>46033</v>
      </c>
      <c r="G366" s="41" t="str">
        <f ca="1">IF(F366="","",'Reference CAPA - Test data'!G366)</f>
        <v>Process temp out of range</v>
      </c>
      <c r="H366" s="34">
        <f t="shared" ca="1" si="5"/>
        <v>46035</v>
      </c>
      <c r="I366" s="29" t="str">
        <f ca="1">IF(H366="","",'Reference CAPA - Test data'!I366)</f>
        <v>Training for operators</v>
      </c>
    </row>
    <row r="367" spans="1:9" x14ac:dyDescent="0.35">
      <c r="A367" s="31">
        <v>200000677</v>
      </c>
      <c r="B367" s="31">
        <v>1010</v>
      </c>
      <c r="C367" s="31">
        <v>4337</v>
      </c>
      <c r="D367" s="29" t="str">
        <f>LOOKUP('CAPA-old'!C367,'QALS - Inspection Lot Record'!P:P,'QALS - Inspection Lot Record'!O:O)</f>
        <v>Aspirin Tablets (500 MG)</v>
      </c>
      <c r="E367" s="31">
        <v>2.2000000000000002</v>
      </c>
      <c r="F367" s="34">
        <f ca="1">IF(TODAY()&gt;=LOOKUP(C367,'QALS - Inspection Lot Record'!P:P,'QALS - Inspection Lot Record'!J:J)+RANDBETWEEN(0,1),LOOKUP(C367,'QALS - Inspection Lot Record'!P:P,'QALS - Inspection Lot Record'!J:J)+RANDBETWEEN(0,1),"")</f>
        <v>46039</v>
      </c>
      <c r="G367" s="41" t="str">
        <f ca="1">IF(F367="","",'Reference CAPA - Test data'!G367)</f>
        <v>PH Level out of range</v>
      </c>
      <c r="H367" s="34">
        <f t="shared" ca="1" si="5"/>
        <v>46040</v>
      </c>
      <c r="I367" s="29" t="str">
        <f ca="1">IF(H367="","",'Reference CAPA - Test data'!I367)</f>
        <v>PH monitoring</v>
      </c>
    </row>
    <row r="368" spans="1:9" x14ac:dyDescent="0.35">
      <c r="A368" s="31">
        <v>200000677</v>
      </c>
      <c r="B368" s="31">
        <v>1010</v>
      </c>
      <c r="C368" s="31">
        <v>4337</v>
      </c>
      <c r="D368" s="29" t="str">
        <f>LOOKUP('CAPA-old'!C368,'QALS - Inspection Lot Record'!P:P,'QALS - Inspection Lot Record'!O:O)</f>
        <v>Aspirin Tablets (500 MG)</v>
      </c>
      <c r="E368" s="31">
        <v>68.400000000000006</v>
      </c>
      <c r="F368" s="34">
        <f ca="1">IF(TODAY()&gt;=LOOKUP(C368,'QALS - Inspection Lot Record'!P:P,'QALS - Inspection Lot Record'!J:J)+RANDBETWEEN(0,1),LOOKUP(C368,'QALS - Inspection Lot Record'!P:P,'QALS - Inspection Lot Record'!J:J)+RANDBETWEEN(0,1),"")</f>
        <v>46039</v>
      </c>
      <c r="G368" s="41" t="str">
        <f ca="1">IF(F368="","",'Reference CAPA - Test data'!G368)</f>
        <v>Dissolution rate low - 30 mins</v>
      </c>
      <c r="H368" s="34">
        <f t="shared" ca="1" si="5"/>
        <v>46040</v>
      </c>
      <c r="I368" s="29" t="str">
        <f ca="1">IF(H368="","",'Reference CAPA - Test data'!I368)</f>
        <v>Increase disintegrant</v>
      </c>
    </row>
    <row r="369" spans="1:9" x14ac:dyDescent="0.35">
      <c r="A369" s="31">
        <v>200000678</v>
      </c>
      <c r="B369" s="31">
        <v>1010</v>
      </c>
      <c r="C369" s="31">
        <v>4338</v>
      </c>
      <c r="D369" s="29" t="str">
        <f>LOOKUP('CAPA-old'!C369,'QALS - Inspection Lot Record'!P:P,'QALS - Inspection Lot Record'!O:O)</f>
        <v>Aspirin Tablets (500 MG)</v>
      </c>
      <c r="E369" s="31">
        <v>78.7</v>
      </c>
      <c r="F369" s="34">
        <f ca="1">IF(TODAY()&gt;=LOOKUP(C369,'QALS - Inspection Lot Record'!P:P,'QALS - Inspection Lot Record'!J:J)+RANDBETWEEN(0,1),LOOKUP(C369,'QALS - Inspection Lot Record'!P:P,'QALS - Inspection Lot Record'!J:J)+RANDBETWEEN(0,1),"")</f>
        <v>46038</v>
      </c>
      <c r="G369" s="41" t="str">
        <f ca="1">IF(F369="","",'Reference CAPA - Test data'!G369)</f>
        <v>Dissolution rate low - 40 mins</v>
      </c>
      <c r="H369" s="34">
        <f t="shared" ca="1" si="5"/>
        <v>46040</v>
      </c>
      <c r="I369" s="29" t="str">
        <f ca="1">IF(H369="","",'Reference CAPA - Test data'!I369)</f>
        <v>Increase surface area</v>
      </c>
    </row>
    <row r="370" spans="1:9" x14ac:dyDescent="0.35">
      <c r="A370" s="31">
        <v>200000679</v>
      </c>
      <c r="B370" s="31">
        <v>1010</v>
      </c>
      <c r="C370" s="31">
        <v>4341</v>
      </c>
      <c r="D370" s="29" t="str">
        <f>LOOKUP('CAPA-old'!C370,'QALS - Inspection Lot Record'!P:P,'QALS - Inspection Lot Record'!O:O)</f>
        <v>Metformin Tablets (200 MG)</v>
      </c>
      <c r="E370" s="31">
        <v>94</v>
      </c>
      <c r="F370" s="34">
        <f ca="1">IF(TODAY()&gt;=LOOKUP(C370,'QALS - Inspection Lot Record'!P:P,'QALS - Inspection Lot Record'!J:J)+RANDBETWEEN(0,1),LOOKUP(C370,'QALS - Inspection Lot Record'!P:P,'QALS - Inspection Lot Record'!J:J)+RANDBETWEEN(0,1),"")</f>
        <v>46041</v>
      </c>
      <c r="G370" s="41" t="str">
        <f ca="1">IF(F370="","",'Reference CAPA - Test data'!G370)</f>
        <v>Potency out of spec</v>
      </c>
      <c r="H370" s="34">
        <f t="shared" ca="1" si="5"/>
        <v>46041</v>
      </c>
      <c r="I370" s="29" t="str">
        <f ca="1">IF(H370="","",'Reference CAPA - Test data'!I370)</f>
        <v>Additional testing</v>
      </c>
    </row>
    <row r="371" spans="1:9" x14ac:dyDescent="0.35">
      <c r="A371" s="31">
        <v>200000680</v>
      </c>
      <c r="B371" s="31">
        <v>1010</v>
      </c>
      <c r="C371" s="31">
        <v>4342</v>
      </c>
      <c r="D371" s="29" t="str">
        <f>LOOKUP('CAPA-old'!C371,'QALS - Inspection Lot Record'!P:P,'QALS - Inspection Lot Record'!O:O)</f>
        <v>Ibuprofen Tablets (100 MG)</v>
      </c>
      <c r="E371" s="31">
        <v>68.8</v>
      </c>
      <c r="F371" s="34">
        <f ca="1">IF(TODAY()&gt;=LOOKUP(C371,'QALS - Inspection Lot Record'!P:P,'QALS - Inspection Lot Record'!J:J)+RANDBETWEEN(0,1),LOOKUP(C371,'QALS - Inspection Lot Record'!P:P,'QALS - Inspection Lot Record'!J:J)+RANDBETWEEN(0,1),"")</f>
        <v>46041</v>
      </c>
      <c r="G371" s="41" t="str">
        <f ca="1">IF(F371="","",'Reference CAPA - Test data'!G371)</f>
        <v>Dissolution rate low - 30 mins</v>
      </c>
      <c r="H371" s="34">
        <f t="shared" ca="1" si="5"/>
        <v>46041</v>
      </c>
      <c r="I371" s="29" t="str">
        <f ca="1">IF(H371="","",'Reference CAPA - Test data'!I371)</f>
        <v>Optimize granulation</v>
      </c>
    </row>
    <row r="372" spans="1:9" x14ac:dyDescent="0.35">
      <c r="A372" s="31">
        <v>200000680</v>
      </c>
      <c r="B372" s="31">
        <v>1010</v>
      </c>
      <c r="C372" s="31">
        <v>4342</v>
      </c>
      <c r="D372" s="29" t="str">
        <f>LOOKUP('CAPA-old'!C372,'QALS - Inspection Lot Record'!P:P,'QALS - Inspection Lot Record'!O:O)</f>
        <v>Ibuprofen Tablets (100 MG)</v>
      </c>
      <c r="E372" s="31">
        <v>21.9</v>
      </c>
      <c r="F372" s="34">
        <f ca="1">IF(TODAY()&gt;=LOOKUP(C372,'QALS - Inspection Lot Record'!P:P,'QALS - Inspection Lot Record'!J:J)+RANDBETWEEN(0,1),LOOKUP(C372,'QALS - Inspection Lot Record'!P:P,'QALS - Inspection Lot Record'!J:J)+RANDBETWEEN(0,1),"")</f>
        <v>46040</v>
      </c>
      <c r="G372" s="41" t="str">
        <f ca="1">IF(F372="","",'Reference CAPA - Test data'!G372)</f>
        <v>Process temp out of range</v>
      </c>
      <c r="H372" s="34">
        <f t="shared" ca="1" si="5"/>
        <v>46042</v>
      </c>
      <c r="I372" s="29" t="str">
        <f ca="1">IF(H372="","",'Reference CAPA - Test data'!I372)</f>
        <v>Update production SOP</v>
      </c>
    </row>
    <row r="373" spans="1:9" x14ac:dyDescent="0.35">
      <c r="A373" s="31">
        <v>200000681</v>
      </c>
      <c r="B373" s="31">
        <v>1010</v>
      </c>
      <c r="C373" s="31">
        <v>4353</v>
      </c>
      <c r="D373" s="29" t="str">
        <f>LOOKUP('CAPA-old'!C373,'QALS - Inspection Lot Record'!P:P,'QALS - Inspection Lot Record'!O:O)</f>
        <v>Metformin Tablets (100 MG)</v>
      </c>
      <c r="E373" s="31">
        <v>2.4</v>
      </c>
      <c r="F373" s="34">
        <f ca="1">IF(TODAY()&gt;=LOOKUP(C373,'QALS - Inspection Lot Record'!P:P,'QALS - Inspection Lot Record'!J:J)+RANDBETWEEN(0,1),LOOKUP(C373,'QALS - Inspection Lot Record'!P:P,'QALS - Inspection Lot Record'!J:J)+RANDBETWEEN(0,1),"")</f>
        <v>46046</v>
      </c>
      <c r="G373" s="41" t="str">
        <f ca="1">IF(F373="","",'Reference CAPA - Test data'!G373)</f>
        <v>PH Level out of range</v>
      </c>
      <c r="H373" s="34">
        <f t="shared" ca="1" si="5"/>
        <v>46046</v>
      </c>
      <c r="I373" s="29" t="str">
        <f ca="1">IF(H373="","",'Reference CAPA - Test data'!I373)</f>
        <v>Equipment calibration</v>
      </c>
    </row>
    <row r="374" spans="1:9" x14ac:dyDescent="0.35">
      <c r="A374" s="31">
        <v>200000682</v>
      </c>
      <c r="B374" s="31">
        <v>1010</v>
      </c>
      <c r="C374" s="31">
        <v>4354</v>
      </c>
      <c r="D374" s="29" t="str">
        <f>LOOKUP('CAPA-old'!C374,'QALS - Inspection Lot Record'!P:P,'QALS - Inspection Lot Record'!O:O)</f>
        <v>Aspirin Tablets (500 MG)</v>
      </c>
      <c r="E374" s="31">
        <v>93.7</v>
      </c>
      <c r="F374" s="34">
        <f ca="1">IF(TODAY()&gt;=LOOKUP(C374,'QALS - Inspection Lot Record'!P:P,'QALS - Inspection Lot Record'!J:J)+RANDBETWEEN(0,1),LOOKUP(C374,'QALS - Inspection Lot Record'!P:P,'QALS - Inspection Lot Record'!J:J)+RANDBETWEEN(0,1),"")</f>
        <v>46047</v>
      </c>
      <c r="G374" s="41" t="str">
        <f ca="1">IF(F374="","",'Reference CAPA - Test data'!G374)</f>
        <v>Potency out of spec</v>
      </c>
      <c r="H374" s="34">
        <f t="shared" ca="1" si="5"/>
        <v>46047</v>
      </c>
      <c r="I374" s="29" t="str">
        <f ca="1">IF(H374="","",'Reference CAPA - Test data'!I374)</f>
        <v>Training for operators</v>
      </c>
    </row>
    <row r="375" spans="1:9" x14ac:dyDescent="0.35">
      <c r="A375" s="31">
        <v>200000682</v>
      </c>
      <c r="B375" s="31">
        <v>1010</v>
      </c>
      <c r="C375" s="31">
        <v>4354</v>
      </c>
      <c r="D375" s="29" t="str">
        <f>LOOKUP('CAPA-old'!C375,'QALS - Inspection Lot Record'!P:P,'QALS - Inspection Lot Record'!O:O)</f>
        <v>Aspirin Tablets (500 MG)</v>
      </c>
      <c r="E375" s="31">
        <v>68.5</v>
      </c>
      <c r="F375" s="34">
        <f ca="1">IF(TODAY()&gt;=LOOKUP(C375,'QALS - Inspection Lot Record'!P:P,'QALS - Inspection Lot Record'!J:J)+RANDBETWEEN(0,1),LOOKUP(C375,'QALS - Inspection Lot Record'!P:P,'QALS - Inspection Lot Record'!J:J)+RANDBETWEEN(0,1),"")</f>
        <v>46046</v>
      </c>
      <c r="G375" s="41" t="str">
        <f ca="1">IF(F375="","",'Reference CAPA - Test data'!G375)</f>
        <v>Dissolution rate low - 30 mins</v>
      </c>
      <c r="H375" s="34">
        <f t="shared" ca="1" si="5"/>
        <v>46048</v>
      </c>
      <c r="I375" s="29" t="str">
        <f ca="1">IF(H375="","",'Reference CAPA - Test data'!I375)</f>
        <v>Supplier evaluation</v>
      </c>
    </row>
    <row r="376" spans="1:9" x14ac:dyDescent="0.35">
      <c r="A376" s="31">
        <v>200000683</v>
      </c>
      <c r="B376" s="31">
        <v>1010</v>
      </c>
      <c r="C376" s="31">
        <v>4358</v>
      </c>
      <c r="D376" s="29" t="str">
        <f>LOOKUP('CAPA-old'!C376,'QALS - Inspection Lot Record'!P:P,'QALS - Inspection Lot Record'!O:O)</f>
        <v>Metformin Tablets (100 MG)</v>
      </c>
      <c r="E376" s="31">
        <v>93.1</v>
      </c>
      <c r="F376" s="34">
        <f ca="1">IF(TODAY()&gt;=LOOKUP(C376,'QALS - Inspection Lot Record'!P:P,'QALS - Inspection Lot Record'!J:J)+RANDBETWEEN(0,1),LOOKUP(C376,'QALS - Inspection Lot Record'!P:P,'QALS - Inspection Lot Record'!J:J)+RANDBETWEEN(0,1),"")</f>
        <v>46049</v>
      </c>
      <c r="G376" s="41" t="str">
        <f ca="1">IF(F376="","",'Reference CAPA - Test data'!G376)</f>
        <v>Potency out of spec</v>
      </c>
      <c r="H376" s="34" t="str">
        <f t="shared" ca="1" si="5"/>
        <v/>
      </c>
      <c r="I376" s="29" t="str">
        <f ca="1">IF(H376="","",'Reference CAPA - Test data'!I376)</f>
        <v/>
      </c>
    </row>
    <row r="377" spans="1:9" x14ac:dyDescent="0.35">
      <c r="A377" s="31">
        <v>200000683</v>
      </c>
      <c r="B377" s="31">
        <v>1010</v>
      </c>
      <c r="C377" s="31">
        <v>4358</v>
      </c>
      <c r="D377" s="29" t="str">
        <f>LOOKUP('CAPA-old'!C377,'QALS - Inspection Lot Record'!P:P,'QALS - Inspection Lot Record'!O:O)</f>
        <v>Metformin Tablets (100 MG)</v>
      </c>
      <c r="E377" s="31">
        <v>68</v>
      </c>
      <c r="F377" s="34">
        <f ca="1">IF(TODAY()&gt;=LOOKUP(C377,'QALS - Inspection Lot Record'!P:P,'QALS - Inspection Lot Record'!J:J)+RANDBETWEEN(0,1),LOOKUP(C377,'QALS - Inspection Lot Record'!P:P,'QALS - Inspection Lot Record'!J:J)+RANDBETWEEN(0,1),"")</f>
        <v>46048</v>
      </c>
      <c r="G377" s="41" t="str">
        <f ca="1">IF(F377="","",'Reference CAPA - Test data'!G377)</f>
        <v>Dissolution rate low - 30 mins</v>
      </c>
      <c r="H377" s="34">
        <f t="shared" ca="1" si="5"/>
        <v>46049</v>
      </c>
      <c r="I377" s="29" t="str">
        <f ca="1">IF(H377="","",'Reference CAPA - Test data'!I377)</f>
        <v>Training for operators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9EE0-6AD1-414C-AA0C-565FBDBDEEEF}">
  <dimension ref="A1:I377"/>
  <sheetViews>
    <sheetView workbookViewId="0">
      <selection activeCell="G2" sqref="G2"/>
    </sheetView>
  </sheetViews>
  <sheetFormatPr defaultRowHeight="14.5" x14ac:dyDescent="0.35"/>
  <cols>
    <col min="1" max="1" width="12.26953125" style="33" bestFit="1" customWidth="1"/>
    <col min="2" max="2" width="9.54296875" style="33" customWidth="1"/>
    <col min="3" max="3" width="14" style="33" customWidth="1"/>
    <col min="4" max="4" width="24.7265625" style="28" bestFit="1" customWidth="1"/>
    <col min="5" max="5" width="15.81640625" style="33" customWidth="1"/>
    <col min="6" max="6" width="21.1796875" style="33" bestFit="1" customWidth="1"/>
    <col min="7" max="7" width="25.7265625" style="40" bestFit="1" customWidth="1"/>
    <col min="8" max="8" width="20.26953125" style="33" bestFit="1" customWidth="1"/>
    <col min="9" max="9" width="27.81640625" style="28" customWidth="1"/>
  </cols>
  <sheetData>
    <row r="1" spans="1:9" x14ac:dyDescent="0.35">
      <c r="A1" s="42" t="s">
        <v>434</v>
      </c>
      <c r="B1" s="42" t="s">
        <v>435</v>
      </c>
      <c r="C1" s="42" t="s">
        <v>15</v>
      </c>
      <c r="D1" s="43" t="s">
        <v>14</v>
      </c>
      <c r="E1" s="42" t="s">
        <v>436</v>
      </c>
      <c r="F1" s="42" t="s">
        <v>437</v>
      </c>
      <c r="G1" s="45" t="s">
        <v>438</v>
      </c>
      <c r="H1" s="42" t="s">
        <v>439</v>
      </c>
      <c r="I1" s="10" t="s">
        <v>440</v>
      </c>
    </row>
    <row r="2" spans="1:9" x14ac:dyDescent="0.35">
      <c r="A2" s="31">
        <v>200000501</v>
      </c>
      <c r="B2" s="31">
        <v>1010</v>
      </c>
      <c r="C2" s="31">
        <v>4001</v>
      </c>
      <c r="D2" s="29" t="str">
        <f>LOOKUP('CAPA-old'!C2,'QALS - Inspection Lot Record'!P:P,'QALS - Inspection Lot Record'!O:O)</f>
        <v>Metformin Tablets (100 MG)</v>
      </c>
      <c r="E2" s="31">
        <v>93.5</v>
      </c>
      <c r="F2" s="34">
        <f ca="1">IF(TODAY()&gt;=LOOKUP(C2,'QALS - Inspection Lot Record'!P:P,'QALS - Inspection Lot Record'!J:J)+RANDBETWEEN(0,1),LOOKUP(C2,'QALS - Inspection Lot Record'!P:P,'QALS - Inspection Lot Record'!J:J)+RANDBETWEEN(0,1),"")</f>
        <v>45870</v>
      </c>
      <c r="G2" s="41" t="s">
        <v>472</v>
      </c>
      <c r="H2" s="34">
        <v>45248</v>
      </c>
      <c r="I2" s="29" t="s">
        <v>473</v>
      </c>
    </row>
    <row r="3" spans="1:9" x14ac:dyDescent="0.35">
      <c r="A3" s="31">
        <v>200000501</v>
      </c>
      <c r="B3" s="31">
        <v>1010</v>
      </c>
      <c r="C3" s="31">
        <v>4001</v>
      </c>
      <c r="D3" s="29" t="str">
        <f>LOOKUP('CAPA-old'!C3,'QALS - Inspection Lot Record'!P:P,'QALS - Inspection Lot Record'!O:O)</f>
        <v>Metformin Tablets (100 MG)</v>
      </c>
      <c r="E3" s="31">
        <v>1.7</v>
      </c>
      <c r="F3" s="34">
        <f ca="1">IF(TODAY()&gt;=LOOKUP(C3,'QALS - Inspection Lot Record'!P:P,'QALS - Inspection Lot Record'!J:J)+RANDBETWEEN(0,1),LOOKUP(C3,'QALS - Inspection Lot Record'!P:P,'QALS - Inspection Lot Record'!J:J)+RANDBETWEEN(0,1),"")</f>
        <v>45870</v>
      </c>
      <c r="G3" s="41" t="s">
        <v>474</v>
      </c>
      <c r="H3" s="34">
        <v>45250</v>
      </c>
      <c r="I3" s="29" t="s">
        <v>475</v>
      </c>
    </row>
    <row r="4" spans="1:9" x14ac:dyDescent="0.35">
      <c r="A4" s="31">
        <v>200000502</v>
      </c>
      <c r="B4" s="31">
        <v>1010</v>
      </c>
      <c r="C4" s="31">
        <v>4002</v>
      </c>
      <c r="D4" s="29" t="str">
        <f>LOOKUP('CAPA-old'!C4,'QALS - Inspection Lot Record'!P:P,'QALS - Inspection Lot Record'!O:O)</f>
        <v>Ibuprofen Tablets (100 MG)</v>
      </c>
      <c r="E4" s="31">
        <v>94</v>
      </c>
      <c r="F4" s="34">
        <f ca="1">IF(TODAY()&gt;=LOOKUP(C4,'QALS - Inspection Lot Record'!P:P,'QALS - Inspection Lot Record'!J:J)+RANDBETWEEN(0,1),LOOKUP(C4,'QALS - Inspection Lot Record'!P:P,'QALS - Inspection Lot Record'!J:J)+RANDBETWEEN(0,1),"")</f>
        <v>45871</v>
      </c>
      <c r="G4" s="41" t="s">
        <v>472</v>
      </c>
      <c r="H4" s="34">
        <v>45250</v>
      </c>
      <c r="I4" s="29" t="s">
        <v>475</v>
      </c>
    </row>
    <row r="5" spans="1:9" x14ac:dyDescent="0.35">
      <c r="A5" s="31">
        <v>200000503</v>
      </c>
      <c r="B5" s="31">
        <v>1010</v>
      </c>
      <c r="C5" s="31">
        <v>4003</v>
      </c>
      <c r="D5" s="29" t="str">
        <f>LOOKUP('CAPA-old'!C5,'QALS - Inspection Lot Record'!P:P,'QALS - Inspection Lot Record'!O:O)</f>
        <v>Metformin Tablets (100 MG)</v>
      </c>
      <c r="E5" s="31">
        <v>1.2</v>
      </c>
      <c r="F5" s="34">
        <f ca="1">IF(TODAY()&gt;=LOOKUP(C5,'QALS - Inspection Lot Record'!P:P,'QALS - Inspection Lot Record'!J:J)+RANDBETWEEN(0,1),LOOKUP(C5,'QALS - Inspection Lot Record'!P:P,'QALS - Inspection Lot Record'!J:J)+RANDBETWEEN(0,1),"")</f>
        <v>45871</v>
      </c>
      <c r="G5" s="41" t="s">
        <v>476</v>
      </c>
      <c r="H5" s="34">
        <v>45250</v>
      </c>
      <c r="I5" s="29" t="s">
        <v>477</v>
      </c>
    </row>
    <row r="6" spans="1:9" x14ac:dyDescent="0.35">
      <c r="A6" s="31">
        <v>200000503</v>
      </c>
      <c r="B6" s="31">
        <v>1010</v>
      </c>
      <c r="C6" s="31">
        <v>4003</v>
      </c>
      <c r="D6" s="29" t="str">
        <f>LOOKUP('CAPA-old'!C6,'QALS - Inspection Lot Record'!P:P,'QALS - Inspection Lot Record'!O:O)</f>
        <v>Metformin Tablets (100 MG)</v>
      </c>
      <c r="E6" s="31">
        <v>38.700000000000003</v>
      </c>
      <c r="F6" s="34">
        <f ca="1">IF(TODAY()&gt;=LOOKUP(C6,'QALS - Inspection Lot Record'!P:P,'QALS - Inspection Lot Record'!J:J)+RANDBETWEEN(0,1),LOOKUP(C6,'QALS - Inspection Lot Record'!P:P,'QALS - Inspection Lot Record'!J:J)+RANDBETWEEN(0,1),"")</f>
        <v>45872</v>
      </c>
      <c r="G6" s="41" t="s">
        <v>478</v>
      </c>
      <c r="H6" s="34">
        <v>45248</v>
      </c>
      <c r="I6" s="29" t="s">
        <v>479</v>
      </c>
    </row>
    <row r="7" spans="1:9" x14ac:dyDescent="0.35">
      <c r="A7" s="31">
        <v>200000503</v>
      </c>
      <c r="B7" s="31">
        <v>1010</v>
      </c>
      <c r="C7" s="31">
        <v>4003</v>
      </c>
      <c r="D7" s="29" t="str">
        <f>LOOKUP('CAPA-old'!C7,'QALS - Inspection Lot Record'!P:P,'QALS - Inspection Lot Record'!O:O)</f>
        <v>Metformin Tablets (100 MG)</v>
      </c>
      <c r="E7" s="31">
        <v>68</v>
      </c>
      <c r="F7" s="34">
        <f ca="1">IF(TODAY()&gt;=LOOKUP(C7,'QALS - Inspection Lot Record'!P:P,'QALS - Inspection Lot Record'!J:J)+RANDBETWEEN(0,1),LOOKUP(C7,'QALS - Inspection Lot Record'!P:P,'QALS - Inspection Lot Record'!J:J)+RANDBETWEEN(0,1),"")</f>
        <v>45871</v>
      </c>
      <c r="G7" s="41" t="s">
        <v>480</v>
      </c>
      <c r="H7" s="34">
        <v>45250</v>
      </c>
      <c r="I7" s="29" t="s">
        <v>481</v>
      </c>
    </row>
    <row r="8" spans="1:9" x14ac:dyDescent="0.35">
      <c r="A8" s="31">
        <v>200000504</v>
      </c>
      <c r="B8" s="31">
        <v>1010</v>
      </c>
      <c r="C8" s="31">
        <v>4004</v>
      </c>
      <c r="D8" s="29" t="str">
        <f>LOOKUP('CAPA-old'!C8,'QALS - Inspection Lot Record'!P:P,'QALS - Inspection Lot Record'!O:O)</f>
        <v>Metformin Tablets (100 MG)</v>
      </c>
      <c r="E8" s="31">
        <v>93.6</v>
      </c>
      <c r="F8" s="34">
        <f ca="1">IF(TODAY()&gt;=LOOKUP(C8,'QALS - Inspection Lot Record'!P:P,'QALS - Inspection Lot Record'!J:J)+RANDBETWEEN(0,1),LOOKUP(C8,'QALS - Inspection Lot Record'!P:P,'QALS - Inspection Lot Record'!J:J)+RANDBETWEEN(0,1),"")</f>
        <v>45871</v>
      </c>
      <c r="G8" s="41" t="s">
        <v>472</v>
      </c>
      <c r="H8" s="34">
        <v>45249</v>
      </c>
      <c r="I8" s="29" t="s">
        <v>482</v>
      </c>
    </row>
    <row r="9" spans="1:9" x14ac:dyDescent="0.35">
      <c r="A9" s="31">
        <v>200000504</v>
      </c>
      <c r="B9" s="31">
        <v>1010</v>
      </c>
      <c r="C9" s="31">
        <v>4004</v>
      </c>
      <c r="D9" s="29" t="str">
        <f>LOOKUP('CAPA-old'!C9,'QALS - Inspection Lot Record'!P:P,'QALS - Inspection Lot Record'!O:O)</f>
        <v>Metformin Tablets (100 MG)</v>
      </c>
      <c r="E9" s="31">
        <v>1.8</v>
      </c>
      <c r="F9" s="34">
        <f ca="1">IF(TODAY()&gt;=LOOKUP(C9,'QALS - Inspection Lot Record'!P:P,'QALS - Inspection Lot Record'!J:J)+RANDBETWEEN(0,1),LOOKUP(C9,'QALS - Inspection Lot Record'!P:P,'QALS - Inspection Lot Record'!J:J)+RANDBETWEEN(0,1),"")</f>
        <v>45872</v>
      </c>
      <c r="G9" s="41" t="s">
        <v>474</v>
      </c>
      <c r="H9" s="34">
        <v>45251</v>
      </c>
      <c r="I9" s="29" t="s">
        <v>477</v>
      </c>
    </row>
    <row r="10" spans="1:9" x14ac:dyDescent="0.35">
      <c r="A10" s="31">
        <v>200000504</v>
      </c>
      <c r="B10" s="31">
        <v>1010</v>
      </c>
      <c r="C10" s="31">
        <v>4004</v>
      </c>
      <c r="D10" s="29" t="str">
        <f>LOOKUP('CAPA-old'!C10,'QALS - Inspection Lot Record'!P:P,'QALS - Inspection Lot Record'!O:O)</f>
        <v>Metformin Tablets (100 MG)</v>
      </c>
      <c r="E10" s="31">
        <v>38.200000000000003</v>
      </c>
      <c r="F10" s="34">
        <f ca="1">IF(TODAY()&gt;=LOOKUP(C10,'QALS - Inspection Lot Record'!P:P,'QALS - Inspection Lot Record'!J:J)+RANDBETWEEN(0,1),LOOKUP(C10,'QALS - Inspection Lot Record'!P:P,'QALS - Inspection Lot Record'!J:J)+RANDBETWEEN(0,1),"")</f>
        <v>45872</v>
      </c>
      <c r="G10" s="41" t="s">
        <v>478</v>
      </c>
      <c r="H10" s="34">
        <v>45249</v>
      </c>
      <c r="I10" s="29" t="s">
        <v>481</v>
      </c>
    </row>
    <row r="11" spans="1:9" x14ac:dyDescent="0.35">
      <c r="A11" s="31">
        <v>200000505</v>
      </c>
      <c r="B11" s="31">
        <v>1010</v>
      </c>
      <c r="C11" s="31">
        <v>4005</v>
      </c>
      <c r="D11" s="29" t="str">
        <f>LOOKUP('CAPA-old'!C11,'QALS - Inspection Lot Record'!P:P,'QALS - Inspection Lot Record'!O:O)</f>
        <v>Metformin Tablets (500 MG)</v>
      </c>
      <c r="E11" s="31">
        <v>93.9</v>
      </c>
      <c r="F11" s="34">
        <f ca="1">IF(TODAY()&gt;=LOOKUP(C11,'QALS - Inspection Lot Record'!P:P,'QALS - Inspection Lot Record'!J:J)+RANDBETWEEN(0,1),LOOKUP(C11,'QALS - Inspection Lot Record'!P:P,'QALS - Inspection Lot Record'!J:J)+RANDBETWEEN(0,1),"")</f>
        <v>45873</v>
      </c>
      <c r="G11" s="41" t="s">
        <v>472</v>
      </c>
      <c r="H11" s="34">
        <v>45251</v>
      </c>
      <c r="I11" s="29" t="s">
        <v>477</v>
      </c>
    </row>
    <row r="12" spans="1:9" x14ac:dyDescent="0.35">
      <c r="A12" s="31">
        <v>200000505</v>
      </c>
      <c r="B12" s="31">
        <v>1010</v>
      </c>
      <c r="C12" s="31">
        <v>4005</v>
      </c>
      <c r="D12" s="29" t="str">
        <f>LOOKUP('CAPA-old'!C12,'QALS - Inspection Lot Record'!P:P,'QALS - Inspection Lot Record'!O:O)</f>
        <v>Metformin Tablets (500 MG)</v>
      </c>
      <c r="E12" s="31">
        <v>22</v>
      </c>
      <c r="F12" s="34">
        <f ca="1">IF(TODAY()&gt;=LOOKUP(C12,'QALS - Inspection Lot Record'!P:P,'QALS - Inspection Lot Record'!J:J)+RANDBETWEEN(0,1),LOOKUP(C12,'QALS - Inspection Lot Record'!P:P,'QALS - Inspection Lot Record'!J:J)+RANDBETWEEN(0,1),"")</f>
        <v>45872</v>
      </c>
      <c r="G12" s="41" t="s">
        <v>483</v>
      </c>
      <c r="H12" s="34">
        <v>45252</v>
      </c>
      <c r="I12" s="29" t="s">
        <v>475</v>
      </c>
    </row>
    <row r="13" spans="1:9" x14ac:dyDescent="0.35">
      <c r="A13" s="31">
        <v>200000506</v>
      </c>
      <c r="B13" s="31">
        <v>1010</v>
      </c>
      <c r="C13" s="31">
        <v>4008</v>
      </c>
      <c r="D13" s="29" t="str">
        <f>LOOKUP('CAPA-old'!C13,'QALS - Inspection Lot Record'!P:P,'QALS - Inspection Lot Record'!O:O)</f>
        <v>Metformin Tablets (500 MG)</v>
      </c>
      <c r="E13" s="31">
        <v>93.9</v>
      </c>
      <c r="F13" s="34">
        <f ca="1">IF(TODAY()&gt;=LOOKUP(C13,'QALS - Inspection Lot Record'!P:P,'QALS - Inspection Lot Record'!J:J)+RANDBETWEEN(0,1),LOOKUP(C13,'QALS - Inspection Lot Record'!P:P,'QALS - Inspection Lot Record'!J:J)+RANDBETWEEN(0,1),"")</f>
        <v>45874</v>
      </c>
      <c r="G13" s="41" t="s">
        <v>472</v>
      </c>
      <c r="H13" s="34">
        <v>45251</v>
      </c>
      <c r="I13" s="29" t="s">
        <v>484</v>
      </c>
    </row>
    <row r="14" spans="1:9" x14ac:dyDescent="0.35">
      <c r="A14" s="31">
        <v>200000507</v>
      </c>
      <c r="B14" s="31">
        <v>1010</v>
      </c>
      <c r="C14" s="31">
        <v>4009</v>
      </c>
      <c r="D14" s="29" t="str">
        <f>LOOKUP('CAPA-old'!C14,'QALS - Inspection Lot Record'!P:P,'QALS - Inspection Lot Record'!O:O)</f>
        <v>Metformin Tablets (200 MG)</v>
      </c>
      <c r="E14" s="31">
        <v>93.4</v>
      </c>
      <c r="F14" s="34">
        <f ca="1">IF(TODAY()&gt;=LOOKUP(C14,'QALS - Inspection Lot Record'!P:P,'QALS - Inspection Lot Record'!J:J)+RANDBETWEEN(0,1),LOOKUP(C14,'QALS - Inspection Lot Record'!P:P,'QALS - Inspection Lot Record'!J:J)+RANDBETWEEN(0,1),"")</f>
        <v>45874</v>
      </c>
      <c r="G14" s="41" t="s">
        <v>472</v>
      </c>
      <c r="H14" s="34">
        <v>45252</v>
      </c>
      <c r="I14" s="29" t="s">
        <v>475</v>
      </c>
    </row>
    <row r="15" spans="1:9" x14ac:dyDescent="0.35">
      <c r="A15" s="31">
        <v>200000507</v>
      </c>
      <c r="B15" s="31">
        <v>1010</v>
      </c>
      <c r="C15" s="31">
        <v>4009</v>
      </c>
      <c r="D15" s="29" t="str">
        <f>LOOKUP('CAPA-old'!C15,'QALS - Inspection Lot Record'!P:P,'QALS - Inspection Lot Record'!O:O)</f>
        <v>Metformin Tablets (200 MG)</v>
      </c>
      <c r="E15" s="31">
        <v>5</v>
      </c>
      <c r="F15" s="34">
        <f ca="1">IF(TODAY()&gt;=LOOKUP(C15,'QALS - Inspection Lot Record'!P:P,'QALS - Inspection Lot Record'!J:J)+RANDBETWEEN(0,1),LOOKUP(C15,'QALS - Inspection Lot Record'!P:P,'QALS - Inspection Lot Record'!J:J)+RANDBETWEEN(0,1),"")</f>
        <v>45875</v>
      </c>
      <c r="G15" s="41" t="s">
        <v>474</v>
      </c>
      <c r="H15" s="34">
        <v>45253</v>
      </c>
      <c r="I15" s="29" t="s">
        <v>485</v>
      </c>
    </row>
    <row r="16" spans="1:9" x14ac:dyDescent="0.35">
      <c r="A16" s="31">
        <v>200000508</v>
      </c>
      <c r="B16" s="31">
        <v>1010</v>
      </c>
      <c r="C16" s="31">
        <v>4010</v>
      </c>
      <c r="D16" s="29" t="str">
        <f>LOOKUP('CAPA-old'!C16,'QALS - Inspection Lot Record'!P:P,'QALS - Inspection Lot Record'!O:O)</f>
        <v>Metformin Tablets (100 MG)</v>
      </c>
      <c r="E16" s="31">
        <v>78.7</v>
      </c>
      <c r="F16" s="34">
        <f ca="1">IF(TODAY()&gt;=LOOKUP(C16,'QALS - Inspection Lot Record'!P:P,'QALS - Inspection Lot Record'!J:J)+RANDBETWEEN(0,1),LOOKUP(C16,'QALS - Inspection Lot Record'!P:P,'QALS - Inspection Lot Record'!J:J)+RANDBETWEEN(0,1),"")</f>
        <v>45874</v>
      </c>
      <c r="G16" s="41" t="s">
        <v>486</v>
      </c>
      <c r="H16" s="34">
        <v>45253</v>
      </c>
      <c r="I16" s="29" t="s">
        <v>481</v>
      </c>
    </row>
    <row r="17" spans="1:9" x14ac:dyDescent="0.35">
      <c r="A17" s="31">
        <v>200000509</v>
      </c>
      <c r="B17" s="31">
        <v>1010</v>
      </c>
      <c r="C17" s="31">
        <v>4011</v>
      </c>
      <c r="D17" s="29" t="str">
        <f>LOOKUP('CAPA-old'!C17,'QALS - Inspection Lot Record'!P:P,'QALS - Inspection Lot Record'!O:O)</f>
        <v>Ibuprofen Tablets (100 MG)</v>
      </c>
      <c r="E17" s="31">
        <v>93.9</v>
      </c>
      <c r="F17" s="34">
        <f ca="1">IF(TODAY()&gt;=LOOKUP(C17,'QALS - Inspection Lot Record'!P:P,'QALS - Inspection Lot Record'!J:J)+RANDBETWEEN(0,1),LOOKUP(C17,'QALS - Inspection Lot Record'!P:P,'QALS - Inspection Lot Record'!J:J)+RANDBETWEEN(0,1),"")</f>
        <v>45875</v>
      </c>
      <c r="G17" s="41" t="s">
        <v>472</v>
      </c>
      <c r="H17" s="34">
        <v>45252</v>
      </c>
      <c r="I17" s="29" t="s">
        <v>482</v>
      </c>
    </row>
    <row r="18" spans="1:9" x14ac:dyDescent="0.35">
      <c r="A18" s="31">
        <v>200000510</v>
      </c>
      <c r="B18" s="31">
        <v>1010</v>
      </c>
      <c r="C18" s="31">
        <v>4012</v>
      </c>
      <c r="D18" s="29" t="str">
        <f>LOOKUP('CAPA-old'!C18,'QALS - Inspection Lot Record'!P:P,'QALS - Inspection Lot Record'!O:O)</f>
        <v>Metformin Tablets (100 MG)</v>
      </c>
      <c r="E18" s="31">
        <v>93.2</v>
      </c>
      <c r="F18" s="34">
        <f ca="1">IF(TODAY()&gt;=LOOKUP(C18,'QALS - Inspection Lot Record'!P:P,'QALS - Inspection Lot Record'!J:J)+RANDBETWEEN(0,1),LOOKUP(C18,'QALS - Inspection Lot Record'!P:P,'QALS - Inspection Lot Record'!J:J)+RANDBETWEEN(0,1),"")</f>
        <v>45875</v>
      </c>
      <c r="G18" s="41" t="s">
        <v>472</v>
      </c>
      <c r="H18" s="34">
        <v>45255</v>
      </c>
      <c r="I18" s="29" t="s">
        <v>473</v>
      </c>
    </row>
    <row r="19" spans="1:9" x14ac:dyDescent="0.35">
      <c r="A19" s="31">
        <v>200000511</v>
      </c>
      <c r="B19" s="31">
        <v>1010</v>
      </c>
      <c r="C19" s="31">
        <v>4013</v>
      </c>
      <c r="D19" s="29" t="str">
        <f>LOOKUP('CAPA-old'!C19,'QALS - Inspection Lot Record'!P:P,'QALS - Inspection Lot Record'!O:O)</f>
        <v>Metformin Tablets (500 MG)</v>
      </c>
      <c r="E19" s="31">
        <v>68.3</v>
      </c>
      <c r="F19" s="34">
        <f ca="1">IF(TODAY()&gt;=LOOKUP(C19,'QALS - Inspection Lot Record'!P:P,'QALS - Inspection Lot Record'!J:J)+RANDBETWEEN(0,1),LOOKUP(C19,'QALS - Inspection Lot Record'!P:P,'QALS - Inspection Lot Record'!J:J)+RANDBETWEEN(0,1),"")</f>
        <v>45877</v>
      </c>
      <c r="G19" s="41" t="s">
        <v>480</v>
      </c>
      <c r="H19" s="34">
        <v>45254</v>
      </c>
      <c r="I19" s="29" t="s">
        <v>475</v>
      </c>
    </row>
    <row r="20" spans="1:9" x14ac:dyDescent="0.35">
      <c r="A20" s="31">
        <v>200000512</v>
      </c>
      <c r="B20" s="31">
        <v>1010</v>
      </c>
      <c r="C20" s="31">
        <v>4014</v>
      </c>
      <c r="D20" s="29" t="str">
        <f>LOOKUP('CAPA-old'!C20,'QALS - Inspection Lot Record'!P:P,'QALS - Inspection Lot Record'!O:O)</f>
        <v>Ibuprofen Tablets (100 MG)</v>
      </c>
      <c r="E20" s="31">
        <v>1.2</v>
      </c>
      <c r="F20" s="34">
        <f ca="1">IF(TODAY()&gt;=LOOKUP(C20,'QALS - Inspection Lot Record'!P:P,'QALS - Inspection Lot Record'!J:J)+RANDBETWEEN(0,1),LOOKUP(C20,'QALS - Inspection Lot Record'!P:P,'QALS - Inspection Lot Record'!J:J)+RANDBETWEEN(0,1),"")</f>
        <v>45877</v>
      </c>
      <c r="G20" s="41" t="s">
        <v>476</v>
      </c>
      <c r="H20" s="34">
        <v>45256</v>
      </c>
      <c r="I20" s="29" t="s">
        <v>487</v>
      </c>
    </row>
    <row r="21" spans="1:9" x14ac:dyDescent="0.35">
      <c r="A21" s="31">
        <v>200000512</v>
      </c>
      <c r="B21" s="31">
        <v>1010</v>
      </c>
      <c r="C21" s="31">
        <v>4014</v>
      </c>
      <c r="D21" s="29" t="str">
        <f>LOOKUP('CAPA-old'!C21,'QALS - Inspection Lot Record'!P:P,'QALS - Inspection Lot Record'!O:O)</f>
        <v>Ibuprofen Tablets (100 MG)</v>
      </c>
      <c r="E21" s="31">
        <v>78.099999999999994</v>
      </c>
      <c r="F21" s="34">
        <f ca="1">IF(TODAY()&gt;=LOOKUP(C21,'QALS - Inspection Lot Record'!P:P,'QALS - Inspection Lot Record'!J:J)+RANDBETWEEN(0,1),LOOKUP(C21,'QALS - Inspection Lot Record'!P:P,'QALS - Inspection Lot Record'!J:J)+RANDBETWEEN(0,1),"")</f>
        <v>45876</v>
      </c>
      <c r="G21" s="41" t="s">
        <v>486</v>
      </c>
      <c r="H21" s="34">
        <v>45255</v>
      </c>
      <c r="I21" s="29" t="s">
        <v>488</v>
      </c>
    </row>
    <row r="22" spans="1:9" x14ac:dyDescent="0.35">
      <c r="A22" s="31">
        <v>200000513</v>
      </c>
      <c r="B22" s="31">
        <v>1010</v>
      </c>
      <c r="C22" s="31">
        <v>4015</v>
      </c>
      <c r="D22" s="29" t="str">
        <f>LOOKUP('CAPA-old'!C22,'QALS - Inspection Lot Record'!P:P,'QALS - Inspection Lot Record'!O:O)</f>
        <v>Ibuprofen Tablets (100 MG)</v>
      </c>
      <c r="E22" s="31">
        <v>94</v>
      </c>
      <c r="F22" s="34">
        <f ca="1">IF(TODAY()&gt;=LOOKUP(C22,'QALS - Inspection Lot Record'!P:P,'QALS - Inspection Lot Record'!J:J)+RANDBETWEEN(0,1),LOOKUP(C22,'QALS - Inspection Lot Record'!P:P,'QALS - Inspection Lot Record'!J:J)+RANDBETWEEN(0,1),"")</f>
        <v>45877</v>
      </c>
      <c r="G22" s="41" t="s">
        <v>472</v>
      </c>
      <c r="H22" s="34">
        <v>45255</v>
      </c>
      <c r="I22" s="29" t="s">
        <v>475</v>
      </c>
    </row>
    <row r="23" spans="1:9" x14ac:dyDescent="0.35">
      <c r="A23" s="31">
        <v>200000514</v>
      </c>
      <c r="B23" s="31">
        <v>1010</v>
      </c>
      <c r="C23" s="31">
        <v>4016</v>
      </c>
      <c r="D23" s="29" t="str">
        <f>LOOKUP('CAPA-old'!C23,'QALS - Inspection Lot Record'!P:P,'QALS - Inspection Lot Record'!O:O)</f>
        <v>Metformin Tablets (200 MG)</v>
      </c>
      <c r="E23" s="31">
        <v>93.7</v>
      </c>
      <c r="F23" s="34">
        <f ca="1">IF(TODAY()&gt;=LOOKUP(C23,'QALS - Inspection Lot Record'!P:P,'QALS - Inspection Lot Record'!J:J)+RANDBETWEEN(0,1),LOOKUP(C23,'QALS - Inspection Lot Record'!P:P,'QALS - Inspection Lot Record'!J:J)+RANDBETWEEN(0,1),"")</f>
        <v>45878</v>
      </c>
      <c r="G23" s="41" t="s">
        <v>472</v>
      </c>
      <c r="H23" s="34">
        <v>45254</v>
      </c>
      <c r="I23" s="29" t="s">
        <v>475</v>
      </c>
    </row>
    <row r="24" spans="1:9" x14ac:dyDescent="0.35">
      <c r="A24" s="31">
        <v>200000515</v>
      </c>
      <c r="B24" s="31">
        <v>1010</v>
      </c>
      <c r="C24" s="31">
        <v>4017</v>
      </c>
      <c r="D24" s="29" t="str">
        <f>LOOKUP('CAPA-old'!C24,'QALS - Inspection Lot Record'!P:P,'QALS - Inspection Lot Record'!O:O)</f>
        <v>Metformin Tablets (200 MG)</v>
      </c>
      <c r="E24" s="31">
        <v>21.2</v>
      </c>
      <c r="F24" s="34">
        <f ca="1">IF(TODAY()&gt;=LOOKUP(C24,'QALS - Inspection Lot Record'!P:P,'QALS - Inspection Lot Record'!J:J)+RANDBETWEEN(0,1),LOOKUP(C24,'QALS - Inspection Lot Record'!P:P,'QALS - Inspection Lot Record'!J:J)+RANDBETWEEN(0,1),"")</f>
        <v>45879</v>
      </c>
      <c r="G24" s="41" t="s">
        <v>483</v>
      </c>
      <c r="H24" s="34">
        <v>45256</v>
      </c>
      <c r="I24" s="29" t="s">
        <v>489</v>
      </c>
    </row>
    <row r="25" spans="1:9" x14ac:dyDescent="0.35">
      <c r="A25" s="31">
        <v>200000516</v>
      </c>
      <c r="B25" s="31">
        <v>1010</v>
      </c>
      <c r="C25" s="31">
        <v>4021</v>
      </c>
      <c r="D25" s="29" t="str">
        <f>LOOKUP('CAPA-old'!C25,'QALS - Inspection Lot Record'!P:P,'QALS - Inspection Lot Record'!O:O)</f>
        <v>Ibuprofen Tablets (100 MG)</v>
      </c>
      <c r="E25" s="31">
        <v>38.700000000000003</v>
      </c>
      <c r="F25" s="34">
        <f ca="1">IF(TODAY()&gt;=LOOKUP(C25,'QALS - Inspection Lot Record'!P:P,'QALS - Inspection Lot Record'!J:J)+RANDBETWEEN(0,1),LOOKUP(C25,'QALS - Inspection Lot Record'!P:P,'QALS - Inspection Lot Record'!J:J)+RANDBETWEEN(0,1),"")</f>
        <v>45880</v>
      </c>
      <c r="G25" s="41" t="s">
        <v>478</v>
      </c>
      <c r="H25" s="34">
        <v>45259</v>
      </c>
      <c r="I25" s="29" t="s">
        <v>484</v>
      </c>
    </row>
    <row r="26" spans="1:9" x14ac:dyDescent="0.35">
      <c r="A26" s="31">
        <v>200000516</v>
      </c>
      <c r="B26" s="31">
        <v>1010</v>
      </c>
      <c r="C26" s="31">
        <v>4021</v>
      </c>
      <c r="D26" s="29" t="str">
        <f>LOOKUP('CAPA-old'!C26,'QALS - Inspection Lot Record'!P:P,'QALS - Inspection Lot Record'!O:O)</f>
        <v>Ibuprofen Tablets (100 MG)</v>
      </c>
      <c r="E26" s="31">
        <v>68.099999999999994</v>
      </c>
      <c r="F26" s="34">
        <f ca="1">IF(TODAY()&gt;=LOOKUP(C26,'QALS - Inspection Lot Record'!P:P,'QALS - Inspection Lot Record'!J:J)+RANDBETWEEN(0,1),LOOKUP(C26,'QALS - Inspection Lot Record'!P:P,'QALS - Inspection Lot Record'!J:J)+RANDBETWEEN(0,1),"")</f>
        <v>45880</v>
      </c>
      <c r="G26" s="41" t="s">
        <v>480</v>
      </c>
      <c r="H26" s="34">
        <v>45258</v>
      </c>
      <c r="I26" s="29" t="s">
        <v>484</v>
      </c>
    </row>
    <row r="27" spans="1:9" x14ac:dyDescent="0.35">
      <c r="A27" s="31">
        <v>200000517</v>
      </c>
      <c r="B27" s="31">
        <v>1010</v>
      </c>
      <c r="C27" s="31">
        <v>4025</v>
      </c>
      <c r="D27" s="29" t="str">
        <f>LOOKUP('CAPA-old'!C27,'QALS - Inspection Lot Record'!P:P,'QALS - Inspection Lot Record'!O:O)</f>
        <v>Ibuprofen Tablets (100 MG)</v>
      </c>
      <c r="E27" s="31">
        <v>21.1</v>
      </c>
      <c r="F27" s="34">
        <f ca="1">IF(TODAY()&gt;=LOOKUP(C27,'QALS - Inspection Lot Record'!P:P,'QALS - Inspection Lot Record'!J:J)+RANDBETWEEN(0,1),LOOKUP(C27,'QALS - Inspection Lot Record'!P:P,'QALS - Inspection Lot Record'!J:J)+RANDBETWEEN(0,1),"")</f>
        <v>45882</v>
      </c>
      <c r="G27" s="41" t="s">
        <v>483</v>
      </c>
      <c r="H27" s="34">
        <v>45260</v>
      </c>
      <c r="I27" s="29" t="s">
        <v>489</v>
      </c>
    </row>
    <row r="28" spans="1:9" x14ac:dyDescent="0.35">
      <c r="A28" s="31">
        <v>200000518</v>
      </c>
      <c r="B28" s="31">
        <v>1010</v>
      </c>
      <c r="C28" s="31">
        <v>4029</v>
      </c>
      <c r="D28" s="29" t="str">
        <f>LOOKUP('CAPA-old'!C28,'QALS - Inspection Lot Record'!P:P,'QALS - Inspection Lot Record'!O:O)</f>
        <v>Metformin Tablets (100 MG)</v>
      </c>
      <c r="E28" s="31">
        <v>78.599999999999994</v>
      </c>
      <c r="F28" s="34">
        <f ca="1">IF(TODAY()&gt;=LOOKUP(C28,'QALS - Inspection Lot Record'!P:P,'QALS - Inspection Lot Record'!J:J)+RANDBETWEEN(0,1),LOOKUP(C28,'QALS - Inspection Lot Record'!P:P,'QALS - Inspection Lot Record'!J:J)+RANDBETWEEN(0,1),"")</f>
        <v>45884</v>
      </c>
      <c r="G28" s="41" t="s">
        <v>486</v>
      </c>
      <c r="H28" s="34">
        <v>45262</v>
      </c>
      <c r="I28" s="29" t="s">
        <v>488</v>
      </c>
    </row>
    <row r="29" spans="1:9" x14ac:dyDescent="0.35">
      <c r="A29" s="31">
        <v>200000519</v>
      </c>
      <c r="B29" s="31">
        <v>1010</v>
      </c>
      <c r="C29" s="31">
        <v>4030</v>
      </c>
      <c r="D29" s="29" t="str">
        <f>LOOKUP('CAPA-old'!C29,'QALS - Inspection Lot Record'!P:P,'QALS - Inspection Lot Record'!O:O)</f>
        <v>Aspirin Tablets (500 MG)</v>
      </c>
      <c r="E29" s="31">
        <v>2.4</v>
      </c>
      <c r="F29" s="34">
        <f ca="1">IF(TODAY()&gt;=LOOKUP(C29,'QALS - Inspection Lot Record'!P:P,'QALS - Inspection Lot Record'!J:J)+RANDBETWEEN(0,1),LOOKUP(C29,'QALS - Inspection Lot Record'!P:P,'QALS - Inspection Lot Record'!J:J)+RANDBETWEEN(0,1),"")</f>
        <v>45885</v>
      </c>
      <c r="G29" s="41" t="s">
        <v>474</v>
      </c>
      <c r="H29" s="34">
        <v>45263</v>
      </c>
      <c r="I29" s="29" t="s">
        <v>484</v>
      </c>
    </row>
    <row r="30" spans="1:9" x14ac:dyDescent="0.35">
      <c r="A30" s="31">
        <v>200000519</v>
      </c>
      <c r="B30" s="31">
        <v>1010</v>
      </c>
      <c r="C30" s="31">
        <v>4030</v>
      </c>
      <c r="D30" s="29" t="str">
        <f>LOOKUP('CAPA-old'!C30,'QALS - Inspection Lot Record'!P:P,'QALS - Inspection Lot Record'!O:O)</f>
        <v>Aspirin Tablets (500 MG)</v>
      </c>
      <c r="E30" s="31">
        <v>68.2</v>
      </c>
      <c r="F30" s="34">
        <f ca="1">IF(TODAY()&gt;=LOOKUP(C30,'QALS - Inspection Lot Record'!P:P,'QALS - Inspection Lot Record'!J:J)+RANDBETWEEN(0,1),LOOKUP(C30,'QALS - Inspection Lot Record'!P:P,'QALS - Inspection Lot Record'!J:J)+RANDBETWEEN(0,1),"")</f>
        <v>45885</v>
      </c>
      <c r="G30" s="41" t="s">
        <v>480</v>
      </c>
      <c r="H30" s="34">
        <v>45262</v>
      </c>
      <c r="I30" s="29" t="s">
        <v>490</v>
      </c>
    </row>
    <row r="31" spans="1:9" x14ac:dyDescent="0.35">
      <c r="A31" s="31">
        <v>200000520</v>
      </c>
      <c r="B31" s="31">
        <v>1010</v>
      </c>
      <c r="C31" s="31">
        <v>4034</v>
      </c>
      <c r="D31" s="29" t="str">
        <f>LOOKUP('CAPA-old'!C31,'QALS - Inspection Lot Record'!P:P,'QALS - Inspection Lot Record'!O:O)</f>
        <v>Metformin Tablets (200 MG)</v>
      </c>
      <c r="E31" s="31">
        <v>5</v>
      </c>
      <c r="F31" s="34">
        <f ca="1">IF(TODAY()&gt;=LOOKUP(C31,'QALS - Inspection Lot Record'!P:P,'QALS - Inspection Lot Record'!J:J)+RANDBETWEEN(0,1),LOOKUP(C31,'QALS - Inspection Lot Record'!P:P,'QALS - Inspection Lot Record'!J:J)+RANDBETWEEN(0,1),"")</f>
        <v>45886</v>
      </c>
      <c r="G31" s="41" t="s">
        <v>474</v>
      </c>
      <c r="H31" s="34">
        <v>45266</v>
      </c>
      <c r="I31" s="29" t="s">
        <v>485</v>
      </c>
    </row>
    <row r="32" spans="1:9" x14ac:dyDescent="0.35">
      <c r="A32" s="31">
        <v>200000520</v>
      </c>
      <c r="B32" s="31">
        <v>1010</v>
      </c>
      <c r="C32" s="31">
        <v>4034</v>
      </c>
      <c r="D32" s="29" t="str">
        <f>LOOKUP('CAPA-old'!C32,'QALS - Inspection Lot Record'!P:P,'QALS - Inspection Lot Record'!O:O)</f>
        <v>Metformin Tablets (200 MG)</v>
      </c>
      <c r="E32" s="31">
        <v>39</v>
      </c>
      <c r="F32" s="34">
        <f ca="1">IF(TODAY()&gt;=LOOKUP(C32,'QALS - Inspection Lot Record'!P:P,'QALS - Inspection Lot Record'!J:J)+RANDBETWEEN(0,1),LOOKUP(C32,'QALS - Inspection Lot Record'!P:P,'QALS - Inspection Lot Record'!J:J)+RANDBETWEEN(0,1),"")</f>
        <v>45886</v>
      </c>
      <c r="G32" s="41" t="s">
        <v>478</v>
      </c>
      <c r="H32" s="34">
        <v>45264</v>
      </c>
      <c r="I32" s="29" t="s">
        <v>491</v>
      </c>
    </row>
    <row r="33" spans="1:9" x14ac:dyDescent="0.35">
      <c r="A33" s="31">
        <v>200000521</v>
      </c>
      <c r="B33" s="31">
        <v>1010</v>
      </c>
      <c r="C33" s="31">
        <v>4036</v>
      </c>
      <c r="D33" s="29" t="str">
        <f>LOOKUP('CAPA-old'!C33,'QALS - Inspection Lot Record'!P:P,'QALS - Inspection Lot Record'!O:O)</f>
        <v>Metformin Tablets (500 MG)</v>
      </c>
      <c r="E33" s="31">
        <v>2.2000000000000002</v>
      </c>
      <c r="F33" s="34">
        <f ca="1">IF(TODAY()&gt;=LOOKUP(C33,'QALS - Inspection Lot Record'!P:P,'QALS - Inspection Lot Record'!J:J)+RANDBETWEEN(0,1),LOOKUP(C33,'QALS - Inspection Lot Record'!P:P,'QALS - Inspection Lot Record'!J:J)+RANDBETWEEN(0,1),"")</f>
        <v>45887</v>
      </c>
      <c r="G33" s="41" t="s">
        <v>476</v>
      </c>
      <c r="H33" s="34">
        <v>45265</v>
      </c>
      <c r="I33" s="29" t="s">
        <v>492</v>
      </c>
    </row>
    <row r="34" spans="1:9" x14ac:dyDescent="0.35">
      <c r="A34" s="31">
        <v>200000522</v>
      </c>
      <c r="B34" s="31">
        <v>1010</v>
      </c>
      <c r="C34" s="31">
        <v>4037</v>
      </c>
      <c r="D34" s="29" t="str">
        <f>LOOKUP('CAPA-old'!C34,'QALS - Inspection Lot Record'!P:P,'QALS - Inspection Lot Record'!O:O)</f>
        <v>Ibuprofen Tablets (100 MG)</v>
      </c>
      <c r="E34" s="31">
        <v>2.2000000000000002</v>
      </c>
      <c r="F34" s="34">
        <f ca="1">IF(TODAY()&gt;=LOOKUP(C34,'QALS - Inspection Lot Record'!P:P,'QALS - Inspection Lot Record'!J:J)+RANDBETWEEN(0,1),LOOKUP(C34,'QALS - Inspection Lot Record'!P:P,'QALS - Inspection Lot Record'!J:J)+RANDBETWEEN(0,1),"")</f>
        <v>45889</v>
      </c>
      <c r="G34" s="41" t="s">
        <v>474</v>
      </c>
      <c r="H34" s="34">
        <v>45266</v>
      </c>
      <c r="I34" s="29" t="s">
        <v>481</v>
      </c>
    </row>
    <row r="35" spans="1:9" x14ac:dyDescent="0.35">
      <c r="A35" s="31">
        <v>200000522</v>
      </c>
      <c r="B35" s="31">
        <v>1010</v>
      </c>
      <c r="C35" s="31">
        <v>4037</v>
      </c>
      <c r="D35" s="29" t="str">
        <f>LOOKUP('CAPA-old'!C35,'QALS - Inspection Lot Record'!P:P,'QALS - Inspection Lot Record'!O:O)</f>
        <v>Ibuprofen Tablets (100 MG)</v>
      </c>
      <c r="E35" s="31">
        <v>78.5</v>
      </c>
      <c r="F35" s="34">
        <f ca="1">IF(TODAY()&gt;=LOOKUP(C35,'QALS - Inspection Lot Record'!P:P,'QALS - Inspection Lot Record'!J:J)+RANDBETWEEN(0,1),LOOKUP(C35,'QALS - Inspection Lot Record'!P:P,'QALS - Inspection Lot Record'!J:J)+RANDBETWEEN(0,1),"")</f>
        <v>45888</v>
      </c>
      <c r="G35" s="41" t="s">
        <v>486</v>
      </c>
      <c r="H35" s="34">
        <v>45266</v>
      </c>
      <c r="I35" s="29" t="s">
        <v>484</v>
      </c>
    </row>
    <row r="36" spans="1:9" x14ac:dyDescent="0.35">
      <c r="A36" s="31">
        <v>200000522</v>
      </c>
      <c r="B36" s="31">
        <v>1010</v>
      </c>
      <c r="C36" s="31">
        <v>4037</v>
      </c>
      <c r="D36" s="29" t="str">
        <f>LOOKUP('CAPA-old'!C36,'QALS - Inspection Lot Record'!P:P,'QALS - Inspection Lot Record'!O:O)</f>
        <v>Ibuprofen Tablets (100 MG)</v>
      </c>
      <c r="E36" s="31">
        <v>21.9</v>
      </c>
      <c r="F36" s="34">
        <f ca="1">IF(TODAY()&gt;=LOOKUP(C36,'QALS - Inspection Lot Record'!P:P,'QALS - Inspection Lot Record'!J:J)+RANDBETWEEN(0,1),LOOKUP(C36,'QALS - Inspection Lot Record'!P:P,'QALS - Inspection Lot Record'!J:J)+RANDBETWEEN(0,1),"")</f>
        <v>45888</v>
      </c>
      <c r="G36" s="41" t="s">
        <v>483</v>
      </c>
      <c r="H36" s="34">
        <v>45266</v>
      </c>
      <c r="I36" s="29" t="s">
        <v>489</v>
      </c>
    </row>
    <row r="37" spans="1:9" x14ac:dyDescent="0.35">
      <c r="A37" s="31">
        <v>200000523</v>
      </c>
      <c r="B37" s="31">
        <v>1010</v>
      </c>
      <c r="C37" s="31">
        <v>4040</v>
      </c>
      <c r="D37" s="29" t="str">
        <f>LOOKUP('CAPA-old'!C37,'QALS - Inspection Lot Record'!P:P,'QALS - Inspection Lot Record'!O:O)</f>
        <v>Metformin Tablets (200 MG)</v>
      </c>
      <c r="E37" s="31">
        <v>2.1</v>
      </c>
      <c r="F37" s="34">
        <f ca="1">IF(TODAY()&gt;=LOOKUP(C37,'QALS - Inspection Lot Record'!P:P,'QALS - Inspection Lot Record'!J:J)+RANDBETWEEN(0,1),LOOKUP(C37,'QALS - Inspection Lot Record'!P:P,'QALS - Inspection Lot Record'!J:J)+RANDBETWEEN(0,1),"")</f>
        <v>45890</v>
      </c>
      <c r="G37" s="41" t="s">
        <v>476</v>
      </c>
      <c r="H37" s="34">
        <v>45268</v>
      </c>
      <c r="I37" s="29" t="s">
        <v>493</v>
      </c>
    </row>
    <row r="38" spans="1:9" x14ac:dyDescent="0.35">
      <c r="A38" s="31">
        <v>200000524</v>
      </c>
      <c r="B38" s="31">
        <v>1010</v>
      </c>
      <c r="C38" s="31">
        <v>4041</v>
      </c>
      <c r="D38" s="29" t="str">
        <f>LOOKUP('CAPA-old'!C38,'QALS - Inspection Lot Record'!P:P,'QALS - Inspection Lot Record'!O:O)</f>
        <v>Metformin Tablets (100 MG)</v>
      </c>
      <c r="E38" s="31">
        <v>22</v>
      </c>
      <c r="F38" s="34">
        <f ca="1">IF(TODAY()&gt;=LOOKUP(C38,'QALS - Inspection Lot Record'!P:P,'QALS - Inspection Lot Record'!J:J)+RANDBETWEEN(0,1),LOOKUP(C38,'QALS - Inspection Lot Record'!P:P,'QALS - Inspection Lot Record'!J:J)+RANDBETWEEN(0,1),"")</f>
        <v>45891</v>
      </c>
      <c r="G38" s="41" t="s">
        <v>483</v>
      </c>
      <c r="H38" s="34">
        <v>45267</v>
      </c>
      <c r="I38" s="29" t="s">
        <v>484</v>
      </c>
    </row>
    <row r="39" spans="1:9" x14ac:dyDescent="0.35">
      <c r="A39" s="31">
        <v>200000525</v>
      </c>
      <c r="B39" s="31">
        <v>1010</v>
      </c>
      <c r="C39" s="31">
        <v>4042</v>
      </c>
      <c r="D39" s="29" t="str">
        <f>LOOKUP('CAPA-old'!C39,'QALS - Inspection Lot Record'!P:P,'QALS - Inspection Lot Record'!O:O)</f>
        <v>Metformin Tablets (500 MG)</v>
      </c>
      <c r="E39" s="31">
        <v>93.1</v>
      </c>
      <c r="F39" s="34">
        <f ca="1">IF(TODAY()&gt;=LOOKUP(C39,'QALS - Inspection Lot Record'!P:P,'QALS - Inspection Lot Record'!J:J)+RANDBETWEEN(0,1),LOOKUP(C39,'QALS - Inspection Lot Record'!P:P,'QALS - Inspection Lot Record'!J:J)+RANDBETWEEN(0,1),"")</f>
        <v>45891</v>
      </c>
      <c r="G39" s="41" t="s">
        <v>472</v>
      </c>
      <c r="H39" s="34">
        <v>45269</v>
      </c>
      <c r="I39" s="29" t="s">
        <v>477</v>
      </c>
    </row>
    <row r="40" spans="1:9" x14ac:dyDescent="0.35">
      <c r="A40" s="31">
        <v>200000526</v>
      </c>
      <c r="B40" s="31">
        <v>1010</v>
      </c>
      <c r="C40" s="31">
        <v>4045</v>
      </c>
      <c r="D40" s="29" t="str">
        <f>LOOKUP('CAPA-old'!C40,'QALS - Inspection Lot Record'!P:P,'QALS - Inspection Lot Record'!O:O)</f>
        <v>Metformin Tablets (200 MG)</v>
      </c>
      <c r="E40" s="31">
        <v>21.1</v>
      </c>
      <c r="F40" s="34">
        <f ca="1">IF(TODAY()&gt;=LOOKUP(C40,'QALS - Inspection Lot Record'!P:P,'QALS - Inspection Lot Record'!J:J)+RANDBETWEEN(0,1),LOOKUP(C40,'QALS - Inspection Lot Record'!P:P,'QALS - Inspection Lot Record'!J:J)+RANDBETWEEN(0,1),"")</f>
        <v>45892</v>
      </c>
      <c r="G40" s="41" t="s">
        <v>483</v>
      </c>
      <c r="H40" s="34">
        <v>45270</v>
      </c>
      <c r="I40" s="29" t="s">
        <v>484</v>
      </c>
    </row>
    <row r="41" spans="1:9" x14ac:dyDescent="0.35">
      <c r="A41" s="31">
        <v>200000527</v>
      </c>
      <c r="B41" s="31">
        <v>1010</v>
      </c>
      <c r="C41" s="31">
        <v>4047</v>
      </c>
      <c r="D41" s="29" t="str">
        <f>LOOKUP('CAPA-old'!C41,'QALS - Inspection Lot Record'!P:P,'QALS - Inspection Lot Record'!O:O)</f>
        <v>Aspirin Tablets (500 MG)</v>
      </c>
      <c r="E41" s="31">
        <v>3</v>
      </c>
      <c r="F41" s="34">
        <f ca="1">IF(TODAY()&gt;=LOOKUP(C41,'QALS - Inspection Lot Record'!P:P,'QALS - Inspection Lot Record'!J:J)+RANDBETWEEN(0,1),LOOKUP(C41,'QALS - Inspection Lot Record'!P:P,'QALS - Inspection Lot Record'!J:J)+RANDBETWEEN(0,1),"")</f>
        <v>45893</v>
      </c>
      <c r="G41" s="41" t="s">
        <v>476</v>
      </c>
      <c r="H41" s="34">
        <v>45273</v>
      </c>
      <c r="I41" s="29" t="s">
        <v>477</v>
      </c>
    </row>
    <row r="42" spans="1:9" x14ac:dyDescent="0.35">
      <c r="A42" s="31">
        <v>200000528</v>
      </c>
      <c r="B42" s="31">
        <v>1010</v>
      </c>
      <c r="C42" s="31">
        <v>4048</v>
      </c>
      <c r="D42" s="29" t="str">
        <f>LOOKUP('CAPA-old'!C42,'QALS - Inspection Lot Record'!P:P,'QALS - Inspection Lot Record'!O:O)</f>
        <v>Ibuprofen Tablets (100 MG)</v>
      </c>
      <c r="E42" s="31">
        <v>1.2</v>
      </c>
      <c r="F42" s="34">
        <f ca="1">IF(TODAY()&gt;=LOOKUP(C42,'QALS - Inspection Lot Record'!P:P,'QALS - Inspection Lot Record'!J:J)+RANDBETWEEN(0,1),LOOKUP(C42,'QALS - Inspection Lot Record'!P:P,'QALS - Inspection Lot Record'!J:J)+RANDBETWEEN(0,1),"")</f>
        <v>45894</v>
      </c>
      <c r="G42" s="41" t="s">
        <v>476</v>
      </c>
      <c r="H42" s="34">
        <v>45272</v>
      </c>
      <c r="I42" s="29" t="s">
        <v>487</v>
      </c>
    </row>
    <row r="43" spans="1:9" x14ac:dyDescent="0.35">
      <c r="A43" s="31">
        <v>200000529</v>
      </c>
      <c r="B43" s="31">
        <v>1010</v>
      </c>
      <c r="C43" s="31">
        <v>4049</v>
      </c>
      <c r="D43" s="29" t="str">
        <f>LOOKUP('CAPA-old'!C43,'QALS - Inspection Lot Record'!P:P,'QALS - Inspection Lot Record'!O:O)</f>
        <v>Metformin Tablets (200 MG)</v>
      </c>
      <c r="E43" s="31">
        <v>21.8</v>
      </c>
      <c r="F43" s="34">
        <f ca="1">IF(TODAY()&gt;=LOOKUP(C43,'QALS - Inspection Lot Record'!P:P,'QALS - Inspection Lot Record'!J:J)+RANDBETWEEN(0,1),LOOKUP(C43,'QALS - Inspection Lot Record'!P:P,'QALS - Inspection Lot Record'!J:J)+RANDBETWEEN(0,1),"")</f>
        <v>45895</v>
      </c>
      <c r="G43" s="41" t="s">
        <v>483</v>
      </c>
      <c r="H43" s="34">
        <v>45272</v>
      </c>
      <c r="I43" s="29" t="s">
        <v>484</v>
      </c>
    </row>
    <row r="44" spans="1:9" x14ac:dyDescent="0.35">
      <c r="A44" s="31">
        <v>200000530</v>
      </c>
      <c r="B44" s="31">
        <v>1010</v>
      </c>
      <c r="C44" s="31">
        <v>4050</v>
      </c>
      <c r="D44" s="29" t="str">
        <f>LOOKUP('CAPA-old'!C44,'QALS - Inspection Lot Record'!P:P,'QALS - Inspection Lot Record'!O:O)</f>
        <v>Metformin Tablets (100 MG)</v>
      </c>
      <c r="E44" s="31">
        <v>2.2999999999999998</v>
      </c>
      <c r="F44" s="34">
        <f ca="1">IF(TODAY()&gt;=LOOKUP(C44,'QALS - Inspection Lot Record'!P:P,'QALS - Inspection Lot Record'!J:J)+RANDBETWEEN(0,1),LOOKUP(C44,'QALS - Inspection Lot Record'!P:P,'QALS - Inspection Lot Record'!J:J)+RANDBETWEEN(0,1),"")</f>
        <v>45895</v>
      </c>
      <c r="G44" s="41" t="s">
        <v>474</v>
      </c>
      <c r="H44" s="34">
        <v>45272</v>
      </c>
      <c r="I44" s="29" t="s">
        <v>477</v>
      </c>
    </row>
    <row r="45" spans="1:9" x14ac:dyDescent="0.35">
      <c r="A45" s="31">
        <v>200000530</v>
      </c>
      <c r="B45" s="31">
        <v>1010</v>
      </c>
      <c r="C45" s="31">
        <v>4050</v>
      </c>
      <c r="D45" s="29" t="str">
        <f>LOOKUP('CAPA-old'!C45,'QALS - Inspection Lot Record'!P:P,'QALS - Inspection Lot Record'!O:O)</f>
        <v>Metformin Tablets (100 MG)</v>
      </c>
      <c r="E45" s="31">
        <v>78.400000000000006</v>
      </c>
      <c r="F45" s="34">
        <f ca="1">IF(TODAY()&gt;=LOOKUP(C45,'QALS - Inspection Lot Record'!P:P,'QALS - Inspection Lot Record'!J:J)+RANDBETWEEN(0,1),LOOKUP(C45,'QALS - Inspection Lot Record'!P:P,'QALS - Inspection Lot Record'!J:J)+RANDBETWEEN(0,1),"")</f>
        <v>45894</v>
      </c>
      <c r="G45" s="41" t="s">
        <v>486</v>
      </c>
      <c r="H45" s="34">
        <v>45272</v>
      </c>
      <c r="I45" s="29" t="s">
        <v>488</v>
      </c>
    </row>
    <row r="46" spans="1:9" x14ac:dyDescent="0.35">
      <c r="A46" s="31">
        <v>200000531</v>
      </c>
      <c r="B46" s="31">
        <v>1010</v>
      </c>
      <c r="C46" s="31">
        <v>4053</v>
      </c>
      <c r="D46" s="29" t="str">
        <f>LOOKUP('CAPA-old'!C46,'QALS - Inspection Lot Record'!P:P,'QALS - Inspection Lot Record'!O:O)</f>
        <v>Aspirin Tablets (500 MG)</v>
      </c>
      <c r="E46" s="31">
        <v>38.700000000000003</v>
      </c>
      <c r="F46" s="34">
        <f ca="1">IF(TODAY()&gt;=LOOKUP(C46,'QALS - Inspection Lot Record'!P:P,'QALS - Inspection Lot Record'!J:J)+RANDBETWEEN(0,1),LOOKUP(C46,'QALS - Inspection Lot Record'!P:P,'QALS - Inspection Lot Record'!J:J)+RANDBETWEEN(0,1),"")</f>
        <v>45897</v>
      </c>
      <c r="G46" s="41" t="s">
        <v>478</v>
      </c>
      <c r="H46" s="34">
        <v>45275</v>
      </c>
      <c r="I46" s="29" t="s">
        <v>484</v>
      </c>
    </row>
    <row r="47" spans="1:9" x14ac:dyDescent="0.35">
      <c r="A47" s="31">
        <v>200000531</v>
      </c>
      <c r="B47" s="31">
        <v>1010</v>
      </c>
      <c r="C47" s="31">
        <v>4053</v>
      </c>
      <c r="D47" s="29" t="str">
        <f>LOOKUP('CAPA-old'!C47,'QALS - Inspection Lot Record'!P:P,'QALS - Inspection Lot Record'!O:O)</f>
        <v>Aspirin Tablets (500 MG)</v>
      </c>
      <c r="E47" s="31">
        <v>21.8</v>
      </c>
      <c r="F47" s="34">
        <f ca="1">IF(TODAY()&gt;=LOOKUP(C47,'QALS - Inspection Lot Record'!P:P,'QALS - Inspection Lot Record'!J:J)+RANDBETWEEN(0,1),LOOKUP(C47,'QALS - Inspection Lot Record'!P:P,'QALS - Inspection Lot Record'!J:J)+RANDBETWEEN(0,1),"")</f>
        <v>45896</v>
      </c>
      <c r="G47" s="41" t="s">
        <v>483</v>
      </c>
      <c r="H47" s="34">
        <v>45274</v>
      </c>
      <c r="I47" s="29" t="s">
        <v>494</v>
      </c>
    </row>
    <row r="48" spans="1:9" x14ac:dyDescent="0.35">
      <c r="A48" s="31">
        <v>200000532</v>
      </c>
      <c r="B48" s="31">
        <v>1010</v>
      </c>
      <c r="C48" s="31">
        <v>4057</v>
      </c>
      <c r="D48" s="29" t="str">
        <f>LOOKUP('CAPA-old'!C48,'QALS - Inspection Lot Record'!P:P,'QALS - Inspection Lot Record'!O:O)</f>
        <v>Metformin Tablets (100 MG)</v>
      </c>
      <c r="E48" s="31">
        <v>93.6</v>
      </c>
      <c r="F48" s="34">
        <f ca="1">IF(TODAY()&gt;=LOOKUP(C48,'QALS - Inspection Lot Record'!P:P,'QALS - Inspection Lot Record'!J:J)+RANDBETWEEN(0,1),LOOKUP(C48,'QALS - Inspection Lot Record'!P:P,'QALS - Inspection Lot Record'!J:J)+RANDBETWEEN(0,1),"")</f>
        <v>45898</v>
      </c>
      <c r="G48" s="41" t="s">
        <v>472</v>
      </c>
      <c r="H48" s="34">
        <v>45277</v>
      </c>
      <c r="I48" s="29" t="s">
        <v>473</v>
      </c>
    </row>
    <row r="49" spans="1:9" x14ac:dyDescent="0.35">
      <c r="A49" s="31">
        <v>200000532</v>
      </c>
      <c r="B49" s="31">
        <v>1010</v>
      </c>
      <c r="C49" s="31">
        <v>4057</v>
      </c>
      <c r="D49" s="29" t="str">
        <f>LOOKUP('CAPA-old'!C49,'QALS - Inspection Lot Record'!P:P,'QALS - Inspection Lot Record'!O:O)</f>
        <v>Metformin Tablets (100 MG)</v>
      </c>
      <c r="E49" s="31">
        <v>21.3</v>
      </c>
      <c r="F49" s="34">
        <f ca="1">IF(TODAY()&gt;=LOOKUP(C49,'QALS - Inspection Lot Record'!P:P,'QALS - Inspection Lot Record'!J:J)+RANDBETWEEN(0,1),LOOKUP(C49,'QALS - Inspection Lot Record'!P:P,'QALS - Inspection Lot Record'!J:J)+RANDBETWEEN(0,1),"")</f>
        <v>45898</v>
      </c>
      <c r="G49" s="41" t="s">
        <v>483</v>
      </c>
      <c r="H49" s="34">
        <v>45277</v>
      </c>
      <c r="I49" s="29" t="s">
        <v>484</v>
      </c>
    </row>
    <row r="50" spans="1:9" x14ac:dyDescent="0.35">
      <c r="A50" s="31">
        <v>200000533</v>
      </c>
      <c r="B50" s="31">
        <v>1010</v>
      </c>
      <c r="C50" s="31">
        <v>4059</v>
      </c>
      <c r="D50" s="29" t="str">
        <f>LOOKUP('CAPA-old'!C50,'QALS - Inspection Lot Record'!P:P,'QALS - Inspection Lot Record'!O:O)</f>
        <v>Aspirin Tablets (500 MG)</v>
      </c>
      <c r="E50" s="31">
        <v>2.1</v>
      </c>
      <c r="F50" s="34">
        <f ca="1">IF(TODAY()&gt;=LOOKUP(C50,'QALS - Inspection Lot Record'!P:P,'QALS - Inspection Lot Record'!J:J)+RANDBETWEEN(0,1),LOOKUP(C50,'QALS - Inspection Lot Record'!P:P,'QALS - Inspection Lot Record'!J:J)+RANDBETWEEN(0,1),"")</f>
        <v>45900</v>
      </c>
      <c r="G50" s="41" t="s">
        <v>474</v>
      </c>
      <c r="H50" s="34">
        <v>45277</v>
      </c>
      <c r="I50" s="29" t="s">
        <v>485</v>
      </c>
    </row>
    <row r="51" spans="1:9" x14ac:dyDescent="0.35">
      <c r="A51" s="31">
        <v>200000533</v>
      </c>
      <c r="B51" s="31">
        <v>1010</v>
      </c>
      <c r="C51" s="31">
        <v>4059</v>
      </c>
      <c r="D51" s="29" t="str">
        <f>LOOKUP('CAPA-old'!C51,'QALS - Inspection Lot Record'!P:P,'QALS - Inspection Lot Record'!O:O)</f>
        <v>Aspirin Tablets (500 MG)</v>
      </c>
      <c r="E51" s="31">
        <v>78.900000000000006</v>
      </c>
      <c r="F51" s="34">
        <f ca="1">IF(TODAY()&gt;=LOOKUP(C51,'QALS - Inspection Lot Record'!P:P,'QALS - Inspection Lot Record'!J:J)+RANDBETWEEN(0,1),LOOKUP(C51,'QALS - Inspection Lot Record'!P:P,'QALS - Inspection Lot Record'!J:J)+RANDBETWEEN(0,1),"")</f>
        <v>45899</v>
      </c>
      <c r="G51" s="41" t="s">
        <v>486</v>
      </c>
      <c r="H51" s="34">
        <v>45278</v>
      </c>
      <c r="I51" s="29" t="s">
        <v>495</v>
      </c>
    </row>
    <row r="52" spans="1:9" x14ac:dyDescent="0.35">
      <c r="A52" s="31">
        <v>200000534</v>
      </c>
      <c r="B52" s="31">
        <v>1010</v>
      </c>
      <c r="C52" s="31">
        <v>4060</v>
      </c>
      <c r="D52" s="29" t="str">
        <f>LOOKUP('CAPA-old'!C52,'QALS - Inspection Lot Record'!P:P,'QALS - Inspection Lot Record'!O:O)</f>
        <v>Metformin Tablets (500 MG)</v>
      </c>
      <c r="E52" s="31">
        <v>93.6</v>
      </c>
      <c r="F52" s="34">
        <f ca="1">IF(TODAY()&gt;=LOOKUP(C52,'QALS - Inspection Lot Record'!P:P,'QALS - Inspection Lot Record'!J:J)+RANDBETWEEN(0,1),LOOKUP(C52,'QALS - Inspection Lot Record'!P:P,'QALS - Inspection Lot Record'!J:J)+RANDBETWEEN(0,1),"")</f>
        <v>45899</v>
      </c>
      <c r="G52" s="41" t="s">
        <v>472</v>
      </c>
      <c r="H52" s="34">
        <v>45278</v>
      </c>
      <c r="I52" s="29" t="s">
        <v>477</v>
      </c>
    </row>
    <row r="53" spans="1:9" x14ac:dyDescent="0.35">
      <c r="A53" s="31">
        <v>200000534</v>
      </c>
      <c r="B53" s="31">
        <v>1010</v>
      </c>
      <c r="C53" s="31">
        <v>4060</v>
      </c>
      <c r="D53" s="29" t="str">
        <f>LOOKUP('CAPA-old'!C53,'QALS - Inspection Lot Record'!P:P,'QALS - Inspection Lot Record'!O:O)</f>
        <v>Metformin Tablets (500 MG)</v>
      </c>
      <c r="E53" s="31">
        <v>38.4</v>
      </c>
      <c r="F53" s="34">
        <f ca="1">IF(TODAY()&gt;=LOOKUP(C53,'QALS - Inspection Lot Record'!P:P,'QALS - Inspection Lot Record'!J:J)+RANDBETWEEN(0,1),LOOKUP(C53,'QALS - Inspection Lot Record'!P:P,'QALS - Inspection Lot Record'!J:J)+RANDBETWEEN(0,1),"")</f>
        <v>45900</v>
      </c>
      <c r="G53" s="41" t="s">
        <v>478</v>
      </c>
      <c r="H53" s="34">
        <v>45276</v>
      </c>
      <c r="I53" s="29" t="s">
        <v>479</v>
      </c>
    </row>
    <row r="54" spans="1:9" x14ac:dyDescent="0.35">
      <c r="A54" s="31">
        <v>200000534</v>
      </c>
      <c r="B54" s="31">
        <v>1010</v>
      </c>
      <c r="C54" s="31">
        <v>4060</v>
      </c>
      <c r="D54" s="29" t="str">
        <f>LOOKUP('CAPA-old'!C54,'QALS - Inspection Lot Record'!P:P,'QALS - Inspection Lot Record'!O:O)</f>
        <v>Metformin Tablets (500 MG)</v>
      </c>
      <c r="E54" s="31">
        <v>78.5</v>
      </c>
      <c r="F54" s="34">
        <f ca="1">IF(TODAY()&gt;=LOOKUP(C54,'QALS - Inspection Lot Record'!P:P,'QALS - Inspection Lot Record'!J:J)+RANDBETWEEN(0,1),LOOKUP(C54,'QALS - Inspection Lot Record'!P:P,'QALS - Inspection Lot Record'!J:J)+RANDBETWEEN(0,1),"")</f>
        <v>45899</v>
      </c>
      <c r="G54" s="41" t="s">
        <v>486</v>
      </c>
      <c r="H54" s="34">
        <v>45277</v>
      </c>
      <c r="I54" s="29" t="s">
        <v>488</v>
      </c>
    </row>
    <row r="55" spans="1:9" x14ac:dyDescent="0.35">
      <c r="A55" s="31">
        <v>200000535</v>
      </c>
      <c r="B55" s="31">
        <v>1010</v>
      </c>
      <c r="C55" s="31">
        <v>4061</v>
      </c>
      <c r="D55" s="29" t="str">
        <f>LOOKUP('CAPA-old'!C55,'QALS - Inspection Lot Record'!P:P,'QALS - Inspection Lot Record'!O:O)</f>
        <v>Metformin Tablets (100 MG)</v>
      </c>
      <c r="E55" s="31">
        <v>1.7</v>
      </c>
      <c r="F55" s="34">
        <f ca="1">IF(TODAY()&gt;=LOOKUP(C55,'QALS - Inspection Lot Record'!P:P,'QALS - Inspection Lot Record'!J:J)+RANDBETWEEN(0,1),LOOKUP(C55,'QALS - Inspection Lot Record'!P:P,'QALS - Inspection Lot Record'!J:J)+RANDBETWEEN(0,1),"")</f>
        <v>45901</v>
      </c>
      <c r="G55" s="41" t="s">
        <v>474</v>
      </c>
      <c r="H55" s="34">
        <v>45279</v>
      </c>
      <c r="I55" s="29" t="s">
        <v>496</v>
      </c>
    </row>
    <row r="56" spans="1:9" x14ac:dyDescent="0.35">
      <c r="A56" s="31">
        <v>200000535</v>
      </c>
      <c r="B56" s="31">
        <v>1010</v>
      </c>
      <c r="C56" s="31">
        <v>4061</v>
      </c>
      <c r="D56" s="29" t="str">
        <f>LOOKUP('CAPA-old'!C56,'QALS - Inspection Lot Record'!P:P,'QALS - Inspection Lot Record'!O:O)</f>
        <v>Metformin Tablets (100 MG)</v>
      </c>
      <c r="E56" s="31">
        <v>78.3</v>
      </c>
      <c r="F56" s="34">
        <f ca="1">IF(TODAY()&gt;=LOOKUP(C56,'QALS - Inspection Lot Record'!P:P,'QALS - Inspection Lot Record'!J:J)+RANDBETWEEN(0,1),LOOKUP(C56,'QALS - Inspection Lot Record'!P:P,'QALS - Inspection Lot Record'!J:J)+RANDBETWEEN(0,1),"")</f>
        <v>45901</v>
      </c>
      <c r="G56" s="41" t="s">
        <v>486</v>
      </c>
      <c r="H56" s="34">
        <v>45278</v>
      </c>
      <c r="I56" s="29" t="s">
        <v>477</v>
      </c>
    </row>
    <row r="57" spans="1:9" x14ac:dyDescent="0.35">
      <c r="A57" s="31">
        <v>200000536</v>
      </c>
      <c r="B57" s="31">
        <v>1010</v>
      </c>
      <c r="C57" s="31">
        <v>4062</v>
      </c>
      <c r="D57" s="29" t="str">
        <f>LOOKUP('CAPA-old'!C57,'QALS - Inspection Lot Record'!P:P,'QALS - Inspection Lot Record'!O:O)</f>
        <v>Metformin Tablets (500 MG)</v>
      </c>
      <c r="E57" s="31">
        <v>93.8</v>
      </c>
      <c r="F57" s="34">
        <f ca="1">IF(TODAY()&gt;=LOOKUP(C57,'QALS - Inspection Lot Record'!P:P,'QALS - Inspection Lot Record'!J:J)+RANDBETWEEN(0,1),LOOKUP(C57,'QALS - Inspection Lot Record'!P:P,'QALS - Inspection Lot Record'!J:J)+RANDBETWEEN(0,1),"")</f>
        <v>45901</v>
      </c>
      <c r="G57" s="41" t="s">
        <v>472</v>
      </c>
      <c r="H57" s="34">
        <v>45277</v>
      </c>
      <c r="I57" s="29" t="s">
        <v>481</v>
      </c>
    </row>
    <row r="58" spans="1:9" x14ac:dyDescent="0.35">
      <c r="A58" s="31">
        <v>200000536</v>
      </c>
      <c r="B58" s="31">
        <v>1010</v>
      </c>
      <c r="C58" s="31">
        <v>4062</v>
      </c>
      <c r="D58" s="29" t="str">
        <f>LOOKUP('CAPA-old'!C58,'QALS - Inspection Lot Record'!P:P,'QALS - Inspection Lot Record'!O:O)</f>
        <v>Metformin Tablets (500 MG)</v>
      </c>
      <c r="E58" s="31">
        <v>79</v>
      </c>
      <c r="F58" s="34">
        <f ca="1">IF(TODAY()&gt;=LOOKUP(C58,'QALS - Inspection Lot Record'!P:P,'QALS - Inspection Lot Record'!J:J)+RANDBETWEEN(0,1),LOOKUP(C58,'QALS - Inspection Lot Record'!P:P,'QALS - Inspection Lot Record'!J:J)+RANDBETWEEN(0,1),"")</f>
        <v>45901</v>
      </c>
      <c r="G58" s="41" t="s">
        <v>486</v>
      </c>
      <c r="H58" s="34">
        <v>45279</v>
      </c>
      <c r="I58" s="29" t="s">
        <v>475</v>
      </c>
    </row>
    <row r="59" spans="1:9" x14ac:dyDescent="0.35">
      <c r="A59" s="31">
        <v>200000537</v>
      </c>
      <c r="B59" s="31">
        <v>1010</v>
      </c>
      <c r="C59" s="31">
        <v>4063</v>
      </c>
      <c r="D59" s="29" t="str">
        <f>LOOKUP('CAPA-old'!C59,'QALS - Inspection Lot Record'!P:P,'QALS - Inspection Lot Record'!O:O)</f>
        <v>Metformin Tablets (100 MG)</v>
      </c>
      <c r="E59" s="31">
        <v>93.8</v>
      </c>
      <c r="F59" s="34">
        <f ca="1">IF(TODAY()&gt;=LOOKUP(C59,'QALS - Inspection Lot Record'!P:P,'QALS - Inspection Lot Record'!J:J)+RANDBETWEEN(0,1),LOOKUP(C59,'QALS - Inspection Lot Record'!P:P,'QALS - Inspection Lot Record'!J:J)+RANDBETWEEN(0,1),"")</f>
        <v>45901</v>
      </c>
      <c r="G59" s="41" t="s">
        <v>472</v>
      </c>
      <c r="H59" s="34">
        <v>45281</v>
      </c>
      <c r="I59" s="29" t="s">
        <v>482</v>
      </c>
    </row>
    <row r="60" spans="1:9" x14ac:dyDescent="0.35">
      <c r="A60" s="31">
        <v>200000537</v>
      </c>
      <c r="B60" s="31">
        <v>1010</v>
      </c>
      <c r="C60" s="31">
        <v>4063</v>
      </c>
      <c r="D60" s="29" t="str">
        <f>LOOKUP('CAPA-old'!C60,'QALS - Inspection Lot Record'!P:P,'QALS - Inspection Lot Record'!O:O)</f>
        <v>Metformin Tablets (100 MG)</v>
      </c>
      <c r="E60" s="31">
        <v>79</v>
      </c>
      <c r="F60" s="34">
        <f ca="1">IF(TODAY()&gt;=LOOKUP(C60,'QALS - Inspection Lot Record'!P:P,'QALS - Inspection Lot Record'!J:J)+RANDBETWEEN(0,1),LOOKUP(C60,'QALS - Inspection Lot Record'!P:P,'QALS - Inspection Lot Record'!J:J)+RANDBETWEEN(0,1),"")</f>
        <v>45901</v>
      </c>
      <c r="G60" s="41" t="s">
        <v>486</v>
      </c>
      <c r="H60" s="34">
        <v>45280</v>
      </c>
      <c r="I60" s="29" t="s">
        <v>495</v>
      </c>
    </row>
    <row r="61" spans="1:9" x14ac:dyDescent="0.35">
      <c r="A61" s="31">
        <v>200000538</v>
      </c>
      <c r="B61" s="31">
        <v>1010</v>
      </c>
      <c r="C61" s="31">
        <v>4064</v>
      </c>
      <c r="D61" s="29" t="str">
        <f>LOOKUP('CAPA-old'!C61,'QALS - Inspection Lot Record'!P:P,'QALS - Inspection Lot Record'!O:O)</f>
        <v>Aspirin Tablets (500 MG)</v>
      </c>
      <c r="E61" s="31">
        <v>94</v>
      </c>
      <c r="F61" s="34">
        <f ca="1">IF(TODAY()&gt;=LOOKUP(C61,'QALS - Inspection Lot Record'!P:P,'QALS - Inspection Lot Record'!J:J)+RANDBETWEEN(0,1),LOOKUP(C61,'QALS - Inspection Lot Record'!P:P,'QALS - Inspection Lot Record'!J:J)+RANDBETWEEN(0,1),"")</f>
        <v>45901</v>
      </c>
      <c r="G61" s="41" t="s">
        <v>472</v>
      </c>
      <c r="H61" s="34">
        <v>45278</v>
      </c>
      <c r="I61" s="29" t="s">
        <v>482</v>
      </c>
    </row>
    <row r="62" spans="1:9" x14ac:dyDescent="0.35">
      <c r="A62" s="31">
        <v>200000538</v>
      </c>
      <c r="B62" s="31">
        <v>1010</v>
      </c>
      <c r="C62" s="31">
        <v>4064</v>
      </c>
      <c r="D62" s="29" t="str">
        <f>LOOKUP('CAPA-old'!C62,'QALS - Inspection Lot Record'!P:P,'QALS - Inspection Lot Record'!O:O)</f>
        <v>Aspirin Tablets (500 MG)</v>
      </c>
      <c r="E62" s="31">
        <v>1.9</v>
      </c>
      <c r="F62" s="34">
        <f ca="1">IF(TODAY()&gt;=LOOKUP(C62,'QALS - Inspection Lot Record'!P:P,'QALS - Inspection Lot Record'!J:J)+RANDBETWEEN(0,1),LOOKUP(C62,'QALS - Inspection Lot Record'!P:P,'QALS - Inspection Lot Record'!J:J)+RANDBETWEEN(0,1),"")</f>
        <v>45902</v>
      </c>
      <c r="G62" s="41" t="s">
        <v>474</v>
      </c>
      <c r="H62" s="34">
        <v>45278</v>
      </c>
      <c r="I62" s="29" t="s">
        <v>484</v>
      </c>
    </row>
    <row r="63" spans="1:9" x14ac:dyDescent="0.35">
      <c r="A63" s="31">
        <v>200000538</v>
      </c>
      <c r="B63" s="31">
        <v>1010</v>
      </c>
      <c r="C63" s="31">
        <v>4064</v>
      </c>
      <c r="D63" s="29" t="str">
        <f>LOOKUP('CAPA-old'!C63,'QALS - Inspection Lot Record'!P:P,'QALS - Inspection Lot Record'!O:O)</f>
        <v>Aspirin Tablets (500 MG)</v>
      </c>
      <c r="E63" s="31">
        <v>78.900000000000006</v>
      </c>
      <c r="F63" s="34">
        <f ca="1">IF(TODAY()&gt;=LOOKUP(C63,'QALS - Inspection Lot Record'!P:P,'QALS - Inspection Lot Record'!J:J)+RANDBETWEEN(0,1),LOOKUP(C63,'QALS - Inspection Lot Record'!P:P,'QALS - Inspection Lot Record'!J:J)+RANDBETWEEN(0,1),"")</f>
        <v>45902</v>
      </c>
      <c r="G63" s="41" t="s">
        <v>486</v>
      </c>
      <c r="H63" s="34">
        <v>45280</v>
      </c>
      <c r="I63" s="29" t="s">
        <v>488</v>
      </c>
    </row>
    <row r="64" spans="1:9" x14ac:dyDescent="0.35">
      <c r="A64" s="31">
        <v>200000539</v>
      </c>
      <c r="B64" s="31">
        <v>1010</v>
      </c>
      <c r="C64" s="31">
        <v>4065</v>
      </c>
      <c r="D64" s="29" t="str">
        <f>LOOKUP('CAPA-old'!C64,'QALS - Inspection Lot Record'!P:P,'QALS - Inspection Lot Record'!O:O)</f>
        <v>Metformin Tablets (500 MG)</v>
      </c>
      <c r="E64" s="31">
        <v>1.8</v>
      </c>
      <c r="F64" s="34">
        <f ca="1">IF(TODAY()&gt;=LOOKUP(C64,'QALS - Inspection Lot Record'!P:P,'QALS - Inspection Lot Record'!J:J)+RANDBETWEEN(0,1),LOOKUP(C64,'QALS - Inspection Lot Record'!P:P,'QALS - Inspection Lot Record'!J:J)+RANDBETWEEN(0,1),"")</f>
        <v>45903</v>
      </c>
      <c r="G64" s="41" t="s">
        <v>474</v>
      </c>
      <c r="H64" s="34">
        <v>45281</v>
      </c>
      <c r="I64" s="29" t="s">
        <v>485</v>
      </c>
    </row>
    <row r="65" spans="1:9" x14ac:dyDescent="0.35">
      <c r="A65" s="31">
        <v>200000540</v>
      </c>
      <c r="B65" s="31">
        <v>1010</v>
      </c>
      <c r="C65" s="31">
        <v>4066</v>
      </c>
      <c r="D65" s="29" t="str">
        <f>LOOKUP('CAPA-old'!C65,'QALS - Inspection Lot Record'!P:P,'QALS - Inspection Lot Record'!O:O)</f>
        <v>Aspirin Tablets (500 MG)</v>
      </c>
      <c r="E65" s="31">
        <v>93.4</v>
      </c>
      <c r="F65" s="34">
        <f ca="1">IF(TODAY()&gt;=LOOKUP(C65,'QALS - Inspection Lot Record'!P:P,'QALS - Inspection Lot Record'!J:J)+RANDBETWEEN(0,1),LOOKUP(C65,'QALS - Inspection Lot Record'!P:P,'QALS - Inspection Lot Record'!J:J)+RANDBETWEEN(0,1),"")</f>
        <v>45902</v>
      </c>
      <c r="G65" s="41" t="s">
        <v>472</v>
      </c>
      <c r="H65" s="34">
        <v>45281</v>
      </c>
      <c r="I65" s="29" t="s">
        <v>484</v>
      </c>
    </row>
    <row r="66" spans="1:9" x14ac:dyDescent="0.35">
      <c r="A66" s="31">
        <v>200000540</v>
      </c>
      <c r="B66" s="31">
        <v>1010</v>
      </c>
      <c r="C66" s="31">
        <v>4066</v>
      </c>
      <c r="D66" s="29" t="str">
        <f>LOOKUP('CAPA-old'!C66,'QALS - Inspection Lot Record'!P:P,'QALS - Inspection Lot Record'!O:O)</f>
        <v>Aspirin Tablets (500 MG)</v>
      </c>
      <c r="E66" s="31">
        <v>68.5</v>
      </c>
      <c r="F66" s="34">
        <f ca="1">IF(TODAY()&gt;=LOOKUP(C66,'QALS - Inspection Lot Record'!P:P,'QALS - Inspection Lot Record'!J:J)+RANDBETWEEN(0,1),LOOKUP(C66,'QALS - Inspection Lot Record'!P:P,'QALS - Inspection Lot Record'!J:J)+RANDBETWEEN(0,1),"")</f>
        <v>45903</v>
      </c>
      <c r="G66" s="41" t="s">
        <v>480</v>
      </c>
      <c r="H66" s="34">
        <v>45280</v>
      </c>
      <c r="I66" s="29" t="s">
        <v>497</v>
      </c>
    </row>
    <row r="67" spans="1:9" x14ac:dyDescent="0.35">
      <c r="A67" s="31">
        <v>200000540</v>
      </c>
      <c r="B67" s="31">
        <v>1010</v>
      </c>
      <c r="C67" s="31">
        <v>4066</v>
      </c>
      <c r="D67" s="29" t="str">
        <f>LOOKUP('CAPA-old'!C67,'QALS - Inspection Lot Record'!P:P,'QALS - Inspection Lot Record'!O:O)</f>
        <v>Aspirin Tablets (500 MG)</v>
      </c>
      <c r="E67" s="31">
        <v>78.3</v>
      </c>
      <c r="F67" s="34">
        <f ca="1">IF(TODAY()&gt;=LOOKUP(C67,'QALS - Inspection Lot Record'!P:P,'QALS - Inspection Lot Record'!J:J)+RANDBETWEEN(0,1),LOOKUP(C67,'QALS - Inspection Lot Record'!P:P,'QALS - Inspection Lot Record'!J:J)+RANDBETWEEN(0,1),"")</f>
        <v>45902</v>
      </c>
      <c r="G67" s="41" t="s">
        <v>486</v>
      </c>
      <c r="H67" s="34">
        <v>45280</v>
      </c>
      <c r="I67" s="29" t="s">
        <v>477</v>
      </c>
    </row>
    <row r="68" spans="1:9" x14ac:dyDescent="0.35">
      <c r="A68" s="31">
        <v>200000541</v>
      </c>
      <c r="B68" s="31">
        <v>1010</v>
      </c>
      <c r="C68" s="31">
        <v>4067</v>
      </c>
      <c r="D68" s="29" t="str">
        <f>LOOKUP('CAPA-old'!C68,'QALS - Inspection Lot Record'!P:P,'QALS - Inspection Lot Record'!O:O)</f>
        <v>Metformin Tablets (500 MG)</v>
      </c>
      <c r="E68" s="31">
        <v>93.8</v>
      </c>
      <c r="F68" s="34">
        <f ca="1">IF(TODAY()&gt;=LOOKUP(C68,'QALS - Inspection Lot Record'!P:P,'QALS - Inspection Lot Record'!J:J)+RANDBETWEEN(0,1),LOOKUP(C68,'QALS - Inspection Lot Record'!P:P,'QALS - Inspection Lot Record'!J:J)+RANDBETWEEN(0,1),"")</f>
        <v>45903</v>
      </c>
      <c r="G68" s="41" t="s">
        <v>472</v>
      </c>
      <c r="H68" s="34">
        <v>45282</v>
      </c>
      <c r="I68" s="29" t="s">
        <v>473</v>
      </c>
    </row>
    <row r="69" spans="1:9" x14ac:dyDescent="0.35">
      <c r="A69" s="31">
        <v>200000542</v>
      </c>
      <c r="B69" s="31">
        <v>1010</v>
      </c>
      <c r="C69" s="31">
        <v>4069</v>
      </c>
      <c r="D69" s="29" t="str">
        <f>LOOKUP('CAPA-old'!C69,'QALS - Inspection Lot Record'!P:P,'QALS - Inspection Lot Record'!O:O)</f>
        <v>Metformin Tablets (200 MG)</v>
      </c>
      <c r="E69" s="31">
        <v>21.6</v>
      </c>
      <c r="F69" s="34">
        <f ca="1">IF(TODAY()&gt;=LOOKUP(C69,'QALS - Inspection Lot Record'!P:P,'QALS - Inspection Lot Record'!J:J)+RANDBETWEEN(0,1),LOOKUP(C69,'QALS - Inspection Lot Record'!P:P,'QALS - Inspection Lot Record'!J:J)+RANDBETWEEN(0,1),"")</f>
        <v>45904</v>
      </c>
      <c r="G69" s="41" t="s">
        <v>483</v>
      </c>
      <c r="H69" s="34">
        <v>45282</v>
      </c>
      <c r="I69" s="29" t="s">
        <v>494</v>
      </c>
    </row>
    <row r="70" spans="1:9" x14ac:dyDescent="0.35">
      <c r="A70" s="31">
        <v>200000543</v>
      </c>
      <c r="B70" s="31">
        <v>1010</v>
      </c>
      <c r="C70" s="31">
        <v>4070</v>
      </c>
      <c r="D70" s="29" t="str">
        <f>LOOKUP('CAPA-old'!C70,'QALS - Inspection Lot Record'!P:P,'QALS - Inspection Lot Record'!O:O)</f>
        <v>Metformin Tablets (100 MG)</v>
      </c>
      <c r="E70" s="31">
        <v>93.6</v>
      </c>
      <c r="F70" s="34">
        <f ca="1">IF(TODAY()&gt;=LOOKUP(C70,'QALS - Inspection Lot Record'!P:P,'QALS - Inspection Lot Record'!J:J)+RANDBETWEEN(0,1),LOOKUP(C70,'QALS - Inspection Lot Record'!P:P,'QALS - Inspection Lot Record'!J:J)+RANDBETWEEN(0,1),"")</f>
        <v>45905</v>
      </c>
      <c r="G70" s="41" t="s">
        <v>472</v>
      </c>
      <c r="H70" s="34">
        <v>45281</v>
      </c>
      <c r="I70" s="29" t="s">
        <v>484</v>
      </c>
    </row>
    <row r="71" spans="1:9" x14ac:dyDescent="0.35">
      <c r="A71" s="31">
        <v>200000543</v>
      </c>
      <c r="B71" s="31">
        <v>1010</v>
      </c>
      <c r="C71" s="31">
        <v>4070</v>
      </c>
      <c r="D71" s="29" t="str">
        <f>LOOKUP('CAPA-old'!C71,'QALS - Inspection Lot Record'!P:P,'QALS - Inspection Lot Record'!O:O)</f>
        <v>Metformin Tablets (100 MG)</v>
      </c>
      <c r="E71" s="31">
        <v>38.4</v>
      </c>
      <c r="F71" s="34">
        <f ca="1">IF(TODAY()&gt;=LOOKUP(C71,'QALS - Inspection Lot Record'!P:P,'QALS - Inspection Lot Record'!J:J)+RANDBETWEEN(0,1),LOOKUP(C71,'QALS - Inspection Lot Record'!P:P,'QALS - Inspection Lot Record'!J:J)+RANDBETWEEN(0,1),"")</f>
        <v>45905</v>
      </c>
      <c r="G71" s="41" t="s">
        <v>478</v>
      </c>
      <c r="H71" s="34">
        <v>45283</v>
      </c>
      <c r="I71" s="29" t="s">
        <v>491</v>
      </c>
    </row>
    <row r="72" spans="1:9" x14ac:dyDescent="0.35">
      <c r="A72" s="31">
        <v>200000543</v>
      </c>
      <c r="B72" s="31">
        <v>1010</v>
      </c>
      <c r="C72" s="31">
        <v>4070</v>
      </c>
      <c r="D72" s="29" t="str">
        <f>LOOKUP('CAPA-old'!C72,'QALS - Inspection Lot Record'!P:P,'QALS - Inspection Lot Record'!O:O)</f>
        <v>Metformin Tablets (100 MG)</v>
      </c>
      <c r="E72" s="31">
        <v>68.400000000000006</v>
      </c>
      <c r="F72" s="34">
        <f ca="1">IF(TODAY()&gt;=LOOKUP(C72,'QALS - Inspection Lot Record'!P:P,'QALS - Inspection Lot Record'!J:J)+RANDBETWEEN(0,1),LOOKUP(C72,'QALS - Inspection Lot Record'!P:P,'QALS - Inspection Lot Record'!J:J)+RANDBETWEEN(0,1),"")</f>
        <v>45904</v>
      </c>
      <c r="G72" s="41" t="s">
        <v>480</v>
      </c>
      <c r="H72" s="34">
        <v>45281</v>
      </c>
      <c r="I72" s="29" t="s">
        <v>477</v>
      </c>
    </row>
    <row r="73" spans="1:9" x14ac:dyDescent="0.35">
      <c r="A73" s="31">
        <v>200000544</v>
      </c>
      <c r="B73" s="31">
        <v>1010</v>
      </c>
      <c r="C73" s="31">
        <v>4071</v>
      </c>
      <c r="D73" s="29" t="str">
        <f>LOOKUP('CAPA-old'!C73,'QALS - Inspection Lot Record'!P:P,'QALS - Inspection Lot Record'!O:O)</f>
        <v>Metformin Tablets (100 MG)</v>
      </c>
      <c r="E73" s="31">
        <v>93.6</v>
      </c>
      <c r="F73" s="34">
        <f ca="1">IF(TODAY()&gt;=LOOKUP(C73,'QALS - Inspection Lot Record'!P:P,'QALS - Inspection Lot Record'!J:J)+RANDBETWEEN(0,1),LOOKUP(C73,'QALS - Inspection Lot Record'!P:P,'QALS - Inspection Lot Record'!J:J)+RANDBETWEEN(0,1),"")</f>
        <v>45905</v>
      </c>
      <c r="G73" s="41" t="s">
        <v>472</v>
      </c>
      <c r="H73" s="34">
        <v>45282</v>
      </c>
      <c r="I73" s="29" t="s">
        <v>484</v>
      </c>
    </row>
    <row r="74" spans="1:9" x14ac:dyDescent="0.35">
      <c r="A74" s="31">
        <v>200000545</v>
      </c>
      <c r="B74" s="31">
        <v>1010</v>
      </c>
      <c r="C74" s="31">
        <v>4074</v>
      </c>
      <c r="D74" s="29" t="str">
        <f>LOOKUP('CAPA-old'!C74,'QALS - Inspection Lot Record'!P:P,'QALS - Inspection Lot Record'!O:O)</f>
        <v>Metformin Tablets (500 MG)</v>
      </c>
      <c r="E74" s="31">
        <v>93</v>
      </c>
      <c r="F74" s="34">
        <f ca="1">IF(TODAY()&gt;=LOOKUP(C74,'QALS - Inspection Lot Record'!P:P,'QALS - Inspection Lot Record'!J:J)+RANDBETWEEN(0,1),LOOKUP(C74,'QALS - Inspection Lot Record'!P:P,'QALS - Inspection Lot Record'!J:J)+RANDBETWEEN(0,1),"")</f>
        <v>45906</v>
      </c>
      <c r="G74" s="41" t="s">
        <v>472</v>
      </c>
      <c r="H74" s="34">
        <v>45284</v>
      </c>
      <c r="I74" s="29" t="s">
        <v>484</v>
      </c>
    </row>
    <row r="75" spans="1:9" x14ac:dyDescent="0.35">
      <c r="A75" s="31">
        <v>200000545</v>
      </c>
      <c r="B75" s="31">
        <v>1010</v>
      </c>
      <c r="C75" s="31">
        <v>4074</v>
      </c>
      <c r="D75" s="29" t="str">
        <f>LOOKUP('CAPA-old'!C75,'QALS - Inspection Lot Record'!P:P,'QALS - Inspection Lot Record'!O:O)</f>
        <v>Metformin Tablets (500 MG)</v>
      </c>
      <c r="E75" s="31">
        <v>79</v>
      </c>
      <c r="F75" s="34">
        <f ca="1">IF(TODAY()&gt;=LOOKUP(C75,'QALS - Inspection Lot Record'!P:P,'QALS - Inspection Lot Record'!J:J)+RANDBETWEEN(0,1),LOOKUP(C75,'QALS - Inspection Lot Record'!P:P,'QALS - Inspection Lot Record'!J:J)+RANDBETWEEN(0,1),"")</f>
        <v>45906</v>
      </c>
      <c r="G75" s="41" t="s">
        <v>486</v>
      </c>
      <c r="H75" s="34">
        <v>45283</v>
      </c>
      <c r="I75" s="29" t="s">
        <v>488</v>
      </c>
    </row>
    <row r="76" spans="1:9" x14ac:dyDescent="0.35">
      <c r="A76" s="31">
        <v>200000546</v>
      </c>
      <c r="B76" s="31">
        <v>1010</v>
      </c>
      <c r="C76" s="31">
        <v>4075</v>
      </c>
      <c r="D76" s="29" t="str">
        <f>LOOKUP('CAPA-old'!C76,'QALS - Inspection Lot Record'!P:P,'QALS - Inspection Lot Record'!O:O)</f>
        <v>Metformin Tablets (100 MG)</v>
      </c>
      <c r="E76" s="31">
        <v>93.8</v>
      </c>
      <c r="F76" s="34">
        <f ca="1">IF(TODAY()&gt;=LOOKUP(C76,'QALS - Inspection Lot Record'!P:P,'QALS - Inspection Lot Record'!J:J)+RANDBETWEEN(0,1),LOOKUP(C76,'QALS - Inspection Lot Record'!P:P,'QALS - Inspection Lot Record'!J:J)+RANDBETWEEN(0,1),"")</f>
        <v>45908</v>
      </c>
      <c r="G76" s="41" t="s">
        <v>472</v>
      </c>
      <c r="H76" s="34">
        <v>45284</v>
      </c>
      <c r="I76" s="29" t="s">
        <v>473</v>
      </c>
    </row>
    <row r="77" spans="1:9" x14ac:dyDescent="0.35">
      <c r="A77" s="31">
        <v>200000547</v>
      </c>
      <c r="B77" s="31">
        <v>1010</v>
      </c>
      <c r="C77" s="31">
        <v>4077</v>
      </c>
      <c r="D77" s="29" t="str">
        <f>LOOKUP('CAPA-old'!C77,'QALS - Inspection Lot Record'!P:P,'QALS - Inspection Lot Record'!O:O)</f>
        <v>Metformin Tablets (200 MG)</v>
      </c>
      <c r="E77" s="31">
        <v>93.3</v>
      </c>
      <c r="F77" s="34">
        <f ca="1">IF(TODAY()&gt;=LOOKUP(C77,'QALS - Inspection Lot Record'!P:P,'QALS - Inspection Lot Record'!J:J)+RANDBETWEEN(0,1),LOOKUP(C77,'QALS - Inspection Lot Record'!P:P,'QALS - Inspection Lot Record'!J:J)+RANDBETWEEN(0,1),"")</f>
        <v>45908</v>
      </c>
      <c r="G77" s="41" t="s">
        <v>472</v>
      </c>
      <c r="H77" s="34">
        <v>45287</v>
      </c>
      <c r="I77" s="29" t="s">
        <v>481</v>
      </c>
    </row>
    <row r="78" spans="1:9" x14ac:dyDescent="0.35">
      <c r="A78" s="31">
        <v>200000547</v>
      </c>
      <c r="B78" s="31">
        <v>1010</v>
      </c>
      <c r="C78" s="31">
        <v>4077</v>
      </c>
      <c r="D78" s="29" t="str">
        <f>LOOKUP('CAPA-old'!C78,'QALS - Inspection Lot Record'!P:P,'QALS - Inspection Lot Record'!O:O)</f>
        <v>Metformin Tablets (200 MG)</v>
      </c>
      <c r="E78" s="31">
        <v>4.0999999999999996</v>
      </c>
      <c r="F78" s="34">
        <f ca="1">IF(TODAY()&gt;=LOOKUP(C78,'QALS - Inspection Lot Record'!P:P,'QALS - Inspection Lot Record'!J:J)+RANDBETWEEN(0,1),LOOKUP(C78,'QALS - Inspection Lot Record'!P:P,'QALS - Inspection Lot Record'!J:J)+RANDBETWEEN(0,1),"")</f>
        <v>45908</v>
      </c>
      <c r="G78" s="41" t="s">
        <v>474</v>
      </c>
      <c r="H78" s="34">
        <v>45286</v>
      </c>
      <c r="I78" s="29" t="s">
        <v>496</v>
      </c>
    </row>
    <row r="79" spans="1:9" x14ac:dyDescent="0.35">
      <c r="A79" s="31">
        <v>200000548</v>
      </c>
      <c r="B79" s="31">
        <v>1010</v>
      </c>
      <c r="C79" s="31">
        <v>4081</v>
      </c>
      <c r="D79" s="29" t="str">
        <f>LOOKUP('CAPA-old'!C79,'QALS - Inspection Lot Record'!P:P,'QALS - Inspection Lot Record'!O:O)</f>
        <v>Ibuprofen Tablets (100 MG)</v>
      </c>
      <c r="E79" s="31">
        <v>1.8</v>
      </c>
      <c r="F79" s="34">
        <f ca="1">IF(TODAY()&gt;=LOOKUP(C79,'QALS - Inspection Lot Record'!P:P,'QALS - Inspection Lot Record'!J:J)+RANDBETWEEN(0,1),LOOKUP(C79,'QALS - Inspection Lot Record'!P:P,'QALS - Inspection Lot Record'!J:J)+RANDBETWEEN(0,1),"")</f>
        <v>45910</v>
      </c>
      <c r="G79" s="41" t="s">
        <v>474</v>
      </c>
      <c r="H79" s="34">
        <v>45288</v>
      </c>
      <c r="I79" s="29" t="s">
        <v>485</v>
      </c>
    </row>
    <row r="80" spans="1:9" x14ac:dyDescent="0.35">
      <c r="A80" s="31">
        <v>200000548</v>
      </c>
      <c r="B80" s="31">
        <v>1010</v>
      </c>
      <c r="C80" s="31">
        <v>4081</v>
      </c>
      <c r="D80" s="29" t="str">
        <f>LOOKUP('CAPA-old'!C80,'QALS - Inspection Lot Record'!P:P,'QALS - Inspection Lot Record'!O:O)</f>
        <v>Ibuprofen Tablets (100 MG)</v>
      </c>
      <c r="E80" s="31">
        <v>68.3</v>
      </c>
      <c r="F80" s="34">
        <f ca="1">IF(TODAY()&gt;=LOOKUP(C80,'QALS - Inspection Lot Record'!P:P,'QALS - Inspection Lot Record'!J:J)+RANDBETWEEN(0,1),LOOKUP(C80,'QALS - Inspection Lot Record'!P:P,'QALS - Inspection Lot Record'!J:J)+RANDBETWEEN(0,1),"")</f>
        <v>45910</v>
      </c>
      <c r="G80" s="41" t="s">
        <v>480</v>
      </c>
      <c r="H80" s="34">
        <v>45290</v>
      </c>
      <c r="I80" s="29" t="s">
        <v>490</v>
      </c>
    </row>
    <row r="81" spans="1:9" x14ac:dyDescent="0.35">
      <c r="A81" s="31">
        <v>200000548</v>
      </c>
      <c r="B81" s="31">
        <v>1010</v>
      </c>
      <c r="C81" s="31">
        <v>4081</v>
      </c>
      <c r="D81" s="29" t="str">
        <f>LOOKUP('CAPA-old'!C81,'QALS - Inspection Lot Record'!P:P,'QALS - Inspection Lot Record'!O:O)</f>
        <v>Ibuprofen Tablets (100 MG)</v>
      </c>
      <c r="E81" s="31">
        <v>78.8</v>
      </c>
      <c r="F81" s="34">
        <f ca="1">IF(TODAY()&gt;=LOOKUP(C81,'QALS - Inspection Lot Record'!P:P,'QALS - Inspection Lot Record'!J:J)+RANDBETWEEN(0,1),LOOKUP(C81,'QALS - Inspection Lot Record'!P:P,'QALS - Inspection Lot Record'!J:J)+RANDBETWEEN(0,1),"")</f>
        <v>45910</v>
      </c>
      <c r="G81" s="41" t="s">
        <v>486</v>
      </c>
      <c r="H81" s="34">
        <v>45288</v>
      </c>
      <c r="I81" s="29" t="s">
        <v>475</v>
      </c>
    </row>
    <row r="82" spans="1:9" x14ac:dyDescent="0.35">
      <c r="A82" s="31">
        <v>200000548</v>
      </c>
      <c r="B82" s="31">
        <v>1010</v>
      </c>
      <c r="C82" s="31">
        <v>4081</v>
      </c>
      <c r="D82" s="29" t="str">
        <f>LOOKUP('CAPA-old'!C82,'QALS - Inspection Lot Record'!P:P,'QALS - Inspection Lot Record'!O:O)</f>
        <v>Ibuprofen Tablets (100 MG)</v>
      </c>
      <c r="E82" s="31">
        <v>21.4</v>
      </c>
      <c r="F82" s="34">
        <f ca="1">IF(TODAY()&gt;=LOOKUP(C82,'QALS - Inspection Lot Record'!P:P,'QALS - Inspection Lot Record'!J:J)+RANDBETWEEN(0,1),LOOKUP(C82,'QALS - Inspection Lot Record'!P:P,'QALS - Inspection Lot Record'!J:J)+RANDBETWEEN(0,1),"")</f>
        <v>45910</v>
      </c>
      <c r="G82" s="41" t="s">
        <v>483</v>
      </c>
      <c r="H82" s="34">
        <v>45288</v>
      </c>
      <c r="I82" s="29" t="s">
        <v>484</v>
      </c>
    </row>
    <row r="83" spans="1:9" x14ac:dyDescent="0.35">
      <c r="A83" s="31">
        <v>200000549</v>
      </c>
      <c r="B83" s="31">
        <v>1010</v>
      </c>
      <c r="C83" s="31">
        <v>4085</v>
      </c>
      <c r="D83" s="29" t="str">
        <f>LOOKUP('CAPA-old'!C83,'QALS - Inspection Lot Record'!P:P,'QALS - Inspection Lot Record'!O:O)</f>
        <v>Ibuprofen Tablets (100 MG)</v>
      </c>
      <c r="E83" s="31">
        <v>21.3</v>
      </c>
      <c r="F83" s="34">
        <f ca="1">IF(TODAY()&gt;=LOOKUP(C83,'QALS - Inspection Lot Record'!P:P,'QALS - Inspection Lot Record'!J:J)+RANDBETWEEN(0,1),LOOKUP(C83,'QALS - Inspection Lot Record'!P:P,'QALS - Inspection Lot Record'!J:J)+RANDBETWEEN(0,1),"")</f>
        <v>45912</v>
      </c>
      <c r="G83" s="41" t="s">
        <v>483</v>
      </c>
      <c r="H83" s="34">
        <v>45291</v>
      </c>
      <c r="I83" s="29" t="s">
        <v>477</v>
      </c>
    </row>
    <row r="84" spans="1:9" x14ac:dyDescent="0.35">
      <c r="A84" s="31">
        <v>200000550</v>
      </c>
      <c r="B84" s="31">
        <v>1010</v>
      </c>
      <c r="C84" s="31">
        <v>4089</v>
      </c>
      <c r="D84" s="29" t="str">
        <f>LOOKUP('CAPA-old'!C84,'QALS - Inspection Lot Record'!P:P,'QALS - Inspection Lot Record'!O:O)</f>
        <v>Aspirin Tablets (500 MG)</v>
      </c>
      <c r="E84" s="31">
        <v>21.1</v>
      </c>
      <c r="F84" s="34">
        <f ca="1">IF(TODAY()&gt;=LOOKUP(C84,'QALS - Inspection Lot Record'!P:P,'QALS - Inspection Lot Record'!J:J)+RANDBETWEEN(0,1),LOOKUP(C84,'QALS - Inspection Lot Record'!P:P,'QALS - Inspection Lot Record'!J:J)+RANDBETWEEN(0,1),"")</f>
        <v>45914</v>
      </c>
      <c r="G84" s="41" t="s">
        <v>483</v>
      </c>
      <c r="H84" s="34">
        <v>45293</v>
      </c>
      <c r="I84" s="29" t="s">
        <v>489</v>
      </c>
    </row>
    <row r="85" spans="1:9" x14ac:dyDescent="0.35">
      <c r="A85" s="31">
        <v>200000551</v>
      </c>
      <c r="B85" s="31">
        <v>1010</v>
      </c>
      <c r="C85" s="31">
        <v>4090</v>
      </c>
      <c r="D85" s="29" t="str">
        <f>LOOKUP('CAPA-old'!C85,'QALS - Inspection Lot Record'!P:P,'QALS - Inspection Lot Record'!O:O)</f>
        <v>Metformin Tablets (100 MG)</v>
      </c>
      <c r="E85" s="31">
        <v>1.9</v>
      </c>
      <c r="F85" s="34">
        <f ca="1">IF(TODAY()&gt;=LOOKUP(C85,'QALS - Inspection Lot Record'!P:P,'QALS - Inspection Lot Record'!J:J)+RANDBETWEEN(0,1),LOOKUP(C85,'QALS - Inspection Lot Record'!P:P,'QALS - Inspection Lot Record'!J:J)+RANDBETWEEN(0,1),"")</f>
        <v>45914</v>
      </c>
      <c r="G85" s="41" t="s">
        <v>474</v>
      </c>
      <c r="H85" s="34">
        <v>45292</v>
      </c>
      <c r="I85" s="29" t="s">
        <v>484</v>
      </c>
    </row>
    <row r="86" spans="1:9" x14ac:dyDescent="0.35">
      <c r="A86" s="31">
        <v>200000551</v>
      </c>
      <c r="B86" s="31">
        <v>1010</v>
      </c>
      <c r="C86" s="31">
        <v>4090</v>
      </c>
      <c r="D86" s="29" t="str">
        <f>LOOKUP('CAPA-old'!C86,'QALS - Inspection Lot Record'!P:P,'QALS - Inspection Lot Record'!O:O)</f>
        <v>Metformin Tablets (100 MG)</v>
      </c>
      <c r="E86" s="31">
        <v>78.8</v>
      </c>
      <c r="F86" s="34">
        <f ca="1">IF(TODAY()&gt;=LOOKUP(C86,'QALS - Inspection Lot Record'!P:P,'QALS - Inspection Lot Record'!J:J)+RANDBETWEEN(0,1),LOOKUP(C86,'QALS - Inspection Lot Record'!P:P,'QALS - Inspection Lot Record'!J:J)+RANDBETWEEN(0,1),"")</f>
        <v>45914</v>
      </c>
      <c r="G86" s="41" t="s">
        <v>486</v>
      </c>
      <c r="H86" s="34">
        <v>45291</v>
      </c>
      <c r="I86" s="29" t="s">
        <v>477</v>
      </c>
    </row>
    <row r="87" spans="1:9" x14ac:dyDescent="0.35">
      <c r="A87" s="31">
        <v>200000552</v>
      </c>
      <c r="B87" s="31">
        <v>1010</v>
      </c>
      <c r="C87" s="31">
        <v>4092</v>
      </c>
      <c r="D87" s="29" t="str">
        <f>LOOKUP('CAPA-old'!C87,'QALS - Inspection Lot Record'!P:P,'QALS - Inspection Lot Record'!O:O)</f>
        <v>Metformin Tablets (200 MG)</v>
      </c>
      <c r="E87" s="31">
        <v>38.6</v>
      </c>
      <c r="F87" s="34">
        <f ca="1">IF(TODAY()&gt;=LOOKUP(C87,'QALS - Inspection Lot Record'!P:P,'QALS - Inspection Lot Record'!J:J)+RANDBETWEEN(0,1),LOOKUP(C87,'QALS - Inspection Lot Record'!P:P,'QALS - Inspection Lot Record'!J:J)+RANDBETWEEN(0,1),"")</f>
        <v>45916</v>
      </c>
      <c r="G87" s="41" t="s">
        <v>478</v>
      </c>
      <c r="H87" s="34">
        <v>45294</v>
      </c>
      <c r="I87" s="29" t="s">
        <v>491</v>
      </c>
    </row>
    <row r="88" spans="1:9" x14ac:dyDescent="0.35">
      <c r="A88" s="31">
        <v>200000552</v>
      </c>
      <c r="B88" s="31">
        <v>1010</v>
      </c>
      <c r="C88" s="31">
        <v>4092</v>
      </c>
      <c r="D88" s="29" t="str">
        <f>LOOKUP('CAPA-old'!C88,'QALS - Inspection Lot Record'!P:P,'QALS - Inspection Lot Record'!O:O)</f>
        <v>Metformin Tablets (200 MG)</v>
      </c>
      <c r="E88" s="31">
        <v>68.5</v>
      </c>
      <c r="F88" s="34">
        <f ca="1">IF(TODAY()&gt;=LOOKUP(C88,'QALS - Inspection Lot Record'!P:P,'QALS - Inspection Lot Record'!J:J)+RANDBETWEEN(0,1),LOOKUP(C88,'QALS - Inspection Lot Record'!P:P,'QALS - Inspection Lot Record'!J:J)+RANDBETWEEN(0,1),"")</f>
        <v>45916</v>
      </c>
      <c r="G88" s="41" t="s">
        <v>480</v>
      </c>
      <c r="H88" s="34">
        <v>45295</v>
      </c>
      <c r="I88" s="29" t="s">
        <v>484</v>
      </c>
    </row>
    <row r="89" spans="1:9" x14ac:dyDescent="0.35">
      <c r="A89" s="31">
        <v>200000553</v>
      </c>
      <c r="B89" s="31">
        <v>1010</v>
      </c>
      <c r="C89" s="31">
        <v>4095</v>
      </c>
      <c r="D89" s="29" t="str">
        <f>LOOKUP('CAPA-old'!C89,'QALS - Inspection Lot Record'!P:P,'QALS - Inspection Lot Record'!O:O)</f>
        <v>Metformin Tablets (200 MG)</v>
      </c>
      <c r="E89" s="31">
        <v>38.9</v>
      </c>
      <c r="F89" s="34">
        <f ca="1">IF(TODAY()&gt;=LOOKUP(C89,'QALS - Inspection Lot Record'!P:P,'QALS - Inspection Lot Record'!J:J)+RANDBETWEEN(0,1),LOOKUP(C89,'QALS - Inspection Lot Record'!P:P,'QALS - Inspection Lot Record'!J:J)+RANDBETWEEN(0,1),"")</f>
        <v>45917</v>
      </c>
      <c r="G89" s="41" t="s">
        <v>478</v>
      </c>
      <c r="H89" s="34">
        <v>45294</v>
      </c>
      <c r="I89" s="29" t="s">
        <v>475</v>
      </c>
    </row>
    <row r="90" spans="1:9" x14ac:dyDescent="0.35">
      <c r="A90" s="31">
        <v>200000553</v>
      </c>
      <c r="B90" s="31">
        <v>1010</v>
      </c>
      <c r="C90" s="31">
        <v>4095</v>
      </c>
      <c r="D90" s="29" t="str">
        <f>LOOKUP('CAPA-old'!C90,'QALS - Inspection Lot Record'!P:P,'QALS - Inspection Lot Record'!O:O)</f>
        <v>Metformin Tablets (200 MG)</v>
      </c>
      <c r="E90" s="31">
        <v>68</v>
      </c>
      <c r="F90" s="34">
        <f ca="1">IF(TODAY()&gt;=LOOKUP(C90,'QALS - Inspection Lot Record'!P:P,'QALS - Inspection Lot Record'!J:J)+RANDBETWEEN(0,1),LOOKUP(C90,'QALS - Inspection Lot Record'!P:P,'QALS - Inspection Lot Record'!J:J)+RANDBETWEEN(0,1),"")</f>
        <v>45918</v>
      </c>
      <c r="G90" s="41" t="s">
        <v>480</v>
      </c>
      <c r="H90" s="34">
        <v>45295</v>
      </c>
      <c r="I90" s="29" t="s">
        <v>475</v>
      </c>
    </row>
    <row r="91" spans="1:9" x14ac:dyDescent="0.35">
      <c r="A91" s="31">
        <v>200000554</v>
      </c>
      <c r="B91" s="31">
        <v>1010</v>
      </c>
      <c r="C91" s="31">
        <v>4096</v>
      </c>
      <c r="D91" s="29" t="str">
        <f>LOOKUP('CAPA-old'!C91,'QALS - Inspection Lot Record'!P:P,'QALS - Inspection Lot Record'!O:O)</f>
        <v>Ibuprofen Tablets (100 MG)</v>
      </c>
      <c r="E91" s="31">
        <v>38.299999999999997</v>
      </c>
      <c r="F91" s="34">
        <f ca="1">IF(TODAY()&gt;=LOOKUP(C91,'QALS - Inspection Lot Record'!P:P,'QALS - Inspection Lot Record'!J:J)+RANDBETWEEN(0,1),LOOKUP(C91,'QALS - Inspection Lot Record'!P:P,'QALS - Inspection Lot Record'!J:J)+RANDBETWEEN(0,1),"")</f>
        <v>45917</v>
      </c>
      <c r="G91" s="41" t="s">
        <v>478</v>
      </c>
      <c r="H91" s="34">
        <v>45294</v>
      </c>
      <c r="I91" s="29" t="s">
        <v>477</v>
      </c>
    </row>
    <row r="92" spans="1:9" x14ac:dyDescent="0.35">
      <c r="A92" s="31">
        <v>200000554</v>
      </c>
      <c r="B92" s="31">
        <v>1010</v>
      </c>
      <c r="C92" s="31">
        <v>4096</v>
      </c>
      <c r="D92" s="29" t="str">
        <f>LOOKUP('CAPA-old'!C92,'QALS - Inspection Lot Record'!P:P,'QALS - Inspection Lot Record'!O:O)</f>
        <v>Ibuprofen Tablets (100 MG)</v>
      </c>
      <c r="E92" s="31">
        <v>68.3</v>
      </c>
      <c r="F92" s="34">
        <f ca="1">IF(TODAY()&gt;=LOOKUP(C92,'QALS - Inspection Lot Record'!P:P,'QALS - Inspection Lot Record'!J:J)+RANDBETWEEN(0,1),LOOKUP(C92,'QALS - Inspection Lot Record'!P:P,'QALS - Inspection Lot Record'!J:J)+RANDBETWEEN(0,1),"")</f>
        <v>45918</v>
      </c>
      <c r="G92" s="41" t="s">
        <v>480</v>
      </c>
      <c r="H92" s="34">
        <v>45296</v>
      </c>
      <c r="I92" s="29" t="s">
        <v>481</v>
      </c>
    </row>
    <row r="93" spans="1:9" x14ac:dyDescent="0.35">
      <c r="A93" s="31">
        <v>200000554</v>
      </c>
      <c r="B93" s="31">
        <v>1010</v>
      </c>
      <c r="C93" s="31">
        <v>4096</v>
      </c>
      <c r="D93" s="29" t="str">
        <f>LOOKUP('CAPA-old'!C93,'QALS - Inspection Lot Record'!P:P,'QALS - Inspection Lot Record'!O:O)</f>
        <v>Ibuprofen Tablets (100 MG)</v>
      </c>
      <c r="E93" s="31">
        <v>78.400000000000006</v>
      </c>
      <c r="F93" s="34">
        <f ca="1">IF(TODAY()&gt;=LOOKUP(C93,'QALS - Inspection Lot Record'!P:P,'QALS - Inspection Lot Record'!J:J)+RANDBETWEEN(0,1),LOOKUP(C93,'QALS - Inspection Lot Record'!P:P,'QALS - Inspection Lot Record'!J:J)+RANDBETWEEN(0,1),"")</f>
        <v>45917</v>
      </c>
      <c r="G93" s="41" t="s">
        <v>486</v>
      </c>
      <c r="H93" s="34">
        <v>45295</v>
      </c>
      <c r="I93" s="29" t="s">
        <v>495</v>
      </c>
    </row>
    <row r="94" spans="1:9" x14ac:dyDescent="0.35">
      <c r="A94" s="31">
        <v>200000555</v>
      </c>
      <c r="B94" s="31">
        <v>1010</v>
      </c>
      <c r="C94" s="31">
        <v>4099</v>
      </c>
      <c r="D94" s="29" t="str">
        <f>LOOKUP('CAPA-old'!C94,'QALS - Inspection Lot Record'!P:P,'QALS - Inspection Lot Record'!O:O)</f>
        <v>Metformin Tablets (100 MG)</v>
      </c>
      <c r="E94" s="31">
        <v>2.5</v>
      </c>
      <c r="F94" s="34">
        <f ca="1">IF(TODAY()&gt;=LOOKUP(C94,'QALS - Inspection Lot Record'!P:P,'QALS - Inspection Lot Record'!J:J)+RANDBETWEEN(0,1),LOOKUP(C94,'QALS - Inspection Lot Record'!P:P,'QALS - Inspection Lot Record'!J:J)+RANDBETWEEN(0,1),"")</f>
        <v>45919</v>
      </c>
      <c r="G94" s="41" t="s">
        <v>474</v>
      </c>
      <c r="H94" s="34">
        <v>45296</v>
      </c>
      <c r="I94" s="29" t="s">
        <v>485</v>
      </c>
    </row>
    <row r="95" spans="1:9" x14ac:dyDescent="0.35">
      <c r="A95" s="31">
        <v>200000555</v>
      </c>
      <c r="B95" s="31">
        <v>1010</v>
      </c>
      <c r="C95" s="31">
        <v>4099</v>
      </c>
      <c r="D95" s="29" t="str">
        <f>LOOKUP('CAPA-old'!C95,'QALS - Inspection Lot Record'!P:P,'QALS - Inspection Lot Record'!O:O)</f>
        <v>Metformin Tablets (100 MG)</v>
      </c>
      <c r="E95" s="31">
        <v>38</v>
      </c>
      <c r="F95" s="34">
        <f ca="1">IF(TODAY()&gt;=LOOKUP(C95,'QALS - Inspection Lot Record'!P:P,'QALS - Inspection Lot Record'!J:J)+RANDBETWEEN(0,1),LOOKUP(C95,'QALS - Inspection Lot Record'!P:P,'QALS - Inspection Lot Record'!J:J)+RANDBETWEEN(0,1),"")</f>
        <v>45920</v>
      </c>
      <c r="G95" s="41" t="s">
        <v>478</v>
      </c>
      <c r="H95" s="34">
        <v>45298</v>
      </c>
      <c r="I95" s="29" t="s">
        <v>479</v>
      </c>
    </row>
    <row r="96" spans="1:9" x14ac:dyDescent="0.35">
      <c r="A96" s="31">
        <v>200000556</v>
      </c>
      <c r="B96" s="31">
        <v>1010</v>
      </c>
      <c r="C96" s="31">
        <v>4100</v>
      </c>
      <c r="D96" s="29" t="str">
        <f>LOOKUP('CAPA-old'!C96,'QALS - Inspection Lot Record'!P:P,'QALS - Inspection Lot Record'!O:O)</f>
        <v>Aspirin Tablets (500 MG)</v>
      </c>
      <c r="E96" s="31">
        <v>93.4</v>
      </c>
      <c r="F96" s="34">
        <f ca="1">IF(TODAY()&gt;=LOOKUP(C96,'QALS - Inspection Lot Record'!P:P,'QALS - Inspection Lot Record'!J:J)+RANDBETWEEN(0,1),LOOKUP(C96,'QALS - Inspection Lot Record'!P:P,'QALS - Inspection Lot Record'!J:J)+RANDBETWEEN(0,1),"")</f>
        <v>45919</v>
      </c>
      <c r="G96" s="41" t="s">
        <v>472</v>
      </c>
      <c r="H96" s="34">
        <v>45296</v>
      </c>
      <c r="I96" s="29" t="s">
        <v>481</v>
      </c>
    </row>
    <row r="97" spans="1:9" x14ac:dyDescent="0.35">
      <c r="A97" s="31">
        <v>200000556</v>
      </c>
      <c r="B97" s="31">
        <v>1010</v>
      </c>
      <c r="C97" s="31">
        <v>4100</v>
      </c>
      <c r="D97" s="29" t="str">
        <f>LOOKUP('CAPA-old'!C97,'QALS - Inspection Lot Record'!P:P,'QALS - Inspection Lot Record'!O:O)</f>
        <v>Aspirin Tablets (500 MG)</v>
      </c>
      <c r="E97" s="31">
        <v>2.4</v>
      </c>
      <c r="F97" s="34">
        <f ca="1">IF(TODAY()&gt;=LOOKUP(C97,'QALS - Inspection Lot Record'!P:P,'QALS - Inspection Lot Record'!J:J)+RANDBETWEEN(0,1),LOOKUP(C97,'QALS - Inspection Lot Record'!P:P,'QALS - Inspection Lot Record'!J:J)+RANDBETWEEN(0,1),"")</f>
        <v>45919</v>
      </c>
      <c r="G97" s="41" t="s">
        <v>474</v>
      </c>
      <c r="H97" s="34">
        <v>45296</v>
      </c>
      <c r="I97" s="29" t="s">
        <v>477</v>
      </c>
    </row>
    <row r="98" spans="1:9" x14ac:dyDescent="0.35">
      <c r="A98" s="31">
        <v>200000556</v>
      </c>
      <c r="B98" s="31">
        <v>1010</v>
      </c>
      <c r="C98" s="31">
        <v>4100</v>
      </c>
      <c r="D98" s="29" t="str">
        <f>LOOKUP('CAPA-old'!C98,'QALS - Inspection Lot Record'!P:P,'QALS - Inspection Lot Record'!O:O)</f>
        <v>Aspirin Tablets (500 MG)</v>
      </c>
      <c r="E98" s="31">
        <v>2.6</v>
      </c>
      <c r="F98" s="34">
        <f ca="1">IF(TODAY()&gt;=LOOKUP(C98,'QALS - Inspection Lot Record'!P:P,'QALS - Inspection Lot Record'!J:J)+RANDBETWEEN(0,1),LOOKUP(C98,'QALS - Inspection Lot Record'!P:P,'QALS - Inspection Lot Record'!J:J)+RANDBETWEEN(0,1),"")</f>
        <v>45919</v>
      </c>
      <c r="G98" s="41" t="s">
        <v>476</v>
      </c>
      <c r="H98" s="34">
        <v>45297</v>
      </c>
      <c r="I98" s="29" t="s">
        <v>493</v>
      </c>
    </row>
    <row r="99" spans="1:9" x14ac:dyDescent="0.35">
      <c r="A99" s="31">
        <v>200000556</v>
      </c>
      <c r="B99" s="31">
        <v>1010</v>
      </c>
      <c r="C99" s="31">
        <v>4100</v>
      </c>
      <c r="D99" s="29" t="str">
        <f>LOOKUP('CAPA-old'!C99,'QALS - Inspection Lot Record'!P:P,'QALS - Inspection Lot Record'!O:O)</f>
        <v>Aspirin Tablets (500 MG)</v>
      </c>
      <c r="E99" s="31">
        <v>78.400000000000006</v>
      </c>
      <c r="F99" s="34">
        <f ca="1">IF(TODAY()&gt;=LOOKUP(C99,'QALS - Inspection Lot Record'!P:P,'QALS - Inspection Lot Record'!J:J)+RANDBETWEEN(0,1),LOOKUP(C99,'QALS - Inspection Lot Record'!P:P,'QALS - Inspection Lot Record'!J:J)+RANDBETWEEN(0,1),"")</f>
        <v>45919</v>
      </c>
      <c r="G99" s="41" t="s">
        <v>486</v>
      </c>
      <c r="H99" s="34">
        <v>45298</v>
      </c>
      <c r="I99" s="29" t="s">
        <v>488</v>
      </c>
    </row>
    <row r="100" spans="1:9" x14ac:dyDescent="0.35">
      <c r="A100" s="31">
        <v>200000557</v>
      </c>
      <c r="B100" s="31">
        <v>1010</v>
      </c>
      <c r="C100" s="31">
        <v>4103</v>
      </c>
      <c r="D100" s="29" t="str">
        <f>LOOKUP('CAPA-old'!C100,'QALS - Inspection Lot Record'!P:P,'QALS - Inspection Lot Record'!O:O)</f>
        <v>Ibuprofen Tablets (100 MG)</v>
      </c>
      <c r="E100" s="31">
        <v>2.2999999999999998</v>
      </c>
      <c r="F100" s="34">
        <f ca="1">IF(TODAY()&gt;=LOOKUP(C100,'QALS - Inspection Lot Record'!P:P,'QALS - Inspection Lot Record'!J:J)+RANDBETWEEN(0,1),LOOKUP(C100,'QALS - Inspection Lot Record'!P:P,'QALS - Inspection Lot Record'!J:J)+RANDBETWEEN(0,1),"")</f>
        <v>45921</v>
      </c>
      <c r="G100" s="41" t="s">
        <v>474</v>
      </c>
      <c r="H100" s="34">
        <v>45298</v>
      </c>
      <c r="I100" s="29" t="s">
        <v>485</v>
      </c>
    </row>
    <row r="101" spans="1:9" x14ac:dyDescent="0.35">
      <c r="A101" s="31">
        <v>200000557</v>
      </c>
      <c r="B101" s="31">
        <v>1010</v>
      </c>
      <c r="C101" s="31">
        <v>4103</v>
      </c>
      <c r="D101" s="29" t="str">
        <f>LOOKUP('CAPA-old'!C101,'QALS - Inspection Lot Record'!P:P,'QALS - Inspection Lot Record'!O:O)</f>
        <v>Ibuprofen Tablets (100 MG)</v>
      </c>
      <c r="E101" s="31">
        <v>78</v>
      </c>
      <c r="F101" s="34">
        <f ca="1">IF(TODAY()&gt;=LOOKUP(C101,'QALS - Inspection Lot Record'!P:P,'QALS - Inspection Lot Record'!J:J)+RANDBETWEEN(0,1),LOOKUP(C101,'QALS - Inspection Lot Record'!P:P,'QALS - Inspection Lot Record'!J:J)+RANDBETWEEN(0,1),"")</f>
        <v>45921</v>
      </c>
      <c r="G101" s="41" t="s">
        <v>486</v>
      </c>
      <c r="H101" s="34">
        <v>45299</v>
      </c>
      <c r="I101" s="29" t="s">
        <v>495</v>
      </c>
    </row>
    <row r="102" spans="1:9" x14ac:dyDescent="0.35">
      <c r="A102" s="31">
        <v>200000557</v>
      </c>
      <c r="B102" s="31">
        <v>1010</v>
      </c>
      <c r="C102" s="31">
        <v>4103</v>
      </c>
      <c r="D102" s="29" t="str">
        <f>LOOKUP('CAPA-old'!C102,'QALS - Inspection Lot Record'!P:P,'QALS - Inspection Lot Record'!O:O)</f>
        <v>Ibuprofen Tablets (100 MG)</v>
      </c>
      <c r="E102" s="31">
        <v>21.5</v>
      </c>
      <c r="F102" s="34">
        <f ca="1">IF(TODAY()&gt;=LOOKUP(C102,'QALS - Inspection Lot Record'!P:P,'QALS - Inspection Lot Record'!J:J)+RANDBETWEEN(0,1),LOOKUP(C102,'QALS - Inspection Lot Record'!P:P,'QALS - Inspection Lot Record'!J:J)+RANDBETWEEN(0,1),"")</f>
        <v>45921</v>
      </c>
      <c r="G102" s="41" t="s">
        <v>483</v>
      </c>
      <c r="H102" s="34">
        <v>45299</v>
      </c>
      <c r="I102" s="29" t="s">
        <v>481</v>
      </c>
    </row>
    <row r="103" spans="1:9" x14ac:dyDescent="0.35">
      <c r="A103" s="31">
        <v>200000558</v>
      </c>
      <c r="B103" s="31">
        <v>1010</v>
      </c>
      <c r="C103" s="31">
        <v>4104</v>
      </c>
      <c r="D103" s="29" t="str">
        <f>LOOKUP('CAPA-old'!C103,'QALS - Inspection Lot Record'!P:P,'QALS - Inspection Lot Record'!O:O)</f>
        <v>Ibuprofen Tablets (100 MG)</v>
      </c>
      <c r="E103" s="31">
        <v>2</v>
      </c>
      <c r="F103" s="34">
        <f ca="1">IF(TODAY()&gt;=LOOKUP(C103,'QALS - Inspection Lot Record'!P:P,'QALS - Inspection Lot Record'!J:J)+RANDBETWEEN(0,1),LOOKUP(C103,'QALS - Inspection Lot Record'!P:P,'QALS - Inspection Lot Record'!J:J)+RANDBETWEEN(0,1),"")</f>
        <v>45921</v>
      </c>
      <c r="G103" s="41" t="s">
        <v>474</v>
      </c>
      <c r="H103" s="34">
        <v>45301</v>
      </c>
      <c r="I103" s="29" t="s">
        <v>484</v>
      </c>
    </row>
    <row r="104" spans="1:9" x14ac:dyDescent="0.35">
      <c r="A104" s="31">
        <v>200000558</v>
      </c>
      <c r="B104" s="31">
        <v>1010</v>
      </c>
      <c r="C104" s="31">
        <v>4104</v>
      </c>
      <c r="D104" s="29" t="str">
        <f>LOOKUP('CAPA-old'!C104,'QALS - Inspection Lot Record'!P:P,'QALS - Inspection Lot Record'!O:O)</f>
        <v>Ibuprofen Tablets (100 MG)</v>
      </c>
      <c r="E104" s="31">
        <v>38.6</v>
      </c>
      <c r="F104" s="34">
        <f ca="1">IF(TODAY()&gt;=LOOKUP(C104,'QALS - Inspection Lot Record'!P:P,'QALS - Inspection Lot Record'!J:J)+RANDBETWEEN(0,1),LOOKUP(C104,'QALS - Inspection Lot Record'!P:P,'QALS - Inspection Lot Record'!J:J)+RANDBETWEEN(0,1),"")</f>
        <v>45921</v>
      </c>
      <c r="G104" s="41" t="s">
        <v>478</v>
      </c>
      <c r="H104" s="34">
        <v>45300</v>
      </c>
      <c r="I104" s="29" t="s">
        <v>484</v>
      </c>
    </row>
    <row r="105" spans="1:9" x14ac:dyDescent="0.35">
      <c r="A105" s="31">
        <v>200000558</v>
      </c>
      <c r="B105" s="31">
        <v>1010</v>
      </c>
      <c r="C105" s="31">
        <v>4104</v>
      </c>
      <c r="D105" s="29" t="str">
        <f>LOOKUP('CAPA-old'!C105,'QALS - Inspection Lot Record'!P:P,'QALS - Inspection Lot Record'!O:O)</f>
        <v>Ibuprofen Tablets (100 MG)</v>
      </c>
      <c r="E105" s="31">
        <v>21.2</v>
      </c>
      <c r="F105" s="34">
        <f ca="1">IF(TODAY()&gt;=LOOKUP(C105,'QALS - Inspection Lot Record'!P:P,'QALS - Inspection Lot Record'!J:J)+RANDBETWEEN(0,1),LOOKUP(C105,'QALS - Inspection Lot Record'!P:P,'QALS - Inspection Lot Record'!J:J)+RANDBETWEEN(0,1),"")</f>
        <v>45921</v>
      </c>
      <c r="G105" s="41" t="s">
        <v>483</v>
      </c>
      <c r="H105" s="34">
        <v>45300</v>
      </c>
      <c r="I105" s="29" t="s">
        <v>477</v>
      </c>
    </row>
    <row r="106" spans="1:9" x14ac:dyDescent="0.35">
      <c r="A106" s="31">
        <v>200000559</v>
      </c>
      <c r="B106" s="31">
        <v>1010</v>
      </c>
      <c r="C106" s="31">
        <v>4107</v>
      </c>
      <c r="D106" s="29" t="str">
        <f>LOOKUP('CAPA-old'!C106,'QALS - Inspection Lot Record'!P:P,'QALS - Inspection Lot Record'!O:O)</f>
        <v>Metformin Tablets (500 MG)</v>
      </c>
      <c r="E106" s="31">
        <v>93.3</v>
      </c>
      <c r="F106" s="34">
        <f ca="1">IF(TODAY()&gt;=LOOKUP(C106,'QALS - Inspection Lot Record'!P:P,'QALS - Inspection Lot Record'!J:J)+RANDBETWEEN(0,1),LOOKUP(C106,'QALS - Inspection Lot Record'!P:P,'QALS - Inspection Lot Record'!J:J)+RANDBETWEEN(0,1),"")</f>
        <v>45923</v>
      </c>
      <c r="G106" s="41" t="s">
        <v>472</v>
      </c>
      <c r="H106" s="34">
        <v>45301</v>
      </c>
      <c r="I106" s="29" t="s">
        <v>475</v>
      </c>
    </row>
    <row r="107" spans="1:9" x14ac:dyDescent="0.35">
      <c r="A107" s="31">
        <v>200000559</v>
      </c>
      <c r="B107" s="31">
        <v>1010</v>
      </c>
      <c r="C107" s="31">
        <v>4107</v>
      </c>
      <c r="D107" s="29" t="str">
        <f>LOOKUP('CAPA-old'!C107,'QALS - Inspection Lot Record'!P:P,'QALS - Inspection Lot Record'!O:O)</f>
        <v>Metformin Tablets (500 MG)</v>
      </c>
      <c r="E107" s="31">
        <v>38.799999999999997</v>
      </c>
      <c r="F107" s="34">
        <f ca="1">IF(TODAY()&gt;=LOOKUP(C107,'QALS - Inspection Lot Record'!P:P,'QALS - Inspection Lot Record'!J:J)+RANDBETWEEN(0,1),LOOKUP(C107,'QALS - Inspection Lot Record'!P:P,'QALS - Inspection Lot Record'!J:J)+RANDBETWEEN(0,1),"")</f>
        <v>45923</v>
      </c>
      <c r="G107" s="41" t="s">
        <v>478</v>
      </c>
      <c r="H107" s="34">
        <v>45301</v>
      </c>
      <c r="I107" s="29" t="s">
        <v>475</v>
      </c>
    </row>
    <row r="108" spans="1:9" x14ac:dyDescent="0.35">
      <c r="A108" s="31">
        <v>200000559</v>
      </c>
      <c r="B108" s="31">
        <v>1010</v>
      </c>
      <c r="C108" s="31">
        <v>4107</v>
      </c>
      <c r="D108" s="29" t="str">
        <f>LOOKUP('CAPA-old'!C108,'QALS - Inspection Lot Record'!P:P,'QALS - Inspection Lot Record'!O:O)</f>
        <v>Metformin Tablets (500 MG)</v>
      </c>
      <c r="E108" s="31">
        <v>78</v>
      </c>
      <c r="F108" s="34">
        <f ca="1">IF(TODAY()&gt;=LOOKUP(C108,'QALS - Inspection Lot Record'!P:P,'QALS - Inspection Lot Record'!J:J)+RANDBETWEEN(0,1),LOOKUP(C108,'QALS - Inspection Lot Record'!P:P,'QALS - Inspection Lot Record'!J:J)+RANDBETWEEN(0,1),"")</f>
        <v>45924</v>
      </c>
      <c r="G108" s="41" t="s">
        <v>486</v>
      </c>
      <c r="H108" s="34">
        <v>45302</v>
      </c>
      <c r="I108" s="29" t="s">
        <v>488</v>
      </c>
    </row>
    <row r="109" spans="1:9" x14ac:dyDescent="0.35">
      <c r="A109" s="31">
        <v>200000560</v>
      </c>
      <c r="B109" s="31">
        <v>1010</v>
      </c>
      <c r="C109" s="31">
        <v>4108</v>
      </c>
      <c r="D109" s="29" t="str">
        <f>LOOKUP('CAPA-old'!C109,'QALS - Inspection Lot Record'!P:P,'QALS - Inspection Lot Record'!O:O)</f>
        <v>Metformin Tablets (200 MG)</v>
      </c>
      <c r="E109" s="31">
        <v>78.400000000000006</v>
      </c>
      <c r="F109" s="34">
        <f ca="1">IF(TODAY()&gt;=LOOKUP(C109,'QALS - Inspection Lot Record'!P:P,'QALS - Inspection Lot Record'!J:J)+RANDBETWEEN(0,1),LOOKUP(C109,'QALS - Inspection Lot Record'!P:P,'QALS - Inspection Lot Record'!J:J)+RANDBETWEEN(0,1),"")</f>
        <v>45923</v>
      </c>
      <c r="G109" s="41" t="s">
        <v>486</v>
      </c>
      <c r="H109" s="34">
        <v>45301</v>
      </c>
      <c r="I109" s="29" t="s">
        <v>495</v>
      </c>
    </row>
    <row r="110" spans="1:9" x14ac:dyDescent="0.35">
      <c r="A110" s="31">
        <v>200000560</v>
      </c>
      <c r="B110" s="31">
        <v>1010</v>
      </c>
      <c r="C110" s="31">
        <v>4108</v>
      </c>
      <c r="D110" s="29" t="str">
        <f>LOOKUP('CAPA-old'!C110,'QALS - Inspection Lot Record'!P:P,'QALS - Inspection Lot Record'!O:O)</f>
        <v>Metformin Tablets (200 MG)</v>
      </c>
      <c r="E110" s="31">
        <v>21</v>
      </c>
      <c r="F110" s="34">
        <f ca="1">IF(TODAY()&gt;=LOOKUP(C110,'QALS - Inspection Lot Record'!P:P,'QALS - Inspection Lot Record'!J:J)+RANDBETWEEN(0,1),LOOKUP(C110,'QALS - Inspection Lot Record'!P:P,'QALS - Inspection Lot Record'!J:J)+RANDBETWEEN(0,1),"")</f>
        <v>45924</v>
      </c>
      <c r="G110" s="41" t="s">
        <v>483</v>
      </c>
      <c r="H110" s="34">
        <v>45301</v>
      </c>
      <c r="I110" s="29" t="s">
        <v>477</v>
      </c>
    </row>
    <row r="111" spans="1:9" x14ac:dyDescent="0.35">
      <c r="A111" s="31">
        <v>200000561</v>
      </c>
      <c r="B111" s="31">
        <v>1010</v>
      </c>
      <c r="C111" s="31">
        <v>4111</v>
      </c>
      <c r="D111" s="29" t="str">
        <f>LOOKUP('CAPA-old'!C111,'QALS - Inspection Lot Record'!P:P,'QALS - Inspection Lot Record'!O:O)</f>
        <v>Metformin Tablets (100 MG)</v>
      </c>
      <c r="E111" s="31">
        <v>93.3</v>
      </c>
      <c r="F111" s="34">
        <f ca="1">IF(TODAY()&gt;=LOOKUP(C111,'QALS - Inspection Lot Record'!P:P,'QALS - Inspection Lot Record'!J:J)+RANDBETWEEN(0,1),LOOKUP(C111,'QALS - Inspection Lot Record'!P:P,'QALS - Inspection Lot Record'!J:J)+RANDBETWEEN(0,1),"")</f>
        <v>45926</v>
      </c>
      <c r="G111" s="41" t="s">
        <v>472</v>
      </c>
      <c r="H111" s="34">
        <v>45304</v>
      </c>
      <c r="I111" s="29" t="s">
        <v>481</v>
      </c>
    </row>
    <row r="112" spans="1:9" x14ac:dyDescent="0.35">
      <c r="A112" s="31">
        <v>200000561</v>
      </c>
      <c r="B112" s="31">
        <v>1010</v>
      </c>
      <c r="C112" s="31">
        <v>4111</v>
      </c>
      <c r="D112" s="29" t="str">
        <f>LOOKUP('CAPA-old'!C112,'QALS - Inspection Lot Record'!P:P,'QALS - Inspection Lot Record'!O:O)</f>
        <v>Metformin Tablets (100 MG)</v>
      </c>
      <c r="E112" s="31">
        <v>2.2000000000000002</v>
      </c>
      <c r="F112" s="34">
        <f ca="1">IF(TODAY()&gt;=LOOKUP(C112,'QALS - Inspection Lot Record'!P:P,'QALS - Inspection Lot Record'!J:J)+RANDBETWEEN(0,1),LOOKUP(C112,'QALS - Inspection Lot Record'!P:P,'QALS - Inspection Lot Record'!J:J)+RANDBETWEEN(0,1),"")</f>
        <v>45925</v>
      </c>
      <c r="G112" s="41" t="s">
        <v>474</v>
      </c>
      <c r="H112" s="34">
        <v>45303</v>
      </c>
      <c r="I112" s="29" t="s">
        <v>496</v>
      </c>
    </row>
    <row r="113" spans="1:9" x14ac:dyDescent="0.35">
      <c r="A113" s="31">
        <v>200000561</v>
      </c>
      <c r="B113" s="31">
        <v>1010</v>
      </c>
      <c r="C113" s="31">
        <v>4111</v>
      </c>
      <c r="D113" s="29" t="str">
        <f>LOOKUP('CAPA-old'!C113,'QALS - Inspection Lot Record'!P:P,'QALS - Inspection Lot Record'!O:O)</f>
        <v>Metformin Tablets (100 MG)</v>
      </c>
      <c r="E113" s="31">
        <v>69</v>
      </c>
      <c r="F113" s="34">
        <f ca="1">IF(TODAY()&gt;=LOOKUP(C113,'QALS - Inspection Lot Record'!P:P,'QALS - Inspection Lot Record'!J:J)+RANDBETWEEN(0,1),LOOKUP(C113,'QALS - Inspection Lot Record'!P:P,'QALS - Inspection Lot Record'!J:J)+RANDBETWEEN(0,1),"")</f>
        <v>45926</v>
      </c>
      <c r="G113" s="41" t="s">
        <v>480</v>
      </c>
      <c r="H113" s="34">
        <v>45305</v>
      </c>
      <c r="I113" s="29" t="s">
        <v>477</v>
      </c>
    </row>
    <row r="114" spans="1:9" x14ac:dyDescent="0.35">
      <c r="A114" s="31">
        <v>200000561</v>
      </c>
      <c r="B114" s="31">
        <v>1010</v>
      </c>
      <c r="C114" s="31">
        <v>4111</v>
      </c>
      <c r="D114" s="29" t="str">
        <f>LOOKUP('CAPA-old'!C114,'QALS - Inspection Lot Record'!P:P,'QALS - Inspection Lot Record'!O:O)</f>
        <v>Metformin Tablets (100 MG)</v>
      </c>
      <c r="E114" s="31">
        <v>78.7</v>
      </c>
      <c r="F114" s="34">
        <f ca="1">IF(TODAY()&gt;=LOOKUP(C114,'QALS - Inspection Lot Record'!P:P,'QALS - Inspection Lot Record'!J:J)+RANDBETWEEN(0,1),LOOKUP(C114,'QALS - Inspection Lot Record'!P:P,'QALS - Inspection Lot Record'!J:J)+RANDBETWEEN(0,1),"")</f>
        <v>45925</v>
      </c>
      <c r="G114" s="41" t="s">
        <v>486</v>
      </c>
      <c r="H114" s="34">
        <v>45303</v>
      </c>
      <c r="I114" s="29" t="s">
        <v>477</v>
      </c>
    </row>
    <row r="115" spans="1:9" x14ac:dyDescent="0.35">
      <c r="A115" s="31">
        <v>200000562</v>
      </c>
      <c r="B115" s="31">
        <v>1010</v>
      </c>
      <c r="C115" s="31">
        <v>4112</v>
      </c>
      <c r="D115" s="29" t="str">
        <f>LOOKUP('CAPA-old'!C115,'QALS - Inspection Lot Record'!P:P,'QALS - Inspection Lot Record'!O:O)</f>
        <v>Ibuprofen Tablets (100 MG)</v>
      </c>
      <c r="E115" s="31">
        <v>93.5</v>
      </c>
      <c r="F115" s="34">
        <f ca="1">IF(TODAY()&gt;=LOOKUP(C115,'QALS - Inspection Lot Record'!P:P,'QALS - Inspection Lot Record'!J:J)+RANDBETWEEN(0,1),LOOKUP(C115,'QALS - Inspection Lot Record'!P:P,'QALS - Inspection Lot Record'!J:J)+RANDBETWEEN(0,1),"")</f>
        <v>45925</v>
      </c>
      <c r="G115" s="41" t="s">
        <v>472</v>
      </c>
      <c r="H115" s="34">
        <v>45303</v>
      </c>
      <c r="I115" s="29" t="s">
        <v>484</v>
      </c>
    </row>
    <row r="116" spans="1:9" x14ac:dyDescent="0.35">
      <c r="A116" s="31">
        <v>200000562</v>
      </c>
      <c r="B116" s="31">
        <v>1010</v>
      </c>
      <c r="C116" s="31">
        <v>4112</v>
      </c>
      <c r="D116" s="29" t="str">
        <f>LOOKUP('CAPA-old'!C116,'QALS - Inspection Lot Record'!P:P,'QALS - Inspection Lot Record'!O:O)</f>
        <v>Ibuprofen Tablets (100 MG)</v>
      </c>
      <c r="E116" s="31">
        <v>2.4</v>
      </c>
      <c r="F116" s="34">
        <f ca="1">IF(TODAY()&gt;=LOOKUP(C116,'QALS - Inspection Lot Record'!P:P,'QALS - Inspection Lot Record'!J:J)+RANDBETWEEN(0,1),LOOKUP(C116,'QALS - Inspection Lot Record'!P:P,'QALS - Inspection Lot Record'!J:J)+RANDBETWEEN(0,1),"")</f>
        <v>45926</v>
      </c>
      <c r="G116" s="41" t="s">
        <v>474</v>
      </c>
      <c r="H116" s="34">
        <v>45302</v>
      </c>
      <c r="I116" s="29" t="s">
        <v>477</v>
      </c>
    </row>
    <row r="117" spans="1:9" x14ac:dyDescent="0.35">
      <c r="A117" s="31">
        <v>200000562</v>
      </c>
      <c r="B117" s="31">
        <v>1010</v>
      </c>
      <c r="C117" s="31">
        <v>4112</v>
      </c>
      <c r="D117" s="29" t="str">
        <f>LOOKUP('CAPA-old'!C117,'QALS - Inspection Lot Record'!P:P,'QALS - Inspection Lot Record'!O:O)</f>
        <v>Ibuprofen Tablets (100 MG)</v>
      </c>
      <c r="E117" s="31">
        <v>63</v>
      </c>
      <c r="F117" s="34">
        <f ca="1">IF(TODAY()&gt;=LOOKUP(C117,'QALS - Inspection Lot Record'!P:P,'QALS - Inspection Lot Record'!J:J)+RANDBETWEEN(0,1),LOOKUP(C117,'QALS - Inspection Lot Record'!P:P,'QALS - Inspection Lot Record'!J:J)+RANDBETWEEN(0,1),"")</f>
        <v>45925</v>
      </c>
      <c r="G117" s="41" t="s">
        <v>498</v>
      </c>
      <c r="H117" s="34">
        <v>45302</v>
      </c>
      <c r="I117" s="29" t="s">
        <v>499</v>
      </c>
    </row>
    <row r="118" spans="1:9" x14ac:dyDescent="0.35">
      <c r="A118" s="31">
        <v>200000562</v>
      </c>
      <c r="B118" s="31">
        <v>1010</v>
      </c>
      <c r="C118" s="31">
        <v>4112</v>
      </c>
      <c r="D118" s="29" t="str">
        <f>LOOKUP('CAPA-old'!C118,'QALS - Inspection Lot Record'!P:P,'QALS - Inspection Lot Record'!O:O)</f>
        <v>Ibuprofen Tablets (100 MG)</v>
      </c>
      <c r="E118" s="31">
        <v>21.8</v>
      </c>
      <c r="F118" s="34">
        <f ca="1">IF(TODAY()&gt;=LOOKUP(C118,'QALS - Inspection Lot Record'!P:P,'QALS - Inspection Lot Record'!J:J)+RANDBETWEEN(0,1),LOOKUP(C118,'QALS - Inspection Lot Record'!P:P,'QALS - Inspection Lot Record'!J:J)+RANDBETWEEN(0,1),"")</f>
        <v>45926</v>
      </c>
      <c r="G118" s="41" t="s">
        <v>483</v>
      </c>
      <c r="H118" s="34">
        <v>45303</v>
      </c>
      <c r="I118" s="29" t="s">
        <v>475</v>
      </c>
    </row>
    <row r="119" spans="1:9" x14ac:dyDescent="0.35">
      <c r="A119" s="31">
        <v>200000563</v>
      </c>
      <c r="B119" s="31">
        <v>1010</v>
      </c>
      <c r="C119" s="31">
        <v>4115</v>
      </c>
      <c r="D119" s="29" t="str">
        <f>LOOKUP('CAPA-old'!C119,'QALS - Inspection Lot Record'!P:P,'QALS - Inspection Lot Record'!O:O)</f>
        <v>Ibuprofen Tablets (100 MG)</v>
      </c>
      <c r="E119" s="31">
        <v>93.1</v>
      </c>
      <c r="F119" s="34">
        <f ca="1">IF(TODAY()&gt;=LOOKUP(C119,'QALS - Inspection Lot Record'!P:P,'QALS - Inspection Lot Record'!J:J)+RANDBETWEEN(0,1),LOOKUP(C119,'QALS - Inspection Lot Record'!P:P,'QALS - Inspection Lot Record'!J:J)+RANDBETWEEN(0,1),"")</f>
        <v>45927</v>
      </c>
      <c r="G119" s="41" t="s">
        <v>472</v>
      </c>
      <c r="H119" s="34">
        <v>45306</v>
      </c>
      <c r="I119" s="29" t="s">
        <v>477</v>
      </c>
    </row>
    <row r="120" spans="1:9" x14ac:dyDescent="0.35">
      <c r="A120" s="31">
        <v>200000563</v>
      </c>
      <c r="B120" s="31">
        <v>1010</v>
      </c>
      <c r="C120" s="31">
        <v>4115</v>
      </c>
      <c r="D120" s="29" t="str">
        <f>LOOKUP('CAPA-old'!C120,'QALS - Inspection Lot Record'!P:P,'QALS - Inspection Lot Record'!O:O)</f>
        <v>Ibuprofen Tablets (100 MG)</v>
      </c>
      <c r="E120" s="31">
        <v>1.8</v>
      </c>
      <c r="F120" s="34">
        <f ca="1">IF(TODAY()&gt;=LOOKUP(C120,'QALS - Inspection Lot Record'!P:P,'QALS - Inspection Lot Record'!J:J)+RANDBETWEEN(0,1),LOOKUP(C120,'QALS - Inspection Lot Record'!P:P,'QALS - Inspection Lot Record'!J:J)+RANDBETWEEN(0,1),"")</f>
        <v>45927</v>
      </c>
      <c r="G120" s="41" t="s">
        <v>474</v>
      </c>
      <c r="H120" s="34">
        <v>45306</v>
      </c>
      <c r="I120" s="29" t="s">
        <v>484</v>
      </c>
    </row>
    <row r="121" spans="1:9" x14ac:dyDescent="0.35">
      <c r="A121" s="31">
        <v>200000563</v>
      </c>
      <c r="B121" s="31">
        <v>1010</v>
      </c>
      <c r="C121" s="31">
        <v>4115</v>
      </c>
      <c r="D121" s="29" t="str">
        <f>LOOKUP('CAPA-old'!C121,'QALS - Inspection Lot Record'!P:P,'QALS - Inspection Lot Record'!O:O)</f>
        <v>Ibuprofen Tablets (100 MG)</v>
      </c>
      <c r="E121" s="31">
        <v>78.3</v>
      </c>
      <c r="F121" s="34">
        <f ca="1">IF(TODAY()&gt;=LOOKUP(C121,'QALS - Inspection Lot Record'!P:P,'QALS - Inspection Lot Record'!J:J)+RANDBETWEEN(0,1),LOOKUP(C121,'QALS - Inspection Lot Record'!P:P,'QALS - Inspection Lot Record'!J:J)+RANDBETWEEN(0,1),"")</f>
        <v>45928</v>
      </c>
      <c r="G121" s="41" t="s">
        <v>486</v>
      </c>
      <c r="H121" s="34">
        <v>45306</v>
      </c>
      <c r="I121" s="29" t="s">
        <v>488</v>
      </c>
    </row>
    <row r="122" spans="1:9" x14ac:dyDescent="0.35">
      <c r="A122" s="31">
        <v>200000564</v>
      </c>
      <c r="B122" s="31">
        <v>1010</v>
      </c>
      <c r="C122" s="31">
        <v>4116</v>
      </c>
      <c r="D122" s="29" t="str">
        <f>LOOKUP('CAPA-old'!C122,'QALS - Inspection Lot Record'!P:P,'QALS - Inspection Lot Record'!O:O)</f>
        <v>Metformin Tablets (100 MG)</v>
      </c>
      <c r="E122" s="31">
        <v>2</v>
      </c>
      <c r="F122" s="34">
        <f ca="1">IF(TODAY()&gt;=LOOKUP(C122,'QALS - Inspection Lot Record'!P:P,'QALS - Inspection Lot Record'!J:J)+RANDBETWEEN(0,1),LOOKUP(C122,'QALS - Inspection Lot Record'!P:P,'QALS - Inspection Lot Record'!J:J)+RANDBETWEEN(0,1),"")</f>
        <v>45928</v>
      </c>
      <c r="G122" s="41" t="s">
        <v>474</v>
      </c>
      <c r="H122" s="34">
        <v>45306</v>
      </c>
      <c r="I122" s="29" t="s">
        <v>477</v>
      </c>
    </row>
    <row r="123" spans="1:9" x14ac:dyDescent="0.35">
      <c r="A123" s="31">
        <v>200000564</v>
      </c>
      <c r="B123" s="31">
        <v>1010</v>
      </c>
      <c r="C123" s="31">
        <v>4116</v>
      </c>
      <c r="D123" s="29" t="str">
        <f>LOOKUP('CAPA-old'!C123,'QALS - Inspection Lot Record'!P:P,'QALS - Inspection Lot Record'!O:O)</f>
        <v>Metformin Tablets (100 MG)</v>
      </c>
      <c r="E123" s="31">
        <v>78.7</v>
      </c>
      <c r="F123" s="34">
        <f ca="1">IF(TODAY()&gt;=LOOKUP(C123,'QALS - Inspection Lot Record'!P:P,'QALS - Inspection Lot Record'!J:J)+RANDBETWEEN(0,1),LOOKUP(C123,'QALS - Inspection Lot Record'!P:P,'QALS - Inspection Lot Record'!J:J)+RANDBETWEEN(0,1),"")</f>
        <v>45927</v>
      </c>
      <c r="G123" s="41" t="s">
        <v>486</v>
      </c>
      <c r="H123" s="34">
        <v>45305</v>
      </c>
      <c r="I123" s="29" t="s">
        <v>484</v>
      </c>
    </row>
    <row r="124" spans="1:9" x14ac:dyDescent="0.35">
      <c r="A124" s="31">
        <v>200000564</v>
      </c>
      <c r="B124" s="31">
        <v>1010</v>
      </c>
      <c r="C124" s="31">
        <v>4116</v>
      </c>
      <c r="D124" s="29" t="str">
        <f>LOOKUP('CAPA-old'!C124,'QALS - Inspection Lot Record'!P:P,'QALS - Inspection Lot Record'!O:O)</f>
        <v>Metformin Tablets (100 MG)</v>
      </c>
      <c r="E124" s="31">
        <v>21.5</v>
      </c>
      <c r="F124" s="34">
        <f ca="1">IF(TODAY()&gt;=LOOKUP(C124,'QALS - Inspection Lot Record'!P:P,'QALS - Inspection Lot Record'!J:J)+RANDBETWEEN(0,1),LOOKUP(C124,'QALS - Inspection Lot Record'!P:P,'QALS - Inspection Lot Record'!J:J)+RANDBETWEEN(0,1),"")</f>
        <v>45928</v>
      </c>
      <c r="G124" s="41" t="s">
        <v>483</v>
      </c>
      <c r="H124" s="34">
        <v>45306</v>
      </c>
      <c r="I124" s="29" t="s">
        <v>477</v>
      </c>
    </row>
    <row r="125" spans="1:9" x14ac:dyDescent="0.35">
      <c r="A125" s="31">
        <v>200000565</v>
      </c>
      <c r="B125" s="31">
        <v>1010</v>
      </c>
      <c r="C125" s="31">
        <v>4119</v>
      </c>
      <c r="D125" s="29" t="str">
        <f>LOOKUP('CAPA-old'!C125,'QALS - Inspection Lot Record'!P:P,'QALS - Inspection Lot Record'!O:O)</f>
        <v>Ibuprofen Tablets (100 MG)</v>
      </c>
      <c r="E125" s="31">
        <v>93.2</v>
      </c>
      <c r="F125" s="34">
        <f ca="1">IF(TODAY()&gt;=LOOKUP(C125,'QALS - Inspection Lot Record'!P:P,'QALS - Inspection Lot Record'!J:J)+RANDBETWEEN(0,1),LOOKUP(C125,'QALS - Inspection Lot Record'!P:P,'QALS - Inspection Lot Record'!J:J)+RANDBETWEEN(0,1),"")</f>
        <v>45930</v>
      </c>
      <c r="G125" s="41" t="s">
        <v>472</v>
      </c>
      <c r="H125" s="34">
        <v>45309</v>
      </c>
      <c r="I125" s="29" t="s">
        <v>475</v>
      </c>
    </row>
    <row r="126" spans="1:9" x14ac:dyDescent="0.35">
      <c r="A126" s="31">
        <v>200000566</v>
      </c>
      <c r="B126" s="31">
        <v>1010</v>
      </c>
      <c r="C126" s="31">
        <v>4121</v>
      </c>
      <c r="D126" s="29" t="str">
        <f>LOOKUP('CAPA-old'!C126,'QALS - Inspection Lot Record'!P:P,'QALS - Inspection Lot Record'!O:O)</f>
        <v>Aspirin Tablets (500 MG)</v>
      </c>
      <c r="E126" s="31">
        <v>93.5</v>
      </c>
      <c r="F126" s="34">
        <f ca="1">IF(TODAY()&gt;=LOOKUP(C126,'QALS - Inspection Lot Record'!P:P,'QALS - Inspection Lot Record'!J:J)+RANDBETWEEN(0,1),LOOKUP(C126,'QALS - Inspection Lot Record'!P:P,'QALS - Inspection Lot Record'!J:J)+RANDBETWEEN(0,1),"")</f>
        <v>45931</v>
      </c>
      <c r="G126" s="41" t="s">
        <v>472</v>
      </c>
      <c r="H126" s="34">
        <v>45309</v>
      </c>
      <c r="I126" s="29" t="s">
        <v>473</v>
      </c>
    </row>
    <row r="127" spans="1:9" x14ac:dyDescent="0.35">
      <c r="A127" s="31">
        <v>200000566</v>
      </c>
      <c r="B127" s="31">
        <v>1010</v>
      </c>
      <c r="C127" s="31">
        <v>4121</v>
      </c>
      <c r="D127" s="29" t="str">
        <f>LOOKUP('CAPA-old'!C127,'QALS - Inspection Lot Record'!P:P,'QALS - Inspection Lot Record'!O:O)</f>
        <v>Aspirin Tablets (500 MG)</v>
      </c>
      <c r="E127" s="31">
        <v>3</v>
      </c>
      <c r="F127" s="34">
        <f ca="1">IF(TODAY()&gt;=LOOKUP(C127,'QALS - Inspection Lot Record'!P:P,'QALS - Inspection Lot Record'!J:J)+RANDBETWEEN(0,1),LOOKUP(C127,'QALS - Inspection Lot Record'!P:P,'QALS - Inspection Lot Record'!J:J)+RANDBETWEEN(0,1),"")</f>
        <v>45930</v>
      </c>
      <c r="G127" s="41" t="s">
        <v>476</v>
      </c>
      <c r="H127" s="34">
        <v>45309</v>
      </c>
      <c r="I127" s="29" t="s">
        <v>492</v>
      </c>
    </row>
    <row r="128" spans="1:9" x14ac:dyDescent="0.35">
      <c r="A128" s="31">
        <v>200000566</v>
      </c>
      <c r="B128" s="31">
        <v>1010</v>
      </c>
      <c r="C128" s="31">
        <v>4121</v>
      </c>
      <c r="D128" s="29" t="str">
        <f>LOOKUP('CAPA-old'!C128,'QALS - Inspection Lot Record'!P:P,'QALS - Inspection Lot Record'!O:O)</f>
        <v>Aspirin Tablets (500 MG)</v>
      </c>
      <c r="E128" s="31">
        <v>38.700000000000003</v>
      </c>
      <c r="F128" s="34">
        <f ca="1">IF(TODAY()&gt;=LOOKUP(C128,'QALS - Inspection Lot Record'!P:P,'QALS - Inspection Lot Record'!J:J)+RANDBETWEEN(0,1),LOOKUP(C128,'QALS - Inspection Lot Record'!P:P,'QALS - Inspection Lot Record'!J:J)+RANDBETWEEN(0,1),"")</f>
        <v>45930</v>
      </c>
      <c r="G128" s="41" t="s">
        <v>478</v>
      </c>
      <c r="H128" s="34">
        <v>45308</v>
      </c>
      <c r="I128" s="29" t="s">
        <v>491</v>
      </c>
    </row>
    <row r="129" spans="1:9" x14ac:dyDescent="0.35">
      <c r="A129" s="31">
        <v>200000566</v>
      </c>
      <c r="B129" s="31">
        <v>1010</v>
      </c>
      <c r="C129" s="31">
        <v>4121</v>
      </c>
      <c r="D129" s="29" t="str">
        <f>LOOKUP('CAPA-old'!C129,'QALS - Inspection Lot Record'!P:P,'QALS - Inspection Lot Record'!O:O)</f>
        <v>Aspirin Tablets (500 MG)</v>
      </c>
      <c r="E129" s="31">
        <v>21.9</v>
      </c>
      <c r="F129" s="34">
        <f ca="1">IF(TODAY()&gt;=LOOKUP(C129,'QALS - Inspection Lot Record'!P:P,'QALS - Inspection Lot Record'!J:J)+RANDBETWEEN(0,1),LOOKUP(C129,'QALS - Inspection Lot Record'!P:P,'QALS - Inspection Lot Record'!J:J)+RANDBETWEEN(0,1),"")</f>
        <v>45931</v>
      </c>
      <c r="G129" s="41" t="s">
        <v>483</v>
      </c>
      <c r="H129" s="34">
        <v>45307</v>
      </c>
      <c r="I129" s="29" t="s">
        <v>477</v>
      </c>
    </row>
    <row r="130" spans="1:9" x14ac:dyDescent="0.35">
      <c r="A130" s="31">
        <v>200000567</v>
      </c>
      <c r="B130" s="31">
        <v>1010</v>
      </c>
      <c r="C130" s="31">
        <v>4122</v>
      </c>
      <c r="D130" s="29" t="str">
        <f>LOOKUP('CAPA-old'!C130,'QALS - Inspection Lot Record'!P:P,'QALS - Inspection Lot Record'!O:O)</f>
        <v>Metformin Tablets (100 MG)</v>
      </c>
      <c r="E130" s="31">
        <v>93.8</v>
      </c>
      <c r="F130" s="34">
        <f ca="1">IF(TODAY()&gt;=LOOKUP(C130,'QALS - Inspection Lot Record'!P:P,'QALS - Inspection Lot Record'!J:J)+RANDBETWEEN(0,1),LOOKUP(C130,'QALS - Inspection Lot Record'!P:P,'QALS - Inspection Lot Record'!J:J)+RANDBETWEEN(0,1),"")</f>
        <v>45930</v>
      </c>
      <c r="G130" s="41" t="s">
        <v>472</v>
      </c>
      <c r="H130" s="34">
        <v>45309</v>
      </c>
      <c r="I130" s="29" t="s">
        <v>473</v>
      </c>
    </row>
    <row r="131" spans="1:9" x14ac:dyDescent="0.35">
      <c r="A131" s="31">
        <v>200000567</v>
      </c>
      <c r="B131" s="31">
        <v>1010</v>
      </c>
      <c r="C131" s="31">
        <v>4122</v>
      </c>
      <c r="D131" s="29" t="str">
        <f>LOOKUP('CAPA-old'!C131,'QALS - Inspection Lot Record'!P:P,'QALS - Inspection Lot Record'!O:O)</f>
        <v>Metformin Tablets (100 MG)</v>
      </c>
      <c r="E131" s="31">
        <v>2.4</v>
      </c>
      <c r="F131" s="34">
        <f ca="1">IF(TODAY()&gt;=LOOKUP(C131,'QALS - Inspection Lot Record'!P:P,'QALS - Inspection Lot Record'!J:J)+RANDBETWEEN(0,1),LOOKUP(C131,'QALS - Inspection Lot Record'!P:P,'QALS - Inspection Lot Record'!J:J)+RANDBETWEEN(0,1),"")</f>
        <v>45930</v>
      </c>
      <c r="G131" s="41" t="s">
        <v>474</v>
      </c>
      <c r="H131" s="34">
        <v>45309</v>
      </c>
      <c r="I131" s="29" t="s">
        <v>484</v>
      </c>
    </row>
    <row r="132" spans="1:9" x14ac:dyDescent="0.35">
      <c r="A132" s="31">
        <v>200000567</v>
      </c>
      <c r="B132" s="31">
        <v>1010</v>
      </c>
      <c r="C132" s="31">
        <v>4122</v>
      </c>
      <c r="D132" s="29" t="str">
        <f>LOOKUP('CAPA-old'!C132,'QALS - Inspection Lot Record'!P:P,'QALS - Inspection Lot Record'!O:O)</f>
        <v>Metformin Tablets (100 MG)</v>
      </c>
      <c r="E132" s="31">
        <v>1.2</v>
      </c>
      <c r="F132" s="34">
        <f ca="1">IF(TODAY()&gt;=LOOKUP(C132,'QALS - Inspection Lot Record'!P:P,'QALS - Inspection Lot Record'!J:J)+RANDBETWEEN(0,1),LOOKUP(C132,'QALS - Inspection Lot Record'!P:P,'QALS - Inspection Lot Record'!J:J)+RANDBETWEEN(0,1),"")</f>
        <v>45930</v>
      </c>
      <c r="G132" s="41" t="s">
        <v>476</v>
      </c>
      <c r="H132" s="34">
        <v>45310</v>
      </c>
      <c r="I132" s="29" t="s">
        <v>493</v>
      </c>
    </row>
    <row r="133" spans="1:9" x14ac:dyDescent="0.35">
      <c r="A133" s="31">
        <v>200000567</v>
      </c>
      <c r="B133" s="31">
        <v>1010</v>
      </c>
      <c r="C133" s="31">
        <v>4122</v>
      </c>
      <c r="D133" s="29" t="str">
        <f>LOOKUP('CAPA-old'!C133,'QALS - Inspection Lot Record'!P:P,'QALS - Inspection Lot Record'!O:O)</f>
        <v>Metformin Tablets (100 MG)</v>
      </c>
      <c r="E133" s="31">
        <v>38.799999999999997</v>
      </c>
      <c r="F133" s="34">
        <f ca="1">IF(TODAY()&gt;=LOOKUP(C133,'QALS - Inspection Lot Record'!P:P,'QALS - Inspection Lot Record'!J:J)+RANDBETWEEN(0,1),LOOKUP(C133,'QALS - Inspection Lot Record'!P:P,'QALS - Inspection Lot Record'!J:J)+RANDBETWEEN(0,1),"")</f>
        <v>45931</v>
      </c>
      <c r="G133" s="41" t="s">
        <v>478</v>
      </c>
      <c r="H133" s="34">
        <v>45308</v>
      </c>
      <c r="I133" s="29" t="s">
        <v>479</v>
      </c>
    </row>
    <row r="134" spans="1:9" x14ac:dyDescent="0.35">
      <c r="A134" s="31">
        <v>200000568</v>
      </c>
      <c r="B134" s="31">
        <v>1010</v>
      </c>
      <c r="C134" s="31">
        <v>4123</v>
      </c>
      <c r="D134" s="29" t="str">
        <f>LOOKUP('CAPA-old'!C134,'QALS - Inspection Lot Record'!P:P,'QALS - Inspection Lot Record'!O:O)</f>
        <v>Metformin Tablets (200 MG)</v>
      </c>
      <c r="E134" s="31">
        <v>4.9000000000000004</v>
      </c>
      <c r="F134" s="34">
        <f ca="1">IF(TODAY()&gt;=LOOKUP(C134,'QALS - Inspection Lot Record'!P:P,'QALS - Inspection Lot Record'!J:J)+RANDBETWEEN(0,1),LOOKUP(C134,'QALS - Inspection Lot Record'!P:P,'QALS - Inspection Lot Record'!J:J)+RANDBETWEEN(0,1),"")</f>
        <v>45931</v>
      </c>
      <c r="G134" s="41" t="s">
        <v>474</v>
      </c>
      <c r="H134" s="34">
        <v>45309</v>
      </c>
      <c r="I134" s="29" t="s">
        <v>477</v>
      </c>
    </row>
    <row r="135" spans="1:9" x14ac:dyDescent="0.35">
      <c r="A135" s="31">
        <v>200000568</v>
      </c>
      <c r="B135" s="31">
        <v>1010</v>
      </c>
      <c r="C135" s="31">
        <v>4123</v>
      </c>
      <c r="D135" s="29" t="str">
        <f>LOOKUP('CAPA-old'!C135,'QALS - Inspection Lot Record'!P:P,'QALS - Inspection Lot Record'!O:O)</f>
        <v>Metformin Tablets (200 MG)</v>
      </c>
      <c r="E135" s="31">
        <v>21.3</v>
      </c>
      <c r="F135" s="34">
        <f ca="1">IF(TODAY()&gt;=LOOKUP(C135,'QALS - Inspection Lot Record'!P:P,'QALS - Inspection Lot Record'!J:J)+RANDBETWEEN(0,1),LOOKUP(C135,'QALS - Inspection Lot Record'!P:P,'QALS - Inspection Lot Record'!J:J)+RANDBETWEEN(0,1),"")</f>
        <v>45931</v>
      </c>
      <c r="G135" s="41" t="s">
        <v>483</v>
      </c>
      <c r="H135" s="34">
        <v>45309</v>
      </c>
      <c r="I135" s="29" t="s">
        <v>481</v>
      </c>
    </row>
    <row r="136" spans="1:9" x14ac:dyDescent="0.35">
      <c r="A136" s="31">
        <v>200000569</v>
      </c>
      <c r="B136" s="31">
        <v>1010</v>
      </c>
      <c r="C136" s="31">
        <v>4125</v>
      </c>
      <c r="D136" s="29" t="str">
        <f>LOOKUP('CAPA-old'!C136,'QALS - Inspection Lot Record'!P:P,'QALS - Inspection Lot Record'!O:O)</f>
        <v>Aspirin Tablets (500 MG)</v>
      </c>
      <c r="E136" s="31">
        <v>93.3</v>
      </c>
      <c r="F136" s="34">
        <f ca="1">IF(TODAY()&gt;=LOOKUP(C136,'QALS - Inspection Lot Record'!P:P,'QALS - Inspection Lot Record'!J:J)+RANDBETWEEN(0,1),LOOKUP(C136,'QALS - Inspection Lot Record'!P:P,'QALS - Inspection Lot Record'!J:J)+RANDBETWEEN(0,1),"")</f>
        <v>45933</v>
      </c>
      <c r="G136" s="41" t="s">
        <v>472</v>
      </c>
      <c r="H136" s="34">
        <v>45311</v>
      </c>
      <c r="I136" s="29" t="s">
        <v>473</v>
      </c>
    </row>
    <row r="137" spans="1:9" x14ac:dyDescent="0.35">
      <c r="A137" s="31">
        <v>200000569</v>
      </c>
      <c r="B137" s="31">
        <v>1010</v>
      </c>
      <c r="C137" s="31">
        <v>4125</v>
      </c>
      <c r="D137" s="29" t="str">
        <f>LOOKUP('CAPA-old'!C137,'QALS - Inspection Lot Record'!P:P,'QALS - Inspection Lot Record'!O:O)</f>
        <v>Aspirin Tablets (500 MG)</v>
      </c>
      <c r="E137" s="31">
        <v>38.1</v>
      </c>
      <c r="F137" s="34">
        <f ca="1">IF(TODAY()&gt;=LOOKUP(C137,'QALS - Inspection Lot Record'!P:P,'QALS - Inspection Lot Record'!J:J)+RANDBETWEEN(0,1),LOOKUP(C137,'QALS - Inspection Lot Record'!P:P,'QALS - Inspection Lot Record'!J:J)+RANDBETWEEN(0,1),"")</f>
        <v>45933</v>
      </c>
      <c r="G137" s="41" t="s">
        <v>478</v>
      </c>
      <c r="H137" s="34">
        <v>45310</v>
      </c>
      <c r="I137" s="29" t="s">
        <v>475</v>
      </c>
    </row>
    <row r="138" spans="1:9" x14ac:dyDescent="0.35">
      <c r="A138" s="31">
        <v>200000569</v>
      </c>
      <c r="B138" s="31">
        <v>1010</v>
      </c>
      <c r="C138" s="31">
        <v>4125</v>
      </c>
      <c r="D138" s="29" t="str">
        <f>LOOKUP('CAPA-old'!C138,'QALS - Inspection Lot Record'!P:P,'QALS - Inspection Lot Record'!O:O)</f>
        <v>Aspirin Tablets (500 MG)</v>
      </c>
      <c r="E138" s="31">
        <v>68.599999999999994</v>
      </c>
      <c r="F138" s="34">
        <f ca="1">IF(TODAY()&gt;=LOOKUP(C138,'QALS - Inspection Lot Record'!P:P,'QALS - Inspection Lot Record'!J:J)+RANDBETWEEN(0,1),LOOKUP(C138,'QALS - Inspection Lot Record'!P:P,'QALS - Inspection Lot Record'!J:J)+RANDBETWEEN(0,1),"")</f>
        <v>45932</v>
      </c>
      <c r="G138" s="41" t="s">
        <v>480</v>
      </c>
      <c r="H138" s="34">
        <v>45309</v>
      </c>
      <c r="I138" s="29" t="s">
        <v>497</v>
      </c>
    </row>
    <row r="139" spans="1:9" x14ac:dyDescent="0.35">
      <c r="A139" s="31">
        <v>200000569</v>
      </c>
      <c r="B139" s="31">
        <v>1010</v>
      </c>
      <c r="C139" s="31">
        <v>4125</v>
      </c>
      <c r="D139" s="29" t="str">
        <f>LOOKUP('CAPA-old'!C139,'QALS - Inspection Lot Record'!P:P,'QALS - Inspection Lot Record'!O:O)</f>
        <v>Aspirin Tablets (500 MG)</v>
      </c>
      <c r="E139" s="31">
        <v>78.900000000000006</v>
      </c>
      <c r="F139" s="34">
        <f ca="1">IF(TODAY()&gt;=LOOKUP(C139,'QALS - Inspection Lot Record'!P:P,'QALS - Inspection Lot Record'!J:J)+RANDBETWEEN(0,1),LOOKUP(C139,'QALS - Inspection Lot Record'!P:P,'QALS - Inspection Lot Record'!J:J)+RANDBETWEEN(0,1),"")</f>
        <v>45932</v>
      </c>
      <c r="G139" s="41" t="s">
        <v>486</v>
      </c>
      <c r="H139" s="34">
        <v>45311</v>
      </c>
      <c r="I139" s="29" t="s">
        <v>477</v>
      </c>
    </row>
    <row r="140" spans="1:9" x14ac:dyDescent="0.35">
      <c r="A140" s="31">
        <v>200000570</v>
      </c>
      <c r="B140" s="31">
        <v>1010</v>
      </c>
      <c r="C140" s="31">
        <v>4126</v>
      </c>
      <c r="D140" s="29" t="str">
        <f>LOOKUP('CAPA-old'!C140,'QALS - Inspection Lot Record'!P:P,'QALS - Inspection Lot Record'!O:O)</f>
        <v>Metformin Tablets (100 MG)</v>
      </c>
      <c r="E140" s="31">
        <v>94</v>
      </c>
      <c r="F140" s="34">
        <f ca="1">IF(TODAY()&gt;=LOOKUP(C140,'QALS - Inspection Lot Record'!P:P,'QALS - Inspection Lot Record'!J:J)+RANDBETWEEN(0,1),LOOKUP(C140,'QALS - Inspection Lot Record'!P:P,'QALS - Inspection Lot Record'!J:J)+RANDBETWEEN(0,1),"")</f>
        <v>45932</v>
      </c>
      <c r="G140" s="41" t="s">
        <v>472</v>
      </c>
      <c r="H140" s="34">
        <v>45311</v>
      </c>
      <c r="I140" s="29" t="s">
        <v>482</v>
      </c>
    </row>
    <row r="141" spans="1:9" x14ac:dyDescent="0.35">
      <c r="A141" s="31">
        <v>200000570</v>
      </c>
      <c r="B141" s="31">
        <v>1010</v>
      </c>
      <c r="C141" s="31">
        <v>4126</v>
      </c>
      <c r="D141" s="29" t="str">
        <f>LOOKUP('CAPA-old'!C141,'QALS - Inspection Lot Record'!P:P,'QALS - Inspection Lot Record'!O:O)</f>
        <v>Metformin Tablets (100 MG)</v>
      </c>
      <c r="E141" s="31">
        <v>2.1</v>
      </c>
      <c r="F141" s="34">
        <f ca="1">IF(TODAY()&gt;=LOOKUP(C141,'QALS - Inspection Lot Record'!P:P,'QALS - Inspection Lot Record'!J:J)+RANDBETWEEN(0,1),LOOKUP(C141,'QALS - Inspection Lot Record'!P:P,'QALS - Inspection Lot Record'!J:J)+RANDBETWEEN(0,1),"")</f>
        <v>45932</v>
      </c>
      <c r="G141" s="41" t="s">
        <v>474</v>
      </c>
      <c r="H141" s="34">
        <v>45311</v>
      </c>
      <c r="I141" s="29" t="s">
        <v>496</v>
      </c>
    </row>
    <row r="142" spans="1:9" x14ac:dyDescent="0.35">
      <c r="A142" s="31">
        <v>200000570</v>
      </c>
      <c r="B142" s="31">
        <v>1010</v>
      </c>
      <c r="C142" s="31">
        <v>4126</v>
      </c>
      <c r="D142" s="29" t="str">
        <f>LOOKUP('CAPA-old'!C142,'QALS - Inspection Lot Record'!P:P,'QALS - Inspection Lot Record'!O:O)</f>
        <v>Metformin Tablets (100 MG)</v>
      </c>
      <c r="E142" s="31">
        <v>2</v>
      </c>
      <c r="F142" s="34">
        <f ca="1">IF(TODAY()&gt;=LOOKUP(C142,'QALS - Inspection Lot Record'!P:P,'QALS - Inspection Lot Record'!J:J)+RANDBETWEEN(0,1),LOOKUP(C142,'QALS - Inspection Lot Record'!P:P,'QALS - Inspection Lot Record'!J:J)+RANDBETWEEN(0,1),"")</f>
        <v>45932</v>
      </c>
      <c r="G142" s="41" t="s">
        <v>476</v>
      </c>
      <c r="H142" s="34">
        <v>45310</v>
      </c>
      <c r="I142" s="29" t="s">
        <v>487</v>
      </c>
    </row>
    <row r="143" spans="1:9" x14ac:dyDescent="0.35">
      <c r="A143" s="31">
        <v>200000570</v>
      </c>
      <c r="B143" s="31">
        <v>1010</v>
      </c>
      <c r="C143" s="31">
        <v>4126</v>
      </c>
      <c r="D143" s="29" t="str">
        <f>LOOKUP('CAPA-old'!C143,'QALS - Inspection Lot Record'!P:P,'QALS - Inspection Lot Record'!O:O)</f>
        <v>Metformin Tablets (100 MG)</v>
      </c>
      <c r="E143" s="31">
        <v>62</v>
      </c>
      <c r="F143" s="34">
        <f ca="1">IF(TODAY()&gt;=LOOKUP(C143,'QALS - Inspection Lot Record'!P:P,'QALS - Inspection Lot Record'!J:J)+RANDBETWEEN(0,1),LOOKUP(C143,'QALS - Inspection Lot Record'!P:P,'QALS - Inspection Lot Record'!J:J)+RANDBETWEEN(0,1),"")</f>
        <v>45932</v>
      </c>
      <c r="G143" s="41" t="s">
        <v>498</v>
      </c>
      <c r="H143" s="34">
        <v>45312</v>
      </c>
      <c r="I143" s="29" t="s">
        <v>500</v>
      </c>
    </row>
    <row r="144" spans="1:9" x14ac:dyDescent="0.35">
      <c r="A144" s="31">
        <v>200000571</v>
      </c>
      <c r="B144" s="31">
        <v>1010</v>
      </c>
      <c r="C144" s="31">
        <v>4127</v>
      </c>
      <c r="D144" s="29" t="str">
        <f>LOOKUP('CAPA-old'!C144,'QALS - Inspection Lot Record'!P:P,'QALS - Inspection Lot Record'!O:O)</f>
        <v>Aspirin Tablets (500 MG)</v>
      </c>
      <c r="E144" s="31">
        <v>68.900000000000006</v>
      </c>
      <c r="F144" s="34">
        <f ca="1">IF(TODAY()&gt;=LOOKUP(C144,'QALS - Inspection Lot Record'!P:P,'QALS - Inspection Lot Record'!J:J)+RANDBETWEEN(0,1),LOOKUP(C144,'QALS - Inspection Lot Record'!P:P,'QALS - Inspection Lot Record'!J:J)+RANDBETWEEN(0,1),"")</f>
        <v>45933</v>
      </c>
      <c r="G144" s="41" t="s">
        <v>480</v>
      </c>
      <c r="H144" s="34">
        <v>45313</v>
      </c>
      <c r="I144" s="29" t="s">
        <v>484</v>
      </c>
    </row>
    <row r="145" spans="1:9" x14ac:dyDescent="0.35">
      <c r="A145" s="31">
        <v>200000571</v>
      </c>
      <c r="B145" s="31">
        <v>1010</v>
      </c>
      <c r="C145" s="31">
        <v>4127</v>
      </c>
      <c r="D145" s="29" t="str">
        <f>LOOKUP('CAPA-old'!C145,'QALS - Inspection Lot Record'!P:P,'QALS - Inspection Lot Record'!O:O)</f>
        <v>Aspirin Tablets (500 MG)</v>
      </c>
      <c r="E145" s="31">
        <v>21.8</v>
      </c>
      <c r="F145" s="34">
        <f ca="1">IF(TODAY()&gt;=LOOKUP(C145,'QALS - Inspection Lot Record'!P:P,'QALS - Inspection Lot Record'!J:J)+RANDBETWEEN(0,1),LOOKUP(C145,'QALS - Inspection Lot Record'!P:P,'QALS - Inspection Lot Record'!J:J)+RANDBETWEEN(0,1),"")</f>
        <v>45934</v>
      </c>
      <c r="G145" s="41" t="s">
        <v>483</v>
      </c>
      <c r="H145" s="34">
        <v>45312</v>
      </c>
      <c r="I145" s="29" t="s">
        <v>494</v>
      </c>
    </row>
    <row r="146" spans="1:9" x14ac:dyDescent="0.35">
      <c r="A146" s="31">
        <v>200000572</v>
      </c>
      <c r="B146" s="31">
        <v>1010</v>
      </c>
      <c r="C146" s="31">
        <v>4129</v>
      </c>
      <c r="D146" s="29" t="str">
        <f>LOOKUP('CAPA-old'!C146,'QALS - Inspection Lot Record'!P:P,'QALS - Inspection Lot Record'!O:O)</f>
        <v>Metformin Tablets (100 MG)</v>
      </c>
      <c r="E146" s="31">
        <v>93.3</v>
      </c>
      <c r="F146" s="34">
        <f ca="1">IF(TODAY()&gt;=LOOKUP(C146,'QALS - Inspection Lot Record'!P:P,'QALS - Inspection Lot Record'!J:J)+RANDBETWEEN(0,1),LOOKUP(C146,'QALS - Inspection Lot Record'!P:P,'QALS - Inspection Lot Record'!J:J)+RANDBETWEEN(0,1),"")</f>
        <v>45935</v>
      </c>
      <c r="G146" s="41" t="s">
        <v>472</v>
      </c>
      <c r="H146" s="34">
        <v>45313</v>
      </c>
      <c r="I146" s="29" t="s">
        <v>475</v>
      </c>
    </row>
    <row r="147" spans="1:9" x14ac:dyDescent="0.35">
      <c r="A147" s="31">
        <v>200000573</v>
      </c>
      <c r="B147" s="31">
        <v>1010</v>
      </c>
      <c r="C147" s="31">
        <v>4131</v>
      </c>
      <c r="D147" s="29" t="str">
        <f>LOOKUP('CAPA-old'!C147,'QALS - Inspection Lot Record'!P:P,'QALS - Inspection Lot Record'!O:O)</f>
        <v>Metformin Tablets (500 MG)</v>
      </c>
      <c r="E147" s="31">
        <v>21.1</v>
      </c>
      <c r="F147" s="34">
        <f ca="1">IF(TODAY()&gt;=LOOKUP(C147,'QALS - Inspection Lot Record'!P:P,'QALS - Inspection Lot Record'!J:J)+RANDBETWEEN(0,1),LOOKUP(C147,'QALS - Inspection Lot Record'!P:P,'QALS - Inspection Lot Record'!J:J)+RANDBETWEEN(0,1),"")</f>
        <v>45935</v>
      </c>
      <c r="G147" s="41" t="s">
        <v>483</v>
      </c>
      <c r="H147" s="34">
        <v>45313</v>
      </c>
      <c r="I147" s="29" t="s">
        <v>477</v>
      </c>
    </row>
    <row r="148" spans="1:9" x14ac:dyDescent="0.35">
      <c r="A148" s="31">
        <v>200000574</v>
      </c>
      <c r="B148" s="31">
        <v>1010</v>
      </c>
      <c r="C148" s="31">
        <v>4133</v>
      </c>
      <c r="D148" s="29" t="str">
        <f>LOOKUP('CAPA-old'!C148,'QALS - Inspection Lot Record'!P:P,'QALS - Inspection Lot Record'!O:O)</f>
        <v>Metformin Tablets (100 MG)</v>
      </c>
      <c r="E148" s="31">
        <v>93.1</v>
      </c>
      <c r="F148" s="34">
        <f ca="1">IF(TODAY()&gt;=LOOKUP(C148,'QALS - Inspection Lot Record'!P:P,'QALS - Inspection Lot Record'!J:J)+RANDBETWEEN(0,1),LOOKUP(C148,'QALS - Inspection Lot Record'!P:P,'QALS - Inspection Lot Record'!J:J)+RANDBETWEEN(0,1),"")</f>
        <v>45936</v>
      </c>
      <c r="G148" s="41" t="s">
        <v>472</v>
      </c>
      <c r="H148" s="34">
        <v>45314</v>
      </c>
      <c r="I148" s="29" t="s">
        <v>473</v>
      </c>
    </row>
    <row r="149" spans="1:9" x14ac:dyDescent="0.35">
      <c r="A149" s="31">
        <v>200000575</v>
      </c>
      <c r="B149" s="31">
        <v>1010</v>
      </c>
      <c r="C149" s="31">
        <v>4135</v>
      </c>
      <c r="D149" s="29" t="str">
        <f>LOOKUP('CAPA-old'!C149,'QALS - Inspection Lot Record'!P:P,'QALS - Inspection Lot Record'!O:O)</f>
        <v>Ibuprofen Tablets (100 MG)</v>
      </c>
      <c r="E149" s="31">
        <v>2.1</v>
      </c>
      <c r="F149" s="34">
        <f ca="1">IF(TODAY()&gt;=LOOKUP(C149,'QALS - Inspection Lot Record'!P:P,'QALS - Inspection Lot Record'!J:J)+RANDBETWEEN(0,1),LOOKUP(C149,'QALS - Inspection Lot Record'!P:P,'QALS - Inspection Lot Record'!J:J)+RANDBETWEEN(0,1),"")</f>
        <v>45937</v>
      </c>
      <c r="G149" s="41" t="s">
        <v>474</v>
      </c>
      <c r="H149" s="34">
        <v>45315</v>
      </c>
      <c r="I149" s="29" t="s">
        <v>477</v>
      </c>
    </row>
    <row r="150" spans="1:9" x14ac:dyDescent="0.35">
      <c r="A150" s="31">
        <v>200000575</v>
      </c>
      <c r="B150" s="31">
        <v>1010</v>
      </c>
      <c r="C150" s="31">
        <v>4135</v>
      </c>
      <c r="D150" s="29" t="str">
        <f>LOOKUP('CAPA-old'!C150,'QALS - Inspection Lot Record'!P:P,'QALS - Inspection Lot Record'!O:O)</f>
        <v>Ibuprofen Tablets (100 MG)</v>
      </c>
      <c r="E150" s="31">
        <v>68.2</v>
      </c>
      <c r="F150" s="34">
        <f ca="1">IF(TODAY()&gt;=LOOKUP(C150,'QALS - Inspection Lot Record'!P:P,'QALS - Inspection Lot Record'!J:J)+RANDBETWEEN(0,1),LOOKUP(C150,'QALS - Inspection Lot Record'!P:P,'QALS - Inspection Lot Record'!J:J)+RANDBETWEEN(0,1),"")</f>
        <v>45937</v>
      </c>
      <c r="G150" s="41" t="s">
        <v>480</v>
      </c>
      <c r="H150" s="34">
        <v>45315</v>
      </c>
      <c r="I150" s="29" t="s">
        <v>497</v>
      </c>
    </row>
    <row r="151" spans="1:9" x14ac:dyDescent="0.35">
      <c r="A151" s="31">
        <v>200000575</v>
      </c>
      <c r="B151" s="31">
        <v>1010</v>
      </c>
      <c r="C151" s="31">
        <v>4135</v>
      </c>
      <c r="D151" s="29" t="str">
        <f>LOOKUP('CAPA-old'!C151,'QALS - Inspection Lot Record'!P:P,'QALS - Inspection Lot Record'!O:O)</f>
        <v>Ibuprofen Tablets (100 MG)</v>
      </c>
      <c r="E151" s="31">
        <v>78.3</v>
      </c>
      <c r="F151" s="34">
        <f ca="1">IF(TODAY()&gt;=LOOKUP(C151,'QALS - Inspection Lot Record'!P:P,'QALS - Inspection Lot Record'!J:J)+RANDBETWEEN(0,1),LOOKUP(C151,'QALS - Inspection Lot Record'!P:P,'QALS - Inspection Lot Record'!J:J)+RANDBETWEEN(0,1),"")</f>
        <v>45937</v>
      </c>
      <c r="G151" s="41" t="s">
        <v>486</v>
      </c>
      <c r="H151" s="34">
        <v>45316</v>
      </c>
      <c r="I151" s="29" t="s">
        <v>495</v>
      </c>
    </row>
    <row r="152" spans="1:9" x14ac:dyDescent="0.35">
      <c r="A152" s="31">
        <v>200000575</v>
      </c>
      <c r="B152" s="31">
        <v>1010</v>
      </c>
      <c r="C152" s="31">
        <v>4135</v>
      </c>
      <c r="D152" s="29" t="str">
        <f>LOOKUP('CAPA-old'!C152,'QALS - Inspection Lot Record'!P:P,'QALS - Inspection Lot Record'!O:O)</f>
        <v>Ibuprofen Tablets (100 MG)</v>
      </c>
      <c r="E152" s="31">
        <v>22</v>
      </c>
      <c r="F152" s="34">
        <f ca="1">IF(TODAY()&gt;=LOOKUP(C152,'QALS - Inspection Lot Record'!P:P,'QALS - Inspection Lot Record'!J:J)+RANDBETWEEN(0,1),LOOKUP(C152,'QALS - Inspection Lot Record'!P:P,'QALS - Inspection Lot Record'!J:J)+RANDBETWEEN(0,1),"")</f>
        <v>45937</v>
      </c>
      <c r="G152" s="41" t="s">
        <v>483</v>
      </c>
      <c r="H152" s="34">
        <v>45317</v>
      </c>
      <c r="I152" s="29" t="s">
        <v>475</v>
      </c>
    </row>
    <row r="153" spans="1:9" x14ac:dyDescent="0.35">
      <c r="A153" s="31">
        <v>200000576</v>
      </c>
      <c r="B153" s="31">
        <v>1010</v>
      </c>
      <c r="C153" s="31">
        <v>4136</v>
      </c>
      <c r="D153" s="29" t="str">
        <f>LOOKUP('CAPA-old'!C153,'QALS - Inspection Lot Record'!P:P,'QALS - Inspection Lot Record'!O:O)</f>
        <v>Metformin Tablets (200 MG)</v>
      </c>
      <c r="E153" s="31">
        <v>38.9</v>
      </c>
      <c r="F153" s="34">
        <f ca="1">IF(TODAY()&gt;=LOOKUP(C153,'QALS - Inspection Lot Record'!P:P,'QALS - Inspection Lot Record'!J:J)+RANDBETWEEN(0,1),LOOKUP(C153,'QALS - Inspection Lot Record'!P:P,'QALS - Inspection Lot Record'!J:J)+RANDBETWEEN(0,1),"")</f>
        <v>45937</v>
      </c>
      <c r="G153" s="41" t="s">
        <v>478</v>
      </c>
      <c r="H153" s="34">
        <v>45314</v>
      </c>
      <c r="I153" s="29" t="s">
        <v>491</v>
      </c>
    </row>
    <row r="154" spans="1:9" x14ac:dyDescent="0.35">
      <c r="A154" s="31">
        <v>200000577</v>
      </c>
      <c r="B154" s="31">
        <v>1010</v>
      </c>
      <c r="C154" s="31">
        <v>4137</v>
      </c>
      <c r="D154" s="29" t="str">
        <f>LOOKUP('CAPA-old'!C154,'QALS - Inspection Lot Record'!P:P,'QALS - Inspection Lot Record'!O:O)</f>
        <v>Metformin Tablets (100 MG)</v>
      </c>
      <c r="E154" s="31">
        <v>93.2</v>
      </c>
      <c r="F154" s="34">
        <f ca="1">IF(TODAY()&gt;=LOOKUP(C154,'QALS - Inspection Lot Record'!P:P,'QALS - Inspection Lot Record'!J:J)+RANDBETWEEN(0,1),LOOKUP(C154,'QALS - Inspection Lot Record'!P:P,'QALS - Inspection Lot Record'!J:J)+RANDBETWEEN(0,1),"")</f>
        <v>45939</v>
      </c>
      <c r="G154" s="41" t="s">
        <v>472</v>
      </c>
      <c r="H154" s="34">
        <v>45316</v>
      </c>
      <c r="I154" s="29" t="s">
        <v>477</v>
      </c>
    </row>
    <row r="155" spans="1:9" x14ac:dyDescent="0.35">
      <c r="A155" s="31">
        <v>200000578</v>
      </c>
      <c r="B155" s="31">
        <v>1010</v>
      </c>
      <c r="C155" s="31">
        <v>4138</v>
      </c>
      <c r="D155" s="29" t="str">
        <f>LOOKUP('CAPA-old'!C155,'QALS - Inspection Lot Record'!P:P,'QALS - Inspection Lot Record'!O:O)</f>
        <v>Ibuprofen Tablets (100 MG)</v>
      </c>
      <c r="E155" s="31">
        <v>93.5</v>
      </c>
      <c r="F155" s="34">
        <f ca="1">IF(TODAY()&gt;=LOOKUP(C155,'QALS - Inspection Lot Record'!P:P,'QALS - Inspection Lot Record'!J:J)+RANDBETWEEN(0,1),LOOKUP(C155,'QALS - Inspection Lot Record'!P:P,'QALS - Inspection Lot Record'!J:J)+RANDBETWEEN(0,1),"")</f>
        <v>45938</v>
      </c>
      <c r="G155" s="41" t="s">
        <v>472</v>
      </c>
      <c r="H155" s="34">
        <v>45316</v>
      </c>
      <c r="I155" s="29" t="s">
        <v>484</v>
      </c>
    </row>
    <row r="156" spans="1:9" x14ac:dyDescent="0.35">
      <c r="A156" s="31">
        <v>200000579</v>
      </c>
      <c r="B156" s="31">
        <v>1010</v>
      </c>
      <c r="C156" s="31">
        <v>4139</v>
      </c>
      <c r="D156" s="29" t="str">
        <f>LOOKUP('CAPA-old'!C156,'QALS - Inspection Lot Record'!P:P,'QALS - Inspection Lot Record'!O:O)</f>
        <v>Ibuprofen Tablets (100 MG)</v>
      </c>
      <c r="E156" s="31">
        <v>21.7</v>
      </c>
      <c r="F156" s="34">
        <f ca="1">IF(TODAY()&gt;=LOOKUP(C156,'QALS - Inspection Lot Record'!P:P,'QALS - Inspection Lot Record'!J:J)+RANDBETWEEN(0,1),LOOKUP(C156,'QALS - Inspection Lot Record'!P:P,'QALS - Inspection Lot Record'!J:J)+RANDBETWEEN(0,1),"")</f>
        <v>45939</v>
      </c>
      <c r="G156" s="41" t="s">
        <v>483</v>
      </c>
      <c r="H156" s="34">
        <v>45317</v>
      </c>
      <c r="I156" s="29" t="s">
        <v>477</v>
      </c>
    </row>
    <row r="157" spans="1:9" x14ac:dyDescent="0.35">
      <c r="A157" s="31">
        <v>200000580</v>
      </c>
      <c r="B157" s="31">
        <v>1010</v>
      </c>
      <c r="C157" s="31">
        <v>4141</v>
      </c>
      <c r="D157" s="29" t="str">
        <f>LOOKUP('CAPA-old'!C157,'QALS - Inspection Lot Record'!P:P,'QALS - Inspection Lot Record'!O:O)</f>
        <v>Metformin Tablets (200 MG)</v>
      </c>
      <c r="E157" s="31">
        <v>2.1</v>
      </c>
      <c r="F157" s="34">
        <f ca="1">IF(TODAY()&gt;=LOOKUP(C157,'QALS - Inspection Lot Record'!P:P,'QALS - Inspection Lot Record'!J:J)+RANDBETWEEN(0,1),LOOKUP(C157,'QALS - Inspection Lot Record'!P:P,'QALS - Inspection Lot Record'!J:J)+RANDBETWEEN(0,1),"")</f>
        <v>45941</v>
      </c>
      <c r="G157" s="41" t="s">
        <v>476</v>
      </c>
      <c r="H157" s="34">
        <v>45320</v>
      </c>
      <c r="I157" s="29" t="s">
        <v>492</v>
      </c>
    </row>
    <row r="158" spans="1:9" x14ac:dyDescent="0.35">
      <c r="A158" s="31">
        <v>200000581</v>
      </c>
      <c r="B158" s="31">
        <v>1010</v>
      </c>
      <c r="C158" s="31">
        <v>4143</v>
      </c>
      <c r="D158" s="29" t="str">
        <f>LOOKUP('CAPA-old'!C158,'QALS - Inspection Lot Record'!P:P,'QALS - Inspection Lot Record'!O:O)</f>
        <v>Metformin Tablets (500 MG)</v>
      </c>
      <c r="E158" s="31">
        <v>1.8</v>
      </c>
      <c r="F158" s="34">
        <f ca="1">IF(TODAY()&gt;=LOOKUP(C158,'QALS - Inspection Lot Record'!P:P,'QALS - Inspection Lot Record'!J:J)+RANDBETWEEN(0,1),LOOKUP(C158,'QALS - Inspection Lot Record'!P:P,'QALS - Inspection Lot Record'!J:J)+RANDBETWEEN(0,1),"")</f>
        <v>45941</v>
      </c>
      <c r="G158" s="41" t="s">
        <v>474</v>
      </c>
      <c r="H158" s="34">
        <v>45320</v>
      </c>
      <c r="I158" s="29" t="s">
        <v>485</v>
      </c>
    </row>
    <row r="159" spans="1:9" x14ac:dyDescent="0.35">
      <c r="A159" s="31">
        <v>200000582</v>
      </c>
      <c r="B159" s="31">
        <v>1010</v>
      </c>
      <c r="C159" s="31">
        <v>4147</v>
      </c>
      <c r="D159" s="29" t="str">
        <f>LOOKUP('CAPA-old'!C159,'QALS - Inspection Lot Record'!P:P,'QALS - Inspection Lot Record'!O:O)</f>
        <v>Aspirin Tablets (500 MG)</v>
      </c>
      <c r="E159" s="31">
        <v>93.9</v>
      </c>
      <c r="F159" s="34">
        <f ca="1">IF(TODAY()&gt;=LOOKUP(C159,'QALS - Inspection Lot Record'!P:P,'QALS - Inspection Lot Record'!J:J)+RANDBETWEEN(0,1),LOOKUP(C159,'QALS - Inspection Lot Record'!P:P,'QALS - Inspection Lot Record'!J:J)+RANDBETWEEN(0,1),"")</f>
        <v>45943</v>
      </c>
      <c r="G159" s="41" t="s">
        <v>472</v>
      </c>
      <c r="H159" s="34">
        <v>45321</v>
      </c>
      <c r="I159" s="29" t="s">
        <v>484</v>
      </c>
    </row>
    <row r="160" spans="1:9" x14ac:dyDescent="0.35">
      <c r="A160" s="31">
        <v>200000582</v>
      </c>
      <c r="B160" s="31">
        <v>1010</v>
      </c>
      <c r="C160" s="31">
        <v>4147</v>
      </c>
      <c r="D160" s="29" t="str">
        <f>LOOKUP('CAPA-old'!C160,'QALS - Inspection Lot Record'!P:P,'QALS - Inspection Lot Record'!O:O)</f>
        <v>Aspirin Tablets (500 MG)</v>
      </c>
      <c r="E160" s="31">
        <v>2.4</v>
      </c>
      <c r="F160" s="34">
        <f ca="1">IF(TODAY()&gt;=LOOKUP(C160,'QALS - Inspection Lot Record'!P:P,'QALS - Inspection Lot Record'!J:J)+RANDBETWEEN(0,1),LOOKUP(C160,'QALS - Inspection Lot Record'!P:P,'QALS - Inspection Lot Record'!J:J)+RANDBETWEEN(0,1),"")</f>
        <v>45943</v>
      </c>
      <c r="G160" s="41" t="s">
        <v>474</v>
      </c>
      <c r="H160" s="34">
        <v>45321</v>
      </c>
      <c r="I160" s="29" t="s">
        <v>477</v>
      </c>
    </row>
    <row r="161" spans="1:9" x14ac:dyDescent="0.35">
      <c r="A161" s="31">
        <v>200000583</v>
      </c>
      <c r="B161" s="31">
        <v>1010</v>
      </c>
      <c r="C161" s="31">
        <v>4148</v>
      </c>
      <c r="D161" s="29" t="str">
        <f>LOOKUP('CAPA-old'!C161,'QALS - Inspection Lot Record'!P:P,'QALS - Inspection Lot Record'!O:O)</f>
        <v>Metformin Tablets (200 MG)</v>
      </c>
      <c r="E161" s="31">
        <v>68.2</v>
      </c>
      <c r="F161" s="34">
        <f ca="1">IF(TODAY()&gt;=LOOKUP(C161,'QALS - Inspection Lot Record'!P:P,'QALS - Inspection Lot Record'!J:J)+RANDBETWEEN(0,1),LOOKUP(C161,'QALS - Inspection Lot Record'!P:P,'QALS - Inspection Lot Record'!J:J)+RANDBETWEEN(0,1),"")</f>
        <v>45943</v>
      </c>
      <c r="G161" s="41" t="s">
        <v>480</v>
      </c>
      <c r="H161" s="34">
        <v>45322</v>
      </c>
      <c r="I161" s="29" t="s">
        <v>477</v>
      </c>
    </row>
    <row r="162" spans="1:9" x14ac:dyDescent="0.35">
      <c r="A162" s="31">
        <v>200000584</v>
      </c>
      <c r="B162" s="31">
        <v>1010</v>
      </c>
      <c r="C162" s="31">
        <v>4157</v>
      </c>
      <c r="D162" s="29" t="str">
        <f>LOOKUP('CAPA-old'!C162,'QALS - Inspection Lot Record'!P:P,'QALS - Inspection Lot Record'!O:O)</f>
        <v>Metformin Tablets (500 MG)</v>
      </c>
      <c r="E162" s="31">
        <v>2.2000000000000002</v>
      </c>
      <c r="F162" s="34">
        <f ca="1">IF(TODAY()&gt;=LOOKUP(C162,'QALS - Inspection Lot Record'!P:P,'QALS - Inspection Lot Record'!J:J)+RANDBETWEEN(0,1),LOOKUP(C162,'QALS - Inspection Lot Record'!P:P,'QALS - Inspection Lot Record'!J:J)+RANDBETWEEN(0,1),"")</f>
        <v>45949</v>
      </c>
      <c r="G162" s="41" t="s">
        <v>474</v>
      </c>
      <c r="H162" s="34">
        <v>45327</v>
      </c>
      <c r="I162" s="29" t="s">
        <v>496</v>
      </c>
    </row>
    <row r="163" spans="1:9" x14ac:dyDescent="0.35">
      <c r="A163" s="31">
        <v>200000584</v>
      </c>
      <c r="B163" s="31">
        <v>1010</v>
      </c>
      <c r="C163" s="31">
        <v>4157</v>
      </c>
      <c r="D163" s="29" t="str">
        <f>LOOKUP('CAPA-old'!C163,'QALS - Inspection Lot Record'!P:P,'QALS - Inspection Lot Record'!O:O)</f>
        <v>Metformin Tablets (500 MG)</v>
      </c>
      <c r="E163" s="31">
        <v>68.099999999999994</v>
      </c>
      <c r="F163" s="34">
        <f ca="1">IF(TODAY()&gt;=LOOKUP(C163,'QALS - Inspection Lot Record'!P:P,'QALS - Inspection Lot Record'!J:J)+RANDBETWEEN(0,1),LOOKUP(C163,'QALS - Inspection Lot Record'!P:P,'QALS - Inspection Lot Record'!J:J)+RANDBETWEEN(0,1),"")</f>
        <v>45948</v>
      </c>
      <c r="G163" s="41" t="s">
        <v>480</v>
      </c>
      <c r="H163" s="34">
        <v>45327</v>
      </c>
      <c r="I163" s="29" t="s">
        <v>497</v>
      </c>
    </row>
    <row r="164" spans="1:9" x14ac:dyDescent="0.35">
      <c r="A164" s="31">
        <v>200000584</v>
      </c>
      <c r="B164" s="31">
        <v>1010</v>
      </c>
      <c r="C164" s="31">
        <v>4157</v>
      </c>
      <c r="D164" s="29" t="str">
        <f>LOOKUP('CAPA-old'!C164,'QALS - Inspection Lot Record'!P:P,'QALS - Inspection Lot Record'!O:O)</f>
        <v>Metformin Tablets (500 MG)</v>
      </c>
      <c r="E164" s="31">
        <v>78.8</v>
      </c>
      <c r="F164" s="34">
        <f ca="1">IF(TODAY()&gt;=LOOKUP(C164,'QALS - Inspection Lot Record'!P:P,'QALS - Inspection Lot Record'!J:J)+RANDBETWEEN(0,1),LOOKUP(C164,'QALS - Inspection Lot Record'!P:P,'QALS - Inspection Lot Record'!J:J)+RANDBETWEEN(0,1),"")</f>
        <v>45949</v>
      </c>
      <c r="G164" s="41" t="s">
        <v>486</v>
      </c>
      <c r="H164" s="34">
        <v>45326</v>
      </c>
      <c r="I164" s="29" t="s">
        <v>488</v>
      </c>
    </row>
    <row r="165" spans="1:9" x14ac:dyDescent="0.35">
      <c r="A165" s="31">
        <v>200000585</v>
      </c>
      <c r="B165" s="31">
        <v>1010</v>
      </c>
      <c r="C165" s="31">
        <v>4158</v>
      </c>
      <c r="D165" s="29" t="str">
        <f>LOOKUP('CAPA-old'!C165,'QALS - Inspection Lot Record'!P:P,'QALS - Inspection Lot Record'!O:O)</f>
        <v>Ibuprofen Tablets (100 MG)</v>
      </c>
      <c r="E165" s="31">
        <v>2.2000000000000002</v>
      </c>
      <c r="F165" s="34">
        <f ca="1">IF(TODAY()&gt;=LOOKUP(C165,'QALS - Inspection Lot Record'!P:P,'QALS - Inspection Lot Record'!J:J)+RANDBETWEEN(0,1),LOOKUP(C165,'QALS - Inspection Lot Record'!P:P,'QALS - Inspection Lot Record'!J:J)+RANDBETWEEN(0,1),"")</f>
        <v>45948</v>
      </c>
      <c r="G165" s="41" t="s">
        <v>474</v>
      </c>
      <c r="H165" s="34">
        <v>45326</v>
      </c>
      <c r="I165" s="29" t="s">
        <v>475</v>
      </c>
    </row>
    <row r="166" spans="1:9" x14ac:dyDescent="0.35">
      <c r="A166" s="31">
        <v>200000585</v>
      </c>
      <c r="B166" s="31">
        <v>1010</v>
      </c>
      <c r="C166" s="31">
        <v>4158</v>
      </c>
      <c r="D166" s="29" t="str">
        <f>LOOKUP('CAPA-old'!C166,'QALS - Inspection Lot Record'!P:P,'QALS - Inspection Lot Record'!O:O)</f>
        <v>Ibuprofen Tablets (100 MG)</v>
      </c>
      <c r="E166" s="31">
        <v>38</v>
      </c>
      <c r="F166" s="34">
        <f ca="1">IF(TODAY()&gt;=LOOKUP(C166,'QALS - Inspection Lot Record'!P:P,'QALS - Inspection Lot Record'!J:J)+RANDBETWEEN(0,1),LOOKUP(C166,'QALS - Inspection Lot Record'!P:P,'QALS - Inspection Lot Record'!J:J)+RANDBETWEEN(0,1),"")</f>
        <v>45948</v>
      </c>
      <c r="G166" s="41" t="s">
        <v>478</v>
      </c>
      <c r="H166" s="34">
        <v>45328</v>
      </c>
      <c r="I166" s="29" t="s">
        <v>477</v>
      </c>
    </row>
    <row r="167" spans="1:9" x14ac:dyDescent="0.35">
      <c r="A167" s="31">
        <v>200000585</v>
      </c>
      <c r="B167" s="31">
        <v>1010</v>
      </c>
      <c r="C167" s="31">
        <v>4158</v>
      </c>
      <c r="D167" s="29" t="str">
        <f>LOOKUP('CAPA-old'!C167,'QALS - Inspection Lot Record'!P:P,'QALS - Inspection Lot Record'!O:O)</f>
        <v>Ibuprofen Tablets (100 MG)</v>
      </c>
      <c r="E167" s="31">
        <v>68.900000000000006</v>
      </c>
      <c r="F167" s="34">
        <f ca="1">IF(TODAY()&gt;=LOOKUP(C167,'QALS - Inspection Lot Record'!P:P,'QALS - Inspection Lot Record'!J:J)+RANDBETWEEN(0,1),LOOKUP(C167,'QALS - Inspection Lot Record'!P:P,'QALS - Inspection Lot Record'!J:J)+RANDBETWEEN(0,1),"")</f>
        <v>45948</v>
      </c>
      <c r="G167" s="41" t="s">
        <v>480</v>
      </c>
      <c r="H167" s="34">
        <v>45326</v>
      </c>
      <c r="I167" s="29" t="s">
        <v>490</v>
      </c>
    </row>
    <row r="168" spans="1:9" x14ac:dyDescent="0.35">
      <c r="A168" s="31">
        <v>200000585</v>
      </c>
      <c r="B168" s="31">
        <v>1010</v>
      </c>
      <c r="C168" s="31">
        <v>4158</v>
      </c>
      <c r="D168" s="29" t="str">
        <f>LOOKUP('CAPA-old'!C168,'QALS - Inspection Lot Record'!P:P,'QALS - Inspection Lot Record'!O:O)</f>
        <v>Ibuprofen Tablets (100 MG)</v>
      </c>
      <c r="E168" s="31">
        <v>78.599999999999994</v>
      </c>
      <c r="F168" s="34">
        <f ca="1">IF(TODAY()&gt;=LOOKUP(C168,'QALS - Inspection Lot Record'!P:P,'QALS - Inspection Lot Record'!J:J)+RANDBETWEEN(0,1),LOOKUP(C168,'QALS - Inspection Lot Record'!P:P,'QALS - Inspection Lot Record'!J:J)+RANDBETWEEN(0,1),"")</f>
        <v>45949</v>
      </c>
      <c r="G168" s="41" t="s">
        <v>486</v>
      </c>
      <c r="H168" s="34">
        <v>45327</v>
      </c>
      <c r="I168" s="29" t="s">
        <v>484</v>
      </c>
    </row>
    <row r="169" spans="1:9" x14ac:dyDescent="0.35">
      <c r="A169" s="31">
        <v>200000586</v>
      </c>
      <c r="B169" s="31">
        <v>1010</v>
      </c>
      <c r="C169" s="31">
        <v>4161</v>
      </c>
      <c r="D169" s="29" t="str">
        <f>LOOKUP('CAPA-old'!C169,'QALS - Inspection Lot Record'!P:P,'QALS - Inspection Lot Record'!O:O)</f>
        <v>Metformin Tablets (500 MG)</v>
      </c>
      <c r="E169" s="31">
        <v>1.5</v>
      </c>
      <c r="F169" s="34">
        <f ca="1">IF(TODAY()&gt;=LOOKUP(C169,'QALS - Inspection Lot Record'!P:P,'QALS - Inspection Lot Record'!J:J)+RANDBETWEEN(0,1),LOOKUP(C169,'QALS - Inspection Lot Record'!P:P,'QALS - Inspection Lot Record'!J:J)+RANDBETWEEN(0,1),"")</f>
        <v>45951</v>
      </c>
      <c r="G169" s="41" t="s">
        <v>474</v>
      </c>
      <c r="H169" s="34">
        <v>45327</v>
      </c>
      <c r="I169" s="29" t="s">
        <v>484</v>
      </c>
    </row>
    <row r="170" spans="1:9" x14ac:dyDescent="0.35">
      <c r="A170" s="31">
        <v>200000586</v>
      </c>
      <c r="B170" s="31">
        <v>1010</v>
      </c>
      <c r="C170" s="31">
        <v>4161</v>
      </c>
      <c r="D170" s="29" t="str">
        <f>LOOKUP('CAPA-old'!C170,'QALS - Inspection Lot Record'!P:P,'QALS - Inspection Lot Record'!O:O)</f>
        <v>Metformin Tablets (500 MG)</v>
      </c>
      <c r="E170" s="31">
        <v>68.3</v>
      </c>
      <c r="F170" s="34">
        <f ca="1">IF(TODAY()&gt;=LOOKUP(C170,'QALS - Inspection Lot Record'!P:P,'QALS - Inspection Lot Record'!J:J)+RANDBETWEEN(0,1),LOOKUP(C170,'QALS - Inspection Lot Record'!P:P,'QALS - Inspection Lot Record'!J:J)+RANDBETWEEN(0,1),"")</f>
        <v>45950</v>
      </c>
      <c r="G170" s="41" t="s">
        <v>480</v>
      </c>
      <c r="H170" s="34">
        <v>45328</v>
      </c>
      <c r="I170" s="29" t="s">
        <v>477</v>
      </c>
    </row>
    <row r="171" spans="1:9" x14ac:dyDescent="0.35">
      <c r="A171" s="31">
        <v>200000586</v>
      </c>
      <c r="B171" s="31">
        <v>1010</v>
      </c>
      <c r="C171" s="31">
        <v>4161</v>
      </c>
      <c r="D171" s="29" t="str">
        <f>LOOKUP('CAPA-old'!C171,'QALS - Inspection Lot Record'!P:P,'QALS - Inspection Lot Record'!O:O)</f>
        <v>Metformin Tablets (500 MG)</v>
      </c>
      <c r="E171" s="31">
        <v>78</v>
      </c>
      <c r="F171" s="34">
        <f ca="1">IF(TODAY()&gt;=LOOKUP(C171,'QALS - Inspection Lot Record'!P:P,'QALS - Inspection Lot Record'!J:J)+RANDBETWEEN(0,1),LOOKUP(C171,'QALS - Inspection Lot Record'!P:P,'QALS - Inspection Lot Record'!J:J)+RANDBETWEEN(0,1),"")</f>
        <v>45951</v>
      </c>
      <c r="G171" s="41" t="s">
        <v>486</v>
      </c>
      <c r="H171" s="34">
        <v>45327</v>
      </c>
      <c r="I171" s="29" t="s">
        <v>495</v>
      </c>
    </row>
    <row r="172" spans="1:9" x14ac:dyDescent="0.35">
      <c r="A172" s="31">
        <v>200000587</v>
      </c>
      <c r="B172" s="31">
        <v>1010</v>
      </c>
      <c r="C172" s="31">
        <v>4162</v>
      </c>
      <c r="D172" s="29" t="str">
        <f>LOOKUP('CAPA-old'!C172,'QALS - Inspection Lot Record'!P:P,'QALS - Inspection Lot Record'!O:O)</f>
        <v>Metformin Tablets (100 MG)</v>
      </c>
      <c r="E172" s="31">
        <v>69</v>
      </c>
      <c r="F172" s="34">
        <f ca="1">IF(TODAY()&gt;=LOOKUP(C172,'QALS - Inspection Lot Record'!P:P,'QALS - Inspection Lot Record'!J:J)+RANDBETWEEN(0,1),LOOKUP(C172,'QALS - Inspection Lot Record'!P:P,'QALS - Inspection Lot Record'!J:J)+RANDBETWEEN(0,1),"")</f>
        <v>45951</v>
      </c>
      <c r="G172" s="41" t="s">
        <v>480</v>
      </c>
      <c r="H172" s="34">
        <v>45330</v>
      </c>
      <c r="I172" s="29" t="s">
        <v>490</v>
      </c>
    </row>
    <row r="173" spans="1:9" x14ac:dyDescent="0.35">
      <c r="A173" s="31">
        <v>200000587</v>
      </c>
      <c r="B173" s="31">
        <v>1010</v>
      </c>
      <c r="C173" s="31">
        <v>4162</v>
      </c>
      <c r="D173" s="29" t="str">
        <f>LOOKUP('CAPA-old'!C173,'QALS - Inspection Lot Record'!P:P,'QALS - Inspection Lot Record'!O:O)</f>
        <v>Metformin Tablets (100 MG)</v>
      </c>
      <c r="E173" s="31">
        <v>78.2</v>
      </c>
      <c r="F173" s="34">
        <f ca="1">IF(TODAY()&gt;=LOOKUP(C173,'QALS - Inspection Lot Record'!P:P,'QALS - Inspection Lot Record'!J:J)+RANDBETWEEN(0,1),LOOKUP(C173,'QALS - Inspection Lot Record'!P:P,'QALS - Inspection Lot Record'!J:J)+RANDBETWEEN(0,1),"")</f>
        <v>45950</v>
      </c>
      <c r="G173" s="41" t="s">
        <v>486</v>
      </c>
      <c r="H173" s="34">
        <v>45329</v>
      </c>
      <c r="I173" s="29" t="s">
        <v>477</v>
      </c>
    </row>
    <row r="174" spans="1:9" x14ac:dyDescent="0.35">
      <c r="A174" s="31">
        <v>200000588</v>
      </c>
      <c r="B174" s="31">
        <v>1010</v>
      </c>
      <c r="C174" s="31">
        <v>4165</v>
      </c>
      <c r="D174" s="29" t="str">
        <f>LOOKUP('CAPA-old'!C174,'QALS - Inspection Lot Record'!P:P,'QALS - Inspection Lot Record'!O:O)</f>
        <v>Ibuprofen Tablets (100 MG)</v>
      </c>
      <c r="E174" s="31">
        <v>2</v>
      </c>
      <c r="F174" s="34">
        <f ca="1">IF(TODAY()&gt;=LOOKUP(C174,'QALS - Inspection Lot Record'!P:P,'QALS - Inspection Lot Record'!J:J)+RANDBETWEEN(0,1),LOOKUP(C174,'QALS - Inspection Lot Record'!P:P,'QALS - Inspection Lot Record'!J:J)+RANDBETWEEN(0,1),"")</f>
        <v>45953</v>
      </c>
      <c r="G174" s="41" t="s">
        <v>474</v>
      </c>
      <c r="H174" s="34">
        <v>45331</v>
      </c>
      <c r="I174" s="29" t="s">
        <v>485</v>
      </c>
    </row>
    <row r="175" spans="1:9" x14ac:dyDescent="0.35">
      <c r="A175" s="31">
        <v>200000588</v>
      </c>
      <c r="B175" s="31">
        <v>1010</v>
      </c>
      <c r="C175" s="31">
        <v>4165</v>
      </c>
      <c r="D175" s="29" t="str">
        <f>LOOKUP('CAPA-old'!C175,'QALS - Inspection Lot Record'!P:P,'QALS - Inspection Lot Record'!O:O)</f>
        <v>Ibuprofen Tablets (100 MG)</v>
      </c>
      <c r="E175" s="31">
        <v>1.6</v>
      </c>
      <c r="F175" s="34">
        <f ca="1">IF(TODAY()&gt;=LOOKUP(C175,'QALS - Inspection Lot Record'!P:P,'QALS - Inspection Lot Record'!J:J)+RANDBETWEEN(0,1),LOOKUP(C175,'QALS - Inspection Lot Record'!P:P,'QALS - Inspection Lot Record'!J:J)+RANDBETWEEN(0,1),"")</f>
        <v>45953</v>
      </c>
      <c r="G175" s="41" t="s">
        <v>476</v>
      </c>
      <c r="H175" s="34">
        <v>45332</v>
      </c>
      <c r="I175" s="29" t="s">
        <v>493</v>
      </c>
    </row>
    <row r="176" spans="1:9" x14ac:dyDescent="0.35">
      <c r="A176" s="31">
        <v>200000588</v>
      </c>
      <c r="B176" s="31">
        <v>1010</v>
      </c>
      <c r="C176" s="31">
        <v>4165</v>
      </c>
      <c r="D176" s="29" t="str">
        <f>LOOKUP('CAPA-old'!C176,'QALS - Inspection Lot Record'!P:P,'QALS - Inspection Lot Record'!O:O)</f>
        <v>Ibuprofen Tablets (100 MG)</v>
      </c>
      <c r="E176" s="31">
        <v>78.599999999999994</v>
      </c>
      <c r="F176" s="34">
        <f ca="1">IF(TODAY()&gt;=LOOKUP(C176,'QALS - Inspection Lot Record'!P:P,'QALS - Inspection Lot Record'!J:J)+RANDBETWEEN(0,1),LOOKUP(C176,'QALS - Inspection Lot Record'!P:P,'QALS - Inspection Lot Record'!J:J)+RANDBETWEEN(0,1),"")</f>
        <v>45953</v>
      </c>
      <c r="G176" s="41" t="s">
        <v>486</v>
      </c>
      <c r="H176" s="34">
        <v>45330</v>
      </c>
      <c r="I176" s="29" t="s">
        <v>484</v>
      </c>
    </row>
    <row r="177" spans="1:9" x14ac:dyDescent="0.35">
      <c r="A177" s="31">
        <v>200000588</v>
      </c>
      <c r="B177" s="31">
        <v>1010</v>
      </c>
      <c r="C177" s="31">
        <v>4165</v>
      </c>
      <c r="D177" s="29" t="str">
        <f>LOOKUP('CAPA-old'!C177,'QALS - Inspection Lot Record'!P:P,'QALS - Inspection Lot Record'!O:O)</f>
        <v>Ibuprofen Tablets (100 MG)</v>
      </c>
      <c r="E177" s="31">
        <v>21.5</v>
      </c>
      <c r="F177" s="34">
        <f ca="1">IF(TODAY()&gt;=LOOKUP(C177,'QALS - Inspection Lot Record'!P:P,'QALS - Inspection Lot Record'!J:J)+RANDBETWEEN(0,1),LOOKUP(C177,'QALS - Inspection Lot Record'!P:P,'QALS - Inspection Lot Record'!J:J)+RANDBETWEEN(0,1),"")</f>
        <v>45953</v>
      </c>
      <c r="G177" s="41" t="s">
        <v>483</v>
      </c>
      <c r="H177" s="34">
        <v>45331</v>
      </c>
      <c r="I177" s="29" t="s">
        <v>484</v>
      </c>
    </row>
    <row r="178" spans="1:9" x14ac:dyDescent="0.35">
      <c r="A178" s="31">
        <v>200000589</v>
      </c>
      <c r="B178" s="31">
        <v>1010</v>
      </c>
      <c r="C178" s="31">
        <v>4166</v>
      </c>
      <c r="D178" s="29" t="str">
        <f>LOOKUP('CAPA-old'!C178,'QALS - Inspection Lot Record'!P:P,'QALS - Inspection Lot Record'!O:O)</f>
        <v>Metformin Tablets (500 MG)</v>
      </c>
      <c r="E178" s="31">
        <v>2.2999999999999998</v>
      </c>
      <c r="F178" s="34">
        <f ca="1">IF(TODAY()&gt;=LOOKUP(C178,'QALS - Inspection Lot Record'!P:P,'QALS - Inspection Lot Record'!J:J)+RANDBETWEEN(0,1),LOOKUP(C178,'QALS - Inspection Lot Record'!P:P,'QALS - Inspection Lot Record'!J:J)+RANDBETWEEN(0,1),"")</f>
        <v>45952</v>
      </c>
      <c r="G178" s="41" t="s">
        <v>474</v>
      </c>
      <c r="H178" s="34">
        <v>45329</v>
      </c>
      <c r="I178" s="29" t="s">
        <v>481</v>
      </c>
    </row>
    <row r="179" spans="1:9" x14ac:dyDescent="0.35">
      <c r="A179" s="31">
        <v>200000589</v>
      </c>
      <c r="B179" s="31">
        <v>1010</v>
      </c>
      <c r="C179" s="31">
        <v>4166</v>
      </c>
      <c r="D179" s="29" t="str">
        <f>LOOKUP('CAPA-old'!C179,'QALS - Inspection Lot Record'!P:P,'QALS - Inspection Lot Record'!O:O)</f>
        <v>Metformin Tablets (500 MG)</v>
      </c>
      <c r="E179" s="31">
        <v>78.099999999999994</v>
      </c>
      <c r="F179" s="34">
        <f ca="1">IF(TODAY()&gt;=LOOKUP(C179,'QALS - Inspection Lot Record'!P:P,'QALS - Inspection Lot Record'!J:J)+RANDBETWEEN(0,1),LOOKUP(C179,'QALS - Inspection Lot Record'!P:P,'QALS - Inspection Lot Record'!J:J)+RANDBETWEEN(0,1),"")</f>
        <v>45952</v>
      </c>
      <c r="G179" s="41" t="s">
        <v>486</v>
      </c>
      <c r="H179" s="34">
        <v>45331</v>
      </c>
      <c r="I179" s="29" t="s">
        <v>477</v>
      </c>
    </row>
    <row r="180" spans="1:9" x14ac:dyDescent="0.35">
      <c r="A180" s="31">
        <v>200000589</v>
      </c>
      <c r="B180" s="31">
        <v>1010</v>
      </c>
      <c r="C180" s="31">
        <v>4166</v>
      </c>
      <c r="D180" s="29" t="str">
        <f>LOOKUP('CAPA-old'!C180,'QALS - Inspection Lot Record'!P:P,'QALS - Inspection Lot Record'!O:O)</f>
        <v>Metformin Tablets (500 MG)</v>
      </c>
      <c r="E180" s="31">
        <v>21.7</v>
      </c>
      <c r="F180" s="34">
        <f ca="1">IF(TODAY()&gt;=LOOKUP(C180,'QALS - Inspection Lot Record'!P:P,'QALS - Inspection Lot Record'!J:J)+RANDBETWEEN(0,1),LOOKUP(C180,'QALS - Inspection Lot Record'!P:P,'QALS - Inspection Lot Record'!J:J)+RANDBETWEEN(0,1),"")</f>
        <v>45952</v>
      </c>
      <c r="G180" s="41" t="s">
        <v>483</v>
      </c>
      <c r="H180" s="34">
        <v>45329</v>
      </c>
      <c r="I180" s="29" t="s">
        <v>481</v>
      </c>
    </row>
    <row r="181" spans="1:9" x14ac:dyDescent="0.35">
      <c r="A181" s="31">
        <v>200000590</v>
      </c>
      <c r="B181" s="31">
        <v>1010</v>
      </c>
      <c r="C181" s="31">
        <v>4169</v>
      </c>
      <c r="D181" s="29" t="str">
        <f>LOOKUP('CAPA-old'!C181,'QALS - Inspection Lot Record'!P:P,'QALS - Inspection Lot Record'!O:O)</f>
        <v>Aspirin Tablets (500 MG)</v>
      </c>
      <c r="E181" s="31">
        <v>93.1</v>
      </c>
      <c r="F181" s="34">
        <f ca="1">IF(TODAY()&gt;=LOOKUP(C181,'QALS - Inspection Lot Record'!P:P,'QALS - Inspection Lot Record'!J:J)+RANDBETWEEN(0,1),LOOKUP(C181,'QALS - Inspection Lot Record'!P:P,'QALS - Inspection Lot Record'!J:J)+RANDBETWEEN(0,1),"")</f>
        <v>45954</v>
      </c>
      <c r="G181" s="41" t="s">
        <v>472</v>
      </c>
      <c r="H181" s="34">
        <v>45334</v>
      </c>
      <c r="I181" s="29" t="s">
        <v>475</v>
      </c>
    </row>
    <row r="182" spans="1:9" x14ac:dyDescent="0.35">
      <c r="A182" s="31">
        <v>200000590</v>
      </c>
      <c r="B182" s="31">
        <v>1010</v>
      </c>
      <c r="C182" s="31">
        <v>4169</v>
      </c>
      <c r="D182" s="29" t="str">
        <f>LOOKUP('CAPA-old'!C182,'QALS - Inspection Lot Record'!P:P,'QALS - Inspection Lot Record'!O:O)</f>
        <v>Aspirin Tablets (500 MG)</v>
      </c>
      <c r="E182" s="31">
        <v>2.5</v>
      </c>
      <c r="F182" s="34">
        <f ca="1">IF(TODAY()&gt;=LOOKUP(C182,'QALS - Inspection Lot Record'!P:P,'QALS - Inspection Lot Record'!J:J)+RANDBETWEEN(0,1),LOOKUP(C182,'QALS - Inspection Lot Record'!P:P,'QALS - Inspection Lot Record'!J:J)+RANDBETWEEN(0,1),"")</f>
        <v>45955</v>
      </c>
      <c r="G182" s="41" t="s">
        <v>474</v>
      </c>
      <c r="H182" s="34">
        <v>45334</v>
      </c>
      <c r="I182" s="29" t="s">
        <v>485</v>
      </c>
    </row>
    <row r="183" spans="1:9" x14ac:dyDescent="0.35">
      <c r="A183" s="31">
        <v>200000590</v>
      </c>
      <c r="B183" s="31">
        <v>1010</v>
      </c>
      <c r="C183" s="31">
        <v>4169</v>
      </c>
      <c r="D183" s="29" t="str">
        <f>LOOKUP('CAPA-old'!C183,'QALS - Inspection Lot Record'!P:P,'QALS - Inspection Lot Record'!O:O)</f>
        <v>Aspirin Tablets (500 MG)</v>
      </c>
      <c r="E183" s="31">
        <v>78</v>
      </c>
      <c r="F183" s="34">
        <f ca="1">IF(TODAY()&gt;=LOOKUP(C183,'QALS - Inspection Lot Record'!P:P,'QALS - Inspection Lot Record'!J:J)+RANDBETWEEN(0,1),LOOKUP(C183,'QALS - Inspection Lot Record'!P:P,'QALS - Inspection Lot Record'!J:J)+RANDBETWEEN(0,1),"")</f>
        <v>45954</v>
      </c>
      <c r="G183" s="41" t="s">
        <v>486</v>
      </c>
      <c r="H183" s="34">
        <v>45333</v>
      </c>
      <c r="I183" s="29" t="s">
        <v>495</v>
      </c>
    </row>
    <row r="184" spans="1:9" x14ac:dyDescent="0.35">
      <c r="A184" s="31">
        <v>200000591</v>
      </c>
      <c r="B184" s="31">
        <v>1010</v>
      </c>
      <c r="C184" s="31">
        <v>4170</v>
      </c>
      <c r="D184" s="29" t="str">
        <f>LOOKUP('CAPA-old'!C184,'QALS - Inspection Lot Record'!P:P,'QALS - Inspection Lot Record'!O:O)</f>
        <v>Ibuprofen Tablets (100 MG)</v>
      </c>
      <c r="E184" s="31">
        <v>93.4</v>
      </c>
      <c r="F184" s="34">
        <f ca="1">IF(TODAY()&gt;=LOOKUP(C184,'QALS - Inspection Lot Record'!P:P,'QALS - Inspection Lot Record'!J:J)+RANDBETWEEN(0,1),LOOKUP(C184,'QALS - Inspection Lot Record'!P:P,'QALS - Inspection Lot Record'!J:J)+RANDBETWEEN(0,1),"")</f>
        <v>45955</v>
      </c>
      <c r="G184" s="41" t="s">
        <v>472</v>
      </c>
      <c r="H184" s="34">
        <v>45333</v>
      </c>
      <c r="I184" s="29" t="s">
        <v>482</v>
      </c>
    </row>
    <row r="185" spans="1:9" x14ac:dyDescent="0.35">
      <c r="A185" s="31">
        <v>200000591</v>
      </c>
      <c r="B185" s="31">
        <v>1010</v>
      </c>
      <c r="C185" s="31">
        <v>4170</v>
      </c>
      <c r="D185" s="29" t="str">
        <f>LOOKUP('CAPA-old'!C185,'QALS - Inspection Lot Record'!P:P,'QALS - Inspection Lot Record'!O:O)</f>
        <v>Ibuprofen Tablets (100 MG)</v>
      </c>
      <c r="E185" s="31">
        <v>1.5</v>
      </c>
      <c r="F185" s="34">
        <f ca="1">IF(TODAY()&gt;=LOOKUP(C185,'QALS - Inspection Lot Record'!P:P,'QALS - Inspection Lot Record'!J:J)+RANDBETWEEN(0,1),LOOKUP(C185,'QALS - Inspection Lot Record'!P:P,'QALS - Inspection Lot Record'!J:J)+RANDBETWEEN(0,1),"")</f>
        <v>45955</v>
      </c>
      <c r="G185" s="41" t="s">
        <v>474</v>
      </c>
      <c r="H185" s="34">
        <v>45332</v>
      </c>
      <c r="I185" s="29" t="s">
        <v>477</v>
      </c>
    </row>
    <row r="186" spans="1:9" x14ac:dyDescent="0.35">
      <c r="A186" s="31">
        <v>200000591</v>
      </c>
      <c r="B186" s="31">
        <v>1010</v>
      </c>
      <c r="C186" s="31">
        <v>4170</v>
      </c>
      <c r="D186" s="29" t="str">
        <f>LOOKUP('CAPA-old'!C186,'QALS - Inspection Lot Record'!P:P,'QALS - Inspection Lot Record'!O:O)</f>
        <v>Ibuprofen Tablets (100 MG)</v>
      </c>
      <c r="E186" s="31">
        <v>78.400000000000006</v>
      </c>
      <c r="F186" s="34">
        <f ca="1">IF(TODAY()&gt;=LOOKUP(C186,'QALS - Inspection Lot Record'!P:P,'QALS - Inspection Lot Record'!J:J)+RANDBETWEEN(0,1),LOOKUP(C186,'QALS - Inspection Lot Record'!P:P,'QALS - Inspection Lot Record'!J:J)+RANDBETWEEN(0,1),"")</f>
        <v>45954</v>
      </c>
      <c r="G186" s="41" t="s">
        <v>486</v>
      </c>
      <c r="H186" s="34">
        <v>45333</v>
      </c>
      <c r="I186" s="29" t="s">
        <v>475</v>
      </c>
    </row>
    <row r="187" spans="1:9" x14ac:dyDescent="0.35">
      <c r="A187" s="31">
        <v>200000591</v>
      </c>
      <c r="B187" s="31">
        <v>1010</v>
      </c>
      <c r="C187" s="31">
        <v>4170</v>
      </c>
      <c r="D187" s="29" t="str">
        <f>LOOKUP('CAPA-old'!C187,'QALS - Inspection Lot Record'!P:P,'QALS - Inspection Lot Record'!O:O)</f>
        <v>Ibuprofen Tablets (100 MG)</v>
      </c>
      <c r="E187" s="31">
        <v>22</v>
      </c>
      <c r="F187" s="34">
        <f ca="1">IF(TODAY()&gt;=LOOKUP(C187,'QALS - Inspection Lot Record'!P:P,'QALS - Inspection Lot Record'!J:J)+RANDBETWEEN(0,1),LOOKUP(C187,'QALS - Inspection Lot Record'!P:P,'QALS - Inspection Lot Record'!J:J)+RANDBETWEEN(0,1),"")</f>
        <v>45955</v>
      </c>
      <c r="G187" s="41" t="s">
        <v>483</v>
      </c>
      <c r="H187" s="34">
        <v>45332</v>
      </c>
      <c r="I187" s="29" t="s">
        <v>484</v>
      </c>
    </row>
    <row r="188" spans="1:9" x14ac:dyDescent="0.35">
      <c r="A188" s="31">
        <v>200000592</v>
      </c>
      <c r="B188" s="31">
        <v>1010</v>
      </c>
      <c r="C188" s="31">
        <v>4173</v>
      </c>
      <c r="D188" s="29" t="str">
        <f>LOOKUP('CAPA-old'!C188,'QALS - Inspection Lot Record'!P:P,'QALS - Inspection Lot Record'!O:O)</f>
        <v>Aspirin Tablets (500 MG)</v>
      </c>
      <c r="E188" s="31">
        <v>2.1</v>
      </c>
      <c r="F188" s="34">
        <f ca="1">IF(TODAY()&gt;=LOOKUP(C188,'QALS - Inspection Lot Record'!P:P,'QALS - Inspection Lot Record'!J:J)+RANDBETWEEN(0,1),LOOKUP(C188,'QALS - Inspection Lot Record'!P:P,'QALS - Inspection Lot Record'!J:J)+RANDBETWEEN(0,1),"")</f>
        <v>45956</v>
      </c>
      <c r="G188" s="41" t="s">
        <v>474</v>
      </c>
      <c r="H188" s="34">
        <v>45334</v>
      </c>
      <c r="I188" s="29" t="s">
        <v>484</v>
      </c>
    </row>
    <row r="189" spans="1:9" x14ac:dyDescent="0.35">
      <c r="A189" s="31">
        <v>200000592</v>
      </c>
      <c r="B189" s="31">
        <v>1010</v>
      </c>
      <c r="C189" s="31">
        <v>4173</v>
      </c>
      <c r="D189" s="29" t="str">
        <f>LOOKUP('CAPA-old'!C189,'QALS - Inspection Lot Record'!P:P,'QALS - Inspection Lot Record'!O:O)</f>
        <v>Aspirin Tablets (500 MG)</v>
      </c>
      <c r="E189" s="31">
        <v>38.200000000000003</v>
      </c>
      <c r="F189" s="34">
        <f ca="1">IF(TODAY()&gt;=LOOKUP(C189,'QALS - Inspection Lot Record'!P:P,'QALS - Inspection Lot Record'!J:J)+RANDBETWEEN(0,1),LOOKUP(C189,'QALS - Inspection Lot Record'!P:P,'QALS - Inspection Lot Record'!J:J)+RANDBETWEEN(0,1),"")</f>
        <v>45956</v>
      </c>
      <c r="G189" s="41" t="s">
        <v>478</v>
      </c>
      <c r="H189" s="34">
        <v>45334</v>
      </c>
      <c r="I189" s="29" t="s">
        <v>481</v>
      </c>
    </row>
    <row r="190" spans="1:9" x14ac:dyDescent="0.35">
      <c r="A190" s="31">
        <v>200000593</v>
      </c>
      <c r="B190" s="31">
        <v>1010</v>
      </c>
      <c r="C190" s="31">
        <v>4174</v>
      </c>
      <c r="D190" s="29" t="str">
        <f>LOOKUP('CAPA-old'!C190,'QALS - Inspection Lot Record'!P:P,'QALS - Inspection Lot Record'!O:O)</f>
        <v>Metformin Tablets (500 MG)</v>
      </c>
      <c r="E190" s="31">
        <v>2.1</v>
      </c>
      <c r="F190" s="34">
        <f ca="1">IF(TODAY()&gt;=LOOKUP(C190,'QALS - Inspection Lot Record'!P:P,'QALS - Inspection Lot Record'!J:J)+RANDBETWEEN(0,1),LOOKUP(C190,'QALS - Inspection Lot Record'!P:P,'QALS - Inspection Lot Record'!J:J)+RANDBETWEEN(0,1),"")</f>
        <v>45956</v>
      </c>
      <c r="G190" s="41" t="s">
        <v>476</v>
      </c>
      <c r="H190" s="34">
        <v>45334</v>
      </c>
      <c r="I190" s="29" t="s">
        <v>487</v>
      </c>
    </row>
    <row r="191" spans="1:9" x14ac:dyDescent="0.35">
      <c r="A191" s="31">
        <v>200000593</v>
      </c>
      <c r="B191" s="31">
        <v>1010</v>
      </c>
      <c r="C191" s="31">
        <v>4174</v>
      </c>
      <c r="D191" s="29" t="str">
        <f>LOOKUP('CAPA-old'!C191,'QALS - Inspection Lot Record'!P:P,'QALS - Inspection Lot Record'!O:O)</f>
        <v>Metformin Tablets (500 MG)</v>
      </c>
      <c r="E191" s="31">
        <v>38.5</v>
      </c>
      <c r="F191" s="34">
        <f ca="1">IF(TODAY()&gt;=LOOKUP(C191,'QALS - Inspection Lot Record'!P:P,'QALS - Inspection Lot Record'!J:J)+RANDBETWEEN(0,1),LOOKUP(C191,'QALS - Inspection Lot Record'!P:P,'QALS - Inspection Lot Record'!J:J)+RANDBETWEEN(0,1),"")</f>
        <v>45957</v>
      </c>
      <c r="G191" s="41" t="s">
        <v>478</v>
      </c>
      <c r="H191" s="34">
        <v>45335</v>
      </c>
      <c r="I191" s="29" t="s">
        <v>479</v>
      </c>
    </row>
    <row r="192" spans="1:9" x14ac:dyDescent="0.35">
      <c r="A192" s="31">
        <v>200000593</v>
      </c>
      <c r="B192" s="31">
        <v>1010</v>
      </c>
      <c r="C192" s="31">
        <v>4174</v>
      </c>
      <c r="D192" s="29" t="str">
        <f>LOOKUP('CAPA-old'!C192,'QALS - Inspection Lot Record'!P:P,'QALS - Inspection Lot Record'!O:O)</f>
        <v>Metformin Tablets (500 MG)</v>
      </c>
      <c r="E192" s="31">
        <v>78.8</v>
      </c>
      <c r="F192" s="34">
        <f ca="1">IF(TODAY()&gt;=LOOKUP(C192,'QALS - Inspection Lot Record'!P:P,'QALS - Inspection Lot Record'!J:J)+RANDBETWEEN(0,1),LOOKUP(C192,'QALS - Inspection Lot Record'!P:P,'QALS - Inspection Lot Record'!J:J)+RANDBETWEEN(0,1),"")</f>
        <v>45957</v>
      </c>
      <c r="G192" s="41" t="s">
        <v>486</v>
      </c>
      <c r="H192" s="34">
        <v>45335</v>
      </c>
      <c r="I192" s="29" t="s">
        <v>484</v>
      </c>
    </row>
    <row r="193" spans="1:9" x14ac:dyDescent="0.35">
      <c r="A193" s="31">
        <v>200000593</v>
      </c>
      <c r="B193" s="31">
        <v>1010</v>
      </c>
      <c r="C193" s="31">
        <v>4174</v>
      </c>
      <c r="D193" s="29" t="str">
        <f>LOOKUP('CAPA-old'!C193,'QALS - Inspection Lot Record'!P:P,'QALS - Inspection Lot Record'!O:O)</f>
        <v>Metformin Tablets (500 MG)</v>
      </c>
      <c r="E193" s="31">
        <v>22</v>
      </c>
      <c r="F193" s="34">
        <f ca="1">IF(TODAY()&gt;=LOOKUP(C193,'QALS - Inspection Lot Record'!P:P,'QALS - Inspection Lot Record'!J:J)+RANDBETWEEN(0,1),LOOKUP(C193,'QALS - Inspection Lot Record'!P:P,'QALS - Inspection Lot Record'!J:J)+RANDBETWEEN(0,1),"")</f>
        <v>45957</v>
      </c>
      <c r="G193" s="41" t="s">
        <v>483</v>
      </c>
      <c r="H193" s="34">
        <v>45334</v>
      </c>
      <c r="I193" s="29" t="s">
        <v>484</v>
      </c>
    </row>
    <row r="194" spans="1:9" x14ac:dyDescent="0.35">
      <c r="A194" s="31">
        <v>200000594</v>
      </c>
      <c r="B194" s="31">
        <v>1010</v>
      </c>
      <c r="C194" s="31">
        <v>4177</v>
      </c>
      <c r="D194" s="29" t="str">
        <f>LOOKUP('CAPA-old'!C194,'QALS - Inspection Lot Record'!P:P,'QALS - Inspection Lot Record'!O:O)</f>
        <v>Aspirin Tablets (500 MG)</v>
      </c>
      <c r="E194" s="31">
        <v>68.8</v>
      </c>
      <c r="F194" s="34">
        <f ca="1">IF(TODAY()&gt;=LOOKUP(C194,'QALS - Inspection Lot Record'!P:P,'QALS - Inspection Lot Record'!J:J)+RANDBETWEEN(0,1),LOOKUP(C194,'QALS - Inspection Lot Record'!P:P,'QALS - Inspection Lot Record'!J:J)+RANDBETWEEN(0,1),"")</f>
        <v>45959</v>
      </c>
      <c r="G194" s="41" t="s">
        <v>480</v>
      </c>
      <c r="H194" s="34">
        <v>45336</v>
      </c>
      <c r="I194" s="29" t="s">
        <v>497</v>
      </c>
    </row>
    <row r="195" spans="1:9" x14ac:dyDescent="0.35">
      <c r="A195" s="31">
        <v>200000595</v>
      </c>
      <c r="B195" s="31">
        <v>1010</v>
      </c>
      <c r="C195" s="31">
        <v>4178</v>
      </c>
      <c r="D195" s="29" t="str">
        <f>LOOKUP('CAPA-old'!C195,'QALS - Inspection Lot Record'!P:P,'QALS - Inspection Lot Record'!O:O)</f>
        <v>Ibuprofen Tablets (100 MG)</v>
      </c>
      <c r="E195" s="31">
        <v>93</v>
      </c>
      <c r="F195" s="34">
        <f ca="1">IF(TODAY()&gt;=LOOKUP(C195,'QALS - Inspection Lot Record'!P:P,'QALS - Inspection Lot Record'!J:J)+RANDBETWEEN(0,1),LOOKUP(C195,'QALS - Inspection Lot Record'!P:P,'QALS - Inspection Lot Record'!J:J)+RANDBETWEEN(0,1),"")</f>
        <v>45959</v>
      </c>
      <c r="G195" s="41" t="s">
        <v>472</v>
      </c>
      <c r="H195" s="34">
        <v>45336</v>
      </c>
      <c r="I195" s="29" t="s">
        <v>482</v>
      </c>
    </row>
    <row r="196" spans="1:9" x14ac:dyDescent="0.35">
      <c r="A196" s="31">
        <v>200000595</v>
      </c>
      <c r="B196" s="31">
        <v>1010</v>
      </c>
      <c r="C196" s="31">
        <v>4178</v>
      </c>
      <c r="D196" s="29" t="str">
        <f>LOOKUP('CAPA-old'!C196,'QALS - Inspection Lot Record'!P:P,'QALS - Inspection Lot Record'!O:O)</f>
        <v>Ibuprofen Tablets (100 MG)</v>
      </c>
      <c r="E196" s="31">
        <v>1.7</v>
      </c>
      <c r="F196" s="34">
        <f ca="1">IF(TODAY()&gt;=LOOKUP(C196,'QALS - Inspection Lot Record'!P:P,'QALS - Inspection Lot Record'!J:J)+RANDBETWEEN(0,1),LOOKUP(C196,'QALS - Inspection Lot Record'!P:P,'QALS - Inspection Lot Record'!J:J)+RANDBETWEEN(0,1),"")</f>
        <v>45958</v>
      </c>
      <c r="G196" s="41" t="s">
        <v>474</v>
      </c>
      <c r="H196" s="34">
        <v>45338</v>
      </c>
      <c r="I196" s="29" t="s">
        <v>477</v>
      </c>
    </row>
    <row r="197" spans="1:9" x14ac:dyDescent="0.35">
      <c r="A197" s="31">
        <v>200000595</v>
      </c>
      <c r="B197" s="31">
        <v>1010</v>
      </c>
      <c r="C197" s="31">
        <v>4178</v>
      </c>
      <c r="D197" s="29" t="str">
        <f>LOOKUP('CAPA-old'!C197,'QALS - Inspection Lot Record'!P:P,'QALS - Inspection Lot Record'!O:O)</f>
        <v>Ibuprofen Tablets (100 MG)</v>
      </c>
      <c r="E197" s="31">
        <v>1.2</v>
      </c>
      <c r="F197" s="34">
        <f ca="1">IF(TODAY()&gt;=LOOKUP(C197,'QALS - Inspection Lot Record'!P:P,'QALS - Inspection Lot Record'!J:J)+RANDBETWEEN(0,1),LOOKUP(C197,'QALS - Inspection Lot Record'!P:P,'QALS - Inspection Lot Record'!J:J)+RANDBETWEEN(0,1),"")</f>
        <v>45959</v>
      </c>
      <c r="G197" s="41" t="s">
        <v>476</v>
      </c>
      <c r="H197" s="34">
        <v>45336</v>
      </c>
      <c r="I197" s="29" t="s">
        <v>477</v>
      </c>
    </row>
    <row r="198" spans="1:9" x14ac:dyDescent="0.35">
      <c r="A198" s="31">
        <v>200000595</v>
      </c>
      <c r="B198" s="31">
        <v>1010</v>
      </c>
      <c r="C198" s="31">
        <v>4178</v>
      </c>
      <c r="D198" s="29" t="str">
        <f>LOOKUP('CAPA-old'!C198,'QALS - Inspection Lot Record'!P:P,'QALS - Inspection Lot Record'!O:O)</f>
        <v>Ibuprofen Tablets (100 MG)</v>
      </c>
      <c r="E198" s="31">
        <v>78.400000000000006</v>
      </c>
      <c r="F198" s="34">
        <f ca="1">IF(TODAY()&gt;=LOOKUP(C198,'QALS - Inspection Lot Record'!P:P,'QALS - Inspection Lot Record'!J:J)+RANDBETWEEN(0,1),LOOKUP(C198,'QALS - Inspection Lot Record'!P:P,'QALS - Inspection Lot Record'!J:J)+RANDBETWEEN(0,1),"")</f>
        <v>45958</v>
      </c>
      <c r="G198" s="41" t="s">
        <v>486</v>
      </c>
      <c r="H198" s="34">
        <v>45335</v>
      </c>
      <c r="I198" s="29" t="s">
        <v>495</v>
      </c>
    </row>
    <row r="199" spans="1:9" x14ac:dyDescent="0.35">
      <c r="A199" s="31">
        <v>200000595</v>
      </c>
      <c r="B199" s="31">
        <v>1010</v>
      </c>
      <c r="C199" s="31">
        <v>4178</v>
      </c>
      <c r="D199" s="29" t="str">
        <f>LOOKUP('CAPA-old'!C199,'QALS - Inspection Lot Record'!P:P,'QALS - Inspection Lot Record'!O:O)</f>
        <v>Ibuprofen Tablets (100 MG)</v>
      </c>
      <c r="E199" s="31">
        <v>21.1</v>
      </c>
      <c r="F199" s="34">
        <f ca="1">IF(TODAY()&gt;=LOOKUP(C199,'QALS - Inspection Lot Record'!P:P,'QALS - Inspection Lot Record'!J:J)+RANDBETWEEN(0,1),LOOKUP(C199,'QALS - Inspection Lot Record'!P:P,'QALS - Inspection Lot Record'!J:J)+RANDBETWEEN(0,1),"")</f>
        <v>45959</v>
      </c>
      <c r="G199" s="41" t="s">
        <v>483</v>
      </c>
      <c r="H199" s="34">
        <v>45336</v>
      </c>
      <c r="I199" s="29" t="s">
        <v>484</v>
      </c>
    </row>
    <row r="200" spans="1:9" x14ac:dyDescent="0.35">
      <c r="A200" s="31">
        <v>200000596</v>
      </c>
      <c r="B200" s="31">
        <v>1010</v>
      </c>
      <c r="C200" s="31">
        <v>4181</v>
      </c>
      <c r="D200" s="29" t="str">
        <f>LOOKUP('CAPA-old'!C200,'QALS - Inspection Lot Record'!P:P,'QALS - Inspection Lot Record'!O:O)</f>
        <v>Aspirin Tablets (500 MG)</v>
      </c>
      <c r="E200" s="31">
        <v>93.8</v>
      </c>
      <c r="F200" s="34">
        <f ca="1">IF(TODAY()&gt;=LOOKUP(C200,'QALS - Inspection Lot Record'!P:P,'QALS - Inspection Lot Record'!J:J)+RANDBETWEEN(0,1),LOOKUP(C200,'QALS - Inspection Lot Record'!P:P,'QALS - Inspection Lot Record'!J:J)+RANDBETWEEN(0,1),"")</f>
        <v>45961</v>
      </c>
      <c r="G200" s="41" t="s">
        <v>472</v>
      </c>
      <c r="H200" s="34">
        <v>45340</v>
      </c>
      <c r="I200" s="29" t="s">
        <v>482</v>
      </c>
    </row>
    <row r="201" spans="1:9" x14ac:dyDescent="0.35">
      <c r="A201" s="31">
        <v>200000597</v>
      </c>
      <c r="B201" s="31">
        <v>1010</v>
      </c>
      <c r="C201" s="31">
        <v>4182</v>
      </c>
      <c r="D201" s="29" t="str">
        <f>LOOKUP('CAPA-old'!C201,'QALS - Inspection Lot Record'!P:P,'QALS - Inspection Lot Record'!O:O)</f>
        <v>Aspirin Tablets (500 MG)</v>
      </c>
      <c r="E201" s="31">
        <v>21.6</v>
      </c>
      <c r="F201" s="34">
        <f ca="1">IF(TODAY()&gt;=LOOKUP(C201,'QALS - Inspection Lot Record'!P:P,'QALS - Inspection Lot Record'!J:J)+RANDBETWEEN(0,1),LOOKUP(C201,'QALS - Inspection Lot Record'!P:P,'QALS - Inspection Lot Record'!J:J)+RANDBETWEEN(0,1),"")</f>
        <v>45961</v>
      </c>
      <c r="G201" s="41" t="s">
        <v>483</v>
      </c>
      <c r="H201" s="34">
        <v>45339</v>
      </c>
      <c r="I201" s="29" t="s">
        <v>489</v>
      </c>
    </row>
    <row r="202" spans="1:9" x14ac:dyDescent="0.35">
      <c r="A202" s="31">
        <v>200000598</v>
      </c>
      <c r="B202" s="31">
        <v>1010</v>
      </c>
      <c r="C202" s="31">
        <v>4183</v>
      </c>
      <c r="D202" s="29" t="str">
        <f>LOOKUP('CAPA-old'!C202,'QALS - Inspection Lot Record'!P:P,'QALS - Inspection Lot Record'!O:O)</f>
        <v>Ibuprofen Tablets (100 MG)</v>
      </c>
      <c r="E202" s="31">
        <v>93.5</v>
      </c>
      <c r="F202" s="34">
        <f ca="1">IF(TODAY()&gt;=LOOKUP(C202,'QALS - Inspection Lot Record'!P:P,'QALS - Inspection Lot Record'!J:J)+RANDBETWEEN(0,1),LOOKUP(C202,'QALS - Inspection Lot Record'!P:P,'QALS - Inspection Lot Record'!J:J)+RANDBETWEEN(0,1),"")</f>
        <v>45961</v>
      </c>
      <c r="G202" s="41" t="s">
        <v>472</v>
      </c>
      <c r="H202" s="34">
        <v>45340</v>
      </c>
      <c r="I202" s="29" t="s">
        <v>475</v>
      </c>
    </row>
    <row r="203" spans="1:9" x14ac:dyDescent="0.35">
      <c r="A203" s="31">
        <v>200000598</v>
      </c>
      <c r="B203" s="31">
        <v>1010</v>
      </c>
      <c r="C203" s="31">
        <v>4183</v>
      </c>
      <c r="D203" s="29" t="str">
        <f>LOOKUP('CAPA-old'!C203,'QALS - Inspection Lot Record'!P:P,'QALS - Inspection Lot Record'!O:O)</f>
        <v>Ibuprofen Tablets (100 MG)</v>
      </c>
      <c r="E203" s="31">
        <v>68.599999999999994</v>
      </c>
      <c r="F203" s="34">
        <f ca="1">IF(TODAY()&gt;=LOOKUP(C203,'QALS - Inspection Lot Record'!P:P,'QALS - Inspection Lot Record'!J:J)+RANDBETWEEN(0,1),LOOKUP(C203,'QALS - Inspection Lot Record'!P:P,'QALS - Inspection Lot Record'!J:J)+RANDBETWEEN(0,1),"")</f>
        <v>45961</v>
      </c>
      <c r="G203" s="41" t="s">
        <v>480</v>
      </c>
      <c r="H203" s="34">
        <v>45341</v>
      </c>
      <c r="I203" s="29" t="s">
        <v>490</v>
      </c>
    </row>
    <row r="204" spans="1:9" x14ac:dyDescent="0.35">
      <c r="A204" s="31">
        <v>200000598</v>
      </c>
      <c r="B204" s="31">
        <v>1010</v>
      </c>
      <c r="C204" s="31">
        <v>4183</v>
      </c>
      <c r="D204" s="29" t="str">
        <f>LOOKUP('CAPA-old'!C204,'QALS - Inspection Lot Record'!P:P,'QALS - Inspection Lot Record'!O:O)</f>
        <v>Ibuprofen Tablets (100 MG)</v>
      </c>
      <c r="E204" s="31">
        <v>78.400000000000006</v>
      </c>
      <c r="F204" s="34">
        <f ca="1">IF(TODAY()&gt;=LOOKUP(C204,'QALS - Inspection Lot Record'!P:P,'QALS - Inspection Lot Record'!J:J)+RANDBETWEEN(0,1),LOOKUP(C204,'QALS - Inspection Lot Record'!P:P,'QALS - Inspection Lot Record'!J:J)+RANDBETWEEN(0,1),"")</f>
        <v>45961</v>
      </c>
      <c r="G204" s="41" t="s">
        <v>486</v>
      </c>
      <c r="H204" s="34">
        <v>45341</v>
      </c>
      <c r="I204" s="29" t="s">
        <v>477</v>
      </c>
    </row>
    <row r="205" spans="1:9" x14ac:dyDescent="0.35">
      <c r="A205" s="31">
        <v>200000599</v>
      </c>
      <c r="B205" s="31">
        <v>1010</v>
      </c>
      <c r="C205" s="31">
        <v>4184</v>
      </c>
      <c r="D205" s="29" t="str">
        <f>LOOKUP('CAPA-old'!C205,'QALS - Inspection Lot Record'!P:P,'QALS - Inspection Lot Record'!O:O)</f>
        <v>Metformin Tablets (100 MG)</v>
      </c>
      <c r="E205" s="31">
        <v>93.2</v>
      </c>
      <c r="F205" s="34">
        <f ca="1">IF(TODAY()&gt;=LOOKUP(C205,'QALS - Inspection Lot Record'!P:P,'QALS - Inspection Lot Record'!J:J)+RANDBETWEEN(0,1),LOOKUP(C205,'QALS - Inspection Lot Record'!P:P,'QALS - Inspection Lot Record'!J:J)+RANDBETWEEN(0,1),"")</f>
        <v>45962</v>
      </c>
      <c r="G205" s="41" t="s">
        <v>472</v>
      </c>
      <c r="H205" s="34">
        <v>45339</v>
      </c>
      <c r="I205" s="29" t="s">
        <v>477</v>
      </c>
    </row>
    <row r="206" spans="1:9" x14ac:dyDescent="0.35">
      <c r="A206" s="31">
        <v>200000599</v>
      </c>
      <c r="B206" s="31">
        <v>1010</v>
      </c>
      <c r="C206" s="31">
        <v>4184</v>
      </c>
      <c r="D206" s="29" t="str">
        <f>LOOKUP('CAPA-old'!C206,'QALS - Inspection Lot Record'!P:P,'QALS - Inspection Lot Record'!O:O)</f>
        <v>Metformin Tablets (100 MG)</v>
      </c>
      <c r="E206" s="31">
        <v>38.799999999999997</v>
      </c>
      <c r="F206" s="34">
        <f ca="1">IF(TODAY()&gt;=LOOKUP(C206,'QALS - Inspection Lot Record'!P:P,'QALS - Inspection Lot Record'!J:J)+RANDBETWEEN(0,1),LOOKUP(C206,'QALS - Inspection Lot Record'!P:P,'QALS - Inspection Lot Record'!J:J)+RANDBETWEEN(0,1),"")</f>
        <v>45961</v>
      </c>
      <c r="G206" s="41" t="s">
        <v>478</v>
      </c>
      <c r="H206" s="34">
        <v>45338</v>
      </c>
      <c r="I206" s="29" t="s">
        <v>491</v>
      </c>
    </row>
    <row r="207" spans="1:9" x14ac:dyDescent="0.35">
      <c r="A207" s="31">
        <v>200000599</v>
      </c>
      <c r="B207" s="31">
        <v>1010</v>
      </c>
      <c r="C207" s="31">
        <v>4184</v>
      </c>
      <c r="D207" s="29" t="str">
        <f>LOOKUP('CAPA-old'!C207,'QALS - Inspection Lot Record'!P:P,'QALS - Inspection Lot Record'!O:O)</f>
        <v>Metformin Tablets (100 MG)</v>
      </c>
      <c r="E207" s="31">
        <v>68</v>
      </c>
      <c r="F207" s="34">
        <f ca="1">IF(TODAY()&gt;=LOOKUP(C207,'QALS - Inspection Lot Record'!P:P,'QALS - Inspection Lot Record'!J:J)+RANDBETWEEN(0,1),LOOKUP(C207,'QALS - Inspection Lot Record'!P:P,'QALS - Inspection Lot Record'!J:J)+RANDBETWEEN(0,1),"")</f>
        <v>45962</v>
      </c>
      <c r="G207" s="41" t="s">
        <v>480</v>
      </c>
      <c r="H207" s="34">
        <v>45341</v>
      </c>
      <c r="I207" s="29" t="s">
        <v>484</v>
      </c>
    </row>
    <row r="208" spans="1:9" x14ac:dyDescent="0.35">
      <c r="A208" s="31">
        <v>200000599</v>
      </c>
      <c r="B208" s="31">
        <v>1010</v>
      </c>
      <c r="C208" s="31">
        <v>4184</v>
      </c>
      <c r="D208" s="29" t="str">
        <f>LOOKUP('CAPA-old'!C208,'QALS - Inspection Lot Record'!P:P,'QALS - Inspection Lot Record'!O:O)</f>
        <v>Metformin Tablets (100 MG)</v>
      </c>
      <c r="E208" s="31">
        <v>78.8</v>
      </c>
      <c r="F208" s="34">
        <f ca="1">IF(TODAY()&gt;=LOOKUP(C208,'QALS - Inspection Lot Record'!P:P,'QALS - Inspection Lot Record'!J:J)+RANDBETWEEN(0,1),LOOKUP(C208,'QALS - Inspection Lot Record'!P:P,'QALS - Inspection Lot Record'!J:J)+RANDBETWEEN(0,1),"")</f>
        <v>45962</v>
      </c>
      <c r="G208" s="41" t="s">
        <v>486</v>
      </c>
      <c r="H208" s="34">
        <v>45338</v>
      </c>
      <c r="I208" s="29" t="s">
        <v>475</v>
      </c>
    </row>
    <row r="209" spans="1:9" x14ac:dyDescent="0.35">
      <c r="A209" s="31">
        <v>200000600</v>
      </c>
      <c r="B209" s="31">
        <v>1010</v>
      </c>
      <c r="C209" s="31">
        <v>4185</v>
      </c>
      <c r="D209" s="29" t="str">
        <f>LOOKUP('CAPA-old'!C209,'QALS - Inspection Lot Record'!P:P,'QALS - Inspection Lot Record'!O:O)</f>
        <v>Aspirin Tablets (500 MG)</v>
      </c>
      <c r="E209" s="31">
        <v>68.099999999999994</v>
      </c>
      <c r="F209" s="34">
        <f ca="1">IF(TODAY()&gt;=LOOKUP(C209,'QALS - Inspection Lot Record'!P:P,'QALS - Inspection Lot Record'!J:J)+RANDBETWEEN(0,1),LOOKUP(C209,'QALS - Inspection Lot Record'!P:P,'QALS - Inspection Lot Record'!J:J)+RANDBETWEEN(0,1),"")</f>
        <v>45962</v>
      </c>
      <c r="G209" s="41" t="s">
        <v>480</v>
      </c>
      <c r="H209" s="34">
        <v>45339</v>
      </c>
      <c r="I209" s="29" t="s">
        <v>490</v>
      </c>
    </row>
    <row r="210" spans="1:9" x14ac:dyDescent="0.35">
      <c r="A210" s="31">
        <v>200000601</v>
      </c>
      <c r="B210" s="31">
        <v>1010</v>
      </c>
      <c r="C210" s="31">
        <v>4186</v>
      </c>
      <c r="D210" s="29" t="str">
        <f>LOOKUP('CAPA-old'!C210,'QALS - Inspection Lot Record'!P:P,'QALS - Inspection Lot Record'!O:O)</f>
        <v>Ibuprofen Tablets (100 MG)</v>
      </c>
      <c r="E210" s="31">
        <v>21.8</v>
      </c>
      <c r="F210" s="34">
        <f ca="1">IF(TODAY()&gt;=LOOKUP(C210,'QALS - Inspection Lot Record'!P:P,'QALS - Inspection Lot Record'!J:J)+RANDBETWEEN(0,1),LOOKUP(C210,'QALS - Inspection Lot Record'!P:P,'QALS - Inspection Lot Record'!J:J)+RANDBETWEEN(0,1),"")</f>
        <v>45962</v>
      </c>
      <c r="G210" s="41" t="s">
        <v>483</v>
      </c>
      <c r="H210" s="34">
        <v>45341</v>
      </c>
      <c r="I210" s="29" t="s">
        <v>481</v>
      </c>
    </row>
    <row r="211" spans="1:9" x14ac:dyDescent="0.35">
      <c r="A211" s="31">
        <v>200000602</v>
      </c>
      <c r="B211" s="31">
        <v>1010</v>
      </c>
      <c r="C211" s="31">
        <v>4187</v>
      </c>
      <c r="D211" s="29" t="str">
        <f>LOOKUP('CAPA-old'!C211,'QALS - Inspection Lot Record'!P:P,'QALS - Inspection Lot Record'!O:O)</f>
        <v>Aspirin Tablets (500 MG)</v>
      </c>
      <c r="E211" s="31">
        <v>93.5</v>
      </c>
      <c r="F211" s="34">
        <f ca="1">IF(TODAY()&gt;=LOOKUP(C211,'QALS - Inspection Lot Record'!P:P,'QALS - Inspection Lot Record'!J:J)+RANDBETWEEN(0,1),LOOKUP(C211,'QALS - Inspection Lot Record'!P:P,'QALS - Inspection Lot Record'!J:J)+RANDBETWEEN(0,1),"")</f>
        <v>45963</v>
      </c>
      <c r="G211" s="41" t="s">
        <v>472</v>
      </c>
      <c r="H211" s="34">
        <v>45341</v>
      </c>
      <c r="I211" s="29" t="s">
        <v>473</v>
      </c>
    </row>
    <row r="212" spans="1:9" x14ac:dyDescent="0.35">
      <c r="A212" s="31">
        <v>200000602</v>
      </c>
      <c r="B212" s="31">
        <v>1010</v>
      </c>
      <c r="C212" s="31">
        <v>4187</v>
      </c>
      <c r="D212" s="29" t="str">
        <f>LOOKUP('CAPA-old'!C212,'QALS - Inspection Lot Record'!P:P,'QALS - Inspection Lot Record'!O:O)</f>
        <v>Aspirin Tablets (500 MG)</v>
      </c>
      <c r="E212" s="31">
        <v>68.599999999999994</v>
      </c>
      <c r="F212" s="34">
        <f ca="1">IF(TODAY()&gt;=LOOKUP(C212,'QALS - Inspection Lot Record'!P:P,'QALS - Inspection Lot Record'!J:J)+RANDBETWEEN(0,1),LOOKUP(C212,'QALS - Inspection Lot Record'!P:P,'QALS - Inspection Lot Record'!J:J)+RANDBETWEEN(0,1),"")</f>
        <v>45964</v>
      </c>
      <c r="G212" s="41" t="s">
        <v>480</v>
      </c>
      <c r="H212" s="34">
        <v>45342</v>
      </c>
      <c r="I212" s="29" t="s">
        <v>497</v>
      </c>
    </row>
    <row r="213" spans="1:9" x14ac:dyDescent="0.35">
      <c r="A213" s="31">
        <v>200000602</v>
      </c>
      <c r="B213" s="31">
        <v>1010</v>
      </c>
      <c r="C213" s="31">
        <v>4187</v>
      </c>
      <c r="D213" s="29" t="str">
        <f>LOOKUP('CAPA-old'!C213,'QALS - Inspection Lot Record'!P:P,'QALS - Inspection Lot Record'!O:O)</f>
        <v>Aspirin Tablets (500 MG)</v>
      </c>
      <c r="E213" s="31">
        <v>78.5</v>
      </c>
      <c r="F213" s="34">
        <f ca="1">IF(TODAY()&gt;=LOOKUP(C213,'QALS - Inspection Lot Record'!P:P,'QALS - Inspection Lot Record'!J:J)+RANDBETWEEN(0,1),LOOKUP(C213,'QALS - Inspection Lot Record'!P:P,'QALS - Inspection Lot Record'!J:J)+RANDBETWEEN(0,1),"")</f>
        <v>45964</v>
      </c>
      <c r="G213" s="41" t="s">
        <v>486</v>
      </c>
      <c r="H213" s="34">
        <v>45342</v>
      </c>
      <c r="I213" s="29" t="s">
        <v>495</v>
      </c>
    </row>
    <row r="214" spans="1:9" x14ac:dyDescent="0.35">
      <c r="A214" s="31">
        <v>200000603</v>
      </c>
      <c r="B214" s="31">
        <v>1010</v>
      </c>
      <c r="C214" s="31">
        <v>4188</v>
      </c>
      <c r="D214" s="29" t="str">
        <f>LOOKUP('CAPA-old'!C214,'QALS - Inspection Lot Record'!P:P,'QALS - Inspection Lot Record'!O:O)</f>
        <v>Aspirin Tablets (500 MG)</v>
      </c>
      <c r="E214" s="31">
        <v>93.1</v>
      </c>
      <c r="F214" s="34">
        <f ca="1">IF(TODAY()&gt;=LOOKUP(C214,'QALS - Inspection Lot Record'!P:P,'QALS - Inspection Lot Record'!J:J)+RANDBETWEEN(0,1),LOOKUP(C214,'QALS - Inspection Lot Record'!P:P,'QALS - Inspection Lot Record'!J:J)+RANDBETWEEN(0,1),"")</f>
        <v>45963</v>
      </c>
      <c r="G214" s="41" t="s">
        <v>472</v>
      </c>
      <c r="H214" s="34">
        <v>45343</v>
      </c>
      <c r="I214" s="29" t="s">
        <v>481</v>
      </c>
    </row>
    <row r="215" spans="1:9" x14ac:dyDescent="0.35">
      <c r="A215" s="31">
        <v>200000603</v>
      </c>
      <c r="B215" s="31">
        <v>1010</v>
      </c>
      <c r="C215" s="31">
        <v>4188</v>
      </c>
      <c r="D215" s="29" t="str">
        <f>LOOKUP('CAPA-old'!C215,'QALS - Inspection Lot Record'!P:P,'QALS - Inspection Lot Record'!O:O)</f>
        <v>Aspirin Tablets (500 MG)</v>
      </c>
      <c r="E215" s="31">
        <v>1.6</v>
      </c>
      <c r="F215" s="34">
        <f ca="1">IF(TODAY()&gt;=LOOKUP(C215,'QALS - Inspection Lot Record'!P:P,'QALS - Inspection Lot Record'!J:J)+RANDBETWEEN(0,1),LOOKUP(C215,'QALS - Inspection Lot Record'!P:P,'QALS - Inspection Lot Record'!J:J)+RANDBETWEEN(0,1),"")</f>
        <v>45964</v>
      </c>
      <c r="G215" s="41" t="s">
        <v>474</v>
      </c>
      <c r="H215" s="34">
        <v>45340</v>
      </c>
      <c r="I215" s="29" t="s">
        <v>485</v>
      </c>
    </row>
    <row r="216" spans="1:9" x14ac:dyDescent="0.35">
      <c r="A216" s="31">
        <v>200000603</v>
      </c>
      <c r="B216" s="31">
        <v>1010</v>
      </c>
      <c r="C216" s="31">
        <v>4188</v>
      </c>
      <c r="D216" s="29" t="str">
        <f>LOOKUP('CAPA-old'!C216,'QALS - Inspection Lot Record'!P:P,'QALS - Inspection Lot Record'!O:O)</f>
        <v>Aspirin Tablets (500 MG)</v>
      </c>
      <c r="E216" s="31">
        <v>78.3</v>
      </c>
      <c r="F216" s="34">
        <f ca="1">IF(TODAY()&gt;=LOOKUP(C216,'QALS - Inspection Lot Record'!P:P,'QALS - Inspection Lot Record'!J:J)+RANDBETWEEN(0,1),LOOKUP(C216,'QALS - Inspection Lot Record'!P:P,'QALS - Inspection Lot Record'!J:J)+RANDBETWEEN(0,1),"")</f>
        <v>45964</v>
      </c>
      <c r="G216" s="41" t="s">
        <v>486</v>
      </c>
      <c r="H216" s="34">
        <v>45341</v>
      </c>
      <c r="I216" s="29" t="s">
        <v>477</v>
      </c>
    </row>
    <row r="217" spans="1:9" x14ac:dyDescent="0.35">
      <c r="A217" s="31">
        <v>200000604</v>
      </c>
      <c r="B217" s="31">
        <v>1010</v>
      </c>
      <c r="C217" s="31">
        <v>4189</v>
      </c>
      <c r="D217" s="29" t="str">
        <f>LOOKUP('CAPA-old'!C217,'QALS - Inspection Lot Record'!P:P,'QALS - Inspection Lot Record'!O:O)</f>
        <v>Aspirin Tablets (500 MG)</v>
      </c>
      <c r="E217" s="31">
        <v>94</v>
      </c>
      <c r="F217" s="34">
        <f ca="1">IF(TODAY()&gt;=LOOKUP(C217,'QALS - Inspection Lot Record'!P:P,'QALS - Inspection Lot Record'!J:J)+RANDBETWEEN(0,1),LOOKUP(C217,'QALS - Inspection Lot Record'!P:P,'QALS - Inspection Lot Record'!J:J)+RANDBETWEEN(0,1),"")</f>
        <v>45964</v>
      </c>
      <c r="G217" s="41" t="s">
        <v>472</v>
      </c>
      <c r="H217" s="34">
        <v>45341</v>
      </c>
      <c r="I217" s="29" t="s">
        <v>484</v>
      </c>
    </row>
    <row r="218" spans="1:9" x14ac:dyDescent="0.35">
      <c r="A218" s="31">
        <v>200000604</v>
      </c>
      <c r="B218" s="31">
        <v>1010</v>
      </c>
      <c r="C218" s="31">
        <v>4189</v>
      </c>
      <c r="D218" s="29" t="str">
        <f>LOOKUP('CAPA-old'!C218,'QALS - Inspection Lot Record'!P:P,'QALS - Inspection Lot Record'!O:O)</f>
        <v>Aspirin Tablets (500 MG)</v>
      </c>
      <c r="E218" s="31">
        <v>1.5</v>
      </c>
      <c r="F218" s="34">
        <f ca="1">IF(TODAY()&gt;=LOOKUP(C218,'QALS - Inspection Lot Record'!P:P,'QALS - Inspection Lot Record'!J:J)+RANDBETWEEN(0,1),LOOKUP(C218,'QALS - Inspection Lot Record'!P:P,'QALS - Inspection Lot Record'!J:J)+RANDBETWEEN(0,1),"")</f>
        <v>45965</v>
      </c>
      <c r="G218" s="41" t="s">
        <v>474</v>
      </c>
      <c r="H218" s="34">
        <v>45343</v>
      </c>
      <c r="I218" s="29" t="s">
        <v>485</v>
      </c>
    </row>
    <row r="219" spans="1:9" x14ac:dyDescent="0.35">
      <c r="A219" s="31">
        <v>200000604</v>
      </c>
      <c r="B219" s="31">
        <v>1010</v>
      </c>
      <c r="C219" s="31">
        <v>4189</v>
      </c>
      <c r="D219" s="29" t="str">
        <f>LOOKUP('CAPA-old'!C219,'QALS - Inspection Lot Record'!P:P,'QALS - Inspection Lot Record'!O:O)</f>
        <v>Aspirin Tablets (500 MG)</v>
      </c>
      <c r="E219" s="31">
        <v>38.700000000000003</v>
      </c>
      <c r="F219" s="34">
        <f ca="1">IF(TODAY()&gt;=LOOKUP(C219,'QALS - Inspection Lot Record'!P:P,'QALS - Inspection Lot Record'!J:J)+RANDBETWEEN(0,1),LOOKUP(C219,'QALS - Inspection Lot Record'!P:P,'QALS - Inspection Lot Record'!J:J)+RANDBETWEEN(0,1),"")</f>
        <v>45964</v>
      </c>
      <c r="G219" s="41" t="s">
        <v>478</v>
      </c>
      <c r="H219" s="34">
        <v>45342</v>
      </c>
      <c r="I219" s="29" t="s">
        <v>484</v>
      </c>
    </row>
    <row r="220" spans="1:9" x14ac:dyDescent="0.35">
      <c r="A220" s="31">
        <v>200000604</v>
      </c>
      <c r="B220" s="31">
        <v>1010</v>
      </c>
      <c r="C220" s="31">
        <v>4189</v>
      </c>
      <c r="D220" s="29" t="str">
        <f>LOOKUP('CAPA-old'!C220,'QALS - Inspection Lot Record'!P:P,'QALS - Inspection Lot Record'!O:O)</f>
        <v>Aspirin Tablets (500 MG)</v>
      </c>
      <c r="E220" s="31">
        <v>78.7</v>
      </c>
      <c r="F220" s="34">
        <f ca="1">IF(TODAY()&gt;=LOOKUP(C220,'QALS - Inspection Lot Record'!P:P,'QALS - Inspection Lot Record'!J:J)+RANDBETWEEN(0,1),LOOKUP(C220,'QALS - Inspection Lot Record'!P:P,'QALS - Inspection Lot Record'!J:J)+RANDBETWEEN(0,1),"")</f>
        <v>45964</v>
      </c>
      <c r="G220" s="41" t="s">
        <v>486</v>
      </c>
      <c r="H220" s="34">
        <v>45343</v>
      </c>
      <c r="I220" s="29" t="s">
        <v>488</v>
      </c>
    </row>
    <row r="221" spans="1:9" x14ac:dyDescent="0.35">
      <c r="A221" s="31">
        <v>200000605</v>
      </c>
      <c r="B221" s="31">
        <v>1010</v>
      </c>
      <c r="C221" s="31">
        <v>4190</v>
      </c>
      <c r="D221" s="29" t="str">
        <f>LOOKUP('CAPA-old'!C221,'QALS - Inspection Lot Record'!P:P,'QALS - Inspection Lot Record'!O:O)</f>
        <v>Metformin Tablets (100 MG)</v>
      </c>
      <c r="E221" s="31">
        <v>21.4</v>
      </c>
      <c r="F221" s="34">
        <f ca="1">IF(TODAY()&gt;=LOOKUP(C221,'QALS - Inspection Lot Record'!P:P,'QALS - Inspection Lot Record'!J:J)+RANDBETWEEN(0,1),LOOKUP(C221,'QALS - Inspection Lot Record'!P:P,'QALS - Inspection Lot Record'!J:J)+RANDBETWEEN(0,1),"")</f>
        <v>45964</v>
      </c>
      <c r="G221" s="41" t="s">
        <v>483</v>
      </c>
      <c r="H221" s="34">
        <v>45343</v>
      </c>
      <c r="I221" s="29" t="s">
        <v>475</v>
      </c>
    </row>
    <row r="222" spans="1:9" x14ac:dyDescent="0.35">
      <c r="A222" s="31">
        <v>200000606</v>
      </c>
      <c r="B222" s="31">
        <v>1010</v>
      </c>
      <c r="C222" s="31">
        <v>4191</v>
      </c>
      <c r="D222" s="29" t="str">
        <f>LOOKUP('CAPA-old'!C222,'QALS - Inspection Lot Record'!P:P,'QALS - Inspection Lot Record'!O:O)</f>
        <v>Metformin Tablets (500 MG)</v>
      </c>
      <c r="E222" s="31">
        <v>93.4</v>
      </c>
      <c r="F222" s="34">
        <f ca="1">IF(TODAY()&gt;=LOOKUP(C222,'QALS - Inspection Lot Record'!P:P,'QALS - Inspection Lot Record'!J:J)+RANDBETWEEN(0,1),LOOKUP(C222,'QALS - Inspection Lot Record'!P:P,'QALS - Inspection Lot Record'!J:J)+RANDBETWEEN(0,1),"")</f>
        <v>45965</v>
      </c>
      <c r="G222" s="41" t="s">
        <v>472</v>
      </c>
      <c r="H222" s="34">
        <v>45342</v>
      </c>
      <c r="I222" s="29" t="s">
        <v>473</v>
      </c>
    </row>
    <row r="223" spans="1:9" x14ac:dyDescent="0.35">
      <c r="A223" s="31">
        <v>200000607</v>
      </c>
      <c r="B223" s="31">
        <v>1010</v>
      </c>
      <c r="C223" s="31">
        <v>4192</v>
      </c>
      <c r="D223" s="29" t="str">
        <f>LOOKUP('CAPA-old'!C223,'QALS - Inspection Lot Record'!P:P,'QALS - Inspection Lot Record'!O:O)</f>
        <v>Metformin Tablets (200 MG)</v>
      </c>
      <c r="E223" s="31">
        <v>93.8</v>
      </c>
      <c r="F223" s="34">
        <f ca="1">IF(TODAY()&gt;=LOOKUP(C223,'QALS - Inspection Lot Record'!P:P,'QALS - Inspection Lot Record'!J:J)+RANDBETWEEN(0,1),LOOKUP(C223,'QALS - Inspection Lot Record'!P:P,'QALS - Inspection Lot Record'!J:J)+RANDBETWEEN(0,1),"")</f>
        <v>45966</v>
      </c>
      <c r="G223" s="41" t="s">
        <v>472</v>
      </c>
      <c r="H223" s="34">
        <v>45344</v>
      </c>
      <c r="I223" s="29" t="s">
        <v>473</v>
      </c>
    </row>
    <row r="224" spans="1:9" x14ac:dyDescent="0.35">
      <c r="A224" s="31">
        <v>200000608</v>
      </c>
      <c r="B224" s="31">
        <v>1010</v>
      </c>
      <c r="C224" s="31">
        <v>4195</v>
      </c>
      <c r="D224" s="29" t="str">
        <f>LOOKUP('CAPA-old'!C224,'QALS - Inspection Lot Record'!P:P,'QALS - Inspection Lot Record'!O:O)</f>
        <v>Metformin Tablets (500 MG)</v>
      </c>
      <c r="E224" s="31">
        <v>93.8</v>
      </c>
      <c r="F224" s="34">
        <f ca="1">IF(TODAY()&gt;=LOOKUP(C224,'QALS - Inspection Lot Record'!P:P,'QALS - Inspection Lot Record'!J:J)+RANDBETWEEN(0,1),LOOKUP(C224,'QALS - Inspection Lot Record'!P:P,'QALS - Inspection Lot Record'!J:J)+RANDBETWEEN(0,1),"")</f>
        <v>45968</v>
      </c>
      <c r="G224" s="41" t="s">
        <v>472</v>
      </c>
      <c r="H224" s="34">
        <v>45344</v>
      </c>
      <c r="I224" s="29" t="s">
        <v>477</v>
      </c>
    </row>
    <row r="225" spans="1:9" x14ac:dyDescent="0.35">
      <c r="A225" s="31">
        <v>200000609</v>
      </c>
      <c r="B225" s="31">
        <v>1010</v>
      </c>
      <c r="C225" s="31">
        <v>4196</v>
      </c>
      <c r="D225" s="29" t="str">
        <f>LOOKUP('CAPA-old'!C225,'QALS - Inspection Lot Record'!P:P,'QALS - Inspection Lot Record'!O:O)</f>
        <v>Metformin Tablets (100 MG)</v>
      </c>
      <c r="E225" s="31">
        <v>93.1</v>
      </c>
      <c r="F225" s="34">
        <f ca="1">IF(TODAY()&gt;=LOOKUP(C225,'QALS - Inspection Lot Record'!P:P,'QALS - Inspection Lot Record'!J:J)+RANDBETWEEN(0,1),LOOKUP(C225,'QALS - Inspection Lot Record'!P:P,'QALS - Inspection Lot Record'!J:J)+RANDBETWEEN(0,1),"")</f>
        <v>45967</v>
      </c>
      <c r="G225" s="41" t="s">
        <v>472</v>
      </c>
      <c r="H225" s="34">
        <v>45346</v>
      </c>
      <c r="I225" s="29" t="s">
        <v>481</v>
      </c>
    </row>
    <row r="226" spans="1:9" x14ac:dyDescent="0.35">
      <c r="A226" s="31">
        <v>200000610</v>
      </c>
      <c r="B226" s="31">
        <v>1010</v>
      </c>
      <c r="C226" s="31">
        <v>4197</v>
      </c>
      <c r="D226" s="29" t="str">
        <f>LOOKUP('CAPA-old'!C226,'QALS - Inspection Lot Record'!P:P,'QALS - Inspection Lot Record'!O:O)</f>
        <v>Metformin Tablets (500 MG)</v>
      </c>
      <c r="E226" s="31">
        <v>93.2</v>
      </c>
      <c r="F226" s="34">
        <f ca="1">IF(TODAY()&gt;=LOOKUP(C226,'QALS - Inspection Lot Record'!P:P,'QALS - Inspection Lot Record'!J:J)+RANDBETWEEN(0,1),LOOKUP(C226,'QALS - Inspection Lot Record'!P:P,'QALS - Inspection Lot Record'!J:J)+RANDBETWEEN(0,1),"")</f>
        <v>45968</v>
      </c>
      <c r="G226" s="41" t="s">
        <v>472</v>
      </c>
      <c r="H226" s="34">
        <v>45346</v>
      </c>
      <c r="I226" s="29" t="s">
        <v>477</v>
      </c>
    </row>
    <row r="227" spans="1:9" x14ac:dyDescent="0.35">
      <c r="A227" s="31">
        <v>200000610</v>
      </c>
      <c r="B227" s="31">
        <v>1010</v>
      </c>
      <c r="C227" s="31">
        <v>4197</v>
      </c>
      <c r="D227" s="29" t="str">
        <f>LOOKUP('CAPA-old'!C227,'QALS - Inspection Lot Record'!P:P,'QALS - Inspection Lot Record'!O:O)</f>
        <v>Metformin Tablets (500 MG)</v>
      </c>
      <c r="E227" s="31">
        <v>38.200000000000003</v>
      </c>
      <c r="F227" s="34">
        <f ca="1">IF(TODAY()&gt;=LOOKUP(C227,'QALS - Inspection Lot Record'!P:P,'QALS - Inspection Lot Record'!J:J)+RANDBETWEEN(0,1),LOOKUP(C227,'QALS - Inspection Lot Record'!P:P,'QALS - Inspection Lot Record'!J:J)+RANDBETWEEN(0,1),"")</f>
        <v>45969</v>
      </c>
      <c r="G227" s="41" t="s">
        <v>478</v>
      </c>
      <c r="H227" s="34">
        <v>45346</v>
      </c>
      <c r="I227" s="29" t="s">
        <v>475</v>
      </c>
    </row>
    <row r="228" spans="1:9" x14ac:dyDescent="0.35">
      <c r="A228" s="31">
        <v>200000610</v>
      </c>
      <c r="B228" s="31">
        <v>1010</v>
      </c>
      <c r="C228" s="31">
        <v>4197</v>
      </c>
      <c r="D228" s="29" t="str">
        <f>LOOKUP('CAPA-old'!C228,'QALS - Inspection Lot Record'!P:P,'QALS - Inspection Lot Record'!O:O)</f>
        <v>Metformin Tablets (500 MG)</v>
      </c>
      <c r="E228" s="31">
        <v>68</v>
      </c>
      <c r="F228" s="34">
        <f ca="1">IF(TODAY()&gt;=LOOKUP(C228,'QALS - Inspection Lot Record'!P:P,'QALS - Inspection Lot Record'!J:J)+RANDBETWEEN(0,1),LOOKUP(C228,'QALS - Inspection Lot Record'!P:P,'QALS - Inspection Lot Record'!J:J)+RANDBETWEEN(0,1),"")</f>
        <v>45968</v>
      </c>
      <c r="G228" s="41" t="s">
        <v>480</v>
      </c>
      <c r="H228" s="34">
        <v>45345</v>
      </c>
      <c r="I228" s="29" t="s">
        <v>490</v>
      </c>
    </row>
    <row r="229" spans="1:9" x14ac:dyDescent="0.35">
      <c r="A229" s="31">
        <v>200000610</v>
      </c>
      <c r="B229" s="31">
        <v>1010</v>
      </c>
      <c r="C229" s="31">
        <v>4197</v>
      </c>
      <c r="D229" s="29" t="str">
        <f>LOOKUP('CAPA-old'!C229,'QALS - Inspection Lot Record'!P:P,'QALS - Inspection Lot Record'!O:O)</f>
        <v>Metformin Tablets (500 MG)</v>
      </c>
      <c r="E229" s="31">
        <v>78.400000000000006</v>
      </c>
      <c r="F229" s="34">
        <f ca="1">IF(TODAY()&gt;=LOOKUP(C229,'QALS - Inspection Lot Record'!P:P,'QALS - Inspection Lot Record'!J:J)+RANDBETWEEN(0,1),LOOKUP(C229,'QALS - Inspection Lot Record'!P:P,'QALS - Inspection Lot Record'!J:J)+RANDBETWEEN(0,1),"")</f>
        <v>45969</v>
      </c>
      <c r="G229" s="41" t="s">
        <v>486</v>
      </c>
      <c r="H229" s="34">
        <v>45345</v>
      </c>
      <c r="I229" s="29" t="s">
        <v>495</v>
      </c>
    </row>
    <row r="230" spans="1:9" x14ac:dyDescent="0.35">
      <c r="A230" s="31">
        <v>200000611</v>
      </c>
      <c r="B230" s="31">
        <v>1010</v>
      </c>
      <c r="C230" s="31">
        <v>4198</v>
      </c>
      <c r="D230" s="29" t="str">
        <f>LOOKUP('CAPA-old'!C230,'QALS - Inspection Lot Record'!P:P,'QALS - Inspection Lot Record'!O:O)</f>
        <v>Ibuprofen Tablets (100 MG)</v>
      </c>
      <c r="E230" s="31">
        <v>68.3</v>
      </c>
      <c r="F230" s="34">
        <f ca="1">IF(TODAY()&gt;=LOOKUP(C230,'QALS - Inspection Lot Record'!P:P,'QALS - Inspection Lot Record'!J:J)+RANDBETWEEN(0,1),LOOKUP(C230,'QALS - Inspection Lot Record'!P:P,'QALS - Inspection Lot Record'!J:J)+RANDBETWEEN(0,1),"")</f>
        <v>45968</v>
      </c>
      <c r="G230" s="41" t="s">
        <v>480</v>
      </c>
      <c r="H230" s="34">
        <v>45346</v>
      </c>
      <c r="I230" s="29" t="s">
        <v>484</v>
      </c>
    </row>
    <row r="231" spans="1:9" x14ac:dyDescent="0.35">
      <c r="A231" s="31">
        <v>200000612</v>
      </c>
      <c r="B231" s="31">
        <v>1010</v>
      </c>
      <c r="C231" s="31">
        <v>4199</v>
      </c>
      <c r="D231" s="29" t="str">
        <f>LOOKUP('CAPA-old'!C231,'QALS - Inspection Lot Record'!P:P,'QALS - Inspection Lot Record'!O:O)</f>
        <v>Metformin Tablets (500 MG)</v>
      </c>
      <c r="E231" s="31">
        <v>93.6</v>
      </c>
      <c r="F231" s="34">
        <f ca="1">IF(TODAY()&gt;=LOOKUP(C231,'QALS - Inspection Lot Record'!P:P,'QALS - Inspection Lot Record'!J:J)+RANDBETWEEN(0,1),LOOKUP(C231,'QALS - Inspection Lot Record'!P:P,'QALS - Inspection Lot Record'!J:J)+RANDBETWEEN(0,1),"")</f>
        <v>45969</v>
      </c>
      <c r="G231" s="41" t="s">
        <v>472</v>
      </c>
      <c r="H231" s="34">
        <v>45349</v>
      </c>
      <c r="I231" s="29" t="s">
        <v>477</v>
      </c>
    </row>
    <row r="232" spans="1:9" x14ac:dyDescent="0.35">
      <c r="A232" s="31">
        <v>200000613</v>
      </c>
      <c r="B232" s="31">
        <v>1010</v>
      </c>
      <c r="C232" s="31">
        <v>4200</v>
      </c>
      <c r="D232" s="29" t="str">
        <f>LOOKUP('CAPA-old'!C232,'QALS - Inspection Lot Record'!P:P,'QALS - Inspection Lot Record'!O:O)</f>
        <v>Metformin Tablets (200 MG)</v>
      </c>
      <c r="E232" s="31">
        <v>93.6</v>
      </c>
      <c r="F232" s="34">
        <f ca="1">IF(TODAY()&gt;=LOOKUP(C232,'QALS - Inspection Lot Record'!P:P,'QALS - Inspection Lot Record'!J:J)+RANDBETWEEN(0,1),LOOKUP(C232,'QALS - Inspection Lot Record'!P:P,'QALS - Inspection Lot Record'!J:J)+RANDBETWEEN(0,1),"")</f>
        <v>45970</v>
      </c>
      <c r="G232" s="41" t="s">
        <v>472</v>
      </c>
      <c r="H232" s="34">
        <v>45348</v>
      </c>
      <c r="I232" s="29" t="s">
        <v>473</v>
      </c>
    </row>
    <row r="233" spans="1:9" x14ac:dyDescent="0.35">
      <c r="A233" s="31">
        <v>200000614</v>
      </c>
      <c r="B233" s="31">
        <v>1010</v>
      </c>
      <c r="C233" s="31">
        <v>4202</v>
      </c>
      <c r="D233" s="29" t="str">
        <f>LOOKUP('CAPA-old'!C233,'QALS - Inspection Lot Record'!P:P,'QALS - Inspection Lot Record'!O:O)</f>
        <v>Metformin Tablets (200 MG)</v>
      </c>
      <c r="E233" s="31">
        <v>21.4</v>
      </c>
      <c r="F233" s="34">
        <f ca="1">IF(TODAY()&gt;=LOOKUP(C233,'QALS - Inspection Lot Record'!P:P,'QALS - Inspection Lot Record'!J:J)+RANDBETWEEN(0,1),LOOKUP(C233,'QALS - Inspection Lot Record'!P:P,'QALS - Inspection Lot Record'!J:J)+RANDBETWEEN(0,1),"")</f>
        <v>45971</v>
      </c>
      <c r="G233" s="41" t="s">
        <v>483</v>
      </c>
      <c r="H233" s="34">
        <v>45348</v>
      </c>
      <c r="I233" s="29" t="s">
        <v>484</v>
      </c>
    </row>
    <row r="234" spans="1:9" x14ac:dyDescent="0.35">
      <c r="A234" s="31">
        <v>200000615</v>
      </c>
      <c r="B234" s="31">
        <v>1010</v>
      </c>
      <c r="C234" s="31">
        <v>4206</v>
      </c>
      <c r="D234" s="29" t="str">
        <f>LOOKUP('CAPA-old'!C234,'QALS - Inspection Lot Record'!P:P,'QALS - Inspection Lot Record'!O:O)</f>
        <v>Metformin Tablets (200 MG)</v>
      </c>
      <c r="E234" s="31">
        <v>21.2</v>
      </c>
      <c r="F234" s="34">
        <f ca="1">IF(TODAY()&gt;=LOOKUP(C234,'QALS - Inspection Lot Record'!P:P,'QALS - Inspection Lot Record'!J:J)+RANDBETWEEN(0,1),LOOKUP(C234,'QALS - Inspection Lot Record'!P:P,'QALS - Inspection Lot Record'!J:J)+RANDBETWEEN(0,1),"")</f>
        <v>45973</v>
      </c>
      <c r="G234" s="41" t="s">
        <v>483</v>
      </c>
      <c r="H234" s="34">
        <v>45351</v>
      </c>
      <c r="I234" s="29" t="s">
        <v>494</v>
      </c>
    </row>
    <row r="235" spans="1:9" x14ac:dyDescent="0.35">
      <c r="A235" s="31">
        <v>200000616</v>
      </c>
      <c r="B235" s="31">
        <v>1010</v>
      </c>
      <c r="C235" s="31">
        <v>4209</v>
      </c>
      <c r="D235" s="29" t="str">
        <f>LOOKUP('CAPA-old'!C235,'QALS - Inspection Lot Record'!P:P,'QALS - Inspection Lot Record'!O:O)</f>
        <v>Metformin Tablets (100 MG)</v>
      </c>
      <c r="E235" s="31">
        <v>2.4</v>
      </c>
      <c r="F235" s="34">
        <f ca="1">IF(TODAY()&gt;=LOOKUP(C235,'QALS - Inspection Lot Record'!P:P,'QALS - Inspection Lot Record'!J:J)+RANDBETWEEN(0,1),LOOKUP(C235,'QALS - Inspection Lot Record'!P:P,'QALS - Inspection Lot Record'!J:J)+RANDBETWEEN(0,1),"")</f>
        <v>45975</v>
      </c>
      <c r="G235" s="41" t="s">
        <v>474</v>
      </c>
      <c r="H235" s="34">
        <v>45351</v>
      </c>
      <c r="I235" s="29" t="s">
        <v>485</v>
      </c>
    </row>
    <row r="236" spans="1:9" x14ac:dyDescent="0.35">
      <c r="A236" s="31">
        <v>200000616</v>
      </c>
      <c r="B236" s="31">
        <v>1010</v>
      </c>
      <c r="C236" s="31">
        <v>4209</v>
      </c>
      <c r="D236" s="29" t="str">
        <f>LOOKUP('CAPA-old'!C236,'QALS - Inspection Lot Record'!P:P,'QALS - Inspection Lot Record'!O:O)</f>
        <v>Metformin Tablets (100 MG)</v>
      </c>
      <c r="E236" s="31">
        <v>78.5</v>
      </c>
      <c r="F236" s="34">
        <f ca="1">IF(TODAY()&gt;=LOOKUP(C236,'QALS - Inspection Lot Record'!P:P,'QALS - Inspection Lot Record'!J:J)+RANDBETWEEN(0,1),LOOKUP(C236,'QALS - Inspection Lot Record'!P:P,'QALS - Inspection Lot Record'!J:J)+RANDBETWEEN(0,1),"")</f>
        <v>45975</v>
      </c>
      <c r="G236" s="41" t="s">
        <v>486</v>
      </c>
      <c r="H236" s="34">
        <v>45353</v>
      </c>
      <c r="I236" s="29" t="s">
        <v>488</v>
      </c>
    </row>
    <row r="237" spans="1:9" x14ac:dyDescent="0.35">
      <c r="A237" s="31">
        <v>200000617</v>
      </c>
      <c r="B237" s="31">
        <v>1010</v>
      </c>
      <c r="C237" s="31">
        <v>4210</v>
      </c>
      <c r="D237" s="29" t="str">
        <f>LOOKUP('CAPA-old'!C237,'QALS - Inspection Lot Record'!P:P,'QALS - Inspection Lot Record'!O:O)</f>
        <v>Ibuprofen Tablets (100 MG)</v>
      </c>
      <c r="E237" s="31">
        <v>93.1</v>
      </c>
      <c r="F237" s="34">
        <f ca="1">IF(TODAY()&gt;=LOOKUP(C237,'QALS - Inspection Lot Record'!P:P,'QALS - Inspection Lot Record'!J:J)+RANDBETWEEN(0,1),LOOKUP(C237,'QALS - Inspection Lot Record'!P:P,'QALS - Inspection Lot Record'!J:J)+RANDBETWEEN(0,1),"")</f>
        <v>45975</v>
      </c>
      <c r="G237" s="41" t="s">
        <v>472</v>
      </c>
      <c r="H237" s="34">
        <v>45353</v>
      </c>
      <c r="I237" s="29" t="s">
        <v>481</v>
      </c>
    </row>
    <row r="238" spans="1:9" x14ac:dyDescent="0.35">
      <c r="A238" s="31">
        <v>200000617</v>
      </c>
      <c r="B238" s="31">
        <v>1010</v>
      </c>
      <c r="C238" s="31">
        <v>4210</v>
      </c>
      <c r="D238" s="29" t="str">
        <f>LOOKUP('CAPA-old'!C238,'QALS - Inspection Lot Record'!P:P,'QALS - Inspection Lot Record'!O:O)</f>
        <v>Ibuprofen Tablets (100 MG)</v>
      </c>
      <c r="E238" s="31">
        <v>78.099999999999994</v>
      </c>
      <c r="F238" s="34">
        <f ca="1">IF(TODAY()&gt;=LOOKUP(C238,'QALS - Inspection Lot Record'!P:P,'QALS - Inspection Lot Record'!J:J)+RANDBETWEEN(0,1),LOOKUP(C238,'QALS - Inspection Lot Record'!P:P,'QALS - Inspection Lot Record'!J:J)+RANDBETWEEN(0,1),"")</f>
        <v>45974</v>
      </c>
      <c r="G238" s="41" t="s">
        <v>486</v>
      </c>
      <c r="H238" s="34">
        <v>45353</v>
      </c>
      <c r="I238" s="29" t="s">
        <v>484</v>
      </c>
    </row>
    <row r="239" spans="1:9" x14ac:dyDescent="0.35">
      <c r="A239" s="31">
        <v>200000618</v>
      </c>
      <c r="B239" s="31">
        <v>1010</v>
      </c>
      <c r="C239" s="31">
        <v>4211</v>
      </c>
      <c r="D239" s="29" t="str">
        <f>LOOKUP('CAPA-old'!C239,'QALS - Inspection Lot Record'!P:P,'QALS - Inspection Lot Record'!O:O)</f>
        <v>Aspirin Tablets (500 MG)</v>
      </c>
      <c r="E239" s="31">
        <v>68.099999999999994</v>
      </c>
      <c r="F239" s="34">
        <f ca="1">IF(TODAY()&gt;=LOOKUP(C239,'QALS - Inspection Lot Record'!P:P,'QALS - Inspection Lot Record'!J:J)+RANDBETWEEN(0,1),LOOKUP(C239,'QALS - Inspection Lot Record'!P:P,'QALS - Inspection Lot Record'!J:J)+RANDBETWEEN(0,1),"")</f>
        <v>45976</v>
      </c>
      <c r="G239" s="41" t="s">
        <v>480</v>
      </c>
      <c r="H239" s="34">
        <v>45355</v>
      </c>
      <c r="I239" s="29" t="s">
        <v>490</v>
      </c>
    </row>
    <row r="240" spans="1:9" x14ac:dyDescent="0.35">
      <c r="A240" s="31">
        <v>200000619</v>
      </c>
      <c r="B240" s="31">
        <v>1010</v>
      </c>
      <c r="C240" s="31">
        <v>4212</v>
      </c>
      <c r="D240" s="29" t="str">
        <f>LOOKUP('CAPA-old'!C240,'QALS - Inspection Lot Record'!P:P,'QALS - Inspection Lot Record'!O:O)</f>
        <v>Ibuprofen Tablets (100 MG)</v>
      </c>
      <c r="E240" s="31">
        <v>21.1</v>
      </c>
      <c r="F240" s="34">
        <f ca="1">IF(TODAY()&gt;=LOOKUP(C240,'QALS - Inspection Lot Record'!P:P,'QALS - Inspection Lot Record'!J:J)+RANDBETWEEN(0,1),LOOKUP(C240,'QALS - Inspection Lot Record'!P:P,'QALS - Inspection Lot Record'!J:J)+RANDBETWEEN(0,1),"")</f>
        <v>45976</v>
      </c>
      <c r="G240" s="41" t="s">
        <v>483</v>
      </c>
      <c r="H240" s="34">
        <v>45353</v>
      </c>
      <c r="I240" s="29" t="s">
        <v>489</v>
      </c>
    </row>
    <row r="241" spans="1:9" x14ac:dyDescent="0.35">
      <c r="A241" s="31">
        <v>200000620</v>
      </c>
      <c r="B241" s="31">
        <v>1010</v>
      </c>
      <c r="C241" s="31">
        <v>4219</v>
      </c>
      <c r="D241" s="29" t="str">
        <f>LOOKUP('CAPA-old'!C241,'QALS - Inspection Lot Record'!P:P,'QALS - Inspection Lot Record'!O:O)</f>
        <v>Aspirin Tablets (500 MG)</v>
      </c>
      <c r="E241" s="31">
        <v>38.6</v>
      </c>
      <c r="F241" s="34">
        <f ca="1">IF(TODAY()&gt;=LOOKUP(C241,'QALS - Inspection Lot Record'!P:P,'QALS - Inspection Lot Record'!J:J)+RANDBETWEEN(0,1),LOOKUP(C241,'QALS - Inspection Lot Record'!P:P,'QALS - Inspection Lot Record'!J:J)+RANDBETWEEN(0,1),"")</f>
        <v>45980</v>
      </c>
      <c r="G241" s="41" t="s">
        <v>478</v>
      </c>
      <c r="H241" s="34">
        <v>45359</v>
      </c>
      <c r="I241" s="29" t="s">
        <v>491</v>
      </c>
    </row>
    <row r="242" spans="1:9" x14ac:dyDescent="0.35">
      <c r="A242" s="31">
        <v>200000620</v>
      </c>
      <c r="B242" s="31">
        <v>1010</v>
      </c>
      <c r="C242" s="31">
        <v>4219</v>
      </c>
      <c r="D242" s="29" t="str">
        <f>LOOKUP('CAPA-old'!C242,'QALS - Inspection Lot Record'!P:P,'QALS - Inspection Lot Record'!O:O)</f>
        <v>Aspirin Tablets (500 MG)</v>
      </c>
      <c r="E242" s="31">
        <v>68.2</v>
      </c>
      <c r="F242" s="34">
        <f ca="1">IF(TODAY()&gt;=LOOKUP(C242,'QALS - Inspection Lot Record'!P:P,'QALS - Inspection Lot Record'!J:J)+RANDBETWEEN(0,1),LOOKUP(C242,'QALS - Inspection Lot Record'!P:P,'QALS - Inspection Lot Record'!J:J)+RANDBETWEEN(0,1),"")</f>
        <v>45979</v>
      </c>
      <c r="G242" s="41" t="s">
        <v>480</v>
      </c>
      <c r="H242" s="34">
        <v>45358</v>
      </c>
      <c r="I242" s="29" t="s">
        <v>477</v>
      </c>
    </row>
    <row r="243" spans="1:9" x14ac:dyDescent="0.35">
      <c r="A243" s="31">
        <v>200000620</v>
      </c>
      <c r="B243" s="31">
        <v>1010</v>
      </c>
      <c r="C243" s="31">
        <v>4219</v>
      </c>
      <c r="D243" s="29" t="str">
        <f>LOOKUP('CAPA-old'!C243,'QALS - Inspection Lot Record'!P:P,'QALS - Inspection Lot Record'!O:O)</f>
        <v>Aspirin Tablets (500 MG)</v>
      </c>
      <c r="E243" s="31">
        <v>78.2</v>
      </c>
      <c r="F243" s="34">
        <f ca="1">IF(TODAY()&gt;=LOOKUP(C243,'QALS - Inspection Lot Record'!P:P,'QALS - Inspection Lot Record'!J:J)+RANDBETWEEN(0,1),LOOKUP(C243,'QALS - Inspection Lot Record'!P:P,'QALS - Inspection Lot Record'!J:J)+RANDBETWEEN(0,1),"")</f>
        <v>45980</v>
      </c>
      <c r="G243" s="41" t="s">
        <v>486</v>
      </c>
      <c r="H243" s="34">
        <v>45356</v>
      </c>
      <c r="I243" s="29" t="s">
        <v>495</v>
      </c>
    </row>
    <row r="244" spans="1:9" x14ac:dyDescent="0.35">
      <c r="A244" s="31">
        <v>200000620</v>
      </c>
      <c r="B244" s="31">
        <v>1010</v>
      </c>
      <c r="C244" s="31">
        <v>4219</v>
      </c>
      <c r="D244" s="29" t="str">
        <f>LOOKUP('CAPA-old'!C244,'QALS - Inspection Lot Record'!P:P,'QALS - Inspection Lot Record'!O:O)</f>
        <v>Aspirin Tablets (500 MG)</v>
      </c>
      <c r="E244" s="31">
        <v>22.4</v>
      </c>
      <c r="F244" s="34">
        <f ca="1">IF(TODAY()&gt;=LOOKUP(C244,'QALS - Inspection Lot Record'!P:P,'QALS - Inspection Lot Record'!J:J)+RANDBETWEEN(0,1),LOOKUP(C244,'QALS - Inspection Lot Record'!P:P,'QALS - Inspection Lot Record'!J:J)+RANDBETWEEN(0,1),"")</f>
        <v>45980</v>
      </c>
      <c r="G244" s="41" t="s">
        <v>483</v>
      </c>
      <c r="H244" s="34">
        <v>45358</v>
      </c>
      <c r="I244" s="29" t="s">
        <v>475</v>
      </c>
    </row>
    <row r="245" spans="1:9" x14ac:dyDescent="0.35">
      <c r="A245" s="31">
        <v>200000621</v>
      </c>
      <c r="B245" s="31">
        <v>1010</v>
      </c>
      <c r="C245" s="31">
        <v>4220</v>
      </c>
      <c r="D245" s="29" t="str">
        <f>LOOKUP('CAPA-old'!C245,'QALS - Inspection Lot Record'!P:P,'QALS - Inspection Lot Record'!O:O)</f>
        <v>Metformin Tablets (100 MG)</v>
      </c>
      <c r="E245" s="31">
        <v>1.7</v>
      </c>
      <c r="F245" s="34">
        <f ca="1">IF(TODAY()&gt;=LOOKUP(C245,'QALS - Inspection Lot Record'!P:P,'QALS - Inspection Lot Record'!J:J)+RANDBETWEEN(0,1),LOOKUP(C245,'QALS - Inspection Lot Record'!P:P,'QALS - Inspection Lot Record'!J:J)+RANDBETWEEN(0,1),"")</f>
        <v>45979</v>
      </c>
      <c r="G245" s="41" t="s">
        <v>474</v>
      </c>
      <c r="H245" s="34">
        <v>45358</v>
      </c>
      <c r="I245" s="29" t="s">
        <v>475</v>
      </c>
    </row>
    <row r="246" spans="1:9" x14ac:dyDescent="0.35">
      <c r="A246" s="31">
        <v>200000621</v>
      </c>
      <c r="B246" s="31">
        <v>1010</v>
      </c>
      <c r="C246" s="31">
        <v>4220</v>
      </c>
      <c r="D246" s="29" t="str">
        <f>LOOKUP('CAPA-old'!C246,'QALS - Inspection Lot Record'!P:P,'QALS - Inspection Lot Record'!O:O)</f>
        <v>Metformin Tablets (100 MG)</v>
      </c>
      <c r="E246" s="31">
        <v>68.3</v>
      </c>
      <c r="F246" s="34">
        <f ca="1">IF(TODAY()&gt;=LOOKUP(C246,'QALS - Inspection Lot Record'!P:P,'QALS - Inspection Lot Record'!J:J)+RANDBETWEEN(0,1),LOOKUP(C246,'QALS - Inspection Lot Record'!P:P,'QALS - Inspection Lot Record'!J:J)+RANDBETWEEN(0,1),"")</f>
        <v>45980</v>
      </c>
      <c r="G246" s="41" t="s">
        <v>480</v>
      </c>
      <c r="H246" s="34">
        <v>45358</v>
      </c>
      <c r="I246" s="29" t="s">
        <v>490</v>
      </c>
    </row>
    <row r="247" spans="1:9" x14ac:dyDescent="0.35">
      <c r="A247" s="31">
        <v>200000621</v>
      </c>
      <c r="B247" s="31">
        <v>1010</v>
      </c>
      <c r="C247" s="31">
        <v>4220</v>
      </c>
      <c r="D247" s="29" t="str">
        <f>LOOKUP('CAPA-old'!C247,'QALS - Inspection Lot Record'!P:P,'QALS - Inspection Lot Record'!O:O)</f>
        <v>Metformin Tablets (100 MG)</v>
      </c>
      <c r="E247" s="31">
        <v>78.2</v>
      </c>
      <c r="F247" s="34">
        <f ca="1">IF(TODAY()&gt;=LOOKUP(C247,'QALS - Inspection Lot Record'!P:P,'QALS - Inspection Lot Record'!J:J)+RANDBETWEEN(0,1),LOOKUP(C247,'QALS - Inspection Lot Record'!P:P,'QALS - Inspection Lot Record'!J:J)+RANDBETWEEN(0,1),"")</f>
        <v>45980</v>
      </c>
      <c r="G247" s="41" t="s">
        <v>486</v>
      </c>
      <c r="H247" s="34">
        <v>45359</v>
      </c>
      <c r="I247" s="29" t="s">
        <v>495</v>
      </c>
    </row>
    <row r="248" spans="1:9" x14ac:dyDescent="0.35">
      <c r="A248" s="31">
        <v>200000622</v>
      </c>
      <c r="B248" s="31">
        <v>1010</v>
      </c>
      <c r="C248" s="31">
        <v>4223</v>
      </c>
      <c r="D248" s="29" t="str">
        <f>LOOKUP('CAPA-old'!C248,'QALS - Inspection Lot Record'!P:P,'QALS - Inspection Lot Record'!O:O)</f>
        <v>Metformin Tablets (200 MG)</v>
      </c>
      <c r="E248" s="31">
        <v>4.4000000000000004</v>
      </c>
      <c r="F248" s="34">
        <f ca="1">IF(TODAY()&gt;=LOOKUP(C248,'QALS - Inspection Lot Record'!P:P,'QALS - Inspection Lot Record'!J:J)+RANDBETWEEN(0,1),LOOKUP(C248,'QALS - Inspection Lot Record'!P:P,'QALS - Inspection Lot Record'!J:J)+RANDBETWEEN(0,1),"")</f>
        <v>45982</v>
      </c>
      <c r="G248" s="41" t="s">
        <v>474</v>
      </c>
      <c r="H248" s="34">
        <v>45360</v>
      </c>
      <c r="I248" s="29" t="s">
        <v>484</v>
      </c>
    </row>
    <row r="249" spans="1:9" x14ac:dyDescent="0.35">
      <c r="A249" s="31">
        <v>200000622</v>
      </c>
      <c r="B249" s="31">
        <v>1010</v>
      </c>
      <c r="C249" s="31">
        <v>4223</v>
      </c>
      <c r="D249" s="29" t="str">
        <f>LOOKUP('CAPA-old'!C249,'QALS - Inspection Lot Record'!P:P,'QALS - Inspection Lot Record'!O:O)</f>
        <v>Metformin Tablets (200 MG)</v>
      </c>
      <c r="E249" s="31">
        <v>69</v>
      </c>
      <c r="F249" s="34">
        <f ca="1">IF(TODAY()&gt;=LOOKUP(C249,'QALS - Inspection Lot Record'!P:P,'QALS - Inspection Lot Record'!J:J)+RANDBETWEEN(0,1),LOOKUP(C249,'QALS - Inspection Lot Record'!P:P,'QALS - Inspection Lot Record'!J:J)+RANDBETWEEN(0,1),"")</f>
        <v>45981</v>
      </c>
      <c r="G249" s="41" t="s">
        <v>480</v>
      </c>
      <c r="H249" s="34">
        <v>45361</v>
      </c>
      <c r="I249" s="29" t="s">
        <v>497</v>
      </c>
    </row>
    <row r="250" spans="1:9" x14ac:dyDescent="0.35">
      <c r="A250" s="31">
        <v>200000622</v>
      </c>
      <c r="B250" s="31">
        <v>1010</v>
      </c>
      <c r="C250" s="31">
        <v>4223</v>
      </c>
      <c r="D250" s="29" t="str">
        <f>LOOKUP('CAPA-old'!C250,'QALS - Inspection Lot Record'!P:P,'QALS - Inspection Lot Record'!O:O)</f>
        <v>Metformin Tablets (200 MG)</v>
      </c>
      <c r="E250" s="31">
        <v>79</v>
      </c>
      <c r="F250" s="34">
        <f ca="1">IF(TODAY()&gt;=LOOKUP(C250,'QALS - Inspection Lot Record'!P:P,'QALS - Inspection Lot Record'!J:J)+RANDBETWEEN(0,1),LOOKUP(C250,'QALS - Inspection Lot Record'!P:P,'QALS - Inspection Lot Record'!J:J)+RANDBETWEEN(0,1),"")</f>
        <v>45981</v>
      </c>
      <c r="G250" s="41" t="s">
        <v>486</v>
      </c>
      <c r="H250" s="34">
        <v>45360</v>
      </c>
      <c r="I250" s="29" t="s">
        <v>488</v>
      </c>
    </row>
    <row r="251" spans="1:9" x14ac:dyDescent="0.35">
      <c r="A251" s="31">
        <v>200000623</v>
      </c>
      <c r="B251" s="31">
        <v>1010</v>
      </c>
      <c r="C251" s="31">
        <v>4224</v>
      </c>
      <c r="D251" s="29" t="str">
        <f>LOOKUP('CAPA-old'!C251,'QALS - Inspection Lot Record'!P:P,'QALS - Inspection Lot Record'!O:O)</f>
        <v>Metformin Tablets (500 MG)</v>
      </c>
      <c r="E251" s="31">
        <v>68.599999999999994</v>
      </c>
      <c r="F251" s="34">
        <f ca="1">IF(TODAY()&gt;=LOOKUP(C251,'QALS - Inspection Lot Record'!P:P,'QALS - Inspection Lot Record'!J:J)+RANDBETWEEN(0,1),LOOKUP(C251,'QALS - Inspection Lot Record'!P:P,'QALS - Inspection Lot Record'!J:J)+RANDBETWEEN(0,1),"")</f>
        <v>45981</v>
      </c>
      <c r="G251" s="41" t="s">
        <v>480</v>
      </c>
      <c r="H251" s="34">
        <v>45359</v>
      </c>
      <c r="I251" s="29" t="s">
        <v>490</v>
      </c>
    </row>
    <row r="252" spans="1:9" x14ac:dyDescent="0.35">
      <c r="A252" s="31">
        <v>200000623</v>
      </c>
      <c r="B252" s="31">
        <v>1010</v>
      </c>
      <c r="C252" s="31">
        <v>4224</v>
      </c>
      <c r="D252" s="29" t="str">
        <f>LOOKUP('CAPA-old'!C252,'QALS - Inspection Lot Record'!P:P,'QALS - Inspection Lot Record'!O:O)</f>
        <v>Metformin Tablets (500 MG)</v>
      </c>
      <c r="E252" s="31">
        <v>78.900000000000006</v>
      </c>
      <c r="F252" s="34">
        <f ca="1">IF(TODAY()&gt;=LOOKUP(C252,'QALS - Inspection Lot Record'!P:P,'QALS - Inspection Lot Record'!J:J)+RANDBETWEEN(0,1),LOOKUP(C252,'QALS - Inspection Lot Record'!P:P,'QALS - Inspection Lot Record'!J:J)+RANDBETWEEN(0,1),"")</f>
        <v>45981</v>
      </c>
      <c r="G252" s="41" t="s">
        <v>486</v>
      </c>
      <c r="H252" s="34">
        <v>45359</v>
      </c>
      <c r="I252" s="29" t="s">
        <v>475</v>
      </c>
    </row>
    <row r="253" spans="1:9" x14ac:dyDescent="0.35">
      <c r="A253" s="31">
        <v>200000624</v>
      </c>
      <c r="B253" s="31">
        <v>1010</v>
      </c>
      <c r="C253" s="31">
        <v>4227</v>
      </c>
      <c r="D253" s="29" t="str">
        <f>LOOKUP('CAPA-old'!C253,'QALS - Inspection Lot Record'!P:P,'QALS - Inspection Lot Record'!O:O)</f>
        <v>Aspirin Tablets (500 MG)</v>
      </c>
      <c r="E253" s="31">
        <v>93.9</v>
      </c>
      <c r="F253" s="34">
        <f ca="1">IF(TODAY()&gt;=LOOKUP(C253,'QALS - Inspection Lot Record'!P:P,'QALS - Inspection Lot Record'!J:J)+RANDBETWEEN(0,1),LOOKUP(C253,'QALS - Inspection Lot Record'!P:P,'QALS - Inspection Lot Record'!J:J)+RANDBETWEEN(0,1),"")</f>
        <v>45983</v>
      </c>
      <c r="G253" s="41" t="s">
        <v>472</v>
      </c>
      <c r="H253" s="34">
        <v>45361</v>
      </c>
      <c r="I253" s="29" t="s">
        <v>475</v>
      </c>
    </row>
    <row r="254" spans="1:9" x14ac:dyDescent="0.35">
      <c r="A254" s="31">
        <v>200000624</v>
      </c>
      <c r="B254" s="31">
        <v>1010</v>
      </c>
      <c r="C254" s="31">
        <v>4227</v>
      </c>
      <c r="D254" s="29" t="str">
        <f>LOOKUP('CAPA-old'!C254,'QALS - Inspection Lot Record'!P:P,'QALS - Inspection Lot Record'!O:O)</f>
        <v>Aspirin Tablets (500 MG)</v>
      </c>
      <c r="E254" s="31">
        <v>1.9</v>
      </c>
      <c r="F254" s="34">
        <f ca="1">IF(TODAY()&gt;=LOOKUP(C254,'QALS - Inspection Lot Record'!P:P,'QALS - Inspection Lot Record'!J:J)+RANDBETWEEN(0,1),LOOKUP(C254,'QALS - Inspection Lot Record'!P:P,'QALS - Inspection Lot Record'!J:J)+RANDBETWEEN(0,1),"")</f>
        <v>45984</v>
      </c>
      <c r="G254" s="41" t="s">
        <v>474</v>
      </c>
      <c r="H254" s="34">
        <v>45361</v>
      </c>
      <c r="I254" s="29" t="s">
        <v>485</v>
      </c>
    </row>
    <row r="255" spans="1:9" x14ac:dyDescent="0.35">
      <c r="A255" s="31">
        <v>200000624</v>
      </c>
      <c r="B255" s="31">
        <v>1010</v>
      </c>
      <c r="C255" s="31">
        <v>4227</v>
      </c>
      <c r="D255" s="29" t="str">
        <f>LOOKUP('CAPA-old'!C255,'QALS - Inspection Lot Record'!P:P,'QALS - Inspection Lot Record'!O:O)</f>
        <v>Aspirin Tablets (500 MG)</v>
      </c>
      <c r="E255" s="31">
        <v>78.900000000000006</v>
      </c>
      <c r="F255" s="34">
        <f ca="1">IF(TODAY()&gt;=LOOKUP(C255,'QALS - Inspection Lot Record'!P:P,'QALS - Inspection Lot Record'!J:J)+RANDBETWEEN(0,1),LOOKUP(C255,'QALS - Inspection Lot Record'!P:P,'QALS - Inspection Lot Record'!J:J)+RANDBETWEEN(0,1),"")</f>
        <v>45983</v>
      </c>
      <c r="G255" s="41" t="s">
        <v>486</v>
      </c>
      <c r="H255" s="34">
        <v>45361</v>
      </c>
      <c r="I255" s="29" t="s">
        <v>488</v>
      </c>
    </row>
    <row r="256" spans="1:9" x14ac:dyDescent="0.35">
      <c r="A256" s="31">
        <v>200000625</v>
      </c>
      <c r="B256" s="31">
        <v>1010</v>
      </c>
      <c r="C256" s="31">
        <v>4228</v>
      </c>
      <c r="D256" s="29" t="str">
        <f>LOOKUP('CAPA-old'!C256,'QALS - Inspection Lot Record'!P:P,'QALS - Inspection Lot Record'!O:O)</f>
        <v>Metformin Tablets (100 MG)</v>
      </c>
      <c r="E256" s="31">
        <v>2.5</v>
      </c>
      <c r="F256" s="34">
        <f ca="1">IF(TODAY()&gt;=LOOKUP(C256,'QALS - Inspection Lot Record'!P:P,'QALS - Inspection Lot Record'!J:J)+RANDBETWEEN(0,1),LOOKUP(C256,'QALS - Inspection Lot Record'!P:P,'QALS - Inspection Lot Record'!J:J)+RANDBETWEEN(0,1),"")</f>
        <v>45984</v>
      </c>
      <c r="G256" s="41" t="s">
        <v>474</v>
      </c>
      <c r="H256" s="34">
        <v>45363</v>
      </c>
      <c r="I256" s="29" t="s">
        <v>475</v>
      </c>
    </row>
    <row r="257" spans="1:9" x14ac:dyDescent="0.35">
      <c r="A257" s="31">
        <v>200000625</v>
      </c>
      <c r="B257" s="31">
        <v>1010</v>
      </c>
      <c r="C257" s="31">
        <v>4228</v>
      </c>
      <c r="D257" s="29" t="str">
        <f>LOOKUP('CAPA-old'!C257,'QALS - Inspection Lot Record'!P:P,'QALS - Inspection Lot Record'!O:O)</f>
        <v>Metformin Tablets (100 MG)</v>
      </c>
      <c r="E257" s="31">
        <v>38.1</v>
      </c>
      <c r="F257" s="34">
        <f ca="1">IF(TODAY()&gt;=LOOKUP(C257,'QALS - Inspection Lot Record'!P:P,'QALS - Inspection Lot Record'!J:J)+RANDBETWEEN(0,1),LOOKUP(C257,'QALS - Inspection Lot Record'!P:P,'QALS - Inspection Lot Record'!J:J)+RANDBETWEEN(0,1),"")</f>
        <v>45983</v>
      </c>
      <c r="G257" s="41" t="s">
        <v>478</v>
      </c>
      <c r="H257" s="34">
        <v>45362</v>
      </c>
      <c r="I257" s="29" t="s">
        <v>484</v>
      </c>
    </row>
    <row r="258" spans="1:9" x14ac:dyDescent="0.35">
      <c r="A258" s="31">
        <v>200000625</v>
      </c>
      <c r="B258" s="31">
        <v>1010</v>
      </c>
      <c r="C258" s="31">
        <v>4228</v>
      </c>
      <c r="D258" s="29" t="str">
        <f>LOOKUP('CAPA-old'!C258,'QALS - Inspection Lot Record'!P:P,'QALS - Inspection Lot Record'!O:O)</f>
        <v>Metformin Tablets (100 MG)</v>
      </c>
      <c r="E258" s="31">
        <v>68.5</v>
      </c>
      <c r="F258" s="34">
        <f ca="1">IF(TODAY()&gt;=LOOKUP(C258,'QALS - Inspection Lot Record'!P:P,'QALS - Inspection Lot Record'!J:J)+RANDBETWEEN(0,1),LOOKUP(C258,'QALS - Inspection Lot Record'!P:P,'QALS - Inspection Lot Record'!J:J)+RANDBETWEEN(0,1),"")</f>
        <v>45984</v>
      </c>
      <c r="G258" s="41" t="s">
        <v>480</v>
      </c>
      <c r="H258" s="34">
        <v>45361</v>
      </c>
      <c r="I258" s="29" t="s">
        <v>497</v>
      </c>
    </row>
    <row r="259" spans="1:9" x14ac:dyDescent="0.35">
      <c r="A259" s="31">
        <v>200000626</v>
      </c>
      <c r="B259" s="31">
        <v>1010</v>
      </c>
      <c r="C259" s="31">
        <v>4231</v>
      </c>
      <c r="D259" s="29" t="str">
        <f>LOOKUP('CAPA-old'!C259,'QALS - Inspection Lot Record'!P:P,'QALS - Inspection Lot Record'!O:O)</f>
        <v>Metformin Tablets (200 MG)</v>
      </c>
      <c r="E259" s="31">
        <v>78.8</v>
      </c>
      <c r="F259" s="34">
        <f ca="1">IF(TODAY()&gt;=LOOKUP(C259,'QALS - Inspection Lot Record'!P:P,'QALS - Inspection Lot Record'!J:J)+RANDBETWEEN(0,1),LOOKUP(C259,'QALS - Inspection Lot Record'!P:P,'QALS - Inspection Lot Record'!J:J)+RANDBETWEEN(0,1),"")</f>
        <v>45986</v>
      </c>
      <c r="G259" s="41" t="s">
        <v>486</v>
      </c>
      <c r="H259" s="34">
        <v>45365</v>
      </c>
      <c r="I259" s="29" t="s">
        <v>495</v>
      </c>
    </row>
    <row r="260" spans="1:9" x14ac:dyDescent="0.35">
      <c r="A260" s="31">
        <v>200000627</v>
      </c>
      <c r="B260" s="31">
        <v>1010</v>
      </c>
      <c r="C260" s="31">
        <v>4232</v>
      </c>
      <c r="D260" s="29" t="str">
        <f>LOOKUP('CAPA-old'!C260,'QALS - Inspection Lot Record'!P:P,'QALS - Inspection Lot Record'!O:O)</f>
        <v>Metformin Tablets (500 MG)</v>
      </c>
      <c r="E260" s="31">
        <v>93.7</v>
      </c>
      <c r="F260" s="34">
        <f ca="1">IF(TODAY()&gt;=LOOKUP(C260,'QALS - Inspection Lot Record'!P:P,'QALS - Inspection Lot Record'!J:J)+RANDBETWEEN(0,1),LOOKUP(C260,'QALS - Inspection Lot Record'!P:P,'QALS - Inspection Lot Record'!J:J)+RANDBETWEEN(0,1),"")</f>
        <v>45986</v>
      </c>
      <c r="G260" s="41" t="s">
        <v>472</v>
      </c>
      <c r="H260" s="34">
        <v>45364</v>
      </c>
      <c r="I260" s="29" t="s">
        <v>481</v>
      </c>
    </row>
    <row r="261" spans="1:9" x14ac:dyDescent="0.35">
      <c r="A261" s="31">
        <v>200000627</v>
      </c>
      <c r="B261" s="31">
        <v>1010</v>
      </c>
      <c r="C261" s="31">
        <v>4232</v>
      </c>
      <c r="D261" s="29" t="str">
        <f>LOOKUP('CAPA-old'!C261,'QALS - Inspection Lot Record'!P:P,'QALS - Inspection Lot Record'!O:O)</f>
        <v>Metformin Tablets (500 MG)</v>
      </c>
      <c r="E261" s="31">
        <v>68.400000000000006</v>
      </c>
      <c r="F261" s="34">
        <f ca="1">IF(TODAY()&gt;=LOOKUP(C261,'QALS - Inspection Lot Record'!P:P,'QALS - Inspection Lot Record'!J:J)+RANDBETWEEN(0,1),LOOKUP(C261,'QALS - Inspection Lot Record'!P:P,'QALS - Inspection Lot Record'!J:J)+RANDBETWEEN(0,1),"")</f>
        <v>45985</v>
      </c>
      <c r="G261" s="41" t="s">
        <v>480</v>
      </c>
      <c r="H261" s="34">
        <v>45364</v>
      </c>
      <c r="I261" s="29" t="s">
        <v>490</v>
      </c>
    </row>
    <row r="262" spans="1:9" x14ac:dyDescent="0.35">
      <c r="A262" s="31">
        <v>200000628</v>
      </c>
      <c r="B262" s="31">
        <v>1010</v>
      </c>
      <c r="C262" s="31">
        <v>4235</v>
      </c>
      <c r="D262" s="29" t="str">
        <f>LOOKUP('CAPA-old'!C262,'QALS - Inspection Lot Record'!P:P,'QALS - Inspection Lot Record'!O:O)</f>
        <v>Metformin Tablets (100 MG)</v>
      </c>
      <c r="E262" s="31">
        <v>94.3</v>
      </c>
      <c r="F262" s="34">
        <f ca="1">IF(TODAY()&gt;=LOOKUP(C262,'QALS - Inspection Lot Record'!P:P,'QALS - Inspection Lot Record'!J:J)+RANDBETWEEN(0,1),LOOKUP(C262,'QALS - Inspection Lot Record'!P:P,'QALS - Inspection Lot Record'!J:J)+RANDBETWEEN(0,1),"")</f>
        <v>45987</v>
      </c>
      <c r="G262" s="41" t="s">
        <v>472</v>
      </c>
      <c r="H262" s="34">
        <v>45365</v>
      </c>
      <c r="I262" s="29" t="s">
        <v>484</v>
      </c>
    </row>
    <row r="263" spans="1:9" x14ac:dyDescent="0.35">
      <c r="A263" s="31">
        <v>200000628</v>
      </c>
      <c r="B263" s="31">
        <v>1010</v>
      </c>
      <c r="C263" s="31">
        <v>4235</v>
      </c>
      <c r="D263" s="29" t="str">
        <f>LOOKUP('CAPA-old'!C263,'QALS - Inspection Lot Record'!P:P,'QALS - Inspection Lot Record'!O:O)</f>
        <v>Metformin Tablets (100 MG)</v>
      </c>
      <c r="E263" s="31">
        <v>1.2</v>
      </c>
      <c r="F263" s="34">
        <f ca="1">IF(TODAY()&gt;=LOOKUP(C263,'QALS - Inspection Lot Record'!P:P,'QALS - Inspection Lot Record'!J:J)+RANDBETWEEN(0,1),LOOKUP(C263,'QALS - Inspection Lot Record'!P:P,'QALS - Inspection Lot Record'!J:J)+RANDBETWEEN(0,1),"")</f>
        <v>45987</v>
      </c>
      <c r="G263" s="41" t="s">
        <v>476</v>
      </c>
      <c r="H263" s="34">
        <v>45365</v>
      </c>
      <c r="I263" s="29" t="s">
        <v>493</v>
      </c>
    </row>
    <row r="264" spans="1:9" x14ac:dyDescent="0.35">
      <c r="A264" s="31">
        <v>200000628</v>
      </c>
      <c r="B264" s="31">
        <v>1010</v>
      </c>
      <c r="C264" s="31">
        <v>4235</v>
      </c>
      <c r="D264" s="29" t="str">
        <f>LOOKUP('CAPA-old'!C264,'QALS - Inspection Lot Record'!P:P,'QALS - Inspection Lot Record'!O:O)</f>
        <v>Metformin Tablets (100 MG)</v>
      </c>
      <c r="E264" s="31">
        <v>38.9</v>
      </c>
      <c r="F264" s="34">
        <f ca="1">IF(TODAY()&gt;=LOOKUP(C264,'QALS - Inspection Lot Record'!P:P,'QALS - Inspection Lot Record'!J:J)+RANDBETWEEN(0,1),LOOKUP(C264,'QALS - Inspection Lot Record'!P:P,'QALS - Inspection Lot Record'!J:J)+RANDBETWEEN(0,1),"")</f>
        <v>45988</v>
      </c>
      <c r="G264" s="41" t="s">
        <v>478</v>
      </c>
      <c r="H264" s="34">
        <v>45364</v>
      </c>
      <c r="I264" s="29" t="s">
        <v>479</v>
      </c>
    </row>
    <row r="265" spans="1:9" x14ac:dyDescent="0.35">
      <c r="A265" s="31">
        <v>200000629</v>
      </c>
      <c r="B265" s="31">
        <v>1010</v>
      </c>
      <c r="C265" s="31">
        <v>4236</v>
      </c>
      <c r="D265" s="29" t="str">
        <f>LOOKUP('CAPA-old'!C265,'QALS - Inspection Lot Record'!P:P,'QALS - Inspection Lot Record'!O:O)</f>
        <v>Ibuprofen Tablets (100 MG)</v>
      </c>
      <c r="E265" s="31">
        <v>93.2</v>
      </c>
      <c r="F265" s="34">
        <f ca="1">IF(TODAY()&gt;=LOOKUP(C265,'QALS - Inspection Lot Record'!P:P,'QALS - Inspection Lot Record'!J:J)+RANDBETWEEN(0,1),LOOKUP(C265,'QALS - Inspection Lot Record'!P:P,'QALS - Inspection Lot Record'!J:J)+RANDBETWEEN(0,1),"")</f>
        <v>45988</v>
      </c>
      <c r="G265" s="41" t="s">
        <v>472</v>
      </c>
      <c r="H265" s="34">
        <v>45364</v>
      </c>
      <c r="I265" s="29" t="s">
        <v>473</v>
      </c>
    </row>
    <row r="266" spans="1:9" x14ac:dyDescent="0.35">
      <c r="A266" s="31">
        <v>200000629</v>
      </c>
      <c r="B266" s="31">
        <v>1010</v>
      </c>
      <c r="C266" s="31">
        <v>4236</v>
      </c>
      <c r="D266" s="29" t="str">
        <f>LOOKUP('CAPA-old'!C266,'QALS - Inspection Lot Record'!P:P,'QALS - Inspection Lot Record'!O:O)</f>
        <v>Ibuprofen Tablets (100 MG)</v>
      </c>
      <c r="E266" s="31">
        <v>1.6</v>
      </c>
      <c r="F266" s="34">
        <f ca="1">IF(TODAY()&gt;=LOOKUP(C266,'QALS - Inspection Lot Record'!P:P,'QALS - Inspection Lot Record'!J:J)+RANDBETWEEN(0,1),LOOKUP(C266,'QALS - Inspection Lot Record'!P:P,'QALS - Inspection Lot Record'!J:J)+RANDBETWEEN(0,1),"")</f>
        <v>45987</v>
      </c>
      <c r="G266" s="41" t="s">
        <v>474</v>
      </c>
      <c r="H266" s="34">
        <v>45366</v>
      </c>
      <c r="I266" s="29" t="s">
        <v>485</v>
      </c>
    </row>
    <row r="267" spans="1:9" x14ac:dyDescent="0.35">
      <c r="A267" s="31">
        <v>200000629</v>
      </c>
      <c r="B267" s="31">
        <v>1010</v>
      </c>
      <c r="C267" s="31">
        <v>4236</v>
      </c>
      <c r="D267" s="29" t="str">
        <f>LOOKUP('CAPA-old'!C267,'QALS - Inspection Lot Record'!P:P,'QALS - Inspection Lot Record'!O:O)</f>
        <v>Ibuprofen Tablets (100 MG)</v>
      </c>
      <c r="E267" s="31">
        <v>68.3</v>
      </c>
      <c r="F267" s="34">
        <f ca="1">IF(TODAY()&gt;=LOOKUP(C267,'QALS - Inspection Lot Record'!P:P,'QALS - Inspection Lot Record'!J:J)+RANDBETWEEN(0,1),LOOKUP(C267,'QALS - Inspection Lot Record'!P:P,'QALS - Inspection Lot Record'!J:J)+RANDBETWEEN(0,1),"")</f>
        <v>45988</v>
      </c>
      <c r="G267" s="41" t="s">
        <v>480</v>
      </c>
      <c r="H267" s="34">
        <v>45366</v>
      </c>
      <c r="I267" s="29" t="s">
        <v>475</v>
      </c>
    </row>
    <row r="268" spans="1:9" x14ac:dyDescent="0.35">
      <c r="A268" s="31">
        <v>200000630</v>
      </c>
      <c r="B268" s="31">
        <v>1010</v>
      </c>
      <c r="C268" s="31">
        <v>4239</v>
      </c>
      <c r="D268" s="29" t="str">
        <f>LOOKUP('CAPA-old'!C268,'QALS - Inspection Lot Record'!P:P,'QALS - Inspection Lot Record'!O:O)</f>
        <v>Metformin Tablets (500 MG)</v>
      </c>
      <c r="E268" s="31">
        <v>1.6</v>
      </c>
      <c r="F268" s="34">
        <f ca="1">IF(TODAY()&gt;=LOOKUP(C268,'QALS - Inspection Lot Record'!P:P,'QALS - Inspection Lot Record'!J:J)+RANDBETWEEN(0,1),LOOKUP(C268,'QALS - Inspection Lot Record'!P:P,'QALS - Inspection Lot Record'!J:J)+RANDBETWEEN(0,1),"")</f>
        <v>45989</v>
      </c>
      <c r="G268" s="41" t="s">
        <v>474</v>
      </c>
      <c r="H268" s="34">
        <v>45367</v>
      </c>
      <c r="I268" s="29" t="s">
        <v>496</v>
      </c>
    </row>
    <row r="269" spans="1:9" x14ac:dyDescent="0.35">
      <c r="A269" s="31">
        <v>200000631</v>
      </c>
      <c r="B269" s="31">
        <v>1010</v>
      </c>
      <c r="C269" s="31">
        <v>4240</v>
      </c>
      <c r="D269" s="29" t="str">
        <f>LOOKUP('CAPA-old'!C269,'QALS - Inspection Lot Record'!P:P,'QALS - Inspection Lot Record'!O:O)</f>
        <v>Aspirin Tablets (500 MG)</v>
      </c>
      <c r="E269" s="31">
        <v>21.9</v>
      </c>
      <c r="F269" s="34">
        <f ca="1">IF(TODAY()&gt;=LOOKUP(C269,'QALS - Inspection Lot Record'!P:P,'QALS - Inspection Lot Record'!J:J)+RANDBETWEEN(0,1),LOOKUP(C269,'QALS - Inspection Lot Record'!P:P,'QALS - Inspection Lot Record'!J:J)+RANDBETWEEN(0,1),"")</f>
        <v>45989</v>
      </c>
      <c r="G269" s="41" t="s">
        <v>483</v>
      </c>
      <c r="H269" s="34">
        <v>45368</v>
      </c>
      <c r="I269" s="29" t="s">
        <v>494</v>
      </c>
    </row>
    <row r="270" spans="1:9" x14ac:dyDescent="0.35">
      <c r="A270" s="31">
        <v>200000632</v>
      </c>
      <c r="B270" s="31">
        <v>1010</v>
      </c>
      <c r="C270" s="31">
        <v>4241</v>
      </c>
      <c r="D270" s="29" t="str">
        <f>LOOKUP('CAPA-old'!C270,'QALS - Inspection Lot Record'!P:P,'QALS - Inspection Lot Record'!O:O)</f>
        <v>Ibuprofen Tablets (100 MG)</v>
      </c>
      <c r="E270" s="31">
        <v>38.5</v>
      </c>
      <c r="F270" s="34">
        <f ca="1">IF(TODAY()&gt;=LOOKUP(C270,'QALS - Inspection Lot Record'!P:P,'QALS - Inspection Lot Record'!J:J)+RANDBETWEEN(0,1),LOOKUP(C270,'QALS - Inspection Lot Record'!P:P,'QALS - Inspection Lot Record'!J:J)+RANDBETWEEN(0,1),"")</f>
        <v>45990</v>
      </c>
      <c r="G270" s="41" t="s">
        <v>478</v>
      </c>
      <c r="H270" s="34">
        <v>45368</v>
      </c>
      <c r="I270" s="29" t="s">
        <v>491</v>
      </c>
    </row>
    <row r="271" spans="1:9" x14ac:dyDescent="0.35">
      <c r="A271" s="31">
        <v>200000632</v>
      </c>
      <c r="B271" s="31">
        <v>1010</v>
      </c>
      <c r="C271" s="31">
        <v>4241</v>
      </c>
      <c r="D271" s="29" t="str">
        <f>LOOKUP('CAPA-old'!C271,'QALS - Inspection Lot Record'!P:P,'QALS - Inspection Lot Record'!O:O)</f>
        <v>Ibuprofen Tablets (100 MG)</v>
      </c>
      <c r="E271" s="31">
        <v>78.599999999999994</v>
      </c>
      <c r="F271" s="34">
        <f ca="1">IF(TODAY()&gt;=LOOKUP(C271,'QALS - Inspection Lot Record'!P:P,'QALS - Inspection Lot Record'!J:J)+RANDBETWEEN(0,1),LOOKUP(C271,'QALS - Inspection Lot Record'!P:P,'QALS - Inspection Lot Record'!J:J)+RANDBETWEEN(0,1),"")</f>
        <v>45991</v>
      </c>
      <c r="G271" s="41" t="s">
        <v>486</v>
      </c>
      <c r="H271" s="34">
        <v>45368</v>
      </c>
      <c r="I271" s="29" t="s">
        <v>484</v>
      </c>
    </row>
    <row r="272" spans="1:9" x14ac:dyDescent="0.35">
      <c r="A272" s="31">
        <v>200000633</v>
      </c>
      <c r="B272" s="31">
        <v>1010</v>
      </c>
      <c r="C272" s="31">
        <v>4242</v>
      </c>
      <c r="D272" s="29" t="str">
        <f>LOOKUP('CAPA-old'!C272,'QALS - Inspection Lot Record'!P:P,'QALS - Inspection Lot Record'!O:O)</f>
        <v>Metformin Tablets (100 MG)</v>
      </c>
      <c r="E272" s="31">
        <v>94</v>
      </c>
      <c r="F272" s="34">
        <f ca="1">IF(TODAY()&gt;=LOOKUP(C272,'QALS - Inspection Lot Record'!P:P,'QALS - Inspection Lot Record'!J:J)+RANDBETWEEN(0,1),LOOKUP(C272,'QALS - Inspection Lot Record'!P:P,'QALS - Inspection Lot Record'!J:J)+RANDBETWEEN(0,1),"")</f>
        <v>45990</v>
      </c>
      <c r="G272" s="41" t="s">
        <v>472</v>
      </c>
      <c r="H272" s="34">
        <v>45370</v>
      </c>
      <c r="I272" s="29" t="s">
        <v>481</v>
      </c>
    </row>
    <row r="273" spans="1:9" x14ac:dyDescent="0.35">
      <c r="A273" s="31">
        <v>200000633</v>
      </c>
      <c r="B273" s="31">
        <v>1010</v>
      </c>
      <c r="C273" s="31">
        <v>4242</v>
      </c>
      <c r="D273" s="29" t="str">
        <f>LOOKUP('CAPA-old'!C273,'QALS - Inspection Lot Record'!P:P,'QALS - Inspection Lot Record'!O:O)</f>
        <v>Metformin Tablets (100 MG)</v>
      </c>
      <c r="E273" s="31">
        <v>68.2</v>
      </c>
      <c r="F273" s="34">
        <f ca="1">IF(TODAY()&gt;=LOOKUP(C273,'QALS - Inspection Lot Record'!P:P,'QALS - Inspection Lot Record'!J:J)+RANDBETWEEN(0,1),LOOKUP(C273,'QALS - Inspection Lot Record'!P:P,'QALS - Inspection Lot Record'!J:J)+RANDBETWEEN(0,1),"")</f>
        <v>45990</v>
      </c>
      <c r="G273" s="41" t="s">
        <v>480</v>
      </c>
      <c r="H273" s="34">
        <v>45369</v>
      </c>
      <c r="I273" s="29" t="s">
        <v>484</v>
      </c>
    </row>
    <row r="274" spans="1:9" x14ac:dyDescent="0.35">
      <c r="A274" s="31">
        <v>200000633</v>
      </c>
      <c r="B274" s="31">
        <v>1010</v>
      </c>
      <c r="C274" s="31">
        <v>4242</v>
      </c>
      <c r="D274" s="29" t="str">
        <f>LOOKUP('CAPA-old'!C274,'QALS - Inspection Lot Record'!P:P,'QALS - Inspection Lot Record'!O:O)</f>
        <v>Metformin Tablets (100 MG)</v>
      </c>
      <c r="E274" s="31">
        <v>78.5</v>
      </c>
      <c r="F274" s="34">
        <f ca="1">IF(TODAY()&gt;=LOOKUP(C274,'QALS - Inspection Lot Record'!P:P,'QALS - Inspection Lot Record'!J:J)+RANDBETWEEN(0,1),LOOKUP(C274,'QALS - Inspection Lot Record'!P:P,'QALS - Inspection Lot Record'!J:J)+RANDBETWEEN(0,1),"")</f>
        <v>45991</v>
      </c>
      <c r="G274" s="41" t="s">
        <v>486</v>
      </c>
      <c r="H274" s="34">
        <v>45369</v>
      </c>
      <c r="I274" s="29" t="s">
        <v>495</v>
      </c>
    </row>
    <row r="275" spans="1:9" x14ac:dyDescent="0.35">
      <c r="A275" s="31">
        <v>200000634</v>
      </c>
      <c r="B275" s="31">
        <v>1010</v>
      </c>
      <c r="C275" s="31">
        <v>4243</v>
      </c>
      <c r="D275" s="29" t="str">
        <f>LOOKUP('CAPA-old'!C275,'QALS - Inspection Lot Record'!P:P,'QALS - Inspection Lot Record'!O:O)</f>
        <v>Metformin Tablets (200 MG)</v>
      </c>
      <c r="E275" s="31">
        <v>93.2</v>
      </c>
      <c r="F275" s="34">
        <f ca="1">IF(TODAY()&gt;=LOOKUP(C275,'QALS - Inspection Lot Record'!P:P,'QALS - Inspection Lot Record'!J:J)+RANDBETWEEN(0,1),LOOKUP(C275,'QALS - Inspection Lot Record'!P:P,'QALS - Inspection Lot Record'!J:J)+RANDBETWEEN(0,1),"")</f>
        <v>45991</v>
      </c>
      <c r="G275" s="41" t="s">
        <v>472</v>
      </c>
      <c r="H275" s="34">
        <v>45369</v>
      </c>
      <c r="I275" s="29" t="s">
        <v>482</v>
      </c>
    </row>
    <row r="276" spans="1:9" x14ac:dyDescent="0.35">
      <c r="A276" s="31">
        <v>200000634</v>
      </c>
      <c r="B276" s="31">
        <v>1010</v>
      </c>
      <c r="C276" s="31">
        <v>4243</v>
      </c>
      <c r="D276" s="29" t="str">
        <f>LOOKUP('CAPA-old'!C276,'QALS - Inspection Lot Record'!P:P,'QALS - Inspection Lot Record'!O:O)</f>
        <v>Metformin Tablets (200 MG)</v>
      </c>
      <c r="E276" s="31">
        <v>5</v>
      </c>
      <c r="F276" s="34">
        <f ca="1">IF(TODAY()&gt;=LOOKUP(C276,'QALS - Inspection Lot Record'!P:P,'QALS - Inspection Lot Record'!J:J)+RANDBETWEEN(0,1),LOOKUP(C276,'QALS - Inspection Lot Record'!P:P,'QALS - Inspection Lot Record'!J:J)+RANDBETWEEN(0,1),"")</f>
        <v>45991</v>
      </c>
      <c r="G276" s="41" t="s">
        <v>474</v>
      </c>
      <c r="H276" s="34">
        <v>45369</v>
      </c>
      <c r="I276" s="29" t="s">
        <v>485</v>
      </c>
    </row>
    <row r="277" spans="1:9" x14ac:dyDescent="0.35">
      <c r="A277" s="31">
        <v>200000634</v>
      </c>
      <c r="B277" s="31">
        <v>1010</v>
      </c>
      <c r="C277" s="31">
        <v>4243</v>
      </c>
      <c r="D277" s="29" t="str">
        <f>LOOKUP('CAPA-old'!C277,'QALS - Inspection Lot Record'!P:P,'QALS - Inspection Lot Record'!O:O)</f>
        <v>Metformin Tablets (200 MG)</v>
      </c>
      <c r="E277" s="31">
        <v>21.6</v>
      </c>
      <c r="F277" s="34">
        <f ca="1">IF(TODAY()&gt;=LOOKUP(C277,'QALS - Inspection Lot Record'!P:P,'QALS - Inspection Lot Record'!J:J)+RANDBETWEEN(0,1),LOOKUP(C277,'QALS - Inspection Lot Record'!P:P,'QALS - Inspection Lot Record'!J:J)+RANDBETWEEN(0,1),"")</f>
        <v>45992</v>
      </c>
      <c r="G277" s="41" t="s">
        <v>483</v>
      </c>
      <c r="H277" s="34">
        <v>45370</v>
      </c>
      <c r="I277" s="29" t="s">
        <v>477</v>
      </c>
    </row>
    <row r="278" spans="1:9" x14ac:dyDescent="0.35">
      <c r="A278" s="31">
        <v>200000635</v>
      </c>
      <c r="B278" s="31">
        <v>1010</v>
      </c>
      <c r="C278" s="31">
        <v>4244</v>
      </c>
      <c r="D278" s="29" t="str">
        <f>LOOKUP('CAPA-old'!C278,'QALS - Inspection Lot Record'!P:P,'QALS - Inspection Lot Record'!O:O)</f>
        <v>Metformin Tablets (500 MG)</v>
      </c>
      <c r="E278" s="31">
        <v>78.7</v>
      </c>
      <c r="F278" s="34">
        <f ca="1">IF(TODAY()&gt;=LOOKUP(C278,'QALS - Inspection Lot Record'!P:P,'QALS - Inspection Lot Record'!J:J)+RANDBETWEEN(0,1),LOOKUP(C278,'QALS - Inspection Lot Record'!P:P,'QALS - Inspection Lot Record'!J:J)+RANDBETWEEN(0,1),"")</f>
        <v>45991</v>
      </c>
      <c r="G278" s="41" t="s">
        <v>486</v>
      </c>
      <c r="H278" s="34">
        <v>45370</v>
      </c>
      <c r="I278" s="29" t="s">
        <v>488</v>
      </c>
    </row>
    <row r="279" spans="1:9" x14ac:dyDescent="0.35">
      <c r="A279" s="31">
        <v>200000636</v>
      </c>
      <c r="B279" s="31">
        <v>1010</v>
      </c>
      <c r="C279" s="31">
        <v>4245</v>
      </c>
      <c r="D279" s="29" t="str">
        <f>LOOKUP('CAPA-old'!C279,'QALS - Inspection Lot Record'!P:P,'QALS - Inspection Lot Record'!O:O)</f>
        <v>Metformin Tablets (100 MG)</v>
      </c>
      <c r="E279" s="31">
        <v>93</v>
      </c>
      <c r="F279" s="34">
        <f ca="1">IF(TODAY()&gt;=LOOKUP(C279,'QALS - Inspection Lot Record'!P:P,'QALS - Inspection Lot Record'!J:J)+RANDBETWEEN(0,1),LOOKUP(C279,'QALS - Inspection Lot Record'!P:P,'QALS - Inspection Lot Record'!J:J)+RANDBETWEEN(0,1),"")</f>
        <v>45993</v>
      </c>
      <c r="G279" s="41" t="s">
        <v>472</v>
      </c>
      <c r="H279" s="34">
        <v>45369</v>
      </c>
      <c r="I279" s="29" t="s">
        <v>481</v>
      </c>
    </row>
    <row r="280" spans="1:9" x14ac:dyDescent="0.35">
      <c r="A280" s="31">
        <v>200000636</v>
      </c>
      <c r="B280" s="31">
        <v>1010</v>
      </c>
      <c r="C280" s="31">
        <v>4245</v>
      </c>
      <c r="D280" s="29" t="str">
        <f>LOOKUP('CAPA-old'!C280,'QALS - Inspection Lot Record'!P:P,'QALS - Inspection Lot Record'!O:O)</f>
        <v>Metformin Tablets (100 MG)</v>
      </c>
      <c r="E280" s="31">
        <v>1.9</v>
      </c>
      <c r="F280" s="34">
        <f ca="1">IF(TODAY()&gt;=LOOKUP(C280,'QALS - Inspection Lot Record'!P:P,'QALS - Inspection Lot Record'!J:J)+RANDBETWEEN(0,1),LOOKUP(C280,'QALS - Inspection Lot Record'!P:P,'QALS - Inspection Lot Record'!J:J)+RANDBETWEEN(0,1),"")</f>
        <v>45993</v>
      </c>
      <c r="G280" s="41" t="s">
        <v>474</v>
      </c>
      <c r="H280" s="34">
        <v>45371</v>
      </c>
      <c r="I280" s="29" t="s">
        <v>484</v>
      </c>
    </row>
    <row r="281" spans="1:9" x14ac:dyDescent="0.35">
      <c r="A281" s="31">
        <v>200000636</v>
      </c>
      <c r="B281" s="31">
        <v>1010</v>
      </c>
      <c r="C281" s="31">
        <v>4245</v>
      </c>
      <c r="D281" s="29" t="str">
        <f>LOOKUP('CAPA-old'!C281,'QALS - Inspection Lot Record'!P:P,'QALS - Inspection Lot Record'!O:O)</f>
        <v>Metformin Tablets (100 MG)</v>
      </c>
      <c r="E281" s="31">
        <v>68.599999999999994</v>
      </c>
      <c r="F281" s="34">
        <f ca="1">IF(TODAY()&gt;=LOOKUP(C281,'QALS - Inspection Lot Record'!P:P,'QALS - Inspection Lot Record'!J:J)+RANDBETWEEN(0,1),LOOKUP(C281,'QALS - Inspection Lot Record'!P:P,'QALS - Inspection Lot Record'!J:J)+RANDBETWEEN(0,1),"")</f>
        <v>45993</v>
      </c>
      <c r="G281" s="41" t="s">
        <v>480</v>
      </c>
      <c r="H281" s="34">
        <v>45370</v>
      </c>
      <c r="I281" s="29" t="s">
        <v>497</v>
      </c>
    </row>
    <row r="282" spans="1:9" x14ac:dyDescent="0.35">
      <c r="A282" s="31">
        <v>200000636</v>
      </c>
      <c r="B282" s="31">
        <v>1010</v>
      </c>
      <c r="C282" s="31">
        <v>4245</v>
      </c>
      <c r="D282" s="29" t="str">
        <f>LOOKUP('CAPA-old'!C282,'QALS - Inspection Lot Record'!P:P,'QALS - Inspection Lot Record'!O:O)</f>
        <v>Metformin Tablets (100 MG)</v>
      </c>
      <c r="E282" s="31">
        <v>78.3</v>
      </c>
      <c r="F282" s="34">
        <f ca="1">IF(TODAY()&gt;=LOOKUP(C282,'QALS - Inspection Lot Record'!P:P,'QALS - Inspection Lot Record'!J:J)+RANDBETWEEN(0,1),LOOKUP(C282,'QALS - Inspection Lot Record'!P:P,'QALS - Inspection Lot Record'!J:J)+RANDBETWEEN(0,1),"")</f>
        <v>45993</v>
      </c>
      <c r="G282" s="41" t="s">
        <v>486</v>
      </c>
      <c r="H282" s="34">
        <v>45371</v>
      </c>
      <c r="I282" s="29" t="s">
        <v>495</v>
      </c>
    </row>
    <row r="283" spans="1:9" x14ac:dyDescent="0.35">
      <c r="A283" s="31">
        <v>200000637</v>
      </c>
      <c r="B283" s="31">
        <v>1010</v>
      </c>
      <c r="C283" s="31">
        <v>4246</v>
      </c>
      <c r="D283" s="29" t="str">
        <f>LOOKUP('CAPA-old'!C283,'QALS - Inspection Lot Record'!P:P,'QALS - Inspection Lot Record'!O:O)</f>
        <v>Ibuprofen Tablets (100 MG)</v>
      </c>
      <c r="E283" s="31">
        <v>78.8</v>
      </c>
      <c r="F283" s="34">
        <f ca="1">IF(TODAY()&gt;=LOOKUP(C283,'QALS - Inspection Lot Record'!P:P,'QALS - Inspection Lot Record'!J:J)+RANDBETWEEN(0,1),LOOKUP(C283,'QALS - Inspection Lot Record'!P:P,'QALS - Inspection Lot Record'!J:J)+RANDBETWEEN(0,1),"")</f>
        <v>45993</v>
      </c>
      <c r="G283" s="41" t="s">
        <v>486</v>
      </c>
      <c r="H283" s="34">
        <v>45372</v>
      </c>
      <c r="I283" s="29" t="s">
        <v>484</v>
      </c>
    </row>
    <row r="284" spans="1:9" x14ac:dyDescent="0.35">
      <c r="A284" s="31">
        <v>200000638</v>
      </c>
      <c r="B284" s="31">
        <v>1010</v>
      </c>
      <c r="C284" s="31">
        <v>4247</v>
      </c>
      <c r="D284" s="29" t="str">
        <f>LOOKUP('CAPA-old'!C284,'QALS - Inspection Lot Record'!P:P,'QALS - Inspection Lot Record'!O:O)</f>
        <v>Aspirin Tablets (500 MG)</v>
      </c>
      <c r="E284" s="31">
        <v>93.8</v>
      </c>
      <c r="F284" s="34">
        <f ca="1">IF(TODAY()&gt;=LOOKUP(C284,'QALS - Inspection Lot Record'!P:P,'QALS - Inspection Lot Record'!J:J)+RANDBETWEEN(0,1),LOOKUP(C284,'QALS - Inspection Lot Record'!P:P,'QALS - Inspection Lot Record'!J:J)+RANDBETWEEN(0,1),"")</f>
        <v>45994</v>
      </c>
      <c r="G284" s="41" t="s">
        <v>472</v>
      </c>
      <c r="H284" s="34">
        <v>45371</v>
      </c>
      <c r="I284" s="29" t="s">
        <v>475</v>
      </c>
    </row>
    <row r="285" spans="1:9" x14ac:dyDescent="0.35">
      <c r="A285" s="31">
        <v>200000639</v>
      </c>
      <c r="B285" s="31">
        <v>1010</v>
      </c>
      <c r="C285" s="31">
        <v>4248</v>
      </c>
      <c r="D285" s="29" t="str">
        <f>LOOKUP('CAPA-old'!C285,'QALS - Inspection Lot Record'!P:P,'QALS - Inspection Lot Record'!O:O)</f>
        <v>Aspirin Tablets (500 MG)</v>
      </c>
      <c r="E285" s="31">
        <v>38.9</v>
      </c>
      <c r="F285" s="34">
        <f ca="1">IF(TODAY()&gt;=LOOKUP(C285,'QALS - Inspection Lot Record'!P:P,'QALS - Inspection Lot Record'!J:J)+RANDBETWEEN(0,1),LOOKUP(C285,'QALS - Inspection Lot Record'!P:P,'QALS - Inspection Lot Record'!J:J)+RANDBETWEEN(0,1),"")</f>
        <v>45993</v>
      </c>
      <c r="G285" s="41" t="s">
        <v>478</v>
      </c>
      <c r="H285" s="34">
        <v>45371</v>
      </c>
      <c r="I285" s="29" t="s">
        <v>479</v>
      </c>
    </row>
    <row r="286" spans="1:9" x14ac:dyDescent="0.35">
      <c r="A286" s="31">
        <v>200000639</v>
      </c>
      <c r="B286" s="31">
        <v>1010</v>
      </c>
      <c r="C286" s="31">
        <v>4248</v>
      </c>
      <c r="D286" s="29" t="str">
        <f>LOOKUP('CAPA-old'!C286,'QALS - Inspection Lot Record'!P:P,'QALS - Inspection Lot Record'!O:O)</f>
        <v>Aspirin Tablets (500 MG)</v>
      </c>
      <c r="E286" s="31">
        <v>68.5</v>
      </c>
      <c r="F286" s="34">
        <f ca="1">IF(TODAY()&gt;=LOOKUP(C286,'QALS - Inspection Lot Record'!P:P,'QALS - Inspection Lot Record'!J:J)+RANDBETWEEN(0,1),LOOKUP(C286,'QALS - Inspection Lot Record'!P:P,'QALS - Inspection Lot Record'!J:J)+RANDBETWEEN(0,1),"")</f>
        <v>45993</v>
      </c>
      <c r="G286" s="41" t="s">
        <v>480</v>
      </c>
      <c r="H286" s="34">
        <v>45371</v>
      </c>
      <c r="I286" s="29" t="s">
        <v>490</v>
      </c>
    </row>
    <row r="287" spans="1:9" x14ac:dyDescent="0.35">
      <c r="A287" s="31">
        <v>200000639</v>
      </c>
      <c r="B287" s="31">
        <v>1010</v>
      </c>
      <c r="C287" s="31">
        <v>4248</v>
      </c>
      <c r="D287" s="29" t="str">
        <f>LOOKUP('CAPA-old'!C287,'QALS - Inspection Lot Record'!P:P,'QALS - Inspection Lot Record'!O:O)</f>
        <v>Aspirin Tablets (500 MG)</v>
      </c>
      <c r="E287" s="31">
        <v>21.3</v>
      </c>
      <c r="F287" s="34">
        <f ca="1">IF(TODAY()&gt;=LOOKUP(C287,'QALS - Inspection Lot Record'!P:P,'QALS - Inspection Lot Record'!J:J)+RANDBETWEEN(0,1),LOOKUP(C287,'QALS - Inspection Lot Record'!P:P,'QALS - Inspection Lot Record'!J:J)+RANDBETWEEN(0,1),"")</f>
        <v>45993</v>
      </c>
      <c r="G287" s="41" t="s">
        <v>483</v>
      </c>
      <c r="H287" s="34">
        <v>45371</v>
      </c>
      <c r="I287" s="29" t="s">
        <v>475</v>
      </c>
    </row>
    <row r="288" spans="1:9" x14ac:dyDescent="0.35">
      <c r="A288" s="31">
        <v>200000640</v>
      </c>
      <c r="B288" s="31">
        <v>1010</v>
      </c>
      <c r="C288" s="31">
        <v>4251</v>
      </c>
      <c r="D288" s="29" t="str">
        <f>LOOKUP('CAPA-old'!C288,'QALS - Inspection Lot Record'!P:P,'QALS - Inspection Lot Record'!O:O)</f>
        <v>Metformin Tablets (100 MG)</v>
      </c>
      <c r="E288" s="31">
        <v>2.2999999999999998</v>
      </c>
      <c r="F288" s="34">
        <f ca="1">IF(TODAY()&gt;=LOOKUP(C288,'QALS - Inspection Lot Record'!P:P,'QALS - Inspection Lot Record'!J:J)+RANDBETWEEN(0,1),LOOKUP(C288,'QALS - Inspection Lot Record'!P:P,'QALS - Inspection Lot Record'!J:J)+RANDBETWEEN(0,1),"")</f>
        <v>45995</v>
      </c>
      <c r="G288" s="41" t="s">
        <v>474</v>
      </c>
      <c r="H288" s="34">
        <v>45373</v>
      </c>
      <c r="I288" s="29" t="s">
        <v>485</v>
      </c>
    </row>
    <row r="289" spans="1:9" x14ac:dyDescent="0.35">
      <c r="A289" s="31">
        <v>200000640</v>
      </c>
      <c r="B289" s="31">
        <v>1010</v>
      </c>
      <c r="C289" s="31">
        <v>4251</v>
      </c>
      <c r="D289" s="29" t="str">
        <f>LOOKUP('CAPA-old'!C289,'QALS - Inspection Lot Record'!P:P,'QALS - Inspection Lot Record'!O:O)</f>
        <v>Metformin Tablets (100 MG)</v>
      </c>
      <c r="E289" s="31">
        <v>78.400000000000006</v>
      </c>
      <c r="F289" s="34">
        <f ca="1">IF(TODAY()&gt;=LOOKUP(C289,'QALS - Inspection Lot Record'!P:P,'QALS - Inspection Lot Record'!J:J)+RANDBETWEEN(0,1),LOOKUP(C289,'QALS - Inspection Lot Record'!P:P,'QALS - Inspection Lot Record'!J:J)+RANDBETWEEN(0,1),"")</f>
        <v>45996</v>
      </c>
      <c r="G289" s="41" t="s">
        <v>486</v>
      </c>
      <c r="H289" s="34">
        <v>45373</v>
      </c>
      <c r="I289" s="29" t="s">
        <v>488</v>
      </c>
    </row>
    <row r="290" spans="1:9" x14ac:dyDescent="0.35">
      <c r="A290" s="31">
        <v>200000641</v>
      </c>
      <c r="B290" s="31">
        <v>1010</v>
      </c>
      <c r="C290" s="31">
        <v>4253</v>
      </c>
      <c r="D290" s="29" t="str">
        <f>LOOKUP('CAPA-old'!C290,'QALS - Inspection Lot Record'!P:P,'QALS - Inspection Lot Record'!O:O)</f>
        <v>Metformin Tablets (200 MG)</v>
      </c>
      <c r="E290" s="31">
        <v>93.5</v>
      </c>
      <c r="F290" s="34">
        <f ca="1">IF(TODAY()&gt;=LOOKUP(C290,'QALS - Inspection Lot Record'!P:P,'QALS - Inspection Lot Record'!J:J)+RANDBETWEEN(0,1),LOOKUP(C290,'QALS - Inspection Lot Record'!P:P,'QALS - Inspection Lot Record'!J:J)+RANDBETWEEN(0,1),"")</f>
        <v>45996</v>
      </c>
      <c r="G290" s="41" t="s">
        <v>472</v>
      </c>
      <c r="H290" s="34">
        <v>45375</v>
      </c>
      <c r="I290" s="29" t="s">
        <v>484</v>
      </c>
    </row>
    <row r="291" spans="1:9" x14ac:dyDescent="0.35">
      <c r="A291" s="31">
        <v>200000642</v>
      </c>
      <c r="B291" s="31">
        <v>1010</v>
      </c>
      <c r="C291" s="31">
        <v>4257</v>
      </c>
      <c r="D291" s="29" t="str">
        <f>LOOKUP('CAPA-old'!C291,'QALS - Inspection Lot Record'!P:P,'QALS - Inspection Lot Record'!O:O)</f>
        <v>Ibuprofen Tablets (100 MG)</v>
      </c>
      <c r="E291" s="31">
        <v>93.8</v>
      </c>
      <c r="F291" s="34">
        <f ca="1">IF(TODAY()&gt;=LOOKUP(C291,'QALS - Inspection Lot Record'!P:P,'QALS - Inspection Lot Record'!J:J)+RANDBETWEEN(0,1),LOOKUP(C291,'QALS - Inspection Lot Record'!P:P,'QALS - Inspection Lot Record'!J:J)+RANDBETWEEN(0,1),"")</f>
        <v>45998</v>
      </c>
      <c r="G291" s="41" t="s">
        <v>472</v>
      </c>
      <c r="H291" s="34">
        <v>45377</v>
      </c>
      <c r="I291" s="29" t="s">
        <v>481</v>
      </c>
    </row>
    <row r="292" spans="1:9" x14ac:dyDescent="0.35">
      <c r="A292" s="31">
        <v>200000643</v>
      </c>
      <c r="B292" s="31">
        <v>1010</v>
      </c>
      <c r="C292" s="31">
        <v>4258</v>
      </c>
      <c r="D292" s="29" t="str">
        <f>LOOKUP('CAPA-old'!C292,'QALS - Inspection Lot Record'!P:P,'QALS - Inspection Lot Record'!O:O)</f>
        <v>Metformin Tablets (500 MG)</v>
      </c>
      <c r="E292" s="31">
        <v>93.6</v>
      </c>
      <c r="F292" s="34">
        <f ca="1">IF(TODAY()&gt;=LOOKUP(C292,'QALS - Inspection Lot Record'!P:P,'QALS - Inspection Lot Record'!J:J)+RANDBETWEEN(0,1),LOOKUP(C292,'QALS - Inspection Lot Record'!P:P,'QALS - Inspection Lot Record'!J:J)+RANDBETWEEN(0,1),"")</f>
        <v>45998</v>
      </c>
      <c r="G292" s="41" t="s">
        <v>472</v>
      </c>
      <c r="H292" s="34">
        <v>45375</v>
      </c>
      <c r="I292" s="29" t="s">
        <v>477</v>
      </c>
    </row>
    <row r="293" spans="1:9" x14ac:dyDescent="0.35">
      <c r="A293" s="31">
        <v>200000644</v>
      </c>
      <c r="B293" s="31">
        <v>1010</v>
      </c>
      <c r="C293" s="31">
        <v>4259</v>
      </c>
      <c r="D293" s="29" t="str">
        <f>LOOKUP('CAPA-old'!C293,'QALS - Inspection Lot Record'!P:P,'QALS - Inspection Lot Record'!O:O)</f>
        <v>Metformin Tablets (500 MG)</v>
      </c>
      <c r="E293" s="31">
        <v>93</v>
      </c>
      <c r="F293" s="34">
        <f ca="1">IF(TODAY()&gt;=LOOKUP(C293,'QALS - Inspection Lot Record'!P:P,'QALS - Inspection Lot Record'!J:J)+RANDBETWEEN(0,1),LOOKUP(C293,'QALS - Inspection Lot Record'!P:P,'QALS - Inspection Lot Record'!J:J)+RANDBETWEEN(0,1),"")</f>
        <v>46000</v>
      </c>
      <c r="G293" s="41" t="s">
        <v>472</v>
      </c>
      <c r="H293" s="34">
        <v>45377</v>
      </c>
      <c r="I293" s="29" t="s">
        <v>484</v>
      </c>
    </row>
    <row r="294" spans="1:9" x14ac:dyDescent="0.35">
      <c r="A294" s="31">
        <v>200000644</v>
      </c>
      <c r="B294" s="31">
        <v>1010</v>
      </c>
      <c r="C294" s="31">
        <v>4259</v>
      </c>
      <c r="D294" s="29" t="str">
        <f>LOOKUP('CAPA-old'!C294,'QALS - Inspection Lot Record'!P:P,'QALS - Inspection Lot Record'!O:O)</f>
        <v>Metformin Tablets (500 MG)</v>
      </c>
      <c r="E294" s="31">
        <v>1.9</v>
      </c>
      <c r="F294" s="34">
        <f ca="1">IF(TODAY()&gt;=LOOKUP(C294,'QALS - Inspection Lot Record'!P:P,'QALS - Inspection Lot Record'!J:J)+RANDBETWEEN(0,1),LOOKUP(C294,'QALS - Inspection Lot Record'!P:P,'QALS - Inspection Lot Record'!J:J)+RANDBETWEEN(0,1),"")</f>
        <v>45999</v>
      </c>
      <c r="G294" s="41" t="s">
        <v>474</v>
      </c>
      <c r="H294" s="34">
        <v>45377</v>
      </c>
      <c r="I294" s="29" t="s">
        <v>485</v>
      </c>
    </row>
    <row r="295" spans="1:9" x14ac:dyDescent="0.35">
      <c r="A295" s="31">
        <v>200000645</v>
      </c>
      <c r="B295" s="31">
        <v>1010</v>
      </c>
      <c r="C295" s="31">
        <v>4260</v>
      </c>
      <c r="D295" s="29" t="str">
        <f>LOOKUP('CAPA-old'!C295,'QALS - Inspection Lot Record'!P:P,'QALS - Inspection Lot Record'!O:O)</f>
        <v>Ibuprofen Tablets (100 MG)</v>
      </c>
      <c r="E295" s="31">
        <v>21.2</v>
      </c>
      <c r="F295" s="34">
        <f ca="1">IF(TODAY()&gt;=LOOKUP(C295,'QALS - Inspection Lot Record'!P:P,'QALS - Inspection Lot Record'!J:J)+RANDBETWEEN(0,1),LOOKUP(C295,'QALS - Inspection Lot Record'!P:P,'QALS - Inspection Lot Record'!J:J)+RANDBETWEEN(0,1),"")</f>
        <v>45999</v>
      </c>
      <c r="G295" s="41" t="s">
        <v>483</v>
      </c>
      <c r="H295" s="34">
        <v>45378</v>
      </c>
      <c r="I295" s="29" t="s">
        <v>475</v>
      </c>
    </row>
    <row r="296" spans="1:9" x14ac:dyDescent="0.35">
      <c r="A296" s="31">
        <v>200000646</v>
      </c>
      <c r="B296" s="31">
        <v>1010</v>
      </c>
      <c r="C296" s="31">
        <v>4264</v>
      </c>
      <c r="D296" s="29" t="str">
        <f>LOOKUP('CAPA-old'!C296,'QALS - Inspection Lot Record'!P:P,'QALS - Inspection Lot Record'!O:O)</f>
        <v>Aspirin Tablets (500 MG)</v>
      </c>
      <c r="E296" s="31">
        <v>39</v>
      </c>
      <c r="F296" s="34">
        <f ca="1">IF(TODAY()&gt;=LOOKUP(C296,'QALS - Inspection Lot Record'!P:P,'QALS - Inspection Lot Record'!J:J)+RANDBETWEEN(0,1),LOOKUP(C296,'QALS - Inspection Lot Record'!P:P,'QALS - Inspection Lot Record'!J:J)+RANDBETWEEN(0,1),"")</f>
        <v>46001</v>
      </c>
      <c r="G296" s="41" t="s">
        <v>478</v>
      </c>
      <c r="H296" s="34">
        <v>45380</v>
      </c>
      <c r="I296" s="29" t="s">
        <v>479</v>
      </c>
    </row>
    <row r="297" spans="1:9" x14ac:dyDescent="0.35">
      <c r="A297" s="31">
        <v>200000646</v>
      </c>
      <c r="B297" s="31">
        <v>1010</v>
      </c>
      <c r="C297" s="31">
        <v>4264</v>
      </c>
      <c r="D297" s="29" t="str">
        <f>LOOKUP('CAPA-old'!C297,'QALS - Inspection Lot Record'!P:P,'QALS - Inspection Lot Record'!O:O)</f>
        <v>Aspirin Tablets (500 MG)</v>
      </c>
      <c r="E297" s="31">
        <v>21.9</v>
      </c>
      <c r="F297" s="34">
        <f ca="1">IF(TODAY()&gt;=LOOKUP(C297,'QALS - Inspection Lot Record'!P:P,'QALS - Inspection Lot Record'!J:J)+RANDBETWEEN(0,1),LOOKUP(C297,'QALS - Inspection Lot Record'!P:P,'QALS - Inspection Lot Record'!J:J)+RANDBETWEEN(0,1),"")</f>
        <v>46001</v>
      </c>
      <c r="G297" s="41" t="s">
        <v>483</v>
      </c>
      <c r="H297" s="34">
        <v>45380</v>
      </c>
      <c r="I297" s="29" t="s">
        <v>494</v>
      </c>
    </row>
    <row r="298" spans="1:9" x14ac:dyDescent="0.35">
      <c r="A298" s="31">
        <v>200000647</v>
      </c>
      <c r="B298" s="31">
        <v>1010</v>
      </c>
      <c r="C298" s="31">
        <v>4267</v>
      </c>
      <c r="D298" s="29" t="str">
        <f>LOOKUP('CAPA-old'!C298,'QALS - Inspection Lot Record'!P:P,'QALS - Inspection Lot Record'!O:O)</f>
        <v>Metformin Tablets (200 MG)</v>
      </c>
      <c r="E298" s="31">
        <v>68.599999999999994</v>
      </c>
      <c r="F298" s="34">
        <f ca="1">IF(TODAY()&gt;=LOOKUP(C298,'QALS - Inspection Lot Record'!P:P,'QALS - Inspection Lot Record'!J:J)+RANDBETWEEN(0,1),LOOKUP(C298,'QALS - Inspection Lot Record'!P:P,'QALS - Inspection Lot Record'!J:J)+RANDBETWEEN(0,1),"")</f>
        <v>46003</v>
      </c>
      <c r="G298" s="41" t="s">
        <v>480</v>
      </c>
      <c r="H298" s="34">
        <v>45380</v>
      </c>
      <c r="I298" s="29" t="s">
        <v>497</v>
      </c>
    </row>
    <row r="299" spans="1:9" x14ac:dyDescent="0.35">
      <c r="A299" s="31">
        <v>200000648</v>
      </c>
      <c r="B299" s="31">
        <v>1010</v>
      </c>
      <c r="C299" s="31">
        <v>4272</v>
      </c>
      <c r="D299" s="29" t="str">
        <f>LOOKUP('CAPA-old'!C299,'QALS - Inspection Lot Record'!P:P,'QALS - Inspection Lot Record'!O:O)</f>
        <v>Ibuprofen Tablets (100 MG)</v>
      </c>
      <c r="E299" s="31">
        <v>78.8</v>
      </c>
      <c r="F299" s="34">
        <f ca="1">IF(TODAY()&gt;=LOOKUP(C299,'QALS - Inspection Lot Record'!P:P,'QALS - Inspection Lot Record'!J:J)+RANDBETWEEN(0,1),LOOKUP(C299,'QALS - Inspection Lot Record'!P:P,'QALS - Inspection Lot Record'!J:J)+RANDBETWEEN(0,1),"")</f>
        <v>46006</v>
      </c>
      <c r="G299" s="41" t="s">
        <v>486</v>
      </c>
      <c r="H299" s="34">
        <v>45383</v>
      </c>
      <c r="I299" s="29" t="s">
        <v>495</v>
      </c>
    </row>
    <row r="300" spans="1:9" x14ac:dyDescent="0.35">
      <c r="A300" s="31">
        <v>200000648</v>
      </c>
      <c r="B300" s="31">
        <v>1010</v>
      </c>
      <c r="C300" s="31">
        <v>4272</v>
      </c>
      <c r="D300" s="29" t="str">
        <f>LOOKUP('CAPA-old'!C300,'QALS - Inspection Lot Record'!P:P,'QALS - Inspection Lot Record'!O:O)</f>
        <v>Ibuprofen Tablets (100 MG)</v>
      </c>
      <c r="E300" s="31">
        <v>21.1</v>
      </c>
      <c r="F300" s="34">
        <f ca="1">IF(TODAY()&gt;=LOOKUP(C300,'QALS - Inspection Lot Record'!P:P,'QALS - Inspection Lot Record'!J:J)+RANDBETWEEN(0,1),LOOKUP(C300,'QALS - Inspection Lot Record'!P:P,'QALS - Inspection Lot Record'!J:J)+RANDBETWEEN(0,1),"")</f>
        <v>46005</v>
      </c>
      <c r="G300" s="41" t="s">
        <v>483</v>
      </c>
      <c r="H300" s="34">
        <v>45383</v>
      </c>
      <c r="I300" s="29" t="s">
        <v>481</v>
      </c>
    </row>
    <row r="301" spans="1:9" x14ac:dyDescent="0.35">
      <c r="A301" s="31">
        <v>200000649</v>
      </c>
      <c r="B301" s="31">
        <v>1010</v>
      </c>
      <c r="C301" s="31">
        <v>4273</v>
      </c>
      <c r="D301" s="29" t="str">
        <f>LOOKUP('CAPA-old'!C301,'QALS - Inspection Lot Record'!P:P,'QALS - Inspection Lot Record'!O:O)</f>
        <v>Ibuprofen Tablets (100 MG)</v>
      </c>
      <c r="E301" s="31">
        <v>68.599999999999994</v>
      </c>
      <c r="F301" s="34">
        <f ca="1">IF(TODAY()&gt;=LOOKUP(C301,'QALS - Inspection Lot Record'!P:P,'QALS - Inspection Lot Record'!J:J)+RANDBETWEEN(0,1),LOOKUP(C301,'QALS - Inspection Lot Record'!P:P,'QALS - Inspection Lot Record'!J:J)+RANDBETWEEN(0,1),"")</f>
        <v>46007</v>
      </c>
      <c r="G301" s="41" t="s">
        <v>480</v>
      </c>
      <c r="H301" s="34">
        <v>45385</v>
      </c>
      <c r="I301" s="29" t="s">
        <v>477</v>
      </c>
    </row>
    <row r="302" spans="1:9" x14ac:dyDescent="0.35">
      <c r="A302" s="31">
        <v>200000650</v>
      </c>
      <c r="B302" s="31">
        <v>1010</v>
      </c>
      <c r="C302" s="31">
        <v>4277</v>
      </c>
      <c r="D302" s="29" t="str">
        <f>LOOKUP('CAPA-old'!C302,'QALS - Inspection Lot Record'!P:P,'QALS - Inspection Lot Record'!O:O)</f>
        <v>Metformin Tablets (100 MG)</v>
      </c>
      <c r="E302" s="31">
        <v>38.9</v>
      </c>
      <c r="F302" s="34">
        <f ca="1">IF(TODAY()&gt;=LOOKUP(C302,'QALS - Inspection Lot Record'!P:P,'QALS - Inspection Lot Record'!J:J)+RANDBETWEEN(0,1),LOOKUP(C302,'QALS - Inspection Lot Record'!P:P,'QALS - Inspection Lot Record'!J:J)+RANDBETWEEN(0,1),"")</f>
        <v>46008</v>
      </c>
      <c r="G302" s="41" t="s">
        <v>478</v>
      </c>
      <c r="H302" s="34">
        <v>45386</v>
      </c>
      <c r="I302" s="29" t="s">
        <v>475</v>
      </c>
    </row>
    <row r="303" spans="1:9" x14ac:dyDescent="0.35">
      <c r="A303" s="31">
        <v>200000650</v>
      </c>
      <c r="B303" s="31">
        <v>1010</v>
      </c>
      <c r="C303" s="31">
        <v>4277</v>
      </c>
      <c r="D303" s="29" t="str">
        <f>LOOKUP('CAPA-old'!C303,'QALS - Inspection Lot Record'!P:P,'QALS - Inspection Lot Record'!O:O)</f>
        <v>Metformin Tablets (100 MG)</v>
      </c>
      <c r="E303" s="31">
        <v>21.8</v>
      </c>
      <c r="F303" s="34">
        <f ca="1">IF(TODAY()&gt;=LOOKUP(C303,'QALS - Inspection Lot Record'!P:P,'QALS - Inspection Lot Record'!J:J)+RANDBETWEEN(0,1),LOOKUP(C303,'QALS - Inspection Lot Record'!P:P,'QALS - Inspection Lot Record'!J:J)+RANDBETWEEN(0,1),"")</f>
        <v>46008</v>
      </c>
      <c r="G303" s="41" t="s">
        <v>483</v>
      </c>
      <c r="H303" s="34">
        <v>45386</v>
      </c>
      <c r="I303" s="29" t="s">
        <v>484</v>
      </c>
    </row>
    <row r="304" spans="1:9" x14ac:dyDescent="0.35">
      <c r="A304" s="31">
        <v>200000651</v>
      </c>
      <c r="B304" s="31">
        <v>1010</v>
      </c>
      <c r="C304" s="31">
        <v>4278</v>
      </c>
      <c r="D304" s="29" t="str">
        <f>LOOKUP('CAPA-old'!C304,'QALS - Inspection Lot Record'!P:P,'QALS - Inspection Lot Record'!O:O)</f>
        <v>Metformin Tablets (500 MG)</v>
      </c>
      <c r="E304" s="31">
        <v>2</v>
      </c>
      <c r="F304" s="34">
        <f ca="1">IF(TODAY()&gt;=LOOKUP(C304,'QALS - Inspection Lot Record'!P:P,'QALS - Inspection Lot Record'!J:J)+RANDBETWEEN(0,1),LOOKUP(C304,'QALS - Inspection Lot Record'!P:P,'QALS - Inspection Lot Record'!J:J)+RANDBETWEEN(0,1),"")</f>
        <v>46009</v>
      </c>
      <c r="G304" s="41" t="s">
        <v>474</v>
      </c>
      <c r="H304" s="34">
        <v>45386</v>
      </c>
      <c r="I304" s="29" t="s">
        <v>485</v>
      </c>
    </row>
    <row r="305" spans="1:9" x14ac:dyDescent="0.35">
      <c r="A305" s="31">
        <v>200000651</v>
      </c>
      <c r="B305" s="31">
        <v>1010</v>
      </c>
      <c r="C305" s="31">
        <v>4278</v>
      </c>
      <c r="D305" s="29" t="str">
        <f>LOOKUP('CAPA-old'!C305,'QALS - Inspection Lot Record'!P:P,'QALS - Inspection Lot Record'!O:O)</f>
        <v>Metformin Tablets (500 MG)</v>
      </c>
      <c r="E305" s="31">
        <v>69</v>
      </c>
      <c r="F305" s="34">
        <f ca="1">IF(TODAY()&gt;=LOOKUP(C305,'QALS - Inspection Lot Record'!P:P,'QALS - Inspection Lot Record'!J:J)+RANDBETWEEN(0,1),LOOKUP(C305,'QALS - Inspection Lot Record'!P:P,'QALS - Inspection Lot Record'!J:J)+RANDBETWEEN(0,1),"")</f>
        <v>46009</v>
      </c>
      <c r="G305" s="41" t="s">
        <v>480</v>
      </c>
      <c r="H305" s="34">
        <v>45387</v>
      </c>
      <c r="I305" s="29" t="s">
        <v>477</v>
      </c>
    </row>
    <row r="306" spans="1:9" x14ac:dyDescent="0.35">
      <c r="A306" s="31">
        <v>200000651</v>
      </c>
      <c r="B306" s="31">
        <v>1010</v>
      </c>
      <c r="C306" s="31">
        <v>4278</v>
      </c>
      <c r="D306" s="29" t="str">
        <f>LOOKUP('CAPA-old'!C306,'QALS - Inspection Lot Record'!P:P,'QALS - Inspection Lot Record'!O:O)</f>
        <v>Metformin Tablets (500 MG)</v>
      </c>
      <c r="E306" s="31">
        <v>21.1</v>
      </c>
      <c r="F306" s="34">
        <f ca="1">IF(TODAY()&gt;=LOOKUP(C306,'QALS - Inspection Lot Record'!P:P,'QALS - Inspection Lot Record'!J:J)+RANDBETWEEN(0,1),LOOKUP(C306,'QALS - Inspection Lot Record'!P:P,'QALS - Inspection Lot Record'!J:J)+RANDBETWEEN(0,1),"")</f>
        <v>46009</v>
      </c>
      <c r="G306" s="41" t="s">
        <v>483</v>
      </c>
      <c r="H306" s="34">
        <v>45388</v>
      </c>
      <c r="I306" s="29" t="s">
        <v>481</v>
      </c>
    </row>
    <row r="307" spans="1:9" x14ac:dyDescent="0.35">
      <c r="A307" s="31">
        <v>200000652</v>
      </c>
      <c r="B307" s="31">
        <v>1010</v>
      </c>
      <c r="C307" s="31">
        <v>4281</v>
      </c>
      <c r="D307" s="29" t="str">
        <f>LOOKUP('CAPA-old'!C307,'QALS - Inspection Lot Record'!P:P,'QALS - Inspection Lot Record'!O:O)</f>
        <v>Aspirin Tablets (500 MG)</v>
      </c>
      <c r="E307" s="31">
        <v>93.9</v>
      </c>
      <c r="F307" s="34">
        <f ca="1">IF(TODAY()&gt;=LOOKUP(C307,'QALS - Inspection Lot Record'!P:P,'QALS - Inspection Lot Record'!J:J)+RANDBETWEEN(0,1),LOOKUP(C307,'QALS - Inspection Lot Record'!P:P,'QALS - Inspection Lot Record'!J:J)+RANDBETWEEN(0,1),"")</f>
        <v>46010</v>
      </c>
      <c r="G307" s="41" t="s">
        <v>472</v>
      </c>
      <c r="H307" s="34">
        <v>45389</v>
      </c>
      <c r="I307" s="29" t="s">
        <v>477</v>
      </c>
    </row>
    <row r="308" spans="1:9" x14ac:dyDescent="0.35">
      <c r="A308" s="31">
        <v>200000652</v>
      </c>
      <c r="B308" s="31">
        <v>1010</v>
      </c>
      <c r="C308" s="31">
        <v>4281</v>
      </c>
      <c r="D308" s="29" t="str">
        <f>LOOKUP('CAPA-old'!C308,'QALS - Inspection Lot Record'!P:P,'QALS - Inspection Lot Record'!O:O)</f>
        <v>Aspirin Tablets (500 MG)</v>
      </c>
      <c r="E308" s="31">
        <v>68.3</v>
      </c>
      <c r="F308" s="34">
        <f ca="1">IF(TODAY()&gt;=LOOKUP(C308,'QALS - Inspection Lot Record'!P:P,'QALS - Inspection Lot Record'!J:J)+RANDBETWEEN(0,1),LOOKUP(C308,'QALS - Inspection Lot Record'!P:P,'QALS - Inspection Lot Record'!J:J)+RANDBETWEEN(0,1),"")</f>
        <v>46010</v>
      </c>
      <c r="G308" s="41" t="s">
        <v>480</v>
      </c>
      <c r="H308" s="34">
        <v>45390</v>
      </c>
      <c r="I308" s="29" t="s">
        <v>497</v>
      </c>
    </row>
    <row r="309" spans="1:9" x14ac:dyDescent="0.35">
      <c r="A309" s="31">
        <v>200000652</v>
      </c>
      <c r="B309" s="31">
        <v>1010</v>
      </c>
      <c r="C309" s="31">
        <v>4281</v>
      </c>
      <c r="D309" s="29" t="str">
        <f>LOOKUP('CAPA-old'!C309,'QALS - Inspection Lot Record'!P:P,'QALS - Inspection Lot Record'!O:O)</f>
        <v>Aspirin Tablets (500 MG)</v>
      </c>
      <c r="E309" s="31">
        <v>21</v>
      </c>
      <c r="F309" s="34">
        <f ca="1">IF(TODAY()&gt;=LOOKUP(C309,'QALS - Inspection Lot Record'!P:P,'QALS - Inspection Lot Record'!J:J)+RANDBETWEEN(0,1),LOOKUP(C309,'QALS - Inspection Lot Record'!P:P,'QALS - Inspection Lot Record'!J:J)+RANDBETWEEN(0,1),"")</f>
        <v>46010</v>
      </c>
      <c r="G309" s="41" t="s">
        <v>483</v>
      </c>
      <c r="H309" s="34">
        <v>45387</v>
      </c>
      <c r="I309" s="29" t="s">
        <v>481</v>
      </c>
    </row>
    <row r="310" spans="1:9" x14ac:dyDescent="0.35">
      <c r="A310" s="31">
        <v>200000653</v>
      </c>
      <c r="B310" s="31">
        <v>1010</v>
      </c>
      <c r="C310" s="31">
        <v>4282</v>
      </c>
      <c r="D310" s="29" t="str">
        <f>LOOKUP('CAPA-old'!C310,'QALS - Inspection Lot Record'!P:P,'QALS - Inspection Lot Record'!O:O)</f>
        <v>Metformin Tablets (500 MG)</v>
      </c>
      <c r="E310" s="31">
        <v>2</v>
      </c>
      <c r="F310" s="34">
        <f ca="1">IF(TODAY()&gt;=LOOKUP(C310,'QALS - Inspection Lot Record'!P:P,'QALS - Inspection Lot Record'!J:J)+RANDBETWEEN(0,1),LOOKUP(C310,'QALS - Inspection Lot Record'!P:P,'QALS - Inspection Lot Record'!J:J)+RANDBETWEEN(0,1),"")</f>
        <v>46010</v>
      </c>
      <c r="G310" s="41" t="s">
        <v>474</v>
      </c>
      <c r="H310" s="34">
        <v>45388</v>
      </c>
      <c r="I310" s="29" t="s">
        <v>475</v>
      </c>
    </row>
    <row r="311" spans="1:9" x14ac:dyDescent="0.35">
      <c r="A311" s="31">
        <v>200000653</v>
      </c>
      <c r="B311" s="31">
        <v>1010</v>
      </c>
      <c r="C311" s="31">
        <v>4282</v>
      </c>
      <c r="D311" s="29" t="str">
        <f>LOOKUP('CAPA-old'!C311,'QALS - Inspection Lot Record'!P:P,'QALS - Inspection Lot Record'!O:O)</f>
        <v>Metformin Tablets (500 MG)</v>
      </c>
      <c r="E311" s="31">
        <v>78.400000000000006</v>
      </c>
      <c r="F311" s="34">
        <f ca="1">IF(TODAY()&gt;=LOOKUP(C311,'QALS - Inspection Lot Record'!P:P,'QALS - Inspection Lot Record'!J:J)+RANDBETWEEN(0,1),LOOKUP(C311,'QALS - Inspection Lot Record'!P:P,'QALS - Inspection Lot Record'!J:J)+RANDBETWEEN(0,1),"")</f>
        <v>46010</v>
      </c>
      <c r="G311" s="41" t="s">
        <v>486</v>
      </c>
      <c r="H311" s="34">
        <v>45390</v>
      </c>
      <c r="I311" s="29" t="s">
        <v>481</v>
      </c>
    </row>
    <row r="312" spans="1:9" x14ac:dyDescent="0.35">
      <c r="A312" s="31">
        <v>200000654</v>
      </c>
      <c r="B312" s="31">
        <v>1010</v>
      </c>
      <c r="C312" s="31">
        <v>4285</v>
      </c>
      <c r="D312" s="29" t="str">
        <f>LOOKUP('CAPA-old'!C312,'QALS - Inspection Lot Record'!P:P,'QALS - Inspection Lot Record'!O:O)</f>
        <v>Ibuprofen Tablets (100 MG)</v>
      </c>
      <c r="E312" s="31">
        <v>1.9</v>
      </c>
      <c r="F312" s="34">
        <f ca="1">IF(TODAY()&gt;=LOOKUP(C312,'QALS - Inspection Lot Record'!P:P,'QALS - Inspection Lot Record'!J:J)+RANDBETWEEN(0,1),LOOKUP(C312,'QALS - Inspection Lot Record'!P:P,'QALS - Inspection Lot Record'!J:J)+RANDBETWEEN(0,1),"")</f>
        <v>46013</v>
      </c>
      <c r="G312" s="41" t="s">
        <v>474</v>
      </c>
      <c r="H312" s="34">
        <v>45389</v>
      </c>
      <c r="I312" s="29" t="s">
        <v>484</v>
      </c>
    </row>
    <row r="313" spans="1:9" x14ac:dyDescent="0.35">
      <c r="A313" s="31">
        <v>200000654</v>
      </c>
      <c r="B313" s="31">
        <v>1010</v>
      </c>
      <c r="C313" s="31">
        <v>4285</v>
      </c>
      <c r="D313" s="29" t="str">
        <f>LOOKUP('CAPA-old'!C313,'QALS - Inspection Lot Record'!P:P,'QALS - Inspection Lot Record'!O:O)</f>
        <v>Ibuprofen Tablets (100 MG)</v>
      </c>
      <c r="E313" s="31">
        <v>68.099999999999994</v>
      </c>
      <c r="F313" s="34">
        <f ca="1">IF(TODAY()&gt;=LOOKUP(C313,'QALS - Inspection Lot Record'!P:P,'QALS - Inspection Lot Record'!J:J)+RANDBETWEEN(0,1),LOOKUP(C313,'QALS - Inspection Lot Record'!P:P,'QALS - Inspection Lot Record'!J:J)+RANDBETWEEN(0,1),"")</f>
        <v>46012</v>
      </c>
      <c r="G313" s="41" t="s">
        <v>480</v>
      </c>
      <c r="H313" s="34">
        <v>45392</v>
      </c>
      <c r="I313" s="29" t="s">
        <v>477</v>
      </c>
    </row>
    <row r="314" spans="1:9" x14ac:dyDescent="0.35">
      <c r="A314" s="31">
        <v>200000654</v>
      </c>
      <c r="B314" s="31">
        <v>1010</v>
      </c>
      <c r="C314" s="31">
        <v>4285</v>
      </c>
      <c r="D314" s="29" t="str">
        <f>LOOKUP('CAPA-old'!C314,'QALS - Inspection Lot Record'!P:P,'QALS - Inspection Lot Record'!O:O)</f>
        <v>Ibuprofen Tablets (100 MG)</v>
      </c>
      <c r="E314" s="31">
        <v>78</v>
      </c>
      <c r="F314" s="34">
        <f ca="1">IF(TODAY()&gt;=LOOKUP(C314,'QALS - Inspection Lot Record'!P:P,'QALS - Inspection Lot Record'!J:J)+RANDBETWEEN(0,1),LOOKUP(C314,'QALS - Inspection Lot Record'!P:P,'QALS - Inspection Lot Record'!J:J)+RANDBETWEEN(0,1),"")</f>
        <v>46012</v>
      </c>
      <c r="G314" s="41" t="s">
        <v>486</v>
      </c>
      <c r="H314" s="34">
        <v>45389</v>
      </c>
      <c r="I314" s="29" t="s">
        <v>495</v>
      </c>
    </row>
    <row r="315" spans="1:9" x14ac:dyDescent="0.35">
      <c r="A315" s="31">
        <v>200000655</v>
      </c>
      <c r="B315" s="31">
        <v>1010</v>
      </c>
      <c r="C315" s="31">
        <v>4286</v>
      </c>
      <c r="D315" s="29" t="str">
        <f>LOOKUP('CAPA-old'!C315,'QALS - Inspection Lot Record'!P:P,'QALS - Inspection Lot Record'!O:O)</f>
        <v>Aspirin Tablets (500 MG)</v>
      </c>
      <c r="E315" s="31">
        <v>94</v>
      </c>
      <c r="F315" s="34">
        <f ca="1">IF(TODAY()&gt;=LOOKUP(C315,'QALS - Inspection Lot Record'!P:P,'QALS - Inspection Lot Record'!J:J)+RANDBETWEEN(0,1),LOOKUP(C315,'QALS - Inspection Lot Record'!P:P,'QALS - Inspection Lot Record'!J:J)+RANDBETWEEN(0,1),"")</f>
        <v>46013</v>
      </c>
      <c r="G315" s="41" t="s">
        <v>472</v>
      </c>
      <c r="H315" s="34">
        <v>45390</v>
      </c>
      <c r="I315" s="29" t="s">
        <v>475</v>
      </c>
    </row>
    <row r="316" spans="1:9" x14ac:dyDescent="0.35">
      <c r="A316" s="31">
        <v>200000655</v>
      </c>
      <c r="B316" s="31">
        <v>1010</v>
      </c>
      <c r="C316" s="31">
        <v>4286</v>
      </c>
      <c r="D316" s="29" t="str">
        <f>LOOKUP('CAPA-old'!C316,'QALS - Inspection Lot Record'!P:P,'QALS - Inspection Lot Record'!O:O)</f>
        <v>Aspirin Tablets (500 MG)</v>
      </c>
      <c r="E316" s="31">
        <v>3</v>
      </c>
      <c r="F316" s="34">
        <f ca="1">IF(TODAY()&gt;=LOOKUP(C316,'QALS - Inspection Lot Record'!P:P,'QALS - Inspection Lot Record'!J:J)+RANDBETWEEN(0,1),LOOKUP(C316,'QALS - Inspection Lot Record'!P:P,'QALS - Inspection Lot Record'!J:J)+RANDBETWEEN(0,1),"")</f>
        <v>46013</v>
      </c>
      <c r="G316" s="41" t="s">
        <v>476</v>
      </c>
      <c r="H316" s="34">
        <v>45391</v>
      </c>
      <c r="I316" s="29" t="s">
        <v>492</v>
      </c>
    </row>
    <row r="317" spans="1:9" x14ac:dyDescent="0.35">
      <c r="A317" s="31">
        <v>200000656</v>
      </c>
      <c r="B317" s="31">
        <v>1010</v>
      </c>
      <c r="C317" s="31">
        <v>4289</v>
      </c>
      <c r="D317" s="29" t="str">
        <f>LOOKUP('CAPA-old'!C317,'QALS - Inspection Lot Record'!P:P,'QALS - Inspection Lot Record'!O:O)</f>
        <v>Ibuprofen Tablets (100 MG)</v>
      </c>
      <c r="E317" s="31">
        <v>93.1</v>
      </c>
      <c r="F317" s="34">
        <f ca="1">IF(TODAY()&gt;=LOOKUP(C317,'QALS - Inspection Lot Record'!P:P,'QALS - Inspection Lot Record'!J:J)+RANDBETWEEN(0,1),LOOKUP(C317,'QALS - Inspection Lot Record'!P:P,'QALS - Inspection Lot Record'!J:J)+RANDBETWEEN(0,1),"")</f>
        <v>46015</v>
      </c>
      <c r="G317" s="41" t="s">
        <v>472</v>
      </c>
      <c r="H317" s="34">
        <v>45394</v>
      </c>
      <c r="I317" s="29" t="s">
        <v>482</v>
      </c>
    </row>
    <row r="318" spans="1:9" x14ac:dyDescent="0.35">
      <c r="A318" s="31">
        <v>200000656</v>
      </c>
      <c r="B318" s="31">
        <v>1010</v>
      </c>
      <c r="C318" s="31">
        <v>4289</v>
      </c>
      <c r="D318" s="29" t="str">
        <f>LOOKUP('CAPA-old'!C318,'QALS - Inspection Lot Record'!P:P,'QALS - Inspection Lot Record'!O:O)</f>
        <v>Ibuprofen Tablets (100 MG)</v>
      </c>
      <c r="E318" s="31">
        <v>2.2999999999999998</v>
      </c>
      <c r="F318" s="34">
        <f ca="1">IF(TODAY()&gt;=LOOKUP(C318,'QALS - Inspection Lot Record'!P:P,'QALS - Inspection Lot Record'!J:J)+RANDBETWEEN(0,1),LOOKUP(C318,'QALS - Inspection Lot Record'!P:P,'QALS - Inspection Lot Record'!J:J)+RANDBETWEEN(0,1),"")</f>
        <v>46014</v>
      </c>
      <c r="G318" s="41" t="s">
        <v>474</v>
      </c>
      <c r="H318" s="34">
        <v>45391</v>
      </c>
      <c r="I318" s="29" t="s">
        <v>485</v>
      </c>
    </row>
    <row r="319" spans="1:9" x14ac:dyDescent="0.35">
      <c r="A319" s="31">
        <v>200000657</v>
      </c>
      <c r="B319" s="31">
        <v>1010</v>
      </c>
      <c r="C319" s="31">
        <v>4290</v>
      </c>
      <c r="D319" s="29" t="str">
        <f>LOOKUP('CAPA-old'!C319,'QALS - Inspection Lot Record'!P:P,'QALS - Inspection Lot Record'!O:O)</f>
        <v>Ibuprofen Tablets (100 MG)</v>
      </c>
      <c r="E319" s="31">
        <v>93.7</v>
      </c>
      <c r="F319" s="34">
        <f ca="1">IF(TODAY()&gt;=LOOKUP(C319,'QALS - Inspection Lot Record'!P:P,'QALS - Inspection Lot Record'!J:J)+RANDBETWEEN(0,1),LOOKUP(C319,'QALS - Inspection Lot Record'!P:P,'QALS - Inspection Lot Record'!J:J)+RANDBETWEEN(0,1),"")</f>
        <v>46014</v>
      </c>
      <c r="G319" s="41" t="s">
        <v>472</v>
      </c>
      <c r="H319" s="34">
        <v>45391</v>
      </c>
      <c r="I319" s="29" t="s">
        <v>484</v>
      </c>
    </row>
    <row r="320" spans="1:9" x14ac:dyDescent="0.35">
      <c r="A320" s="31">
        <v>200000657</v>
      </c>
      <c r="B320" s="31">
        <v>1010</v>
      </c>
      <c r="C320" s="31">
        <v>4290</v>
      </c>
      <c r="D320" s="29" t="str">
        <f>LOOKUP('CAPA-old'!C320,'QALS - Inspection Lot Record'!P:P,'QALS - Inspection Lot Record'!O:O)</f>
        <v>Ibuprofen Tablets (100 MG)</v>
      </c>
      <c r="E320" s="31">
        <v>68.400000000000006</v>
      </c>
      <c r="F320" s="34">
        <f ca="1">IF(TODAY()&gt;=LOOKUP(C320,'QALS - Inspection Lot Record'!P:P,'QALS - Inspection Lot Record'!J:J)+RANDBETWEEN(0,1),LOOKUP(C320,'QALS - Inspection Lot Record'!P:P,'QALS - Inspection Lot Record'!J:J)+RANDBETWEEN(0,1),"")</f>
        <v>46015</v>
      </c>
      <c r="G320" s="41" t="s">
        <v>480</v>
      </c>
      <c r="H320" s="34">
        <v>45394</v>
      </c>
      <c r="I320" s="29" t="s">
        <v>484</v>
      </c>
    </row>
    <row r="321" spans="1:9" x14ac:dyDescent="0.35">
      <c r="A321" s="31">
        <v>200000657</v>
      </c>
      <c r="B321" s="31">
        <v>1010</v>
      </c>
      <c r="C321" s="31">
        <v>4290</v>
      </c>
      <c r="D321" s="29" t="str">
        <f>LOOKUP('CAPA-old'!C321,'QALS - Inspection Lot Record'!P:P,'QALS - Inspection Lot Record'!O:O)</f>
        <v>Ibuprofen Tablets (100 MG)</v>
      </c>
      <c r="E321" s="31">
        <v>78.2</v>
      </c>
      <c r="F321" s="34">
        <f ca="1">IF(TODAY()&gt;=LOOKUP(C321,'QALS - Inspection Lot Record'!P:P,'QALS - Inspection Lot Record'!J:J)+RANDBETWEEN(0,1),LOOKUP(C321,'QALS - Inspection Lot Record'!P:P,'QALS - Inspection Lot Record'!J:J)+RANDBETWEEN(0,1),"")</f>
        <v>46015</v>
      </c>
      <c r="G321" s="41" t="s">
        <v>486</v>
      </c>
      <c r="H321" s="34">
        <v>45392</v>
      </c>
      <c r="I321" s="29" t="s">
        <v>488</v>
      </c>
    </row>
    <row r="322" spans="1:9" x14ac:dyDescent="0.35">
      <c r="A322" s="31">
        <v>200000658</v>
      </c>
      <c r="B322" s="31">
        <v>1010</v>
      </c>
      <c r="C322" s="31">
        <v>4293</v>
      </c>
      <c r="D322" s="29" t="str">
        <f>LOOKUP('CAPA-old'!C322,'QALS - Inspection Lot Record'!P:P,'QALS - Inspection Lot Record'!O:O)</f>
        <v>Metformin Tablets (500 MG)</v>
      </c>
      <c r="E322" s="31">
        <v>1.5</v>
      </c>
      <c r="F322" s="34">
        <f ca="1">IF(TODAY()&gt;=LOOKUP(C322,'QALS - Inspection Lot Record'!P:P,'QALS - Inspection Lot Record'!J:J)+RANDBETWEEN(0,1),LOOKUP(C322,'QALS - Inspection Lot Record'!P:P,'QALS - Inspection Lot Record'!J:J)+RANDBETWEEN(0,1),"")</f>
        <v>46016</v>
      </c>
      <c r="G322" s="41" t="s">
        <v>474</v>
      </c>
      <c r="H322" s="34">
        <v>45395</v>
      </c>
      <c r="I322" s="29" t="s">
        <v>481</v>
      </c>
    </row>
    <row r="323" spans="1:9" x14ac:dyDescent="0.35">
      <c r="A323" s="31">
        <v>200000658</v>
      </c>
      <c r="B323" s="31">
        <v>1010</v>
      </c>
      <c r="C323" s="31">
        <v>4293</v>
      </c>
      <c r="D323" s="29" t="str">
        <f>LOOKUP('CAPA-old'!C323,'QALS - Inspection Lot Record'!P:P,'QALS - Inspection Lot Record'!O:O)</f>
        <v>Metformin Tablets (500 MG)</v>
      </c>
      <c r="E323" s="31">
        <v>38</v>
      </c>
      <c r="F323" s="34">
        <f ca="1">IF(TODAY()&gt;=LOOKUP(C323,'QALS - Inspection Lot Record'!P:P,'QALS - Inspection Lot Record'!J:J)+RANDBETWEEN(0,1),LOOKUP(C323,'QALS - Inspection Lot Record'!P:P,'QALS - Inspection Lot Record'!J:J)+RANDBETWEEN(0,1),"")</f>
        <v>46017</v>
      </c>
      <c r="G323" s="41" t="s">
        <v>478</v>
      </c>
      <c r="H323" s="34">
        <v>45395</v>
      </c>
      <c r="I323" s="29" t="s">
        <v>479</v>
      </c>
    </row>
    <row r="324" spans="1:9" x14ac:dyDescent="0.35">
      <c r="A324" s="31">
        <v>200000659</v>
      </c>
      <c r="B324" s="31">
        <v>1010</v>
      </c>
      <c r="C324" s="31">
        <v>4294</v>
      </c>
      <c r="D324" s="29" t="str">
        <f>LOOKUP('CAPA-old'!C324,'QALS - Inspection Lot Record'!P:P,'QALS - Inspection Lot Record'!O:O)</f>
        <v>Metformin Tablets (500 MG)</v>
      </c>
      <c r="E324" s="31">
        <v>94</v>
      </c>
      <c r="F324" s="34">
        <f ca="1">IF(TODAY()&gt;=LOOKUP(C324,'QALS - Inspection Lot Record'!P:P,'QALS - Inspection Lot Record'!J:J)+RANDBETWEEN(0,1),LOOKUP(C324,'QALS - Inspection Lot Record'!P:P,'QALS - Inspection Lot Record'!J:J)+RANDBETWEEN(0,1),"")</f>
        <v>46016</v>
      </c>
      <c r="G324" s="41" t="s">
        <v>472</v>
      </c>
      <c r="H324" s="34">
        <v>45396</v>
      </c>
      <c r="I324" s="29" t="s">
        <v>481</v>
      </c>
    </row>
    <row r="325" spans="1:9" x14ac:dyDescent="0.35">
      <c r="A325" s="31">
        <v>200000659</v>
      </c>
      <c r="B325" s="31">
        <v>1010</v>
      </c>
      <c r="C325" s="31">
        <v>4294</v>
      </c>
      <c r="D325" s="29" t="str">
        <f>LOOKUP('CAPA-old'!C325,'QALS - Inspection Lot Record'!P:P,'QALS - Inspection Lot Record'!O:O)</f>
        <v>Metformin Tablets (500 MG)</v>
      </c>
      <c r="E325" s="31">
        <v>2</v>
      </c>
      <c r="F325" s="34">
        <f ca="1">IF(TODAY()&gt;=LOOKUP(C325,'QALS - Inspection Lot Record'!P:P,'QALS - Inspection Lot Record'!J:J)+RANDBETWEEN(0,1),LOOKUP(C325,'QALS - Inspection Lot Record'!P:P,'QALS - Inspection Lot Record'!J:J)+RANDBETWEEN(0,1),"")</f>
        <v>46017</v>
      </c>
      <c r="G325" s="41" t="s">
        <v>474</v>
      </c>
      <c r="H325" s="34">
        <v>45395</v>
      </c>
      <c r="I325" s="29" t="s">
        <v>485</v>
      </c>
    </row>
    <row r="326" spans="1:9" x14ac:dyDescent="0.35">
      <c r="A326" s="31">
        <v>200000659</v>
      </c>
      <c r="B326" s="31">
        <v>1010</v>
      </c>
      <c r="C326" s="31">
        <v>4294</v>
      </c>
      <c r="D326" s="29" t="str">
        <f>LOOKUP('CAPA-old'!C326,'QALS - Inspection Lot Record'!P:P,'QALS - Inspection Lot Record'!O:O)</f>
        <v>Metformin Tablets (500 MG)</v>
      </c>
      <c r="E326" s="31">
        <v>2.2000000000000002</v>
      </c>
      <c r="F326" s="34">
        <f ca="1">IF(TODAY()&gt;=LOOKUP(C326,'QALS - Inspection Lot Record'!P:P,'QALS - Inspection Lot Record'!J:J)+RANDBETWEEN(0,1),LOOKUP(C326,'QALS - Inspection Lot Record'!P:P,'QALS - Inspection Lot Record'!J:J)+RANDBETWEEN(0,1),"")</f>
        <v>46017</v>
      </c>
      <c r="G326" s="41" t="s">
        <v>476</v>
      </c>
      <c r="H326" s="34">
        <v>45394</v>
      </c>
      <c r="I326" s="29" t="s">
        <v>493</v>
      </c>
    </row>
    <row r="327" spans="1:9" x14ac:dyDescent="0.35">
      <c r="A327" s="31">
        <v>200000659</v>
      </c>
      <c r="B327" s="31">
        <v>1010</v>
      </c>
      <c r="C327" s="31">
        <v>4294</v>
      </c>
      <c r="D327" s="29" t="str">
        <f>LOOKUP('CAPA-old'!C327,'QALS - Inspection Lot Record'!P:P,'QALS - Inspection Lot Record'!O:O)</f>
        <v>Metformin Tablets (500 MG)</v>
      </c>
      <c r="E327" s="31">
        <v>78.2</v>
      </c>
      <c r="F327" s="34">
        <f ca="1">IF(TODAY()&gt;=LOOKUP(C327,'QALS - Inspection Lot Record'!P:P,'QALS - Inspection Lot Record'!J:J)+RANDBETWEEN(0,1),LOOKUP(C327,'QALS - Inspection Lot Record'!P:P,'QALS - Inspection Lot Record'!J:J)+RANDBETWEEN(0,1),"")</f>
        <v>46017</v>
      </c>
      <c r="G327" s="41" t="s">
        <v>486</v>
      </c>
      <c r="H327" s="34">
        <v>45395</v>
      </c>
      <c r="I327" s="29" t="s">
        <v>495</v>
      </c>
    </row>
    <row r="328" spans="1:9" x14ac:dyDescent="0.35">
      <c r="A328" s="31">
        <v>200000660</v>
      </c>
      <c r="B328" s="31">
        <v>1010</v>
      </c>
      <c r="C328" s="31">
        <v>4297</v>
      </c>
      <c r="D328" s="29" t="str">
        <f>LOOKUP('CAPA-old'!C328,'QALS - Inspection Lot Record'!P:P,'QALS - Inspection Lot Record'!O:O)</f>
        <v>Metformin Tablets (200 MG)</v>
      </c>
      <c r="E328" s="31">
        <v>5</v>
      </c>
      <c r="F328" s="34">
        <f ca="1">IF(TODAY()&gt;=LOOKUP(C328,'QALS - Inspection Lot Record'!P:P,'QALS - Inspection Lot Record'!J:J)+RANDBETWEEN(0,1),LOOKUP(C328,'QALS - Inspection Lot Record'!P:P,'QALS - Inspection Lot Record'!J:J)+RANDBETWEEN(0,1),"")</f>
        <v>46019</v>
      </c>
      <c r="G328" s="41" t="s">
        <v>474</v>
      </c>
      <c r="H328" s="34">
        <v>45397</v>
      </c>
      <c r="I328" s="29" t="s">
        <v>485</v>
      </c>
    </row>
    <row r="329" spans="1:9" x14ac:dyDescent="0.35">
      <c r="A329" s="31">
        <v>200000660</v>
      </c>
      <c r="B329" s="31">
        <v>1010</v>
      </c>
      <c r="C329" s="31">
        <v>4297</v>
      </c>
      <c r="D329" s="29" t="str">
        <f>LOOKUP('CAPA-old'!C329,'QALS - Inspection Lot Record'!P:P,'QALS - Inspection Lot Record'!O:O)</f>
        <v>Metformin Tablets (200 MG)</v>
      </c>
      <c r="E329" s="31">
        <v>2.1</v>
      </c>
      <c r="F329" s="34">
        <f ca="1">IF(TODAY()&gt;=LOOKUP(C329,'QALS - Inspection Lot Record'!P:P,'QALS - Inspection Lot Record'!J:J)+RANDBETWEEN(0,1),LOOKUP(C329,'QALS - Inspection Lot Record'!P:P,'QALS - Inspection Lot Record'!J:J)+RANDBETWEEN(0,1),"")</f>
        <v>46018</v>
      </c>
      <c r="G329" s="41" t="s">
        <v>476</v>
      </c>
      <c r="H329" s="34">
        <v>45396</v>
      </c>
      <c r="I329" s="29" t="s">
        <v>477</v>
      </c>
    </row>
    <row r="330" spans="1:9" x14ac:dyDescent="0.35">
      <c r="A330" s="31">
        <v>200000660</v>
      </c>
      <c r="B330" s="31">
        <v>1010</v>
      </c>
      <c r="C330" s="31">
        <v>4297</v>
      </c>
      <c r="D330" s="29" t="str">
        <f>LOOKUP('CAPA-old'!C330,'QALS - Inspection Lot Record'!P:P,'QALS - Inspection Lot Record'!O:O)</f>
        <v>Metformin Tablets (200 MG)</v>
      </c>
      <c r="E330" s="31">
        <v>90</v>
      </c>
      <c r="F330" s="34">
        <f ca="1">IF(TODAY()&gt;=LOOKUP(C330,'QALS - Inspection Lot Record'!P:P,'QALS - Inspection Lot Record'!J:J)+RANDBETWEEN(0,1),LOOKUP(C330,'QALS - Inspection Lot Record'!P:P,'QALS - Inspection Lot Record'!J:J)+RANDBETWEEN(0,1),"")</f>
        <v>46019</v>
      </c>
      <c r="G330" s="41" t="s">
        <v>501</v>
      </c>
      <c r="H330" s="34">
        <v>45395</v>
      </c>
      <c r="I330" s="29" t="s">
        <v>490</v>
      </c>
    </row>
    <row r="331" spans="1:9" x14ac:dyDescent="0.35">
      <c r="A331" s="31">
        <v>200000660</v>
      </c>
      <c r="B331" s="31">
        <v>1010</v>
      </c>
      <c r="C331" s="31">
        <v>4297</v>
      </c>
      <c r="D331" s="29" t="str">
        <f>LOOKUP('CAPA-old'!C331,'QALS - Inspection Lot Record'!P:P,'QALS - Inspection Lot Record'!O:O)</f>
        <v>Metformin Tablets (200 MG)</v>
      </c>
      <c r="E331" s="31">
        <v>100</v>
      </c>
      <c r="F331" s="34">
        <f ca="1">IF(TODAY()&gt;=LOOKUP(C331,'QALS - Inspection Lot Record'!P:P,'QALS - Inspection Lot Record'!J:J)+RANDBETWEEN(0,1),LOOKUP(C331,'QALS - Inspection Lot Record'!P:P,'QALS - Inspection Lot Record'!J:J)+RANDBETWEEN(0,1),"")</f>
        <v>46019</v>
      </c>
      <c r="G331" s="41" t="s">
        <v>502</v>
      </c>
      <c r="H331" s="34">
        <v>45396</v>
      </c>
      <c r="I331" s="29" t="s">
        <v>495</v>
      </c>
    </row>
    <row r="332" spans="1:9" x14ac:dyDescent="0.35">
      <c r="A332" s="31">
        <v>200000661</v>
      </c>
      <c r="B332" s="31">
        <v>1010</v>
      </c>
      <c r="C332" s="31">
        <v>4298</v>
      </c>
      <c r="D332" s="29" t="str">
        <f>LOOKUP('CAPA-old'!C332,'QALS - Inspection Lot Record'!P:P,'QALS - Inspection Lot Record'!O:O)</f>
        <v>Aspirin Tablets (500 MG)</v>
      </c>
      <c r="E332" s="31">
        <v>38.9</v>
      </c>
      <c r="F332" s="34">
        <f ca="1">IF(TODAY()&gt;=LOOKUP(C332,'QALS - Inspection Lot Record'!P:P,'QALS - Inspection Lot Record'!J:J)+RANDBETWEEN(0,1),LOOKUP(C332,'QALS - Inspection Lot Record'!P:P,'QALS - Inspection Lot Record'!J:J)+RANDBETWEEN(0,1),"")</f>
        <v>46018</v>
      </c>
      <c r="G332" s="41" t="s">
        <v>478</v>
      </c>
      <c r="H332" s="34">
        <v>45397</v>
      </c>
      <c r="I332" s="29" t="s">
        <v>491</v>
      </c>
    </row>
    <row r="333" spans="1:9" x14ac:dyDescent="0.35">
      <c r="A333" s="31">
        <v>200000661</v>
      </c>
      <c r="B333" s="31">
        <v>1010</v>
      </c>
      <c r="C333" s="31">
        <v>4298</v>
      </c>
      <c r="D333" s="29" t="str">
        <f>LOOKUP('CAPA-old'!C333,'QALS - Inspection Lot Record'!P:P,'QALS - Inspection Lot Record'!O:O)</f>
        <v>Aspirin Tablets (500 MG)</v>
      </c>
      <c r="E333" s="31">
        <v>68.8</v>
      </c>
      <c r="F333" s="34">
        <f ca="1">IF(TODAY()&gt;=LOOKUP(C333,'QALS - Inspection Lot Record'!P:P,'QALS - Inspection Lot Record'!J:J)+RANDBETWEEN(0,1),LOOKUP(C333,'QALS - Inspection Lot Record'!P:P,'QALS - Inspection Lot Record'!J:J)+RANDBETWEEN(0,1),"")</f>
        <v>46019</v>
      </c>
      <c r="G333" s="41" t="s">
        <v>480</v>
      </c>
      <c r="H333" s="34">
        <v>45396</v>
      </c>
      <c r="I333" s="29" t="s">
        <v>490</v>
      </c>
    </row>
    <row r="334" spans="1:9" x14ac:dyDescent="0.35">
      <c r="A334" s="31">
        <v>200000661</v>
      </c>
      <c r="B334" s="31">
        <v>1010</v>
      </c>
      <c r="C334" s="31">
        <v>4298</v>
      </c>
      <c r="D334" s="29" t="str">
        <f>LOOKUP('CAPA-old'!C334,'QALS - Inspection Lot Record'!P:P,'QALS - Inspection Lot Record'!O:O)</f>
        <v>Aspirin Tablets (500 MG)</v>
      </c>
      <c r="E334" s="31">
        <v>78</v>
      </c>
      <c r="F334" s="34">
        <f ca="1">IF(TODAY()&gt;=LOOKUP(C334,'QALS - Inspection Lot Record'!P:P,'QALS - Inspection Lot Record'!J:J)+RANDBETWEEN(0,1),LOOKUP(C334,'QALS - Inspection Lot Record'!P:P,'QALS - Inspection Lot Record'!J:J)+RANDBETWEEN(0,1),"")</f>
        <v>46019</v>
      </c>
      <c r="G334" s="41" t="s">
        <v>486</v>
      </c>
      <c r="H334" s="34">
        <v>45398</v>
      </c>
      <c r="I334" s="29" t="s">
        <v>488</v>
      </c>
    </row>
    <row r="335" spans="1:9" x14ac:dyDescent="0.35">
      <c r="A335" s="31">
        <v>200000662</v>
      </c>
      <c r="B335" s="31">
        <v>1010</v>
      </c>
      <c r="C335" s="31">
        <v>4303</v>
      </c>
      <c r="D335" s="29" t="str">
        <f>LOOKUP('CAPA-old'!C335,'QALS - Inspection Lot Record'!P:P,'QALS - Inspection Lot Record'!O:O)</f>
        <v>Metformin Tablets (200 MG)</v>
      </c>
      <c r="E335" s="31">
        <v>4.4000000000000004</v>
      </c>
      <c r="F335" s="34">
        <f ca="1">IF(TODAY()&gt;=LOOKUP(C335,'QALS - Inspection Lot Record'!P:P,'QALS - Inspection Lot Record'!J:J)+RANDBETWEEN(0,1),LOOKUP(C335,'QALS - Inspection Lot Record'!P:P,'QALS - Inspection Lot Record'!J:J)+RANDBETWEEN(0,1),"")</f>
        <v>46021</v>
      </c>
      <c r="G335" s="41" t="s">
        <v>474</v>
      </c>
      <c r="H335" s="34">
        <v>45400</v>
      </c>
      <c r="I335" s="29" t="s">
        <v>475</v>
      </c>
    </row>
    <row r="336" spans="1:9" x14ac:dyDescent="0.35">
      <c r="A336" s="31">
        <v>200000662</v>
      </c>
      <c r="B336" s="31">
        <v>1010</v>
      </c>
      <c r="C336" s="31">
        <v>4303</v>
      </c>
      <c r="D336" s="29" t="str">
        <f>LOOKUP('CAPA-old'!C336,'QALS - Inspection Lot Record'!P:P,'QALS - Inspection Lot Record'!O:O)</f>
        <v>Metformin Tablets (200 MG)</v>
      </c>
      <c r="E336" s="31">
        <v>69</v>
      </c>
      <c r="F336" s="34">
        <f ca="1">IF(TODAY()&gt;=LOOKUP(C336,'QALS - Inspection Lot Record'!P:P,'QALS - Inspection Lot Record'!J:J)+RANDBETWEEN(0,1),LOOKUP(C336,'QALS - Inspection Lot Record'!P:P,'QALS - Inspection Lot Record'!J:J)+RANDBETWEEN(0,1),"")</f>
        <v>46021</v>
      </c>
      <c r="G336" s="41" t="s">
        <v>480</v>
      </c>
      <c r="H336" s="34">
        <v>45401</v>
      </c>
      <c r="I336" s="29" t="s">
        <v>484</v>
      </c>
    </row>
    <row r="337" spans="1:9" x14ac:dyDescent="0.35">
      <c r="A337" s="31">
        <v>200000662</v>
      </c>
      <c r="B337" s="31">
        <v>1010</v>
      </c>
      <c r="C337" s="31">
        <v>4303</v>
      </c>
      <c r="D337" s="29" t="str">
        <f>LOOKUP('CAPA-old'!C337,'QALS - Inspection Lot Record'!P:P,'QALS - Inspection Lot Record'!O:O)</f>
        <v>Metformin Tablets (200 MG)</v>
      </c>
      <c r="E337" s="31">
        <v>78.7</v>
      </c>
      <c r="F337" s="34">
        <f ca="1">IF(TODAY()&gt;=LOOKUP(C337,'QALS - Inspection Lot Record'!P:P,'QALS - Inspection Lot Record'!J:J)+RANDBETWEEN(0,1),LOOKUP(C337,'QALS - Inspection Lot Record'!P:P,'QALS - Inspection Lot Record'!J:J)+RANDBETWEEN(0,1),"")</f>
        <v>46022</v>
      </c>
      <c r="G337" s="41" t="s">
        <v>486</v>
      </c>
      <c r="H337" s="34">
        <v>45398</v>
      </c>
      <c r="I337" s="29" t="s">
        <v>477</v>
      </c>
    </row>
    <row r="338" spans="1:9" x14ac:dyDescent="0.35">
      <c r="A338" s="31">
        <v>200000663</v>
      </c>
      <c r="B338" s="31">
        <v>1010</v>
      </c>
      <c r="C338" s="31">
        <v>4304</v>
      </c>
      <c r="D338" s="29" t="str">
        <f>LOOKUP('CAPA-old'!C338,'QALS - Inspection Lot Record'!P:P,'QALS - Inspection Lot Record'!O:O)</f>
        <v>Aspirin Tablets (500 MG)</v>
      </c>
      <c r="E338" s="31">
        <v>94</v>
      </c>
      <c r="F338" s="34">
        <f ca="1">IF(TODAY()&gt;=LOOKUP(C338,'QALS - Inspection Lot Record'!P:P,'QALS - Inspection Lot Record'!J:J)+RANDBETWEEN(0,1),LOOKUP(C338,'QALS - Inspection Lot Record'!P:P,'QALS - Inspection Lot Record'!J:J)+RANDBETWEEN(0,1),"")</f>
        <v>46022</v>
      </c>
      <c r="G338" s="41" t="s">
        <v>472</v>
      </c>
      <c r="H338" s="34">
        <v>45399</v>
      </c>
      <c r="I338" s="29" t="s">
        <v>481</v>
      </c>
    </row>
    <row r="339" spans="1:9" x14ac:dyDescent="0.35">
      <c r="A339" s="31">
        <v>200000663</v>
      </c>
      <c r="B339" s="31">
        <v>1010</v>
      </c>
      <c r="C339" s="31">
        <v>4304</v>
      </c>
      <c r="D339" s="29" t="str">
        <f>LOOKUP('CAPA-old'!C339,'QALS - Inspection Lot Record'!P:P,'QALS - Inspection Lot Record'!O:O)</f>
        <v>Aspirin Tablets (500 MG)</v>
      </c>
      <c r="E339" s="31">
        <v>38</v>
      </c>
      <c r="F339" s="34">
        <f ca="1">IF(TODAY()&gt;=LOOKUP(C339,'QALS - Inspection Lot Record'!P:P,'QALS - Inspection Lot Record'!J:J)+RANDBETWEEN(0,1),LOOKUP(C339,'QALS - Inspection Lot Record'!P:P,'QALS - Inspection Lot Record'!J:J)+RANDBETWEEN(0,1),"")</f>
        <v>46022</v>
      </c>
      <c r="G339" s="41" t="s">
        <v>478</v>
      </c>
      <c r="H339" s="34">
        <v>45401</v>
      </c>
      <c r="I339" s="29" t="s">
        <v>481</v>
      </c>
    </row>
    <row r="340" spans="1:9" x14ac:dyDescent="0.35">
      <c r="A340" s="31">
        <v>200000663</v>
      </c>
      <c r="B340" s="31">
        <v>1010</v>
      </c>
      <c r="C340" s="31">
        <v>4304</v>
      </c>
      <c r="D340" s="29" t="str">
        <f>LOOKUP('CAPA-old'!C340,'QALS - Inspection Lot Record'!P:P,'QALS - Inspection Lot Record'!O:O)</f>
        <v>Aspirin Tablets (500 MG)</v>
      </c>
      <c r="E340" s="31">
        <v>68.7</v>
      </c>
      <c r="F340" s="34">
        <f ca="1">IF(TODAY()&gt;=LOOKUP(C340,'QALS - Inspection Lot Record'!P:P,'QALS - Inspection Lot Record'!J:J)+RANDBETWEEN(0,1),LOOKUP(C340,'QALS - Inspection Lot Record'!P:P,'QALS - Inspection Lot Record'!J:J)+RANDBETWEEN(0,1),"")</f>
        <v>46021</v>
      </c>
      <c r="G340" s="41" t="s">
        <v>480</v>
      </c>
      <c r="H340" s="34">
        <v>45400</v>
      </c>
      <c r="I340" s="29" t="s">
        <v>481</v>
      </c>
    </row>
    <row r="341" spans="1:9" x14ac:dyDescent="0.35">
      <c r="A341" s="31">
        <v>200000663</v>
      </c>
      <c r="B341" s="31">
        <v>1010</v>
      </c>
      <c r="C341" s="31">
        <v>4304</v>
      </c>
      <c r="D341" s="29" t="str">
        <f>LOOKUP('CAPA-old'!C341,'QALS - Inspection Lot Record'!P:P,'QALS - Inspection Lot Record'!O:O)</f>
        <v>Aspirin Tablets (500 MG)</v>
      </c>
      <c r="E341" s="31">
        <v>78.900000000000006</v>
      </c>
      <c r="F341" s="34">
        <f ca="1">IF(TODAY()&gt;=LOOKUP(C341,'QALS - Inspection Lot Record'!P:P,'QALS - Inspection Lot Record'!J:J)+RANDBETWEEN(0,1),LOOKUP(C341,'QALS - Inspection Lot Record'!P:P,'QALS - Inspection Lot Record'!J:J)+RANDBETWEEN(0,1),"")</f>
        <v>46022</v>
      </c>
      <c r="G341" s="41" t="s">
        <v>486</v>
      </c>
      <c r="H341" s="34">
        <v>45400</v>
      </c>
      <c r="I341" s="29" t="s">
        <v>475</v>
      </c>
    </row>
    <row r="342" spans="1:9" x14ac:dyDescent="0.35">
      <c r="A342" s="31">
        <v>200000664</v>
      </c>
      <c r="B342" s="31">
        <v>1010</v>
      </c>
      <c r="C342" s="31">
        <v>4305</v>
      </c>
      <c r="D342" s="29" t="str">
        <f>LOOKUP('CAPA-old'!C342,'QALS - Inspection Lot Record'!P:P,'QALS - Inspection Lot Record'!O:O)</f>
        <v>Metformin Tablets (100 MG)</v>
      </c>
      <c r="E342" s="31">
        <v>93.8</v>
      </c>
      <c r="F342" s="34">
        <f ca="1">IF(TODAY()&gt;=LOOKUP(C342,'QALS - Inspection Lot Record'!P:P,'QALS - Inspection Lot Record'!J:J)+RANDBETWEEN(0,1),LOOKUP(C342,'QALS - Inspection Lot Record'!P:P,'QALS - Inspection Lot Record'!J:J)+RANDBETWEEN(0,1),"")</f>
        <v>46022</v>
      </c>
      <c r="G342" s="41" t="s">
        <v>472</v>
      </c>
      <c r="H342" s="34">
        <v>45401</v>
      </c>
      <c r="I342" s="29" t="s">
        <v>484</v>
      </c>
    </row>
    <row r="343" spans="1:9" x14ac:dyDescent="0.35">
      <c r="A343" s="31">
        <v>200000665</v>
      </c>
      <c r="B343" s="31">
        <v>1010</v>
      </c>
      <c r="C343" s="31">
        <v>4306</v>
      </c>
      <c r="D343" s="29" t="str">
        <f>LOOKUP('CAPA-old'!C343,'QALS - Inspection Lot Record'!P:P,'QALS - Inspection Lot Record'!O:O)</f>
        <v>Metformin Tablets (200 MG)</v>
      </c>
      <c r="E343" s="31">
        <v>68.7</v>
      </c>
      <c r="F343" s="34">
        <f ca="1">IF(TODAY()&gt;=LOOKUP(C343,'QALS - Inspection Lot Record'!P:P,'QALS - Inspection Lot Record'!J:J)+RANDBETWEEN(0,1),LOOKUP(C343,'QALS - Inspection Lot Record'!P:P,'QALS - Inspection Lot Record'!J:J)+RANDBETWEEN(0,1),"")</f>
        <v>46023</v>
      </c>
      <c r="G343" s="41" t="s">
        <v>480</v>
      </c>
      <c r="H343" s="34">
        <v>45401</v>
      </c>
      <c r="I343" s="29" t="s">
        <v>497</v>
      </c>
    </row>
    <row r="344" spans="1:9" x14ac:dyDescent="0.35">
      <c r="A344" s="31">
        <v>200000665</v>
      </c>
      <c r="B344" s="31">
        <v>1010</v>
      </c>
      <c r="C344" s="31">
        <v>4306</v>
      </c>
      <c r="D344" s="29" t="str">
        <f>LOOKUP('CAPA-old'!C344,'QALS - Inspection Lot Record'!P:P,'QALS - Inspection Lot Record'!O:O)</f>
        <v>Metformin Tablets (200 MG)</v>
      </c>
      <c r="E344" s="31">
        <v>78.3</v>
      </c>
      <c r="F344" s="34">
        <f ca="1">IF(TODAY()&gt;=LOOKUP(C344,'QALS - Inspection Lot Record'!P:P,'QALS - Inspection Lot Record'!J:J)+RANDBETWEEN(0,1),LOOKUP(C344,'QALS - Inspection Lot Record'!P:P,'QALS - Inspection Lot Record'!J:J)+RANDBETWEEN(0,1),"")</f>
        <v>46022</v>
      </c>
      <c r="G344" s="41" t="s">
        <v>486</v>
      </c>
      <c r="H344" s="34">
        <v>45400</v>
      </c>
      <c r="I344" s="29" t="s">
        <v>488</v>
      </c>
    </row>
    <row r="345" spans="1:9" x14ac:dyDescent="0.35">
      <c r="A345" s="31">
        <v>200000666</v>
      </c>
      <c r="B345" s="31">
        <v>1010</v>
      </c>
      <c r="C345" s="31">
        <v>4307</v>
      </c>
      <c r="D345" s="29" t="str">
        <f>LOOKUP('CAPA-old'!C345,'QALS - Inspection Lot Record'!P:P,'QALS - Inspection Lot Record'!O:O)</f>
        <v>Ibuprofen Tablets (100 MG)</v>
      </c>
      <c r="E345" s="31">
        <v>2.2000000000000002</v>
      </c>
      <c r="F345" s="34">
        <f ca="1">IF(TODAY()&gt;=LOOKUP(C345,'QALS - Inspection Lot Record'!P:P,'QALS - Inspection Lot Record'!J:J)+RANDBETWEEN(0,1),LOOKUP(C345,'QALS - Inspection Lot Record'!P:P,'QALS - Inspection Lot Record'!J:J)+RANDBETWEEN(0,1),"")</f>
        <v>46023</v>
      </c>
      <c r="G345" s="41" t="s">
        <v>474</v>
      </c>
      <c r="H345" s="34">
        <v>45402</v>
      </c>
      <c r="I345" s="29" t="s">
        <v>484</v>
      </c>
    </row>
    <row r="346" spans="1:9" x14ac:dyDescent="0.35">
      <c r="A346" s="31">
        <v>200000666</v>
      </c>
      <c r="B346" s="31">
        <v>1010</v>
      </c>
      <c r="C346" s="31">
        <v>4307</v>
      </c>
      <c r="D346" s="29" t="str">
        <f>LOOKUP('CAPA-old'!C346,'QALS - Inspection Lot Record'!P:P,'QALS - Inspection Lot Record'!O:O)</f>
        <v>Ibuprofen Tablets (100 MG)</v>
      </c>
      <c r="E346" s="31">
        <v>39</v>
      </c>
      <c r="F346" s="34">
        <f ca="1">IF(TODAY()&gt;=LOOKUP(C346,'QALS - Inspection Lot Record'!P:P,'QALS - Inspection Lot Record'!J:J)+RANDBETWEEN(0,1),LOOKUP(C346,'QALS - Inspection Lot Record'!P:P,'QALS - Inspection Lot Record'!J:J)+RANDBETWEEN(0,1),"")</f>
        <v>46024</v>
      </c>
      <c r="G346" s="41" t="s">
        <v>478</v>
      </c>
      <c r="H346" s="34">
        <v>45402</v>
      </c>
      <c r="I346" s="29" t="s">
        <v>479</v>
      </c>
    </row>
    <row r="347" spans="1:9" x14ac:dyDescent="0.35">
      <c r="A347" s="31">
        <v>200000666</v>
      </c>
      <c r="B347" s="31">
        <v>1010</v>
      </c>
      <c r="C347" s="31">
        <v>4307</v>
      </c>
      <c r="D347" s="29" t="str">
        <f>LOOKUP('CAPA-old'!C347,'QALS - Inspection Lot Record'!P:P,'QALS - Inspection Lot Record'!O:O)</f>
        <v>Ibuprofen Tablets (100 MG)</v>
      </c>
      <c r="E347" s="31">
        <v>78.2</v>
      </c>
      <c r="F347" s="34">
        <f ca="1">IF(TODAY()&gt;=LOOKUP(C347,'QALS - Inspection Lot Record'!P:P,'QALS - Inspection Lot Record'!J:J)+RANDBETWEEN(0,1),LOOKUP(C347,'QALS - Inspection Lot Record'!P:P,'QALS - Inspection Lot Record'!J:J)+RANDBETWEEN(0,1),"")</f>
        <v>46023</v>
      </c>
      <c r="G347" s="41" t="s">
        <v>486</v>
      </c>
      <c r="H347" s="34">
        <v>45403</v>
      </c>
      <c r="I347" s="29" t="s">
        <v>495</v>
      </c>
    </row>
    <row r="348" spans="1:9" x14ac:dyDescent="0.35">
      <c r="A348" s="31">
        <v>200000666</v>
      </c>
      <c r="B348" s="31">
        <v>1010</v>
      </c>
      <c r="C348" s="31">
        <v>4307</v>
      </c>
      <c r="D348" s="29" t="str">
        <f>LOOKUP('CAPA-old'!C348,'QALS - Inspection Lot Record'!P:P,'QALS - Inspection Lot Record'!O:O)</f>
        <v>Ibuprofen Tablets (100 MG)</v>
      </c>
      <c r="E348" s="31">
        <v>21.5</v>
      </c>
      <c r="F348" s="34">
        <f ca="1">IF(TODAY()&gt;=LOOKUP(C348,'QALS - Inspection Lot Record'!P:P,'QALS - Inspection Lot Record'!J:J)+RANDBETWEEN(0,1),LOOKUP(C348,'QALS - Inspection Lot Record'!P:P,'QALS - Inspection Lot Record'!J:J)+RANDBETWEEN(0,1),"")</f>
        <v>46023</v>
      </c>
      <c r="G348" s="41" t="s">
        <v>483</v>
      </c>
      <c r="H348" s="34">
        <v>45401</v>
      </c>
      <c r="I348" s="29" t="s">
        <v>494</v>
      </c>
    </row>
    <row r="349" spans="1:9" x14ac:dyDescent="0.35">
      <c r="A349" s="31">
        <v>200000667</v>
      </c>
      <c r="B349" s="31">
        <v>1010</v>
      </c>
      <c r="C349" s="31">
        <v>4308</v>
      </c>
      <c r="D349" s="29" t="str">
        <f>LOOKUP('CAPA-old'!C349,'QALS - Inspection Lot Record'!P:P,'QALS - Inspection Lot Record'!O:O)</f>
        <v>Ibuprofen Tablets (100 MG)</v>
      </c>
      <c r="E349" s="31">
        <v>2.2999999999999998</v>
      </c>
      <c r="F349" s="34">
        <f ca="1">IF(TODAY()&gt;=LOOKUP(C349,'QALS - Inspection Lot Record'!P:P,'QALS - Inspection Lot Record'!J:J)+RANDBETWEEN(0,1),LOOKUP(C349,'QALS - Inspection Lot Record'!P:P,'QALS - Inspection Lot Record'!J:J)+RANDBETWEEN(0,1),"")</f>
        <v>46024</v>
      </c>
      <c r="G349" s="41" t="s">
        <v>474</v>
      </c>
      <c r="H349" s="34">
        <v>45403</v>
      </c>
      <c r="I349" s="29" t="s">
        <v>485</v>
      </c>
    </row>
    <row r="350" spans="1:9" x14ac:dyDescent="0.35">
      <c r="A350" s="31">
        <v>200000667</v>
      </c>
      <c r="B350" s="31">
        <v>1010</v>
      </c>
      <c r="C350" s="31">
        <v>4308</v>
      </c>
      <c r="D350" s="29" t="str">
        <f>LOOKUP('CAPA-old'!C350,'QALS - Inspection Lot Record'!P:P,'QALS - Inspection Lot Record'!O:O)</f>
        <v>Ibuprofen Tablets (100 MG)</v>
      </c>
      <c r="E350" s="31">
        <v>1.2</v>
      </c>
      <c r="F350" s="34">
        <f ca="1">IF(TODAY()&gt;=LOOKUP(C350,'QALS - Inspection Lot Record'!P:P,'QALS - Inspection Lot Record'!J:J)+RANDBETWEEN(0,1),LOOKUP(C350,'QALS - Inspection Lot Record'!P:P,'QALS - Inspection Lot Record'!J:J)+RANDBETWEEN(0,1),"")</f>
        <v>46024</v>
      </c>
      <c r="G350" s="41" t="s">
        <v>476</v>
      </c>
      <c r="H350" s="34">
        <v>45401</v>
      </c>
      <c r="I350" s="29" t="s">
        <v>487</v>
      </c>
    </row>
    <row r="351" spans="1:9" x14ac:dyDescent="0.35">
      <c r="A351" s="31">
        <v>200000667</v>
      </c>
      <c r="B351" s="31">
        <v>1010</v>
      </c>
      <c r="C351" s="31">
        <v>4308</v>
      </c>
      <c r="D351" s="29" t="str">
        <f>LOOKUP('CAPA-old'!C351,'QALS - Inspection Lot Record'!P:P,'QALS - Inspection Lot Record'!O:O)</f>
        <v>Ibuprofen Tablets (100 MG)</v>
      </c>
      <c r="E351" s="31">
        <v>68.8</v>
      </c>
      <c r="F351" s="34">
        <f ca="1">IF(TODAY()&gt;=LOOKUP(C351,'QALS - Inspection Lot Record'!P:P,'QALS - Inspection Lot Record'!J:J)+RANDBETWEEN(0,1),LOOKUP(C351,'QALS - Inspection Lot Record'!P:P,'QALS - Inspection Lot Record'!J:J)+RANDBETWEEN(0,1),"")</f>
        <v>46023</v>
      </c>
      <c r="G351" s="41" t="s">
        <v>480</v>
      </c>
      <c r="H351" s="34">
        <v>45401</v>
      </c>
      <c r="I351" s="29" t="s">
        <v>477</v>
      </c>
    </row>
    <row r="352" spans="1:9" x14ac:dyDescent="0.35">
      <c r="A352" s="31">
        <v>200000667</v>
      </c>
      <c r="B352" s="31">
        <v>1010</v>
      </c>
      <c r="C352" s="31">
        <v>4308</v>
      </c>
      <c r="D352" s="29" t="str">
        <f>LOOKUP('CAPA-old'!C352,'QALS - Inspection Lot Record'!P:P,'QALS - Inspection Lot Record'!O:O)</f>
        <v>Ibuprofen Tablets (100 MG)</v>
      </c>
      <c r="E352" s="31">
        <v>78.099999999999994</v>
      </c>
      <c r="F352" s="34">
        <f ca="1">IF(TODAY()&gt;=LOOKUP(C352,'QALS - Inspection Lot Record'!P:P,'QALS - Inspection Lot Record'!J:J)+RANDBETWEEN(0,1),LOOKUP(C352,'QALS - Inspection Lot Record'!P:P,'QALS - Inspection Lot Record'!J:J)+RANDBETWEEN(0,1),"")</f>
        <v>46023</v>
      </c>
      <c r="G352" s="41" t="s">
        <v>486</v>
      </c>
      <c r="H352" s="34">
        <v>45402</v>
      </c>
      <c r="I352" s="29" t="s">
        <v>488</v>
      </c>
    </row>
    <row r="353" spans="1:9" x14ac:dyDescent="0.35">
      <c r="A353" s="31">
        <v>200000668</v>
      </c>
      <c r="B353" s="31">
        <v>1010</v>
      </c>
      <c r="C353" s="31">
        <v>4309</v>
      </c>
      <c r="D353" s="29" t="str">
        <f>LOOKUP('CAPA-old'!C353,'QALS - Inspection Lot Record'!P:P,'QALS - Inspection Lot Record'!O:O)</f>
        <v>Metformin Tablets (500 MG)</v>
      </c>
      <c r="E353" s="31">
        <v>21.6</v>
      </c>
      <c r="F353" s="34">
        <f ca="1">IF(TODAY()&gt;=LOOKUP(C353,'QALS - Inspection Lot Record'!P:P,'QALS - Inspection Lot Record'!J:J)+RANDBETWEEN(0,1),LOOKUP(C353,'QALS - Inspection Lot Record'!P:P,'QALS - Inspection Lot Record'!J:J)+RANDBETWEEN(0,1),"")</f>
        <v>46025</v>
      </c>
      <c r="G353" s="41" t="s">
        <v>483</v>
      </c>
      <c r="H353" s="34">
        <v>45402</v>
      </c>
      <c r="I353" s="29" t="s">
        <v>481</v>
      </c>
    </row>
    <row r="354" spans="1:9" x14ac:dyDescent="0.35">
      <c r="A354" s="31">
        <v>200000669</v>
      </c>
      <c r="B354" s="31">
        <v>1010</v>
      </c>
      <c r="C354" s="31">
        <v>4310</v>
      </c>
      <c r="D354" s="29" t="str">
        <f>LOOKUP('CAPA-old'!C354,'QALS - Inspection Lot Record'!P:P,'QALS - Inspection Lot Record'!O:O)</f>
        <v>Metformin Tablets (100 MG)</v>
      </c>
      <c r="E354" s="31">
        <v>2</v>
      </c>
      <c r="F354" s="34">
        <f ca="1">IF(TODAY()&gt;=LOOKUP(C354,'QALS - Inspection Lot Record'!P:P,'QALS - Inspection Lot Record'!J:J)+RANDBETWEEN(0,1),LOOKUP(C354,'QALS - Inspection Lot Record'!P:P,'QALS - Inspection Lot Record'!J:J)+RANDBETWEEN(0,1),"")</f>
        <v>46025</v>
      </c>
      <c r="G354" s="41" t="s">
        <v>474</v>
      </c>
      <c r="H354" s="34">
        <v>45402</v>
      </c>
      <c r="I354" s="29" t="s">
        <v>475</v>
      </c>
    </row>
    <row r="355" spans="1:9" x14ac:dyDescent="0.35">
      <c r="A355" s="31">
        <v>200000669</v>
      </c>
      <c r="B355" s="31">
        <v>1010</v>
      </c>
      <c r="C355" s="31">
        <v>4310</v>
      </c>
      <c r="D355" s="29" t="str">
        <f>LOOKUP('CAPA-old'!C355,'QALS - Inspection Lot Record'!P:P,'QALS - Inspection Lot Record'!O:O)</f>
        <v>Metformin Tablets (100 MG)</v>
      </c>
      <c r="E355" s="31">
        <v>68.2</v>
      </c>
      <c r="F355" s="34">
        <f ca="1">IF(TODAY()&gt;=LOOKUP(C355,'QALS - Inspection Lot Record'!P:P,'QALS - Inspection Lot Record'!J:J)+RANDBETWEEN(0,1),LOOKUP(C355,'QALS - Inspection Lot Record'!P:P,'QALS - Inspection Lot Record'!J:J)+RANDBETWEEN(0,1),"")</f>
        <v>46024</v>
      </c>
      <c r="G355" s="41" t="s">
        <v>480</v>
      </c>
      <c r="H355" s="34">
        <v>45402</v>
      </c>
      <c r="I355" s="29" t="s">
        <v>497</v>
      </c>
    </row>
    <row r="356" spans="1:9" x14ac:dyDescent="0.35">
      <c r="A356" s="31">
        <v>200000670</v>
      </c>
      <c r="B356" s="31">
        <v>1010</v>
      </c>
      <c r="C356" s="31">
        <v>4311</v>
      </c>
      <c r="D356" s="29" t="str">
        <f>LOOKUP('CAPA-old'!C356,'QALS - Inspection Lot Record'!P:P,'QALS - Inspection Lot Record'!O:O)</f>
        <v>Metformin Tablets (200 MG)</v>
      </c>
      <c r="E356" s="31">
        <v>93.7</v>
      </c>
      <c r="F356" s="34">
        <f ca="1">IF(TODAY()&gt;=LOOKUP(C356,'QALS - Inspection Lot Record'!P:P,'QALS - Inspection Lot Record'!J:J)+RANDBETWEEN(0,1),LOOKUP(C356,'QALS - Inspection Lot Record'!P:P,'QALS - Inspection Lot Record'!J:J)+RANDBETWEEN(0,1),"")</f>
        <v>46026</v>
      </c>
      <c r="G356" s="41" t="s">
        <v>472</v>
      </c>
      <c r="H356" s="34">
        <v>45405</v>
      </c>
      <c r="I356" s="29" t="s">
        <v>481</v>
      </c>
    </row>
    <row r="357" spans="1:9" x14ac:dyDescent="0.35">
      <c r="A357" s="31">
        <v>200000671</v>
      </c>
      <c r="B357" s="31">
        <v>1010</v>
      </c>
      <c r="C357" s="31">
        <v>4313</v>
      </c>
      <c r="D357" s="29" t="str">
        <f>LOOKUP('CAPA-old'!C357,'QALS - Inspection Lot Record'!P:P,'QALS - Inspection Lot Record'!O:O)</f>
        <v>Metformin Tablets (100 MG)</v>
      </c>
      <c r="E357" s="31">
        <v>78.900000000000006</v>
      </c>
      <c r="F357" s="34">
        <f ca="1">IF(TODAY()&gt;=LOOKUP(C357,'QALS - Inspection Lot Record'!P:P,'QALS - Inspection Lot Record'!J:J)+RANDBETWEEN(0,1),LOOKUP(C357,'QALS - Inspection Lot Record'!P:P,'QALS - Inspection Lot Record'!J:J)+RANDBETWEEN(0,1),"")</f>
        <v>46026</v>
      </c>
      <c r="G357" s="41" t="s">
        <v>486</v>
      </c>
      <c r="H357" s="34">
        <v>45405</v>
      </c>
      <c r="I357" s="29" t="s">
        <v>495</v>
      </c>
    </row>
    <row r="358" spans="1:9" x14ac:dyDescent="0.35">
      <c r="A358" s="31">
        <v>200000672</v>
      </c>
      <c r="B358" s="31">
        <v>1010</v>
      </c>
      <c r="C358" s="31">
        <v>4314</v>
      </c>
      <c r="D358" s="29" t="str">
        <f>LOOKUP('CAPA-old'!C358,'QALS - Inspection Lot Record'!P:P,'QALS - Inspection Lot Record'!O:O)</f>
        <v>Aspirin Tablets (500 MG)</v>
      </c>
      <c r="E358" s="31">
        <v>93.1</v>
      </c>
      <c r="F358" s="34">
        <f ca="1">IF(TODAY()&gt;=LOOKUP(C358,'QALS - Inspection Lot Record'!P:P,'QALS - Inspection Lot Record'!J:J)+RANDBETWEEN(0,1),LOOKUP(C358,'QALS - Inspection Lot Record'!P:P,'QALS - Inspection Lot Record'!J:J)+RANDBETWEEN(0,1),"")</f>
        <v>46027</v>
      </c>
      <c r="G358" s="41" t="s">
        <v>472</v>
      </c>
      <c r="H358" s="34">
        <v>45404</v>
      </c>
      <c r="I358" s="29" t="s">
        <v>482</v>
      </c>
    </row>
    <row r="359" spans="1:9" x14ac:dyDescent="0.35">
      <c r="A359" s="31">
        <v>200000672</v>
      </c>
      <c r="B359" s="31">
        <v>1010</v>
      </c>
      <c r="C359" s="31">
        <v>4314</v>
      </c>
      <c r="D359" s="29" t="str">
        <f>LOOKUP('CAPA-old'!C359,'QALS - Inspection Lot Record'!P:P,'QALS - Inspection Lot Record'!O:O)</f>
        <v>Aspirin Tablets (500 MG)</v>
      </c>
      <c r="E359" s="31">
        <v>38.4</v>
      </c>
      <c r="F359" s="34">
        <f ca="1">IF(TODAY()&gt;=LOOKUP(C359,'QALS - Inspection Lot Record'!P:P,'QALS - Inspection Lot Record'!J:J)+RANDBETWEEN(0,1),LOOKUP(C359,'QALS - Inspection Lot Record'!P:P,'QALS - Inspection Lot Record'!J:J)+RANDBETWEEN(0,1),"")</f>
        <v>46026</v>
      </c>
      <c r="G359" s="41" t="s">
        <v>478</v>
      </c>
      <c r="H359" s="34">
        <v>45405</v>
      </c>
      <c r="I359" s="29" t="s">
        <v>491</v>
      </c>
    </row>
    <row r="360" spans="1:9" x14ac:dyDescent="0.35">
      <c r="A360" s="31">
        <v>200000672</v>
      </c>
      <c r="B360" s="31">
        <v>1010</v>
      </c>
      <c r="C360" s="31">
        <v>4314</v>
      </c>
      <c r="D360" s="29" t="str">
        <f>LOOKUP('CAPA-old'!C360,'QALS - Inspection Lot Record'!P:P,'QALS - Inspection Lot Record'!O:O)</f>
        <v>Aspirin Tablets (500 MG)</v>
      </c>
      <c r="E360" s="31">
        <v>68.8</v>
      </c>
      <c r="F360" s="34">
        <f ca="1">IF(TODAY()&gt;=LOOKUP(C360,'QALS - Inspection Lot Record'!P:P,'QALS - Inspection Lot Record'!J:J)+RANDBETWEEN(0,1),LOOKUP(C360,'QALS - Inspection Lot Record'!P:P,'QALS - Inspection Lot Record'!J:J)+RANDBETWEEN(0,1),"")</f>
        <v>46026</v>
      </c>
      <c r="G360" s="41" t="s">
        <v>480</v>
      </c>
      <c r="H360" s="34">
        <v>45405</v>
      </c>
      <c r="I360" s="29" t="s">
        <v>490</v>
      </c>
    </row>
    <row r="361" spans="1:9" x14ac:dyDescent="0.35">
      <c r="A361" s="31">
        <v>200000673</v>
      </c>
      <c r="B361" s="31">
        <v>1010</v>
      </c>
      <c r="C361" s="31">
        <v>4317</v>
      </c>
      <c r="D361" s="29" t="str">
        <f>LOOKUP('CAPA-old'!C361,'QALS - Inspection Lot Record'!P:P,'QALS - Inspection Lot Record'!O:O)</f>
        <v>Metformin Tablets (100 MG)</v>
      </c>
      <c r="E361" s="31">
        <v>78.099999999999994</v>
      </c>
      <c r="F361" s="34">
        <f ca="1">IF(TODAY()&gt;=LOOKUP(C361,'QALS - Inspection Lot Record'!P:P,'QALS - Inspection Lot Record'!J:J)+RANDBETWEEN(0,1),LOOKUP(C361,'QALS - Inspection Lot Record'!P:P,'QALS - Inspection Lot Record'!J:J)+RANDBETWEEN(0,1),"")</f>
        <v>46028</v>
      </c>
      <c r="G361" s="41" t="s">
        <v>486</v>
      </c>
      <c r="H361" s="34">
        <v>45407</v>
      </c>
      <c r="I361" s="29" t="s">
        <v>488</v>
      </c>
    </row>
    <row r="362" spans="1:9" x14ac:dyDescent="0.35">
      <c r="A362" s="31">
        <v>200000674</v>
      </c>
      <c r="B362" s="31">
        <v>1010</v>
      </c>
      <c r="C362" s="31">
        <v>4318</v>
      </c>
      <c r="D362" s="29" t="str">
        <f>LOOKUP('CAPA-old'!C362,'QALS - Inspection Lot Record'!P:P,'QALS - Inspection Lot Record'!O:O)</f>
        <v>Metformin Tablets (200 MG)</v>
      </c>
      <c r="E362" s="31">
        <v>93.3</v>
      </c>
      <c r="F362" s="34">
        <f ca="1">IF(TODAY()&gt;=LOOKUP(C362,'QALS - Inspection Lot Record'!P:P,'QALS - Inspection Lot Record'!J:J)+RANDBETWEEN(0,1),LOOKUP(C362,'QALS - Inspection Lot Record'!P:P,'QALS - Inspection Lot Record'!J:J)+RANDBETWEEN(0,1),"")</f>
        <v>46029</v>
      </c>
      <c r="G362" s="41" t="s">
        <v>472</v>
      </c>
      <c r="H362" s="34">
        <v>45405</v>
      </c>
      <c r="I362" s="29" t="s">
        <v>477</v>
      </c>
    </row>
    <row r="363" spans="1:9" x14ac:dyDescent="0.35">
      <c r="A363" s="31">
        <v>200000675</v>
      </c>
      <c r="B363" s="31">
        <v>1010</v>
      </c>
      <c r="C363" s="31">
        <v>4320</v>
      </c>
      <c r="D363" s="29" t="str">
        <f>LOOKUP('CAPA-old'!C363,'QALS - Inspection Lot Record'!P:P,'QALS - Inspection Lot Record'!O:O)</f>
        <v>Metformin Tablets (200 MG)</v>
      </c>
      <c r="E363" s="31">
        <v>93.2</v>
      </c>
      <c r="F363" s="34">
        <f ca="1">IF(TODAY()&gt;=LOOKUP(C363,'QALS - Inspection Lot Record'!P:P,'QALS - Inspection Lot Record'!J:J)+RANDBETWEEN(0,1),LOOKUP(C363,'QALS - Inspection Lot Record'!P:P,'QALS - Inspection Lot Record'!J:J)+RANDBETWEEN(0,1),"")</f>
        <v>46030</v>
      </c>
      <c r="G363" s="41" t="s">
        <v>472</v>
      </c>
      <c r="H363" s="34">
        <v>45408</v>
      </c>
      <c r="I363" s="29" t="s">
        <v>481</v>
      </c>
    </row>
    <row r="364" spans="1:9" x14ac:dyDescent="0.35">
      <c r="A364" s="31">
        <v>200000676</v>
      </c>
      <c r="B364" s="31">
        <v>1010</v>
      </c>
      <c r="C364" s="31">
        <v>4325</v>
      </c>
      <c r="D364" s="29" t="str">
        <f>LOOKUP('CAPA-old'!C364,'QALS - Inspection Lot Record'!P:P,'QALS - Inspection Lot Record'!O:O)</f>
        <v>Metformin Tablets (500 MG)</v>
      </c>
      <c r="E364" s="31">
        <v>2.4</v>
      </c>
      <c r="F364" s="34">
        <f ca="1">IF(TODAY()&gt;=LOOKUP(C364,'QALS - Inspection Lot Record'!P:P,'QALS - Inspection Lot Record'!J:J)+RANDBETWEEN(0,1),LOOKUP(C364,'QALS - Inspection Lot Record'!P:P,'QALS - Inspection Lot Record'!J:J)+RANDBETWEEN(0,1),"")</f>
        <v>46033</v>
      </c>
      <c r="G364" s="41" t="s">
        <v>474</v>
      </c>
      <c r="H364" s="34">
        <v>45411</v>
      </c>
      <c r="I364" s="29" t="s">
        <v>496</v>
      </c>
    </row>
    <row r="365" spans="1:9" x14ac:dyDescent="0.35">
      <c r="A365" s="31">
        <v>200000676</v>
      </c>
      <c r="B365" s="31">
        <v>1010</v>
      </c>
      <c r="C365" s="31">
        <v>4325</v>
      </c>
      <c r="D365" s="29" t="str">
        <f>LOOKUP('CAPA-old'!C365,'QALS - Inspection Lot Record'!P:P,'QALS - Inspection Lot Record'!O:O)</f>
        <v>Metformin Tablets (500 MG)</v>
      </c>
      <c r="E365" s="31">
        <v>78.8</v>
      </c>
      <c r="F365" s="34">
        <f ca="1">IF(TODAY()&gt;=LOOKUP(C365,'QALS - Inspection Lot Record'!P:P,'QALS - Inspection Lot Record'!J:J)+RANDBETWEEN(0,1),LOOKUP(C365,'QALS - Inspection Lot Record'!P:P,'QALS - Inspection Lot Record'!J:J)+RANDBETWEEN(0,1),"")</f>
        <v>46033</v>
      </c>
      <c r="G365" s="41" t="s">
        <v>486</v>
      </c>
      <c r="H365" s="34">
        <v>45411</v>
      </c>
      <c r="I365" s="29" t="s">
        <v>484</v>
      </c>
    </row>
    <row r="366" spans="1:9" x14ac:dyDescent="0.35">
      <c r="A366" s="31">
        <v>200000676</v>
      </c>
      <c r="B366" s="31">
        <v>1010</v>
      </c>
      <c r="C366" s="31">
        <v>4325</v>
      </c>
      <c r="D366" s="29" t="str">
        <f>LOOKUP('CAPA-old'!C366,'QALS - Inspection Lot Record'!P:P,'QALS - Inspection Lot Record'!O:O)</f>
        <v>Metformin Tablets (500 MG)</v>
      </c>
      <c r="E366" s="31">
        <v>21.7</v>
      </c>
      <c r="F366" s="34">
        <f ca="1">IF(TODAY()&gt;=LOOKUP(C366,'QALS - Inspection Lot Record'!P:P,'QALS - Inspection Lot Record'!J:J)+RANDBETWEEN(0,1),LOOKUP(C366,'QALS - Inspection Lot Record'!P:P,'QALS - Inspection Lot Record'!J:J)+RANDBETWEEN(0,1),"")</f>
        <v>46033</v>
      </c>
      <c r="G366" s="41" t="s">
        <v>483</v>
      </c>
      <c r="H366" s="34">
        <v>45412</v>
      </c>
      <c r="I366" s="29" t="s">
        <v>475</v>
      </c>
    </row>
    <row r="367" spans="1:9" x14ac:dyDescent="0.35">
      <c r="A367" s="31">
        <v>200000677</v>
      </c>
      <c r="B367" s="31">
        <v>1010</v>
      </c>
      <c r="C367" s="31">
        <v>4337</v>
      </c>
      <c r="D367" s="29" t="str">
        <f>LOOKUP('CAPA-old'!C367,'QALS - Inspection Lot Record'!P:P,'QALS - Inspection Lot Record'!O:O)</f>
        <v>Aspirin Tablets (500 MG)</v>
      </c>
      <c r="E367" s="31">
        <v>2.2000000000000002</v>
      </c>
      <c r="F367" s="34">
        <f ca="1">IF(TODAY()&gt;=LOOKUP(C367,'QALS - Inspection Lot Record'!P:P,'QALS - Inspection Lot Record'!J:J)+RANDBETWEEN(0,1),LOOKUP(C367,'QALS - Inspection Lot Record'!P:P,'QALS - Inspection Lot Record'!J:J)+RANDBETWEEN(0,1),"")</f>
        <v>46038</v>
      </c>
      <c r="G367" s="41" t="s">
        <v>474</v>
      </c>
      <c r="H367" s="34">
        <v>45417</v>
      </c>
      <c r="I367" s="29" t="s">
        <v>485</v>
      </c>
    </row>
    <row r="368" spans="1:9" x14ac:dyDescent="0.35">
      <c r="A368" s="31">
        <v>200000677</v>
      </c>
      <c r="B368" s="31">
        <v>1010</v>
      </c>
      <c r="C368" s="31">
        <v>4337</v>
      </c>
      <c r="D368" s="29" t="str">
        <f>LOOKUP('CAPA-old'!C368,'QALS - Inspection Lot Record'!P:P,'QALS - Inspection Lot Record'!O:O)</f>
        <v>Aspirin Tablets (500 MG)</v>
      </c>
      <c r="E368" s="31">
        <v>68.400000000000006</v>
      </c>
      <c r="F368" s="34">
        <f ca="1">IF(TODAY()&gt;=LOOKUP(C368,'QALS - Inspection Lot Record'!P:P,'QALS - Inspection Lot Record'!J:J)+RANDBETWEEN(0,1),LOOKUP(C368,'QALS - Inspection Lot Record'!P:P,'QALS - Inspection Lot Record'!J:J)+RANDBETWEEN(0,1),"")</f>
        <v>46039</v>
      </c>
      <c r="G368" s="41" t="s">
        <v>480</v>
      </c>
      <c r="H368" s="34">
        <v>45417</v>
      </c>
      <c r="I368" s="29" t="s">
        <v>497</v>
      </c>
    </row>
    <row r="369" spans="1:9" x14ac:dyDescent="0.35">
      <c r="A369" s="31">
        <v>200000678</v>
      </c>
      <c r="B369" s="31">
        <v>1010</v>
      </c>
      <c r="C369" s="31">
        <v>4338</v>
      </c>
      <c r="D369" s="29" t="str">
        <f>LOOKUP('CAPA-old'!C369,'QALS - Inspection Lot Record'!P:P,'QALS - Inspection Lot Record'!O:O)</f>
        <v>Aspirin Tablets (500 MG)</v>
      </c>
      <c r="E369" s="31">
        <v>78.7</v>
      </c>
      <c r="F369" s="34">
        <f ca="1">IF(TODAY()&gt;=LOOKUP(C369,'QALS - Inspection Lot Record'!P:P,'QALS - Inspection Lot Record'!J:J)+RANDBETWEEN(0,1),LOOKUP(C369,'QALS - Inspection Lot Record'!P:P,'QALS - Inspection Lot Record'!J:J)+RANDBETWEEN(0,1),"")</f>
        <v>46038</v>
      </c>
      <c r="G369" s="41" t="s">
        <v>486</v>
      </c>
      <c r="H369" s="34">
        <v>45416</v>
      </c>
      <c r="I369" s="29" t="s">
        <v>488</v>
      </c>
    </row>
    <row r="370" spans="1:9" x14ac:dyDescent="0.35">
      <c r="A370" s="31">
        <v>200000679</v>
      </c>
      <c r="B370" s="31">
        <v>1010</v>
      </c>
      <c r="C370" s="31">
        <v>4341</v>
      </c>
      <c r="D370" s="29" t="str">
        <f>LOOKUP('CAPA-old'!C370,'QALS - Inspection Lot Record'!P:P,'QALS - Inspection Lot Record'!O:O)</f>
        <v>Metformin Tablets (200 MG)</v>
      </c>
      <c r="E370" s="31">
        <v>94</v>
      </c>
      <c r="F370" s="34">
        <f ca="1">IF(TODAY()&gt;=LOOKUP(C370,'QALS - Inspection Lot Record'!P:P,'QALS - Inspection Lot Record'!J:J)+RANDBETWEEN(0,1),LOOKUP(C370,'QALS - Inspection Lot Record'!P:P,'QALS - Inspection Lot Record'!J:J)+RANDBETWEEN(0,1),"")</f>
        <v>46040</v>
      </c>
      <c r="G370" s="41" t="s">
        <v>472</v>
      </c>
      <c r="H370" s="34">
        <v>45417</v>
      </c>
      <c r="I370" s="29" t="s">
        <v>482</v>
      </c>
    </row>
    <row r="371" spans="1:9" x14ac:dyDescent="0.35">
      <c r="A371" s="31">
        <v>200000680</v>
      </c>
      <c r="B371" s="31">
        <v>1010</v>
      </c>
      <c r="C371" s="31">
        <v>4342</v>
      </c>
      <c r="D371" s="29" t="str">
        <f>LOOKUP('CAPA-old'!C371,'QALS - Inspection Lot Record'!P:P,'QALS - Inspection Lot Record'!O:O)</f>
        <v>Ibuprofen Tablets (100 MG)</v>
      </c>
      <c r="E371" s="31">
        <v>68.8</v>
      </c>
      <c r="F371" s="34">
        <f ca="1">IF(TODAY()&gt;=LOOKUP(C371,'QALS - Inspection Lot Record'!P:P,'QALS - Inspection Lot Record'!J:J)+RANDBETWEEN(0,1),LOOKUP(C371,'QALS - Inspection Lot Record'!P:P,'QALS - Inspection Lot Record'!J:J)+RANDBETWEEN(0,1),"")</f>
        <v>46041</v>
      </c>
      <c r="G371" s="41" t="s">
        <v>480</v>
      </c>
      <c r="H371" s="34">
        <v>45420</v>
      </c>
      <c r="I371" s="29" t="s">
        <v>490</v>
      </c>
    </row>
    <row r="372" spans="1:9" x14ac:dyDescent="0.35">
      <c r="A372" s="31">
        <v>200000680</v>
      </c>
      <c r="B372" s="31">
        <v>1010</v>
      </c>
      <c r="C372" s="31">
        <v>4342</v>
      </c>
      <c r="D372" s="29" t="str">
        <f>LOOKUP('CAPA-old'!C372,'QALS - Inspection Lot Record'!P:P,'QALS - Inspection Lot Record'!O:O)</f>
        <v>Ibuprofen Tablets (100 MG)</v>
      </c>
      <c r="E372" s="31">
        <v>21.9</v>
      </c>
      <c r="F372" s="34">
        <f ca="1">IF(TODAY()&gt;=LOOKUP(C372,'QALS - Inspection Lot Record'!P:P,'QALS - Inspection Lot Record'!J:J)+RANDBETWEEN(0,1),LOOKUP(C372,'QALS - Inspection Lot Record'!P:P,'QALS - Inspection Lot Record'!J:J)+RANDBETWEEN(0,1),"")</f>
        <v>46041</v>
      </c>
      <c r="G372" s="41" t="s">
        <v>483</v>
      </c>
      <c r="H372" s="34">
        <v>45420</v>
      </c>
      <c r="I372" s="29" t="s">
        <v>481</v>
      </c>
    </row>
    <row r="373" spans="1:9" x14ac:dyDescent="0.35">
      <c r="A373" s="31">
        <v>200000681</v>
      </c>
      <c r="B373" s="31">
        <v>1010</v>
      </c>
      <c r="C373" s="31">
        <v>4353</v>
      </c>
      <c r="D373" s="29" t="str">
        <f>LOOKUP('CAPA-old'!C373,'QALS - Inspection Lot Record'!P:P,'QALS - Inspection Lot Record'!O:O)</f>
        <v>Metformin Tablets (100 MG)</v>
      </c>
      <c r="E373" s="31">
        <v>2.4</v>
      </c>
      <c r="F373" s="34">
        <f ca="1">IF(TODAY()&gt;=LOOKUP(C373,'QALS - Inspection Lot Record'!P:P,'QALS - Inspection Lot Record'!J:J)+RANDBETWEEN(0,1),LOOKUP(C373,'QALS - Inspection Lot Record'!P:P,'QALS - Inspection Lot Record'!J:J)+RANDBETWEEN(0,1),"")</f>
        <v>46046</v>
      </c>
      <c r="G373" s="41" t="s">
        <v>474</v>
      </c>
      <c r="H373" s="34">
        <v>45424</v>
      </c>
      <c r="I373" s="29" t="s">
        <v>484</v>
      </c>
    </row>
    <row r="374" spans="1:9" x14ac:dyDescent="0.35">
      <c r="A374" s="31">
        <v>200000682</v>
      </c>
      <c r="B374" s="31">
        <v>1010</v>
      </c>
      <c r="C374" s="31">
        <v>4354</v>
      </c>
      <c r="D374" s="29" t="str">
        <f>LOOKUP('CAPA-old'!C374,'QALS - Inspection Lot Record'!P:P,'QALS - Inspection Lot Record'!O:O)</f>
        <v>Aspirin Tablets (500 MG)</v>
      </c>
      <c r="E374" s="31">
        <v>93.7</v>
      </c>
      <c r="F374" s="34">
        <f ca="1">IF(TODAY()&gt;=LOOKUP(C374,'QALS - Inspection Lot Record'!P:P,'QALS - Inspection Lot Record'!J:J)+RANDBETWEEN(0,1),LOOKUP(C374,'QALS - Inspection Lot Record'!P:P,'QALS - Inspection Lot Record'!J:J)+RANDBETWEEN(0,1),"")</f>
        <v>46047</v>
      </c>
      <c r="G374" s="41" t="s">
        <v>472</v>
      </c>
      <c r="H374" s="34">
        <v>45426</v>
      </c>
      <c r="I374" s="29" t="s">
        <v>475</v>
      </c>
    </row>
    <row r="375" spans="1:9" x14ac:dyDescent="0.35">
      <c r="A375" s="31">
        <v>200000682</v>
      </c>
      <c r="B375" s="31">
        <v>1010</v>
      </c>
      <c r="C375" s="31">
        <v>4354</v>
      </c>
      <c r="D375" s="29" t="str">
        <f>LOOKUP('CAPA-old'!C375,'QALS - Inspection Lot Record'!P:P,'QALS - Inspection Lot Record'!O:O)</f>
        <v>Aspirin Tablets (500 MG)</v>
      </c>
      <c r="E375" s="31">
        <v>68.5</v>
      </c>
      <c r="F375" s="34">
        <f ca="1">IF(TODAY()&gt;=LOOKUP(C375,'QALS - Inspection Lot Record'!P:P,'QALS - Inspection Lot Record'!J:J)+RANDBETWEEN(0,1),LOOKUP(C375,'QALS - Inspection Lot Record'!P:P,'QALS - Inspection Lot Record'!J:J)+RANDBETWEEN(0,1),"")</f>
        <v>46047</v>
      </c>
      <c r="G375" s="41" t="s">
        <v>480</v>
      </c>
      <c r="H375" s="34">
        <v>45425</v>
      </c>
      <c r="I375" s="29" t="s">
        <v>477</v>
      </c>
    </row>
    <row r="376" spans="1:9" x14ac:dyDescent="0.35">
      <c r="A376" s="31">
        <v>200000683</v>
      </c>
      <c r="B376" s="31">
        <v>1010</v>
      </c>
      <c r="C376" s="31">
        <v>4358</v>
      </c>
      <c r="D376" s="29" t="str">
        <f>LOOKUP('CAPA-old'!C376,'QALS - Inspection Lot Record'!P:P,'QALS - Inspection Lot Record'!O:O)</f>
        <v>Metformin Tablets (100 MG)</v>
      </c>
      <c r="E376" s="31">
        <v>93.1</v>
      </c>
      <c r="F376" s="34">
        <f ca="1">IF(TODAY()&gt;=LOOKUP(C376,'QALS - Inspection Lot Record'!P:P,'QALS - Inspection Lot Record'!J:J)+RANDBETWEEN(0,1),LOOKUP(C376,'QALS - Inspection Lot Record'!P:P,'QALS - Inspection Lot Record'!J:J)+RANDBETWEEN(0,1),"")</f>
        <v>46048</v>
      </c>
      <c r="G376" s="41" t="s">
        <v>472</v>
      </c>
      <c r="H376" s="34">
        <v>45426</v>
      </c>
      <c r="I376" s="29" t="s">
        <v>484</v>
      </c>
    </row>
    <row r="377" spans="1:9" x14ac:dyDescent="0.35">
      <c r="A377" s="31">
        <v>200000683</v>
      </c>
      <c r="B377" s="31">
        <v>1010</v>
      </c>
      <c r="C377" s="31">
        <v>4358</v>
      </c>
      <c r="D377" s="29" t="str">
        <f>LOOKUP('CAPA-old'!C377,'QALS - Inspection Lot Record'!P:P,'QALS - Inspection Lot Record'!O:O)</f>
        <v>Metformin Tablets (100 MG)</v>
      </c>
      <c r="E377" s="31">
        <v>68</v>
      </c>
      <c r="F377" s="34">
        <f ca="1">IF(TODAY()&gt;=LOOKUP(C377,'QALS - Inspection Lot Record'!P:P,'QALS - Inspection Lot Record'!J:J)+RANDBETWEEN(0,1),LOOKUP(C377,'QALS - Inspection Lot Record'!P:P,'QALS - Inspection Lot Record'!J:J)+RANDBETWEEN(0,1),"")</f>
        <v>46048</v>
      </c>
      <c r="G377" s="41" t="s">
        <v>480</v>
      </c>
      <c r="H377" s="34">
        <v>45425</v>
      </c>
      <c r="I377" s="29" t="s">
        <v>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4D65-2016-451F-B5FB-6ABB37C46AD2}">
  <dimension ref="A1:I377"/>
  <sheetViews>
    <sheetView workbookViewId="0">
      <pane ySplit="1" topLeftCell="A2" activePane="bottomLeft" state="frozen"/>
      <selection pane="bottomLeft" activeCell="J6" sqref="J6"/>
    </sheetView>
  </sheetViews>
  <sheetFormatPr defaultColWidth="8.7265625" defaultRowHeight="14.5" x14ac:dyDescent="0.35"/>
  <cols>
    <col min="1" max="1" width="12.26953125" style="33" bestFit="1" customWidth="1"/>
    <col min="2" max="2" width="9.54296875" style="33" customWidth="1"/>
    <col min="3" max="3" width="14" style="33" customWidth="1"/>
    <col min="4" max="4" width="24.7265625" style="28" bestFit="1" customWidth="1"/>
    <col min="5" max="5" width="15.81640625" style="33" customWidth="1"/>
    <col min="6" max="6" width="21.1796875" style="33" bestFit="1" customWidth="1"/>
    <col min="7" max="7" width="25.7265625" style="40" bestFit="1" customWidth="1"/>
    <col min="8" max="8" width="20.26953125" style="33" bestFit="1" customWidth="1"/>
    <col min="9" max="9" width="27.81640625" style="28" customWidth="1"/>
    <col min="10" max="16384" width="8.7265625" style="28"/>
  </cols>
  <sheetData>
    <row r="1" spans="1:9" x14ac:dyDescent="0.35">
      <c r="A1" s="42" t="s">
        <v>434</v>
      </c>
      <c r="B1" s="42" t="s">
        <v>435</v>
      </c>
      <c r="C1" s="42" t="s">
        <v>15</v>
      </c>
      <c r="D1" s="43" t="s">
        <v>14</v>
      </c>
      <c r="E1" s="42" t="s">
        <v>436</v>
      </c>
      <c r="F1" s="42" t="s">
        <v>437</v>
      </c>
      <c r="G1" s="45" t="s">
        <v>438</v>
      </c>
      <c r="H1" s="42" t="s">
        <v>439</v>
      </c>
      <c r="I1" s="10" t="s">
        <v>440</v>
      </c>
    </row>
    <row r="2" spans="1:9" x14ac:dyDescent="0.35">
      <c r="A2" s="31">
        <v>200000501</v>
      </c>
      <c r="B2" s="31">
        <v>1010</v>
      </c>
      <c r="C2" s="31">
        <v>4001</v>
      </c>
      <c r="D2" s="29" t="s">
        <v>429</v>
      </c>
      <c r="E2" s="31">
        <v>93.5</v>
      </c>
      <c r="F2" s="34">
        <f ca="1">LOOKUP(C2,'QALS - Inspection Lot Record'!P:P,'QALS - Inspection Lot Record'!E:E)+RANDBETWEEN(0,1)</f>
        <v>45871</v>
      </c>
      <c r="G2" s="41" t="s">
        <v>472</v>
      </c>
      <c r="H2" s="34">
        <f t="shared" ref="H2:H65" ca="1" si="0">IF(TODAY()&gt;=F2+RANDBETWEEN(0,2), F2+RANDBETWEEN(0,2),"")</f>
        <v>45872</v>
      </c>
      <c r="I2" s="29" t="str" cm="1">
        <f t="array" aca="1" ref="I2" ca="1">_xlfn.IFS(G2="Potency out of spec",CHOOSE(RANDBETWEEN(1,6),"Additional testing","Improve formulation","Update production SOP","Supplier evaluation","Training for operators","Equipment calibration"),
G2="PH Level out of range",CHOOSE(RANDBETWEEN(1,6),"PH monitoring","Adjust formulation","Update production SOP","Supplier evaluation","Training for operators","Equipment calibration"),
G2="Impurities out of limit",CHOOSE(RANDBETWEEN(1,6),"Improve purification","Raw material control","Update production SOP","Supplier evaluation","Training for operators","Equipment maintenance"),
G2="Process temp out of range",CHOOSE(RANDBETWEEN(1,6),"Temperature control","Update production SOP","Supplier evaluation","Training for operators",
"Equipment calibration","Preventive maintenance"),
G2="Dissolution rate low - 15 mins",CHOOSE(RANDBETWEEN(1,6),"Increase agitation","Reduce particle size","Update production SOP","Supplier evaluation",
"Training for operators","Equipment calibration"),
G2="Dissolution rate low - 30 mins",CHOOSE(RANDBETWEEN(1,6),"Increase disintegrant","Optimize granulation","Update production SOP","Supplier evaluation",
"Training for operators","Equipment calibration"),
G2="Dissolution rate low - 40 mins",CHOOSE(RANDBETWEEN(1,6),"Increase surface area","Optimize compression","Update production SOP","Supplier evaluation",
"Training for operators","Equipment calibration"),
G2="Dissolution rate high - 15 mins",CHOOSE(RANDBETWEEN(1,6),"Decrease agitation","Increase particle size","Update production SOP","Supplier evaluation","Training for operators","Equipment calibration"),
G2="Dissolution rate high - 30 mins",CHOOSE(RANDBETWEEN(1,6),"Decrease disintegrant","Optimize granulation","Update production SOP","Supplier evaluation","Training for operators","Equipment calibration"),
G2="Dissolution rate high - 40 mins",CHOOSE(RANDBETWEEN(1,6),"Decrease surface area","Optimize compression","Update production SOP","Supplier evaluation","Training for operators","Equipment calibration"))</f>
        <v>Equipment calibration</v>
      </c>
    </row>
    <row r="3" spans="1:9" x14ac:dyDescent="0.35">
      <c r="A3" s="31">
        <v>200000501</v>
      </c>
      <c r="B3" s="31">
        <v>1010</v>
      </c>
      <c r="C3" s="31">
        <v>4001</v>
      </c>
      <c r="D3" s="29" t="s">
        <v>429</v>
      </c>
      <c r="E3" s="31">
        <v>1.7</v>
      </c>
      <c r="F3" s="34">
        <f ca="1">LOOKUP(C3,'QALS - Inspection Lot Record'!P:P,'QALS - Inspection Lot Record'!E:E)+RANDBETWEEN(0,1)</f>
        <v>45871</v>
      </c>
      <c r="G3" s="41" t="s">
        <v>474</v>
      </c>
      <c r="H3" s="34">
        <f t="shared" ca="1" si="0"/>
        <v>45871</v>
      </c>
      <c r="I3" s="29" t="str" cm="1">
        <f t="array" aca="1" ref="I3" ca="1">_xlfn.IFS(G3="Potency out of spec",CHOOSE(RANDBETWEEN(1,6),"Additional testing","Improve formulation","Update production SOP","Supplier evaluation","Training for operators","Equipment calibration"),
G3="PH Level out of range",CHOOSE(RANDBETWEEN(1,6),"PH monitoring","Adjust formulation","Update production SOP","Supplier evaluation","Training for operators","Equipment calibration"),
G3="Impurities out of limit",CHOOSE(RANDBETWEEN(1,6),"Improve purification","Raw material control","Update production SOP","Supplier evaluation","Training for operators","Equipment maintenance"),
G3="Process temp out of range",CHOOSE(RANDBETWEEN(1,6),"Temperature control","Update production SOP","Supplier evaluation","Training for operators",
"Equipment calibration","Preventive maintenance"),
G3="Dissolution rate low - 15 mins",CHOOSE(RANDBETWEEN(1,6),"Increase agitation","Reduce particle size","Update production SOP","Supplier evaluation",
"Training for operators","Equipment calibration"),
G3="Dissolution rate low - 30 mins",CHOOSE(RANDBETWEEN(1,6),"Increase disintegrant","Optimize granulation","Update production SOP","Supplier evaluation",
"Training for operators","Equipment calibration"),
G3="Dissolution rate low - 40 mins",CHOOSE(RANDBETWEEN(1,6),"Increase surface area","Optimize compression","Update production SOP","Supplier evaluation",
"Training for operators","Equipment calibration"),
G3="Dissolution rate high - 15 mins",CHOOSE(RANDBETWEEN(1,6),"Decrease agitation","Increase particle size","Update production SOP","Supplier evaluation","Training for operators","Equipment calibration"),
G3="Dissolution rate high - 30 mins",CHOOSE(RANDBETWEEN(1,6),"Decrease disintegrant","Optimize granulation","Update production SOP","Supplier evaluation","Training for operators","Equipment calibration"),
G3="Dissolution rate high - 40 mins",CHOOSE(RANDBETWEEN(1,6),"Decrease surface area","Optimize compression","Update production SOP","Supplier evaluation","Training for operators","Equipment calibration"))</f>
        <v>Supplier evaluation</v>
      </c>
    </row>
    <row r="4" spans="1:9" x14ac:dyDescent="0.35">
      <c r="A4" s="31">
        <v>200000502</v>
      </c>
      <c r="B4" s="31">
        <v>1010</v>
      </c>
      <c r="C4" s="31">
        <v>4002</v>
      </c>
      <c r="D4" s="29" t="s">
        <v>503</v>
      </c>
      <c r="E4" s="31">
        <v>94</v>
      </c>
      <c r="F4" s="34">
        <f ca="1">LOOKUP(C4,'QALS - Inspection Lot Record'!P:P,'QALS - Inspection Lot Record'!E:E)+RANDBETWEEN(0,1)</f>
        <v>45870</v>
      </c>
      <c r="G4" s="41" t="s">
        <v>472</v>
      </c>
      <c r="H4" s="34">
        <f t="shared" ca="1" si="0"/>
        <v>45870</v>
      </c>
      <c r="I4" s="29" t="str" cm="1">
        <f t="array" aca="1" ref="I4" ca="1">_xlfn.IFS(G4="Potency out of spec",CHOOSE(RANDBETWEEN(1,6),"Additional testing","Improve formulation","Update production SOP","Supplier evaluation","Training for operators","Equipment calibration"),
G4="PH Level out of range",CHOOSE(RANDBETWEEN(1,6),"PH monitoring","Adjust formulation","Update production SOP","Supplier evaluation","Training for operators","Equipment calibration"),
G4="Impurities out of limit",CHOOSE(RANDBETWEEN(1,6),"Improve purification","Raw material control","Update production SOP","Supplier evaluation","Training for operators","Equipment maintenance"),
G4="Process temp out of range",CHOOSE(RANDBETWEEN(1,6),"Temperature control","Update production SOP","Supplier evaluation","Training for operators",
"Equipment calibration","Preventive maintenance"),
G4="Dissolution rate low - 15 mins",CHOOSE(RANDBETWEEN(1,6),"Increase agitation","Reduce particle size","Update production SOP","Supplier evaluation",
"Training for operators","Equipment calibration"),
G4="Dissolution rate low - 30 mins",CHOOSE(RANDBETWEEN(1,6),"Increase disintegrant","Optimize granulation","Update production SOP","Supplier evaluation",
"Training for operators","Equipment calibration"),
G4="Dissolution rate low - 40 mins",CHOOSE(RANDBETWEEN(1,6),"Increase surface area","Optimize compression","Update production SOP","Supplier evaluation",
"Training for operators","Equipment calibration"),
G4="Dissolution rate high - 15 mins",CHOOSE(RANDBETWEEN(1,6),"Decrease agitation","Increase particle size","Update production SOP","Supplier evaluation","Training for operators","Equipment calibration"),
G4="Dissolution rate high - 30 mins",CHOOSE(RANDBETWEEN(1,6),"Decrease disintegrant","Optimize granulation","Update production SOP","Supplier evaluation","Training for operators","Equipment calibration"),
G4="Dissolution rate high - 40 mins",CHOOSE(RANDBETWEEN(1,6),"Decrease surface area","Optimize compression","Update production SOP","Supplier evaluation","Training for operators","Equipment calibration"))</f>
        <v>Additional testing</v>
      </c>
    </row>
    <row r="5" spans="1:9" x14ac:dyDescent="0.35">
      <c r="A5" s="31">
        <v>200000503</v>
      </c>
      <c r="B5" s="31">
        <v>1010</v>
      </c>
      <c r="C5" s="31">
        <v>4003</v>
      </c>
      <c r="D5" s="29" t="s">
        <v>429</v>
      </c>
      <c r="E5" s="31">
        <v>1.2</v>
      </c>
      <c r="F5" s="34">
        <f ca="1">LOOKUP(C5,'QALS - Inspection Lot Record'!P:P,'QALS - Inspection Lot Record'!E:E)+RANDBETWEEN(0,1)</f>
        <v>45871</v>
      </c>
      <c r="G5" s="41" t="s">
        <v>476</v>
      </c>
      <c r="H5" s="34">
        <f t="shared" ca="1" si="0"/>
        <v>45872</v>
      </c>
      <c r="I5" s="29" t="str" cm="1">
        <f t="array" aca="1" ref="I5" ca="1">_xlfn.IFS(G5="Potency out of spec",CHOOSE(RANDBETWEEN(1,6),"Additional testing","Improve formulation","Update production SOP","Supplier evaluation","Training for operators","Equipment calibration"),
G5="PH Level out of range",CHOOSE(RANDBETWEEN(1,6),"PH monitoring","Adjust formulation","Update production SOP","Supplier evaluation","Training for operators","Equipment calibration"),
G5="Impurities out of limit",CHOOSE(RANDBETWEEN(1,6),"Improve purification","Raw material control","Update production SOP","Supplier evaluation","Training for operators","Equipment maintenance"),
G5="Process temp out of range",CHOOSE(RANDBETWEEN(1,6),"Temperature control","Update production SOP","Supplier evaluation","Training for operators",
"Equipment calibration","Preventive maintenance"),
G5="Dissolution rate low - 15 mins",CHOOSE(RANDBETWEEN(1,6),"Increase agitation","Reduce particle size","Update production SOP","Supplier evaluation",
"Training for operators","Equipment calibration"),
G5="Dissolution rate low - 30 mins",CHOOSE(RANDBETWEEN(1,6),"Increase disintegrant","Optimize granulation","Update production SOP","Supplier evaluation",
"Training for operators","Equipment calibration"),
G5="Dissolution rate low - 40 mins",CHOOSE(RANDBETWEEN(1,6),"Increase surface area","Optimize compression","Update production SOP","Supplier evaluation",
"Training for operators","Equipment calibration"),
G5="Dissolution rate high - 15 mins",CHOOSE(RANDBETWEEN(1,6),"Decrease agitation","Increase particle size","Update production SOP","Supplier evaluation","Training for operators","Equipment calibration"),
G5="Dissolution rate high - 30 mins",CHOOSE(RANDBETWEEN(1,6),"Decrease disintegrant","Optimize granulation","Update production SOP","Supplier evaluation","Training for operators","Equipment calibration"),
G5="Dissolution rate high - 40 mins",CHOOSE(RANDBETWEEN(1,6),"Decrease surface area","Optimize compression","Update production SOP","Supplier evaluation","Training for operators","Equipment calibration"))</f>
        <v>Supplier evaluation</v>
      </c>
    </row>
    <row r="6" spans="1:9" x14ac:dyDescent="0.35">
      <c r="A6" s="31">
        <v>200000503</v>
      </c>
      <c r="B6" s="31">
        <v>1010</v>
      </c>
      <c r="C6" s="31">
        <v>4003</v>
      </c>
      <c r="D6" s="29" t="s">
        <v>429</v>
      </c>
      <c r="E6" s="31">
        <v>38.700000000000003</v>
      </c>
      <c r="F6" s="34">
        <f ca="1">LOOKUP(C6,'QALS - Inspection Lot Record'!P:P,'QALS - Inspection Lot Record'!E:E)+RANDBETWEEN(0,1)</f>
        <v>45872</v>
      </c>
      <c r="G6" s="41" t="s">
        <v>478</v>
      </c>
      <c r="H6" s="34">
        <f t="shared" ca="1" si="0"/>
        <v>45874</v>
      </c>
      <c r="I6" s="29" t="str" cm="1">
        <f t="array" aca="1" ref="I6" ca="1">_xlfn.IFS(G6="Potency out of spec",CHOOSE(RANDBETWEEN(1,6),"Additional testing","Improve formulation","Update production SOP","Supplier evaluation","Training for operators","Equipment calibration"),
G6="PH Level out of range",CHOOSE(RANDBETWEEN(1,6),"PH monitoring","Adjust formulation","Update production SOP","Supplier evaluation","Training for operators","Equipment calibration"),
G6="Impurities out of limit",CHOOSE(RANDBETWEEN(1,6),"Improve purification","Raw material control","Update production SOP","Supplier evaluation","Training for operators","Equipment maintenance"),
G6="Process temp out of range",CHOOSE(RANDBETWEEN(1,6),"Temperature control","Update production SOP","Supplier evaluation","Training for operators",
"Equipment calibration","Preventive maintenance"),
G6="Dissolution rate low - 15 mins",CHOOSE(RANDBETWEEN(1,6),"Increase agitation","Reduce particle size","Update production SOP","Supplier evaluation",
"Training for operators","Equipment calibration"),
G6="Dissolution rate low - 30 mins",CHOOSE(RANDBETWEEN(1,6),"Increase disintegrant","Optimize granulation","Update production SOP","Supplier evaluation",
"Training for operators","Equipment calibration"),
G6="Dissolution rate low - 40 mins",CHOOSE(RANDBETWEEN(1,6),"Increase surface area","Optimize compression","Update production SOP","Supplier evaluation",
"Training for operators","Equipment calibration"),
G6="Dissolution rate high - 15 mins",CHOOSE(RANDBETWEEN(1,6),"Decrease agitation","Increase particle size","Update production SOP","Supplier evaluation","Training for operators","Equipment calibration"),
G6="Dissolution rate high - 30 mins",CHOOSE(RANDBETWEEN(1,6),"Decrease disintegrant","Optimize granulation","Update production SOP","Supplier evaluation","Training for operators","Equipment calibration"),
G6="Dissolution rate high - 40 mins",CHOOSE(RANDBETWEEN(1,6),"Decrease surface area","Optimize compression","Update production SOP","Supplier evaluation","Training for operators","Equipment calibration"))</f>
        <v>Training for operators</v>
      </c>
    </row>
    <row r="7" spans="1:9" x14ac:dyDescent="0.35">
      <c r="A7" s="31">
        <v>200000503</v>
      </c>
      <c r="B7" s="31">
        <v>1010</v>
      </c>
      <c r="C7" s="31">
        <v>4003</v>
      </c>
      <c r="D7" s="29" t="s">
        <v>429</v>
      </c>
      <c r="E7" s="31">
        <v>68</v>
      </c>
      <c r="F7" s="34">
        <f ca="1">LOOKUP(C7,'QALS - Inspection Lot Record'!P:P,'QALS - Inspection Lot Record'!E:E)+RANDBETWEEN(0,1)</f>
        <v>45872</v>
      </c>
      <c r="G7" s="41" t="s">
        <v>480</v>
      </c>
      <c r="H7" s="34">
        <f t="shared" ca="1" si="0"/>
        <v>45874</v>
      </c>
      <c r="I7" s="29" t="str" cm="1">
        <f t="array" aca="1" ref="I7" ca="1">_xlfn.IFS(G7="Potency out of spec",CHOOSE(RANDBETWEEN(1,6),"Additional testing","Improve formulation","Update production SOP","Supplier evaluation","Training for operators","Equipment calibration"),
G7="PH Level out of range",CHOOSE(RANDBETWEEN(1,6),"PH monitoring","Adjust formulation","Update production SOP","Supplier evaluation","Training for operators","Equipment calibration"),
G7="Impurities out of limit",CHOOSE(RANDBETWEEN(1,6),"Improve purification","Raw material control","Update production SOP","Supplier evaluation","Training for operators","Equipment maintenance"),
G7="Process temp out of range",CHOOSE(RANDBETWEEN(1,6),"Temperature control","Update production SOP","Supplier evaluation","Training for operators",
"Equipment calibration","Preventive maintenance"),
G7="Dissolution rate low - 15 mins",CHOOSE(RANDBETWEEN(1,6),"Increase agitation","Reduce particle size","Update production SOP","Supplier evaluation",
"Training for operators","Equipment calibration"),
G7="Dissolution rate low - 30 mins",CHOOSE(RANDBETWEEN(1,6),"Increase disintegrant","Optimize granulation","Update production SOP","Supplier evaluation",
"Training for operators","Equipment calibration"),
G7="Dissolution rate low - 40 mins",CHOOSE(RANDBETWEEN(1,6),"Increase surface area","Optimize compression","Update production SOP","Supplier evaluation",
"Training for operators","Equipment calibration"),
G7="Dissolution rate high - 15 mins",CHOOSE(RANDBETWEEN(1,6),"Decrease agitation","Increase particle size","Update production SOP","Supplier evaluation","Training for operators","Equipment calibration"),
G7="Dissolution rate high - 30 mins",CHOOSE(RANDBETWEEN(1,6),"Decrease disintegrant","Optimize granulation","Update production SOP","Supplier evaluation","Training for operators","Equipment calibration"),
G7="Dissolution rate high - 40 mins",CHOOSE(RANDBETWEEN(1,6),"Decrease surface area","Optimize compression","Update production SOP","Supplier evaluation","Training for operators","Equipment calibration"))</f>
        <v>Equipment calibration</v>
      </c>
    </row>
    <row r="8" spans="1:9" x14ac:dyDescent="0.35">
      <c r="A8" s="31">
        <v>200000504</v>
      </c>
      <c r="B8" s="31">
        <v>1010</v>
      </c>
      <c r="C8" s="31">
        <v>4004</v>
      </c>
      <c r="D8" s="29" t="s">
        <v>429</v>
      </c>
      <c r="E8" s="31">
        <v>93.6</v>
      </c>
      <c r="F8" s="34">
        <f ca="1">LOOKUP(C8,'QALS - Inspection Lot Record'!P:P,'QALS - Inspection Lot Record'!E:E)+RANDBETWEEN(0,1)</f>
        <v>45871</v>
      </c>
      <c r="G8" s="41" t="s">
        <v>472</v>
      </c>
      <c r="H8" s="34">
        <f t="shared" ca="1" si="0"/>
        <v>45872</v>
      </c>
      <c r="I8" s="29" t="str" cm="1">
        <f t="array" aca="1" ref="I8" ca="1">_xlfn.IFS(G8="Potency out of spec",CHOOSE(RANDBETWEEN(1,6),"Additional testing","Improve formulation","Update production SOP","Supplier evaluation","Training for operators","Equipment calibration"),
G8="PH Level out of range",CHOOSE(RANDBETWEEN(1,6),"PH monitoring","Adjust formulation","Update production SOP","Supplier evaluation","Training for operators","Equipment calibration"),
G8="Impurities out of limit",CHOOSE(RANDBETWEEN(1,6),"Improve purification","Raw material control","Update production SOP","Supplier evaluation","Training for operators","Equipment maintenance"),
G8="Process temp out of range",CHOOSE(RANDBETWEEN(1,6),"Temperature control","Update production SOP","Supplier evaluation","Training for operators",
"Equipment calibration","Preventive maintenance"),
G8="Dissolution rate low - 15 mins",CHOOSE(RANDBETWEEN(1,6),"Increase agitation","Reduce particle size","Update production SOP","Supplier evaluation",
"Training for operators","Equipment calibration"),
G8="Dissolution rate low - 30 mins",CHOOSE(RANDBETWEEN(1,6),"Increase disintegrant","Optimize granulation","Update production SOP","Supplier evaluation",
"Training for operators","Equipment calibration"),
G8="Dissolution rate low - 40 mins",CHOOSE(RANDBETWEEN(1,6),"Increase surface area","Optimize compression","Update production SOP","Supplier evaluation",
"Training for operators","Equipment calibration"),
G8="Dissolution rate high - 15 mins",CHOOSE(RANDBETWEEN(1,6),"Decrease agitation","Increase particle size","Update production SOP","Supplier evaluation","Training for operators","Equipment calibration"),
G8="Dissolution rate high - 30 mins",CHOOSE(RANDBETWEEN(1,6),"Decrease disintegrant","Optimize granulation","Update production SOP","Supplier evaluation","Training for operators","Equipment calibration"),
G8="Dissolution rate high - 40 mins",CHOOSE(RANDBETWEEN(1,6),"Decrease surface area","Optimize compression","Update production SOP","Supplier evaluation","Training for operators","Equipment calibration"))</f>
        <v>Supplier evaluation</v>
      </c>
    </row>
    <row r="9" spans="1:9" x14ac:dyDescent="0.35">
      <c r="A9" s="31">
        <v>200000504</v>
      </c>
      <c r="B9" s="31">
        <v>1010</v>
      </c>
      <c r="C9" s="31">
        <v>4004</v>
      </c>
      <c r="D9" s="29" t="s">
        <v>429</v>
      </c>
      <c r="E9" s="31">
        <v>1.8</v>
      </c>
      <c r="F9" s="34">
        <f ca="1">LOOKUP(C9,'QALS - Inspection Lot Record'!P:P,'QALS - Inspection Lot Record'!E:E)+RANDBETWEEN(0,1)</f>
        <v>45872</v>
      </c>
      <c r="G9" s="41" t="s">
        <v>474</v>
      </c>
      <c r="H9" s="34">
        <f t="shared" ca="1" si="0"/>
        <v>45873</v>
      </c>
      <c r="I9" s="29" t="str" cm="1">
        <f t="array" aca="1" ref="I9" ca="1">_xlfn.IFS(G9="Potency out of spec",CHOOSE(RANDBETWEEN(1,6),"Additional testing","Improve formulation","Update production SOP","Supplier evaluation","Training for operators","Equipment calibration"),
G9="PH Level out of range",CHOOSE(RANDBETWEEN(1,6),"PH monitoring","Adjust formulation","Update production SOP","Supplier evaluation","Training for operators","Equipment calibration"),
G9="Impurities out of limit",CHOOSE(RANDBETWEEN(1,6),"Improve purification","Raw material control","Update production SOP","Supplier evaluation","Training for operators","Equipment maintenance"),
G9="Process temp out of range",CHOOSE(RANDBETWEEN(1,6),"Temperature control","Update production SOP","Supplier evaluation","Training for operators",
"Equipment calibration","Preventive maintenance"),
G9="Dissolution rate low - 15 mins",CHOOSE(RANDBETWEEN(1,6),"Increase agitation","Reduce particle size","Update production SOP","Supplier evaluation",
"Training for operators","Equipment calibration"),
G9="Dissolution rate low - 30 mins",CHOOSE(RANDBETWEEN(1,6),"Increase disintegrant","Optimize granulation","Update production SOP","Supplier evaluation",
"Training for operators","Equipment calibration"),
G9="Dissolution rate low - 40 mins",CHOOSE(RANDBETWEEN(1,6),"Increase surface area","Optimize compression","Update production SOP","Supplier evaluation",
"Training for operators","Equipment calibration"),
G9="Dissolution rate high - 15 mins",CHOOSE(RANDBETWEEN(1,6),"Decrease agitation","Increase particle size","Update production SOP","Supplier evaluation","Training for operators","Equipment calibration"),
G9="Dissolution rate high - 30 mins",CHOOSE(RANDBETWEEN(1,6),"Decrease disintegrant","Optimize granulation","Update production SOP","Supplier evaluation","Training for operators","Equipment calibration"),
G9="Dissolution rate high - 40 mins",CHOOSE(RANDBETWEEN(1,6),"Decrease surface area","Optimize compression","Update production SOP","Supplier evaluation","Training for operators","Equipment calibration"))</f>
        <v>Equipment calibration</v>
      </c>
    </row>
    <row r="10" spans="1:9" x14ac:dyDescent="0.35">
      <c r="A10" s="31">
        <v>200000504</v>
      </c>
      <c r="B10" s="31">
        <v>1010</v>
      </c>
      <c r="C10" s="31">
        <v>4004</v>
      </c>
      <c r="D10" s="29" t="s">
        <v>429</v>
      </c>
      <c r="E10" s="31">
        <v>38.200000000000003</v>
      </c>
      <c r="F10" s="34">
        <f ca="1">LOOKUP(C10,'QALS - Inspection Lot Record'!P:P,'QALS - Inspection Lot Record'!E:E)+RANDBETWEEN(0,1)</f>
        <v>45871</v>
      </c>
      <c r="G10" s="41" t="s">
        <v>478</v>
      </c>
      <c r="H10" s="34">
        <f t="shared" ca="1" si="0"/>
        <v>45872</v>
      </c>
      <c r="I10" s="29" t="str" cm="1">
        <f t="array" aca="1" ref="I10" ca="1">_xlfn.IFS(G10="Potency out of spec",CHOOSE(RANDBETWEEN(1,6),"Additional testing","Improve formulation","Update production SOP","Supplier evaluation","Training for operators","Equipment calibration"),
G10="PH Level out of range",CHOOSE(RANDBETWEEN(1,6),"PH monitoring","Adjust formulation","Update production SOP","Supplier evaluation","Training for operators","Equipment calibration"),
G10="Impurities out of limit",CHOOSE(RANDBETWEEN(1,6),"Improve purification","Raw material control","Update production SOP","Supplier evaluation","Training for operators","Equipment maintenance"),
G10="Process temp out of range",CHOOSE(RANDBETWEEN(1,6),"Temperature control","Update production SOP","Supplier evaluation","Training for operators",
"Equipment calibration","Preventive maintenance"),
G10="Dissolution rate low - 15 mins",CHOOSE(RANDBETWEEN(1,6),"Increase agitation","Reduce particle size","Update production SOP","Supplier evaluation",
"Training for operators","Equipment calibration"),
G10="Dissolution rate low - 30 mins",CHOOSE(RANDBETWEEN(1,6),"Increase disintegrant","Optimize granulation","Update production SOP","Supplier evaluation",
"Training for operators","Equipment calibration"),
G10="Dissolution rate low - 40 mins",CHOOSE(RANDBETWEEN(1,6),"Increase surface area","Optimize compression","Update production SOP","Supplier evaluation",
"Training for operators","Equipment calibration"),
G10="Dissolution rate high - 15 mins",CHOOSE(RANDBETWEEN(1,6),"Decrease agitation","Increase particle size","Update production SOP","Supplier evaluation","Training for operators","Equipment calibration"),
G10="Dissolution rate high - 30 mins",CHOOSE(RANDBETWEEN(1,6),"Decrease disintegrant","Optimize granulation","Update production SOP","Supplier evaluation","Training for operators","Equipment calibration"),
G10="Dissolution rate high - 40 mins",CHOOSE(RANDBETWEEN(1,6),"Decrease surface area","Optimize compression","Update production SOP","Supplier evaluation","Training for operators","Equipment calibration"))</f>
        <v>Increase agitation</v>
      </c>
    </row>
    <row r="11" spans="1:9" x14ac:dyDescent="0.35">
      <c r="A11" s="31">
        <v>200000505</v>
      </c>
      <c r="B11" s="31">
        <v>1010</v>
      </c>
      <c r="C11" s="31">
        <v>4005</v>
      </c>
      <c r="D11" s="29" t="s">
        <v>433</v>
      </c>
      <c r="E11" s="31">
        <v>93.9</v>
      </c>
      <c r="F11" s="34">
        <f ca="1">LOOKUP(C11,'QALS - Inspection Lot Record'!P:P,'QALS - Inspection Lot Record'!E:E)+RANDBETWEEN(0,1)</f>
        <v>45872</v>
      </c>
      <c r="G11" s="41" t="s">
        <v>472</v>
      </c>
      <c r="H11" s="34">
        <f t="shared" ca="1" si="0"/>
        <v>45874</v>
      </c>
      <c r="I11" s="29" t="str" cm="1">
        <f t="array" aca="1" ref="I11" ca="1">_xlfn.IFS(G11="Potency out of spec",CHOOSE(RANDBETWEEN(1,6),"Additional testing","Improve formulation","Update production SOP","Supplier evaluation","Training for operators","Equipment calibration"),
G11="PH Level out of range",CHOOSE(RANDBETWEEN(1,6),"PH monitoring","Adjust formulation","Update production SOP","Supplier evaluation","Training for operators","Equipment calibration"),
G11="Impurities out of limit",CHOOSE(RANDBETWEEN(1,6),"Improve purification","Raw material control","Update production SOP","Supplier evaluation","Training for operators","Equipment maintenance"),
G11="Process temp out of range",CHOOSE(RANDBETWEEN(1,6),"Temperature control","Update production SOP","Supplier evaluation","Training for operators",
"Equipment calibration","Preventive maintenance"),
G11="Dissolution rate low - 15 mins",CHOOSE(RANDBETWEEN(1,6),"Increase agitation","Reduce particle size","Update production SOP","Supplier evaluation",
"Training for operators","Equipment calibration"),
G11="Dissolution rate low - 30 mins",CHOOSE(RANDBETWEEN(1,6),"Increase disintegrant","Optimize granulation","Update production SOP","Supplier evaluation",
"Training for operators","Equipment calibration"),
G11="Dissolution rate low - 40 mins",CHOOSE(RANDBETWEEN(1,6),"Increase surface area","Optimize compression","Update production SOP","Supplier evaluation",
"Training for operators","Equipment calibration"),
G11="Dissolution rate high - 15 mins",CHOOSE(RANDBETWEEN(1,6),"Decrease agitation","Increase particle size","Update production SOP","Supplier evaluation","Training for operators","Equipment calibration"),
G11="Dissolution rate high - 30 mins",CHOOSE(RANDBETWEEN(1,6),"Decrease disintegrant","Optimize granulation","Update production SOP","Supplier evaluation","Training for operators","Equipment calibration"),
G11="Dissolution rate high - 40 mins",CHOOSE(RANDBETWEEN(1,6),"Decrease surface area","Optimize compression","Update production SOP","Supplier evaluation","Training for operators","Equipment calibration"))</f>
        <v>Supplier evaluation</v>
      </c>
    </row>
    <row r="12" spans="1:9" x14ac:dyDescent="0.35">
      <c r="A12" s="31">
        <v>200000505</v>
      </c>
      <c r="B12" s="31">
        <v>1010</v>
      </c>
      <c r="C12" s="31">
        <v>4005</v>
      </c>
      <c r="D12" s="29" t="s">
        <v>433</v>
      </c>
      <c r="E12" s="31">
        <v>22</v>
      </c>
      <c r="F12" s="34">
        <f ca="1">LOOKUP(C12,'QALS - Inspection Lot Record'!P:P,'QALS - Inspection Lot Record'!E:E)+RANDBETWEEN(0,1)</f>
        <v>45873</v>
      </c>
      <c r="G12" s="41" t="s">
        <v>483</v>
      </c>
      <c r="H12" s="34">
        <f t="shared" ca="1" si="0"/>
        <v>45874</v>
      </c>
      <c r="I12" s="29" t="str" cm="1">
        <f t="array" aca="1" ref="I12" ca="1">_xlfn.IFS(G12="Potency out of spec",CHOOSE(RANDBETWEEN(1,6),"Additional testing","Improve formulation","Update production SOP","Supplier evaluation","Training for operators","Equipment calibration"),
G12="PH Level out of range",CHOOSE(RANDBETWEEN(1,6),"PH monitoring","Adjust formulation","Update production SOP","Supplier evaluation","Training for operators","Equipment calibration"),
G12="Impurities out of limit",CHOOSE(RANDBETWEEN(1,6),"Improve purification","Raw material control","Update production SOP","Supplier evaluation","Training for operators","Equipment maintenance"),
G12="Process temp out of range",CHOOSE(RANDBETWEEN(1,6),"Temperature control","Update production SOP","Supplier evaluation","Training for operators",
"Equipment calibration","Preventive maintenance"),
G12="Dissolution rate low - 15 mins",CHOOSE(RANDBETWEEN(1,6),"Increase agitation","Reduce particle size","Update production SOP","Supplier evaluation",
"Training for operators","Equipment calibration"),
G12="Dissolution rate low - 30 mins",CHOOSE(RANDBETWEEN(1,6),"Increase disintegrant","Optimize granulation","Update production SOP","Supplier evaluation",
"Training for operators","Equipment calibration"),
G12="Dissolution rate low - 40 mins",CHOOSE(RANDBETWEEN(1,6),"Increase surface area","Optimize compression","Update production SOP","Supplier evaluation",
"Training for operators","Equipment calibration"),
G12="Dissolution rate high - 15 mins",CHOOSE(RANDBETWEEN(1,6),"Decrease agitation","Increase particle size","Update production SOP","Supplier evaluation","Training for operators","Equipment calibration"),
G12="Dissolution rate high - 30 mins",CHOOSE(RANDBETWEEN(1,6),"Decrease disintegrant","Optimize granulation","Update production SOP","Supplier evaluation","Training for operators","Equipment calibration"),
G12="Dissolution rate high - 40 mins",CHOOSE(RANDBETWEEN(1,6),"Decrease surface area","Optimize compression","Update production SOP","Supplier evaluation","Training for operators","Equipment calibration"))</f>
        <v>Preventive maintenance</v>
      </c>
    </row>
    <row r="13" spans="1:9" x14ac:dyDescent="0.35">
      <c r="A13" s="31">
        <v>200000506</v>
      </c>
      <c r="B13" s="31">
        <v>1010</v>
      </c>
      <c r="C13" s="31">
        <v>4008</v>
      </c>
      <c r="D13" s="29" t="s">
        <v>433</v>
      </c>
      <c r="E13" s="31">
        <v>93.9</v>
      </c>
      <c r="F13" s="34">
        <f ca="1">LOOKUP(C13,'QALS - Inspection Lot Record'!P:P,'QALS - Inspection Lot Record'!E:E)+RANDBETWEEN(0,1)</f>
        <v>45874</v>
      </c>
      <c r="G13" s="41" t="s">
        <v>472</v>
      </c>
      <c r="H13" s="34">
        <f t="shared" ca="1" si="0"/>
        <v>45876</v>
      </c>
      <c r="I13" s="29" t="str" cm="1">
        <f t="array" aca="1" ref="I13" ca="1">_xlfn.IFS(G13="Potency out of spec",CHOOSE(RANDBETWEEN(1,6),"Additional testing","Improve formulation","Update production SOP","Supplier evaluation","Training for operators","Equipment calibration"),
G13="PH Level out of range",CHOOSE(RANDBETWEEN(1,6),"PH monitoring","Adjust formulation","Update production SOP","Supplier evaluation","Training for operators","Equipment calibration"),
G13="Impurities out of limit",CHOOSE(RANDBETWEEN(1,6),"Improve purification","Raw material control","Update production SOP","Supplier evaluation","Training for operators","Equipment maintenance"),
G13="Process temp out of range",CHOOSE(RANDBETWEEN(1,6),"Temperature control","Update production SOP","Supplier evaluation","Training for operators",
"Equipment calibration","Preventive maintenance"),
G13="Dissolution rate low - 15 mins",CHOOSE(RANDBETWEEN(1,6),"Increase agitation","Reduce particle size","Update production SOP","Supplier evaluation",
"Training for operators","Equipment calibration"),
G13="Dissolution rate low - 30 mins",CHOOSE(RANDBETWEEN(1,6),"Increase disintegrant","Optimize granulation","Update production SOP","Supplier evaluation",
"Training for operators","Equipment calibration"),
G13="Dissolution rate low - 40 mins",CHOOSE(RANDBETWEEN(1,6),"Increase surface area","Optimize compression","Update production SOP","Supplier evaluation",
"Training for operators","Equipment calibration"),
G13="Dissolution rate high - 15 mins",CHOOSE(RANDBETWEEN(1,6),"Decrease agitation","Increase particle size","Update production SOP","Supplier evaluation","Training for operators","Equipment calibration"),
G13="Dissolution rate high - 30 mins",CHOOSE(RANDBETWEEN(1,6),"Decrease disintegrant","Optimize granulation","Update production SOP","Supplier evaluation","Training for operators","Equipment calibration"),
G13="Dissolution rate high - 40 mins",CHOOSE(RANDBETWEEN(1,6),"Decrease surface area","Optimize compression","Update production SOP","Supplier evaluation","Training for operators","Equipment calibration"))</f>
        <v>Improve formulation</v>
      </c>
    </row>
    <row r="14" spans="1:9" x14ac:dyDescent="0.35">
      <c r="A14" s="31">
        <v>200000507</v>
      </c>
      <c r="B14" s="31">
        <v>1010</v>
      </c>
      <c r="C14" s="31">
        <v>4009</v>
      </c>
      <c r="D14" s="29" t="s">
        <v>431</v>
      </c>
      <c r="E14" s="31">
        <v>93.4</v>
      </c>
      <c r="F14" s="34">
        <f ca="1">LOOKUP(C14,'QALS - Inspection Lot Record'!P:P,'QALS - Inspection Lot Record'!E:E)+RANDBETWEEN(0,1)</f>
        <v>45874</v>
      </c>
      <c r="G14" s="41" t="s">
        <v>472</v>
      </c>
      <c r="H14" s="34">
        <f t="shared" ca="1" si="0"/>
        <v>45874</v>
      </c>
      <c r="I14" s="29" t="str" cm="1">
        <f t="array" aca="1" ref="I14" ca="1">_xlfn.IFS(G14="Potency out of spec",CHOOSE(RANDBETWEEN(1,6),"Additional testing","Improve formulation","Update production SOP","Supplier evaluation","Training for operators","Equipment calibration"),
G14="PH Level out of range",CHOOSE(RANDBETWEEN(1,6),"PH monitoring","Adjust formulation","Update production SOP","Supplier evaluation","Training for operators","Equipment calibration"),
G14="Impurities out of limit",CHOOSE(RANDBETWEEN(1,6),"Improve purification","Raw material control","Update production SOP","Supplier evaluation","Training for operators","Equipment maintenance"),
G14="Process temp out of range",CHOOSE(RANDBETWEEN(1,6),"Temperature control","Update production SOP","Supplier evaluation","Training for operators",
"Equipment calibration","Preventive maintenance"),
G14="Dissolution rate low - 15 mins",CHOOSE(RANDBETWEEN(1,6),"Increase agitation","Reduce particle size","Update production SOP","Supplier evaluation",
"Training for operators","Equipment calibration"),
G14="Dissolution rate low - 30 mins",CHOOSE(RANDBETWEEN(1,6),"Increase disintegrant","Optimize granulation","Update production SOP","Supplier evaluation",
"Training for operators","Equipment calibration"),
G14="Dissolution rate low - 40 mins",CHOOSE(RANDBETWEEN(1,6),"Increase surface area","Optimize compression","Update production SOP","Supplier evaluation",
"Training for operators","Equipment calibration"),
G14="Dissolution rate high - 15 mins",CHOOSE(RANDBETWEEN(1,6),"Decrease agitation","Increase particle size","Update production SOP","Supplier evaluation","Training for operators","Equipment calibration"),
G14="Dissolution rate high - 30 mins",CHOOSE(RANDBETWEEN(1,6),"Decrease disintegrant","Optimize granulation","Update production SOP","Supplier evaluation","Training for operators","Equipment calibration"),
G14="Dissolution rate high - 40 mins",CHOOSE(RANDBETWEEN(1,6),"Decrease surface area","Optimize compression","Update production SOP","Supplier evaluation","Training for operators","Equipment calibration"))</f>
        <v>Supplier evaluation</v>
      </c>
    </row>
    <row r="15" spans="1:9" x14ac:dyDescent="0.35">
      <c r="A15" s="31">
        <v>200000507</v>
      </c>
      <c r="B15" s="31">
        <v>1010</v>
      </c>
      <c r="C15" s="31">
        <v>4009</v>
      </c>
      <c r="D15" s="29" t="s">
        <v>431</v>
      </c>
      <c r="E15" s="31">
        <v>5</v>
      </c>
      <c r="F15" s="34">
        <f ca="1">LOOKUP(C15,'QALS - Inspection Lot Record'!P:P,'QALS - Inspection Lot Record'!E:E)+RANDBETWEEN(0,1)</f>
        <v>45874</v>
      </c>
      <c r="G15" s="41" t="s">
        <v>474</v>
      </c>
      <c r="H15" s="34">
        <f t="shared" ca="1" si="0"/>
        <v>45875</v>
      </c>
      <c r="I15" s="29" t="str" cm="1">
        <f t="array" aca="1" ref="I15" ca="1">_xlfn.IFS(G15="Potency out of spec",CHOOSE(RANDBETWEEN(1,6),"Additional testing","Improve formulation","Update production SOP","Supplier evaluation","Training for operators","Equipment calibration"),
G15="PH Level out of range",CHOOSE(RANDBETWEEN(1,6),"PH monitoring","Adjust formulation","Update production SOP","Supplier evaluation","Training for operators","Equipment calibration"),
G15="Impurities out of limit",CHOOSE(RANDBETWEEN(1,6),"Improve purification","Raw material control","Update production SOP","Supplier evaluation","Training for operators","Equipment maintenance"),
G15="Process temp out of range",CHOOSE(RANDBETWEEN(1,6),"Temperature control","Update production SOP","Supplier evaluation","Training for operators",
"Equipment calibration","Preventive maintenance"),
G15="Dissolution rate low - 15 mins",CHOOSE(RANDBETWEEN(1,6),"Increase agitation","Reduce particle size","Update production SOP","Supplier evaluation",
"Training for operators","Equipment calibration"),
G15="Dissolution rate low - 30 mins",CHOOSE(RANDBETWEEN(1,6),"Increase disintegrant","Optimize granulation","Update production SOP","Supplier evaluation",
"Training for operators","Equipment calibration"),
G15="Dissolution rate low - 40 mins",CHOOSE(RANDBETWEEN(1,6),"Increase surface area","Optimize compression","Update production SOP","Supplier evaluation",
"Training for operators","Equipment calibration"),
G15="Dissolution rate high - 15 mins",CHOOSE(RANDBETWEEN(1,6),"Decrease agitation","Increase particle size","Update production SOP","Supplier evaluation","Training for operators","Equipment calibration"),
G15="Dissolution rate high - 30 mins",CHOOSE(RANDBETWEEN(1,6),"Decrease disintegrant","Optimize granulation","Update production SOP","Supplier evaluation","Training for operators","Equipment calibration"),
G15="Dissolution rate high - 40 mins",CHOOSE(RANDBETWEEN(1,6),"Decrease surface area","Optimize compression","Update production SOP","Supplier evaluation","Training for operators","Equipment calibration"))</f>
        <v>Supplier evaluation</v>
      </c>
    </row>
    <row r="16" spans="1:9" x14ac:dyDescent="0.35">
      <c r="A16" s="31">
        <v>200000508</v>
      </c>
      <c r="B16" s="31">
        <v>1010</v>
      </c>
      <c r="C16" s="31">
        <v>4010</v>
      </c>
      <c r="D16" s="29" t="s">
        <v>429</v>
      </c>
      <c r="E16" s="31">
        <v>78.7</v>
      </c>
      <c r="F16" s="34">
        <f ca="1">LOOKUP(C16,'QALS - Inspection Lot Record'!P:P,'QALS - Inspection Lot Record'!E:E)+RANDBETWEEN(0,1)</f>
        <v>45874</v>
      </c>
      <c r="G16" s="41" t="s">
        <v>486</v>
      </c>
      <c r="H16" s="34">
        <f t="shared" ca="1" si="0"/>
        <v>45875</v>
      </c>
      <c r="I16" s="29" t="str" cm="1">
        <f t="array" aca="1" ref="I16" ca="1">_xlfn.IFS(G16="Potency out of spec",CHOOSE(RANDBETWEEN(1,6),"Additional testing","Improve formulation","Update production SOP","Supplier evaluation","Training for operators","Equipment calibration"),
G16="PH Level out of range",CHOOSE(RANDBETWEEN(1,6),"PH monitoring","Adjust formulation","Update production SOP","Supplier evaluation","Training for operators","Equipment calibration"),
G16="Impurities out of limit",CHOOSE(RANDBETWEEN(1,6),"Improve purification","Raw material control","Update production SOP","Supplier evaluation","Training for operators","Equipment maintenance"),
G16="Process temp out of range",CHOOSE(RANDBETWEEN(1,6),"Temperature control","Update production SOP","Supplier evaluation","Training for operators",
"Equipment calibration","Preventive maintenance"),
G16="Dissolution rate low - 15 mins",CHOOSE(RANDBETWEEN(1,6),"Increase agitation","Reduce particle size","Update production SOP","Supplier evaluation",
"Training for operators","Equipment calibration"),
G16="Dissolution rate low - 30 mins",CHOOSE(RANDBETWEEN(1,6),"Increase disintegrant","Optimize granulation","Update production SOP","Supplier evaluation",
"Training for operators","Equipment calibration"),
G16="Dissolution rate low - 40 mins",CHOOSE(RANDBETWEEN(1,6),"Increase surface area","Optimize compression","Update production SOP","Supplier evaluation",
"Training for operators","Equipment calibration"),
G16="Dissolution rate high - 15 mins",CHOOSE(RANDBETWEEN(1,6),"Decrease agitation","Increase particle size","Update production SOP","Supplier evaluation","Training for operators","Equipment calibration"),
G16="Dissolution rate high - 30 mins",CHOOSE(RANDBETWEEN(1,6),"Decrease disintegrant","Optimize granulation","Update production SOP","Supplier evaluation","Training for operators","Equipment calibration"),
G16="Dissolution rate high - 40 mins",CHOOSE(RANDBETWEEN(1,6),"Decrease surface area","Optimize compression","Update production SOP","Supplier evaluation","Training for operators","Equipment calibration"))</f>
        <v>Update production SOP</v>
      </c>
    </row>
    <row r="17" spans="1:9" x14ac:dyDescent="0.35">
      <c r="A17" s="31">
        <v>200000509</v>
      </c>
      <c r="B17" s="31">
        <v>1010</v>
      </c>
      <c r="C17" s="31">
        <v>4011</v>
      </c>
      <c r="D17" s="29" t="s">
        <v>503</v>
      </c>
      <c r="E17" s="31">
        <v>93.9</v>
      </c>
      <c r="F17" s="34">
        <f ca="1">LOOKUP(C17,'QALS - Inspection Lot Record'!P:P,'QALS - Inspection Lot Record'!E:E)+RANDBETWEEN(0,1)</f>
        <v>45875</v>
      </c>
      <c r="G17" s="41" t="s">
        <v>472</v>
      </c>
      <c r="H17" s="34">
        <f t="shared" ca="1" si="0"/>
        <v>45877</v>
      </c>
      <c r="I17" s="29" t="str" cm="1">
        <f t="array" aca="1" ref="I17" ca="1">_xlfn.IFS(G17="Potency out of spec",CHOOSE(RANDBETWEEN(1,6),"Additional testing","Improve formulation","Update production SOP","Supplier evaluation","Training for operators","Equipment calibration"),
G17="PH Level out of range",CHOOSE(RANDBETWEEN(1,6),"PH monitoring","Adjust formulation","Update production SOP","Supplier evaluation","Training for operators","Equipment calibration"),
G17="Impurities out of limit",CHOOSE(RANDBETWEEN(1,6),"Improve purification","Raw material control","Update production SOP","Supplier evaluation","Training for operators","Equipment maintenance"),
G17="Process temp out of range",CHOOSE(RANDBETWEEN(1,6),"Temperature control","Update production SOP","Supplier evaluation","Training for operators",
"Equipment calibration","Preventive maintenance"),
G17="Dissolution rate low - 15 mins",CHOOSE(RANDBETWEEN(1,6),"Increase agitation","Reduce particle size","Update production SOP","Supplier evaluation",
"Training for operators","Equipment calibration"),
G17="Dissolution rate low - 30 mins",CHOOSE(RANDBETWEEN(1,6),"Increase disintegrant","Optimize granulation","Update production SOP","Supplier evaluation",
"Training for operators","Equipment calibration"),
G17="Dissolution rate low - 40 mins",CHOOSE(RANDBETWEEN(1,6),"Increase surface area","Optimize compression","Update production SOP","Supplier evaluation",
"Training for operators","Equipment calibration"),
G17="Dissolution rate high - 15 mins",CHOOSE(RANDBETWEEN(1,6),"Decrease agitation","Increase particle size","Update production SOP","Supplier evaluation","Training for operators","Equipment calibration"),
G17="Dissolution rate high - 30 mins",CHOOSE(RANDBETWEEN(1,6),"Decrease disintegrant","Optimize granulation","Update production SOP","Supplier evaluation","Training for operators","Equipment calibration"),
G17="Dissolution rate high - 40 mins",CHOOSE(RANDBETWEEN(1,6),"Decrease surface area","Optimize compression","Update production SOP","Supplier evaluation","Training for operators","Equipment calibration"))</f>
        <v>Supplier evaluation</v>
      </c>
    </row>
    <row r="18" spans="1:9" x14ac:dyDescent="0.35">
      <c r="A18" s="31">
        <v>200000510</v>
      </c>
      <c r="B18" s="31">
        <v>1010</v>
      </c>
      <c r="C18" s="31">
        <v>4012</v>
      </c>
      <c r="D18" s="29" t="s">
        <v>429</v>
      </c>
      <c r="E18" s="31">
        <v>93.2</v>
      </c>
      <c r="F18" s="34">
        <f ca="1">LOOKUP(C18,'QALS - Inspection Lot Record'!P:P,'QALS - Inspection Lot Record'!E:E)+RANDBETWEEN(0,1)</f>
        <v>45875</v>
      </c>
      <c r="G18" s="41" t="s">
        <v>472</v>
      </c>
      <c r="H18" s="34">
        <f t="shared" ca="1" si="0"/>
        <v>45875</v>
      </c>
      <c r="I18" s="29" t="str" cm="1">
        <f t="array" aca="1" ref="I18" ca="1">_xlfn.IFS(G18="Potency out of spec",CHOOSE(RANDBETWEEN(1,6),"Additional testing","Improve formulation","Update production SOP","Supplier evaluation","Training for operators","Equipment calibration"),
G18="PH Level out of range",CHOOSE(RANDBETWEEN(1,6),"PH monitoring","Adjust formulation","Update production SOP","Supplier evaluation","Training for operators","Equipment calibration"),
G18="Impurities out of limit",CHOOSE(RANDBETWEEN(1,6),"Improve purification","Raw material control","Update production SOP","Supplier evaluation","Training for operators","Equipment maintenance"),
G18="Process temp out of range",CHOOSE(RANDBETWEEN(1,6),"Temperature control","Update production SOP","Supplier evaluation","Training for operators",
"Equipment calibration","Preventive maintenance"),
G18="Dissolution rate low - 15 mins",CHOOSE(RANDBETWEEN(1,6),"Increase agitation","Reduce particle size","Update production SOP","Supplier evaluation",
"Training for operators","Equipment calibration"),
G18="Dissolution rate low - 30 mins",CHOOSE(RANDBETWEEN(1,6),"Increase disintegrant","Optimize granulation","Update production SOP","Supplier evaluation",
"Training for operators","Equipment calibration"),
G18="Dissolution rate low - 40 mins",CHOOSE(RANDBETWEEN(1,6),"Increase surface area","Optimize compression","Update production SOP","Supplier evaluation",
"Training for operators","Equipment calibration"),
G18="Dissolution rate high - 15 mins",CHOOSE(RANDBETWEEN(1,6),"Decrease agitation","Increase particle size","Update production SOP","Supplier evaluation","Training for operators","Equipment calibration"),
G18="Dissolution rate high - 30 mins",CHOOSE(RANDBETWEEN(1,6),"Decrease disintegrant","Optimize granulation","Update production SOP","Supplier evaluation","Training for operators","Equipment calibration"),
G18="Dissolution rate high - 40 mins",CHOOSE(RANDBETWEEN(1,6),"Decrease surface area","Optimize compression","Update production SOP","Supplier evaluation","Training for operators","Equipment calibration"))</f>
        <v>Equipment calibration</v>
      </c>
    </row>
    <row r="19" spans="1:9" x14ac:dyDescent="0.35">
      <c r="A19" s="31">
        <v>200000511</v>
      </c>
      <c r="B19" s="31">
        <v>1010</v>
      </c>
      <c r="C19" s="31">
        <v>4013</v>
      </c>
      <c r="D19" s="29" t="s">
        <v>433</v>
      </c>
      <c r="E19" s="31">
        <v>68.3</v>
      </c>
      <c r="F19" s="34">
        <f ca="1">LOOKUP(C19,'QALS - Inspection Lot Record'!P:P,'QALS - Inspection Lot Record'!E:E)+RANDBETWEEN(0,1)</f>
        <v>45876</v>
      </c>
      <c r="G19" s="41" t="s">
        <v>480</v>
      </c>
      <c r="H19" s="34">
        <f t="shared" ca="1" si="0"/>
        <v>45878</v>
      </c>
      <c r="I19" s="29" t="str" cm="1">
        <f t="array" aca="1" ref="I19" ca="1">_xlfn.IFS(G19="Potency out of spec",CHOOSE(RANDBETWEEN(1,6),"Additional testing","Improve formulation","Update production SOP","Supplier evaluation","Training for operators","Equipment calibration"),
G19="PH Level out of range",CHOOSE(RANDBETWEEN(1,6),"PH monitoring","Adjust formulation","Update production SOP","Supplier evaluation","Training for operators","Equipment calibration"),
G19="Impurities out of limit",CHOOSE(RANDBETWEEN(1,6),"Improve purification","Raw material control","Update production SOP","Supplier evaluation","Training for operators","Equipment maintenance"),
G19="Process temp out of range",CHOOSE(RANDBETWEEN(1,6),"Temperature control","Update production SOP","Supplier evaluation","Training for operators",
"Equipment calibration","Preventive maintenance"),
G19="Dissolution rate low - 15 mins",CHOOSE(RANDBETWEEN(1,6),"Increase agitation","Reduce particle size","Update production SOP","Supplier evaluation",
"Training for operators","Equipment calibration"),
G19="Dissolution rate low - 30 mins",CHOOSE(RANDBETWEEN(1,6),"Increase disintegrant","Optimize granulation","Update production SOP","Supplier evaluation",
"Training for operators","Equipment calibration"),
G19="Dissolution rate low - 40 mins",CHOOSE(RANDBETWEEN(1,6),"Increase surface area","Optimize compression","Update production SOP","Supplier evaluation",
"Training for operators","Equipment calibration"),
G19="Dissolution rate high - 15 mins",CHOOSE(RANDBETWEEN(1,6),"Decrease agitation","Increase particle size","Update production SOP","Supplier evaluation","Training for operators","Equipment calibration"),
G19="Dissolution rate high - 30 mins",CHOOSE(RANDBETWEEN(1,6),"Decrease disintegrant","Optimize granulation","Update production SOP","Supplier evaluation","Training for operators","Equipment calibration"),
G19="Dissolution rate high - 40 mins",CHOOSE(RANDBETWEEN(1,6),"Decrease surface area","Optimize compression","Update production SOP","Supplier evaluation","Training for operators","Equipment calibration"))</f>
        <v>Equipment calibration</v>
      </c>
    </row>
    <row r="20" spans="1:9" x14ac:dyDescent="0.35">
      <c r="A20" s="31">
        <v>200000512</v>
      </c>
      <c r="B20" s="31">
        <v>1010</v>
      </c>
      <c r="C20" s="31">
        <v>4014</v>
      </c>
      <c r="D20" s="29" t="s">
        <v>503</v>
      </c>
      <c r="E20" s="31">
        <v>1.2</v>
      </c>
      <c r="F20" s="34">
        <f ca="1">LOOKUP(C20,'QALS - Inspection Lot Record'!P:P,'QALS - Inspection Lot Record'!E:E)+RANDBETWEEN(0,1)</f>
        <v>45877</v>
      </c>
      <c r="G20" s="41" t="s">
        <v>476</v>
      </c>
      <c r="H20" s="34">
        <f t="shared" ca="1" si="0"/>
        <v>45878</v>
      </c>
      <c r="I20" s="29" t="str" cm="1">
        <f t="array" aca="1" ref="I20" ca="1">_xlfn.IFS(G20="Potency out of spec",CHOOSE(RANDBETWEEN(1,6),"Additional testing","Improve formulation","Update production SOP","Supplier evaluation","Training for operators","Equipment calibration"),
G20="PH Level out of range",CHOOSE(RANDBETWEEN(1,6),"PH monitoring","Adjust formulation","Update production SOP","Supplier evaluation","Training for operators","Equipment calibration"),
G20="Impurities out of limit",CHOOSE(RANDBETWEEN(1,6),"Improve purification","Raw material control","Update production SOP","Supplier evaluation","Training for operators","Equipment maintenance"),
G20="Process temp out of range",CHOOSE(RANDBETWEEN(1,6),"Temperature control","Update production SOP","Supplier evaluation","Training for operators",
"Equipment calibration","Preventive maintenance"),
G20="Dissolution rate low - 15 mins",CHOOSE(RANDBETWEEN(1,6),"Increase agitation","Reduce particle size","Update production SOP","Supplier evaluation",
"Training for operators","Equipment calibration"),
G20="Dissolution rate low - 30 mins",CHOOSE(RANDBETWEEN(1,6),"Increase disintegrant","Optimize granulation","Update production SOP","Supplier evaluation",
"Training for operators","Equipment calibration"),
G20="Dissolution rate low - 40 mins",CHOOSE(RANDBETWEEN(1,6),"Increase surface area","Optimize compression","Update production SOP","Supplier evaluation",
"Training for operators","Equipment calibration"),
G20="Dissolution rate high - 15 mins",CHOOSE(RANDBETWEEN(1,6),"Decrease agitation","Increase particle size","Update production SOP","Supplier evaluation","Training for operators","Equipment calibration"),
G20="Dissolution rate high - 30 mins",CHOOSE(RANDBETWEEN(1,6),"Decrease disintegrant","Optimize granulation","Update production SOP","Supplier evaluation","Training for operators","Equipment calibration"),
G20="Dissolution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1" spans="1:9" x14ac:dyDescent="0.35">
      <c r="A21" s="31">
        <v>200000512</v>
      </c>
      <c r="B21" s="31">
        <v>1010</v>
      </c>
      <c r="C21" s="31">
        <v>4014</v>
      </c>
      <c r="D21" s="29" t="s">
        <v>503</v>
      </c>
      <c r="E21" s="31">
        <v>78.099999999999994</v>
      </c>
      <c r="F21" s="34">
        <f ca="1">LOOKUP(C21,'QALS - Inspection Lot Record'!P:P,'QALS - Inspection Lot Record'!E:E)+RANDBETWEEN(0,1)</f>
        <v>45877</v>
      </c>
      <c r="G21" s="41" t="s">
        <v>486</v>
      </c>
      <c r="H21" s="34">
        <f t="shared" ca="1" si="0"/>
        <v>45879</v>
      </c>
      <c r="I21" s="29" t="str" cm="1">
        <f t="array" aca="1" ref="I21" ca="1">_xlfn.IFS(G21="Potency out of spec",CHOOSE(RANDBETWEEN(1,6),"Additional testing","Improve formulation","Update production SOP","Supplier evaluation","Training for operators","Equipment calibration"),
G21="PH Level out of range",CHOOSE(RANDBETWEEN(1,6),"PH monitoring","Adjust formulation","Update production SOP","Supplier evaluation","Training for operators","Equipment calibration"),
G21="Impurities out of limit",CHOOSE(RANDBETWEEN(1,6),"Improve purification","Raw material control","Update production SOP","Supplier evaluation","Training for operators","Equipment maintenance"),
G21="Process temp out of range",CHOOSE(RANDBETWEEN(1,6),"Temperature control","Update production SOP","Supplier evaluation","Training for operators",
"Equipment calibration","Preventive maintenance"),
G21="Dissolution rate low - 15 mins",CHOOSE(RANDBETWEEN(1,6),"Increase agitation","Reduce particle size","Update production SOP","Supplier evaluation",
"Training for operators","Equipment calibration"),
G21="Dissolution rate low - 30 mins",CHOOSE(RANDBETWEEN(1,6),"Increase disintegrant","Optimize granulation","Update production SOP","Supplier evaluation",
"Training for operators","Equipment calibration"),
G21="Dissolution rate low - 40 mins",CHOOSE(RANDBETWEEN(1,6),"Increase surface area","Optimize compression","Update production SOP","Supplier evaluation",
"Training for operators","Equipment calibration"),
G21="Dissolution rate high - 15 mins",CHOOSE(RANDBETWEEN(1,6),"Decrease agitation","Increase particle size","Update production SOP","Supplier evaluation","Training for operators","Equipment calibration"),
G21="Dissolution rate high - 30 mins",CHOOSE(RANDBETWEEN(1,6),"Decrease disintegrant","Optimize granulation","Update production SOP","Supplier evaluation","Training for operators","Equipment calibration"),
G21="Dissolution rate high - 40 mins",CHOOSE(RANDBETWEEN(1,6),"Decrease surface area","Optimize compression","Update production SOP","Supplier evaluation","Training for operators","Equipment calibration"))</f>
        <v>Optimize compression</v>
      </c>
    </row>
    <row r="22" spans="1:9" x14ac:dyDescent="0.35">
      <c r="A22" s="31">
        <v>200000513</v>
      </c>
      <c r="B22" s="31">
        <v>1010</v>
      </c>
      <c r="C22" s="31">
        <v>4015</v>
      </c>
      <c r="D22" s="29" t="s">
        <v>503</v>
      </c>
      <c r="E22" s="31">
        <v>94</v>
      </c>
      <c r="F22" s="34">
        <f ca="1">LOOKUP(C22,'QALS - Inspection Lot Record'!P:P,'QALS - Inspection Lot Record'!E:E)+RANDBETWEEN(0,1)</f>
        <v>45878</v>
      </c>
      <c r="G22" s="41" t="s">
        <v>472</v>
      </c>
      <c r="H22" s="34">
        <f t="shared" ca="1" si="0"/>
        <v>45878</v>
      </c>
      <c r="I22" s="29" t="str" cm="1">
        <f t="array" aca="1" ref="I22" ca="1">_xlfn.IFS(G22="Potency out of spec",CHOOSE(RANDBETWEEN(1,6),"Additional testing","Improve formulation","Update production SOP","Supplier evaluation","Training for operators","Equipment calibration"),
G22="PH Level out of range",CHOOSE(RANDBETWEEN(1,6),"PH monitoring","Adjust formulation","Update production SOP","Supplier evaluation","Training for operators","Equipment calibration"),
G22="Impurities out of limit",CHOOSE(RANDBETWEEN(1,6),"Improve purification","Raw material control","Update production SOP","Supplier evaluation","Training for operators","Equipment maintenance"),
G22="Process temp out of range",CHOOSE(RANDBETWEEN(1,6),"Temperature control","Update production SOP","Supplier evaluation","Training for operators",
"Equipment calibration","Preventive maintenance"),
G22="Dissolution rate low - 15 mins",CHOOSE(RANDBETWEEN(1,6),"Increase agitation","Reduce particle size","Update production SOP","Supplier evaluation",
"Training for operators","Equipment calibration"),
G22="Dissolution rate low - 30 mins",CHOOSE(RANDBETWEEN(1,6),"Increase disintegrant","Optimize granulation","Update production SOP","Supplier evaluation",
"Training for operators","Equipment calibration"),
G22="Dissolution rate low - 40 mins",CHOOSE(RANDBETWEEN(1,6),"Increase surface area","Optimize compression","Update production SOP","Supplier evaluation",
"Training for operators","Equipment calibration"),
G22="Dissolution rate high - 15 mins",CHOOSE(RANDBETWEEN(1,6),"Decrease agitation","Increase particle size","Update production SOP","Supplier evaluation","Training for operators","Equipment calibration"),
G22="Dissolution rate high - 30 mins",CHOOSE(RANDBETWEEN(1,6),"Decrease disintegrant","Optimize granulation","Update production SOP","Supplier evaluation","Training for operators","Equipment calibration"),
G22="Dissolution rate high - 40 mins",CHOOSE(RANDBETWEEN(1,6),"Decrease surface area","Optimize compression","Update production SOP","Supplier evaluation","Training for operators","Equipment calibration"))</f>
        <v>Improve formulation</v>
      </c>
    </row>
    <row r="23" spans="1:9" x14ac:dyDescent="0.35">
      <c r="A23" s="31">
        <v>200000514</v>
      </c>
      <c r="B23" s="31">
        <v>1010</v>
      </c>
      <c r="C23" s="31">
        <v>4016</v>
      </c>
      <c r="D23" s="29" t="s">
        <v>431</v>
      </c>
      <c r="E23" s="31">
        <v>93.7</v>
      </c>
      <c r="F23" s="34">
        <f ca="1">LOOKUP(C23,'QALS - Inspection Lot Record'!P:P,'QALS - Inspection Lot Record'!E:E)+RANDBETWEEN(0,1)</f>
        <v>45877</v>
      </c>
      <c r="G23" s="41" t="s">
        <v>472</v>
      </c>
      <c r="H23" s="34">
        <f t="shared" ca="1" si="0"/>
        <v>45877</v>
      </c>
      <c r="I23" s="29" t="str" cm="1">
        <f t="array" aca="1" ref="I23" ca="1">_xlfn.IFS(G23="Potency out of spec",CHOOSE(RANDBETWEEN(1,6),"Additional testing","Improve formulation","Update production SOP","Supplier evaluation","Training for operators","Equipment calibration"),
G23="PH Level out of range",CHOOSE(RANDBETWEEN(1,6),"PH monitoring","Adjust formulation","Update production SOP","Supplier evaluation","Training for operators","Equipment calibration"),
G23="Impurities out of limit",CHOOSE(RANDBETWEEN(1,6),"Improve purification","Raw material control","Update production SOP","Supplier evaluation","Training for operators","Equipment maintenance"),
G23="Process temp out of range",CHOOSE(RANDBETWEEN(1,6),"Temperature control","Update production SOP","Supplier evaluation","Training for operators",
"Equipment calibration","Preventive maintenance"),
G23="Dissolution rate low - 15 mins",CHOOSE(RANDBETWEEN(1,6),"Increase agitation","Reduce particle size","Update production SOP","Supplier evaluation",
"Training for operators","Equipment calibration"),
G23="Dissolution rate low - 30 mins",CHOOSE(RANDBETWEEN(1,6),"Increase disintegrant","Optimize granulation","Update production SOP","Supplier evaluation",
"Training for operators","Equipment calibration"),
G23="Dissolution rate low - 40 mins",CHOOSE(RANDBETWEEN(1,6),"Increase surface area","Optimize compression","Update production SOP","Supplier evaluation",
"Training for operators","Equipment calibration"),
G23="Dissolution rate high - 15 mins",CHOOSE(RANDBETWEEN(1,6),"Decrease agitation","Increase particle size","Update production SOP","Supplier evaluation","Training for operators","Equipment calibration"),
G23="Dissolution rate high - 30 mins",CHOOSE(RANDBETWEEN(1,6),"Decrease disintegrant","Optimize granulation","Update production SOP","Supplier evaluation","Training for operators","Equipment calibration"),
G23="Dissolution rate high - 40 mins",CHOOSE(RANDBETWEEN(1,6),"Decrease surface area","Optimize compression","Update production SOP","Supplier evaluation","Training for operators","Equipment calibration"))</f>
        <v>Supplier evaluation</v>
      </c>
    </row>
    <row r="24" spans="1:9" x14ac:dyDescent="0.35">
      <c r="A24" s="31">
        <v>200000515</v>
      </c>
      <c r="B24" s="31">
        <v>1010</v>
      </c>
      <c r="C24" s="31">
        <v>4017</v>
      </c>
      <c r="D24" s="29" t="s">
        <v>431</v>
      </c>
      <c r="E24" s="31">
        <v>21.2</v>
      </c>
      <c r="F24" s="34">
        <f ca="1">LOOKUP(C24,'QALS - Inspection Lot Record'!P:P,'QALS - Inspection Lot Record'!E:E)+RANDBETWEEN(0,1)</f>
        <v>45878</v>
      </c>
      <c r="G24" s="41" t="s">
        <v>483</v>
      </c>
      <c r="H24" s="34">
        <f t="shared" ca="1" si="0"/>
        <v>45878</v>
      </c>
      <c r="I24" s="29" t="str" cm="1">
        <f t="array" aca="1" ref="I24" ca="1">_xlfn.IFS(G24="Potency out of spec",CHOOSE(RANDBETWEEN(1,6),"Additional testing","Improve formulation","Update production SOP","Supplier evaluation","Training for operators","Equipment calibration"),
G24="PH Level out of range",CHOOSE(RANDBETWEEN(1,6),"PH monitoring","Adjust formulation","Update production SOP","Supplier evaluation","Training for operators","Equipment calibration"),
G24="Impurities out of limit",CHOOSE(RANDBETWEEN(1,6),"Improve purification","Raw material control","Update production SOP","Supplier evaluation","Training for operators","Equipment maintenance"),
G24="Process temp out of range",CHOOSE(RANDBETWEEN(1,6),"Temperature control","Update production SOP","Supplier evaluation","Training for operators",
"Equipment calibration","Preventive maintenance"),
G24="Dissolution rate low - 15 mins",CHOOSE(RANDBETWEEN(1,6),"Increase agitation","Reduce particle size","Update production SOP","Supplier evaluation",
"Training for operators","Equipment calibration"),
G24="Dissolution rate low - 30 mins",CHOOSE(RANDBETWEEN(1,6),"Increase disintegrant","Optimize granulation","Update production SOP","Supplier evaluation",
"Training for operators","Equipment calibration"),
G24="Dissolution rate low - 40 mins",CHOOSE(RANDBETWEEN(1,6),"Increase surface area","Optimize compression","Update production SOP","Supplier evaluation",
"Training for operators","Equipment calibration"),
G24="Dissolution rate high - 15 mins",CHOOSE(RANDBETWEEN(1,6),"Decrease agitation","Increase particle size","Update production SOP","Supplier evaluation","Training for operators","Equipment calibration"),
G24="Dissolution rate high - 30 mins",CHOOSE(RANDBETWEEN(1,6),"Decrease disintegrant","Optimize granulation","Update production SOP","Supplier evaluation","Training for operators","Equipment calibration"),
G24="Dissolution rate high - 40 mins",CHOOSE(RANDBETWEEN(1,6),"Decrease surface area","Optimize compression","Update production SOP","Supplier evaluation","Training for operators","Equipment calibration"))</f>
        <v>Update production SOP</v>
      </c>
    </row>
    <row r="25" spans="1:9" x14ac:dyDescent="0.35">
      <c r="A25" s="31">
        <v>200000516</v>
      </c>
      <c r="B25" s="31">
        <v>1010</v>
      </c>
      <c r="C25" s="31">
        <v>4021</v>
      </c>
      <c r="D25" s="29" t="s">
        <v>503</v>
      </c>
      <c r="E25" s="31">
        <v>38.700000000000003</v>
      </c>
      <c r="F25" s="34">
        <f ca="1">LOOKUP(C25,'QALS - Inspection Lot Record'!P:P,'QALS - Inspection Lot Record'!E:E)+RANDBETWEEN(0,1)</f>
        <v>45881</v>
      </c>
      <c r="G25" s="41" t="s">
        <v>478</v>
      </c>
      <c r="H25" s="34">
        <f t="shared" ca="1" si="0"/>
        <v>45881</v>
      </c>
      <c r="I25" s="29" t="str" cm="1">
        <f t="array" aca="1" ref="I25" ca="1">_xlfn.IFS(G25="Potency out of spec",CHOOSE(RANDBETWEEN(1,6),"Additional testing","Improve formulation","Update production SOP","Supplier evaluation","Training for operators","Equipment calibration"),
G25="PH Level out of range",CHOOSE(RANDBETWEEN(1,6),"PH monitoring","Adjust formulation","Update production SOP","Supplier evaluation","Training for operators","Equipment calibration"),
G25="Impurities out of limit",CHOOSE(RANDBETWEEN(1,6),"Improve purification","Raw material control","Update production SOP","Supplier evaluation","Training for operators","Equipment maintenance"),
G25="Process temp out of range",CHOOSE(RANDBETWEEN(1,6),"Temperature control","Update production SOP","Supplier evaluation","Training for operators",
"Equipment calibration","Preventive maintenance"),
G25="Dissolution rate low - 15 mins",CHOOSE(RANDBETWEEN(1,6),"Increase agitation","Reduce particle size","Update production SOP","Supplier evaluation",
"Training for operators","Equipment calibration"),
G25="Dissolution rate low - 30 mins",CHOOSE(RANDBETWEEN(1,6),"Increase disintegrant","Optimize granulation","Update production SOP","Supplier evaluation",
"Training for operators","Equipment calibration"),
G25="Dissolution rate low - 40 mins",CHOOSE(RANDBETWEEN(1,6),"Increase surface area","Optimize compression","Update production SOP","Supplier evaluation",
"Training for operators","Equipment calibration"),
G25="Dissolution rate high - 15 mins",CHOOSE(RANDBETWEEN(1,6),"Decrease agitation","Increase particle size","Update production SOP","Supplier evaluation","Training for operators","Equipment calibration"),
G25="Dissolution rate high - 30 mins",CHOOSE(RANDBETWEEN(1,6),"Decrease disintegrant","Optimize granulation","Update production SOP","Supplier evaluation","Training for operators","Equipment calibration"),
G25="Dissolution rate high - 40 mins",CHOOSE(RANDBETWEEN(1,6),"Decrease surface area","Optimize compression","Update production SOP","Supplier evaluation","Training for operators","Equipment calibration"))</f>
        <v>Reduce particle size</v>
      </c>
    </row>
    <row r="26" spans="1:9" x14ac:dyDescent="0.35">
      <c r="A26" s="31">
        <v>200000516</v>
      </c>
      <c r="B26" s="31">
        <v>1010</v>
      </c>
      <c r="C26" s="31">
        <v>4021</v>
      </c>
      <c r="D26" s="29" t="s">
        <v>503</v>
      </c>
      <c r="E26" s="31">
        <v>68.099999999999994</v>
      </c>
      <c r="F26" s="34">
        <f ca="1">LOOKUP(C26,'QALS - Inspection Lot Record'!P:P,'QALS - Inspection Lot Record'!E:E)+RANDBETWEEN(0,1)</f>
        <v>45881</v>
      </c>
      <c r="G26" s="41" t="s">
        <v>480</v>
      </c>
      <c r="H26" s="34">
        <f t="shared" ca="1" si="0"/>
        <v>45883</v>
      </c>
      <c r="I26" s="29" t="str" cm="1">
        <f t="array" aca="1" ref="I26" ca="1">_xlfn.IFS(G26="Potency out of spec",CHOOSE(RANDBETWEEN(1,6),"Additional testing","Improve formulation","Update production SOP","Supplier evaluation","Training for operators","Equipment calibration"),
G26="PH Level out of range",CHOOSE(RANDBETWEEN(1,6),"PH monitoring","Adjust formulation","Update production SOP","Supplier evaluation","Training for operators","Equipment calibration"),
G26="Impurities out of limit",CHOOSE(RANDBETWEEN(1,6),"Improve purification","Raw material control","Update production SOP","Supplier evaluation","Training for operators","Equipment maintenance"),
G26="Process temp out of range",CHOOSE(RANDBETWEEN(1,6),"Temperature control","Update production SOP","Supplier evaluation","Training for operators",
"Equipment calibration","Preventive maintenance"),
G26="Dissolution rate low - 15 mins",CHOOSE(RANDBETWEEN(1,6),"Increase agitation","Reduce particle size","Update production SOP","Supplier evaluation",
"Training for operators","Equipment calibration"),
G26="Dissolution rate low - 30 mins",CHOOSE(RANDBETWEEN(1,6),"Increase disintegrant","Optimize granulation","Update production SOP","Supplier evaluation",
"Training for operators","Equipment calibration"),
G26="Dissolution rate low - 40 mins",CHOOSE(RANDBETWEEN(1,6),"Increase surface area","Optimize compression","Update production SOP","Supplier evaluation",
"Training for operators","Equipment calibration"),
G26="Dissolution rate high - 15 mins",CHOOSE(RANDBETWEEN(1,6),"Decrease agitation","Increase particle size","Update production SOP","Supplier evaluation","Training for operators","Equipment calibration"),
G26="Dissolution rate high - 30 mins",CHOOSE(RANDBETWEEN(1,6),"Decrease disintegrant","Optimize granulation","Update production SOP","Supplier evaluation","Training for operators","Equipment calibration"),
G26="Dissolution rate high - 40 mins",CHOOSE(RANDBETWEEN(1,6),"Decrease surface area","Optimize compression","Update production SOP","Supplier evaluation","Training for operators","Equipment calibration"))</f>
        <v>Optimize granulation</v>
      </c>
    </row>
    <row r="27" spans="1:9" x14ac:dyDescent="0.35">
      <c r="A27" s="31">
        <v>200000517</v>
      </c>
      <c r="B27" s="31">
        <v>1010</v>
      </c>
      <c r="C27" s="31">
        <v>4025</v>
      </c>
      <c r="D27" s="29" t="s">
        <v>503</v>
      </c>
      <c r="E27" s="31">
        <v>21.1</v>
      </c>
      <c r="F27" s="34">
        <f ca="1">LOOKUP(C27,'QALS - Inspection Lot Record'!P:P,'QALS - Inspection Lot Record'!E:E)+RANDBETWEEN(0,1)</f>
        <v>45883</v>
      </c>
      <c r="G27" s="41" t="s">
        <v>483</v>
      </c>
      <c r="H27" s="34">
        <f t="shared" ca="1" si="0"/>
        <v>45884</v>
      </c>
      <c r="I27" s="29" t="str" cm="1">
        <f t="array" aca="1" ref="I27" ca="1">_xlfn.IFS(G27="Potency out of spec",CHOOSE(RANDBETWEEN(1,6),"Additional testing","Improve formulation","Update production SOP","Supplier evaluation","Training for operators","Equipment calibration"),
G27="PH Level out of range",CHOOSE(RANDBETWEEN(1,6),"PH monitoring","Adjust formulation","Update production SOP","Supplier evaluation","Training for operators","Equipment calibration"),
G27="Impurities out of limit",CHOOSE(RANDBETWEEN(1,6),"Improve purification","Raw material control","Update production SOP","Supplier evaluation","Training for operators","Equipment maintenance"),
G27="Process temp out of range",CHOOSE(RANDBETWEEN(1,6),"Temperature control","Update production SOP","Supplier evaluation","Training for operators",
"Equipment calibration","Preventive maintenance"),
G27="Dissolution rate low - 15 mins",CHOOSE(RANDBETWEEN(1,6),"Increase agitation","Reduce particle size","Update production SOP","Supplier evaluation",
"Training for operators","Equipment calibration"),
G27="Dissolution rate low - 30 mins",CHOOSE(RANDBETWEEN(1,6),"Increase disintegrant","Optimize granulation","Update production SOP","Supplier evaluation",
"Training for operators","Equipment calibration"),
G27="Dissolution rate low - 40 mins",CHOOSE(RANDBETWEEN(1,6),"Increase surface area","Optimize compression","Update production SOP","Supplier evaluation",
"Training for operators","Equipment calibration"),
G27="Dissolution rate high - 15 mins",CHOOSE(RANDBETWEEN(1,6),"Decrease agitation","Increase particle size","Update production SOP","Supplier evaluation","Training for operators","Equipment calibration"),
G27="Dissolution rate high - 30 mins",CHOOSE(RANDBETWEEN(1,6),"Decrease disintegrant","Optimize granulation","Update production SOP","Supplier evaluation","Training for operators","Equipment calibration"),
G27="Dissolution rate high - 40 mins",CHOOSE(RANDBETWEEN(1,6),"Decrease surface area","Optimize compression","Update production SOP","Supplier evaluation","Training for operators","Equipment calibration"))</f>
        <v>Temperature control</v>
      </c>
    </row>
    <row r="28" spans="1:9" x14ac:dyDescent="0.35">
      <c r="A28" s="31">
        <v>200000518</v>
      </c>
      <c r="B28" s="31">
        <v>1010</v>
      </c>
      <c r="C28" s="31">
        <v>4029</v>
      </c>
      <c r="D28" s="29" t="s">
        <v>429</v>
      </c>
      <c r="E28" s="31">
        <v>78.599999999999994</v>
      </c>
      <c r="F28" s="34">
        <f ca="1">LOOKUP(C28,'QALS - Inspection Lot Record'!P:P,'QALS - Inspection Lot Record'!E:E)+RANDBETWEEN(0,1)</f>
        <v>45885</v>
      </c>
      <c r="G28" s="41" t="s">
        <v>486</v>
      </c>
      <c r="H28" s="34">
        <f t="shared" ca="1" si="0"/>
        <v>45885</v>
      </c>
      <c r="I28" s="29" t="str" cm="1">
        <f t="array" aca="1" ref="I28" ca="1">_xlfn.IFS(G28="Potency out of spec",CHOOSE(RANDBETWEEN(1,6),"Additional testing","Improve formulation","Update production SOP","Supplier evaluation","Training for operators","Equipment calibration"),
G28="PH Level out of range",CHOOSE(RANDBETWEEN(1,6),"PH monitoring","Adjust formulation","Update production SOP","Supplier evaluation","Training for operators","Equipment calibration"),
G28="Impurities out of limit",CHOOSE(RANDBETWEEN(1,6),"Improve purification","Raw material control","Update production SOP","Supplier evaluation","Training for operators","Equipment maintenance"),
G28="Process temp out of range",CHOOSE(RANDBETWEEN(1,6),"Temperature control","Update production SOP","Supplier evaluation","Training for operators",
"Equipment calibration","Preventive maintenance"),
G28="Dissolution rate low - 15 mins",CHOOSE(RANDBETWEEN(1,6),"Increase agitation","Reduce particle size","Update production SOP","Supplier evaluation",
"Training for operators","Equipment calibration"),
G28="Dissolution rate low - 30 mins",CHOOSE(RANDBETWEEN(1,6),"Increase disintegrant","Optimize granulation","Update production SOP","Supplier evaluation",
"Training for operators","Equipment calibration"),
G28="Dissolution rate low - 40 mins",CHOOSE(RANDBETWEEN(1,6),"Increase surface area","Optimize compression","Update production SOP","Supplier evaluation",
"Training for operators","Equipment calibration"),
G28="Dissolution rate high - 15 mins",CHOOSE(RANDBETWEEN(1,6),"Decrease agitation","Increase particle size","Update production SOP","Supplier evaluation","Training for operators","Equipment calibration"),
G28="Dissolution rate high - 30 mins",CHOOSE(RANDBETWEEN(1,6),"Decrease disintegrant","Optimize granulation","Update production SOP","Supplier evaluation","Training for operators","Equipment calibration"),
G28="Dissolution rate high - 40 mins",CHOOSE(RANDBETWEEN(1,6),"Decrease surface area","Optimize compression","Update production SOP","Supplier evaluation","Training for operators","Equipment calibration"))</f>
        <v>Increase surface area</v>
      </c>
    </row>
    <row r="29" spans="1:9" x14ac:dyDescent="0.35">
      <c r="A29" s="31">
        <v>200000519</v>
      </c>
      <c r="B29" s="31">
        <v>1010</v>
      </c>
      <c r="C29" s="31">
        <v>4030</v>
      </c>
      <c r="D29" s="29" t="s">
        <v>504</v>
      </c>
      <c r="E29" s="31">
        <v>2.4</v>
      </c>
      <c r="F29" s="34">
        <f ca="1">LOOKUP(C29,'QALS - Inspection Lot Record'!P:P,'QALS - Inspection Lot Record'!E:E)+RANDBETWEEN(0,1)</f>
        <v>45884</v>
      </c>
      <c r="G29" s="41" t="s">
        <v>474</v>
      </c>
      <c r="H29" s="34">
        <f t="shared" ca="1" si="0"/>
        <v>45884</v>
      </c>
      <c r="I29" s="29" t="str" cm="1">
        <f t="array" aca="1" ref="I29" ca="1">_xlfn.IFS(G29="Potency out of spec",CHOOSE(RANDBETWEEN(1,6),"Additional testing","Improve formulation","Update production SOP","Supplier evaluation","Training for operators","Equipment calibration"),
G29="PH Level out of range",CHOOSE(RANDBETWEEN(1,6),"PH monitoring","Adjust formulation","Update production SOP","Supplier evaluation","Training for operators","Equipment calibration"),
G29="Impurities out of limit",CHOOSE(RANDBETWEEN(1,6),"Improve purification","Raw material control","Update production SOP","Supplier evaluation","Training for operators","Equipment maintenance"),
G29="Process temp out of range",CHOOSE(RANDBETWEEN(1,6),"Temperature control","Update production SOP","Supplier evaluation","Training for operators",
"Equipment calibration","Preventive maintenance"),
G29="Dissolution rate low - 15 mins",CHOOSE(RANDBETWEEN(1,6),"Increase agitation","Reduce particle size","Update production SOP","Supplier evaluation",
"Training for operators","Equipment calibration"),
G29="Dissolution rate low - 30 mins",CHOOSE(RANDBETWEEN(1,6),"Increase disintegrant","Optimize granulation","Update production SOP","Supplier evaluation",
"Training for operators","Equipment calibration"),
G29="Dissolution rate low - 40 mins",CHOOSE(RANDBETWEEN(1,6),"Increase surface area","Optimize compression","Update production SOP","Supplier evaluation",
"Training for operators","Equipment calibration"),
G29="Dissolution rate high - 15 mins",CHOOSE(RANDBETWEEN(1,6),"Decrease agitation","Increase particle size","Update production SOP","Supplier evaluation","Training for operators","Equipment calibration"),
G29="Dissolution rate high - 30 mins",CHOOSE(RANDBETWEEN(1,6),"Decrease disintegrant","Optimize granulation","Update production SOP","Supplier evaluation","Training for operators","Equipment calibration"),
G29="Dissolution rate high - 40 mins",CHOOSE(RANDBETWEEN(1,6),"Decrease surface area","Optimize compression","Update production SOP","Supplier evaluation","Training for operators","Equipment calibration"))</f>
        <v>Adjust formulation</v>
      </c>
    </row>
    <row r="30" spans="1:9" x14ac:dyDescent="0.35">
      <c r="A30" s="31">
        <v>200000519</v>
      </c>
      <c r="B30" s="31">
        <v>1010</v>
      </c>
      <c r="C30" s="31">
        <v>4030</v>
      </c>
      <c r="D30" s="29" t="s">
        <v>504</v>
      </c>
      <c r="E30" s="31">
        <v>68.2</v>
      </c>
      <c r="F30" s="34">
        <f ca="1">LOOKUP(C30,'QALS - Inspection Lot Record'!P:P,'QALS - Inspection Lot Record'!E:E)+RANDBETWEEN(0,1)</f>
        <v>45885</v>
      </c>
      <c r="G30" s="41" t="s">
        <v>480</v>
      </c>
      <c r="H30" s="34">
        <f t="shared" ca="1" si="0"/>
        <v>45885</v>
      </c>
      <c r="I30" s="29" t="str" cm="1">
        <f t="array" aca="1" ref="I30" ca="1">_xlfn.IFS(G30="Potency out of spec",CHOOSE(RANDBETWEEN(1,6),"Additional testing","Improve formulation","Update production SOP","Supplier evaluation","Training for operators","Equipment calibration"),
G30="PH Level out of range",CHOOSE(RANDBETWEEN(1,6),"PH monitoring","Adjust formulation","Update production SOP","Supplier evaluation","Training for operators","Equipment calibration"),
G30="Impurities out of limit",CHOOSE(RANDBETWEEN(1,6),"Improve purification","Raw material control","Update production SOP","Supplier evaluation","Training for operators","Equipment maintenance"),
G30="Process temp out of range",CHOOSE(RANDBETWEEN(1,6),"Temperature control","Update production SOP","Supplier evaluation","Training for operators",
"Equipment calibration","Preventive maintenance"),
G30="Dissolution rate low - 15 mins",CHOOSE(RANDBETWEEN(1,6),"Increase agitation","Reduce particle size","Update production SOP","Supplier evaluation",
"Training for operators","Equipment calibration"),
G30="Dissolution rate low - 30 mins",CHOOSE(RANDBETWEEN(1,6),"Increase disintegrant","Optimize granulation","Update production SOP","Supplier evaluation",
"Training for operators","Equipment calibration"),
G30="Dissolution rate low - 40 mins",CHOOSE(RANDBETWEEN(1,6),"Increase surface area","Optimize compression","Update production SOP","Supplier evaluation",
"Training for operators","Equipment calibration"),
G30="Dissolution rate high - 15 mins",CHOOSE(RANDBETWEEN(1,6),"Decrease agitation","Increase particle size","Update production SOP","Supplier evaluation","Training for operators","Equipment calibration"),
G30="Dissolution rate high - 30 mins",CHOOSE(RANDBETWEEN(1,6),"Decrease disintegrant","Optimize granulation","Update production SOP","Supplier evaluation","Training for operators","Equipment calibration"),
G30="Dissolution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1" spans="1:9" x14ac:dyDescent="0.35">
      <c r="A31" s="31">
        <v>200000520</v>
      </c>
      <c r="B31" s="31">
        <v>1010</v>
      </c>
      <c r="C31" s="31">
        <v>4034</v>
      </c>
      <c r="D31" s="29" t="s">
        <v>431</v>
      </c>
      <c r="E31" s="31">
        <v>5</v>
      </c>
      <c r="F31" s="34">
        <f ca="1">LOOKUP(C31,'QALS - Inspection Lot Record'!P:P,'QALS - Inspection Lot Record'!E:E)+RANDBETWEEN(0,1)</f>
        <v>45886</v>
      </c>
      <c r="G31" s="41" t="s">
        <v>474</v>
      </c>
      <c r="H31" s="34">
        <f t="shared" ca="1" si="0"/>
        <v>45887</v>
      </c>
      <c r="I31" s="29" t="str" cm="1">
        <f t="array" aca="1" ref="I31" ca="1">_xlfn.IFS(G31="Potency out of spec",CHOOSE(RANDBETWEEN(1,6),"Additional testing","Improve formulation","Update production SOP","Supplier evaluation","Training for operators","Equipment calibration"),
G31="PH Level out of range",CHOOSE(RANDBETWEEN(1,6),"PH monitoring","Adjust formulation","Update production SOP","Supplier evaluation","Training for operators","Equipment calibration"),
G31="Impurities out of limit",CHOOSE(RANDBETWEEN(1,6),"Improve purification","Raw material control","Update production SOP","Supplier evaluation","Training for operators","Equipment maintenance"),
G31="Process temp out of range",CHOOSE(RANDBETWEEN(1,6),"Temperature control","Update production SOP","Supplier evaluation","Training for operators",
"Equipment calibration","Preventive maintenance"),
G31="Dissolution rate low - 15 mins",CHOOSE(RANDBETWEEN(1,6),"Increase agitation","Reduce particle size","Update production SOP","Supplier evaluation",
"Training for operators","Equipment calibration"),
G31="Dissolution rate low - 30 mins",CHOOSE(RANDBETWEEN(1,6),"Increase disintegrant","Optimize granulation","Update production SOP","Supplier evaluation",
"Training for operators","Equipment calibration"),
G31="Dissolution rate low - 40 mins",CHOOSE(RANDBETWEEN(1,6),"Increase surface area","Optimize compression","Update production SOP","Supplier evaluation",
"Training for operators","Equipment calibration"),
G31="Dissolution rate high - 15 mins",CHOOSE(RANDBETWEEN(1,6),"Decrease agitation","Increase particle size","Update production SOP","Supplier evaluation","Training for operators","Equipment calibration"),
G31="Dissolution rate high - 30 mins",CHOOSE(RANDBETWEEN(1,6),"Decrease disintegrant","Optimize granulation","Update production SOP","Supplier evaluation","Training for operators","Equipment calibration"),
G31="Dissolution rate high - 40 mins",CHOOSE(RANDBETWEEN(1,6),"Decrease surface area","Optimize compression","Update production SOP","Supplier evaluation","Training for operators","Equipment calibration"))</f>
        <v>Update production SOP</v>
      </c>
    </row>
    <row r="32" spans="1:9" x14ac:dyDescent="0.35">
      <c r="A32" s="31">
        <v>200000520</v>
      </c>
      <c r="B32" s="31">
        <v>1010</v>
      </c>
      <c r="C32" s="31">
        <v>4034</v>
      </c>
      <c r="D32" s="29" t="s">
        <v>431</v>
      </c>
      <c r="E32" s="31">
        <v>39</v>
      </c>
      <c r="F32" s="34">
        <f ca="1">LOOKUP(C32,'QALS - Inspection Lot Record'!P:P,'QALS - Inspection Lot Record'!E:E)+RANDBETWEEN(0,1)</f>
        <v>45887</v>
      </c>
      <c r="G32" s="41" t="s">
        <v>478</v>
      </c>
      <c r="H32" s="34">
        <f t="shared" ca="1" si="0"/>
        <v>45889</v>
      </c>
      <c r="I32" s="29" t="str" cm="1">
        <f t="array" aca="1" ref="I32" ca="1">_xlfn.IFS(G32="Potency out of spec",CHOOSE(RANDBETWEEN(1,6),"Additional testing","Improve formulation","Update production SOP","Supplier evaluation","Training for operators","Equipment calibration"),
G32="PH Level out of range",CHOOSE(RANDBETWEEN(1,6),"PH monitoring","Adjust formulation","Update production SOP","Supplier evaluation","Training for operators","Equipment calibration"),
G32="Impurities out of limit",CHOOSE(RANDBETWEEN(1,6),"Improve purification","Raw material control","Update production SOP","Supplier evaluation","Training for operators","Equipment maintenance"),
G32="Process temp out of range",CHOOSE(RANDBETWEEN(1,6),"Temperature control","Update production SOP","Supplier evaluation","Training for operators",
"Equipment calibration","Preventive maintenance"),
G32="Dissolution rate low - 15 mins",CHOOSE(RANDBETWEEN(1,6),"Increase agitation","Reduce particle size","Update production SOP","Supplier evaluation",
"Training for operators","Equipment calibration"),
G32="Dissolution rate low - 30 mins",CHOOSE(RANDBETWEEN(1,6),"Increase disintegrant","Optimize granulation","Update production SOP","Supplier evaluation",
"Training for operators","Equipment calibration"),
G32="Dissolution rate low - 40 mins",CHOOSE(RANDBETWEEN(1,6),"Increase surface area","Optimize compression","Update production SOP","Supplier evaluation",
"Training for operators","Equipment calibration"),
G32="Dissolution rate high - 15 mins",CHOOSE(RANDBETWEEN(1,6),"Decrease agitation","Increase particle size","Update production SOP","Supplier evaluation","Training for operators","Equipment calibration"),
G32="Dissolution rate high - 30 mins",CHOOSE(RANDBETWEEN(1,6),"Decrease disintegrant","Optimize granulation","Update production SOP","Supplier evaluation","Training for operators","Equipment calibration"),
G32="Dissolution rate high - 40 mins",CHOOSE(RANDBETWEEN(1,6),"Decrease surface area","Optimize compression","Update production SOP","Supplier evaluation","Training for operators","Equipment calibration"))</f>
        <v>Supplier evaluation</v>
      </c>
    </row>
    <row r="33" spans="1:9" x14ac:dyDescent="0.35">
      <c r="A33" s="31">
        <v>200000521</v>
      </c>
      <c r="B33" s="31">
        <v>1010</v>
      </c>
      <c r="C33" s="31">
        <v>4036</v>
      </c>
      <c r="D33" s="29" t="s">
        <v>433</v>
      </c>
      <c r="E33" s="31">
        <v>2.2000000000000002</v>
      </c>
      <c r="F33" s="34">
        <f ca="1">LOOKUP(C33,'QALS - Inspection Lot Record'!P:P,'QALS - Inspection Lot Record'!E:E)+RANDBETWEEN(0,1)</f>
        <v>45887</v>
      </c>
      <c r="G33" s="41" t="s">
        <v>476</v>
      </c>
      <c r="H33" s="34">
        <f t="shared" ca="1" si="0"/>
        <v>45887</v>
      </c>
      <c r="I33" s="29" t="str" cm="1">
        <f t="array" aca="1" ref="I33" ca="1">_xlfn.IFS(G33="Potency out of spec",CHOOSE(RANDBETWEEN(1,6),"Additional testing","Improve formulation","Update production SOP","Supplier evaluation","Training for operators","Equipment calibration"),
G33="PH Level out of range",CHOOSE(RANDBETWEEN(1,6),"PH monitoring","Adjust formulation","Update production SOP","Supplier evaluation","Training for operators","Equipment calibration"),
G33="Impurities out of limit",CHOOSE(RANDBETWEEN(1,6),"Improve purification","Raw material control","Update production SOP","Supplier evaluation","Training for operators","Equipment maintenance"),
G33="Process temp out of range",CHOOSE(RANDBETWEEN(1,6),"Temperature control","Update production SOP","Supplier evaluation","Training for operators",
"Equipment calibration","Preventive maintenance"),
G33="Dissolution rate low - 15 mins",CHOOSE(RANDBETWEEN(1,6),"Increase agitation","Reduce particle size","Update production SOP","Supplier evaluation",
"Training for operators","Equipment calibration"),
G33="Dissolution rate low - 30 mins",CHOOSE(RANDBETWEEN(1,6),"Increase disintegrant","Optimize granulation","Update production SOP","Supplier evaluation",
"Training for operators","Equipment calibration"),
G33="Dissolution rate low - 40 mins",CHOOSE(RANDBETWEEN(1,6),"Increase surface area","Optimize compression","Update production SOP","Supplier evaluation",
"Training for operators","Equipment calibration"),
G33="Dissolution rate high - 15 mins",CHOOSE(RANDBETWEEN(1,6),"Decrease agitation","Increase particle size","Update production SOP","Supplier evaluation","Training for operators","Equipment calibration"),
G33="Dissolution rate high - 30 mins",CHOOSE(RANDBETWEEN(1,6),"Decrease disintegrant","Optimize granulation","Update production SOP","Supplier evaluation","Training for operators","Equipment calibration"),
G33="Dissolution rate high - 40 mins",CHOOSE(RANDBETWEEN(1,6),"Decrease surface area","Optimize compression","Update production SOP","Supplier evaluation","Training for operators","Equipment calibration"))</f>
        <v>Equipment maintenance</v>
      </c>
    </row>
    <row r="34" spans="1:9" x14ac:dyDescent="0.35">
      <c r="A34" s="31">
        <v>200000522</v>
      </c>
      <c r="B34" s="31">
        <v>1010</v>
      </c>
      <c r="C34" s="31">
        <v>4037</v>
      </c>
      <c r="D34" s="29" t="s">
        <v>503</v>
      </c>
      <c r="E34" s="31">
        <v>2.2000000000000002</v>
      </c>
      <c r="F34" s="34">
        <f ca="1">LOOKUP(C34,'QALS - Inspection Lot Record'!P:P,'QALS - Inspection Lot Record'!E:E)+RANDBETWEEN(0,1)</f>
        <v>45888</v>
      </c>
      <c r="G34" s="41" t="s">
        <v>474</v>
      </c>
      <c r="H34" s="34">
        <f t="shared" ca="1" si="0"/>
        <v>45890</v>
      </c>
      <c r="I34" s="29" t="str" cm="1">
        <f t="array" aca="1" ref="I34" ca="1">_xlfn.IFS(G34="Potency out of spec",CHOOSE(RANDBETWEEN(1,6),"Additional testing","Improve formulation","Update production SOP","Supplier evaluation","Training for operators","Equipment calibration"),
G34="PH Level out of range",CHOOSE(RANDBETWEEN(1,6),"PH monitoring","Adjust formulation","Update production SOP","Supplier evaluation","Training for operators","Equipment calibration"),
G34="Impurities out of limit",CHOOSE(RANDBETWEEN(1,6),"Improve purification","Raw material control","Update production SOP","Supplier evaluation","Training for operators","Equipment maintenance"),
G34="Process temp out of range",CHOOSE(RANDBETWEEN(1,6),"Temperature control","Update production SOP","Supplier evaluation","Training for operators",
"Equipment calibration","Preventive maintenance"),
G34="Dissolution rate low - 15 mins",CHOOSE(RANDBETWEEN(1,6),"Increase agitation","Reduce particle size","Update production SOP","Supplier evaluation",
"Training for operators","Equipment calibration"),
G34="Dissolution rate low - 30 mins",CHOOSE(RANDBETWEEN(1,6),"Increase disintegrant","Optimize granulation","Update production SOP","Supplier evaluation",
"Training for operators","Equipment calibration"),
G34="Dissolution rate low - 40 mins",CHOOSE(RANDBETWEEN(1,6),"Increase surface area","Optimize compression","Update production SOP","Supplier evaluation",
"Training for operators","Equipment calibration"),
G34="Dissolution rate high - 15 mins",CHOOSE(RANDBETWEEN(1,6),"Decrease agitation","Increase particle size","Update production SOP","Supplier evaluation","Training for operators","Equipment calibration"),
G34="Dissolution rate high - 30 mins",CHOOSE(RANDBETWEEN(1,6),"Decrease disintegrant","Optimize granulation","Update production SOP","Supplier evaluation","Training for operators","Equipment calibration"),
G34="Dissolution rate high - 40 mins",CHOOSE(RANDBETWEEN(1,6),"Decrease surface area","Optimize compression","Update production SOP","Supplier evaluation","Training for operators","Equipment calibration"))</f>
        <v>Adjust formulation</v>
      </c>
    </row>
    <row r="35" spans="1:9" x14ac:dyDescent="0.35">
      <c r="A35" s="31">
        <v>200000522</v>
      </c>
      <c r="B35" s="31">
        <v>1010</v>
      </c>
      <c r="C35" s="31">
        <v>4037</v>
      </c>
      <c r="D35" s="29" t="s">
        <v>503</v>
      </c>
      <c r="E35" s="31">
        <v>78.5</v>
      </c>
      <c r="F35" s="34">
        <f ca="1">LOOKUP(C35,'QALS - Inspection Lot Record'!P:P,'QALS - Inspection Lot Record'!E:E)+RANDBETWEEN(0,1)</f>
        <v>45888</v>
      </c>
      <c r="G35" s="41" t="s">
        <v>486</v>
      </c>
      <c r="H35" s="34">
        <f t="shared" ca="1" si="0"/>
        <v>45888</v>
      </c>
      <c r="I35" s="29" t="str" cm="1">
        <f t="array" aca="1" ref="I35" ca="1">_xlfn.IFS(G35="Potency out of spec",CHOOSE(RANDBETWEEN(1,6),"Additional testing","Improve formulation","Update production SOP","Supplier evaluation","Training for operators","Equipment calibration"),
G35="PH Level out of range",CHOOSE(RANDBETWEEN(1,6),"PH monitoring","Adjust formulation","Update production SOP","Supplier evaluation","Training for operators","Equipment calibration"),
G35="Impurities out of limit",CHOOSE(RANDBETWEEN(1,6),"Improve purification","Raw material control","Update production SOP","Supplier evaluation","Training for operators","Equipment maintenance"),
G35="Process temp out of range",CHOOSE(RANDBETWEEN(1,6),"Temperature control","Update production SOP","Supplier evaluation","Training for operators",
"Equipment calibration","Preventive maintenance"),
G35="Dissolution rate low - 15 mins",CHOOSE(RANDBETWEEN(1,6),"Increase agitation","Reduce particle size","Update production SOP","Supplier evaluation",
"Training for operators","Equipment calibration"),
G35="Dissolution rate low - 30 mins",CHOOSE(RANDBETWEEN(1,6),"Increase disintegrant","Optimize granulation","Update production SOP","Supplier evaluation",
"Training for operators","Equipment calibration"),
G35="Dissolution rate low - 40 mins",CHOOSE(RANDBETWEEN(1,6),"Increase surface area","Optimize compression","Update production SOP","Supplier evaluation",
"Training for operators","Equipment calibration"),
G35="Dissolution rate high - 15 mins",CHOOSE(RANDBETWEEN(1,6),"Decrease agitation","Increase particle size","Update production SOP","Supplier evaluation","Training for operators","Equipment calibration"),
G35="Dissolution rate high - 30 mins",CHOOSE(RANDBETWEEN(1,6),"Decrease disintegrant","Optimize granulation","Update production SOP","Supplier evaluation","Training for operators","Equipment calibration"),
G35="Dissolution rate high - 40 mins",CHOOSE(RANDBETWEEN(1,6),"Decrease surface area","Optimize compression","Update production SOP","Supplier evaluation","Training for operators","Equipment calibration"))</f>
        <v>Increase surface area</v>
      </c>
    </row>
    <row r="36" spans="1:9" x14ac:dyDescent="0.35">
      <c r="A36" s="31">
        <v>200000522</v>
      </c>
      <c r="B36" s="31">
        <v>1010</v>
      </c>
      <c r="C36" s="31">
        <v>4037</v>
      </c>
      <c r="D36" s="29" t="s">
        <v>503</v>
      </c>
      <c r="E36" s="31">
        <v>21.9</v>
      </c>
      <c r="F36" s="34">
        <f ca="1">LOOKUP(C36,'QALS - Inspection Lot Record'!P:P,'QALS - Inspection Lot Record'!E:E)+RANDBETWEEN(0,1)</f>
        <v>45888</v>
      </c>
      <c r="G36" s="41" t="s">
        <v>483</v>
      </c>
      <c r="H36" s="34">
        <f t="shared" ca="1" si="0"/>
        <v>45890</v>
      </c>
      <c r="I36" s="29" t="str" cm="1">
        <f t="array" aca="1" ref="I36" ca="1">_xlfn.IFS(G36="Potency out of spec",CHOOSE(RANDBETWEEN(1,6),"Additional testing","Improve formulation","Update production SOP","Supplier evaluation","Training for operators","Equipment calibration"),
G36="PH Level out of range",CHOOSE(RANDBETWEEN(1,6),"PH monitoring","Adjust formulation","Update production SOP","Supplier evaluation","Training for operators","Equipment calibration"),
G36="Impurities out of limit",CHOOSE(RANDBETWEEN(1,6),"Improve purification","Raw material control","Update production SOP","Supplier evaluation","Training for operators","Equipment maintenance"),
G36="Process temp out of range",CHOOSE(RANDBETWEEN(1,6),"Temperature control","Update production SOP","Supplier evaluation","Training for operators",
"Equipment calibration","Preventive maintenance"),
G36="Dissolution rate low - 15 mins",CHOOSE(RANDBETWEEN(1,6),"Increase agitation","Reduce particle size","Update production SOP","Supplier evaluation",
"Training for operators","Equipment calibration"),
G36="Dissolution rate low - 30 mins",CHOOSE(RANDBETWEEN(1,6),"Increase disintegrant","Optimize granulation","Update production SOP","Supplier evaluation",
"Training for operators","Equipment calibration"),
G36="Dissolution rate low - 40 mins",CHOOSE(RANDBETWEEN(1,6),"Increase surface area","Optimize compression","Update production SOP","Supplier evaluation",
"Training for operators","Equipment calibration"),
G36="Dissolution rate high - 15 mins",CHOOSE(RANDBETWEEN(1,6),"Decrease agitation","Increase particle size","Update production SOP","Supplier evaluation","Training for operators","Equipment calibration"),
G36="Dissolution rate high - 30 mins",CHOOSE(RANDBETWEEN(1,6),"Decrease disintegrant","Optimize granulation","Update production SOP","Supplier evaluation","Training for operators","Equipment calibration"),
G36="Dissolution rate high - 40 mins",CHOOSE(RANDBETWEEN(1,6),"Decrease surface area","Optimize compression","Update production SOP","Supplier evaluation","Training for operators","Equipment calibration"))</f>
        <v>Supplier evaluation</v>
      </c>
    </row>
    <row r="37" spans="1:9" x14ac:dyDescent="0.35">
      <c r="A37" s="31">
        <v>200000523</v>
      </c>
      <c r="B37" s="31">
        <v>1010</v>
      </c>
      <c r="C37" s="31">
        <v>4040</v>
      </c>
      <c r="D37" s="29" t="s">
        <v>431</v>
      </c>
      <c r="E37" s="31">
        <v>2.1</v>
      </c>
      <c r="F37" s="34">
        <f ca="1">LOOKUP(C37,'QALS - Inspection Lot Record'!P:P,'QALS - Inspection Lot Record'!E:E)+RANDBETWEEN(0,1)</f>
        <v>45889</v>
      </c>
      <c r="G37" s="41" t="s">
        <v>476</v>
      </c>
      <c r="H37" s="34">
        <f t="shared" ca="1" si="0"/>
        <v>45889</v>
      </c>
      <c r="I37" s="29" t="str" cm="1">
        <f t="array" aca="1" ref="I37" ca="1">_xlfn.IFS(G37="Potency out of spec",CHOOSE(RANDBETWEEN(1,6),"Additional testing","Improve formulation","Update production SOP","Supplier evaluation","Training for operators","Equipment calibration"),
G37="PH Level out of range",CHOOSE(RANDBETWEEN(1,6),"PH monitoring","Adjust formulation","Update production SOP","Supplier evaluation","Training for operators","Equipment calibration"),
G37="Impurities out of limit",CHOOSE(RANDBETWEEN(1,6),"Improve purification","Raw material control","Update production SOP","Supplier evaluation","Training for operators","Equipment maintenance"),
G37="Process temp out of range",CHOOSE(RANDBETWEEN(1,6),"Temperature control","Update production SOP","Supplier evaluation","Training for operators",
"Equipment calibration","Preventive maintenance"),
G37="Dissolution rate low - 15 mins",CHOOSE(RANDBETWEEN(1,6),"Increase agitation","Reduce particle size","Update production SOP","Supplier evaluation",
"Training for operators","Equipment calibration"),
G37="Dissolution rate low - 30 mins",CHOOSE(RANDBETWEEN(1,6),"Increase disintegrant","Optimize granulation","Update production SOP","Supplier evaluation",
"Training for operators","Equipment calibration"),
G37="Dissolution rate low - 40 mins",CHOOSE(RANDBETWEEN(1,6),"Increase surface area","Optimize compression","Update production SOP","Supplier evaluation",
"Training for operators","Equipment calibration"),
G37="Dissolution rate high - 15 mins",CHOOSE(RANDBETWEEN(1,6),"Decrease agitation","Increase particle size","Update production SOP","Supplier evaluation","Training for operators","Equipment calibration"),
G37="Dissolution rate high - 30 mins",CHOOSE(RANDBETWEEN(1,6),"Decrease disintegrant","Optimize granulation","Update production SOP","Supplier evaluation","Training for operators","Equipment calibration"),
G37="Dissolution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8" spans="1:9" x14ac:dyDescent="0.35">
      <c r="A38" s="31">
        <v>200000524</v>
      </c>
      <c r="B38" s="31">
        <v>1010</v>
      </c>
      <c r="C38" s="31">
        <v>4041</v>
      </c>
      <c r="D38" s="29" t="s">
        <v>429</v>
      </c>
      <c r="E38" s="31">
        <v>22</v>
      </c>
      <c r="F38" s="34">
        <f ca="1">LOOKUP(C38,'QALS - Inspection Lot Record'!P:P,'QALS - Inspection Lot Record'!E:E)+RANDBETWEEN(0,1)</f>
        <v>45891</v>
      </c>
      <c r="G38" s="41" t="s">
        <v>483</v>
      </c>
      <c r="H38" s="34">
        <f t="shared" ca="1" si="0"/>
        <v>45893</v>
      </c>
      <c r="I38" s="29" t="str" cm="1">
        <f t="array" aca="1" ref="I38" ca="1">_xlfn.IFS(G38="Potency out of spec",CHOOSE(RANDBETWEEN(1,6),"Additional testing","Improve formulation","Update production SOP","Supplier evaluation","Training for operators","Equipment calibration"),
G38="PH Level out of range",CHOOSE(RANDBETWEEN(1,6),"PH monitoring","Adjust formulation","Update production SOP","Supplier evaluation","Training for operators","Equipment calibration"),
G38="Impurities out of limit",CHOOSE(RANDBETWEEN(1,6),"Improve purification","Raw material control","Update production SOP","Supplier evaluation","Training for operators","Equipment maintenance"),
G38="Process temp out of range",CHOOSE(RANDBETWEEN(1,6),"Temperature control","Update production SOP","Supplier evaluation","Training for operators",
"Equipment calibration","Preventive maintenance"),
G38="Dissolution rate low - 15 mins",CHOOSE(RANDBETWEEN(1,6),"Increase agitation","Reduce particle size","Update production SOP","Supplier evaluation",
"Training for operators","Equipment calibration"),
G38="Dissolution rate low - 30 mins",CHOOSE(RANDBETWEEN(1,6),"Increase disintegrant","Optimize granulation","Update production SOP","Supplier evaluation",
"Training for operators","Equipment calibration"),
G38="Dissolution rate low - 40 mins",CHOOSE(RANDBETWEEN(1,6),"Increase surface area","Optimize compression","Update production SOP","Supplier evaluation",
"Training for operators","Equipment calibration"),
G38="Dissolution rate high - 15 mins",CHOOSE(RANDBETWEEN(1,6),"Decrease agitation","Increase particle size","Update production SOP","Supplier evaluation","Training for operators","Equipment calibration"),
G38="Dissolution rate high - 30 mins",CHOOSE(RANDBETWEEN(1,6),"Decrease disintegrant","Optimize granulation","Update production SOP","Supplier evaluation","Training for operators","Equipment calibration"),
G38="Dissolution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9" spans="1:9" x14ac:dyDescent="0.35">
      <c r="A39" s="31">
        <v>200000525</v>
      </c>
      <c r="B39" s="31">
        <v>1010</v>
      </c>
      <c r="C39" s="31">
        <v>4042</v>
      </c>
      <c r="D39" s="29" t="s">
        <v>433</v>
      </c>
      <c r="E39" s="31">
        <v>93.1</v>
      </c>
      <c r="F39" s="34">
        <f ca="1">LOOKUP(C39,'QALS - Inspection Lot Record'!P:P,'QALS - Inspection Lot Record'!E:E)+RANDBETWEEN(0,1)</f>
        <v>45891</v>
      </c>
      <c r="G39" s="41" t="s">
        <v>472</v>
      </c>
      <c r="H39" s="34">
        <f t="shared" ca="1" si="0"/>
        <v>45891</v>
      </c>
      <c r="I39" s="29" t="str" cm="1">
        <f t="array" aca="1" ref="I39" ca="1">_xlfn.IFS(G39="Potency out of spec",CHOOSE(RANDBETWEEN(1,6),"Additional testing","Improve formulation","Update production SOP","Supplier evaluation","Training for operators","Equipment calibration"),
G39="PH Level out of range",CHOOSE(RANDBETWEEN(1,6),"PH monitoring","Adjust formulation","Update production SOP","Supplier evaluation","Training for operators","Equipment calibration"),
G39="Impurities out of limit",CHOOSE(RANDBETWEEN(1,6),"Improve purification","Raw material control","Update production SOP","Supplier evaluation","Training for operators","Equipment maintenance"),
G39="Process temp out of range",CHOOSE(RANDBETWEEN(1,6),"Temperature control","Update production SOP","Supplier evaluation","Training for operators",
"Equipment calibration","Preventive maintenance"),
G39="Dissolution rate low - 15 mins",CHOOSE(RANDBETWEEN(1,6),"Increase agitation","Reduce particle size","Update production SOP","Supplier evaluation",
"Training for operators","Equipment calibration"),
G39="Dissolution rate low - 30 mins",CHOOSE(RANDBETWEEN(1,6),"Increase disintegrant","Optimize granulation","Update production SOP","Supplier evaluation",
"Training for operators","Equipment calibration"),
G39="Dissolution rate low - 40 mins",CHOOSE(RANDBETWEEN(1,6),"Increase surface area","Optimize compression","Update production SOP","Supplier evaluation",
"Training for operators","Equipment calibration"),
G39="Dissolution rate high - 15 mins",CHOOSE(RANDBETWEEN(1,6),"Decrease agitation","Increase particle size","Update production SOP","Supplier evaluation","Training for operators","Equipment calibration"),
G39="Dissolution rate high - 30 mins",CHOOSE(RANDBETWEEN(1,6),"Decrease disintegrant","Optimize granulation","Update production SOP","Supplier evaluation","Training for operators","Equipment calibration"),
G39="Dissolution rate high - 40 mins",CHOOSE(RANDBETWEEN(1,6),"Decrease surface area","Optimize compression","Update production SOP","Supplier evaluation","Training for operators","Equipment calibration"))</f>
        <v>Improve formulation</v>
      </c>
    </row>
    <row r="40" spans="1:9" x14ac:dyDescent="0.35">
      <c r="A40" s="31">
        <v>200000526</v>
      </c>
      <c r="B40" s="31">
        <v>1010</v>
      </c>
      <c r="C40" s="31">
        <v>4045</v>
      </c>
      <c r="D40" s="29" t="s">
        <v>431</v>
      </c>
      <c r="E40" s="31">
        <v>21.1</v>
      </c>
      <c r="F40" s="34">
        <f ca="1">LOOKUP(C40,'QALS - Inspection Lot Record'!P:P,'QALS - Inspection Lot Record'!E:E)+RANDBETWEEN(0,1)</f>
        <v>45892</v>
      </c>
      <c r="G40" s="41" t="s">
        <v>483</v>
      </c>
      <c r="H40" s="34">
        <f t="shared" ca="1" si="0"/>
        <v>45893</v>
      </c>
      <c r="I40" s="29" t="str" cm="1">
        <f t="array" aca="1" ref="I40" ca="1">_xlfn.IFS(G40="Potency out of spec",CHOOSE(RANDBETWEEN(1,6),"Additional testing","Improve formulation","Update production SOP","Supplier evaluation","Training for operators","Equipment calibration"),
G40="PH Level out of range",CHOOSE(RANDBETWEEN(1,6),"PH monitoring","Adjust formulation","Update production SOP","Supplier evaluation","Training for operators","Equipment calibration"),
G40="Impurities out of limit",CHOOSE(RANDBETWEEN(1,6),"Improve purification","Raw material control","Update production SOP","Supplier evaluation","Training for operators","Equipment maintenance"),
G40="Process temp out of range",CHOOSE(RANDBETWEEN(1,6),"Temperature control","Update production SOP","Supplier evaluation","Training for operators",
"Equipment calibration","Preventive maintenance"),
G40="Dissolution rate low - 15 mins",CHOOSE(RANDBETWEEN(1,6),"Increase agitation","Reduce particle size","Update production SOP","Supplier evaluation",
"Training for operators","Equipment calibration"),
G40="Dissolution rate low - 30 mins",CHOOSE(RANDBETWEEN(1,6),"Increase disintegrant","Optimize granulation","Update production SOP","Supplier evaluation",
"Training for operators","Equipment calibration"),
G40="Dissolution rate low - 40 mins",CHOOSE(RANDBETWEEN(1,6),"Increase surface area","Optimize compression","Update production SOP","Supplier evaluation",
"Training for operators","Equipment calibration"),
G40="Dissolution rate high - 15 mins",CHOOSE(RANDBETWEEN(1,6),"Decrease agitation","Increase particle size","Update production SOP","Supplier evaluation","Training for operators","Equipment calibration"),
G40="Dissolution rate high - 30 mins",CHOOSE(RANDBETWEEN(1,6),"Decrease disintegrant","Optimize granulation","Update production SOP","Supplier evaluation","Training for operators","Equipment calibration"),
G40="Dissolution rate high - 40 mins",CHOOSE(RANDBETWEEN(1,6),"Decrease surface area","Optimize compression","Update production SOP","Supplier evaluation","Training for operators","Equipment calibration"))</f>
        <v>Equipment calibration</v>
      </c>
    </row>
    <row r="41" spans="1:9" x14ac:dyDescent="0.35">
      <c r="A41" s="31">
        <v>200000527</v>
      </c>
      <c r="B41" s="31">
        <v>1010</v>
      </c>
      <c r="C41" s="31">
        <v>4047</v>
      </c>
      <c r="D41" s="29" t="s">
        <v>504</v>
      </c>
      <c r="E41" s="31">
        <v>3</v>
      </c>
      <c r="F41" s="34">
        <f ca="1">LOOKUP(C41,'QALS - Inspection Lot Record'!P:P,'QALS - Inspection Lot Record'!E:E)+RANDBETWEEN(0,1)</f>
        <v>45893</v>
      </c>
      <c r="G41" s="41" t="s">
        <v>476</v>
      </c>
      <c r="H41" s="34">
        <f t="shared" ca="1" si="0"/>
        <v>45895</v>
      </c>
      <c r="I41" s="29" t="str" cm="1">
        <f t="array" aca="1" ref="I41" ca="1">_xlfn.IFS(G41="Potency out of spec",CHOOSE(RANDBETWEEN(1,6),"Additional testing","Improve formulation","Update production SOP","Supplier evaluation","Training for operators","Equipment calibration"),
G41="PH Level out of range",CHOOSE(RANDBETWEEN(1,6),"PH monitoring","Adjust formulation","Update production SOP","Supplier evaluation","Training for operators","Equipment calibration"),
G41="Impurities out of limit",CHOOSE(RANDBETWEEN(1,6),"Improve purification","Raw material control","Update production SOP","Supplier evaluation","Training for operators","Equipment maintenance"),
G41="Process temp out of range",CHOOSE(RANDBETWEEN(1,6),"Temperature control","Update production SOP","Supplier evaluation","Training for operators",
"Equipment calibration","Preventive maintenance"),
G41="Dissolution rate low - 15 mins",CHOOSE(RANDBETWEEN(1,6),"Increase agitation","Reduce particle size","Update production SOP","Supplier evaluation",
"Training for operators","Equipment calibration"),
G41="Dissolution rate low - 30 mins",CHOOSE(RANDBETWEEN(1,6),"Increase disintegrant","Optimize granulation","Update production SOP","Supplier evaluation",
"Training for operators","Equipment calibration"),
G41="Dissolution rate low - 40 mins",CHOOSE(RANDBETWEEN(1,6),"Increase surface area","Optimize compression","Update production SOP","Supplier evaluation",
"Training for operators","Equipment calibration"),
G41="Dissolution rate high - 15 mins",CHOOSE(RANDBETWEEN(1,6),"Decrease agitation","Increase particle size","Update production SOP","Supplier evaluation","Training for operators","Equipment calibration"),
G41="Dissolution rate high - 30 mins",CHOOSE(RANDBETWEEN(1,6),"Decrease disintegrant","Optimize granulation","Update production SOP","Supplier evaluation","Training for operators","Equipment calibration"),
G41="Dissolution rate high - 40 mins",CHOOSE(RANDBETWEEN(1,6),"Decrease surface area","Optimize compression","Update production SOP","Supplier evaluation","Training for operators","Equipment calibration"))</f>
        <v>Equipment maintenance</v>
      </c>
    </row>
    <row r="42" spans="1:9" x14ac:dyDescent="0.35">
      <c r="A42" s="31">
        <v>200000528</v>
      </c>
      <c r="B42" s="31">
        <v>1010</v>
      </c>
      <c r="C42" s="31">
        <v>4048</v>
      </c>
      <c r="D42" s="29" t="s">
        <v>503</v>
      </c>
      <c r="E42" s="31">
        <v>1.2</v>
      </c>
      <c r="F42" s="34">
        <f ca="1">LOOKUP(C42,'QALS - Inspection Lot Record'!P:P,'QALS - Inspection Lot Record'!E:E)+RANDBETWEEN(0,1)</f>
        <v>45893</v>
      </c>
      <c r="G42" s="41" t="s">
        <v>476</v>
      </c>
      <c r="H42" s="34">
        <f t="shared" ca="1" si="0"/>
        <v>45893</v>
      </c>
      <c r="I42" s="29" t="str" cm="1">
        <f t="array" aca="1" ref="I42" ca="1">_xlfn.IFS(G42="Potency out of spec",CHOOSE(RANDBETWEEN(1,6),"Additional testing","Improve formulation","Update production SOP","Supplier evaluation","Training for operators","Equipment calibration"),
G42="PH Level out of range",CHOOSE(RANDBETWEEN(1,6),"PH monitoring","Adjust formulation","Update production SOP","Supplier evaluation","Training for operators","Equipment calibration"),
G42="Impurities out of limit",CHOOSE(RANDBETWEEN(1,6),"Improve purification","Raw material control","Update production SOP","Supplier evaluation","Training for operators","Equipment maintenance"),
G42="Process temp out of range",CHOOSE(RANDBETWEEN(1,6),"Temperature control","Update production SOP","Supplier evaluation","Training for operators",
"Equipment calibration","Preventive maintenance"),
G42="Dissolution rate low - 15 mins",CHOOSE(RANDBETWEEN(1,6),"Increase agitation","Reduce particle size","Update production SOP","Supplier evaluation",
"Training for operators","Equipment calibration"),
G42="Dissolution rate low - 30 mins",CHOOSE(RANDBETWEEN(1,6),"Increase disintegrant","Optimize granulation","Update production SOP","Supplier evaluation",
"Training for operators","Equipment calibration"),
G42="Dissolution rate low - 40 mins",CHOOSE(RANDBETWEEN(1,6),"Increase surface area","Optimize compression","Update production SOP","Supplier evaluation",
"Training for operators","Equipment calibration"),
G42="Dissolution rate high - 15 mins",CHOOSE(RANDBETWEEN(1,6),"Decrease agitation","Increase particle size","Update production SOP","Supplier evaluation","Training for operators","Equipment calibration"),
G42="Dissolution rate high - 30 mins",CHOOSE(RANDBETWEEN(1,6),"Decrease disintegrant","Optimize granulation","Update production SOP","Supplier evaluation","Training for operators","Equipment calibration"),
G42="Dissolution rate high - 40 mins",CHOOSE(RANDBETWEEN(1,6),"Decrease surface area","Optimize compression","Update production SOP","Supplier evaluation","Training for operators","Equipment calibration"))</f>
        <v>Update production SOP</v>
      </c>
    </row>
    <row r="43" spans="1:9" x14ac:dyDescent="0.35">
      <c r="A43" s="31">
        <v>200000529</v>
      </c>
      <c r="B43" s="31">
        <v>1010</v>
      </c>
      <c r="C43" s="31">
        <v>4049</v>
      </c>
      <c r="D43" s="29" t="s">
        <v>431</v>
      </c>
      <c r="E43" s="31">
        <v>21.8</v>
      </c>
      <c r="F43" s="34">
        <f ca="1">LOOKUP(C43,'QALS - Inspection Lot Record'!P:P,'QALS - Inspection Lot Record'!E:E)+RANDBETWEEN(0,1)</f>
        <v>45894</v>
      </c>
      <c r="G43" s="41" t="s">
        <v>483</v>
      </c>
      <c r="H43" s="34">
        <f t="shared" ca="1" si="0"/>
        <v>45896</v>
      </c>
      <c r="I43" s="29" t="str" cm="1">
        <f t="array" aca="1" ref="I43" ca="1">_xlfn.IFS(G43="Potency out of spec",CHOOSE(RANDBETWEEN(1,6),"Additional testing","Improve formulation","Update production SOP","Supplier evaluation","Training for operators","Equipment calibration"),
G43="PH Level out of range",CHOOSE(RANDBETWEEN(1,6),"PH monitoring","Adjust formulation","Update production SOP","Supplier evaluation","Training for operators","Equipment calibration"),
G43="Impurities out of limit",CHOOSE(RANDBETWEEN(1,6),"Improve purification","Raw material control","Update production SOP","Supplier evaluation","Training for operators","Equipment maintenance"),
G43="Process temp out of range",CHOOSE(RANDBETWEEN(1,6),"Temperature control","Update production SOP","Supplier evaluation","Training for operators",
"Equipment calibration","Preventive maintenance"),
G43="Dissolution rate low - 15 mins",CHOOSE(RANDBETWEEN(1,6),"Increase agitation","Reduce particle size","Update production SOP","Supplier evaluation",
"Training for operators","Equipment calibration"),
G43="Dissolution rate low - 30 mins",CHOOSE(RANDBETWEEN(1,6),"Increase disintegrant","Optimize granulation","Update production SOP","Supplier evaluation",
"Training for operators","Equipment calibration"),
G43="Dissolution rate low - 40 mins",CHOOSE(RANDBETWEEN(1,6),"Increase surface area","Optimize compression","Update production SOP","Supplier evaluation",
"Training for operators","Equipment calibration"),
G43="Dissolution rate high - 15 mins",CHOOSE(RANDBETWEEN(1,6),"Decrease agitation","Increase particle size","Update production SOP","Supplier evaluation","Training for operators","Equipment calibration"),
G43="Dissolution rate high - 30 mins",CHOOSE(RANDBETWEEN(1,6),"Decrease disintegrant","Optimize granulation","Update production SOP","Supplier evaluation","Training for operators","Equipment calibration"),
G43="Dissolution rate high - 40 mins",CHOOSE(RANDBETWEEN(1,6),"Decrease surface area","Optimize compression","Update production SOP","Supplier evaluation","Training for operators","Equipment calibration"))</f>
        <v>Temperature control</v>
      </c>
    </row>
    <row r="44" spans="1:9" x14ac:dyDescent="0.35">
      <c r="A44" s="31">
        <v>200000530</v>
      </c>
      <c r="B44" s="31">
        <v>1010</v>
      </c>
      <c r="C44" s="31">
        <v>4050</v>
      </c>
      <c r="D44" s="29" t="s">
        <v>429</v>
      </c>
      <c r="E44" s="31">
        <v>2.2999999999999998</v>
      </c>
      <c r="F44" s="34">
        <f ca="1">LOOKUP(C44,'QALS - Inspection Lot Record'!P:P,'QALS - Inspection Lot Record'!E:E)+RANDBETWEEN(0,1)</f>
        <v>45895</v>
      </c>
      <c r="G44" s="41" t="s">
        <v>474</v>
      </c>
      <c r="H44" s="34">
        <f t="shared" ca="1" si="0"/>
        <v>45896</v>
      </c>
      <c r="I44" s="29" t="str" cm="1">
        <f t="array" aca="1" ref="I44" ca="1">_xlfn.IFS(G44="Potency out of spec",CHOOSE(RANDBETWEEN(1,6),"Additional testing","Improve formulation","Update production SOP","Supplier evaluation","Training for operators","Equipment calibration"),
G44="PH Level out of range",CHOOSE(RANDBETWEEN(1,6),"PH monitoring","Adjust formulation","Update production SOP","Supplier evaluation","Training for operators","Equipment calibration"),
G44="Impurities out of limit",CHOOSE(RANDBETWEEN(1,6),"Improve purification","Raw material control","Update production SOP","Supplier evaluation","Training for operators","Equipment maintenance"),
G44="Process temp out of range",CHOOSE(RANDBETWEEN(1,6),"Temperature control","Update production SOP","Supplier evaluation","Training for operators",
"Equipment calibration","Preventive maintenance"),
G44="Dissolution rate low - 15 mins",CHOOSE(RANDBETWEEN(1,6),"Increase agitation","Reduce particle size","Update production SOP","Supplier evaluation",
"Training for operators","Equipment calibration"),
G44="Dissolution rate low - 30 mins",CHOOSE(RANDBETWEEN(1,6),"Increase disintegrant","Optimize granulation","Update production SOP","Supplier evaluation",
"Training for operators","Equipment calibration"),
G44="Dissolution rate low - 40 mins",CHOOSE(RANDBETWEEN(1,6),"Increase surface area","Optimize compression","Update production SOP","Supplier evaluation",
"Training for operators","Equipment calibration"),
G44="Dissolution rate high - 15 mins",CHOOSE(RANDBETWEEN(1,6),"Decrease agitation","Increase particle size","Update production SOP","Supplier evaluation","Training for operators","Equipment calibration"),
G44="Dissolution rate high - 30 mins",CHOOSE(RANDBETWEEN(1,6),"Decrease disintegrant","Optimize granulation","Update production SOP","Supplier evaluation","Training for operators","Equipment calibration"),
G44="Dissolution rate high - 40 mins",CHOOSE(RANDBETWEEN(1,6),"Decrease surface area","Optimize compression","Update production SOP","Supplier evaluation","Training for operators","Equipment calibration"))</f>
        <v>Training for operators</v>
      </c>
    </row>
    <row r="45" spans="1:9" x14ac:dyDescent="0.35">
      <c r="A45" s="31">
        <v>200000530</v>
      </c>
      <c r="B45" s="31">
        <v>1010</v>
      </c>
      <c r="C45" s="31">
        <v>4050</v>
      </c>
      <c r="D45" s="29" t="s">
        <v>429</v>
      </c>
      <c r="E45" s="31">
        <v>78.400000000000006</v>
      </c>
      <c r="F45" s="34">
        <f ca="1">LOOKUP(C45,'QALS - Inspection Lot Record'!P:P,'QALS - Inspection Lot Record'!E:E)+RANDBETWEEN(0,1)</f>
        <v>45895</v>
      </c>
      <c r="G45" s="41" t="s">
        <v>486</v>
      </c>
      <c r="H45" s="34">
        <f t="shared" ca="1" si="0"/>
        <v>45896</v>
      </c>
      <c r="I45" s="29" t="str" cm="1">
        <f t="array" aca="1" ref="I45" ca="1">_xlfn.IFS(G45="Potency out of spec",CHOOSE(RANDBETWEEN(1,6),"Additional testing","Improve formulation","Update production SOP","Supplier evaluation","Training for operators","Equipment calibration"),
G45="PH Level out of range",CHOOSE(RANDBETWEEN(1,6),"PH monitoring","Adjust formulation","Update production SOP","Supplier evaluation","Training for operators","Equipment calibration"),
G45="Impurities out of limit",CHOOSE(RANDBETWEEN(1,6),"Improve purification","Raw material control","Update production SOP","Supplier evaluation","Training for operators","Equipment maintenance"),
G45="Process temp out of range",CHOOSE(RANDBETWEEN(1,6),"Temperature control","Update production SOP","Supplier evaluation","Training for operators",
"Equipment calibration","Preventive maintenance"),
G45="Dissolution rate low - 15 mins",CHOOSE(RANDBETWEEN(1,6),"Increase agitation","Reduce particle size","Update production SOP","Supplier evaluation",
"Training for operators","Equipment calibration"),
G45="Dissolution rate low - 30 mins",CHOOSE(RANDBETWEEN(1,6),"Increase disintegrant","Optimize granulation","Update production SOP","Supplier evaluation",
"Training for operators","Equipment calibration"),
G45="Dissolution rate low - 40 mins",CHOOSE(RANDBETWEEN(1,6),"Increase surface area","Optimize compression","Update production SOP","Supplier evaluation",
"Training for operators","Equipment calibration"),
G45="Dissolution rate high - 15 mins",CHOOSE(RANDBETWEEN(1,6),"Decrease agitation","Increase particle size","Update production SOP","Supplier evaluation","Training for operators","Equipment calibration"),
G45="Dissolution rate high - 30 mins",CHOOSE(RANDBETWEEN(1,6),"Decrease disintegrant","Optimize granulation","Update production SOP","Supplier evaluation","Training for operators","Equipment calibration"),
G45="Dissolution rate high - 40 mins",CHOOSE(RANDBETWEEN(1,6),"Decrease surface area","Optimize compression","Update production SOP","Supplier evaluation","Training for operators","Equipment calibration"))</f>
        <v>Optimize compression</v>
      </c>
    </row>
    <row r="46" spans="1:9" x14ac:dyDescent="0.35">
      <c r="A46" s="31">
        <v>200000531</v>
      </c>
      <c r="B46" s="31">
        <v>1010</v>
      </c>
      <c r="C46" s="31">
        <v>4053</v>
      </c>
      <c r="D46" s="29" t="s">
        <v>504</v>
      </c>
      <c r="E46" s="31">
        <v>38.700000000000003</v>
      </c>
      <c r="F46" s="34">
        <f ca="1">LOOKUP(C46,'QALS - Inspection Lot Record'!P:P,'QALS - Inspection Lot Record'!E:E)+RANDBETWEEN(0,1)</f>
        <v>45897</v>
      </c>
      <c r="G46" s="41" t="s">
        <v>478</v>
      </c>
      <c r="H46" s="34">
        <f t="shared" ca="1" si="0"/>
        <v>45897</v>
      </c>
      <c r="I46" s="29" t="str" cm="1">
        <f t="array" aca="1" ref="I46" ca="1">_xlfn.IFS(G46="Potency out of spec",CHOOSE(RANDBETWEEN(1,6),"Additional testing","Improve formulation","Update production SOP","Supplier evaluation","Training for operators","Equipment calibration"),
G46="PH Level out of range",CHOOSE(RANDBETWEEN(1,6),"PH monitoring","Adjust formulation","Update production SOP","Supplier evaluation","Training for operators","Equipment calibration"),
G46="Impurities out of limit",CHOOSE(RANDBETWEEN(1,6),"Improve purification","Raw material control","Update production SOP","Supplier evaluation","Training for operators","Equipment maintenance"),
G46="Process temp out of range",CHOOSE(RANDBETWEEN(1,6),"Temperature control","Update production SOP","Supplier evaluation","Training for operators",
"Equipment calibration","Preventive maintenance"),
G46="Dissolution rate low - 15 mins",CHOOSE(RANDBETWEEN(1,6),"Increase agitation","Reduce particle size","Update production SOP","Supplier evaluation",
"Training for operators","Equipment calibration"),
G46="Dissolution rate low - 30 mins",CHOOSE(RANDBETWEEN(1,6),"Increase disintegrant","Optimize granulation","Update production SOP","Supplier evaluation",
"Training for operators","Equipment calibration"),
G46="Dissolution rate low - 40 mins",CHOOSE(RANDBETWEEN(1,6),"Increase surface area","Optimize compression","Update production SOP","Supplier evaluation",
"Training for operators","Equipment calibration"),
G46="Dissolution rate high - 15 mins",CHOOSE(RANDBETWEEN(1,6),"Decrease agitation","Increase particle size","Update production SOP","Supplier evaluation","Training for operators","Equipment calibration"),
G46="Dissolution rate high - 30 mins",CHOOSE(RANDBETWEEN(1,6),"Decrease disintegrant","Optimize granulation","Update production SOP","Supplier evaluation","Training for operators","Equipment calibration"),
G46="Dissolution rate high - 40 mins",CHOOSE(RANDBETWEEN(1,6),"Decrease surface area","Optimize compression","Update production SOP","Supplier evaluation","Training for operators","Equipment calibration"))</f>
        <v>Supplier evaluation</v>
      </c>
    </row>
    <row r="47" spans="1:9" x14ac:dyDescent="0.35">
      <c r="A47" s="31">
        <v>200000531</v>
      </c>
      <c r="B47" s="31">
        <v>1010</v>
      </c>
      <c r="C47" s="31">
        <v>4053</v>
      </c>
      <c r="D47" s="29" t="s">
        <v>504</v>
      </c>
      <c r="E47" s="31">
        <v>21.8</v>
      </c>
      <c r="F47" s="34">
        <f ca="1">LOOKUP(C47,'QALS - Inspection Lot Record'!P:P,'QALS - Inspection Lot Record'!E:E)+RANDBETWEEN(0,1)</f>
        <v>45897</v>
      </c>
      <c r="G47" s="41" t="s">
        <v>483</v>
      </c>
      <c r="H47" s="34">
        <f t="shared" ca="1" si="0"/>
        <v>45897</v>
      </c>
      <c r="I47" s="29" t="str" cm="1">
        <f t="array" aca="1" ref="I47" ca="1">_xlfn.IFS(G47="Potency out of spec",CHOOSE(RANDBETWEEN(1,6),"Additional testing","Improve formulation","Update production SOP","Supplier evaluation","Training for operators","Equipment calibration"),
G47="PH Level out of range",CHOOSE(RANDBETWEEN(1,6),"PH monitoring","Adjust formulation","Update production SOP","Supplier evaluation","Training for operators","Equipment calibration"),
G47="Impurities out of limit",CHOOSE(RANDBETWEEN(1,6),"Improve purification","Raw material control","Update production SOP","Supplier evaluation","Training for operators","Equipment maintenance"),
G47="Process temp out of range",CHOOSE(RANDBETWEEN(1,6),"Temperature control","Update production SOP","Supplier evaluation","Training for operators",
"Equipment calibration","Preventive maintenance"),
G47="Dissolution rate low - 15 mins",CHOOSE(RANDBETWEEN(1,6),"Increase agitation","Reduce particle size","Update production SOP","Supplier evaluation",
"Training for operators","Equipment calibration"),
G47="Dissolution rate low - 30 mins",CHOOSE(RANDBETWEEN(1,6),"Increase disintegrant","Optimize granulation","Update production SOP","Supplier evaluation",
"Training for operators","Equipment calibration"),
G47="Dissolution rate low - 40 mins",CHOOSE(RANDBETWEEN(1,6),"Increase surface area","Optimize compression","Update production SOP","Supplier evaluation",
"Training for operators","Equipment calibration"),
G47="Dissolution rate high - 15 mins",CHOOSE(RANDBETWEEN(1,6),"Decrease agitation","Increase particle size","Update production SOP","Supplier evaluation","Training for operators","Equipment calibration"),
G47="Dissolution rate high - 30 mins",CHOOSE(RANDBETWEEN(1,6),"Decrease disintegrant","Optimize granulation","Update production SOP","Supplier evaluation","Training for operators","Equipment calibration"),
G47="Dissolution rate high - 40 mins",CHOOSE(RANDBETWEEN(1,6),"Decrease surface area","Optimize compression","Update production SOP","Supplier evaluation","Training for operators","Equipment calibration"))</f>
        <v>Update production SOP</v>
      </c>
    </row>
    <row r="48" spans="1:9" x14ac:dyDescent="0.35">
      <c r="A48" s="31">
        <v>200000532</v>
      </c>
      <c r="B48" s="31">
        <v>1010</v>
      </c>
      <c r="C48" s="31">
        <v>4057</v>
      </c>
      <c r="D48" s="29" t="s">
        <v>429</v>
      </c>
      <c r="E48" s="31">
        <v>93.6</v>
      </c>
      <c r="F48" s="34">
        <f ca="1">LOOKUP(C48,'QALS - Inspection Lot Record'!P:P,'QALS - Inspection Lot Record'!E:E)+RANDBETWEEN(0,1)</f>
        <v>45898</v>
      </c>
      <c r="G48" s="41" t="s">
        <v>472</v>
      </c>
      <c r="H48" s="34">
        <f t="shared" ca="1" si="0"/>
        <v>45899</v>
      </c>
      <c r="I48" s="29" t="str" cm="1">
        <f t="array" aca="1" ref="I48" ca="1">_xlfn.IFS(G48="Potency out of spec",CHOOSE(RANDBETWEEN(1,6),"Additional testing","Improve formulation","Update production SOP","Supplier evaluation","Training for operators","Equipment calibration"),
G48="PH Level out of range",CHOOSE(RANDBETWEEN(1,6),"PH monitoring","Adjust formulation","Update production SOP","Supplier evaluation","Training for operators","Equipment calibration"),
G48="Impurities out of limit",CHOOSE(RANDBETWEEN(1,6),"Improve purification","Raw material control","Update production SOP","Supplier evaluation","Training for operators","Equipment maintenance"),
G48="Process temp out of range",CHOOSE(RANDBETWEEN(1,6),"Temperature control","Update production SOP","Supplier evaluation","Training for operators",
"Equipment calibration","Preventive maintenance"),
G48="Dissolution rate low - 15 mins",CHOOSE(RANDBETWEEN(1,6),"Increase agitation","Reduce particle size","Update production SOP","Supplier evaluation",
"Training for operators","Equipment calibration"),
G48="Dissolution rate low - 30 mins",CHOOSE(RANDBETWEEN(1,6),"Increase disintegrant","Optimize granulation","Update production SOP","Supplier evaluation",
"Training for operators","Equipment calibration"),
G48="Dissolution rate low - 40 mins",CHOOSE(RANDBETWEEN(1,6),"Increase surface area","Optimize compression","Update production SOP","Supplier evaluation",
"Training for operators","Equipment calibration"),
G48="Dissolution rate high - 15 mins",CHOOSE(RANDBETWEEN(1,6),"Decrease agitation","Increase particle size","Update production SOP","Supplier evaluation","Training for operators","Equipment calibration"),
G48="Dissolution rate high - 30 mins",CHOOSE(RANDBETWEEN(1,6),"Decrease disintegrant","Optimize granulation","Update production SOP","Supplier evaluation","Training for operators","Equipment calibration"),
G48="Dissolution rate high - 40 mins",CHOOSE(RANDBETWEEN(1,6),"Decrease surface area","Optimize compression","Update production SOP","Supplier evaluation","Training for operators","Equipment calibration"))</f>
        <v>Improve formulation</v>
      </c>
    </row>
    <row r="49" spans="1:9" x14ac:dyDescent="0.35">
      <c r="A49" s="31">
        <v>200000532</v>
      </c>
      <c r="B49" s="31">
        <v>1010</v>
      </c>
      <c r="C49" s="31">
        <v>4057</v>
      </c>
      <c r="D49" s="29" t="s">
        <v>429</v>
      </c>
      <c r="E49" s="31">
        <v>21.3</v>
      </c>
      <c r="F49" s="34">
        <f ca="1">LOOKUP(C49,'QALS - Inspection Lot Record'!P:P,'QALS - Inspection Lot Record'!E:E)+RANDBETWEEN(0,1)</f>
        <v>45899</v>
      </c>
      <c r="G49" s="41" t="s">
        <v>483</v>
      </c>
      <c r="H49" s="34">
        <f t="shared" ca="1" si="0"/>
        <v>45900</v>
      </c>
      <c r="I49" s="29" t="str" cm="1">
        <f t="array" aca="1" ref="I49" ca="1">_xlfn.IFS(G49="Potency out of spec",CHOOSE(RANDBETWEEN(1,6),"Additional testing","Improve formulation","Update production SOP","Supplier evaluation","Training for operators","Equipment calibration"),
G49="PH Level out of range",CHOOSE(RANDBETWEEN(1,6),"PH monitoring","Adjust formulation","Update production SOP","Supplier evaluation","Training for operators","Equipment calibration"),
G49="Impurities out of limit",CHOOSE(RANDBETWEEN(1,6),"Improve purification","Raw material control","Update production SOP","Supplier evaluation","Training for operators","Equipment maintenance"),
G49="Process temp out of range",CHOOSE(RANDBETWEEN(1,6),"Temperature control","Update production SOP","Supplier evaluation","Training for operators",
"Equipment calibration","Preventive maintenance"),
G49="Dissolution rate low - 15 mins",CHOOSE(RANDBETWEEN(1,6),"Increase agitation","Reduce particle size","Update production SOP","Supplier evaluation",
"Training for operators","Equipment calibration"),
G49="Dissolution rate low - 30 mins",CHOOSE(RANDBETWEEN(1,6),"Increase disintegrant","Optimize granulation","Update production SOP","Supplier evaluation",
"Training for operators","Equipment calibration"),
G49="Dissolution rate low - 40 mins",CHOOSE(RANDBETWEEN(1,6),"Increase surface area","Optimize compression","Update production SOP","Supplier evaluation",
"Training for operators","Equipment calibration"),
G49="Dissolution rate high - 15 mins",CHOOSE(RANDBETWEEN(1,6),"Decrease agitation","Increase particle size","Update production SOP","Supplier evaluation","Training for operators","Equipment calibration"),
G49="Dissolution rate high - 30 mins",CHOOSE(RANDBETWEEN(1,6),"Decrease disintegrant","Optimize granulation","Update production SOP","Supplier evaluation","Training for operators","Equipment calibration"),
G49="Dissolution rate high - 40 mins",CHOOSE(RANDBETWEEN(1,6),"Decrease surface area","Optimize compression","Update production SOP","Supplier evaluation","Training for operators","Equipment calibration"))</f>
        <v>Temperature control</v>
      </c>
    </row>
    <row r="50" spans="1:9" x14ac:dyDescent="0.35">
      <c r="A50" s="31">
        <v>200000533</v>
      </c>
      <c r="B50" s="31">
        <v>1010</v>
      </c>
      <c r="C50" s="31">
        <v>4059</v>
      </c>
      <c r="D50" s="29" t="s">
        <v>504</v>
      </c>
      <c r="E50" s="31">
        <v>2.1</v>
      </c>
      <c r="F50" s="34">
        <f ca="1">LOOKUP(C50,'QALS - Inspection Lot Record'!P:P,'QALS - Inspection Lot Record'!E:E)+RANDBETWEEN(0,1)</f>
        <v>45900</v>
      </c>
      <c r="G50" s="41" t="s">
        <v>474</v>
      </c>
      <c r="H50" s="34">
        <f t="shared" ca="1" si="0"/>
        <v>45900</v>
      </c>
      <c r="I50" s="29" t="str" cm="1">
        <f t="array" aca="1" ref="I50" ca="1">_xlfn.IFS(G50="Potency out of spec",CHOOSE(RANDBETWEEN(1,6),"Additional testing","Improve formulation","Update production SOP","Supplier evaluation","Training for operators","Equipment calibration"),
G50="PH Level out of range",CHOOSE(RANDBETWEEN(1,6),"PH monitoring","Adjust formulation","Update production SOP","Supplier evaluation","Training for operators","Equipment calibration"),
G50="Impurities out of limit",CHOOSE(RANDBETWEEN(1,6),"Improve purification","Raw material control","Update production SOP","Supplier evaluation","Training for operators","Equipment maintenance"),
G50="Process temp out of range",CHOOSE(RANDBETWEEN(1,6),"Temperature control","Update production SOP","Supplier evaluation","Training for operators",
"Equipment calibration","Preventive maintenance"),
G50="Dissolution rate low - 15 mins",CHOOSE(RANDBETWEEN(1,6),"Increase agitation","Reduce particle size","Update production SOP","Supplier evaluation",
"Training for operators","Equipment calibration"),
G50="Dissolution rate low - 30 mins",CHOOSE(RANDBETWEEN(1,6),"Increase disintegrant","Optimize granulation","Update production SOP","Supplier evaluation",
"Training for operators","Equipment calibration"),
G50="Dissolution rate low - 40 mins",CHOOSE(RANDBETWEEN(1,6),"Increase surface area","Optimize compression","Update production SOP","Supplier evaluation",
"Training for operators","Equipment calibration"),
G50="Dissolution rate high - 15 mins",CHOOSE(RANDBETWEEN(1,6),"Decrease agitation","Increase particle size","Update production SOP","Supplier evaluation","Training for operators","Equipment calibration"),
G50="Dissolution rate high - 30 mins",CHOOSE(RANDBETWEEN(1,6),"Decrease disintegrant","Optimize granulation","Update production SOP","Supplier evaluation","Training for operators","Equipment calibration"),
G50="Dissolution rate high - 40 mins",CHOOSE(RANDBETWEEN(1,6),"Decrease surface area","Optimize compression","Update production SOP","Supplier evaluation","Training for operators","Equipment calibration"))</f>
        <v>Training for operators</v>
      </c>
    </row>
    <row r="51" spans="1:9" x14ac:dyDescent="0.35">
      <c r="A51" s="31">
        <v>200000533</v>
      </c>
      <c r="B51" s="31">
        <v>1010</v>
      </c>
      <c r="C51" s="31">
        <v>4059</v>
      </c>
      <c r="D51" s="29" t="s">
        <v>504</v>
      </c>
      <c r="E51" s="31">
        <v>78.900000000000006</v>
      </c>
      <c r="F51" s="34">
        <f ca="1">LOOKUP(C51,'QALS - Inspection Lot Record'!P:P,'QALS - Inspection Lot Record'!E:E)+RANDBETWEEN(0,1)</f>
        <v>45900</v>
      </c>
      <c r="G51" s="41" t="s">
        <v>486</v>
      </c>
      <c r="H51" s="34">
        <f t="shared" ca="1" si="0"/>
        <v>45901</v>
      </c>
      <c r="I51" s="29" t="str" cm="1">
        <f t="array" aca="1" ref="I51" ca="1">_xlfn.IFS(G51="Potency out of spec",CHOOSE(RANDBETWEEN(1,6),"Additional testing","Improve formulation","Update production SOP","Supplier evaluation","Training for operators","Equipment calibration"),
G51="PH Level out of range",CHOOSE(RANDBETWEEN(1,6),"PH monitoring","Adjust formulation","Update production SOP","Supplier evaluation","Training for operators","Equipment calibration"),
G51="Impurities out of limit",CHOOSE(RANDBETWEEN(1,6),"Improve purification","Raw material control","Update production SOP","Supplier evaluation","Training for operators","Equipment maintenance"),
G51="Process temp out of range",CHOOSE(RANDBETWEEN(1,6),"Temperature control","Update production SOP","Supplier evaluation","Training for operators",
"Equipment calibration","Preventive maintenance"),
G51="Dissolution rate low - 15 mins",CHOOSE(RANDBETWEEN(1,6),"Increase agitation","Reduce particle size","Update production SOP","Supplier evaluation",
"Training for operators","Equipment calibration"),
G51="Dissolution rate low - 30 mins",CHOOSE(RANDBETWEEN(1,6),"Increase disintegrant","Optimize granulation","Update production SOP","Supplier evaluation",
"Training for operators","Equipment calibration"),
G51="Dissolution rate low - 40 mins",CHOOSE(RANDBETWEEN(1,6),"Increase surface area","Optimize compression","Update production SOP","Supplier evaluation",
"Training for operators","Equipment calibration"),
G51="Dissolution rate high - 15 mins",CHOOSE(RANDBETWEEN(1,6),"Decrease agitation","Increase particle size","Update production SOP","Supplier evaluation","Training for operators","Equipment calibration"),
G51="Dissolution rate high - 30 mins",CHOOSE(RANDBETWEEN(1,6),"Decrease disintegrant","Optimize granulation","Update production SOP","Supplier evaluation","Training for operators","Equipment calibration"),
G51="Dissolution rate high - 40 mins",CHOOSE(RANDBETWEEN(1,6),"Decrease surface area","Optimize compression","Update production SOP","Supplier evaluation","Training for operators","Equipment calibration"))</f>
        <v>Update production SOP</v>
      </c>
    </row>
    <row r="52" spans="1:9" x14ac:dyDescent="0.35">
      <c r="A52" s="31">
        <v>200000534</v>
      </c>
      <c r="B52" s="31">
        <v>1010</v>
      </c>
      <c r="C52" s="31">
        <v>4060</v>
      </c>
      <c r="D52" s="29" t="s">
        <v>433</v>
      </c>
      <c r="E52" s="31">
        <v>93.6</v>
      </c>
      <c r="F52" s="34">
        <f ca="1">LOOKUP(C52,'QALS - Inspection Lot Record'!P:P,'QALS - Inspection Lot Record'!E:E)+RANDBETWEEN(0,1)</f>
        <v>45900</v>
      </c>
      <c r="G52" s="41" t="s">
        <v>472</v>
      </c>
      <c r="H52" s="34">
        <f t="shared" ca="1" si="0"/>
        <v>45901</v>
      </c>
      <c r="I52" s="29" t="str" cm="1">
        <f t="array" aca="1" ref="I52" ca="1">_xlfn.IFS(G52="Potency out of spec",CHOOSE(RANDBETWEEN(1,6),"Additional testing","Improve formulation","Update production SOP","Supplier evaluation","Training for operators","Equipment calibration"),
G52="PH Level out of range",CHOOSE(RANDBETWEEN(1,6),"PH monitoring","Adjust formulation","Update production SOP","Supplier evaluation","Training for operators","Equipment calibration"),
G52="Impurities out of limit",CHOOSE(RANDBETWEEN(1,6),"Improve purification","Raw material control","Update production SOP","Supplier evaluation","Training for operators","Equipment maintenance"),
G52="Process temp out of range",CHOOSE(RANDBETWEEN(1,6),"Temperature control","Update production SOP","Supplier evaluation","Training for operators",
"Equipment calibration","Preventive maintenance"),
G52="Dissolution rate low - 15 mins",CHOOSE(RANDBETWEEN(1,6),"Increase agitation","Reduce particle size","Update production SOP","Supplier evaluation",
"Training for operators","Equipment calibration"),
G52="Dissolution rate low - 30 mins",CHOOSE(RANDBETWEEN(1,6),"Increase disintegrant","Optimize granulation","Update production SOP","Supplier evaluation",
"Training for operators","Equipment calibration"),
G52="Dissolution rate low - 40 mins",CHOOSE(RANDBETWEEN(1,6),"Increase surface area","Optimize compression","Update production SOP","Supplier evaluation",
"Training for operators","Equipment calibration"),
G52="Dissolution rate high - 15 mins",CHOOSE(RANDBETWEEN(1,6),"Decrease agitation","Increase particle size","Update production SOP","Supplier evaluation","Training for operators","Equipment calibration"),
G52="Dissolution rate high - 30 mins",CHOOSE(RANDBETWEEN(1,6),"Decrease disintegrant","Optimize granulation","Update production SOP","Supplier evaluation","Training for operators","Equipment calibration"),
G52="Dissolution rate high - 40 mins",CHOOSE(RANDBETWEEN(1,6),"Decrease surface area","Optimize compression","Update production SOP","Supplier evaluation","Training for operators","Equipment calibration"))</f>
        <v>Improve formulation</v>
      </c>
    </row>
    <row r="53" spans="1:9" x14ac:dyDescent="0.35">
      <c r="A53" s="31">
        <v>200000534</v>
      </c>
      <c r="B53" s="31">
        <v>1010</v>
      </c>
      <c r="C53" s="31">
        <v>4060</v>
      </c>
      <c r="D53" s="29" t="s">
        <v>433</v>
      </c>
      <c r="E53" s="31">
        <v>38.4</v>
      </c>
      <c r="F53" s="34">
        <f ca="1">LOOKUP(C53,'QALS - Inspection Lot Record'!P:P,'QALS - Inspection Lot Record'!E:E)+RANDBETWEEN(0,1)</f>
        <v>45900</v>
      </c>
      <c r="G53" s="41" t="s">
        <v>478</v>
      </c>
      <c r="H53" s="34">
        <f t="shared" ca="1" si="0"/>
        <v>45902</v>
      </c>
      <c r="I53" s="29" t="str" cm="1">
        <f t="array" aca="1" ref="I53" ca="1">_xlfn.IFS(G53="Potency out of spec",CHOOSE(RANDBETWEEN(1,6),"Additional testing","Improve formulation","Update production SOP","Supplier evaluation","Training for operators","Equipment calibration"),
G53="PH Level out of range",CHOOSE(RANDBETWEEN(1,6),"PH monitoring","Adjust formulation","Update production SOP","Supplier evaluation","Training for operators","Equipment calibration"),
G53="Impurities out of limit",CHOOSE(RANDBETWEEN(1,6),"Improve purification","Raw material control","Update production SOP","Supplier evaluation","Training for operators","Equipment maintenance"),
G53="Process temp out of range",CHOOSE(RANDBETWEEN(1,6),"Temperature control","Update production SOP","Supplier evaluation","Training for operators",
"Equipment calibration","Preventive maintenance"),
G53="Dissolution rate low - 15 mins",CHOOSE(RANDBETWEEN(1,6),"Increase agitation","Reduce particle size","Update production SOP","Supplier evaluation",
"Training for operators","Equipment calibration"),
G53="Dissolution rate low - 30 mins",CHOOSE(RANDBETWEEN(1,6),"Increase disintegrant","Optimize granulation","Update production SOP","Supplier evaluation",
"Training for operators","Equipment calibration"),
G53="Dissolution rate low - 40 mins",CHOOSE(RANDBETWEEN(1,6),"Increase surface area","Optimize compression","Update production SOP","Supplier evaluation",
"Training for operators","Equipment calibration"),
G53="Dissolution rate high - 15 mins",CHOOSE(RANDBETWEEN(1,6),"Decrease agitation","Increase particle size","Update production SOP","Supplier evaluation","Training for operators","Equipment calibration"),
G53="Dissolution rate high - 30 mins",CHOOSE(RANDBETWEEN(1,6),"Decrease disintegrant","Optimize granulation","Update production SOP","Supplier evaluation","Training for operators","Equipment calibration"),
G53="Dissolution rate high - 40 mins",CHOOSE(RANDBETWEEN(1,6),"Decrease surface area","Optimize compression","Update production SOP","Supplier evaluation","Training for operators","Equipment calibration"))</f>
        <v>Increase agitation</v>
      </c>
    </row>
    <row r="54" spans="1:9" x14ac:dyDescent="0.35">
      <c r="A54" s="31">
        <v>200000534</v>
      </c>
      <c r="B54" s="31">
        <v>1010</v>
      </c>
      <c r="C54" s="31">
        <v>4060</v>
      </c>
      <c r="D54" s="29" t="s">
        <v>433</v>
      </c>
      <c r="E54" s="31">
        <v>78.5</v>
      </c>
      <c r="F54" s="34">
        <f ca="1">LOOKUP(C54,'QALS - Inspection Lot Record'!P:P,'QALS - Inspection Lot Record'!E:E)+RANDBETWEEN(0,1)</f>
        <v>45900</v>
      </c>
      <c r="G54" s="41" t="s">
        <v>486</v>
      </c>
      <c r="H54" s="34">
        <f t="shared" ca="1" si="0"/>
        <v>45902</v>
      </c>
      <c r="I54" s="29" t="str" cm="1">
        <f t="array" aca="1" ref="I54" ca="1">_xlfn.IFS(G54="Potency out of spec",CHOOSE(RANDBETWEEN(1,6),"Additional testing","Improve formulation","Update production SOP","Supplier evaluation","Training for operators","Equipment calibration"),
G54="PH Level out of range",CHOOSE(RANDBETWEEN(1,6),"PH monitoring","Adjust formulation","Update production SOP","Supplier evaluation","Training for operators","Equipment calibration"),
G54="Impurities out of limit",CHOOSE(RANDBETWEEN(1,6),"Improve purification","Raw material control","Update production SOP","Supplier evaluation","Training for operators","Equipment maintenance"),
G54="Process temp out of range",CHOOSE(RANDBETWEEN(1,6),"Temperature control","Update production SOP","Supplier evaluation","Training for operators",
"Equipment calibration","Preventive maintenance"),
G54="Dissolution rate low - 15 mins",CHOOSE(RANDBETWEEN(1,6),"Increase agitation","Reduce particle size","Update production SOP","Supplier evaluation",
"Training for operators","Equipment calibration"),
G54="Dissolution rate low - 30 mins",CHOOSE(RANDBETWEEN(1,6),"Increase disintegrant","Optimize granulation","Update production SOP","Supplier evaluation",
"Training for operators","Equipment calibration"),
G54="Dissolution rate low - 40 mins",CHOOSE(RANDBETWEEN(1,6),"Increase surface area","Optimize compression","Update production SOP","Supplier evaluation",
"Training for operators","Equipment calibration"),
G54="Dissolution rate high - 15 mins",CHOOSE(RANDBETWEEN(1,6),"Decrease agitation","Increase particle size","Update production SOP","Supplier evaluation","Training for operators","Equipment calibration"),
G54="Dissolution rate high - 30 mins",CHOOSE(RANDBETWEEN(1,6),"Decrease disintegrant","Optimize granulation","Update production SOP","Supplier evaluation","Training for operators","Equipment calibration"),
G54="Dissolution rate high - 40 mins",CHOOSE(RANDBETWEEN(1,6),"Decrease surface area","Optimize compression","Update production SOP","Supplier evaluation","Training for operators","Equipment calibration"))</f>
        <v>Supplier evaluation</v>
      </c>
    </row>
    <row r="55" spans="1:9" x14ac:dyDescent="0.35">
      <c r="A55" s="31">
        <v>200000535</v>
      </c>
      <c r="B55" s="31">
        <v>1010</v>
      </c>
      <c r="C55" s="31">
        <v>4061</v>
      </c>
      <c r="D55" s="29" t="s">
        <v>429</v>
      </c>
      <c r="E55" s="31">
        <v>1.7</v>
      </c>
      <c r="F55" s="34">
        <f ca="1">LOOKUP(C55,'QALS - Inspection Lot Record'!P:P,'QALS - Inspection Lot Record'!E:E)+RANDBETWEEN(0,1)</f>
        <v>45901</v>
      </c>
      <c r="G55" s="41" t="s">
        <v>474</v>
      </c>
      <c r="H55" s="34">
        <f t="shared" ca="1" si="0"/>
        <v>45902</v>
      </c>
      <c r="I55" s="29" t="str" cm="1">
        <f t="array" aca="1" ref="I55" ca="1">_xlfn.IFS(G55="Potency out of spec",CHOOSE(RANDBETWEEN(1,6),"Additional testing","Improve formulation","Update production SOP","Supplier evaluation","Training for operators","Equipment calibration"),
G55="PH Level out of range",CHOOSE(RANDBETWEEN(1,6),"PH monitoring","Adjust formulation","Update production SOP","Supplier evaluation","Training for operators","Equipment calibration"),
G55="Impurities out of limit",CHOOSE(RANDBETWEEN(1,6),"Improve purification","Raw material control","Update production SOP","Supplier evaluation","Training for operators","Equipment maintenance"),
G55="Process temp out of range",CHOOSE(RANDBETWEEN(1,6),"Temperature control","Update production SOP","Supplier evaluation","Training for operators",
"Equipment calibration","Preventive maintenance"),
G55="Dissolution rate low - 15 mins",CHOOSE(RANDBETWEEN(1,6),"Increase agitation","Reduce particle size","Update production SOP","Supplier evaluation",
"Training for operators","Equipment calibration"),
G55="Dissolution rate low - 30 mins",CHOOSE(RANDBETWEEN(1,6),"Increase disintegrant","Optimize granulation","Update production SOP","Supplier evaluation",
"Training for operators","Equipment calibration"),
G55="Dissolution rate low - 40 mins",CHOOSE(RANDBETWEEN(1,6),"Increase surface area","Optimize compression","Update production SOP","Supplier evaluation",
"Training for operators","Equipment calibration"),
G55="Dissolution rate high - 15 mins",CHOOSE(RANDBETWEEN(1,6),"Decrease agitation","Increase particle size","Update production SOP","Supplier evaluation","Training for operators","Equipment calibration"),
G55="Dissolution rate high - 30 mins",CHOOSE(RANDBETWEEN(1,6),"Decrease disintegrant","Optimize granulation","Update production SOP","Supplier evaluation","Training for operators","Equipment calibration"),
G55="Dissolution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56" spans="1:9" x14ac:dyDescent="0.35">
      <c r="A56" s="31">
        <v>200000535</v>
      </c>
      <c r="B56" s="31">
        <v>1010</v>
      </c>
      <c r="C56" s="31">
        <v>4061</v>
      </c>
      <c r="D56" s="29" t="s">
        <v>429</v>
      </c>
      <c r="E56" s="31">
        <v>78.3</v>
      </c>
      <c r="F56" s="34">
        <f ca="1">LOOKUP(C56,'QALS - Inspection Lot Record'!P:P,'QALS - Inspection Lot Record'!E:E)+RANDBETWEEN(0,1)</f>
        <v>45900</v>
      </c>
      <c r="G56" s="41" t="s">
        <v>486</v>
      </c>
      <c r="H56" s="34">
        <f t="shared" ca="1" si="0"/>
        <v>45901</v>
      </c>
      <c r="I56" s="29" t="str" cm="1">
        <f t="array" aca="1" ref="I56" ca="1">_xlfn.IFS(G56="Potency out of spec",CHOOSE(RANDBETWEEN(1,6),"Additional testing","Improve formulation","Update production SOP","Supplier evaluation","Training for operators","Equipment calibration"),
G56="PH Level out of range",CHOOSE(RANDBETWEEN(1,6),"PH monitoring","Adjust formulation","Update production SOP","Supplier evaluation","Training for operators","Equipment calibration"),
G56="Impurities out of limit",CHOOSE(RANDBETWEEN(1,6),"Improve purification","Raw material control","Update production SOP","Supplier evaluation","Training for operators","Equipment maintenance"),
G56="Process temp out of range",CHOOSE(RANDBETWEEN(1,6),"Temperature control","Update production SOP","Supplier evaluation","Training for operators",
"Equipment calibration","Preventive maintenance"),
G56="Dissolution rate low - 15 mins",CHOOSE(RANDBETWEEN(1,6),"Increase agitation","Reduce particle size","Update production SOP","Supplier evaluation",
"Training for operators","Equipment calibration"),
G56="Dissolution rate low - 30 mins",CHOOSE(RANDBETWEEN(1,6),"Increase disintegrant","Optimize granulation","Update production SOP","Supplier evaluation",
"Training for operators","Equipment calibration"),
G56="Dissolution rate low - 40 mins",CHOOSE(RANDBETWEEN(1,6),"Increase surface area","Optimize compression","Update production SOP","Supplier evaluation",
"Training for operators","Equipment calibration"),
G56="Dissolution rate high - 15 mins",CHOOSE(RANDBETWEEN(1,6),"Decrease agitation","Increase particle size","Update production SOP","Supplier evaluation","Training for operators","Equipment calibration"),
G56="Dissolution rate high - 30 mins",CHOOSE(RANDBETWEEN(1,6),"Decrease disintegrant","Optimize granulation","Update production SOP","Supplier evaluation","Training for operators","Equipment calibration"),
G56="Dissolution rate high - 40 mins",CHOOSE(RANDBETWEEN(1,6),"Decrease surface area","Optimize compression","Update production SOP","Supplier evaluation","Training for operators","Equipment calibration"))</f>
        <v>Equipment calibration</v>
      </c>
    </row>
    <row r="57" spans="1:9" x14ac:dyDescent="0.35">
      <c r="A57" s="31">
        <v>200000536</v>
      </c>
      <c r="B57" s="31">
        <v>1010</v>
      </c>
      <c r="C57" s="31">
        <v>4062</v>
      </c>
      <c r="D57" s="29" t="s">
        <v>433</v>
      </c>
      <c r="E57" s="31">
        <v>93.8</v>
      </c>
      <c r="F57" s="34">
        <f ca="1">LOOKUP(C57,'QALS - Inspection Lot Record'!P:P,'QALS - Inspection Lot Record'!E:E)+RANDBETWEEN(0,1)</f>
        <v>45900</v>
      </c>
      <c r="G57" s="41" t="s">
        <v>472</v>
      </c>
      <c r="H57" s="34">
        <f t="shared" ca="1" si="0"/>
        <v>45901</v>
      </c>
      <c r="I57" s="29" t="str" cm="1">
        <f t="array" aca="1" ref="I57" ca="1">_xlfn.IFS(G57="Potency out of spec",CHOOSE(RANDBETWEEN(1,6),"Additional testing","Improve formulation","Update production SOP","Supplier evaluation","Training for operators","Equipment calibration"),
G57="PH Level out of range",CHOOSE(RANDBETWEEN(1,6),"PH monitoring","Adjust formulation","Update production SOP","Supplier evaluation","Training for operators","Equipment calibration"),
G57="Impurities out of limit",CHOOSE(RANDBETWEEN(1,6),"Improve purification","Raw material control","Update production SOP","Supplier evaluation","Training for operators","Equipment maintenance"),
G57="Process temp out of range",CHOOSE(RANDBETWEEN(1,6),"Temperature control","Update production SOP","Supplier evaluation","Training for operators",
"Equipment calibration","Preventive maintenance"),
G57="Dissolution rate low - 15 mins",CHOOSE(RANDBETWEEN(1,6),"Increase agitation","Reduce particle size","Update production SOP","Supplier evaluation",
"Training for operators","Equipment calibration"),
G57="Dissolution rate low - 30 mins",CHOOSE(RANDBETWEEN(1,6),"Increase disintegrant","Optimize granulation","Update production SOP","Supplier evaluation",
"Training for operators","Equipment calibration"),
G57="Dissolution rate low - 40 mins",CHOOSE(RANDBETWEEN(1,6),"Increase surface area","Optimize compression","Update production SOP","Supplier evaluation",
"Training for operators","Equipment calibration"),
G57="Dissolution rate high - 15 mins",CHOOSE(RANDBETWEEN(1,6),"Decrease agitation","Increase particle size","Update production SOP","Supplier evaluation","Training for operators","Equipment calibration"),
G57="Dissolution rate high - 30 mins",CHOOSE(RANDBETWEEN(1,6),"Decrease disintegrant","Optimize granulation","Update production SOP","Supplier evaluation","Training for operators","Equipment calibration"),
G57="Dissolution rate high - 40 mins",CHOOSE(RANDBETWEEN(1,6),"Decrease surface area","Optimize compression","Update production SOP","Supplier evaluation","Training for operators","Equipment calibration"))</f>
        <v>Supplier evaluation</v>
      </c>
    </row>
    <row r="58" spans="1:9" x14ac:dyDescent="0.35">
      <c r="A58" s="31">
        <v>200000536</v>
      </c>
      <c r="B58" s="31">
        <v>1010</v>
      </c>
      <c r="C58" s="31">
        <v>4062</v>
      </c>
      <c r="D58" s="29" t="s">
        <v>433</v>
      </c>
      <c r="E58" s="31">
        <v>79</v>
      </c>
      <c r="F58" s="34">
        <f ca="1">LOOKUP(C58,'QALS - Inspection Lot Record'!P:P,'QALS - Inspection Lot Record'!E:E)+RANDBETWEEN(0,1)</f>
        <v>45900</v>
      </c>
      <c r="G58" s="41" t="s">
        <v>486</v>
      </c>
      <c r="H58" s="34">
        <f t="shared" ca="1" si="0"/>
        <v>45902</v>
      </c>
      <c r="I58" s="29" t="str" cm="1">
        <f t="array" aca="1" ref="I58" ca="1">_xlfn.IFS(G58="Potency out of spec",CHOOSE(RANDBETWEEN(1,6),"Additional testing","Improve formulation","Update production SOP","Supplier evaluation","Training for operators","Equipment calibration"),
G58="PH Level out of range",CHOOSE(RANDBETWEEN(1,6),"PH monitoring","Adjust formulation","Update production SOP","Supplier evaluation","Training for operators","Equipment calibration"),
G58="Impurities out of limit",CHOOSE(RANDBETWEEN(1,6),"Improve purification","Raw material control","Update production SOP","Supplier evaluation","Training for operators","Equipment maintenance"),
G58="Process temp out of range",CHOOSE(RANDBETWEEN(1,6),"Temperature control","Update production SOP","Supplier evaluation","Training for operators",
"Equipment calibration","Preventive maintenance"),
G58="Dissolution rate low - 15 mins",CHOOSE(RANDBETWEEN(1,6),"Increase agitation","Reduce particle size","Update production SOP","Supplier evaluation",
"Training for operators","Equipment calibration"),
G58="Dissolution rate low - 30 mins",CHOOSE(RANDBETWEEN(1,6),"Increase disintegrant","Optimize granulation","Update production SOP","Supplier evaluation",
"Training for operators","Equipment calibration"),
G58="Dissolution rate low - 40 mins",CHOOSE(RANDBETWEEN(1,6),"Increase surface area","Optimize compression","Update production SOP","Supplier evaluation",
"Training for operators","Equipment calibration"),
G58="Dissolution rate high - 15 mins",CHOOSE(RANDBETWEEN(1,6),"Decrease agitation","Increase particle size","Update production SOP","Supplier evaluation","Training for operators","Equipment calibration"),
G58="Dissolution rate high - 30 mins",CHOOSE(RANDBETWEEN(1,6),"Decrease disintegrant","Optimize granulation","Update production SOP","Supplier evaluation","Training for operators","Equipment calibration"),
G58="Dissolution rate high - 40 mins",CHOOSE(RANDBETWEEN(1,6),"Decrease surface area","Optimize compression","Update production SOP","Supplier evaluation","Training for operators","Equipment calibration"))</f>
        <v>Increase surface area</v>
      </c>
    </row>
    <row r="59" spans="1:9" x14ac:dyDescent="0.35">
      <c r="A59" s="31">
        <v>200000537</v>
      </c>
      <c r="B59" s="31">
        <v>1010</v>
      </c>
      <c r="C59" s="31">
        <v>4063</v>
      </c>
      <c r="D59" s="29" t="s">
        <v>429</v>
      </c>
      <c r="E59" s="31">
        <v>93.8</v>
      </c>
      <c r="F59" s="34">
        <f ca="1">LOOKUP(C59,'QALS - Inspection Lot Record'!P:P,'QALS - Inspection Lot Record'!E:E)+RANDBETWEEN(0,1)</f>
        <v>45902</v>
      </c>
      <c r="G59" s="41" t="s">
        <v>472</v>
      </c>
      <c r="H59" s="34">
        <f t="shared" ca="1" si="0"/>
        <v>45902</v>
      </c>
      <c r="I59" s="29" t="str" cm="1">
        <f t="array" aca="1" ref="I59" ca="1">_xlfn.IFS(G59="Potency out of spec",CHOOSE(RANDBETWEEN(1,6),"Additional testing","Improve formulation","Update production SOP","Supplier evaluation","Training for operators","Equipment calibration"),
G59="PH Level out of range",CHOOSE(RANDBETWEEN(1,6),"PH monitoring","Adjust formulation","Update production SOP","Supplier evaluation","Training for operators","Equipment calibration"),
G59="Impurities out of limit",CHOOSE(RANDBETWEEN(1,6),"Improve purification","Raw material control","Update production SOP","Supplier evaluation","Training for operators","Equipment maintenance"),
G59="Process temp out of range",CHOOSE(RANDBETWEEN(1,6),"Temperature control","Update production SOP","Supplier evaluation","Training for operators",
"Equipment calibration","Preventive maintenance"),
G59="Dissolution rate low - 15 mins",CHOOSE(RANDBETWEEN(1,6),"Increase agitation","Reduce particle size","Update production SOP","Supplier evaluation",
"Training for operators","Equipment calibration"),
G59="Dissolution rate low - 30 mins",CHOOSE(RANDBETWEEN(1,6),"Increase disintegrant","Optimize granulation","Update production SOP","Supplier evaluation",
"Training for operators","Equipment calibration"),
G59="Dissolution rate low - 40 mins",CHOOSE(RANDBETWEEN(1,6),"Increase surface area","Optimize compression","Update production SOP","Supplier evaluation",
"Training for operators","Equipment calibration"),
G59="Dissolution rate high - 15 mins",CHOOSE(RANDBETWEEN(1,6),"Decrease agitation","Increase particle size","Update production SOP","Supplier evaluation","Training for operators","Equipment calibration"),
G59="Dissolution rate high - 30 mins",CHOOSE(RANDBETWEEN(1,6),"Decrease disintegrant","Optimize granulation","Update production SOP","Supplier evaluation","Training for operators","Equipment calibration"),
G59="Dissolution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60" spans="1:9" x14ac:dyDescent="0.35">
      <c r="A60" s="31">
        <v>200000537</v>
      </c>
      <c r="B60" s="31">
        <v>1010</v>
      </c>
      <c r="C60" s="31">
        <v>4063</v>
      </c>
      <c r="D60" s="29" t="s">
        <v>429</v>
      </c>
      <c r="E60" s="31">
        <v>79</v>
      </c>
      <c r="F60" s="34">
        <f ca="1">LOOKUP(C60,'QALS - Inspection Lot Record'!P:P,'QALS - Inspection Lot Record'!E:E)+RANDBETWEEN(0,1)</f>
        <v>45901</v>
      </c>
      <c r="G60" s="41" t="s">
        <v>486</v>
      </c>
      <c r="H60" s="34">
        <f t="shared" ca="1" si="0"/>
        <v>45903</v>
      </c>
      <c r="I60" s="29" t="str" cm="1">
        <f t="array" aca="1" ref="I60" ca="1">_xlfn.IFS(G60="Potency out of spec",CHOOSE(RANDBETWEEN(1,6),"Additional testing","Improve formulation","Update production SOP","Supplier evaluation","Training for operators","Equipment calibration"),
G60="PH Level out of range",CHOOSE(RANDBETWEEN(1,6),"PH monitoring","Adjust formulation","Update production SOP","Supplier evaluation","Training for operators","Equipment calibration"),
G60="Impurities out of limit",CHOOSE(RANDBETWEEN(1,6),"Improve purification","Raw material control","Update production SOP","Supplier evaluation","Training for operators","Equipment maintenance"),
G60="Process temp out of range",CHOOSE(RANDBETWEEN(1,6),"Temperature control","Update production SOP","Supplier evaluation","Training for operators",
"Equipment calibration","Preventive maintenance"),
G60="Dissolution rate low - 15 mins",CHOOSE(RANDBETWEEN(1,6),"Increase agitation","Reduce particle size","Update production SOP","Supplier evaluation",
"Training for operators","Equipment calibration"),
G60="Dissolution rate low - 30 mins",CHOOSE(RANDBETWEEN(1,6),"Increase disintegrant","Optimize granulation","Update production SOP","Supplier evaluation",
"Training for operators","Equipment calibration"),
G60="Dissolution rate low - 40 mins",CHOOSE(RANDBETWEEN(1,6),"Increase surface area","Optimize compression","Update production SOP","Supplier evaluation",
"Training for operators","Equipment calibration"),
G60="Dissolution rate high - 15 mins",CHOOSE(RANDBETWEEN(1,6),"Decrease agitation","Increase particle size","Update production SOP","Supplier evaluation","Training for operators","Equipment calibration"),
G60="Dissolution rate high - 30 mins",CHOOSE(RANDBETWEEN(1,6),"Decrease disintegrant","Optimize granulation","Update production SOP","Supplier evaluation","Training for operators","Equipment calibration"),
G60="Dissolution rate high - 40 mins",CHOOSE(RANDBETWEEN(1,6),"Decrease surface area","Optimize compression","Update production SOP","Supplier evaluation","Training for operators","Equipment calibration"))</f>
        <v>Equipment calibration</v>
      </c>
    </row>
    <row r="61" spans="1:9" x14ac:dyDescent="0.35">
      <c r="A61" s="31">
        <v>200000538</v>
      </c>
      <c r="B61" s="31">
        <v>1010</v>
      </c>
      <c r="C61" s="31">
        <v>4064</v>
      </c>
      <c r="D61" s="29" t="s">
        <v>504</v>
      </c>
      <c r="E61" s="31">
        <v>94</v>
      </c>
      <c r="F61" s="34">
        <f ca="1">LOOKUP(C61,'QALS - Inspection Lot Record'!P:P,'QALS - Inspection Lot Record'!E:E)+RANDBETWEEN(0,1)</f>
        <v>45902</v>
      </c>
      <c r="G61" s="41" t="s">
        <v>472</v>
      </c>
      <c r="H61" s="34">
        <f t="shared" ca="1" si="0"/>
        <v>45904</v>
      </c>
      <c r="I61" s="29" t="str" cm="1">
        <f t="array" aca="1" ref="I61" ca="1">_xlfn.IFS(G61="Potency out of spec",CHOOSE(RANDBETWEEN(1,6),"Additional testing","Improve formulation","Update production SOP","Supplier evaluation","Training for operators","Equipment calibration"),
G61="PH Level out of range",CHOOSE(RANDBETWEEN(1,6),"PH monitoring","Adjust formulation","Update production SOP","Supplier evaluation","Training for operators","Equipment calibration"),
G61="Impurities out of limit",CHOOSE(RANDBETWEEN(1,6),"Improve purification","Raw material control","Update production SOP","Supplier evaluation","Training for operators","Equipment maintenance"),
G61="Process temp out of range",CHOOSE(RANDBETWEEN(1,6),"Temperature control","Update production SOP","Supplier evaluation","Training for operators",
"Equipment calibration","Preventive maintenance"),
G61="Dissolution rate low - 15 mins",CHOOSE(RANDBETWEEN(1,6),"Increase agitation","Reduce particle size","Update production SOP","Supplier evaluation",
"Training for operators","Equipment calibration"),
G61="Dissolution rate low - 30 mins",CHOOSE(RANDBETWEEN(1,6),"Increase disintegrant","Optimize granulation","Update production SOP","Supplier evaluation",
"Training for operators","Equipment calibration"),
G61="Dissolution rate low - 40 mins",CHOOSE(RANDBETWEEN(1,6),"Increase surface area","Optimize compression","Update production SOP","Supplier evaluation",
"Training for operators","Equipment calibration"),
G61="Dissolution rate high - 15 mins",CHOOSE(RANDBETWEEN(1,6),"Decrease agitation","Increase particle size","Update production SOP","Supplier evaluation","Training for operators","Equipment calibration"),
G61="Dissolution rate high - 30 mins",CHOOSE(RANDBETWEEN(1,6),"Decrease disintegrant","Optimize granulation","Update production SOP","Supplier evaluation","Training for operators","Equipment calibration"),
G61="Dissolution rate high - 40 mins",CHOOSE(RANDBETWEEN(1,6),"Decrease surface area","Optimize compression","Update production SOP","Supplier evaluation","Training for operators","Equipment calibration"))</f>
        <v>Update production SOP</v>
      </c>
    </row>
    <row r="62" spans="1:9" x14ac:dyDescent="0.35">
      <c r="A62" s="31">
        <v>200000538</v>
      </c>
      <c r="B62" s="31">
        <v>1010</v>
      </c>
      <c r="C62" s="31">
        <v>4064</v>
      </c>
      <c r="D62" s="29" t="s">
        <v>504</v>
      </c>
      <c r="E62" s="31">
        <v>1.9</v>
      </c>
      <c r="F62" s="34">
        <f ca="1">LOOKUP(C62,'QALS - Inspection Lot Record'!P:P,'QALS - Inspection Lot Record'!E:E)+RANDBETWEEN(0,1)</f>
        <v>45901</v>
      </c>
      <c r="G62" s="41" t="s">
        <v>474</v>
      </c>
      <c r="H62" s="34">
        <f t="shared" ca="1" si="0"/>
        <v>45902</v>
      </c>
      <c r="I62" s="29" t="str" cm="1">
        <f t="array" aca="1" ref="I62" ca="1">_xlfn.IFS(G62="Potency out of spec",CHOOSE(RANDBETWEEN(1,6),"Additional testing","Improve formulation","Update production SOP","Supplier evaluation","Training for operators","Equipment calibration"),
G62="PH Level out of range",CHOOSE(RANDBETWEEN(1,6),"PH monitoring","Adjust formulation","Update production SOP","Supplier evaluation","Training for operators","Equipment calibration"),
G62="Impurities out of limit",CHOOSE(RANDBETWEEN(1,6),"Improve purification","Raw material control","Update production SOP","Supplier evaluation","Training for operators","Equipment maintenance"),
G62="Process temp out of range",CHOOSE(RANDBETWEEN(1,6),"Temperature control","Update production SOP","Supplier evaluation","Training for operators",
"Equipment calibration","Preventive maintenance"),
G62="Dissolution rate low - 15 mins",CHOOSE(RANDBETWEEN(1,6),"Increase agitation","Reduce particle size","Update production SOP","Supplier evaluation",
"Training for operators","Equipment calibration"),
G62="Dissolution rate low - 30 mins",CHOOSE(RANDBETWEEN(1,6),"Increase disintegrant","Optimize granulation","Update production SOP","Supplier evaluation",
"Training for operators","Equipment calibration"),
G62="Dissolution rate low - 40 mins",CHOOSE(RANDBETWEEN(1,6),"Increase surface area","Optimize compression","Update production SOP","Supplier evaluation",
"Training for operators","Equipment calibration"),
G62="Dissolution rate high - 15 mins",CHOOSE(RANDBETWEEN(1,6),"Decrease agitation","Increase particle size","Update production SOP","Supplier evaluation","Training for operators","Equipment calibration"),
G62="Dissolution rate high - 30 mins",CHOOSE(RANDBETWEEN(1,6),"Decrease disintegrant","Optimize granulation","Update production SOP","Supplier evaluation","Training for operators","Equipment calibration"),
G62="Dissolution rate high - 40 mins",CHOOSE(RANDBETWEEN(1,6),"Decrease surface area","Optimize compression","Update production SOP","Supplier evaluation","Training for operators","Equipment calibration"))</f>
        <v>PH monitoring</v>
      </c>
    </row>
    <row r="63" spans="1:9" x14ac:dyDescent="0.35">
      <c r="A63" s="31">
        <v>200000538</v>
      </c>
      <c r="B63" s="31">
        <v>1010</v>
      </c>
      <c r="C63" s="31">
        <v>4064</v>
      </c>
      <c r="D63" s="29" t="s">
        <v>504</v>
      </c>
      <c r="E63" s="31">
        <v>78.900000000000006</v>
      </c>
      <c r="F63" s="34">
        <f ca="1">LOOKUP(C63,'QALS - Inspection Lot Record'!P:P,'QALS - Inspection Lot Record'!E:E)+RANDBETWEEN(0,1)</f>
        <v>45902</v>
      </c>
      <c r="G63" s="41" t="s">
        <v>486</v>
      </c>
      <c r="H63" s="34">
        <f t="shared" ca="1" si="0"/>
        <v>45903</v>
      </c>
      <c r="I63" s="29" t="str" cm="1">
        <f t="array" aca="1" ref="I63" ca="1">_xlfn.IFS(G63="Potency out of spec",CHOOSE(RANDBETWEEN(1,6),"Additional testing","Improve formulation","Update production SOP","Supplier evaluation","Training for operators","Equipment calibration"),
G63="PH Level out of range",CHOOSE(RANDBETWEEN(1,6),"PH monitoring","Adjust formulation","Update production SOP","Supplier evaluation","Training for operators","Equipment calibration"),
G63="Impurities out of limit",CHOOSE(RANDBETWEEN(1,6),"Improve purification","Raw material control","Update production SOP","Supplier evaluation","Training for operators","Equipment maintenance"),
G63="Process temp out of range",CHOOSE(RANDBETWEEN(1,6),"Temperature control","Update production SOP","Supplier evaluation","Training for operators",
"Equipment calibration","Preventive maintenance"),
G63="Dissolution rate low - 15 mins",CHOOSE(RANDBETWEEN(1,6),"Increase agitation","Reduce particle size","Update production SOP","Supplier evaluation",
"Training for operators","Equipment calibration"),
G63="Dissolution rate low - 30 mins",CHOOSE(RANDBETWEEN(1,6),"Increase disintegrant","Optimize granulation","Update production SOP","Supplier evaluation",
"Training for operators","Equipment calibration"),
G63="Dissolution rate low - 40 mins",CHOOSE(RANDBETWEEN(1,6),"Increase surface area","Optimize compression","Update production SOP","Supplier evaluation",
"Training for operators","Equipment calibration"),
G63="Dissolution rate high - 15 mins",CHOOSE(RANDBETWEEN(1,6),"Decrease agitation","Increase particle size","Update production SOP","Supplier evaluation","Training for operators","Equipment calibration"),
G63="Dissolution rate high - 30 mins",CHOOSE(RANDBETWEEN(1,6),"Decrease disintegrant","Optimize granulation","Update production SOP","Supplier evaluation","Training for operators","Equipment calibration"),
G63="Dissolution rate high - 40 mins",CHOOSE(RANDBETWEEN(1,6),"Decrease surface area","Optimize compression","Update production SOP","Supplier evaluation","Training for operators","Equipment calibration"))</f>
        <v>Equipment calibration</v>
      </c>
    </row>
    <row r="64" spans="1:9" x14ac:dyDescent="0.35">
      <c r="A64" s="31">
        <v>200000539</v>
      </c>
      <c r="B64" s="31">
        <v>1010</v>
      </c>
      <c r="C64" s="31">
        <v>4065</v>
      </c>
      <c r="D64" s="29" t="s">
        <v>433</v>
      </c>
      <c r="E64" s="31">
        <v>1.8</v>
      </c>
      <c r="F64" s="34">
        <f ca="1">LOOKUP(C64,'QALS - Inspection Lot Record'!P:P,'QALS - Inspection Lot Record'!E:E)+RANDBETWEEN(0,1)</f>
        <v>45903</v>
      </c>
      <c r="G64" s="41" t="s">
        <v>474</v>
      </c>
      <c r="H64" s="34">
        <f t="shared" ca="1" si="0"/>
        <v>45904</v>
      </c>
      <c r="I64" s="29" t="str" cm="1">
        <f t="array" aca="1" ref="I64" ca="1">_xlfn.IFS(G64="Potency out of spec",CHOOSE(RANDBETWEEN(1,6),"Additional testing","Improve formulation","Update production SOP","Supplier evaluation","Training for operators","Equipment calibration"),
G64="PH Level out of range",CHOOSE(RANDBETWEEN(1,6),"PH monitoring","Adjust formulation","Update production SOP","Supplier evaluation","Training for operators","Equipment calibration"),
G64="Impurities out of limit",CHOOSE(RANDBETWEEN(1,6),"Improve purification","Raw material control","Update production SOP","Supplier evaluation","Training for operators","Equipment maintenance"),
G64="Process temp out of range",CHOOSE(RANDBETWEEN(1,6),"Temperature control","Update production SOP","Supplier evaluation","Training for operators",
"Equipment calibration","Preventive maintenance"),
G64="Dissolution rate low - 15 mins",CHOOSE(RANDBETWEEN(1,6),"Increase agitation","Reduce particle size","Update production SOP","Supplier evaluation",
"Training for operators","Equipment calibration"),
G64="Dissolution rate low - 30 mins",CHOOSE(RANDBETWEEN(1,6),"Increase disintegrant","Optimize granulation","Update production SOP","Supplier evaluation",
"Training for operators","Equipment calibration"),
G64="Dissolution rate low - 40 mins",CHOOSE(RANDBETWEEN(1,6),"Increase surface area","Optimize compression","Update production SOP","Supplier evaluation",
"Training for operators","Equipment calibration"),
G64="Dissolution rate high - 15 mins",CHOOSE(RANDBETWEEN(1,6),"Decrease agitation","Increase particle size","Update production SOP","Supplier evaluation","Training for operators","Equipment calibration"),
G64="Dissolution rate high - 30 mins",CHOOSE(RANDBETWEEN(1,6),"Decrease disintegrant","Optimize granulation","Update production SOP","Supplier evaluation","Training for operators","Equipment calibration"),
G64="Dissolution rate high - 40 mins",CHOOSE(RANDBETWEEN(1,6),"Decrease surface area","Optimize compression","Update production SOP","Supplier evaluation","Training for operators","Equipment calibration"))</f>
        <v>Equipment calibration</v>
      </c>
    </row>
    <row r="65" spans="1:9" x14ac:dyDescent="0.35">
      <c r="A65" s="31">
        <v>200000540</v>
      </c>
      <c r="B65" s="31">
        <v>1010</v>
      </c>
      <c r="C65" s="31">
        <v>4066</v>
      </c>
      <c r="D65" s="29" t="s">
        <v>504</v>
      </c>
      <c r="E65" s="31">
        <v>93.4</v>
      </c>
      <c r="F65" s="34">
        <f ca="1">LOOKUP(C65,'QALS - Inspection Lot Record'!P:P,'QALS - Inspection Lot Record'!E:E)+RANDBETWEEN(0,1)</f>
        <v>45902</v>
      </c>
      <c r="G65" s="41" t="s">
        <v>472</v>
      </c>
      <c r="H65" s="34">
        <f t="shared" ca="1" si="0"/>
        <v>45902</v>
      </c>
      <c r="I65" s="29" t="str" cm="1">
        <f t="array" aca="1" ref="I65" ca="1">_xlfn.IFS(G65="Potency out of spec",CHOOSE(RANDBETWEEN(1,6),"Additional testing","Improve formulation","Update production SOP","Supplier evaluation","Training for operators","Equipment calibration"),
G65="PH Level out of range",CHOOSE(RANDBETWEEN(1,6),"PH monitoring","Adjust formulation","Update production SOP","Supplier evaluation","Training for operators","Equipment calibration"),
G65="Impurities out of limit",CHOOSE(RANDBETWEEN(1,6),"Improve purification","Raw material control","Update production SOP","Supplier evaluation","Training for operators","Equipment maintenance"),
G65="Process temp out of range",CHOOSE(RANDBETWEEN(1,6),"Temperature control","Update production SOP","Supplier evaluation","Training for operators",
"Equipment calibration","Preventive maintenance"),
G65="Dissolution rate low - 15 mins",CHOOSE(RANDBETWEEN(1,6),"Increase agitation","Reduce particle size","Update production SOP","Supplier evaluation",
"Training for operators","Equipment calibration"),
G65="Dissolution rate low - 30 mins",CHOOSE(RANDBETWEEN(1,6),"Increase disintegrant","Optimize granulation","Update production SOP","Supplier evaluation",
"Training for operators","Equipment calibration"),
G65="Dissolution rate low - 40 mins",CHOOSE(RANDBETWEEN(1,6),"Increase surface area","Optimize compression","Update production SOP","Supplier evaluation",
"Training for operators","Equipment calibration"),
G65="Dissolution rate high - 15 mins",CHOOSE(RANDBETWEEN(1,6),"Decrease agitation","Increase particle size","Update production SOP","Supplier evaluation","Training for operators","Equipment calibration"),
G65="Dissolution rate high - 30 mins",CHOOSE(RANDBETWEEN(1,6),"Decrease disintegrant","Optimize granulation","Update production SOP","Supplier evaluation","Training for operators","Equipment calibration"),
G65="Dissolution rate high - 40 mins",CHOOSE(RANDBETWEEN(1,6),"Decrease surface area","Optimize compression","Update production SOP","Supplier evaluation","Training for operators","Equipment calibration"))</f>
        <v>Supplier evaluation</v>
      </c>
    </row>
    <row r="66" spans="1:9" x14ac:dyDescent="0.35">
      <c r="A66" s="31">
        <v>200000540</v>
      </c>
      <c r="B66" s="31">
        <v>1010</v>
      </c>
      <c r="C66" s="31">
        <v>4066</v>
      </c>
      <c r="D66" s="29" t="s">
        <v>504</v>
      </c>
      <c r="E66" s="31">
        <v>68.5</v>
      </c>
      <c r="F66" s="34">
        <f ca="1">LOOKUP(C66,'QALS - Inspection Lot Record'!P:P,'QALS - Inspection Lot Record'!E:E)+RANDBETWEEN(0,1)</f>
        <v>45902</v>
      </c>
      <c r="G66" s="41" t="s">
        <v>480</v>
      </c>
      <c r="H66" s="34">
        <f t="shared" ref="H66:H129" ca="1" si="1">IF(TODAY()&gt;=F66+RANDBETWEEN(0,2), F66+RANDBETWEEN(0,2),"")</f>
        <v>45903</v>
      </c>
      <c r="I66" s="29" t="str" cm="1">
        <f t="array" aca="1" ref="I66" ca="1">_xlfn.IFS(G66="Potency out of spec",CHOOSE(RANDBETWEEN(1,6),"Additional testing","Improve formulation","Update production SOP","Supplier evaluation","Training for operators","Equipment calibration"),
G66="PH Level out of range",CHOOSE(RANDBETWEEN(1,6),"PH monitoring","Adjust formulation","Update production SOP","Supplier evaluation","Training for operators","Equipment calibration"),
G66="Impurities out of limit",CHOOSE(RANDBETWEEN(1,6),"Improve purification","Raw material control","Update production SOP","Supplier evaluation","Training for operators","Equipment maintenance"),
G66="Process temp out of range",CHOOSE(RANDBETWEEN(1,6),"Temperature control","Update production SOP","Supplier evaluation","Training for operators",
"Equipment calibration","Preventive maintenance"),
G66="Dissolution rate low - 15 mins",CHOOSE(RANDBETWEEN(1,6),"Increase agitation","Reduce particle size","Update production SOP","Supplier evaluation",
"Training for operators","Equipment calibration"),
G66="Dissolution rate low - 30 mins",CHOOSE(RANDBETWEEN(1,6),"Increase disintegrant","Optimize granulation","Update production SOP","Supplier evaluation",
"Training for operators","Equipment calibration"),
G66="Dissolution rate low - 40 mins",CHOOSE(RANDBETWEEN(1,6),"Increase surface area","Optimize compression","Update production SOP","Supplier evaluation",
"Training for operators","Equipment calibration"),
G66="Dissolution rate high - 15 mins",CHOOSE(RANDBETWEEN(1,6),"Decrease agitation","Increase particle size","Update production SOP","Supplier evaluation","Training for operators","Equipment calibration"),
G66="Dissolution rate high - 30 mins",CHOOSE(RANDBETWEEN(1,6),"Decrease disintegrant","Optimize granulation","Update production SOP","Supplier evaluation","Training for operators","Equipment calibration"),
G66="Dissolution rate high - 40 mins",CHOOSE(RANDBETWEEN(1,6),"Decrease surface area","Optimize compression","Update production SOP","Supplier evaluation","Training for operators","Equipment calibration"))</f>
        <v>Update production SOP</v>
      </c>
    </row>
    <row r="67" spans="1:9" x14ac:dyDescent="0.35">
      <c r="A67" s="31">
        <v>200000540</v>
      </c>
      <c r="B67" s="31">
        <v>1010</v>
      </c>
      <c r="C67" s="31">
        <v>4066</v>
      </c>
      <c r="D67" s="29" t="s">
        <v>504</v>
      </c>
      <c r="E67" s="31">
        <v>78.3</v>
      </c>
      <c r="F67" s="34">
        <f ca="1">LOOKUP(C67,'QALS - Inspection Lot Record'!P:P,'QALS - Inspection Lot Record'!E:E)+RANDBETWEEN(0,1)</f>
        <v>45903</v>
      </c>
      <c r="G67" s="41" t="s">
        <v>486</v>
      </c>
      <c r="H67" s="34">
        <f t="shared" ca="1" si="1"/>
        <v>45904</v>
      </c>
      <c r="I67" s="29" t="str" cm="1">
        <f t="array" aca="1" ref="I67" ca="1">_xlfn.IFS(G67="Potency out of spec",CHOOSE(RANDBETWEEN(1,6),"Additional testing","Improve formulation","Update production SOP","Supplier evaluation","Training for operators","Equipment calibration"),
G67="PH Level out of range",CHOOSE(RANDBETWEEN(1,6),"PH monitoring","Adjust formulation","Update production SOP","Supplier evaluation","Training for operators","Equipment calibration"),
G67="Impurities out of limit",CHOOSE(RANDBETWEEN(1,6),"Improve purification","Raw material control","Update production SOP","Supplier evaluation","Training for operators","Equipment maintenance"),
G67="Process temp out of range",CHOOSE(RANDBETWEEN(1,6),"Temperature control","Update production SOP","Supplier evaluation","Training for operators",
"Equipment calibration","Preventive maintenance"),
G67="Dissolution rate low - 15 mins",CHOOSE(RANDBETWEEN(1,6),"Increase agitation","Reduce particle size","Update production SOP","Supplier evaluation",
"Training for operators","Equipment calibration"),
G67="Dissolution rate low - 30 mins",CHOOSE(RANDBETWEEN(1,6),"Increase disintegrant","Optimize granulation","Update production SOP","Supplier evaluation",
"Training for operators","Equipment calibration"),
G67="Dissolution rate low - 40 mins",CHOOSE(RANDBETWEEN(1,6),"Increase surface area","Optimize compression","Update production SOP","Supplier evaluation",
"Training for operators","Equipment calibration"),
G67="Dissolution rate high - 15 mins",CHOOSE(RANDBETWEEN(1,6),"Decrease agitation","Increase particle size","Update production SOP","Supplier evaluation","Training for operators","Equipment calibration"),
G67="Dissolution rate high - 30 mins",CHOOSE(RANDBETWEEN(1,6),"Decrease disintegrant","Optimize granulation","Update production SOP","Supplier evaluation","Training for operators","Equipment calibration"),
G67="Dissolution rate high - 40 mins",CHOOSE(RANDBETWEEN(1,6),"Decrease surface area","Optimize compression","Update production SOP","Supplier evaluation","Training for operators","Equipment calibration"))</f>
        <v>Increase surface area</v>
      </c>
    </row>
    <row r="68" spans="1:9" x14ac:dyDescent="0.35">
      <c r="A68" s="31">
        <v>200000541</v>
      </c>
      <c r="B68" s="31">
        <v>1010</v>
      </c>
      <c r="C68" s="31">
        <v>4067</v>
      </c>
      <c r="D68" s="29" t="s">
        <v>433</v>
      </c>
      <c r="E68" s="31">
        <v>93.8</v>
      </c>
      <c r="F68" s="34">
        <f ca="1">LOOKUP(C68,'QALS - Inspection Lot Record'!P:P,'QALS - Inspection Lot Record'!E:E)+RANDBETWEEN(0,1)</f>
        <v>45903</v>
      </c>
      <c r="G68" s="41" t="s">
        <v>472</v>
      </c>
      <c r="H68" s="34">
        <f t="shared" ca="1" si="1"/>
        <v>45904</v>
      </c>
      <c r="I68" s="29" t="str" cm="1">
        <f t="array" aca="1" ref="I68" ca="1">_xlfn.IFS(G68="Potency out of spec",CHOOSE(RANDBETWEEN(1,6),"Additional testing","Improve formulation","Update production SOP","Supplier evaluation","Training for operators","Equipment calibration"),
G68="PH Level out of range",CHOOSE(RANDBETWEEN(1,6),"PH monitoring","Adjust formulation","Update production SOP","Supplier evaluation","Training for operators","Equipment calibration"),
G68="Impurities out of limit",CHOOSE(RANDBETWEEN(1,6),"Improve purification","Raw material control","Update production SOP","Supplier evaluation","Training for operators","Equipment maintenance"),
G68="Process temp out of range",CHOOSE(RANDBETWEEN(1,6),"Temperature control","Update production SOP","Supplier evaluation","Training for operators",
"Equipment calibration","Preventive maintenance"),
G68="Dissolution rate low - 15 mins",CHOOSE(RANDBETWEEN(1,6),"Increase agitation","Reduce particle size","Update production SOP","Supplier evaluation",
"Training for operators","Equipment calibration"),
G68="Dissolution rate low - 30 mins",CHOOSE(RANDBETWEEN(1,6),"Increase disintegrant","Optimize granulation","Update production SOP","Supplier evaluation",
"Training for operators","Equipment calibration"),
G68="Dissolution rate low - 40 mins",CHOOSE(RANDBETWEEN(1,6),"Increase surface area","Optimize compression","Update production SOP","Supplier evaluation",
"Training for operators","Equipment calibration"),
G68="Dissolution rate high - 15 mins",CHOOSE(RANDBETWEEN(1,6),"Decrease agitation","Increase particle size","Update production SOP","Supplier evaluation","Training for operators","Equipment calibration"),
G68="Dissolution rate high - 30 mins",CHOOSE(RANDBETWEEN(1,6),"Decrease disintegrant","Optimize granulation","Update production SOP","Supplier evaluation","Training for operators","Equipment calibration"),
G68="Dissolution rate high - 40 mins",CHOOSE(RANDBETWEEN(1,6),"Decrease surface area","Optimize compression","Update production SOP","Supplier evaluation","Training for operators","Equipment calibration"))</f>
        <v>Improve formulation</v>
      </c>
    </row>
    <row r="69" spans="1:9" x14ac:dyDescent="0.35">
      <c r="A69" s="31">
        <v>200000542</v>
      </c>
      <c r="B69" s="31">
        <v>1010</v>
      </c>
      <c r="C69" s="31">
        <v>4069</v>
      </c>
      <c r="D69" s="29" t="s">
        <v>431</v>
      </c>
      <c r="E69" s="31">
        <v>21.6</v>
      </c>
      <c r="F69" s="34">
        <f ca="1">LOOKUP(C69,'QALS - Inspection Lot Record'!P:P,'QALS - Inspection Lot Record'!E:E)+RANDBETWEEN(0,1)</f>
        <v>45905</v>
      </c>
      <c r="G69" s="41" t="s">
        <v>483</v>
      </c>
      <c r="H69" s="34">
        <f t="shared" ca="1" si="1"/>
        <v>45905</v>
      </c>
      <c r="I69" s="29" t="str" cm="1">
        <f t="array" aca="1" ref="I69" ca="1">_xlfn.IFS(G69="Potency out of spec",CHOOSE(RANDBETWEEN(1,6),"Additional testing","Improve formulation","Update production SOP","Supplier evaluation","Training for operators","Equipment calibration"),
G69="PH Level out of range",CHOOSE(RANDBETWEEN(1,6),"PH monitoring","Adjust formulation","Update production SOP","Supplier evaluation","Training for operators","Equipment calibration"),
G69="Impurities out of limit",CHOOSE(RANDBETWEEN(1,6),"Improve purification","Raw material control","Update production SOP","Supplier evaluation","Training for operators","Equipment maintenance"),
G69="Process temp out of range",CHOOSE(RANDBETWEEN(1,6),"Temperature control","Update production SOP","Supplier evaluation","Training for operators",
"Equipment calibration","Preventive maintenance"),
G69="Dissolution rate low - 15 mins",CHOOSE(RANDBETWEEN(1,6),"Increase agitation","Reduce particle size","Update production SOP","Supplier evaluation",
"Training for operators","Equipment calibration"),
G69="Dissolution rate low - 30 mins",CHOOSE(RANDBETWEEN(1,6),"Increase disintegrant","Optimize granulation","Update production SOP","Supplier evaluation",
"Training for operators","Equipment calibration"),
G69="Dissolution rate low - 40 mins",CHOOSE(RANDBETWEEN(1,6),"Increase surface area","Optimize compression","Update production SOP","Supplier evaluation",
"Training for operators","Equipment calibration"),
G69="Dissolution rate high - 15 mins",CHOOSE(RANDBETWEEN(1,6),"Decrease agitation","Increase particle size","Update production SOP","Supplier evaluation","Training for operators","Equipment calibration"),
G69="Dissolution rate high - 30 mins",CHOOSE(RANDBETWEEN(1,6),"Decrease disintegrant","Optimize granulation","Update production SOP","Supplier evaluation","Training for operators","Equipment calibration"),
G69="Dissolution rate high - 40 mins",CHOOSE(RANDBETWEEN(1,6),"Decrease surface area","Optimize compression","Update production SOP","Supplier evaluation","Training for operators","Equipment calibration"))</f>
        <v>Supplier evaluation</v>
      </c>
    </row>
    <row r="70" spans="1:9" x14ac:dyDescent="0.35">
      <c r="A70" s="31">
        <v>200000543</v>
      </c>
      <c r="B70" s="31">
        <v>1010</v>
      </c>
      <c r="C70" s="31">
        <v>4070</v>
      </c>
      <c r="D70" s="29" t="s">
        <v>429</v>
      </c>
      <c r="E70" s="31">
        <v>93.6</v>
      </c>
      <c r="F70" s="34">
        <f ca="1">LOOKUP(C70,'QALS - Inspection Lot Record'!P:P,'QALS - Inspection Lot Record'!E:E)+RANDBETWEEN(0,1)</f>
        <v>45905</v>
      </c>
      <c r="G70" s="41" t="s">
        <v>472</v>
      </c>
      <c r="H70" s="34">
        <f t="shared" ca="1" si="1"/>
        <v>45906</v>
      </c>
      <c r="I70" s="29" t="str" cm="1">
        <f t="array" aca="1" ref="I70" ca="1">_xlfn.IFS(G70="Potency out of spec",CHOOSE(RANDBETWEEN(1,6),"Additional testing","Improve formulation","Update production SOP","Supplier evaluation","Training for operators","Equipment calibration"),
G70="PH Level out of range",CHOOSE(RANDBETWEEN(1,6),"PH monitoring","Adjust formulation","Update production SOP","Supplier evaluation","Training for operators","Equipment calibration"),
G70="Impurities out of limit",CHOOSE(RANDBETWEEN(1,6),"Improve purification","Raw material control","Update production SOP","Supplier evaluation","Training for operators","Equipment maintenance"),
G70="Process temp out of range",CHOOSE(RANDBETWEEN(1,6),"Temperature control","Update production SOP","Supplier evaluation","Training for operators",
"Equipment calibration","Preventive maintenance"),
G70="Dissolution rate low - 15 mins",CHOOSE(RANDBETWEEN(1,6),"Increase agitation","Reduce particle size","Update production SOP","Supplier evaluation",
"Training for operators","Equipment calibration"),
G70="Dissolution rate low - 30 mins",CHOOSE(RANDBETWEEN(1,6),"Increase disintegrant","Optimize granulation","Update production SOP","Supplier evaluation",
"Training for operators","Equipment calibration"),
G70="Dissolution rate low - 40 mins",CHOOSE(RANDBETWEEN(1,6),"Increase surface area","Optimize compression","Update production SOP","Supplier evaluation",
"Training for operators","Equipment calibration"),
G70="Dissolution rate high - 15 mins",CHOOSE(RANDBETWEEN(1,6),"Decrease agitation","Increase particle size","Update production SOP","Supplier evaluation","Training for operators","Equipment calibration"),
G70="Dissolution rate high - 30 mins",CHOOSE(RANDBETWEEN(1,6),"Decrease disintegrant","Optimize granulation","Update production SOP","Supplier evaluation","Training for operators","Equipment calibration"),
G70="Dissolution rate high - 40 mins",CHOOSE(RANDBETWEEN(1,6),"Decrease surface area","Optimize compression","Update production SOP","Supplier evaluation","Training for operators","Equipment calibration"))</f>
        <v>Equipment calibration</v>
      </c>
    </row>
    <row r="71" spans="1:9" x14ac:dyDescent="0.35">
      <c r="A71" s="31">
        <v>200000543</v>
      </c>
      <c r="B71" s="31">
        <v>1010</v>
      </c>
      <c r="C71" s="31">
        <v>4070</v>
      </c>
      <c r="D71" s="29" t="s">
        <v>429</v>
      </c>
      <c r="E71" s="31">
        <v>38.4</v>
      </c>
      <c r="F71" s="34">
        <f ca="1">LOOKUP(C71,'QALS - Inspection Lot Record'!P:P,'QALS - Inspection Lot Record'!E:E)+RANDBETWEEN(0,1)</f>
        <v>45905</v>
      </c>
      <c r="G71" s="41" t="s">
        <v>478</v>
      </c>
      <c r="H71" s="34">
        <f t="shared" ca="1" si="1"/>
        <v>45905</v>
      </c>
      <c r="I71" s="29" t="str" cm="1">
        <f t="array" aca="1" ref="I71" ca="1">_xlfn.IFS(G71="Potency out of spec",CHOOSE(RANDBETWEEN(1,6),"Additional testing","Improve formulation","Update production SOP","Supplier evaluation","Training for operators","Equipment calibration"),
G71="PH Level out of range",CHOOSE(RANDBETWEEN(1,6),"PH monitoring","Adjust formulation","Update production SOP","Supplier evaluation","Training for operators","Equipment calibration"),
G71="Impurities out of limit",CHOOSE(RANDBETWEEN(1,6),"Improve purification","Raw material control","Update production SOP","Supplier evaluation","Training for operators","Equipment maintenance"),
G71="Process temp out of range",CHOOSE(RANDBETWEEN(1,6),"Temperature control","Update production SOP","Supplier evaluation","Training for operators",
"Equipment calibration","Preventive maintenance"),
G71="Dissolution rate low - 15 mins",CHOOSE(RANDBETWEEN(1,6),"Increase agitation","Reduce particle size","Update production SOP","Supplier evaluation",
"Training for operators","Equipment calibration"),
G71="Dissolution rate low - 30 mins",CHOOSE(RANDBETWEEN(1,6),"Increase disintegrant","Optimize granulation","Update production SOP","Supplier evaluation",
"Training for operators","Equipment calibration"),
G71="Dissolution rate low - 40 mins",CHOOSE(RANDBETWEEN(1,6),"Increase surface area","Optimize compression","Update production SOP","Supplier evaluation",
"Training for operators","Equipment calibration"),
G71="Dissolution rate high - 15 mins",CHOOSE(RANDBETWEEN(1,6),"Decrease agitation","Increase particle size","Update production SOP","Supplier evaluation","Training for operators","Equipment calibration"),
G71="Dissolution rate high - 30 mins",CHOOSE(RANDBETWEEN(1,6),"Decrease disintegrant","Optimize granulation","Update production SOP","Supplier evaluation","Training for operators","Equipment calibration"),
G71="Dissolution rate high - 40 mins",CHOOSE(RANDBETWEEN(1,6),"Decrease surface area","Optimize compression","Update production SOP","Supplier evaluation","Training for operators","Equipment calibration"))</f>
        <v>Update production SOP</v>
      </c>
    </row>
    <row r="72" spans="1:9" x14ac:dyDescent="0.35">
      <c r="A72" s="31">
        <v>200000543</v>
      </c>
      <c r="B72" s="31">
        <v>1010</v>
      </c>
      <c r="C72" s="31">
        <v>4070</v>
      </c>
      <c r="D72" s="29" t="s">
        <v>429</v>
      </c>
      <c r="E72" s="31">
        <v>68.400000000000006</v>
      </c>
      <c r="F72" s="34">
        <f ca="1">LOOKUP(C72,'QALS - Inspection Lot Record'!P:P,'QALS - Inspection Lot Record'!E:E)+RANDBETWEEN(0,1)</f>
        <v>45904</v>
      </c>
      <c r="G72" s="41" t="s">
        <v>480</v>
      </c>
      <c r="H72" s="34">
        <f t="shared" ca="1" si="1"/>
        <v>45906</v>
      </c>
      <c r="I72" s="29" t="str" cm="1">
        <f t="array" aca="1" ref="I72" ca="1">_xlfn.IFS(G72="Potency out of spec",CHOOSE(RANDBETWEEN(1,6),"Additional testing","Improve formulation","Update production SOP","Supplier evaluation","Training for operators","Equipment calibration"),
G72="PH Level out of range",CHOOSE(RANDBETWEEN(1,6),"PH monitoring","Adjust formulation","Update production SOP","Supplier evaluation","Training for operators","Equipment calibration"),
G72="Impurities out of limit",CHOOSE(RANDBETWEEN(1,6),"Improve purification","Raw material control","Update production SOP","Supplier evaluation","Training for operators","Equipment maintenance"),
G72="Process temp out of range",CHOOSE(RANDBETWEEN(1,6),"Temperature control","Update production SOP","Supplier evaluation","Training for operators",
"Equipment calibration","Preventive maintenance"),
G72="Dissolution rate low - 15 mins",CHOOSE(RANDBETWEEN(1,6),"Increase agitation","Reduce particle size","Update production SOP","Supplier evaluation",
"Training for operators","Equipment calibration"),
G72="Dissolution rate low - 30 mins",CHOOSE(RANDBETWEEN(1,6),"Increase disintegrant","Optimize granulation","Update production SOP","Supplier evaluation",
"Training for operators","Equipment calibration"),
G72="Dissolution rate low - 40 mins",CHOOSE(RANDBETWEEN(1,6),"Increase surface area","Optimize compression","Update production SOP","Supplier evaluation",
"Training for operators","Equipment calibration"),
G72="Dissolution rate high - 15 mins",CHOOSE(RANDBETWEEN(1,6),"Decrease agitation","Increase particle size","Update production SOP","Supplier evaluation","Training for operators","Equipment calibration"),
G72="Dissolution rate high - 30 mins",CHOOSE(RANDBETWEEN(1,6),"Decrease disintegrant","Optimize granulation","Update production SOP","Supplier evaluation","Training for operators","Equipment calibration"),
G72="Dissolution rate high - 40 mins",CHOOSE(RANDBETWEEN(1,6),"Decrease surface area","Optimize compression","Update production SOP","Supplier evaluation","Training for operators","Equipment calibration"))</f>
        <v>Update production SOP</v>
      </c>
    </row>
    <row r="73" spans="1:9" x14ac:dyDescent="0.35">
      <c r="A73" s="31">
        <v>200000544</v>
      </c>
      <c r="B73" s="31">
        <v>1010</v>
      </c>
      <c r="C73" s="31">
        <v>4071</v>
      </c>
      <c r="D73" s="29" t="s">
        <v>429</v>
      </c>
      <c r="E73" s="31">
        <v>93.6</v>
      </c>
      <c r="F73" s="34">
        <f ca="1">LOOKUP(C73,'QALS - Inspection Lot Record'!P:P,'QALS - Inspection Lot Record'!E:E)+RANDBETWEEN(0,1)</f>
        <v>45905</v>
      </c>
      <c r="G73" s="41" t="s">
        <v>472</v>
      </c>
      <c r="H73" s="34">
        <f t="shared" ca="1" si="1"/>
        <v>45907</v>
      </c>
      <c r="I73" s="29" t="str" cm="1">
        <f t="array" aca="1" ref="I73" ca="1">_xlfn.IFS(G73="Potency out of spec",CHOOSE(RANDBETWEEN(1,6),"Additional testing","Improve formulation","Update production SOP","Supplier evaluation","Training for operators","Equipment calibration"),
G73="PH Level out of range",CHOOSE(RANDBETWEEN(1,6),"PH monitoring","Adjust formulation","Update production SOP","Supplier evaluation","Training for operators","Equipment calibration"),
G73="Impurities out of limit",CHOOSE(RANDBETWEEN(1,6),"Improve purification","Raw material control","Update production SOP","Supplier evaluation","Training for operators","Equipment maintenance"),
G73="Process temp out of range",CHOOSE(RANDBETWEEN(1,6),"Temperature control","Update production SOP","Supplier evaluation","Training for operators",
"Equipment calibration","Preventive maintenance"),
G73="Dissolution rate low - 15 mins",CHOOSE(RANDBETWEEN(1,6),"Increase agitation","Reduce particle size","Update production SOP","Supplier evaluation",
"Training for operators","Equipment calibration"),
G73="Dissolution rate low - 30 mins",CHOOSE(RANDBETWEEN(1,6),"Increase disintegrant","Optimize granulation","Update production SOP","Supplier evaluation",
"Training for operators","Equipment calibration"),
G73="Dissolution rate low - 40 mins",CHOOSE(RANDBETWEEN(1,6),"Increase surface area","Optimize compression","Update production SOP","Supplier evaluation",
"Training for operators","Equipment calibration"),
G73="Dissolution rate high - 15 mins",CHOOSE(RANDBETWEEN(1,6),"Decrease agitation","Increase particle size","Update production SOP","Supplier evaluation","Training for operators","Equipment calibration"),
G73="Dissolution rate high - 30 mins",CHOOSE(RANDBETWEEN(1,6),"Decrease disintegrant","Optimize granulation","Update production SOP","Supplier evaluation","Training for operators","Equipment calibration"),
G73="Dissolution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74" spans="1:9" x14ac:dyDescent="0.35">
      <c r="A74" s="31">
        <v>200000545</v>
      </c>
      <c r="B74" s="31">
        <v>1010</v>
      </c>
      <c r="C74" s="31">
        <v>4074</v>
      </c>
      <c r="D74" s="29" t="s">
        <v>433</v>
      </c>
      <c r="E74" s="31">
        <v>93</v>
      </c>
      <c r="F74" s="34">
        <f ca="1">LOOKUP(C74,'QALS - Inspection Lot Record'!P:P,'QALS - Inspection Lot Record'!E:E)+RANDBETWEEN(0,1)</f>
        <v>45907</v>
      </c>
      <c r="G74" s="41" t="s">
        <v>472</v>
      </c>
      <c r="H74" s="34">
        <f t="shared" ca="1" si="1"/>
        <v>45908</v>
      </c>
      <c r="I74" s="29" t="str" cm="1">
        <f t="array" aca="1" ref="I74" ca="1">_xlfn.IFS(G74="Potency out of spec",CHOOSE(RANDBETWEEN(1,6),"Additional testing","Improve formulation","Update production SOP","Supplier evaluation","Training for operators","Equipment calibration"),
G74="PH Level out of range",CHOOSE(RANDBETWEEN(1,6),"PH monitoring","Adjust formulation","Update production SOP","Supplier evaluation","Training for operators","Equipment calibration"),
G74="Impurities out of limit",CHOOSE(RANDBETWEEN(1,6),"Improve purification","Raw material control","Update production SOP","Supplier evaluation","Training for operators","Equipment maintenance"),
G74="Process temp out of range",CHOOSE(RANDBETWEEN(1,6),"Temperature control","Update production SOP","Supplier evaluation","Training for operators",
"Equipment calibration","Preventive maintenance"),
G74="Dissolution rate low - 15 mins",CHOOSE(RANDBETWEEN(1,6),"Increase agitation","Reduce particle size","Update production SOP","Supplier evaluation",
"Training for operators","Equipment calibration"),
G74="Dissolution rate low - 30 mins",CHOOSE(RANDBETWEEN(1,6),"Increase disintegrant","Optimize granulation","Update production SOP","Supplier evaluation",
"Training for operators","Equipment calibration"),
G74="Dissolution rate low - 40 mins",CHOOSE(RANDBETWEEN(1,6),"Increase surface area","Optimize compression","Update production SOP","Supplier evaluation",
"Training for operators","Equipment calibration"),
G74="Dissolution rate high - 15 mins",CHOOSE(RANDBETWEEN(1,6),"Decrease agitation","Increase particle size","Update production SOP","Supplier evaluation","Training for operators","Equipment calibration"),
G74="Dissolution rate high - 30 mins",CHOOSE(RANDBETWEEN(1,6),"Decrease disintegrant","Optimize granulation","Update production SOP","Supplier evaluation","Training for operators","Equipment calibration"),
G74="Dissolution rate high - 40 mins",CHOOSE(RANDBETWEEN(1,6),"Decrease surface area","Optimize compression","Update production SOP","Supplier evaluation","Training for operators","Equipment calibration"))</f>
        <v>Training for operators</v>
      </c>
    </row>
    <row r="75" spans="1:9" x14ac:dyDescent="0.35">
      <c r="A75" s="31">
        <v>200000545</v>
      </c>
      <c r="B75" s="31">
        <v>1010</v>
      </c>
      <c r="C75" s="31">
        <v>4074</v>
      </c>
      <c r="D75" s="29" t="s">
        <v>433</v>
      </c>
      <c r="E75" s="31">
        <v>79</v>
      </c>
      <c r="F75" s="34">
        <f ca="1">LOOKUP(C75,'QALS - Inspection Lot Record'!P:P,'QALS - Inspection Lot Record'!E:E)+RANDBETWEEN(0,1)</f>
        <v>45907</v>
      </c>
      <c r="G75" s="41" t="s">
        <v>486</v>
      </c>
      <c r="H75" s="34">
        <f t="shared" ca="1" si="1"/>
        <v>45909</v>
      </c>
      <c r="I75" s="29" t="str" cm="1">
        <f t="array" aca="1" ref="I75" ca="1">_xlfn.IFS(G75="Potency out of spec",CHOOSE(RANDBETWEEN(1,6),"Additional testing","Improve formulation","Update production SOP","Supplier evaluation","Training for operators","Equipment calibration"),
G75="PH Level out of range",CHOOSE(RANDBETWEEN(1,6),"PH monitoring","Adjust formulation","Update production SOP","Supplier evaluation","Training for operators","Equipment calibration"),
G75="Impurities out of limit",CHOOSE(RANDBETWEEN(1,6),"Improve purification","Raw material control","Update production SOP","Supplier evaluation","Training for operators","Equipment maintenance"),
G75="Process temp out of range",CHOOSE(RANDBETWEEN(1,6),"Temperature control","Update production SOP","Supplier evaluation","Training for operators",
"Equipment calibration","Preventive maintenance"),
G75="Dissolution rate low - 15 mins",CHOOSE(RANDBETWEEN(1,6),"Increase agitation","Reduce particle size","Update production SOP","Supplier evaluation",
"Training for operators","Equipment calibration"),
G75="Dissolution rate low - 30 mins",CHOOSE(RANDBETWEEN(1,6),"Increase disintegrant","Optimize granulation","Update production SOP","Supplier evaluation",
"Training for operators","Equipment calibration"),
G75="Dissolution rate low - 40 mins",CHOOSE(RANDBETWEEN(1,6),"Increase surface area","Optimize compression","Update production SOP","Supplier evaluation",
"Training for operators","Equipment calibration"),
G75="Dissolution rate high - 15 mins",CHOOSE(RANDBETWEEN(1,6),"Decrease agitation","Increase particle size","Update production SOP","Supplier evaluation","Training for operators","Equipment calibration"),
G75="Dissolution rate high - 30 mins",CHOOSE(RANDBETWEEN(1,6),"Decrease disintegrant","Optimize granulation","Update production SOP","Supplier evaluation","Training for operators","Equipment calibration"),
G75="Dissolution rate high - 40 mins",CHOOSE(RANDBETWEEN(1,6),"Decrease surface area","Optimize compression","Update production SOP","Supplier evaluation","Training for operators","Equipment calibration"))</f>
        <v>Update production SOP</v>
      </c>
    </row>
    <row r="76" spans="1:9" x14ac:dyDescent="0.35">
      <c r="A76" s="31">
        <v>200000546</v>
      </c>
      <c r="B76" s="31">
        <v>1010</v>
      </c>
      <c r="C76" s="31">
        <v>4075</v>
      </c>
      <c r="D76" s="29" t="s">
        <v>429</v>
      </c>
      <c r="E76" s="31">
        <v>93.8</v>
      </c>
      <c r="F76" s="34">
        <f ca="1">LOOKUP(C76,'QALS - Inspection Lot Record'!P:P,'QALS - Inspection Lot Record'!E:E)+RANDBETWEEN(0,1)</f>
        <v>45908</v>
      </c>
      <c r="G76" s="41" t="s">
        <v>472</v>
      </c>
      <c r="H76" s="34">
        <f t="shared" ca="1" si="1"/>
        <v>45910</v>
      </c>
      <c r="I76" s="29" t="str" cm="1">
        <f t="array" aca="1" ref="I76" ca="1">_xlfn.IFS(G76="Potency out of spec",CHOOSE(RANDBETWEEN(1,6),"Additional testing","Improve formulation","Update production SOP","Supplier evaluation","Training for operators","Equipment calibration"),
G76="PH Level out of range",CHOOSE(RANDBETWEEN(1,6),"PH monitoring","Adjust formulation","Update production SOP","Supplier evaluation","Training for operators","Equipment calibration"),
G76="Impurities out of limit",CHOOSE(RANDBETWEEN(1,6),"Improve purification","Raw material control","Update production SOP","Supplier evaluation","Training for operators","Equipment maintenance"),
G76="Process temp out of range",CHOOSE(RANDBETWEEN(1,6),"Temperature control","Update production SOP","Supplier evaluation","Training for operators",
"Equipment calibration","Preventive maintenance"),
G76="Dissolution rate low - 15 mins",CHOOSE(RANDBETWEEN(1,6),"Increase agitation","Reduce particle size","Update production SOP","Supplier evaluation",
"Training for operators","Equipment calibration"),
G76="Dissolution rate low - 30 mins",CHOOSE(RANDBETWEEN(1,6),"Increase disintegrant","Optimize granulation","Update production SOP","Supplier evaluation",
"Training for operators","Equipment calibration"),
G76="Dissolution rate low - 40 mins",CHOOSE(RANDBETWEEN(1,6),"Increase surface area","Optimize compression","Update production SOP","Supplier evaluation",
"Training for operators","Equipment calibration"),
G76="Dissolution rate high - 15 mins",CHOOSE(RANDBETWEEN(1,6),"Decrease agitation","Increase particle size","Update production SOP","Supplier evaluation","Training for operators","Equipment calibration"),
G76="Dissolution rate high - 30 mins",CHOOSE(RANDBETWEEN(1,6),"Decrease disintegrant","Optimize granulation","Update production SOP","Supplier evaluation","Training for operators","Equipment calibration"),
G76="Dissolution rate high - 40 mins",CHOOSE(RANDBETWEEN(1,6),"Decrease surface area","Optimize compression","Update production SOP","Supplier evaluation","Training for operators","Equipment calibration"))</f>
        <v>Equipment calibration</v>
      </c>
    </row>
    <row r="77" spans="1:9" x14ac:dyDescent="0.35">
      <c r="A77" s="31">
        <v>200000547</v>
      </c>
      <c r="B77" s="31">
        <v>1010</v>
      </c>
      <c r="C77" s="31">
        <v>4077</v>
      </c>
      <c r="D77" s="29" t="s">
        <v>431</v>
      </c>
      <c r="E77" s="31">
        <v>93.3</v>
      </c>
      <c r="F77" s="34">
        <f ca="1">LOOKUP(C77,'QALS - Inspection Lot Record'!P:P,'QALS - Inspection Lot Record'!E:E)+RANDBETWEEN(0,1)</f>
        <v>45908</v>
      </c>
      <c r="G77" s="41" t="s">
        <v>472</v>
      </c>
      <c r="H77" s="34">
        <f t="shared" ca="1" si="1"/>
        <v>45909</v>
      </c>
      <c r="I77" s="29" t="str" cm="1">
        <f t="array" aca="1" ref="I77" ca="1">_xlfn.IFS(G77="Potency out of spec",CHOOSE(RANDBETWEEN(1,6),"Additional testing","Improve formulation","Update production SOP","Supplier evaluation","Training for operators","Equipment calibration"),
G77="PH Level out of range",CHOOSE(RANDBETWEEN(1,6),"PH monitoring","Adjust formulation","Update production SOP","Supplier evaluation","Training for operators","Equipment calibration"),
G77="Impurities out of limit",CHOOSE(RANDBETWEEN(1,6),"Improve purification","Raw material control","Update production SOP","Supplier evaluation","Training for operators","Equipment maintenance"),
G77="Process temp out of range",CHOOSE(RANDBETWEEN(1,6),"Temperature control","Update production SOP","Supplier evaluation","Training for operators",
"Equipment calibration","Preventive maintenance"),
G77="Dissolution rate low - 15 mins",CHOOSE(RANDBETWEEN(1,6),"Increase agitation","Reduce particle size","Update production SOP","Supplier evaluation",
"Training for operators","Equipment calibration"),
G77="Dissolution rate low - 30 mins",CHOOSE(RANDBETWEEN(1,6),"Increase disintegrant","Optimize granulation","Update production SOP","Supplier evaluation",
"Training for operators","Equipment calibration"),
G77="Dissolution rate low - 40 mins",CHOOSE(RANDBETWEEN(1,6),"Increase surface area","Optimize compression","Update production SOP","Supplier evaluation",
"Training for operators","Equipment calibration"),
G77="Dissolution rate high - 15 mins",CHOOSE(RANDBETWEEN(1,6),"Decrease agitation","Increase particle size","Update production SOP","Supplier evaluation","Training for operators","Equipment calibration"),
G77="Dissolution rate high - 30 mins",CHOOSE(RANDBETWEEN(1,6),"Decrease disintegrant","Optimize granulation","Update production SOP","Supplier evaluation","Training for operators","Equipment calibration"),
G77="Dissolution rate high - 40 mins",CHOOSE(RANDBETWEEN(1,6),"Decrease surface area","Optimize compression","Update production SOP","Supplier evaluation","Training for operators","Equipment calibration"))</f>
        <v>Improve formulation</v>
      </c>
    </row>
    <row r="78" spans="1:9" x14ac:dyDescent="0.35">
      <c r="A78" s="31">
        <v>200000547</v>
      </c>
      <c r="B78" s="31">
        <v>1010</v>
      </c>
      <c r="C78" s="31">
        <v>4077</v>
      </c>
      <c r="D78" s="29" t="s">
        <v>431</v>
      </c>
      <c r="E78" s="31">
        <v>4.0999999999999996</v>
      </c>
      <c r="F78" s="34">
        <f ca="1">LOOKUP(C78,'QALS - Inspection Lot Record'!P:P,'QALS - Inspection Lot Record'!E:E)+RANDBETWEEN(0,1)</f>
        <v>45908</v>
      </c>
      <c r="G78" s="41" t="s">
        <v>474</v>
      </c>
      <c r="H78" s="34">
        <f t="shared" ca="1" si="1"/>
        <v>45910</v>
      </c>
      <c r="I78" s="29" t="str" cm="1">
        <f t="array" aca="1" ref="I78" ca="1">_xlfn.IFS(G78="Potency out of spec",CHOOSE(RANDBETWEEN(1,6),"Additional testing","Improve formulation","Update production SOP","Supplier evaluation","Training for operators","Equipment calibration"),
G78="PH Level out of range",CHOOSE(RANDBETWEEN(1,6),"PH monitoring","Adjust formulation","Update production SOP","Supplier evaluation","Training for operators","Equipment calibration"),
G78="Impurities out of limit",CHOOSE(RANDBETWEEN(1,6),"Improve purification","Raw material control","Update production SOP","Supplier evaluation","Training for operators","Equipment maintenance"),
G78="Process temp out of range",CHOOSE(RANDBETWEEN(1,6),"Temperature control","Update production SOP","Supplier evaluation","Training for operators",
"Equipment calibration","Preventive maintenance"),
G78="Dissolution rate low - 15 mins",CHOOSE(RANDBETWEEN(1,6),"Increase agitation","Reduce particle size","Update production SOP","Supplier evaluation",
"Training for operators","Equipment calibration"),
G78="Dissolution rate low - 30 mins",CHOOSE(RANDBETWEEN(1,6),"Increase disintegrant","Optimize granulation","Update production SOP","Supplier evaluation",
"Training for operators","Equipment calibration"),
G78="Dissolution rate low - 40 mins",CHOOSE(RANDBETWEEN(1,6),"Increase surface area","Optimize compression","Update production SOP","Supplier evaluation",
"Training for operators","Equipment calibration"),
G78="Dissolution rate high - 15 mins",CHOOSE(RANDBETWEEN(1,6),"Decrease agitation","Increase particle size","Update production SOP","Supplier evaluation","Training for operators","Equipment calibration"),
G78="Dissolution rate high - 30 mins",CHOOSE(RANDBETWEEN(1,6),"Decrease disintegrant","Optimize granulation","Update production SOP","Supplier evaluation","Training for operators","Equipment calibration"),
G78="Dissolution rate high - 40 mins",CHOOSE(RANDBETWEEN(1,6),"Decrease surface area","Optimize compression","Update production SOP","Supplier evaluation","Training for operators","Equipment calibration"))</f>
        <v>Training for operators</v>
      </c>
    </row>
    <row r="79" spans="1:9" x14ac:dyDescent="0.35">
      <c r="A79" s="31">
        <v>200000548</v>
      </c>
      <c r="B79" s="31">
        <v>1010</v>
      </c>
      <c r="C79" s="31">
        <v>4081</v>
      </c>
      <c r="D79" s="29" t="s">
        <v>503</v>
      </c>
      <c r="E79" s="31">
        <v>1.8</v>
      </c>
      <c r="F79" s="34">
        <f ca="1">LOOKUP(C79,'QALS - Inspection Lot Record'!P:P,'QALS - Inspection Lot Record'!E:E)+RANDBETWEEN(0,1)</f>
        <v>45910</v>
      </c>
      <c r="G79" s="41" t="s">
        <v>474</v>
      </c>
      <c r="H79" s="34">
        <f t="shared" ca="1" si="1"/>
        <v>45912</v>
      </c>
      <c r="I79" s="29" t="str" cm="1">
        <f t="array" aca="1" ref="I79" ca="1">_xlfn.IFS(G79="Potency out of spec",CHOOSE(RANDBETWEEN(1,6),"Additional testing","Improve formulation","Update production SOP","Supplier evaluation","Training for operators","Equipment calibration"),
G79="PH Level out of range",CHOOSE(RANDBETWEEN(1,6),"PH monitoring","Adjust formulation","Update production SOP","Supplier evaluation","Training for operators","Equipment calibration"),
G79="Impurities out of limit",CHOOSE(RANDBETWEEN(1,6),"Improve purification","Raw material control","Update production SOP","Supplier evaluation","Training for operators","Equipment maintenance"),
G79="Process temp out of range",CHOOSE(RANDBETWEEN(1,6),"Temperature control","Update production SOP","Supplier evaluation","Training for operators",
"Equipment calibration","Preventive maintenance"),
G79="Dissolution rate low - 15 mins",CHOOSE(RANDBETWEEN(1,6),"Increase agitation","Reduce particle size","Update production SOP","Supplier evaluation",
"Training for operators","Equipment calibration"),
G79="Dissolution rate low - 30 mins",CHOOSE(RANDBETWEEN(1,6),"Increase disintegrant","Optimize granulation","Update production SOP","Supplier evaluation",
"Training for operators","Equipment calibration"),
G79="Dissolution rate low - 40 mins",CHOOSE(RANDBETWEEN(1,6),"Increase surface area","Optimize compression","Update production SOP","Supplier evaluation",
"Training for operators","Equipment calibration"),
G79="Dissolution rate high - 15 mins",CHOOSE(RANDBETWEEN(1,6),"Decrease agitation","Increase particle size","Update production SOP","Supplier evaluation","Training for operators","Equipment calibration"),
G79="Dissolution rate high - 30 mins",CHOOSE(RANDBETWEEN(1,6),"Decrease disintegrant","Optimize granulation","Update production SOP","Supplier evaluation","Training for operators","Equipment calibration"),
G79="Dissolution rate high - 40 mins",CHOOSE(RANDBETWEEN(1,6),"Decrease surface area","Optimize compression","Update production SOP","Supplier evaluation","Training for operators","Equipment calibration"))</f>
        <v>Supplier evaluation</v>
      </c>
    </row>
    <row r="80" spans="1:9" x14ac:dyDescent="0.35">
      <c r="A80" s="31">
        <v>200000548</v>
      </c>
      <c r="B80" s="31">
        <v>1010</v>
      </c>
      <c r="C80" s="31">
        <v>4081</v>
      </c>
      <c r="D80" s="29" t="s">
        <v>503</v>
      </c>
      <c r="E80" s="31">
        <v>68.3</v>
      </c>
      <c r="F80" s="34">
        <f ca="1">LOOKUP(C80,'QALS - Inspection Lot Record'!P:P,'QALS - Inspection Lot Record'!E:E)+RANDBETWEEN(0,1)</f>
        <v>45910</v>
      </c>
      <c r="G80" s="41" t="s">
        <v>480</v>
      </c>
      <c r="H80" s="34">
        <f t="shared" ca="1" si="1"/>
        <v>45910</v>
      </c>
      <c r="I80" s="29" t="str" cm="1">
        <f t="array" aca="1" ref="I80" ca="1">_xlfn.IFS(G80="Potency out of spec",CHOOSE(RANDBETWEEN(1,6),"Additional testing","Improve formulation","Update production SOP","Supplier evaluation","Training for operators","Equipment calibration"),
G80="PH Level out of range",CHOOSE(RANDBETWEEN(1,6),"PH monitoring","Adjust formulation","Update production SOP","Supplier evaluation","Training for operators","Equipment calibration"),
G80="Impurities out of limit",CHOOSE(RANDBETWEEN(1,6),"Improve purification","Raw material control","Update production SOP","Supplier evaluation","Training for operators","Equipment maintenance"),
G80="Process temp out of range",CHOOSE(RANDBETWEEN(1,6),"Temperature control","Update production SOP","Supplier evaluation","Training for operators",
"Equipment calibration","Preventive maintenance"),
G80="Dissolution rate low - 15 mins",CHOOSE(RANDBETWEEN(1,6),"Increase agitation","Reduce particle size","Update production SOP","Supplier evaluation",
"Training for operators","Equipment calibration"),
G80="Dissolution rate low - 30 mins",CHOOSE(RANDBETWEEN(1,6),"Increase disintegrant","Optimize granulation","Update production SOP","Supplier evaluation",
"Training for operators","Equipment calibration"),
G80="Dissolution rate low - 40 mins",CHOOSE(RANDBETWEEN(1,6),"Increase surface area","Optimize compression","Update production SOP","Supplier evaluation",
"Training for operators","Equipment calibration"),
G80="Dissolution rate high - 15 mins",CHOOSE(RANDBETWEEN(1,6),"Decrease agitation","Increase particle size","Update production SOP","Supplier evaluation","Training for operators","Equipment calibration"),
G80="Dissolution rate high - 30 mins",CHOOSE(RANDBETWEEN(1,6),"Decrease disintegrant","Optimize granulation","Update production SOP","Supplier evaluation","Training for operators","Equipment calibration"),
G80="Dissolution rate high - 40 mins",CHOOSE(RANDBETWEEN(1,6),"Decrease surface area","Optimize compression","Update production SOP","Supplier evaluation","Training for operators","Equipment calibration"))</f>
        <v>Supplier evaluation</v>
      </c>
    </row>
    <row r="81" spans="1:9" x14ac:dyDescent="0.35">
      <c r="A81" s="31">
        <v>200000548</v>
      </c>
      <c r="B81" s="31">
        <v>1010</v>
      </c>
      <c r="C81" s="31">
        <v>4081</v>
      </c>
      <c r="D81" s="29" t="s">
        <v>503</v>
      </c>
      <c r="E81" s="31">
        <v>78.8</v>
      </c>
      <c r="F81" s="34">
        <f ca="1">LOOKUP(C81,'QALS - Inspection Lot Record'!P:P,'QALS - Inspection Lot Record'!E:E)+RANDBETWEEN(0,1)</f>
        <v>45910</v>
      </c>
      <c r="G81" s="41" t="s">
        <v>486</v>
      </c>
      <c r="H81" s="34">
        <f t="shared" ca="1" si="1"/>
        <v>45912</v>
      </c>
      <c r="I81" s="29" t="str" cm="1">
        <f t="array" aca="1" ref="I81" ca="1">_xlfn.IFS(G81="Potency out of spec",CHOOSE(RANDBETWEEN(1,6),"Additional testing","Improve formulation","Update production SOP","Supplier evaluation","Training for operators","Equipment calibration"),
G81="PH Level out of range",CHOOSE(RANDBETWEEN(1,6),"PH monitoring","Adjust formulation","Update production SOP","Supplier evaluation","Training for operators","Equipment calibration"),
G81="Impurities out of limit",CHOOSE(RANDBETWEEN(1,6),"Improve purification","Raw material control","Update production SOP","Supplier evaluation","Training for operators","Equipment maintenance"),
G81="Process temp out of range",CHOOSE(RANDBETWEEN(1,6),"Temperature control","Update production SOP","Supplier evaluation","Training for operators",
"Equipment calibration","Preventive maintenance"),
G81="Dissolution rate low - 15 mins",CHOOSE(RANDBETWEEN(1,6),"Increase agitation","Reduce particle size","Update production SOP","Supplier evaluation",
"Training for operators","Equipment calibration"),
G81="Dissolution rate low - 30 mins",CHOOSE(RANDBETWEEN(1,6),"Increase disintegrant","Optimize granulation","Update production SOP","Supplier evaluation",
"Training for operators","Equipment calibration"),
G81="Dissolution rate low - 40 mins",CHOOSE(RANDBETWEEN(1,6),"Increase surface area","Optimize compression","Update production SOP","Supplier evaluation",
"Training for operators","Equipment calibration"),
G81="Dissolution rate high - 15 mins",CHOOSE(RANDBETWEEN(1,6),"Decrease agitation","Increase particle size","Update production SOP","Supplier evaluation","Training for operators","Equipment calibration"),
G81="Dissolution rate high - 30 mins",CHOOSE(RANDBETWEEN(1,6),"Decrease disintegrant","Optimize granulation","Update production SOP","Supplier evaluation","Training for operators","Equipment calibration"),
G81="Dissolution rate high - 40 mins",CHOOSE(RANDBETWEEN(1,6),"Decrease surface area","Optimize compression","Update production SOP","Supplier evaluation","Training for operators","Equipment calibration"))</f>
        <v>Increase surface area</v>
      </c>
    </row>
    <row r="82" spans="1:9" x14ac:dyDescent="0.35">
      <c r="A82" s="31">
        <v>200000548</v>
      </c>
      <c r="B82" s="31">
        <v>1010</v>
      </c>
      <c r="C82" s="31">
        <v>4081</v>
      </c>
      <c r="D82" s="29" t="s">
        <v>503</v>
      </c>
      <c r="E82" s="31">
        <v>21.4</v>
      </c>
      <c r="F82" s="34">
        <f ca="1">LOOKUP(C82,'QALS - Inspection Lot Record'!P:P,'QALS - Inspection Lot Record'!E:E)+RANDBETWEEN(0,1)</f>
        <v>45911</v>
      </c>
      <c r="G82" s="41" t="s">
        <v>483</v>
      </c>
      <c r="H82" s="34">
        <f t="shared" ca="1" si="1"/>
        <v>45911</v>
      </c>
      <c r="I82" s="29" t="str" cm="1">
        <f t="array" aca="1" ref="I82" ca="1">_xlfn.IFS(G82="Potency out of spec",CHOOSE(RANDBETWEEN(1,6),"Additional testing","Improve formulation","Update production SOP","Supplier evaluation","Training for operators","Equipment calibration"),
G82="PH Level out of range",CHOOSE(RANDBETWEEN(1,6),"PH monitoring","Adjust formulation","Update production SOP","Supplier evaluation","Training for operators","Equipment calibration"),
G82="Impurities out of limit",CHOOSE(RANDBETWEEN(1,6),"Improve purification","Raw material control","Update production SOP","Supplier evaluation","Training for operators","Equipment maintenance"),
G82="Process temp out of range",CHOOSE(RANDBETWEEN(1,6),"Temperature control","Update production SOP","Supplier evaluation","Training for operators",
"Equipment calibration","Preventive maintenance"),
G82="Dissolution rate low - 15 mins",CHOOSE(RANDBETWEEN(1,6),"Increase agitation","Reduce particle size","Update production SOP","Supplier evaluation",
"Training for operators","Equipment calibration"),
G82="Dissolution rate low - 30 mins",CHOOSE(RANDBETWEEN(1,6),"Increase disintegrant","Optimize granulation","Update production SOP","Supplier evaluation",
"Training for operators","Equipment calibration"),
G82="Dissolution rate low - 40 mins",CHOOSE(RANDBETWEEN(1,6),"Increase surface area","Optimize compression","Update production SOP","Supplier evaluation",
"Training for operators","Equipment calibration"),
G82="Dissolution rate high - 15 mins",CHOOSE(RANDBETWEEN(1,6),"Decrease agitation","Increase particle size","Update production SOP","Supplier evaluation","Training for operators","Equipment calibration"),
G82="Dissolution rate high - 30 mins",CHOOSE(RANDBETWEEN(1,6),"Decrease disintegrant","Optimize granulation","Update production SOP","Supplier evaluation","Training for operators","Equipment calibration"),
G82="Dissolution rate high - 40 mins",CHOOSE(RANDBETWEEN(1,6),"Decrease surface area","Optimize compression","Update production SOP","Supplier evaluation","Training for operators","Equipment calibration"))</f>
        <v>Supplier evaluation</v>
      </c>
    </row>
    <row r="83" spans="1:9" x14ac:dyDescent="0.35">
      <c r="A83" s="31">
        <v>200000549</v>
      </c>
      <c r="B83" s="31">
        <v>1010</v>
      </c>
      <c r="C83" s="31">
        <v>4085</v>
      </c>
      <c r="D83" s="29" t="s">
        <v>503</v>
      </c>
      <c r="E83" s="31">
        <v>21.3</v>
      </c>
      <c r="F83" s="34">
        <f ca="1">LOOKUP(C83,'QALS - Inspection Lot Record'!P:P,'QALS - Inspection Lot Record'!E:E)+RANDBETWEEN(0,1)</f>
        <v>45912</v>
      </c>
      <c r="G83" s="41" t="s">
        <v>483</v>
      </c>
      <c r="H83" s="34">
        <f t="shared" ca="1" si="1"/>
        <v>45913</v>
      </c>
      <c r="I83" s="29" t="str" cm="1">
        <f t="array" aca="1" ref="I83" ca="1">_xlfn.IFS(G83="Potency out of spec",CHOOSE(RANDBETWEEN(1,6),"Additional testing","Improve formulation","Update production SOP","Supplier evaluation","Training for operators","Equipment calibration"),
G83="PH Level out of range",CHOOSE(RANDBETWEEN(1,6),"PH monitoring","Adjust formulation","Update production SOP","Supplier evaluation","Training for operators","Equipment calibration"),
G83="Impurities out of limit",CHOOSE(RANDBETWEEN(1,6),"Improve purification","Raw material control","Update production SOP","Supplier evaluation","Training for operators","Equipment maintenance"),
G83="Process temp out of range",CHOOSE(RANDBETWEEN(1,6),"Temperature control","Update production SOP","Supplier evaluation","Training for operators",
"Equipment calibration","Preventive maintenance"),
G83="Dissolution rate low - 15 mins",CHOOSE(RANDBETWEEN(1,6),"Increase agitation","Reduce particle size","Update production SOP","Supplier evaluation",
"Training for operators","Equipment calibration"),
G83="Dissolution rate low - 30 mins",CHOOSE(RANDBETWEEN(1,6),"Increase disintegrant","Optimize granulation","Update production SOP","Supplier evaluation",
"Training for operators","Equipment calibration"),
G83="Dissolution rate low - 40 mins",CHOOSE(RANDBETWEEN(1,6),"Increase surface area","Optimize compression","Update production SOP","Supplier evaluation",
"Training for operators","Equipment calibration"),
G83="Dissolution rate high - 15 mins",CHOOSE(RANDBETWEEN(1,6),"Decrease agitation","Increase particle size","Update production SOP","Supplier evaluation","Training for operators","Equipment calibration"),
G83="Dissolution rate high - 30 mins",CHOOSE(RANDBETWEEN(1,6),"Decrease disintegrant","Optimize granulation","Update production SOP","Supplier evaluation","Training for operators","Equipment calibration"),
G83="Dissolution rate high - 40 mins",CHOOSE(RANDBETWEEN(1,6),"Decrease surface area","Optimize compression","Update production SOP","Supplier evaluation","Training for operators","Equipment calibration"))</f>
        <v>Preventive maintenance</v>
      </c>
    </row>
    <row r="84" spans="1:9" x14ac:dyDescent="0.35">
      <c r="A84" s="31">
        <v>200000550</v>
      </c>
      <c r="B84" s="31">
        <v>1010</v>
      </c>
      <c r="C84" s="31">
        <v>4089</v>
      </c>
      <c r="D84" s="29" t="s">
        <v>504</v>
      </c>
      <c r="E84" s="31">
        <v>21.1</v>
      </c>
      <c r="F84" s="34">
        <f ca="1">LOOKUP(C84,'QALS - Inspection Lot Record'!P:P,'QALS - Inspection Lot Record'!E:E)+RANDBETWEEN(0,1)</f>
        <v>45914</v>
      </c>
      <c r="G84" s="41" t="s">
        <v>483</v>
      </c>
      <c r="H84" s="34">
        <f t="shared" ca="1" si="1"/>
        <v>45914</v>
      </c>
      <c r="I84" s="29" t="str" cm="1">
        <f t="array" aca="1" ref="I84" ca="1">_xlfn.IFS(G84="Potency out of spec",CHOOSE(RANDBETWEEN(1,6),"Additional testing","Improve formulation","Update production SOP","Supplier evaluation","Training for operators","Equipment calibration"),
G84="PH Level out of range",CHOOSE(RANDBETWEEN(1,6),"PH monitoring","Adjust formulation","Update production SOP","Supplier evaluation","Training for operators","Equipment calibration"),
G84="Impurities out of limit",CHOOSE(RANDBETWEEN(1,6),"Improve purification","Raw material control","Update production SOP","Supplier evaluation","Training for operators","Equipment maintenance"),
G84="Process temp out of range",CHOOSE(RANDBETWEEN(1,6),"Temperature control","Update production SOP","Supplier evaluation","Training for operators",
"Equipment calibration","Preventive maintenance"),
G84="Dissolution rate low - 15 mins",CHOOSE(RANDBETWEEN(1,6),"Increase agitation","Reduce particle size","Update production SOP","Supplier evaluation",
"Training for operators","Equipment calibration"),
G84="Dissolution rate low - 30 mins",CHOOSE(RANDBETWEEN(1,6),"Increase disintegrant","Optimize granulation","Update production SOP","Supplier evaluation",
"Training for operators","Equipment calibration"),
G84="Dissolution rate low - 40 mins",CHOOSE(RANDBETWEEN(1,6),"Increase surface area","Optimize compression","Update production SOP","Supplier evaluation",
"Training for operators","Equipment calibration"),
G84="Dissolution rate high - 15 mins",CHOOSE(RANDBETWEEN(1,6),"Decrease agitation","Increase particle size","Update production SOP","Supplier evaluation","Training for operators","Equipment calibration"),
G84="Dissolution rate high - 30 mins",CHOOSE(RANDBETWEEN(1,6),"Decrease disintegrant","Optimize granulation","Update production SOP","Supplier evaluation","Training for operators","Equipment calibration"),
G84="Dissolution rate high - 40 mins",CHOOSE(RANDBETWEEN(1,6),"Decrease surface area","Optimize compression","Update production SOP","Supplier evaluation","Training for operators","Equipment calibration"))</f>
        <v>Update production SOP</v>
      </c>
    </row>
    <row r="85" spans="1:9" x14ac:dyDescent="0.35">
      <c r="A85" s="31">
        <v>200000551</v>
      </c>
      <c r="B85" s="31">
        <v>1010</v>
      </c>
      <c r="C85" s="31">
        <v>4090</v>
      </c>
      <c r="D85" s="29" t="s">
        <v>429</v>
      </c>
      <c r="E85" s="31">
        <v>1.9</v>
      </c>
      <c r="F85" s="34">
        <f ca="1">LOOKUP(C85,'QALS - Inspection Lot Record'!P:P,'QALS - Inspection Lot Record'!E:E)+RANDBETWEEN(0,1)</f>
        <v>45915</v>
      </c>
      <c r="G85" s="41" t="s">
        <v>474</v>
      </c>
      <c r="H85" s="34">
        <f t="shared" ca="1" si="1"/>
        <v>45917</v>
      </c>
      <c r="I85" s="29" t="str" cm="1">
        <f t="array" aca="1" ref="I85" ca="1">_xlfn.IFS(G85="Potency out of spec",CHOOSE(RANDBETWEEN(1,6),"Additional testing","Improve formulation","Update production SOP","Supplier evaluation","Training for operators","Equipment calibration"),
G85="PH Level out of range",CHOOSE(RANDBETWEEN(1,6),"PH monitoring","Adjust formulation","Update production SOP","Supplier evaluation","Training for operators","Equipment calibration"),
G85="Impurities out of limit",CHOOSE(RANDBETWEEN(1,6),"Improve purification","Raw material control","Update production SOP","Supplier evaluation","Training for operators","Equipment maintenance"),
G85="Process temp out of range",CHOOSE(RANDBETWEEN(1,6),"Temperature control","Update production SOP","Supplier evaluation","Training for operators",
"Equipment calibration","Preventive maintenance"),
G85="Dissolution rate low - 15 mins",CHOOSE(RANDBETWEEN(1,6),"Increase agitation","Reduce particle size","Update production SOP","Supplier evaluation",
"Training for operators","Equipment calibration"),
G85="Dissolution rate low - 30 mins",CHOOSE(RANDBETWEEN(1,6),"Increase disintegrant","Optimize granulation","Update production SOP","Supplier evaluation",
"Training for operators","Equipment calibration"),
G85="Dissolution rate low - 40 mins",CHOOSE(RANDBETWEEN(1,6),"Increase surface area","Optimize compression","Update production SOP","Supplier evaluation",
"Training for operators","Equipment calibration"),
G85="Dissolution rate high - 15 mins",CHOOSE(RANDBETWEEN(1,6),"Decrease agitation","Increase particle size","Update production SOP","Supplier evaluation","Training for operators","Equipment calibration"),
G85="Dissolution rate high - 30 mins",CHOOSE(RANDBETWEEN(1,6),"Decrease disintegrant","Optimize granulation","Update production SOP","Supplier evaluation","Training for operators","Equipment calibration"),
G85="Dissolution rate high - 40 mins",CHOOSE(RANDBETWEEN(1,6),"Decrease surface area","Optimize compression","Update production SOP","Supplier evaluation","Training for operators","Equipment calibration"))</f>
        <v>Equipment calibration</v>
      </c>
    </row>
    <row r="86" spans="1:9" x14ac:dyDescent="0.35">
      <c r="A86" s="31">
        <v>200000551</v>
      </c>
      <c r="B86" s="31">
        <v>1010</v>
      </c>
      <c r="C86" s="31">
        <v>4090</v>
      </c>
      <c r="D86" s="29" t="s">
        <v>429</v>
      </c>
      <c r="E86" s="31">
        <v>78.8</v>
      </c>
      <c r="F86" s="34">
        <f ca="1">LOOKUP(C86,'QALS - Inspection Lot Record'!P:P,'QALS - Inspection Lot Record'!E:E)+RANDBETWEEN(0,1)</f>
        <v>45915</v>
      </c>
      <c r="G86" s="41" t="s">
        <v>486</v>
      </c>
      <c r="H86" s="34">
        <f t="shared" ca="1" si="1"/>
        <v>45915</v>
      </c>
      <c r="I86" s="29" t="str" cm="1">
        <f t="array" aca="1" ref="I86" ca="1">_xlfn.IFS(G86="Potency out of spec",CHOOSE(RANDBETWEEN(1,6),"Additional testing","Improve formulation","Update production SOP","Supplier evaluation","Training for operators","Equipment calibration"),
G86="PH Level out of range",CHOOSE(RANDBETWEEN(1,6),"PH monitoring","Adjust formulation","Update production SOP","Supplier evaluation","Training for operators","Equipment calibration"),
G86="Impurities out of limit",CHOOSE(RANDBETWEEN(1,6),"Improve purification","Raw material control","Update production SOP","Supplier evaluation","Training for operators","Equipment maintenance"),
G86="Process temp out of range",CHOOSE(RANDBETWEEN(1,6),"Temperature control","Update production SOP","Supplier evaluation","Training for operators",
"Equipment calibration","Preventive maintenance"),
G86="Dissolution rate low - 15 mins",CHOOSE(RANDBETWEEN(1,6),"Increase agitation","Reduce particle size","Update production SOP","Supplier evaluation",
"Training for operators","Equipment calibration"),
G86="Dissolution rate low - 30 mins",CHOOSE(RANDBETWEEN(1,6),"Increase disintegrant","Optimize granulation","Update production SOP","Supplier evaluation",
"Training for operators","Equipment calibration"),
G86="Dissolution rate low - 40 mins",CHOOSE(RANDBETWEEN(1,6),"Increase surface area","Optimize compression","Update production SOP","Supplier evaluation",
"Training for operators","Equipment calibration"),
G86="Dissolution rate high - 15 mins",CHOOSE(RANDBETWEEN(1,6),"Decrease agitation","Increase particle size","Update production SOP","Supplier evaluation","Training for operators","Equipment calibration"),
G86="Dissolution rate high - 30 mins",CHOOSE(RANDBETWEEN(1,6),"Decrease disintegrant","Optimize granulation","Update production SOP","Supplier evaluation","Training for operators","Equipment calibration"),
G86="Dissolution rate high - 40 mins",CHOOSE(RANDBETWEEN(1,6),"Decrease surface area","Optimize compression","Update production SOP","Supplier evaluation","Training for operators","Equipment calibration"))</f>
        <v>Optimize compression</v>
      </c>
    </row>
    <row r="87" spans="1:9" x14ac:dyDescent="0.35">
      <c r="A87" s="31">
        <v>200000552</v>
      </c>
      <c r="B87" s="31">
        <v>1010</v>
      </c>
      <c r="C87" s="31">
        <v>4092</v>
      </c>
      <c r="D87" s="29" t="s">
        <v>431</v>
      </c>
      <c r="E87" s="31">
        <v>38.6</v>
      </c>
      <c r="F87" s="34">
        <f ca="1">LOOKUP(C87,'QALS - Inspection Lot Record'!P:P,'QALS - Inspection Lot Record'!E:E)+RANDBETWEEN(0,1)</f>
        <v>45915</v>
      </c>
      <c r="G87" s="41" t="s">
        <v>478</v>
      </c>
      <c r="H87" s="34">
        <f t="shared" ca="1" si="1"/>
        <v>45917</v>
      </c>
      <c r="I87" s="29" t="str" cm="1">
        <f t="array" aca="1" ref="I87" ca="1">_xlfn.IFS(G87="Potency out of spec",CHOOSE(RANDBETWEEN(1,6),"Additional testing","Improve formulation","Update production SOP","Supplier evaluation","Training for operators","Equipment calibration"),
G87="PH Level out of range",CHOOSE(RANDBETWEEN(1,6),"PH monitoring","Adjust formulation","Update production SOP","Supplier evaluation","Training for operators","Equipment calibration"),
G87="Impurities out of limit",CHOOSE(RANDBETWEEN(1,6),"Improve purification","Raw material control","Update production SOP","Supplier evaluation","Training for operators","Equipment maintenance"),
G87="Process temp out of range",CHOOSE(RANDBETWEEN(1,6),"Temperature control","Update production SOP","Supplier evaluation","Training for operators",
"Equipment calibration","Preventive maintenance"),
G87="Dissolution rate low - 15 mins",CHOOSE(RANDBETWEEN(1,6),"Increase agitation","Reduce particle size","Update production SOP","Supplier evaluation",
"Training for operators","Equipment calibration"),
G87="Dissolution rate low - 30 mins",CHOOSE(RANDBETWEEN(1,6),"Increase disintegrant","Optimize granulation","Update production SOP","Supplier evaluation",
"Training for operators","Equipment calibration"),
G87="Dissolution rate low - 40 mins",CHOOSE(RANDBETWEEN(1,6),"Increase surface area","Optimize compression","Update production SOP","Supplier evaluation",
"Training for operators","Equipment calibration"),
G87="Dissolution rate high - 15 mins",CHOOSE(RANDBETWEEN(1,6),"Decrease agitation","Increase particle size","Update production SOP","Supplier evaluation","Training for operators","Equipment calibration"),
G87="Dissolution rate high - 30 mins",CHOOSE(RANDBETWEEN(1,6),"Decrease disintegrant","Optimize granulation","Update production SOP","Supplier evaluation","Training for operators","Equipment calibration"),
G87="Dissolution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88" spans="1:9" x14ac:dyDescent="0.35">
      <c r="A88" s="31">
        <v>200000552</v>
      </c>
      <c r="B88" s="31">
        <v>1010</v>
      </c>
      <c r="C88" s="31">
        <v>4092</v>
      </c>
      <c r="D88" s="29" t="s">
        <v>431</v>
      </c>
      <c r="E88" s="31">
        <v>68.5</v>
      </c>
      <c r="F88" s="34">
        <f ca="1">LOOKUP(C88,'QALS - Inspection Lot Record'!P:P,'QALS - Inspection Lot Record'!E:E)+RANDBETWEEN(0,1)</f>
        <v>45916</v>
      </c>
      <c r="G88" s="41" t="s">
        <v>480</v>
      </c>
      <c r="H88" s="34">
        <f t="shared" ca="1" si="1"/>
        <v>45918</v>
      </c>
      <c r="I88" s="29" t="str" cm="1">
        <f t="array" aca="1" ref="I88" ca="1">_xlfn.IFS(G88="Potency out of spec",CHOOSE(RANDBETWEEN(1,6),"Additional testing","Improve formulation","Update production SOP","Supplier evaluation","Training for operators","Equipment calibration"),
G88="PH Level out of range",CHOOSE(RANDBETWEEN(1,6),"PH monitoring","Adjust formulation","Update production SOP","Supplier evaluation","Training for operators","Equipment calibration"),
G88="Impurities out of limit",CHOOSE(RANDBETWEEN(1,6),"Improve purification","Raw material control","Update production SOP","Supplier evaluation","Training for operators","Equipment maintenance"),
G88="Process temp out of range",CHOOSE(RANDBETWEEN(1,6),"Temperature control","Update production SOP","Supplier evaluation","Training for operators",
"Equipment calibration","Preventive maintenance"),
G88="Dissolution rate low - 15 mins",CHOOSE(RANDBETWEEN(1,6),"Increase agitation","Reduce particle size","Update production SOP","Supplier evaluation",
"Training for operators","Equipment calibration"),
G88="Dissolution rate low - 30 mins",CHOOSE(RANDBETWEEN(1,6),"Increase disintegrant","Optimize granulation","Update production SOP","Supplier evaluation",
"Training for operators","Equipment calibration"),
G88="Dissolution rate low - 40 mins",CHOOSE(RANDBETWEEN(1,6),"Increase surface area","Optimize compression","Update production SOP","Supplier evaluation",
"Training for operators","Equipment calibration"),
G88="Dissolution rate high - 15 mins",CHOOSE(RANDBETWEEN(1,6),"Decrease agitation","Increase particle size","Update production SOP","Supplier evaluation","Training for operators","Equipment calibration"),
G88="Dissolution rate high - 30 mins",CHOOSE(RANDBETWEEN(1,6),"Decrease disintegrant","Optimize granulation","Update production SOP","Supplier evaluation","Training for operators","Equipment calibration"),
G88="Dissolution rate high - 40 mins",CHOOSE(RANDBETWEEN(1,6),"Decrease surface area","Optimize compression","Update production SOP","Supplier evaluation","Training for operators","Equipment calibration"))</f>
        <v>Increase disintegrant</v>
      </c>
    </row>
    <row r="89" spans="1:9" x14ac:dyDescent="0.35">
      <c r="A89" s="31">
        <v>200000553</v>
      </c>
      <c r="B89" s="31">
        <v>1010</v>
      </c>
      <c r="C89" s="31">
        <v>4095</v>
      </c>
      <c r="D89" s="29" t="s">
        <v>431</v>
      </c>
      <c r="E89" s="31">
        <v>38.9</v>
      </c>
      <c r="F89" s="34">
        <f ca="1">LOOKUP(C89,'QALS - Inspection Lot Record'!P:P,'QALS - Inspection Lot Record'!E:E)+RANDBETWEEN(0,1)</f>
        <v>45918</v>
      </c>
      <c r="G89" s="41" t="s">
        <v>478</v>
      </c>
      <c r="H89" s="34">
        <f t="shared" ca="1" si="1"/>
        <v>45919</v>
      </c>
      <c r="I89" s="29" t="str" cm="1">
        <f t="array" aca="1" ref="I89" ca="1">_xlfn.IFS(G89="Potency out of spec",CHOOSE(RANDBETWEEN(1,6),"Additional testing","Improve formulation","Update production SOP","Supplier evaluation","Training for operators","Equipment calibration"),
G89="PH Level out of range",CHOOSE(RANDBETWEEN(1,6),"PH monitoring","Adjust formulation","Update production SOP","Supplier evaluation","Training for operators","Equipment calibration"),
G89="Impurities out of limit",CHOOSE(RANDBETWEEN(1,6),"Improve purification","Raw material control","Update production SOP","Supplier evaluation","Training for operators","Equipment maintenance"),
G89="Process temp out of range",CHOOSE(RANDBETWEEN(1,6),"Temperature control","Update production SOP","Supplier evaluation","Training for operators",
"Equipment calibration","Preventive maintenance"),
G89="Dissolution rate low - 15 mins",CHOOSE(RANDBETWEEN(1,6),"Increase agitation","Reduce particle size","Update production SOP","Supplier evaluation",
"Training for operators","Equipment calibration"),
G89="Dissolution rate low - 30 mins",CHOOSE(RANDBETWEEN(1,6),"Increase disintegrant","Optimize granulation","Update production SOP","Supplier evaluation",
"Training for operators","Equipment calibration"),
G89="Dissolution rate low - 40 mins",CHOOSE(RANDBETWEEN(1,6),"Increase surface area","Optimize compression","Update production SOP","Supplier evaluation",
"Training for operators","Equipment calibration"),
G89="Dissolution rate high - 15 mins",CHOOSE(RANDBETWEEN(1,6),"Decrease agitation","Increase particle size","Update production SOP","Supplier evaluation","Training for operators","Equipment calibration"),
G89="Dissolution rate high - 30 mins",CHOOSE(RANDBETWEEN(1,6),"Decrease disintegrant","Optimize granulation","Update production SOP","Supplier evaluation","Training for operators","Equipment calibration"),
G89="Dissolution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90" spans="1:9" x14ac:dyDescent="0.35">
      <c r="A90" s="31">
        <v>200000553</v>
      </c>
      <c r="B90" s="31">
        <v>1010</v>
      </c>
      <c r="C90" s="31">
        <v>4095</v>
      </c>
      <c r="D90" s="29" t="s">
        <v>431</v>
      </c>
      <c r="E90" s="31">
        <v>68</v>
      </c>
      <c r="F90" s="34">
        <f ca="1">LOOKUP(C90,'QALS - Inspection Lot Record'!P:P,'QALS - Inspection Lot Record'!E:E)+RANDBETWEEN(0,1)</f>
        <v>45917</v>
      </c>
      <c r="G90" s="41" t="s">
        <v>480</v>
      </c>
      <c r="H90" s="34">
        <f t="shared" ca="1" si="1"/>
        <v>45917</v>
      </c>
      <c r="I90" s="29" t="str" cm="1">
        <f t="array" aca="1" ref="I90" ca="1">_xlfn.IFS(G90="Potency out of spec",CHOOSE(RANDBETWEEN(1,6),"Additional testing","Improve formulation","Update production SOP","Supplier evaluation","Training for operators","Equipment calibration"),
G90="PH Level out of range",CHOOSE(RANDBETWEEN(1,6),"PH monitoring","Adjust formulation","Update production SOP","Supplier evaluation","Training for operators","Equipment calibration"),
G90="Impurities out of limit",CHOOSE(RANDBETWEEN(1,6),"Improve purification","Raw material control","Update production SOP","Supplier evaluation","Training for operators","Equipment maintenance"),
G90="Process temp out of range",CHOOSE(RANDBETWEEN(1,6),"Temperature control","Update production SOP","Supplier evaluation","Training for operators",
"Equipment calibration","Preventive maintenance"),
G90="Dissolution rate low - 15 mins",CHOOSE(RANDBETWEEN(1,6),"Increase agitation","Reduce particle size","Update production SOP","Supplier evaluation",
"Training for operators","Equipment calibration"),
G90="Dissolution rate low - 30 mins",CHOOSE(RANDBETWEEN(1,6),"Increase disintegrant","Optimize granulation","Update production SOP","Supplier evaluation",
"Training for operators","Equipment calibration"),
G90="Dissolution rate low - 40 mins",CHOOSE(RANDBETWEEN(1,6),"Increase surface area","Optimize compression","Update production SOP","Supplier evaluation",
"Training for operators","Equipment calibration"),
G90="Dissolution rate high - 15 mins",CHOOSE(RANDBETWEEN(1,6),"Decrease agitation","Increase particle size","Update production SOP","Supplier evaluation","Training for operators","Equipment calibration"),
G90="Dissolution rate high - 30 mins",CHOOSE(RANDBETWEEN(1,6),"Decrease disintegrant","Optimize granulation","Update production SOP","Supplier evaluation","Training for operators","Equipment calibration"),
G90="Dissolution rate high - 40 mins",CHOOSE(RANDBETWEEN(1,6),"Decrease surface area","Optimize compression","Update production SOP","Supplier evaluation","Training for operators","Equipment calibration"))</f>
        <v>Increase disintegrant</v>
      </c>
    </row>
    <row r="91" spans="1:9" x14ac:dyDescent="0.35">
      <c r="A91" s="31">
        <v>200000554</v>
      </c>
      <c r="B91" s="31">
        <v>1010</v>
      </c>
      <c r="C91" s="31">
        <v>4096</v>
      </c>
      <c r="D91" s="29" t="s">
        <v>503</v>
      </c>
      <c r="E91" s="31">
        <v>38.299999999999997</v>
      </c>
      <c r="F91" s="34">
        <f ca="1">LOOKUP(C91,'QALS - Inspection Lot Record'!P:P,'QALS - Inspection Lot Record'!E:E)+RANDBETWEEN(0,1)</f>
        <v>45917</v>
      </c>
      <c r="G91" s="41" t="s">
        <v>478</v>
      </c>
      <c r="H91" s="34">
        <f t="shared" ca="1" si="1"/>
        <v>45917</v>
      </c>
      <c r="I91" s="29" t="str" cm="1">
        <f t="array" aca="1" ref="I91" ca="1">_xlfn.IFS(G91="Potency out of spec",CHOOSE(RANDBETWEEN(1,6),"Additional testing","Improve formulation","Update production SOP","Supplier evaluation","Training for operators","Equipment calibration"),
G91="PH Level out of range",CHOOSE(RANDBETWEEN(1,6),"PH monitoring","Adjust formulation","Update production SOP","Supplier evaluation","Training for operators","Equipment calibration"),
G91="Impurities out of limit",CHOOSE(RANDBETWEEN(1,6),"Improve purification","Raw material control","Update production SOP","Supplier evaluation","Training for operators","Equipment maintenance"),
G91="Process temp out of range",CHOOSE(RANDBETWEEN(1,6),"Temperature control","Update production SOP","Supplier evaluation","Training for operators",
"Equipment calibration","Preventive maintenance"),
G91="Dissolution rate low - 15 mins",CHOOSE(RANDBETWEEN(1,6),"Increase agitation","Reduce particle size","Update production SOP","Supplier evaluation",
"Training for operators","Equipment calibration"),
G91="Dissolution rate low - 30 mins",CHOOSE(RANDBETWEEN(1,6),"Increase disintegrant","Optimize granulation","Update production SOP","Supplier evaluation",
"Training for operators","Equipment calibration"),
G91="Dissolution rate low - 40 mins",CHOOSE(RANDBETWEEN(1,6),"Increase surface area","Optimize compression","Update production SOP","Supplier evaluation",
"Training for operators","Equipment calibration"),
G91="Dissolution rate high - 15 mins",CHOOSE(RANDBETWEEN(1,6),"Decrease agitation","Increase particle size","Update production SOP","Supplier evaluation","Training for operators","Equipment calibration"),
G91="Dissolution rate high - 30 mins",CHOOSE(RANDBETWEEN(1,6),"Decrease disintegrant","Optimize granulation","Update production SOP","Supplier evaluation","Training for operators","Equipment calibration"),
G91="Dissolution rate high - 40 mins",CHOOSE(RANDBETWEEN(1,6),"Decrease surface area","Optimize compression","Update production SOP","Supplier evaluation","Training for operators","Equipment calibration"))</f>
        <v>Supplier evaluation</v>
      </c>
    </row>
    <row r="92" spans="1:9" x14ac:dyDescent="0.35">
      <c r="A92" s="31">
        <v>200000554</v>
      </c>
      <c r="B92" s="31">
        <v>1010</v>
      </c>
      <c r="C92" s="31">
        <v>4096</v>
      </c>
      <c r="D92" s="29" t="s">
        <v>503</v>
      </c>
      <c r="E92" s="31">
        <v>68.3</v>
      </c>
      <c r="F92" s="34">
        <f ca="1">LOOKUP(C92,'QALS - Inspection Lot Record'!P:P,'QALS - Inspection Lot Record'!E:E)+RANDBETWEEN(0,1)</f>
        <v>45918</v>
      </c>
      <c r="G92" s="41" t="s">
        <v>480</v>
      </c>
      <c r="H92" s="34">
        <f t="shared" ca="1" si="1"/>
        <v>45919</v>
      </c>
      <c r="I92" s="29" t="str" cm="1">
        <f t="array" aca="1" ref="I92" ca="1">_xlfn.IFS(G92="Potency out of spec",CHOOSE(RANDBETWEEN(1,6),"Additional testing","Improve formulation","Update production SOP","Supplier evaluation","Training for operators","Equipment calibration"),
G92="PH Level out of range",CHOOSE(RANDBETWEEN(1,6),"PH monitoring","Adjust formulation","Update production SOP","Supplier evaluation","Training for operators","Equipment calibration"),
G92="Impurities out of limit",CHOOSE(RANDBETWEEN(1,6),"Improve purification","Raw material control","Update production SOP","Supplier evaluation","Training for operators","Equipment maintenance"),
G92="Process temp out of range",CHOOSE(RANDBETWEEN(1,6),"Temperature control","Update production SOP","Supplier evaluation","Training for operators",
"Equipment calibration","Preventive maintenance"),
G92="Dissolution rate low - 15 mins",CHOOSE(RANDBETWEEN(1,6),"Increase agitation","Reduce particle size","Update production SOP","Supplier evaluation",
"Training for operators","Equipment calibration"),
G92="Dissolution rate low - 30 mins",CHOOSE(RANDBETWEEN(1,6),"Increase disintegrant","Optimize granulation","Update production SOP","Supplier evaluation",
"Training for operators","Equipment calibration"),
G92="Dissolution rate low - 40 mins",CHOOSE(RANDBETWEEN(1,6),"Increase surface area","Optimize compression","Update production SOP","Supplier evaluation",
"Training for operators","Equipment calibration"),
G92="Dissolution rate high - 15 mins",CHOOSE(RANDBETWEEN(1,6),"Decrease agitation","Increase particle size","Update production SOP","Supplier evaluation","Training for operators","Equipment calibration"),
G92="Dissolution rate high - 30 mins",CHOOSE(RANDBETWEEN(1,6),"Decrease disintegrant","Optimize granulation","Update production SOP","Supplier evaluation","Training for operators","Equipment calibration"),
G92="Dissolution rate high - 40 mins",CHOOSE(RANDBETWEEN(1,6),"Decrease surface area","Optimize compression","Update production SOP","Supplier evaluation","Training for operators","Equipment calibration"))</f>
        <v>Equipment calibration</v>
      </c>
    </row>
    <row r="93" spans="1:9" x14ac:dyDescent="0.35">
      <c r="A93" s="31">
        <v>200000554</v>
      </c>
      <c r="B93" s="31">
        <v>1010</v>
      </c>
      <c r="C93" s="31">
        <v>4096</v>
      </c>
      <c r="D93" s="29" t="s">
        <v>503</v>
      </c>
      <c r="E93" s="31">
        <v>78.400000000000006</v>
      </c>
      <c r="F93" s="34">
        <f ca="1">LOOKUP(C93,'QALS - Inspection Lot Record'!P:P,'QALS - Inspection Lot Record'!E:E)+RANDBETWEEN(0,1)</f>
        <v>45917</v>
      </c>
      <c r="G93" s="41" t="s">
        <v>486</v>
      </c>
      <c r="H93" s="34">
        <f t="shared" ca="1" si="1"/>
        <v>45918</v>
      </c>
      <c r="I93" s="29" t="str" cm="1">
        <f t="array" aca="1" ref="I93" ca="1">_xlfn.IFS(G93="Potency out of spec",CHOOSE(RANDBETWEEN(1,6),"Additional testing","Improve formulation","Update production SOP","Supplier evaluation","Training for operators","Equipment calibration"),
G93="PH Level out of range",CHOOSE(RANDBETWEEN(1,6),"PH monitoring","Adjust formulation","Update production SOP","Supplier evaluation","Training for operators","Equipment calibration"),
G93="Impurities out of limit",CHOOSE(RANDBETWEEN(1,6),"Improve purification","Raw material control","Update production SOP","Supplier evaluation","Training for operators","Equipment maintenance"),
G93="Process temp out of range",CHOOSE(RANDBETWEEN(1,6),"Temperature control","Update production SOP","Supplier evaluation","Training for operators",
"Equipment calibration","Preventive maintenance"),
G93="Dissolution rate low - 15 mins",CHOOSE(RANDBETWEEN(1,6),"Increase agitation","Reduce particle size","Update production SOP","Supplier evaluation",
"Training for operators","Equipment calibration"),
G93="Dissolution rate low - 30 mins",CHOOSE(RANDBETWEEN(1,6),"Increase disintegrant","Optimize granulation","Update production SOP","Supplier evaluation",
"Training for operators","Equipment calibration"),
G93="Dissolution rate low - 40 mins",CHOOSE(RANDBETWEEN(1,6),"Increase surface area","Optimize compression","Update production SOP","Supplier evaluation",
"Training for operators","Equipment calibration"),
G93="Dissolution rate high - 15 mins",CHOOSE(RANDBETWEEN(1,6),"Decrease agitation","Increase particle size","Update production SOP","Supplier evaluation","Training for operators","Equipment calibration"),
G93="Dissolution rate high - 30 mins",CHOOSE(RANDBETWEEN(1,6),"Decrease disintegrant","Optimize granulation","Update production SOP","Supplier evaluation","Training for operators","Equipment calibration"),
G93="Dissolution rate high - 40 mins",CHOOSE(RANDBETWEEN(1,6),"Decrease surface area","Optimize compression","Update production SOP","Supplier evaluation","Training for operators","Equipment calibration"))</f>
        <v>Update production SOP</v>
      </c>
    </row>
    <row r="94" spans="1:9" x14ac:dyDescent="0.35">
      <c r="A94" s="31">
        <v>200000555</v>
      </c>
      <c r="B94" s="31">
        <v>1010</v>
      </c>
      <c r="C94" s="31">
        <v>4099</v>
      </c>
      <c r="D94" s="29" t="s">
        <v>429</v>
      </c>
      <c r="E94" s="31">
        <v>2.5</v>
      </c>
      <c r="F94" s="34">
        <f ca="1">LOOKUP(C94,'QALS - Inspection Lot Record'!P:P,'QALS - Inspection Lot Record'!E:E)+RANDBETWEEN(0,1)</f>
        <v>45919</v>
      </c>
      <c r="G94" s="41" t="s">
        <v>474</v>
      </c>
      <c r="H94" s="34">
        <f t="shared" ca="1" si="1"/>
        <v>45921</v>
      </c>
      <c r="I94" s="29" t="str" cm="1">
        <f t="array" aca="1" ref="I94" ca="1">_xlfn.IFS(G94="Potency out of spec",CHOOSE(RANDBETWEEN(1,6),"Additional testing","Improve formulation","Update production SOP","Supplier evaluation","Training for operators","Equipment calibration"),
G94="PH Level out of range",CHOOSE(RANDBETWEEN(1,6),"PH monitoring","Adjust formulation","Update production SOP","Supplier evaluation","Training for operators","Equipment calibration"),
G94="Impurities out of limit",CHOOSE(RANDBETWEEN(1,6),"Improve purification","Raw material control","Update production SOP","Supplier evaluation","Training for operators","Equipment maintenance"),
G94="Process temp out of range",CHOOSE(RANDBETWEEN(1,6),"Temperature control","Update production SOP","Supplier evaluation","Training for operators",
"Equipment calibration","Preventive maintenance"),
G94="Dissolution rate low - 15 mins",CHOOSE(RANDBETWEEN(1,6),"Increase agitation","Reduce particle size","Update production SOP","Supplier evaluation",
"Training for operators","Equipment calibration"),
G94="Dissolution rate low - 30 mins",CHOOSE(RANDBETWEEN(1,6),"Increase disintegrant","Optimize granulation","Update production SOP","Supplier evaluation",
"Training for operators","Equipment calibration"),
G94="Dissolution rate low - 40 mins",CHOOSE(RANDBETWEEN(1,6),"Increase surface area","Optimize compression","Update production SOP","Supplier evaluation",
"Training for operators","Equipment calibration"),
G94="Dissolution rate high - 15 mins",CHOOSE(RANDBETWEEN(1,6),"Decrease agitation","Increase particle size","Update production SOP","Supplier evaluation","Training for operators","Equipment calibration"),
G94="Dissolution rate high - 30 mins",CHOOSE(RANDBETWEEN(1,6),"Decrease disintegrant","Optimize granulation","Update production SOP","Supplier evaluation","Training for operators","Equipment calibration"),
G94="Dissolution rate high - 40 mins",CHOOSE(RANDBETWEEN(1,6),"Decrease surface area","Optimize compression","Update production SOP","Supplier evaluation","Training for operators","Equipment calibration"))</f>
        <v>Adjust formulation</v>
      </c>
    </row>
    <row r="95" spans="1:9" x14ac:dyDescent="0.35">
      <c r="A95" s="31">
        <v>200000555</v>
      </c>
      <c r="B95" s="31">
        <v>1010</v>
      </c>
      <c r="C95" s="31">
        <v>4099</v>
      </c>
      <c r="D95" s="29" t="s">
        <v>429</v>
      </c>
      <c r="E95" s="31">
        <v>38</v>
      </c>
      <c r="F95" s="34">
        <f ca="1">LOOKUP(C95,'QALS - Inspection Lot Record'!P:P,'QALS - Inspection Lot Record'!E:E)+RANDBETWEEN(0,1)</f>
        <v>45919</v>
      </c>
      <c r="G95" s="41" t="s">
        <v>478</v>
      </c>
      <c r="H95" s="34">
        <f t="shared" ca="1" si="1"/>
        <v>45920</v>
      </c>
      <c r="I95" s="29" t="str" cm="1">
        <f t="array" aca="1" ref="I95" ca="1">_xlfn.IFS(G95="Potency out of spec",CHOOSE(RANDBETWEEN(1,6),"Additional testing","Improve formulation","Update production SOP","Supplier evaluation","Training for operators","Equipment calibration"),
G95="PH Level out of range",CHOOSE(RANDBETWEEN(1,6),"PH monitoring","Adjust formulation","Update production SOP","Supplier evaluation","Training for operators","Equipment calibration"),
G95="Impurities out of limit",CHOOSE(RANDBETWEEN(1,6),"Improve purification","Raw material control","Update production SOP","Supplier evaluation","Training for operators","Equipment maintenance"),
G95="Process temp out of range",CHOOSE(RANDBETWEEN(1,6),"Temperature control","Update production SOP","Supplier evaluation","Training for operators",
"Equipment calibration","Preventive maintenance"),
G95="Dissolution rate low - 15 mins",CHOOSE(RANDBETWEEN(1,6),"Increase agitation","Reduce particle size","Update production SOP","Supplier evaluation",
"Training for operators","Equipment calibration"),
G95="Dissolution rate low - 30 mins",CHOOSE(RANDBETWEEN(1,6),"Increase disintegrant","Optimize granulation","Update production SOP","Supplier evaluation",
"Training for operators","Equipment calibration"),
G95="Dissolution rate low - 40 mins",CHOOSE(RANDBETWEEN(1,6),"Increase surface area","Optimize compression","Update production SOP","Supplier evaluation",
"Training for operators","Equipment calibration"),
G95="Dissolution rate high - 15 mins",CHOOSE(RANDBETWEEN(1,6),"Decrease agitation","Increase particle size","Update production SOP","Supplier evaluation","Training for operators","Equipment calibration"),
G95="Dissolution rate high - 30 mins",CHOOSE(RANDBETWEEN(1,6),"Decrease disintegrant","Optimize granulation","Update production SOP","Supplier evaluation","Training for operators","Equipment calibration"),
G95="Dissolution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96" spans="1:9" x14ac:dyDescent="0.35">
      <c r="A96" s="31">
        <v>200000556</v>
      </c>
      <c r="B96" s="31">
        <v>1010</v>
      </c>
      <c r="C96" s="31">
        <v>4100</v>
      </c>
      <c r="D96" s="29" t="s">
        <v>504</v>
      </c>
      <c r="E96" s="31">
        <v>93.4</v>
      </c>
      <c r="F96" s="34">
        <f ca="1">LOOKUP(C96,'QALS - Inspection Lot Record'!P:P,'QALS - Inspection Lot Record'!E:E)+RANDBETWEEN(0,1)</f>
        <v>45920</v>
      </c>
      <c r="G96" s="41" t="s">
        <v>472</v>
      </c>
      <c r="H96" s="34">
        <f t="shared" ca="1" si="1"/>
        <v>45922</v>
      </c>
      <c r="I96" s="29" t="str" cm="1">
        <f t="array" aca="1" ref="I96" ca="1">_xlfn.IFS(G96="Potency out of spec",CHOOSE(RANDBETWEEN(1,6),"Additional testing","Improve formulation","Update production SOP","Supplier evaluation","Training for operators","Equipment calibration"),
G96="PH Level out of range",CHOOSE(RANDBETWEEN(1,6),"PH monitoring","Adjust formulation","Update production SOP","Supplier evaluation","Training for operators","Equipment calibration"),
G96="Impurities out of limit",CHOOSE(RANDBETWEEN(1,6),"Improve purification","Raw material control","Update production SOP","Supplier evaluation","Training for operators","Equipment maintenance"),
G96="Process temp out of range",CHOOSE(RANDBETWEEN(1,6),"Temperature control","Update production SOP","Supplier evaluation","Training for operators",
"Equipment calibration","Preventive maintenance"),
G96="Dissolution rate low - 15 mins",CHOOSE(RANDBETWEEN(1,6),"Increase agitation","Reduce particle size","Update production SOP","Supplier evaluation",
"Training for operators","Equipment calibration"),
G96="Dissolution rate low - 30 mins",CHOOSE(RANDBETWEEN(1,6),"Increase disintegrant","Optimize granulation","Update production SOP","Supplier evaluation",
"Training for operators","Equipment calibration"),
G96="Dissolution rate low - 40 mins",CHOOSE(RANDBETWEEN(1,6),"Increase surface area","Optimize compression","Update production SOP","Supplier evaluation",
"Training for operators","Equipment calibration"),
G96="Dissolution rate high - 15 mins",CHOOSE(RANDBETWEEN(1,6),"Decrease agitation","Increase particle size","Update production SOP","Supplier evaluation","Training for operators","Equipment calibration"),
G96="Dissolution rate high - 30 mins",CHOOSE(RANDBETWEEN(1,6),"Decrease disintegrant","Optimize granulation","Update production SOP","Supplier evaluation","Training for operators","Equipment calibration"),
G96="Dissolution rate high - 40 mins",CHOOSE(RANDBETWEEN(1,6),"Decrease surface area","Optimize compression","Update production SOP","Supplier evaluation","Training for operators","Equipment calibration"))</f>
        <v>Supplier evaluation</v>
      </c>
    </row>
    <row r="97" spans="1:9" x14ac:dyDescent="0.35">
      <c r="A97" s="31">
        <v>200000556</v>
      </c>
      <c r="B97" s="31">
        <v>1010</v>
      </c>
      <c r="C97" s="31">
        <v>4100</v>
      </c>
      <c r="D97" s="29" t="s">
        <v>504</v>
      </c>
      <c r="E97" s="31">
        <v>2.4</v>
      </c>
      <c r="F97" s="34">
        <f ca="1">LOOKUP(C97,'QALS - Inspection Lot Record'!P:P,'QALS - Inspection Lot Record'!E:E)+RANDBETWEEN(0,1)</f>
        <v>45919</v>
      </c>
      <c r="G97" s="41" t="s">
        <v>474</v>
      </c>
      <c r="H97" s="34">
        <f t="shared" ca="1" si="1"/>
        <v>45921</v>
      </c>
      <c r="I97" s="29" t="str" cm="1">
        <f t="array" aca="1" ref="I97" ca="1">_xlfn.IFS(G97="Potency out of spec",CHOOSE(RANDBETWEEN(1,6),"Additional testing","Improve formulation","Update production SOP","Supplier evaluation","Training for operators","Equipment calibration"),
G97="PH Level out of range",CHOOSE(RANDBETWEEN(1,6),"PH monitoring","Adjust formulation","Update production SOP","Supplier evaluation","Training for operators","Equipment calibration"),
G97="Impurities out of limit",CHOOSE(RANDBETWEEN(1,6),"Improve purification","Raw material control","Update production SOP","Supplier evaluation","Training for operators","Equipment maintenance"),
G97="Process temp out of range",CHOOSE(RANDBETWEEN(1,6),"Temperature control","Update production SOP","Supplier evaluation","Training for operators",
"Equipment calibration","Preventive maintenance"),
G97="Dissolution rate low - 15 mins",CHOOSE(RANDBETWEEN(1,6),"Increase agitation","Reduce particle size","Update production SOP","Supplier evaluation",
"Training for operators","Equipment calibration"),
G97="Dissolution rate low - 30 mins",CHOOSE(RANDBETWEEN(1,6),"Increase disintegrant","Optimize granulation","Update production SOP","Supplier evaluation",
"Training for operators","Equipment calibration"),
G97="Dissolution rate low - 40 mins",CHOOSE(RANDBETWEEN(1,6),"Increase surface area","Optimize compression","Update production SOP","Supplier evaluation",
"Training for operators","Equipment calibration"),
G97="Dissolution rate high - 15 mins",CHOOSE(RANDBETWEEN(1,6),"Decrease agitation","Increase particle size","Update production SOP","Supplier evaluation","Training for operators","Equipment calibration"),
G97="Dissolution rate high - 30 mins",CHOOSE(RANDBETWEEN(1,6),"Decrease disintegrant","Optimize granulation","Update production SOP","Supplier evaluation","Training for operators","Equipment calibration"),
G97="Dissolution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98" spans="1:9" x14ac:dyDescent="0.35">
      <c r="A98" s="31">
        <v>200000556</v>
      </c>
      <c r="B98" s="31">
        <v>1010</v>
      </c>
      <c r="C98" s="31">
        <v>4100</v>
      </c>
      <c r="D98" s="29" t="s">
        <v>504</v>
      </c>
      <c r="E98" s="31">
        <v>2.6</v>
      </c>
      <c r="F98" s="34">
        <f ca="1">LOOKUP(C98,'QALS - Inspection Lot Record'!P:P,'QALS - Inspection Lot Record'!E:E)+RANDBETWEEN(0,1)</f>
        <v>45919</v>
      </c>
      <c r="G98" s="41" t="s">
        <v>476</v>
      </c>
      <c r="H98" s="34">
        <f t="shared" ca="1" si="1"/>
        <v>45920</v>
      </c>
      <c r="I98" s="29" t="str" cm="1">
        <f t="array" aca="1" ref="I98" ca="1">_xlfn.IFS(G98="Potency out of spec",CHOOSE(RANDBETWEEN(1,6),"Additional testing","Improve formulation","Update production SOP","Supplier evaluation","Training for operators","Equipment calibration"),
G98="PH Level out of range",CHOOSE(RANDBETWEEN(1,6),"PH monitoring","Adjust formulation","Update production SOP","Supplier evaluation","Training for operators","Equipment calibration"),
G98="Impurities out of limit",CHOOSE(RANDBETWEEN(1,6),"Improve purification","Raw material control","Update production SOP","Supplier evaluation","Training for operators","Equipment maintenance"),
G98="Process temp out of range",CHOOSE(RANDBETWEEN(1,6),"Temperature control","Update production SOP","Supplier evaluation","Training for operators",
"Equipment calibration","Preventive maintenance"),
G98="Dissolution rate low - 15 mins",CHOOSE(RANDBETWEEN(1,6),"Increase agitation","Reduce particle size","Update production SOP","Supplier evaluation",
"Training for operators","Equipment calibration"),
G98="Dissolution rate low - 30 mins",CHOOSE(RANDBETWEEN(1,6),"Increase disintegrant","Optimize granulation","Update production SOP","Supplier evaluation",
"Training for operators","Equipment calibration"),
G98="Dissolution rate low - 40 mins",CHOOSE(RANDBETWEEN(1,6),"Increase surface area","Optimize compression","Update production SOP","Supplier evaluation",
"Training for operators","Equipment calibration"),
G98="Dissolution rate high - 15 mins",CHOOSE(RANDBETWEEN(1,6),"Decrease agitation","Increase particle size","Update production SOP","Supplier evaluation","Training for operators","Equipment calibration"),
G98="Dissolution rate high - 30 mins",CHOOSE(RANDBETWEEN(1,6),"Decrease disintegrant","Optimize granulation","Update production SOP","Supplier evaluation","Training for operators","Equipment calibration"),
G98="Dissolution rate high - 40 mins",CHOOSE(RANDBETWEEN(1,6),"Decrease surface area","Optimize compression","Update production SOP","Supplier evaluation","Training for operators","Equipment calibration"))</f>
        <v>Supplier evaluation</v>
      </c>
    </row>
    <row r="99" spans="1:9" x14ac:dyDescent="0.35">
      <c r="A99" s="31">
        <v>200000556</v>
      </c>
      <c r="B99" s="31">
        <v>1010</v>
      </c>
      <c r="C99" s="31">
        <v>4100</v>
      </c>
      <c r="D99" s="29" t="s">
        <v>504</v>
      </c>
      <c r="E99" s="31">
        <v>78.400000000000006</v>
      </c>
      <c r="F99" s="34">
        <f ca="1">LOOKUP(C99,'QALS - Inspection Lot Record'!P:P,'QALS - Inspection Lot Record'!E:E)+RANDBETWEEN(0,1)</f>
        <v>45919</v>
      </c>
      <c r="G99" s="41" t="s">
        <v>486</v>
      </c>
      <c r="H99" s="34">
        <f t="shared" ca="1" si="1"/>
        <v>45920</v>
      </c>
      <c r="I99" s="29" t="str" cm="1">
        <f t="array" aca="1" ref="I99" ca="1">_xlfn.IFS(G99="Potency out of spec",CHOOSE(RANDBETWEEN(1,6),"Additional testing","Improve formulation","Update production SOP","Supplier evaluation","Training for operators","Equipment calibration"),
G99="PH Level out of range",CHOOSE(RANDBETWEEN(1,6),"PH monitoring","Adjust formulation","Update production SOP","Supplier evaluation","Training for operators","Equipment calibration"),
G99="Impurities out of limit",CHOOSE(RANDBETWEEN(1,6),"Improve purification","Raw material control","Update production SOP","Supplier evaluation","Training for operators","Equipment maintenance"),
G99="Process temp out of range",CHOOSE(RANDBETWEEN(1,6),"Temperature control","Update production SOP","Supplier evaluation","Training for operators",
"Equipment calibration","Preventive maintenance"),
G99="Dissolution rate low - 15 mins",CHOOSE(RANDBETWEEN(1,6),"Increase agitation","Reduce particle size","Update production SOP","Supplier evaluation",
"Training for operators","Equipment calibration"),
G99="Dissolution rate low - 30 mins",CHOOSE(RANDBETWEEN(1,6),"Increase disintegrant","Optimize granulation","Update production SOP","Supplier evaluation",
"Training for operators","Equipment calibration"),
G99="Dissolution rate low - 40 mins",CHOOSE(RANDBETWEEN(1,6),"Increase surface area","Optimize compression","Update production SOP","Supplier evaluation",
"Training for operators","Equipment calibration"),
G99="Dissolution rate high - 15 mins",CHOOSE(RANDBETWEEN(1,6),"Decrease agitation","Increase particle size","Update production SOP","Supplier evaluation","Training for operators","Equipment calibration"),
G99="Dissolution rate high - 30 mins",CHOOSE(RANDBETWEEN(1,6),"Decrease disintegrant","Optimize granulation","Update production SOP","Supplier evaluation","Training for operators","Equipment calibration"),
G99="Dissolution rate high - 40 mins",CHOOSE(RANDBETWEEN(1,6),"Decrease surface area","Optimize compression","Update production SOP","Supplier evaluation","Training for operators","Equipment calibration"))</f>
        <v>Supplier evaluation</v>
      </c>
    </row>
    <row r="100" spans="1:9" x14ac:dyDescent="0.35">
      <c r="A100" s="31">
        <v>200000557</v>
      </c>
      <c r="B100" s="31">
        <v>1010</v>
      </c>
      <c r="C100" s="31">
        <v>4103</v>
      </c>
      <c r="D100" s="29" t="s">
        <v>503</v>
      </c>
      <c r="E100" s="31">
        <v>2.2999999999999998</v>
      </c>
      <c r="F100" s="34">
        <f ca="1">LOOKUP(C100,'QALS - Inspection Lot Record'!P:P,'QALS - Inspection Lot Record'!E:E)+RANDBETWEEN(0,1)</f>
        <v>45922</v>
      </c>
      <c r="G100" s="41" t="s">
        <v>474</v>
      </c>
      <c r="H100" s="34">
        <f t="shared" ca="1" si="1"/>
        <v>45924</v>
      </c>
      <c r="I100" s="29" t="str" cm="1">
        <f t="array" aca="1" ref="I100" ca="1">_xlfn.IFS(G100="Potency out of spec",CHOOSE(RANDBETWEEN(1,6),"Additional testing","Improve formulation","Update production SOP","Supplier evaluation","Training for operators","Equipment calibration"),
G100="PH Level out of range",CHOOSE(RANDBETWEEN(1,6),"PH monitoring","Adjust formulation","Update production SOP","Supplier evaluation","Training for operators","Equipment calibration"),
G100="Impurities out of limit",CHOOSE(RANDBETWEEN(1,6),"Improve purification","Raw material control","Update production SOP","Supplier evaluation","Training for operators","Equipment maintenance"),
G100="Process temp out of range",CHOOSE(RANDBETWEEN(1,6),"Temperature control","Update production SOP","Supplier evaluation","Training for operators",
"Equipment calibration","Preventive maintenance"),
G100="Dissolution rate low - 15 mins",CHOOSE(RANDBETWEEN(1,6),"Increase agitation","Reduce particle size","Update production SOP","Supplier evaluation",
"Training for operators","Equipment calibration"),
G100="Dissolution rate low - 30 mins",CHOOSE(RANDBETWEEN(1,6),"Increase disintegrant","Optimize granulation","Update production SOP","Supplier evaluation",
"Training for operators","Equipment calibration"),
G100="Dissolution rate low - 40 mins",CHOOSE(RANDBETWEEN(1,6),"Increase surface area","Optimize compression","Update production SOP","Supplier evaluation",
"Training for operators","Equipment calibration"),
G100="Dissolution rate high - 15 mins",CHOOSE(RANDBETWEEN(1,6),"Decrease agitation","Increase particle size","Update production SOP","Supplier evaluation","Training for operators","Equipment calibration"),
G100="Dissolution rate high - 30 mins",CHOOSE(RANDBETWEEN(1,6),"Decrease disintegrant","Optimize granulation","Update production SOP","Supplier evaluation","Training for operators","Equipment calibration"),
G100="Dissolution rate high - 40 mins",CHOOSE(RANDBETWEEN(1,6),"Decrease surface area","Optimize compression","Update production SOP","Supplier evaluation","Training for operators","Equipment calibration"))</f>
        <v>Update production SOP</v>
      </c>
    </row>
    <row r="101" spans="1:9" x14ac:dyDescent="0.35">
      <c r="A101" s="31">
        <v>200000557</v>
      </c>
      <c r="B101" s="31">
        <v>1010</v>
      </c>
      <c r="C101" s="31">
        <v>4103</v>
      </c>
      <c r="D101" s="29" t="s">
        <v>503</v>
      </c>
      <c r="E101" s="31">
        <v>78</v>
      </c>
      <c r="F101" s="34">
        <f ca="1">LOOKUP(C101,'QALS - Inspection Lot Record'!P:P,'QALS - Inspection Lot Record'!E:E)+RANDBETWEEN(0,1)</f>
        <v>45921</v>
      </c>
      <c r="G101" s="41" t="s">
        <v>486</v>
      </c>
      <c r="H101" s="34">
        <f t="shared" ca="1" si="1"/>
        <v>45921</v>
      </c>
      <c r="I101" s="29" t="str" cm="1">
        <f t="array" aca="1" ref="I101" ca="1">_xlfn.IFS(G101="Potency out of spec",CHOOSE(RANDBETWEEN(1,6),"Additional testing","Improve formulation","Update production SOP","Supplier evaluation","Training for operators","Equipment calibration"),
G101="PH Level out of range",CHOOSE(RANDBETWEEN(1,6),"PH monitoring","Adjust formulation","Update production SOP","Supplier evaluation","Training for operators","Equipment calibration"),
G101="Impurities out of limit",CHOOSE(RANDBETWEEN(1,6),"Improve purification","Raw material control","Update production SOP","Supplier evaluation","Training for operators","Equipment maintenance"),
G101="Process temp out of range",CHOOSE(RANDBETWEEN(1,6),"Temperature control","Update production SOP","Supplier evaluation","Training for operators",
"Equipment calibration","Preventive maintenance"),
G101="Dissolution rate low - 15 mins",CHOOSE(RANDBETWEEN(1,6),"Increase agitation","Reduce particle size","Update production SOP","Supplier evaluation",
"Training for operators","Equipment calibration"),
G101="Dissolution rate low - 30 mins",CHOOSE(RANDBETWEEN(1,6),"Increase disintegrant","Optimize granulation","Update production SOP","Supplier evaluation",
"Training for operators","Equipment calibration"),
G101="Dissolution rate low - 40 mins",CHOOSE(RANDBETWEEN(1,6),"Increase surface area","Optimize compression","Update production SOP","Supplier evaluation",
"Training for operators","Equipment calibration"),
G101="Dissolution rate high - 15 mins",CHOOSE(RANDBETWEEN(1,6),"Decrease agitation","Increase particle size","Update production SOP","Supplier evaluation","Training for operators","Equipment calibration"),
G101="Dissolution rate high - 30 mins",CHOOSE(RANDBETWEEN(1,6),"Decrease disintegrant","Optimize granulation","Update production SOP","Supplier evaluation","Training for operators","Equipment calibration"),
G101="Dissolution rate high - 40 mins",CHOOSE(RANDBETWEEN(1,6),"Decrease surface area","Optimize compression","Update production SOP","Supplier evaluation","Training for operators","Equipment calibration"))</f>
        <v>Increase surface area</v>
      </c>
    </row>
    <row r="102" spans="1:9" x14ac:dyDescent="0.35">
      <c r="A102" s="31">
        <v>200000557</v>
      </c>
      <c r="B102" s="31">
        <v>1010</v>
      </c>
      <c r="C102" s="31">
        <v>4103</v>
      </c>
      <c r="D102" s="29" t="s">
        <v>503</v>
      </c>
      <c r="E102" s="31">
        <v>21.5</v>
      </c>
      <c r="F102" s="34">
        <f ca="1">LOOKUP(C102,'QALS - Inspection Lot Record'!P:P,'QALS - Inspection Lot Record'!E:E)+RANDBETWEEN(0,1)</f>
        <v>45922</v>
      </c>
      <c r="G102" s="41" t="s">
        <v>483</v>
      </c>
      <c r="H102" s="34">
        <f t="shared" ca="1" si="1"/>
        <v>45924</v>
      </c>
      <c r="I102" s="29" t="str" cm="1">
        <f t="array" aca="1" ref="I102" ca="1">_xlfn.IFS(G102="Potency out of spec",CHOOSE(RANDBETWEEN(1,6),"Additional testing","Improve formulation","Update production SOP","Supplier evaluation","Training for operators","Equipment calibration"),
G102="PH Level out of range",CHOOSE(RANDBETWEEN(1,6),"PH monitoring","Adjust formulation","Update production SOP","Supplier evaluation","Training for operators","Equipment calibration"),
G102="Impurities out of limit",CHOOSE(RANDBETWEEN(1,6),"Improve purification","Raw material control","Update production SOP","Supplier evaluation","Training for operators","Equipment maintenance"),
G102="Process temp out of range",CHOOSE(RANDBETWEEN(1,6),"Temperature control","Update production SOP","Supplier evaluation","Training for operators",
"Equipment calibration","Preventive maintenance"),
G102="Dissolution rate low - 15 mins",CHOOSE(RANDBETWEEN(1,6),"Increase agitation","Reduce particle size","Update production SOP","Supplier evaluation",
"Training for operators","Equipment calibration"),
G102="Dissolution rate low - 30 mins",CHOOSE(RANDBETWEEN(1,6),"Increase disintegrant","Optimize granulation","Update production SOP","Supplier evaluation",
"Training for operators","Equipment calibration"),
G102="Dissolution rate low - 40 mins",CHOOSE(RANDBETWEEN(1,6),"Increase surface area","Optimize compression","Update production SOP","Supplier evaluation",
"Training for operators","Equipment calibration"),
G102="Dissolution rate high - 15 mins",CHOOSE(RANDBETWEEN(1,6),"Decrease agitation","Increase particle size","Update production SOP","Supplier evaluation","Training for operators","Equipment calibration"),
G102="Dissolution rate high - 30 mins",CHOOSE(RANDBETWEEN(1,6),"Decrease disintegrant","Optimize granulation","Update production SOP","Supplier evaluation","Training for operators","Equipment calibration"),
G102="Dissolution rate high - 40 mins",CHOOSE(RANDBETWEEN(1,6),"Decrease surface area","Optimize compression","Update production SOP","Supplier evaluation","Training for operators","Equipment calibration"))</f>
        <v>Temperature control</v>
      </c>
    </row>
    <row r="103" spans="1:9" x14ac:dyDescent="0.35">
      <c r="A103" s="31">
        <v>200000558</v>
      </c>
      <c r="B103" s="31">
        <v>1010</v>
      </c>
      <c r="C103" s="31">
        <v>4104</v>
      </c>
      <c r="D103" s="29" t="s">
        <v>503</v>
      </c>
      <c r="E103" s="31">
        <v>2</v>
      </c>
      <c r="F103" s="34">
        <f ca="1">LOOKUP(C103,'QALS - Inspection Lot Record'!P:P,'QALS - Inspection Lot Record'!E:E)+RANDBETWEEN(0,1)</f>
        <v>45922</v>
      </c>
      <c r="G103" s="41" t="s">
        <v>474</v>
      </c>
      <c r="H103" s="34">
        <f t="shared" ca="1" si="1"/>
        <v>45922</v>
      </c>
      <c r="I103" s="29" t="str" cm="1">
        <f t="array" aca="1" ref="I103" ca="1">_xlfn.IFS(G103="Potency out of spec",CHOOSE(RANDBETWEEN(1,6),"Additional testing","Improve formulation","Update production SOP","Supplier evaluation","Training for operators","Equipment calibration"),
G103="PH Level out of range",CHOOSE(RANDBETWEEN(1,6),"PH monitoring","Adjust formulation","Update production SOP","Supplier evaluation","Training for operators","Equipment calibration"),
G103="Impurities out of limit",CHOOSE(RANDBETWEEN(1,6),"Improve purification","Raw material control","Update production SOP","Supplier evaluation","Training for operators","Equipment maintenance"),
G103="Process temp out of range",CHOOSE(RANDBETWEEN(1,6),"Temperature control","Update production SOP","Supplier evaluation","Training for operators",
"Equipment calibration","Preventive maintenance"),
G103="Dissolution rate low - 15 mins",CHOOSE(RANDBETWEEN(1,6),"Increase agitation","Reduce particle size","Update production SOP","Supplier evaluation",
"Training for operators","Equipment calibration"),
G103="Dissolution rate low - 30 mins",CHOOSE(RANDBETWEEN(1,6),"Increase disintegrant","Optimize granulation","Update production SOP","Supplier evaluation",
"Training for operators","Equipment calibration"),
G103="Dissolution rate low - 40 mins",CHOOSE(RANDBETWEEN(1,6),"Increase surface area","Optimize compression","Update production SOP","Supplier evaluation",
"Training for operators","Equipment calibration"),
G103="Dissolution rate high - 15 mins",CHOOSE(RANDBETWEEN(1,6),"Decrease agitation","Increase particle size","Update production SOP","Supplier evaluation","Training for operators","Equipment calibration"),
G103="Dissolution rate high - 30 mins",CHOOSE(RANDBETWEEN(1,6),"Decrease disintegrant","Optimize granulation","Update production SOP","Supplier evaluation","Training for operators","Equipment calibration"),
G103="Dissolution rate high - 40 mins",CHOOSE(RANDBETWEEN(1,6),"Decrease surface area","Optimize compression","Update production SOP","Supplier evaluation","Training for operators","Equipment calibration"))</f>
        <v>Supplier evaluation</v>
      </c>
    </row>
    <row r="104" spans="1:9" x14ac:dyDescent="0.35">
      <c r="A104" s="31">
        <v>200000558</v>
      </c>
      <c r="B104" s="31">
        <v>1010</v>
      </c>
      <c r="C104" s="31">
        <v>4104</v>
      </c>
      <c r="D104" s="29" t="s">
        <v>503</v>
      </c>
      <c r="E104" s="31">
        <v>38.6</v>
      </c>
      <c r="F104" s="34">
        <f ca="1">LOOKUP(C104,'QALS - Inspection Lot Record'!P:P,'QALS - Inspection Lot Record'!E:E)+RANDBETWEEN(0,1)</f>
        <v>45921</v>
      </c>
      <c r="G104" s="41" t="s">
        <v>478</v>
      </c>
      <c r="H104" s="34">
        <f t="shared" ca="1" si="1"/>
        <v>45923</v>
      </c>
      <c r="I104" s="29" t="str" cm="1">
        <f t="array" aca="1" ref="I104" ca="1">_xlfn.IFS(G104="Potency out of spec",CHOOSE(RANDBETWEEN(1,6),"Additional testing","Improve formulation","Update production SOP","Supplier evaluation","Training for operators","Equipment calibration"),
G104="PH Level out of range",CHOOSE(RANDBETWEEN(1,6),"PH monitoring","Adjust formulation","Update production SOP","Supplier evaluation","Training for operators","Equipment calibration"),
G104="Impurities out of limit",CHOOSE(RANDBETWEEN(1,6),"Improve purification","Raw material control","Update production SOP","Supplier evaluation","Training for operators","Equipment maintenance"),
G104="Process temp out of range",CHOOSE(RANDBETWEEN(1,6),"Temperature control","Update production SOP","Supplier evaluation","Training for operators",
"Equipment calibration","Preventive maintenance"),
G104="Dissolution rate low - 15 mins",CHOOSE(RANDBETWEEN(1,6),"Increase agitation","Reduce particle size","Update production SOP","Supplier evaluation",
"Training for operators","Equipment calibration"),
G104="Dissolution rate low - 30 mins",CHOOSE(RANDBETWEEN(1,6),"Increase disintegrant","Optimize granulation","Update production SOP","Supplier evaluation",
"Training for operators","Equipment calibration"),
G104="Dissolution rate low - 40 mins",CHOOSE(RANDBETWEEN(1,6),"Increase surface area","Optimize compression","Update production SOP","Supplier evaluation",
"Training for operators","Equipment calibration"),
G104="Dissolution rate high - 15 mins",CHOOSE(RANDBETWEEN(1,6),"Decrease agitation","Increase particle size","Update production SOP","Supplier evaluation","Training for operators","Equipment calibration"),
G104="Dissolution rate high - 30 mins",CHOOSE(RANDBETWEEN(1,6),"Decrease disintegrant","Optimize granulation","Update production SOP","Supplier evaluation","Training for operators","Equipment calibration"),
G104="Dissolution rate high - 40 mins",CHOOSE(RANDBETWEEN(1,6),"Decrease surface area","Optimize compression","Update production SOP","Supplier evaluation","Training for operators","Equipment calibration"))</f>
        <v>Supplier evaluation</v>
      </c>
    </row>
    <row r="105" spans="1:9" x14ac:dyDescent="0.35">
      <c r="A105" s="31">
        <v>200000558</v>
      </c>
      <c r="B105" s="31">
        <v>1010</v>
      </c>
      <c r="C105" s="31">
        <v>4104</v>
      </c>
      <c r="D105" s="29" t="s">
        <v>503</v>
      </c>
      <c r="E105" s="31">
        <v>21.2</v>
      </c>
      <c r="F105" s="34">
        <f ca="1">LOOKUP(C105,'QALS - Inspection Lot Record'!P:P,'QALS - Inspection Lot Record'!E:E)+RANDBETWEEN(0,1)</f>
        <v>45922</v>
      </c>
      <c r="G105" s="41" t="s">
        <v>483</v>
      </c>
      <c r="H105" s="34">
        <f t="shared" ca="1" si="1"/>
        <v>45923</v>
      </c>
      <c r="I105" s="29" t="str" cm="1">
        <f t="array" aca="1" ref="I105" ca="1">_xlfn.IFS(G105="Potency out of spec",CHOOSE(RANDBETWEEN(1,6),"Additional testing","Improve formulation","Update production SOP","Supplier evaluation","Training for operators","Equipment calibration"),
G105="PH Level out of range",CHOOSE(RANDBETWEEN(1,6),"PH monitoring","Adjust formulation","Update production SOP","Supplier evaluation","Training for operators","Equipment calibration"),
G105="Impurities out of limit",CHOOSE(RANDBETWEEN(1,6),"Improve purification","Raw material control","Update production SOP","Supplier evaluation","Training for operators","Equipment maintenance"),
G105="Process temp out of range",CHOOSE(RANDBETWEEN(1,6),"Temperature control","Update production SOP","Supplier evaluation","Training for operators",
"Equipment calibration","Preventive maintenance"),
G105="Dissolution rate low - 15 mins",CHOOSE(RANDBETWEEN(1,6),"Increase agitation","Reduce particle size","Update production SOP","Supplier evaluation",
"Training for operators","Equipment calibration"),
G105="Dissolution rate low - 30 mins",CHOOSE(RANDBETWEEN(1,6),"Increase disintegrant","Optimize granulation","Update production SOP","Supplier evaluation",
"Training for operators","Equipment calibration"),
G105="Dissolution rate low - 40 mins",CHOOSE(RANDBETWEEN(1,6),"Increase surface area","Optimize compression","Update production SOP","Supplier evaluation",
"Training for operators","Equipment calibration"),
G105="Dissolution rate high - 15 mins",CHOOSE(RANDBETWEEN(1,6),"Decrease agitation","Increase particle size","Update production SOP","Supplier evaluation","Training for operators","Equipment calibration"),
G105="Dissolution rate high - 30 mins",CHOOSE(RANDBETWEEN(1,6),"Decrease disintegrant","Optimize granulation","Update production SOP","Supplier evaluation","Training for operators","Equipment calibration"),
G105="Dissolution rate high - 40 mins",CHOOSE(RANDBETWEEN(1,6),"Decrease surface area","Optimize compression","Update production SOP","Supplier evaluation","Training for operators","Equipment calibration"))</f>
        <v>Supplier evaluation</v>
      </c>
    </row>
    <row r="106" spans="1:9" x14ac:dyDescent="0.35">
      <c r="A106" s="31">
        <v>200000559</v>
      </c>
      <c r="B106" s="31">
        <v>1010</v>
      </c>
      <c r="C106" s="31">
        <v>4107</v>
      </c>
      <c r="D106" s="29" t="s">
        <v>433</v>
      </c>
      <c r="E106" s="31">
        <v>93.3</v>
      </c>
      <c r="F106" s="34">
        <f ca="1">LOOKUP(C106,'QALS - Inspection Lot Record'!P:P,'QALS - Inspection Lot Record'!E:E)+RANDBETWEEN(0,1)</f>
        <v>45923</v>
      </c>
      <c r="G106" s="41" t="s">
        <v>472</v>
      </c>
      <c r="H106" s="34">
        <f t="shared" ca="1" si="1"/>
        <v>45925</v>
      </c>
      <c r="I106" s="29" t="str" cm="1">
        <f t="array" aca="1" ref="I106" ca="1">_xlfn.IFS(G106="Potency out of spec",CHOOSE(RANDBETWEEN(1,6),"Additional testing","Improve formulation","Update production SOP","Supplier evaluation","Training for operators","Equipment calibration"),
G106="PH Level out of range",CHOOSE(RANDBETWEEN(1,6),"PH monitoring","Adjust formulation","Update production SOP","Supplier evaluation","Training for operators","Equipment calibration"),
G106="Impurities out of limit",CHOOSE(RANDBETWEEN(1,6),"Improve purification","Raw material control","Update production SOP","Supplier evaluation","Training for operators","Equipment maintenance"),
G106="Process temp out of range",CHOOSE(RANDBETWEEN(1,6),"Temperature control","Update production SOP","Supplier evaluation","Training for operators",
"Equipment calibration","Preventive maintenance"),
G106="Dissolution rate low - 15 mins",CHOOSE(RANDBETWEEN(1,6),"Increase agitation","Reduce particle size","Update production SOP","Supplier evaluation",
"Training for operators","Equipment calibration"),
G106="Dissolution rate low - 30 mins",CHOOSE(RANDBETWEEN(1,6),"Increase disintegrant","Optimize granulation","Update production SOP","Supplier evaluation",
"Training for operators","Equipment calibration"),
G106="Dissolution rate low - 40 mins",CHOOSE(RANDBETWEEN(1,6),"Increase surface area","Optimize compression","Update production SOP","Supplier evaluation",
"Training for operators","Equipment calibration"),
G106="Dissolution rate high - 15 mins",CHOOSE(RANDBETWEEN(1,6),"Decrease agitation","Increase particle size","Update production SOP","Supplier evaluation","Training for operators","Equipment calibration"),
G106="Dissolution rate high - 30 mins",CHOOSE(RANDBETWEEN(1,6),"Decrease disintegrant","Optimize granulation","Update production SOP","Supplier evaluation","Training for operators","Equipment calibration"),
G106="Dissolution rate high - 40 mins",CHOOSE(RANDBETWEEN(1,6),"Decrease surface area","Optimize compression","Update production SOP","Supplier evaluation","Training for operators","Equipment calibration"))</f>
        <v>Improve formulation</v>
      </c>
    </row>
    <row r="107" spans="1:9" x14ac:dyDescent="0.35">
      <c r="A107" s="31">
        <v>200000559</v>
      </c>
      <c r="B107" s="31">
        <v>1010</v>
      </c>
      <c r="C107" s="31">
        <v>4107</v>
      </c>
      <c r="D107" s="29" t="s">
        <v>433</v>
      </c>
      <c r="E107" s="31">
        <v>38.799999999999997</v>
      </c>
      <c r="F107" s="34">
        <f ca="1">LOOKUP(C107,'QALS - Inspection Lot Record'!P:P,'QALS - Inspection Lot Record'!E:E)+RANDBETWEEN(0,1)</f>
        <v>45923</v>
      </c>
      <c r="G107" s="41" t="s">
        <v>478</v>
      </c>
      <c r="H107" s="34">
        <f t="shared" ca="1" si="1"/>
        <v>45924</v>
      </c>
      <c r="I107" s="29" t="str" cm="1">
        <f t="array" aca="1" ref="I107" ca="1">_xlfn.IFS(G107="Potency out of spec",CHOOSE(RANDBETWEEN(1,6),"Additional testing","Improve formulation","Update production SOP","Supplier evaluation","Training for operators","Equipment calibration"),
G107="PH Level out of range",CHOOSE(RANDBETWEEN(1,6),"PH monitoring","Adjust formulation","Update production SOP","Supplier evaluation","Training for operators","Equipment calibration"),
G107="Impurities out of limit",CHOOSE(RANDBETWEEN(1,6),"Improve purification","Raw material control","Update production SOP","Supplier evaluation","Training for operators","Equipment maintenance"),
G107="Process temp out of range",CHOOSE(RANDBETWEEN(1,6),"Temperature control","Update production SOP","Supplier evaluation","Training for operators",
"Equipment calibration","Preventive maintenance"),
G107="Dissolution rate low - 15 mins",CHOOSE(RANDBETWEEN(1,6),"Increase agitation","Reduce particle size","Update production SOP","Supplier evaluation",
"Training for operators","Equipment calibration"),
G107="Dissolution rate low - 30 mins",CHOOSE(RANDBETWEEN(1,6),"Increase disintegrant","Optimize granulation","Update production SOP","Supplier evaluation",
"Training for operators","Equipment calibration"),
G107="Dissolution rate low - 40 mins",CHOOSE(RANDBETWEEN(1,6),"Increase surface area","Optimize compression","Update production SOP","Supplier evaluation",
"Training for operators","Equipment calibration"),
G107="Dissolution rate high - 15 mins",CHOOSE(RANDBETWEEN(1,6),"Decrease agitation","Increase particle size","Update production SOP","Supplier evaluation","Training for operators","Equipment calibration"),
G107="Dissolution rate high - 30 mins",CHOOSE(RANDBETWEEN(1,6),"Decrease disintegrant","Optimize granulation","Update production SOP","Supplier evaluation","Training for operators","Equipment calibration"),
G107="Dissolution rate high - 40 mins",CHOOSE(RANDBETWEEN(1,6),"Decrease surface area","Optimize compression","Update production SOP","Supplier evaluation","Training for operators","Equipment calibration"))</f>
        <v>Supplier evaluation</v>
      </c>
    </row>
    <row r="108" spans="1:9" x14ac:dyDescent="0.35">
      <c r="A108" s="31">
        <v>200000559</v>
      </c>
      <c r="B108" s="31">
        <v>1010</v>
      </c>
      <c r="C108" s="31">
        <v>4107</v>
      </c>
      <c r="D108" s="29" t="s">
        <v>433</v>
      </c>
      <c r="E108" s="31">
        <v>78</v>
      </c>
      <c r="F108" s="34">
        <f ca="1">LOOKUP(C108,'QALS - Inspection Lot Record'!P:P,'QALS - Inspection Lot Record'!E:E)+RANDBETWEEN(0,1)</f>
        <v>45924</v>
      </c>
      <c r="G108" s="41" t="s">
        <v>486</v>
      </c>
      <c r="H108" s="34">
        <f t="shared" ca="1" si="1"/>
        <v>45925</v>
      </c>
      <c r="I108" s="29" t="str" cm="1">
        <f t="array" aca="1" ref="I108" ca="1">_xlfn.IFS(G108="Potency out of spec",CHOOSE(RANDBETWEEN(1,6),"Additional testing","Improve formulation","Update production SOP","Supplier evaluation","Training for operators","Equipment calibration"),
G108="PH Level out of range",CHOOSE(RANDBETWEEN(1,6),"PH monitoring","Adjust formulation","Update production SOP","Supplier evaluation","Training for operators","Equipment calibration"),
G108="Impurities out of limit",CHOOSE(RANDBETWEEN(1,6),"Improve purification","Raw material control","Update production SOP","Supplier evaluation","Training for operators","Equipment maintenance"),
G108="Process temp out of range",CHOOSE(RANDBETWEEN(1,6),"Temperature control","Update production SOP","Supplier evaluation","Training for operators",
"Equipment calibration","Preventive maintenance"),
G108="Dissolution rate low - 15 mins",CHOOSE(RANDBETWEEN(1,6),"Increase agitation","Reduce particle size","Update production SOP","Supplier evaluation",
"Training for operators","Equipment calibration"),
G108="Dissolution rate low - 30 mins",CHOOSE(RANDBETWEEN(1,6),"Increase disintegrant","Optimize granulation","Update production SOP","Supplier evaluation",
"Training for operators","Equipment calibration"),
G108="Dissolution rate low - 40 mins",CHOOSE(RANDBETWEEN(1,6),"Increase surface area","Optimize compression","Update production SOP","Supplier evaluation",
"Training for operators","Equipment calibration"),
G108="Dissolution rate high - 15 mins",CHOOSE(RANDBETWEEN(1,6),"Decrease agitation","Increase particle size","Update production SOP","Supplier evaluation","Training for operators","Equipment calibration"),
G108="Dissolution rate high - 30 mins",CHOOSE(RANDBETWEEN(1,6),"Decrease disintegrant","Optimize granulation","Update production SOP","Supplier evaluation","Training for operators","Equipment calibration"),
G108="Dissolution rate high - 40 mins",CHOOSE(RANDBETWEEN(1,6),"Decrease surface area","Optimize compression","Update production SOP","Supplier evaluation","Training for operators","Equipment calibration"))</f>
        <v>Update production SOP</v>
      </c>
    </row>
    <row r="109" spans="1:9" x14ac:dyDescent="0.35">
      <c r="A109" s="31">
        <v>200000560</v>
      </c>
      <c r="B109" s="31">
        <v>1010</v>
      </c>
      <c r="C109" s="31">
        <v>4108</v>
      </c>
      <c r="D109" s="29" t="s">
        <v>431</v>
      </c>
      <c r="E109" s="31">
        <v>78.400000000000006</v>
      </c>
      <c r="F109" s="34">
        <f ca="1">LOOKUP(C109,'QALS - Inspection Lot Record'!P:P,'QALS - Inspection Lot Record'!E:E)+RANDBETWEEN(0,1)</f>
        <v>45923</v>
      </c>
      <c r="G109" s="41" t="s">
        <v>486</v>
      </c>
      <c r="H109" s="34">
        <f t="shared" ca="1" si="1"/>
        <v>45923</v>
      </c>
      <c r="I109" s="29" t="str" cm="1">
        <f t="array" aca="1" ref="I109" ca="1">_xlfn.IFS(G109="Potency out of spec",CHOOSE(RANDBETWEEN(1,6),"Additional testing","Improve formulation","Update production SOP","Supplier evaluation","Training for operators","Equipment calibration"),
G109="PH Level out of range",CHOOSE(RANDBETWEEN(1,6),"PH monitoring","Adjust formulation","Update production SOP","Supplier evaluation","Training for operators","Equipment calibration"),
G109="Impurities out of limit",CHOOSE(RANDBETWEEN(1,6),"Improve purification","Raw material control","Update production SOP","Supplier evaluation","Training for operators","Equipment maintenance"),
G109="Process temp out of range",CHOOSE(RANDBETWEEN(1,6),"Temperature control","Update production SOP","Supplier evaluation","Training for operators",
"Equipment calibration","Preventive maintenance"),
G109="Dissolution rate low - 15 mins",CHOOSE(RANDBETWEEN(1,6),"Increase agitation","Reduce particle size","Update production SOP","Supplier evaluation",
"Training for operators","Equipment calibration"),
G109="Dissolution rate low - 30 mins",CHOOSE(RANDBETWEEN(1,6),"Increase disintegrant","Optimize granulation","Update production SOP","Supplier evaluation",
"Training for operators","Equipment calibration"),
G109="Dissolution rate low - 40 mins",CHOOSE(RANDBETWEEN(1,6),"Increase surface area","Optimize compression","Update production SOP","Supplier evaluation",
"Training for operators","Equipment calibration"),
G109="Dissolution rate high - 15 mins",CHOOSE(RANDBETWEEN(1,6),"Decrease agitation","Increase particle size","Update production SOP","Supplier evaluation","Training for operators","Equipment calibration"),
G109="Dissolution rate high - 30 mins",CHOOSE(RANDBETWEEN(1,6),"Decrease disintegrant","Optimize granulation","Update production SOP","Supplier evaluation","Training for operators","Equipment calibration"),
G109="Dissolution rate high - 40 mins",CHOOSE(RANDBETWEEN(1,6),"Decrease surface area","Optimize compression","Update production SOP","Supplier evaluation","Training for operators","Equipment calibration"))</f>
        <v>Update production SOP</v>
      </c>
    </row>
    <row r="110" spans="1:9" x14ac:dyDescent="0.35">
      <c r="A110" s="31">
        <v>200000560</v>
      </c>
      <c r="B110" s="31">
        <v>1010</v>
      </c>
      <c r="C110" s="31">
        <v>4108</v>
      </c>
      <c r="D110" s="29" t="s">
        <v>431</v>
      </c>
      <c r="E110" s="31">
        <v>21</v>
      </c>
      <c r="F110" s="34">
        <f ca="1">LOOKUP(C110,'QALS - Inspection Lot Record'!P:P,'QALS - Inspection Lot Record'!E:E)+RANDBETWEEN(0,1)</f>
        <v>45924</v>
      </c>
      <c r="G110" s="41" t="s">
        <v>483</v>
      </c>
      <c r="H110" s="34">
        <f t="shared" ca="1" si="1"/>
        <v>45926</v>
      </c>
      <c r="I110" s="29" t="str" cm="1">
        <f t="array" aca="1" ref="I110" ca="1">_xlfn.IFS(G110="Potency out of spec",CHOOSE(RANDBETWEEN(1,6),"Additional testing","Improve formulation","Update production SOP","Supplier evaluation","Training for operators","Equipment calibration"),
G110="PH Level out of range",CHOOSE(RANDBETWEEN(1,6),"PH monitoring","Adjust formulation","Update production SOP","Supplier evaluation","Training for operators","Equipment calibration"),
G110="Impurities out of limit",CHOOSE(RANDBETWEEN(1,6),"Improve purification","Raw material control","Update production SOP","Supplier evaluation","Training for operators","Equipment maintenance"),
G110="Process temp out of range",CHOOSE(RANDBETWEEN(1,6),"Temperature control","Update production SOP","Supplier evaluation","Training for operators",
"Equipment calibration","Preventive maintenance"),
G110="Dissolution rate low - 15 mins",CHOOSE(RANDBETWEEN(1,6),"Increase agitation","Reduce particle size","Update production SOP","Supplier evaluation",
"Training for operators","Equipment calibration"),
G110="Dissolution rate low - 30 mins",CHOOSE(RANDBETWEEN(1,6),"Increase disintegrant","Optimize granulation","Update production SOP","Supplier evaluation",
"Training for operators","Equipment calibration"),
G110="Dissolution rate low - 40 mins",CHOOSE(RANDBETWEEN(1,6),"Increase surface area","Optimize compression","Update production SOP","Supplier evaluation",
"Training for operators","Equipment calibration"),
G110="Dissolution rate high - 15 mins",CHOOSE(RANDBETWEEN(1,6),"Decrease agitation","Increase particle size","Update production SOP","Supplier evaluation","Training for operators","Equipment calibration"),
G110="Dissolution rate high - 30 mins",CHOOSE(RANDBETWEEN(1,6),"Decrease disintegrant","Optimize granulation","Update production SOP","Supplier evaluation","Training for operators","Equipment calibration"),
G110="Dissolution rate high - 40 mins",CHOOSE(RANDBETWEEN(1,6),"Decrease surface area","Optimize compression","Update production SOP","Supplier evaluation","Training for operators","Equipment calibration"))</f>
        <v>Preventive maintenance</v>
      </c>
    </row>
    <row r="111" spans="1:9" x14ac:dyDescent="0.35">
      <c r="A111" s="31">
        <v>200000561</v>
      </c>
      <c r="B111" s="31">
        <v>1010</v>
      </c>
      <c r="C111" s="31">
        <v>4111</v>
      </c>
      <c r="D111" s="29" t="s">
        <v>429</v>
      </c>
      <c r="E111" s="31">
        <v>93.3</v>
      </c>
      <c r="F111" s="34">
        <f ca="1">LOOKUP(C111,'QALS - Inspection Lot Record'!P:P,'QALS - Inspection Lot Record'!E:E)+RANDBETWEEN(0,1)</f>
        <v>45925</v>
      </c>
      <c r="G111" s="41" t="s">
        <v>472</v>
      </c>
      <c r="H111" s="34">
        <f t="shared" ca="1" si="1"/>
        <v>45926</v>
      </c>
      <c r="I111" s="29" t="str" cm="1">
        <f t="array" aca="1" ref="I111" ca="1">_xlfn.IFS(G111="Potency out of spec",CHOOSE(RANDBETWEEN(1,6),"Additional testing","Improve formulation","Update production SOP","Supplier evaluation","Training for operators","Equipment calibration"),
G111="PH Level out of range",CHOOSE(RANDBETWEEN(1,6),"PH monitoring","Adjust formulation","Update production SOP","Supplier evaluation","Training for operators","Equipment calibration"),
G111="Impurities out of limit",CHOOSE(RANDBETWEEN(1,6),"Improve purification","Raw material control","Update production SOP","Supplier evaluation","Training for operators","Equipment maintenance"),
G111="Process temp out of range",CHOOSE(RANDBETWEEN(1,6),"Temperature control","Update production SOP","Supplier evaluation","Training for operators",
"Equipment calibration","Preventive maintenance"),
G111="Dissolution rate low - 15 mins",CHOOSE(RANDBETWEEN(1,6),"Increase agitation","Reduce particle size","Update production SOP","Supplier evaluation",
"Training for operators","Equipment calibration"),
G111="Dissolution rate low - 30 mins",CHOOSE(RANDBETWEEN(1,6),"Increase disintegrant","Optimize granulation","Update production SOP","Supplier evaluation",
"Training for operators","Equipment calibration"),
G111="Dissolution rate low - 40 mins",CHOOSE(RANDBETWEEN(1,6),"Increase surface area","Optimize compression","Update production SOP","Supplier evaluation",
"Training for operators","Equipment calibration"),
G111="Dissolution rate high - 15 mins",CHOOSE(RANDBETWEEN(1,6),"Decrease agitation","Increase particle size","Update production SOP","Supplier evaluation","Training for operators","Equipment calibration"),
G111="Dissolution rate high - 30 mins",CHOOSE(RANDBETWEEN(1,6),"Decrease disintegrant","Optimize granulation","Update production SOP","Supplier evaluation","Training for operators","Equipment calibration"),
G111="Dissolution rate high - 40 mins",CHOOSE(RANDBETWEEN(1,6),"Decrease surface area","Optimize compression","Update production SOP","Supplier evaluation","Training for operators","Equipment calibration"))</f>
        <v>Supplier evaluation</v>
      </c>
    </row>
    <row r="112" spans="1:9" x14ac:dyDescent="0.35">
      <c r="A112" s="31">
        <v>200000561</v>
      </c>
      <c r="B112" s="31">
        <v>1010</v>
      </c>
      <c r="C112" s="31">
        <v>4111</v>
      </c>
      <c r="D112" s="29" t="s">
        <v>429</v>
      </c>
      <c r="E112" s="31">
        <v>2.2000000000000002</v>
      </c>
      <c r="F112" s="34">
        <f ca="1">LOOKUP(C112,'QALS - Inspection Lot Record'!P:P,'QALS - Inspection Lot Record'!E:E)+RANDBETWEEN(0,1)</f>
        <v>45925</v>
      </c>
      <c r="G112" s="41" t="s">
        <v>474</v>
      </c>
      <c r="H112" s="34">
        <f t="shared" ca="1" si="1"/>
        <v>45926</v>
      </c>
      <c r="I112" s="29" t="str" cm="1">
        <f t="array" aca="1" ref="I112" ca="1">_xlfn.IFS(G112="Potency out of spec",CHOOSE(RANDBETWEEN(1,6),"Additional testing","Improve formulation","Update production SOP","Supplier evaluation","Training for operators","Equipment calibration"),
G112="PH Level out of range",CHOOSE(RANDBETWEEN(1,6),"PH monitoring","Adjust formulation","Update production SOP","Supplier evaluation","Training for operators","Equipment calibration"),
G112="Impurities out of limit",CHOOSE(RANDBETWEEN(1,6),"Improve purification","Raw material control","Update production SOP","Supplier evaluation","Training for operators","Equipment maintenance"),
G112="Process temp out of range",CHOOSE(RANDBETWEEN(1,6),"Temperature control","Update production SOP","Supplier evaluation","Training for operators",
"Equipment calibration","Preventive maintenance"),
G112="Dissolution rate low - 15 mins",CHOOSE(RANDBETWEEN(1,6),"Increase agitation","Reduce particle size","Update production SOP","Supplier evaluation",
"Training for operators","Equipment calibration"),
G112="Dissolution rate low - 30 mins",CHOOSE(RANDBETWEEN(1,6),"Increase disintegrant","Optimize granulation","Update production SOP","Supplier evaluation",
"Training for operators","Equipment calibration"),
G112="Dissolution rate low - 40 mins",CHOOSE(RANDBETWEEN(1,6),"Increase surface area","Optimize compression","Update production SOP","Supplier evaluation",
"Training for operators","Equipment calibration"),
G112="Dissolution rate high - 15 mins",CHOOSE(RANDBETWEEN(1,6),"Decrease agitation","Increase particle size","Update production SOP","Supplier evaluation","Training for operators","Equipment calibration"),
G112="Dissolution rate high - 30 mins",CHOOSE(RANDBETWEEN(1,6),"Decrease disintegrant","Optimize granulation","Update production SOP","Supplier evaluation","Training for operators","Equipment calibration"),
G112="Dissolution rate high - 40 mins",CHOOSE(RANDBETWEEN(1,6),"Decrease surface area","Optimize compression","Update production SOP","Supplier evaluation","Training for operators","Equipment calibration"))</f>
        <v>PH monitoring</v>
      </c>
    </row>
    <row r="113" spans="1:9" x14ac:dyDescent="0.35">
      <c r="A113" s="31">
        <v>200000561</v>
      </c>
      <c r="B113" s="31">
        <v>1010</v>
      </c>
      <c r="C113" s="31">
        <v>4111</v>
      </c>
      <c r="D113" s="29" t="s">
        <v>429</v>
      </c>
      <c r="E113" s="31">
        <v>69</v>
      </c>
      <c r="F113" s="34">
        <f ca="1">LOOKUP(C113,'QALS - Inspection Lot Record'!P:P,'QALS - Inspection Lot Record'!E:E)+RANDBETWEEN(0,1)</f>
        <v>45925</v>
      </c>
      <c r="G113" s="41" t="s">
        <v>480</v>
      </c>
      <c r="H113" s="34">
        <f t="shared" ca="1" si="1"/>
        <v>45927</v>
      </c>
      <c r="I113" s="29" t="str" cm="1">
        <f t="array" aca="1" ref="I113" ca="1">_xlfn.IFS(G113="Potency out of spec",CHOOSE(RANDBETWEEN(1,6),"Additional testing","Improve formulation","Update production SOP","Supplier evaluation","Training for operators","Equipment calibration"),
G113="PH Level out of range",CHOOSE(RANDBETWEEN(1,6),"PH monitoring","Adjust formulation","Update production SOP","Supplier evaluation","Training for operators","Equipment calibration"),
G113="Impurities out of limit",CHOOSE(RANDBETWEEN(1,6),"Improve purification","Raw material control","Update production SOP","Supplier evaluation","Training for operators","Equipment maintenance"),
G113="Process temp out of range",CHOOSE(RANDBETWEEN(1,6),"Temperature control","Update production SOP","Supplier evaluation","Training for operators",
"Equipment calibration","Preventive maintenance"),
G113="Dissolution rate low - 15 mins",CHOOSE(RANDBETWEEN(1,6),"Increase agitation","Reduce particle size","Update production SOP","Supplier evaluation",
"Training for operators","Equipment calibration"),
G113="Dissolution rate low - 30 mins",CHOOSE(RANDBETWEEN(1,6),"Increase disintegrant","Optimize granulation","Update production SOP","Supplier evaluation",
"Training for operators","Equipment calibration"),
G113="Dissolution rate low - 40 mins",CHOOSE(RANDBETWEEN(1,6),"Increase surface area","Optimize compression","Update production SOP","Supplier evaluation",
"Training for operators","Equipment calibration"),
G113="Dissolution rate high - 15 mins",CHOOSE(RANDBETWEEN(1,6),"Decrease agitation","Increase particle size","Update production SOP","Supplier evaluation","Training for operators","Equipment calibration"),
G113="Dissolution rate high - 30 mins",CHOOSE(RANDBETWEEN(1,6),"Decrease disintegrant","Optimize granulation","Update production SOP","Supplier evaluation","Training for operators","Equipment calibration"),
G113="Dissolution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14" spans="1:9" x14ac:dyDescent="0.35">
      <c r="A114" s="31">
        <v>200000561</v>
      </c>
      <c r="B114" s="31">
        <v>1010</v>
      </c>
      <c r="C114" s="31">
        <v>4111</v>
      </c>
      <c r="D114" s="29" t="s">
        <v>429</v>
      </c>
      <c r="E114" s="31">
        <v>78.7</v>
      </c>
      <c r="F114" s="34">
        <f ca="1">LOOKUP(C114,'QALS - Inspection Lot Record'!P:P,'QALS - Inspection Lot Record'!E:E)+RANDBETWEEN(0,1)</f>
        <v>45925</v>
      </c>
      <c r="G114" s="41" t="s">
        <v>486</v>
      </c>
      <c r="H114" s="34">
        <f t="shared" ca="1" si="1"/>
        <v>45927</v>
      </c>
      <c r="I114" s="29" t="str" cm="1">
        <f t="array" aca="1" ref="I114" ca="1">_xlfn.IFS(G114="Potency out of spec",CHOOSE(RANDBETWEEN(1,6),"Additional testing","Improve formulation","Update production SOP","Supplier evaluation","Training for operators","Equipment calibration"),
G114="PH Level out of range",CHOOSE(RANDBETWEEN(1,6),"PH monitoring","Adjust formulation","Update production SOP","Supplier evaluation","Training for operators","Equipment calibration"),
G114="Impurities out of limit",CHOOSE(RANDBETWEEN(1,6),"Improve purification","Raw material control","Update production SOP","Supplier evaluation","Training for operators","Equipment maintenance"),
G114="Process temp out of range",CHOOSE(RANDBETWEEN(1,6),"Temperature control","Update production SOP","Supplier evaluation","Training for operators",
"Equipment calibration","Preventive maintenance"),
G114="Dissolution rate low - 15 mins",CHOOSE(RANDBETWEEN(1,6),"Increase agitation","Reduce particle size","Update production SOP","Supplier evaluation",
"Training for operators","Equipment calibration"),
G114="Dissolution rate low - 30 mins",CHOOSE(RANDBETWEEN(1,6),"Increase disintegrant","Optimize granulation","Update production SOP","Supplier evaluation",
"Training for operators","Equipment calibration"),
G114="Dissolution rate low - 40 mins",CHOOSE(RANDBETWEEN(1,6),"Increase surface area","Optimize compression","Update production SOP","Supplier evaluation",
"Training for operators","Equipment calibration"),
G114="Dissolution rate high - 15 mins",CHOOSE(RANDBETWEEN(1,6),"Decrease agitation","Increase particle size","Update production SOP","Supplier evaluation","Training for operators","Equipment calibration"),
G114="Dissolution rate high - 30 mins",CHOOSE(RANDBETWEEN(1,6),"Decrease disintegrant","Optimize granulation","Update production SOP","Supplier evaluation","Training for operators","Equipment calibration"),
G114="Dissolution rate high - 40 mins",CHOOSE(RANDBETWEEN(1,6),"Decrease surface area","Optimize compression","Update production SOP","Supplier evaluation","Training for operators","Equipment calibration"))</f>
        <v>Supplier evaluation</v>
      </c>
    </row>
    <row r="115" spans="1:9" x14ac:dyDescent="0.35">
      <c r="A115" s="31">
        <v>200000562</v>
      </c>
      <c r="B115" s="31">
        <v>1010</v>
      </c>
      <c r="C115" s="31">
        <v>4112</v>
      </c>
      <c r="D115" s="29" t="s">
        <v>503</v>
      </c>
      <c r="E115" s="31">
        <v>93.5</v>
      </c>
      <c r="F115" s="34">
        <f ca="1">LOOKUP(C115,'QALS - Inspection Lot Record'!P:P,'QALS - Inspection Lot Record'!E:E)+RANDBETWEEN(0,1)</f>
        <v>45926</v>
      </c>
      <c r="G115" s="41" t="s">
        <v>472</v>
      </c>
      <c r="H115" s="34">
        <f t="shared" ca="1" si="1"/>
        <v>45926</v>
      </c>
      <c r="I115" s="29" t="str" cm="1">
        <f t="array" aca="1" ref="I115" ca="1">_xlfn.IFS(G115="Potency out of spec",CHOOSE(RANDBETWEEN(1,6),"Additional testing","Improve formulation","Update production SOP","Supplier evaluation","Training for operators","Equipment calibration"),
G115="PH Level out of range",CHOOSE(RANDBETWEEN(1,6),"PH monitoring","Adjust formulation","Update production SOP","Supplier evaluation","Training for operators","Equipment calibration"),
G115="Impurities out of limit",CHOOSE(RANDBETWEEN(1,6),"Improve purification","Raw material control","Update production SOP","Supplier evaluation","Training for operators","Equipment maintenance"),
G115="Process temp out of range",CHOOSE(RANDBETWEEN(1,6),"Temperature control","Update production SOP","Supplier evaluation","Training for operators",
"Equipment calibration","Preventive maintenance"),
G115="Dissolution rate low - 15 mins",CHOOSE(RANDBETWEEN(1,6),"Increase agitation","Reduce particle size","Update production SOP","Supplier evaluation",
"Training for operators","Equipment calibration"),
G115="Dissolution rate low - 30 mins",CHOOSE(RANDBETWEEN(1,6),"Increase disintegrant","Optimize granulation","Update production SOP","Supplier evaluation",
"Training for operators","Equipment calibration"),
G115="Dissolution rate low - 40 mins",CHOOSE(RANDBETWEEN(1,6),"Increase surface area","Optimize compression","Update production SOP","Supplier evaluation",
"Training for operators","Equipment calibration"),
G115="Dissolution rate high - 15 mins",CHOOSE(RANDBETWEEN(1,6),"Decrease agitation","Increase particle size","Update production SOP","Supplier evaluation","Training for operators","Equipment calibration"),
G115="Dissolution rate high - 30 mins",CHOOSE(RANDBETWEEN(1,6),"Decrease disintegrant","Optimize granulation","Update production SOP","Supplier evaluation","Training for operators","Equipment calibration"),
G115="Dissolution rate high - 40 mins",CHOOSE(RANDBETWEEN(1,6),"Decrease surface area","Optimize compression","Update production SOP","Supplier evaluation","Training for operators","Equipment calibration"))</f>
        <v>Update production SOP</v>
      </c>
    </row>
    <row r="116" spans="1:9" x14ac:dyDescent="0.35">
      <c r="A116" s="31">
        <v>200000562</v>
      </c>
      <c r="B116" s="31">
        <v>1010</v>
      </c>
      <c r="C116" s="31">
        <v>4112</v>
      </c>
      <c r="D116" s="29" t="s">
        <v>503</v>
      </c>
      <c r="E116" s="31">
        <v>2.4</v>
      </c>
      <c r="F116" s="34">
        <f ca="1">LOOKUP(C116,'QALS - Inspection Lot Record'!P:P,'QALS - Inspection Lot Record'!E:E)+RANDBETWEEN(0,1)</f>
        <v>45926</v>
      </c>
      <c r="G116" s="41" t="s">
        <v>474</v>
      </c>
      <c r="H116" s="34">
        <f t="shared" ca="1" si="1"/>
        <v>45928</v>
      </c>
      <c r="I116" s="29" t="str" cm="1">
        <f t="array" aca="1" ref="I116" ca="1">_xlfn.IFS(G116="Potency out of spec",CHOOSE(RANDBETWEEN(1,6),"Additional testing","Improve formulation","Update production SOP","Supplier evaluation","Training for operators","Equipment calibration"),
G116="PH Level out of range",CHOOSE(RANDBETWEEN(1,6),"PH monitoring","Adjust formulation","Update production SOP","Supplier evaluation","Training for operators","Equipment calibration"),
G116="Impurities out of limit",CHOOSE(RANDBETWEEN(1,6),"Improve purification","Raw material control","Update production SOP","Supplier evaluation","Training for operators","Equipment maintenance"),
G116="Process temp out of range",CHOOSE(RANDBETWEEN(1,6),"Temperature control","Update production SOP","Supplier evaluation","Training for operators",
"Equipment calibration","Preventive maintenance"),
G116="Dissolution rate low - 15 mins",CHOOSE(RANDBETWEEN(1,6),"Increase agitation","Reduce particle size","Update production SOP","Supplier evaluation",
"Training for operators","Equipment calibration"),
G116="Dissolution rate low - 30 mins",CHOOSE(RANDBETWEEN(1,6),"Increase disintegrant","Optimize granulation","Update production SOP","Supplier evaluation",
"Training for operators","Equipment calibration"),
G116="Dissolution rate low - 40 mins",CHOOSE(RANDBETWEEN(1,6),"Increase surface area","Optimize compression","Update production SOP","Supplier evaluation",
"Training for operators","Equipment calibration"),
G116="Dissolution rate high - 15 mins",CHOOSE(RANDBETWEEN(1,6),"Decrease agitation","Increase particle size","Update production SOP","Supplier evaluation","Training for operators","Equipment calibration"),
G116="Dissolution rate high - 30 mins",CHOOSE(RANDBETWEEN(1,6),"Decrease disintegrant","Optimize granulation","Update production SOP","Supplier evaluation","Training for operators","Equipment calibration"),
G116="Dissolution rate high - 40 mins",CHOOSE(RANDBETWEEN(1,6),"Decrease surface area","Optimize compression","Update production SOP","Supplier evaluation","Training for operators","Equipment calibration"))</f>
        <v>Supplier evaluation</v>
      </c>
    </row>
    <row r="117" spans="1:9" x14ac:dyDescent="0.35">
      <c r="A117" s="31">
        <v>200000562</v>
      </c>
      <c r="B117" s="31">
        <v>1010</v>
      </c>
      <c r="C117" s="31">
        <v>4112</v>
      </c>
      <c r="D117" s="29" t="s">
        <v>503</v>
      </c>
      <c r="E117" s="31">
        <v>63</v>
      </c>
      <c r="F117" s="34">
        <f ca="1">LOOKUP(C117,'QALS - Inspection Lot Record'!P:P,'QALS - Inspection Lot Record'!E:E)+RANDBETWEEN(0,1)</f>
        <v>45925</v>
      </c>
      <c r="G117" s="41" t="s">
        <v>498</v>
      </c>
      <c r="H117" s="34">
        <f t="shared" ca="1" si="1"/>
        <v>45927</v>
      </c>
      <c r="I117" s="29" t="str" cm="1">
        <f t="array" aca="1" ref="I117" ca="1">_xlfn.IFS(G117="Potency out of spec",CHOOSE(RANDBETWEEN(1,6),"Additional testing","Improve formulation","Update production SOP","Supplier evaluation","Training for operators","Equipment calibration"),
G117="PH Level out of range",CHOOSE(RANDBETWEEN(1,6),"PH monitoring","Adjust formulation","Update production SOP","Supplier evaluation","Training for operators","Equipment calibration"),
G117="Impurities out of limit",CHOOSE(RANDBETWEEN(1,6),"Improve purification","Raw material control","Update production SOP","Supplier evaluation","Training for operators","Equipment maintenance"),
G117="Process temp out of range",CHOOSE(RANDBETWEEN(1,6),"Temperature control","Update production SOP","Supplier evaluation","Training for operators",
"Equipment calibration","Preventive maintenance"),
G117="Dissolution rate low - 15 mins",CHOOSE(RANDBETWEEN(1,6),"Increase agitation","Reduce particle size","Update production SOP","Supplier evaluation",
"Training for operators","Equipment calibration"),
G117="Dissolution rate low - 30 mins",CHOOSE(RANDBETWEEN(1,6),"Increase disintegrant","Optimize granulation","Update production SOP","Supplier evaluation",
"Training for operators","Equipment calibration"),
G117="Dissolution rate low - 40 mins",CHOOSE(RANDBETWEEN(1,6),"Increase surface area","Optimize compression","Update production SOP","Supplier evaluation",
"Training for operators","Equipment calibration"),
G117="Dissolution rate high - 15 mins",CHOOSE(RANDBETWEEN(1,6),"Decrease agitation","Increase particle size","Update production SOP","Supplier evaluation","Training for operators","Equipment calibration"),
G117="Dissolution rate high - 30 mins",CHOOSE(RANDBETWEEN(1,6),"Decrease disintegrant","Optimize granulation","Update production SOP","Supplier evaluation","Training for operators","Equipment calibration"),
G117="Dissolution rate high - 40 mins",CHOOSE(RANDBETWEEN(1,6),"Decrease surface area","Optimize compression","Update production SOP","Supplier evaluation","Training for operators","Equipment calibration"))</f>
        <v>Increase particle size</v>
      </c>
    </row>
    <row r="118" spans="1:9" x14ac:dyDescent="0.35">
      <c r="A118" s="31">
        <v>200000562</v>
      </c>
      <c r="B118" s="31">
        <v>1010</v>
      </c>
      <c r="C118" s="31">
        <v>4112</v>
      </c>
      <c r="D118" s="29" t="s">
        <v>503</v>
      </c>
      <c r="E118" s="31">
        <v>21.8</v>
      </c>
      <c r="F118" s="34">
        <f ca="1">LOOKUP(C118,'QALS - Inspection Lot Record'!P:P,'QALS - Inspection Lot Record'!E:E)+RANDBETWEEN(0,1)</f>
        <v>45926</v>
      </c>
      <c r="G118" s="41" t="s">
        <v>483</v>
      </c>
      <c r="H118" s="34">
        <f t="shared" ca="1" si="1"/>
        <v>45928</v>
      </c>
      <c r="I118" s="29" t="str" cm="1">
        <f t="array" aca="1" ref="I118" ca="1">_xlfn.IFS(G118="Potency out of spec",CHOOSE(RANDBETWEEN(1,6),"Additional testing","Improve formulation","Update production SOP","Supplier evaluation","Training for operators","Equipment calibration"),
G118="PH Level out of range",CHOOSE(RANDBETWEEN(1,6),"PH monitoring","Adjust formulation","Update production SOP","Supplier evaluation","Training for operators","Equipment calibration"),
G118="Impurities out of limit",CHOOSE(RANDBETWEEN(1,6),"Improve purification","Raw material control","Update production SOP","Supplier evaluation","Training for operators","Equipment maintenance"),
G118="Process temp out of range",CHOOSE(RANDBETWEEN(1,6),"Temperature control","Update production SOP","Supplier evaluation","Training for operators",
"Equipment calibration","Preventive maintenance"),
G118="Dissolution rate low - 15 mins",CHOOSE(RANDBETWEEN(1,6),"Increase agitation","Reduce particle size","Update production SOP","Supplier evaluation",
"Training for operators","Equipment calibration"),
G118="Dissolution rate low - 30 mins",CHOOSE(RANDBETWEEN(1,6),"Increase disintegrant","Optimize granulation","Update production SOP","Supplier evaluation",
"Training for operators","Equipment calibration"),
G118="Dissolution rate low - 40 mins",CHOOSE(RANDBETWEEN(1,6),"Increase surface area","Optimize compression","Update production SOP","Supplier evaluation",
"Training for operators","Equipment calibration"),
G118="Dissolution rate high - 15 mins",CHOOSE(RANDBETWEEN(1,6),"Decrease agitation","Increase particle size","Update production SOP","Supplier evaluation","Training for operators","Equipment calibration"),
G118="Dissolution rate high - 30 mins",CHOOSE(RANDBETWEEN(1,6),"Decrease disintegrant","Optimize granulation","Update production SOP","Supplier evaluation","Training for operators","Equipment calibration"),
G118="Dissolution rate high - 40 mins",CHOOSE(RANDBETWEEN(1,6),"Decrease surface area","Optimize compression","Update production SOP","Supplier evaluation","Training for operators","Equipment calibration"))</f>
        <v>Supplier evaluation</v>
      </c>
    </row>
    <row r="119" spans="1:9" x14ac:dyDescent="0.35">
      <c r="A119" s="31">
        <v>200000563</v>
      </c>
      <c r="B119" s="31">
        <v>1010</v>
      </c>
      <c r="C119" s="31">
        <v>4115</v>
      </c>
      <c r="D119" s="29" t="s">
        <v>503</v>
      </c>
      <c r="E119" s="31">
        <v>93.1</v>
      </c>
      <c r="F119" s="34">
        <f ca="1">LOOKUP(C119,'QALS - Inspection Lot Record'!P:P,'QALS - Inspection Lot Record'!E:E)+RANDBETWEEN(0,1)</f>
        <v>45927</v>
      </c>
      <c r="G119" s="41" t="s">
        <v>472</v>
      </c>
      <c r="H119" s="34">
        <f t="shared" ca="1" si="1"/>
        <v>45929</v>
      </c>
      <c r="I119" s="29" t="str" cm="1">
        <f t="array" aca="1" ref="I119" ca="1">_xlfn.IFS(G119="Potency out of spec",CHOOSE(RANDBETWEEN(1,6),"Additional testing","Improve formulation","Update production SOP","Supplier evaluation","Training for operators","Equipment calibration"),
G119="PH Level out of range",CHOOSE(RANDBETWEEN(1,6),"PH monitoring","Adjust formulation","Update production SOP","Supplier evaluation","Training for operators","Equipment calibration"),
G119="Impurities out of limit",CHOOSE(RANDBETWEEN(1,6),"Improve purification","Raw material control","Update production SOP","Supplier evaluation","Training for operators","Equipment maintenance"),
G119="Process temp out of range",CHOOSE(RANDBETWEEN(1,6),"Temperature control","Update production SOP","Supplier evaluation","Training for operators",
"Equipment calibration","Preventive maintenance"),
G119="Dissolution rate low - 15 mins",CHOOSE(RANDBETWEEN(1,6),"Increase agitation","Reduce particle size","Update production SOP","Supplier evaluation",
"Training for operators","Equipment calibration"),
G119="Dissolution rate low - 30 mins",CHOOSE(RANDBETWEEN(1,6),"Increase disintegrant","Optimize granulation","Update production SOP","Supplier evaluation",
"Training for operators","Equipment calibration"),
G119="Dissolution rate low - 40 mins",CHOOSE(RANDBETWEEN(1,6),"Increase surface area","Optimize compression","Update production SOP","Supplier evaluation",
"Training for operators","Equipment calibration"),
G119="Dissolution rate high - 15 mins",CHOOSE(RANDBETWEEN(1,6),"Decrease agitation","Increase particle size","Update production SOP","Supplier evaluation","Training for operators","Equipment calibration"),
G119="Dissolution rate high - 30 mins",CHOOSE(RANDBETWEEN(1,6),"Decrease disintegrant","Optimize granulation","Update production SOP","Supplier evaluation","Training for operators","Equipment calibration"),
G119="Dissolution rate high - 40 mins",CHOOSE(RANDBETWEEN(1,6),"Decrease surface area","Optimize compression","Update production SOP","Supplier evaluation","Training for operators","Equipment calibration"))</f>
        <v>Supplier evaluation</v>
      </c>
    </row>
    <row r="120" spans="1:9" x14ac:dyDescent="0.35">
      <c r="A120" s="31">
        <v>200000563</v>
      </c>
      <c r="B120" s="31">
        <v>1010</v>
      </c>
      <c r="C120" s="31">
        <v>4115</v>
      </c>
      <c r="D120" s="29" t="s">
        <v>503</v>
      </c>
      <c r="E120" s="31">
        <v>1.8</v>
      </c>
      <c r="F120" s="34">
        <f ca="1">LOOKUP(C120,'QALS - Inspection Lot Record'!P:P,'QALS - Inspection Lot Record'!E:E)+RANDBETWEEN(0,1)</f>
        <v>45928</v>
      </c>
      <c r="G120" s="41" t="s">
        <v>474</v>
      </c>
      <c r="H120" s="34">
        <f t="shared" ca="1" si="1"/>
        <v>45928</v>
      </c>
      <c r="I120" s="29" t="str" cm="1">
        <f t="array" aca="1" ref="I120" ca="1">_xlfn.IFS(G120="Potency out of spec",CHOOSE(RANDBETWEEN(1,6),"Additional testing","Improve formulation","Update production SOP","Supplier evaluation","Training for operators","Equipment calibration"),
G120="PH Level out of range",CHOOSE(RANDBETWEEN(1,6),"PH monitoring","Adjust formulation","Update production SOP","Supplier evaluation","Training for operators","Equipment calibration"),
G120="Impurities out of limit",CHOOSE(RANDBETWEEN(1,6),"Improve purification","Raw material control","Update production SOP","Supplier evaluation","Training for operators","Equipment maintenance"),
G120="Process temp out of range",CHOOSE(RANDBETWEEN(1,6),"Temperature control","Update production SOP","Supplier evaluation","Training for operators",
"Equipment calibration","Preventive maintenance"),
G120="Dissolution rate low - 15 mins",CHOOSE(RANDBETWEEN(1,6),"Increase agitation","Reduce particle size","Update production SOP","Supplier evaluation",
"Training for operators","Equipment calibration"),
G120="Dissolution rate low - 30 mins",CHOOSE(RANDBETWEEN(1,6),"Increase disintegrant","Optimize granulation","Update production SOP","Supplier evaluation",
"Training for operators","Equipment calibration"),
G120="Dissolution rate low - 40 mins",CHOOSE(RANDBETWEEN(1,6),"Increase surface area","Optimize compression","Update production SOP","Supplier evaluation",
"Training for operators","Equipment calibration"),
G120="Dissolution rate high - 15 mins",CHOOSE(RANDBETWEEN(1,6),"Decrease agitation","Increase particle size","Update production SOP","Supplier evaluation","Training for operators","Equipment calibration"),
G120="Dissolution rate high - 30 mins",CHOOSE(RANDBETWEEN(1,6),"Decrease disintegrant","Optimize granulation","Update production SOP","Supplier evaluation","Training for operators","Equipment calibration"),
G120="Dissolution rate high - 40 mins",CHOOSE(RANDBETWEEN(1,6),"Decrease surface area","Optimize compression","Update production SOP","Supplier evaluation","Training for operators","Equipment calibration"))</f>
        <v>PH monitoring</v>
      </c>
    </row>
    <row r="121" spans="1:9" x14ac:dyDescent="0.35">
      <c r="A121" s="31">
        <v>200000563</v>
      </c>
      <c r="B121" s="31">
        <v>1010</v>
      </c>
      <c r="C121" s="31">
        <v>4115</v>
      </c>
      <c r="D121" s="29" t="s">
        <v>503</v>
      </c>
      <c r="E121" s="31">
        <v>78.3</v>
      </c>
      <c r="F121" s="34">
        <f ca="1">LOOKUP(C121,'QALS - Inspection Lot Record'!P:P,'QALS - Inspection Lot Record'!E:E)+RANDBETWEEN(0,1)</f>
        <v>45928</v>
      </c>
      <c r="G121" s="41" t="s">
        <v>486</v>
      </c>
      <c r="H121" s="34">
        <f t="shared" ca="1" si="1"/>
        <v>45930</v>
      </c>
      <c r="I121" s="29" t="str" cm="1">
        <f t="array" aca="1" ref="I121" ca="1">_xlfn.IFS(G121="Potency out of spec",CHOOSE(RANDBETWEEN(1,6),"Additional testing","Improve formulation","Update production SOP","Supplier evaluation","Training for operators","Equipment calibration"),
G121="PH Level out of range",CHOOSE(RANDBETWEEN(1,6),"PH monitoring","Adjust formulation","Update production SOP","Supplier evaluation","Training for operators","Equipment calibration"),
G121="Impurities out of limit",CHOOSE(RANDBETWEEN(1,6),"Improve purification","Raw material control","Update production SOP","Supplier evaluation","Training for operators","Equipment maintenance"),
G121="Process temp out of range",CHOOSE(RANDBETWEEN(1,6),"Temperature control","Update production SOP","Supplier evaluation","Training for operators",
"Equipment calibration","Preventive maintenance"),
G121="Dissolution rate low - 15 mins",CHOOSE(RANDBETWEEN(1,6),"Increase agitation","Reduce particle size","Update production SOP","Supplier evaluation",
"Training for operators","Equipment calibration"),
G121="Dissolution rate low - 30 mins",CHOOSE(RANDBETWEEN(1,6),"Increase disintegrant","Optimize granulation","Update production SOP","Supplier evaluation",
"Training for operators","Equipment calibration"),
G121="Dissolution rate low - 40 mins",CHOOSE(RANDBETWEEN(1,6),"Increase surface area","Optimize compression","Update production SOP","Supplier evaluation",
"Training for operators","Equipment calibration"),
G121="Dissolution rate high - 15 mins",CHOOSE(RANDBETWEEN(1,6),"Decrease agitation","Increase particle size","Update production SOP","Supplier evaluation","Training for operators","Equipment calibration"),
G121="Dissolution rate high - 30 mins",CHOOSE(RANDBETWEEN(1,6),"Decrease disintegrant","Optimize granulation","Update production SOP","Supplier evaluation","Training for operators","Equipment calibration"),
G121="Dissolution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22" spans="1:9" x14ac:dyDescent="0.35">
      <c r="A122" s="31">
        <v>200000564</v>
      </c>
      <c r="B122" s="31">
        <v>1010</v>
      </c>
      <c r="C122" s="31">
        <v>4116</v>
      </c>
      <c r="D122" s="29" t="s">
        <v>429</v>
      </c>
      <c r="E122" s="31">
        <v>2</v>
      </c>
      <c r="F122" s="34">
        <f ca="1">LOOKUP(C122,'QALS - Inspection Lot Record'!P:P,'QALS - Inspection Lot Record'!E:E)+RANDBETWEEN(0,1)</f>
        <v>45928</v>
      </c>
      <c r="G122" s="41" t="s">
        <v>474</v>
      </c>
      <c r="H122" s="34">
        <f t="shared" ca="1" si="1"/>
        <v>45928</v>
      </c>
      <c r="I122" s="29" t="str" cm="1">
        <f t="array" aca="1" ref="I122" ca="1">_xlfn.IFS(G122="Potency out of spec",CHOOSE(RANDBETWEEN(1,6),"Additional testing","Improve formulation","Update production SOP","Supplier evaluation","Training for operators","Equipment calibration"),
G122="PH Level out of range",CHOOSE(RANDBETWEEN(1,6),"PH monitoring","Adjust formulation","Update production SOP","Supplier evaluation","Training for operators","Equipment calibration"),
G122="Impurities out of limit",CHOOSE(RANDBETWEEN(1,6),"Improve purification","Raw material control","Update production SOP","Supplier evaluation","Training for operators","Equipment maintenance"),
G122="Process temp out of range",CHOOSE(RANDBETWEEN(1,6),"Temperature control","Update production SOP","Supplier evaluation","Training for operators",
"Equipment calibration","Preventive maintenance"),
G122="Dissolution rate low - 15 mins",CHOOSE(RANDBETWEEN(1,6),"Increase agitation","Reduce particle size","Update production SOP","Supplier evaluation",
"Training for operators","Equipment calibration"),
G122="Dissolution rate low - 30 mins",CHOOSE(RANDBETWEEN(1,6),"Increase disintegrant","Optimize granulation","Update production SOP","Supplier evaluation",
"Training for operators","Equipment calibration"),
G122="Dissolution rate low - 40 mins",CHOOSE(RANDBETWEEN(1,6),"Increase surface area","Optimize compression","Update production SOP","Supplier evaluation",
"Training for operators","Equipment calibration"),
G122="Dissolution rate high - 15 mins",CHOOSE(RANDBETWEEN(1,6),"Decrease agitation","Increase particle size","Update production SOP","Supplier evaluation","Training for operators","Equipment calibration"),
G122="Dissolution rate high - 30 mins",CHOOSE(RANDBETWEEN(1,6),"Decrease disintegrant","Optimize granulation","Update production SOP","Supplier evaluation","Training for operators","Equipment calibration"),
G122="Dissolution rate high - 40 mins",CHOOSE(RANDBETWEEN(1,6),"Decrease surface area","Optimize compression","Update production SOP","Supplier evaluation","Training for operators","Equipment calibration"))</f>
        <v>Update production SOP</v>
      </c>
    </row>
    <row r="123" spans="1:9" x14ac:dyDescent="0.35">
      <c r="A123" s="31">
        <v>200000564</v>
      </c>
      <c r="B123" s="31">
        <v>1010</v>
      </c>
      <c r="C123" s="31">
        <v>4116</v>
      </c>
      <c r="D123" s="29" t="s">
        <v>429</v>
      </c>
      <c r="E123" s="31">
        <v>78.7</v>
      </c>
      <c r="F123" s="34">
        <f ca="1">LOOKUP(C123,'QALS - Inspection Lot Record'!P:P,'QALS - Inspection Lot Record'!E:E)+RANDBETWEEN(0,1)</f>
        <v>45927</v>
      </c>
      <c r="G123" s="41" t="s">
        <v>486</v>
      </c>
      <c r="H123" s="34">
        <f t="shared" ca="1" si="1"/>
        <v>45929</v>
      </c>
      <c r="I123" s="29" t="str" cm="1">
        <f t="array" aca="1" ref="I123" ca="1">_xlfn.IFS(G123="Potency out of spec",CHOOSE(RANDBETWEEN(1,6),"Additional testing","Improve formulation","Update production SOP","Supplier evaluation","Training for operators","Equipment calibration"),
G123="PH Level out of range",CHOOSE(RANDBETWEEN(1,6),"PH monitoring","Adjust formulation","Update production SOP","Supplier evaluation","Training for operators","Equipment calibration"),
G123="Impurities out of limit",CHOOSE(RANDBETWEEN(1,6),"Improve purification","Raw material control","Update production SOP","Supplier evaluation","Training for operators","Equipment maintenance"),
G123="Process temp out of range",CHOOSE(RANDBETWEEN(1,6),"Temperature control","Update production SOP","Supplier evaluation","Training for operators",
"Equipment calibration","Preventive maintenance"),
G123="Dissolution rate low - 15 mins",CHOOSE(RANDBETWEEN(1,6),"Increase agitation","Reduce particle size","Update production SOP","Supplier evaluation",
"Training for operators","Equipment calibration"),
G123="Dissolution rate low - 30 mins",CHOOSE(RANDBETWEEN(1,6),"Increase disintegrant","Optimize granulation","Update production SOP","Supplier evaluation",
"Training for operators","Equipment calibration"),
G123="Dissolution rate low - 40 mins",CHOOSE(RANDBETWEEN(1,6),"Increase surface area","Optimize compression","Update production SOP","Supplier evaluation",
"Training for operators","Equipment calibration"),
G123="Dissolution rate high - 15 mins",CHOOSE(RANDBETWEEN(1,6),"Decrease agitation","Increase particle size","Update production SOP","Supplier evaluation","Training for operators","Equipment calibration"),
G123="Dissolution rate high - 30 mins",CHOOSE(RANDBETWEEN(1,6),"Decrease disintegrant","Optimize granulation","Update production SOP","Supplier evaluation","Training for operators","Equipment calibration"),
G123="Dissolution rate high - 40 mins",CHOOSE(RANDBETWEEN(1,6),"Decrease surface area","Optimize compression","Update production SOP","Supplier evaluation","Training for operators","Equipment calibration"))</f>
        <v>Equipment calibration</v>
      </c>
    </row>
    <row r="124" spans="1:9" x14ac:dyDescent="0.35">
      <c r="A124" s="31">
        <v>200000564</v>
      </c>
      <c r="B124" s="31">
        <v>1010</v>
      </c>
      <c r="C124" s="31">
        <v>4116</v>
      </c>
      <c r="D124" s="29" t="s">
        <v>429</v>
      </c>
      <c r="E124" s="31">
        <v>21.5</v>
      </c>
      <c r="F124" s="34">
        <f ca="1">LOOKUP(C124,'QALS - Inspection Lot Record'!P:P,'QALS - Inspection Lot Record'!E:E)+RANDBETWEEN(0,1)</f>
        <v>45928</v>
      </c>
      <c r="G124" s="41" t="s">
        <v>483</v>
      </c>
      <c r="H124" s="34">
        <f t="shared" ca="1" si="1"/>
        <v>45928</v>
      </c>
      <c r="I124" s="29" t="str" cm="1">
        <f t="array" aca="1" ref="I124" ca="1">_xlfn.IFS(G124="Potency out of spec",CHOOSE(RANDBETWEEN(1,6),"Additional testing","Improve formulation","Update production SOP","Supplier evaluation","Training for operators","Equipment calibration"),
G124="PH Level out of range",CHOOSE(RANDBETWEEN(1,6),"PH monitoring","Adjust formulation","Update production SOP","Supplier evaluation","Training for operators","Equipment calibration"),
G124="Impurities out of limit",CHOOSE(RANDBETWEEN(1,6),"Improve purification","Raw material control","Update production SOP","Supplier evaluation","Training for operators","Equipment maintenance"),
G124="Process temp out of range",CHOOSE(RANDBETWEEN(1,6),"Temperature control","Update production SOP","Supplier evaluation","Training for operators",
"Equipment calibration","Preventive maintenance"),
G124="Dissolution rate low - 15 mins",CHOOSE(RANDBETWEEN(1,6),"Increase agitation","Reduce particle size","Update production SOP","Supplier evaluation",
"Training for operators","Equipment calibration"),
G124="Dissolution rate low - 30 mins",CHOOSE(RANDBETWEEN(1,6),"Increase disintegrant","Optimize granulation","Update production SOP","Supplier evaluation",
"Training for operators","Equipment calibration"),
G124="Dissolution rate low - 40 mins",CHOOSE(RANDBETWEEN(1,6),"Increase surface area","Optimize compression","Update production SOP","Supplier evaluation",
"Training for operators","Equipment calibration"),
G124="Dissolution rate high - 15 mins",CHOOSE(RANDBETWEEN(1,6),"Decrease agitation","Increase particle size","Update production SOP","Supplier evaluation","Training for operators","Equipment calibration"),
G124="Dissolution rate high - 30 mins",CHOOSE(RANDBETWEEN(1,6),"Decrease disintegrant","Optimize granulation","Update production SOP","Supplier evaluation","Training for operators","Equipment calibration"),
G124="Dissolution rate high - 40 mins",CHOOSE(RANDBETWEEN(1,6),"Decrease surface area","Optimize compression","Update production SOP","Supplier evaluation","Training for operators","Equipment calibration"))</f>
        <v>Preventive maintenance</v>
      </c>
    </row>
    <row r="125" spans="1:9" x14ac:dyDescent="0.35">
      <c r="A125" s="31">
        <v>200000565</v>
      </c>
      <c r="B125" s="31">
        <v>1010</v>
      </c>
      <c r="C125" s="31">
        <v>4119</v>
      </c>
      <c r="D125" s="29" t="s">
        <v>503</v>
      </c>
      <c r="E125" s="31">
        <v>93.2</v>
      </c>
      <c r="F125" s="34">
        <f ca="1">LOOKUP(C125,'QALS - Inspection Lot Record'!P:P,'QALS - Inspection Lot Record'!E:E)+RANDBETWEEN(0,1)</f>
        <v>45930</v>
      </c>
      <c r="G125" s="41" t="s">
        <v>472</v>
      </c>
      <c r="H125" s="34">
        <f t="shared" ca="1" si="1"/>
        <v>45932</v>
      </c>
      <c r="I125" s="29" t="str" cm="1">
        <f t="array" aca="1" ref="I125" ca="1">_xlfn.IFS(G125="Potency out of spec",CHOOSE(RANDBETWEEN(1,6),"Additional testing","Improve formulation","Update production SOP","Supplier evaluation","Training for operators","Equipment calibration"),
G125="PH Level out of range",CHOOSE(RANDBETWEEN(1,6),"PH monitoring","Adjust formulation","Update production SOP","Supplier evaluation","Training for operators","Equipment calibration"),
G125="Impurities out of limit",CHOOSE(RANDBETWEEN(1,6),"Improve purification","Raw material control","Update production SOP","Supplier evaluation","Training for operators","Equipment maintenance"),
G125="Process temp out of range",CHOOSE(RANDBETWEEN(1,6),"Temperature control","Update production SOP","Supplier evaluation","Training for operators",
"Equipment calibration","Preventive maintenance"),
G125="Dissolution rate low - 15 mins",CHOOSE(RANDBETWEEN(1,6),"Increase agitation","Reduce particle size","Update production SOP","Supplier evaluation",
"Training for operators","Equipment calibration"),
G125="Dissolution rate low - 30 mins",CHOOSE(RANDBETWEEN(1,6),"Increase disintegrant","Optimize granulation","Update production SOP","Supplier evaluation",
"Training for operators","Equipment calibration"),
G125="Dissolution rate low - 40 mins",CHOOSE(RANDBETWEEN(1,6),"Increase surface area","Optimize compression","Update production SOP","Supplier evaluation",
"Training for operators","Equipment calibration"),
G125="Dissolution rate high - 15 mins",CHOOSE(RANDBETWEEN(1,6),"Decrease agitation","Increase particle size","Update production SOP","Supplier evaluation","Training for operators","Equipment calibration"),
G125="Dissolution rate high - 30 mins",CHOOSE(RANDBETWEEN(1,6),"Decrease disintegrant","Optimize granulation","Update production SOP","Supplier evaluation","Training for operators","Equipment calibration"),
G125="Dissolution rate high - 40 mins",CHOOSE(RANDBETWEEN(1,6),"Decrease surface area","Optimize compression","Update production SOP","Supplier evaluation","Training for operators","Equipment calibration"))</f>
        <v>Update production SOP</v>
      </c>
    </row>
    <row r="126" spans="1:9" x14ac:dyDescent="0.35">
      <c r="A126" s="31">
        <v>200000566</v>
      </c>
      <c r="B126" s="31">
        <v>1010</v>
      </c>
      <c r="C126" s="31">
        <v>4121</v>
      </c>
      <c r="D126" s="29" t="s">
        <v>504</v>
      </c>
      <c r="E126" s="31">
        <v>93.5</v>
      </c>
      <c r="F126" s="34">
        <f ca="1">LOOKUP(C126,'QALS - Inspection Lot Record'!P:P,'QALS - Inspection Lot Record'!E:E)+RANDBETWEEN(0,1)</f>
        <v>45931</v>
      </c>
      <c r="G126" s="41" t="s">
        <v>472</v>
      </c>
      <c r="H126" s="34">
        <f t="shared" ca="1" si="1"/>
        <v>45933</v>
      </c>
      <c r="I126" s="29" t="str" cm="1">
        <f t="array" aca="1" ref="I126" ca="1">_xlfn.IFS(G126="Potency out of spec",CHOOSE(RANDBETWEEN(1,6),"Additional testing","Improve formulation","Update production SOP","Supplier evaluation","Training for operators","Equipment calibration"),
G126="PH Level out of range",CHOOSE(RANDBETWEEN(1,6),"PH monitoring","Adjust formulation","Update production SOP","Supplier evaluation","Training for operators","Equipment calibration"),
G126="Impurities out of limit",CHOOSE(RANDBETWEEN(1,6),"Improve purification","Raw material control","Update production SOP","Supplier evaluation","Training for operators","Equipment maintenance"),
G126="Process temp out of range",CHOOSE(RANDBETWEEN(1,6),"Temperature control","Update production SOP","Supplier evaluation","Training for operators",
"Equipment calibration","Preventive maintenance"),
G126="Dissolution rate low - 15 mins",CHOOSE(RANDBETWEEN(1,6),"Increase agitation","Reduce particle size","Update production SOP","Supplier evaluation",
"Training for operators","Equipment calibration"),
G126="Dissolution rate low - 30 mins",CHOOSE(RANDBETWEEN(1,6),"Increase disintegrant","Optimize granulation","Update production SOP","Supplier evaluation",
"Training for operators","Equipment calibration"),
G126="Dissolution rate low - 40 mins",CHOOSE(RANDBETWEEN(1,6),"Increase surface area","Optimize compression","Update production SOP","Supplier evaluation",
"Training for operators","Equipment calibration"),
G126="Dissolution rate high - 15 mins",CHOOSE(RANDBETWEEN(1,6),"Decrease agitation","Increase particle size","Update production SOP","Supplier evaluation","Training for operators","Equipment calibration"),
G126="Dissolution rate high - 30 mins",CHOOSE(RANDBETWEEN(1,6),"Decrease disintegrant","Optimize granulation","Update production SOP","Supplier evaluation","Training for operators","Equipment calibration"),
G126="Dissolution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27" spans="1:9" x14ac:dyDescent="0.35">
      <c r="A127" s="31">
        <v>200000566</v>
      </c>
      <c r="B127" s="31">
        <v>1010</v>
      </c>
      <c r="C127" s="31">
        <v>4121</v>
      </c>
      <c r="D127" s="29" t="s">
        <v>504</v>
      </c>
      <c r="E127" s="31">
        <v>3</v>
      </c>
      <c r="F127" s="34">
        <f ca="1">LOOKUP(C127,'QALS - Inspection Lot Record'!P:P,'QALS - Inspection Lot Record'!E:E)+RANDBETWEEN(0,1)</f>
        <v>45930</v>
      </c>
      <c r="G127" s="41" t="s">
        <v>476</v>
      </c>
      <c r="H127" s="34">
        <f t="shared" ca="1" si="1"/>
        <v>45931</v>
      </c>
      <c r="I127" s="29" t="str" cm="1">
        <f t="array" aca="1" ref="I127" ca="1">_xlfn.IFS(G127="Potency out of spec",CHOOSE(RANDBETWEEN(1,6),"Additional testing","Improve formulation","Update production SOP","Supplier evaluation","Training for operators","Equipment calibration"),
G127="PH Level out of range",CHOOSE(RANDBETWEEN(1,6),"PH monitoring","Adjust formulation","Update production SOP","Supplier evaluation","Training for operators","Equipment calibration"),
G127="Impurities out of limit",CHOOSE(RANDBETWEEN(1,6),"Improve purification","Raw material control","Update production SOP","Supplier evaluation","Training for operators","Equipment maintenance"),
G127="Process temp out of range",CHOOSE(RANDBETWEEN(1,6),"Temperature control","Update production SOP","Supplier evaluation","Training for operators",
"Equipment calibration","Preventive maintenance"),
G127="Dissolution rate low - 15 mins",CHOOSE(RANDBETWEEN(1,6),"Increase agitation","Reduce particle size","Update production SOP","Supplier evaluation",
"Training for operators","Equipment calibration"),
G127="Dissolution rate low - 30 mins",CHOOSE(RANDBETWEEN(1,6),"Increase disintegrant","Optimize granulation","Update production SOP","Supplier evaluation",
"Training for operators","Equipment calibration"),
G127="Dissolution rate low - 40 mins",CHOOSE(RANDBETWEEN(1,6),"Increase surface area","Optimize compression","Update production SOP","Supplier evaluation",
"Training for operators","Equipment calibration"),
G127="Dissolution rate high - 15 mins",CHOOSE(RANDBETWEEN(1,6),"Decrease agitation","Increase particle size","Update production SOP","Supplier evaluation","Training for operators","Equipment calibration"),
G127="Dissolution rate high - 30 mins",CHOOSE(RANDBETWEEN(1,6),"Decrease disintegrant","Optimize granulation","Update production SOP","Supplier evaluation","Training for operators","Equipment calibration"),
G127="Dissolution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28" spans="1:9" x14ac:dyDescent="0.35">
      <c r="A128" s="31">
        <v>200000566</v>
      </c>
      <c r="B128" s="31">
        <v>1010</v>
      </c>
      <c r="C128" s="31">
        <v>4121</v>
      </c>
      <c r="D128" s="29" t="s">
        <v>504</v>
      </c>
      <c r="E128" s="31">
        <v>38.700000000000003</v>
      </c>
      <c r="F128" s="34">
        <f ca="1">LOOKUP(C128,'QALS - Inspection Lot Record'!P:P,'QALS - Inspection Lot Record'!E:E)+RANDBETWEEN(0,1)</f>
        <v>45930</v>
      </c>
      <c r="G128" s="41" t="s">
        <v>478</v>
      </c>
      <c r="H128" s="34">
        <f t="shared" ca="1" si="1"/>
        <v>45932</v>
      </c>
      <c r="I128" s="29" t="str" cm="1">
        <f t="array" aca="1" ref="I128" ca="1">_xlfn.IFS(G128="Potency out of spec",CHOOSE(RANDBETWEEN(1,6),"Additional testing","Improve formulation","Update production SOP","Supplier evaluation","Training for operators","Equipment calibration"),
G128="PH Level out of range",CHOOSE(RANDBETWEEN(1,6),"PH monitoring","Adjust formulation","Update production SOP","Supplier evaluation","Training for operators","Equipment calibration"),
G128="Impurities out of limit",CHOOSE(RANDBETWEEN(1,6),"Improve purification","Raw material control","Update production SOP","Supplier evaluation","Training for operators","Equipment maintenance"),
G128="Process temp out of range",CHOOSE(RANDBETWEEN(1,6),"Temperature control","Update production SOP","Supplier evaluation","Training for operators",
"Equipment calibration","Preventive maintenance"),
G128="Dissolution rate low - 15 mins",CHOOSE(RANDBETWEEN(1,6),"Increase agitation","Reduce particle size","Update production SOP","Supplier evaluation",
"Training for operators","Equipment calibration"),
G128="Dissolution rate low - 30 mins",CHOOSE(RANDBETWEEN(1,6),"Increase disintegrant","Optimize granulation","Update production SOP","Supplier evaluation",
"Training for operators","Equipment calibration"),
G128="Dissolution rate low - 40 mins",CHOOSE(RANDBETWEEN(1,6),"Increase surface area","Optimize compression","Update production SOP","Supplier evaluation",
"Training for operators","Equipment calibration"),
G128="Dissolution rate high - 15 mins",CHOOSE(RANDBETWEEN(1,6),"Decrease agitation","Increase particle size","Update production SOP","Supplier evaluation","Training for operators","Equipment calibration"),
G128="Dissolution rate high - 30 mins",CHOOSE(RANDBETWEEN(1,6),"Decrease disintegrant","Optimize granulation","Update production SOP","Supplier evaluation","Training for operators","Equipment calibration"),
G128="Dissolution rate high - 40 mins",CHOOSE(RANDBETWEEN(1,6),"Decrease surface area","Optimize compression","Update production SOP","Supplier evaluation","Training for operators","Equipment calibration"))</f>
        <v>Reduce particle size</v>
      </c>
    </row>
    <row r="129" spans="1:9" x14ac:dyDescent="0.35">
      <c r="A129" s="31">
        <v>200000566</v>
      </c>
      <c r="B129" s="31">
        <v>1010</v>
      </c>
      <c r="C129" s="31">
        <v>4121</v>
      </c>
      <c r="D129" s="29" t="s">
        <v>504</v>
      </c>
      <c r="E129" s="31">
        <v>21.9</v>
      </c>
      <c r="F129" s="34">
        <f ca="1">LOOKUP(C129,'QALS - Inspection Lot Record'!P:P,'QALS - Inspection Lot Record'!E:E)+RANDBETWEEN(0,1)</f>
        <v>45930</v>
      </c>
      <c r="G129" s="41" t="s">
        <v>483</v>
      </c>
      <c r="H129" s="34">
        <f t="shared" ca="1" si="1"/>
        <v>45931</v>
      </c>
      <c r="I129" s="29" t="str" cm="1">
        <f t="array" aca="1" ref="I129" ca="1">_xlfn.IFS(G129="Potency out of spec",CHOOSE(RANDBETWEEN(1,6),"Additional testing","Improve formulation","Update production SOP","Supplier evaluation","Training for operators","Equipment calibration"),
G129="PH Level out of range",CHOOSE(RANDBETWEEN(1,6),"PH monitoring","Adjust formulation","Update production SOP","Supplier evaluation","Training for operators","Equipment calibration"),
G129="Impurities out of limit",CHOOSE(RANDBETWEEN(1,6),"Improve purification","Raw material control","Update production SOP","Supplier evaluation","Training for operators","Equipment maintenance"),
G129="Process temp out of range",CHOOSE(RANDBETWEEN(1,6),"Temperature control","Update production SOP","Supplier evaluation","Training for operators",
"Equipment calibration","Preventive maintenance"),
G129="Dissolution rate low - 15 mins",CHOOSE(RANDBETWEEN(1,6),"Increase agitation","Reduce particle size","Update production SOP","Supplier evaluation",
"Training for operators","Equipment calibration"),
G129="Dissolution rate low - 30 mins",CHOOSE(RANDBETWEEN(1,6),"Increase disintegrant","Optimize granulation","Update production SOP","Supplier evaluation",
"Training for operators","Equipment calibration"),
G129="Dissolution rate low - 40 mins",CHOOSE(RANDBETWEEN(1,6),"Increase surface area","Optimize compression","Update production SOP","Supplier evaluation",
"Training for operators","Equipment calibration"),
G129="Dissolution rate high - 15 mins",CHOOSE(RANDBETWEEN(1,6),"Decrease agitation","Increase particle size","Update production SOP","Supplier evaluation","Training for operators","Equipment calibration"),
G129="Dissolution rate high - 30 mins",CHOOSE(RANDBETWEEN(1,6),"Decrease disintegrant","Optimize granulation","Update production SOP","Supplier evaluation","Training for operators","Equipment calibration"),
G129="Dissolution rate high - 40 mins",CHOOSE(RANDBETWEEN(1,6),"Decrease surface area","Optimize compression","Update production SOP","Supplier evaluation","Training for operators","Equipment calibration"))</f>
        <v>Preventive maintenance</v>
      </c>
    </row>
    <row r="130" spans="1:9" x14ac:dyDescent="0.35">
      <c r="A130" s="31">
        <v>200000567</v>
      </c>
      <c r="B130" s="31">
        <v>1010</v>
      </c>
      <c r="C130" s="31">
        <v>4122</v>
      </c>
      <c r="D130" s="29" t="s">
        <v>429</v>
      </c>
      <c r="E130" s="31">
        <v>93.8</v>
      </c>
      <c r="F130" s="34">
        <f ca="1">LOOKUP(C130,'QALS - Inspection Lot Record'!P:P,'QALS - Inspection Lot Record'!E:E)+RANDBETWEEN(0,1)</f>
        <v>45930</v>
      </c>
      <c r="G130" s="41" t="s">
        <v>472</v>
      </c>
      <c r="H130" s="34">
        <f t="shared" ref="H130:H193" ca="1" si="2">IF(TODAY()&gt;=F130+RANDBETWEEN(0,2), F130+RANDBETWEEN(0,2),"")</f>
        <v>45932</v>
      </c>
      <c r="I130" s="29" t="str" cm="1">
        <f t="array" aca="1" ref="I130" ca="1">_xlfn.IFS(G130="Potency out of spec",CHOOSE(RANDBETWEEN(1,6),"Additional testing","Improve formulation","Update production SOP","Supplier evaluation","Training for operators","Equipment calibration"),
G130="PH Level out of range",CHOOSE(RANDBETWEEN(1,6),"PH monitoring","Adjust formulation","Update production SOP","Supplier evaluation","Training for operators","Equipment calibration"),
G130="Impurities out of limit",CHOOSE(RANDBETWEEN(1,6),"Improve purification","Raw material control","Update production SOP","Supplier evaluation","Training for operators","Equipment maintenance"),
G130="Process temp out of range",CHOOSE(RANDBETWEEN(1,6),"Temperature control","Update production SOP","Supplier evaluation","Training for operators",
"Equipment calibration","Preventive maintenance"),
G130="Dissolution rate low - 15 mins",CHOOSE(RANDBETWEEN(1,6),"Increase agitation","Reduce particle size","Update production SOP","Supplier evaluation",
"Training for operators","Equipment calibration"),
G130="Dissolution rate low - 30 mins",CHOOSE(RANDBETWEEN(1,6),"Increase disintegrant","Optimize granulation","Update production SOP","Supplier evaluation",
"Training for operators","Equipment calibration"),
G130="Dissolution rate low - 40 mins",CHOOSE(RANDBETWEEN(1,6),"Increase surface area","Optimize compression","Update production SOP","Supplier evaluation",
"Training for operators","Equipment calibration"),
G130="Dissolution rate high - 15 mins",CHOOSE(RANDBETWEEN(1,6),"Decrease agitation","Increase particle size","Update production SOP","Supplier evaluation","Training for operators","Equipment calibration"),
G130="Dissolution rate high - 30 mins",CHOOSE(RANDBETWEEN(1,6),"Decrease disintegrant","Optimize granulation","Update production SOP","Supplier evaluation","Training for operators","Equipment calibration"),
G130="Dissolution rate high - 40 mins",CHOOSE(RANDBETWEEN(1,6),"Decrease surface area","Optimize compression","Update production SOP","Supplier evaluation","Training for operators","Equipment calibration"))</f>
        <v>Update production SOP</v>
      </c>
    </row>
    <row r="131" spans="1:9" x14ac:dyDescent="0.35">
      <c r="A131" s="31">
        <v>200000567</v>
      </c>
      <c r="B131" s="31">
        <v>1010</v>
      </c>
      <c r="C131" s="31">
        <v>4122</v>
      </c>
      <c r="D131" s="29" t="s">
        <v>429</v>
      </c>
      <c r="E131" s="31">
        <v>2.4</v>
      </c>
      <c r="F131" s="34">
        <f ca="1">LOOKUP(C131,'QALS - Inspection Lot Record'!P:P,'QALS - Inspection Lot Record'!E:E)+RANDBETWEEN(0,1)</f>
        <v>45931</v>
      </c>
      <c r="G131" s="41" t="s">
        <v>474</v>
      </c>
      <c r="H131" s="34">
        <f t="shared" ca="1" si="2"/>
        <v>45931</v>
      </c>
      <c r="I131" s="29" t="str" cm="1">
        <f t="array" aca="1" ref="I131" ca="1">_xlfn.IFS(G131="Potency out of spec",CHOOSE(RANDBETWEEN(1,6),"Additional testing","Improve formulation","Update production SOP","Supplier evaluation","Training for operators","Equipment calibration"),
G131="PH Level out of range",CHOOSE(RANDBETWEEN(1,6),"PH monitoring","Adjust formulation","Update production SOP","Supplier evaluation","Training for operators","Equipment calibration"),
G131="Impurities out of limit",CHOOSE(RANDBETWEEN(1,6),"Improve purification","Raw material control","Update production SOP","Supplier evaluation","Training for operators","Equipment maintenance"),
G131="Process temp out of range",CHOOSE(RANDBETWEEN(1,6),"Temperature control","Update production SOP","Supplier evaluation","Training for operators",
"Equipment calibration","Preventive maintenance"),
G131="Dissolution rate low - 15 mins",CHOOSE(RANDBETWEEN(1,6),"Increase agitation","Reduce particle size","Update production SOP","Supplier evaluation",
"Training for operators","Equipment calibration"),
G131="Dissolution rate low - 30 mins",CHOOSE(RANDBETWEEN(1,6),"Increase disintegrant","Optimize granulation","Update production SOP","Supplier evaluation",
"Training for operators","Equipment calibration"),
G131="Dissolution rate low - 40 mins",CHOOSE(RANDBETWEEN(1,6),"Increase surface area","Optimize compression","Update production SOP","Supplier evaluation",
"Training for operators","Equipment calibration"),
G131="Dissolution rate high - 15 mins",CHOOSE(RANDBETWEEN(1,6),"Decrease agitation","Increase particle size","Update production SOP","Supplier evaluation","Training for operators","Equipment calibration"),
G131="Dissolution rate high - 30 mins",CHOOSE(RANDBETWEEN(1,6),"Decrease disintegrant","Optimize granulation","Update production SOP","Supplier evaluation","Training for operators","Equipment calibration"),
G131="Dissolution rate high - 40 mins",CHOOSE(RANDBETWEEN(1,6),"Decrease surface area","Optimize compression","Update production SOP","Supplier evaluation","Training for operators","Equipment calibration"))</f>
        <v>Adjust formulation</v>
      </c>
    </row>
    <row r="132" spans="1:9" x14ac:dyDescent="0.35">
      <c r="A132" s="31">
        <v>200000567</v>
      </c>
      <c r="B132" s="31">
        <v>1010</v>
      </c>
      <c r="C132" s="31">
        <v>4122</v>
      </c>
      <c r="D132" s="29" t="s">
        <v>429</v>
      </c>
      <c r="E132" s="31">
        <v>1.2</v>
      </c>
      <c r="F132" s="34">
        <f ca="1">LOOKUP(C132,'QALS - Inspection Lot Record'!P:P,'QALS - Inspection Lot Record'!E:E)+RANDBETWEEN(0,1)</f>
        <v>45931</v>
      </c>
      <c r="G132" s="41" t="s">
        <v>476</v>
      </c>
      <c r="H132" s="34">
        <f t="shared" ca="1" si="2"/>
        <v>45933</v>
      </c>
      <c r="I132" s="29" t="str" cm="1">
        <f t="array" aca="1" ref="I132" ca="1">_xlfn.IFS(G132="Potency out of spec",CHOOSE(RANDBETWEEN(1,6),"Additional testing","Improve formulation","Update production SOP","Supplier evaluation","Training for operators","Equipment calibration"),
G132="PH Level out of range",CHOOSE(RANDBETWEEN(1,6),"PH monitoring","Adjust formulation","Update production SOP","Supplier evaluation","Training for operators","Equipment calibration"),
G132="Impurities out of limit",CHOOSE(RANDBETWEEN(1,6),"Improve purification","Raw material control","Update production SOP","Supplier evaluation","Training for operators","Equipment maintenance"),
G132="Process temp out of range",CHOOSE(RANDBETWEEN(1,6),"Temperature control","Update production SOP","Supplier evaluation","Training for operators",
"Equipment calibration","Preventive maintenance"),
G132="Dissolution rate low - 15 mins",CHOOSE(RANDBETWEEN(1,6),"Increase agitation","Reduce particle size","Update production SOP","Supplier evaluation",
"Training for operators","Equipment calibration"),
G132="Dissolution rate low - 30 mins",CHOOSE(RANDBETWEEN(1,6),"Increase disintegrant","Optimize granulation","Update production SOP","Supplier evaluation",
"Training for operators","Equipment calibration"),
G132="Dissolution rate low - 40 mins",CHOOSE(RANDBETWEEN(1,6),"Increase surface area","Optimize compression","Update production SOP","Supplier evaluation",
"Training for operators","Equipment calibration"),
G132="Dissolution rate high - 15 mins",CHOOSE(RANDBETWEEN(1,6),"Decrease agitation","Increase particle size","Update production SOP","Supplier evaluation","Training for operators","Equipment calibration"),
G132="Dissolution rate high - 30 mins",CHOOSE(RANDBETWEEN(1,6),"Decrease disintegrant","Optimize granulation","Update production SOP","Supplier evaluation","Training for operators","Equipment calibration"),
G132="Dissolution rate high - 40 mins",CHOOSE(RANDBETWEEN(1,6),"Decrease surface area","Optimize compression","Update production SOP","Supplier evaluation","Training for operators","Equipment calibration"))</f>
        <v>Raw material control</v>
      </c>
    </row>
    <row r="133" spans="1:9" x14ac:dyDescent="0.35">
      <c r="A133" s="31">
        <v>200000567</v>
      </c>
      <c r="B133" s="31">
        <v>1010</v>
      </c>
      <c r="C133" s="31">
        <v>4122</v>
      </c>
      <c r="D133" s="29" t="s">
        <v>429</v>
      </c>
      <c r="E133" s="31">
        <v>38.799999999999997</v>
      </c>
      <c r="F133" s="34">
        <f ca="1">LOOKUP(C133,'QALS - Inspection Lot Record'!P:P,'QALS - Inspection Lot Record'!E:E)+RANDBETWEEN(0,1)</f>
        <v>45931</v>
      </c>
      <c r="G133" s="41" t="s">
        <v>478</v>
      </c>
      <c r="H133" s="34">
        <f t="shared" ca="1" si="2"/>
        <v>45931</v>
      </c>
      <c r="I133" s="29" t="str" cm="1">
        <f t="array" aca="1" ref="I133" ca="1">_xlfn.IFS(G133="Potency out of spec",CHOOSE(RANDBETWEEN(1,6),"Additional testing","Improve formulation","Update production SOP","Supplier evaluation","Training for operators","Equipment calibration"),
G133="PH Level out of range",CHOOSE(RANDBETWEEN(1,6),"PH monitoring","Adjust formulation","Update production SOP","Supplier evaluation","Training for operators","Equipment calibration"),
G133="Impurities out of limit",CHOOSE(RANDBETWEEN(1,6),"Improve purification","Raw material control","Update production SOP","Supplier evaluation","Training for operators","Equipment maintenance"),
G133="Process temp out of range",CHOOSE(RANDBETWEEN(1,6),"Temperature control","Update production SOP","Supplier evaluation","Training for operators",
"Equipment calibration","Preventive maintenance"),
G133="Dissolution rate low - 15 mins",CHOOSE(RANDBETWEEN(1,6),"Increase agitation","Reduce particle size","Update production SOP","Supplier evaluation",
"Training for operators","Equipment calibration"),
G133="Dissolution rate low - 30 mins",CHOOSE(RANDBETWEEN(1,6),"Increase disintegrant","Optimize granulation","Update production SOP","Supplier evaluation",
"Training for operators","Equipment calibration"),
G133="Dissolution rate low - 40 mins",CHOOSE(RANDBETWEEN(1,6),"Increase surface area","Optimize compression","Update production SOP","Supplier evaluation",
"Training for operators","Equipment calibration"),
G133="Dissolution rate high - 15 mins",CHOOSE(RANDBETWEEN(1,6),"Decrease agitation","Increase particle size","Update production SOP","Supplier evaluation","Training for operators","Equipment calibration"),
G133="Dissolution rate high - 30 mins",CHOOSE(RANDBETWEEN(1,6),"Decrease disintegrant","Optimize granulation","Update production SOP","Supplier evaluation","Training for operators","Equipment calibration"),
G133="Dissolution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34" spans="1:9" x14ac:dyDescent="0.35">
      <c r="A134" s="31">
        <v>200000568</v>
      </c>
      <c r="B134" s="31">
        <v>1010</v>
      </c>
      <c r="C134" s="31">
        <v>4123</v>
      </c>
      <c r="D134" s="29" t="s">
        <v>431</v>
      </c>
      <c r="E134" s="31">
        <v>4.9000000000000004</v>
      </c>
      <c r="F134" s="34">
        <f ca="1">LOOKUP(C134,'QALS - Inspection Lot Record'!P:P,'QALS - Inspection Lot Record'!E:E)+RANDBETWEEN(0,1)</f>
        <v>45931</v>
      </c>
      <c r="G134" s="41" t="s">
        <v>474</v>
      </c>
      <c r="H134" s="34">
        <f t="shared" ca="1" si="2"/>
        <v>45932</v>
      </c>
      <c r="I134" s="29" t="str" cm="1">
        <f t="array" aca="1" ref="I134" ca="1">_xlfn.IFS(G134="Potency out of spec",CHOOSE(RANDBETWEEN(1,6),"Additional testing","Improve formulation","Update production SOP","Supplier evaluation","Training for operators","Equipment calibration"),
G134="PH Level out of range",CHOOSE(RANDBETWEEN(1,6),"PH monitoring","Adjust formulation","Update production SOP","Supplier evaluation","Training for operators","Equipment calibration"),
G134="Impurities out of limit",CHOOSE(RANDBETWEEN(1,6),"Improve purification","Raw material control","Update production SOP","Supplier evaluation","Training for operators","Equipment maintenance"),
G134="Process temp out of range",CHOOSE(RANDBETWEEN(1,6),"Temperature control","Update production SOP","Supplier evaluation","Training for operators",
"Equipment calibration","Preventive maintenance"),
G134="Dissolution rate low - 15 mins",CHOOSE(RANDBETWEEN(1,6),"Increase agitation","Reduce particle size","Update production SOP","Supplier evaluation",
"Training for operators","Equipment calibration"),
G134="Dissolution rate low - 30 mins",CHOOSE(RANDBETWEEN(1,6),"Increase disintegrant","Optimize granulation","Update production SOP","Supplier evaluation",
"Training for operators","Equipment calibration"),
G134="Dissolution rate low - 40 mins",CHOOSE(RANDBETWEEN(1,6),"Increase surface area","Optimize compression","Update production SOP","Supplier evaluation",
"Training for operators","Equipment calibration"),
G134="Dissolution rate high - 15 mins",CHOOSE(RANDBETWEEN(1,6),"Decrease agitation","Increase particle size","Update production SOP","Supplier evaluation","Training for operators","Equipment calibration"),
G134="Dissolution rate high - 30 mins",CHOOSE(RANDBETWEEN(1,6),"Decrease disintegrant","Optimize granulation","Update production SOP","Supplier evaluation","Training for operators","Equipment calibration"),
G134="Dissolution rate high - 40 mins",CHOOSE(RANDBETWEEN(1,6),"Decrease surface area","Optimize compression","Update production SOP","Supplier evaluation","Training for operators","Equipment calibration"))</f>
        <v>Update production SOP</v>
      </c>
    </row>
    <row r="135" spans="1:9" x14ac:dyDescent="0.35">
      <c r="A135" s="31">
        <v>200000568</v>
      </c>
      <c r="B135" s="31">
        <v>1010</v>
      </c>
      <c r="C135" s="31">
        <v>4123</v>
      </c>
      <c r="D135" s="29" t="s">
        <v>431</v>
      </c>
      <c r="E135" s="31">
        <v>21.3</v>
      </c>
      <c r="F135" s="34">
        <f ca="1">LOOKUP(C135,'QALS - Inspection Lot Record'!P:P,'QALS - Inspection Lot Record'!E:E)+RANDBETWEEN(0,1)</f>
        <v>45931</v>
      </c>
      <c r="G135" s="41" t="s">
        <v>483</v>
      </c>
      <c r="H135" s="34">
        <f t="shared" ca="1" si="2"/>
        <v>45932</v>
      </c>
      <c r="I135" s="29" t="str" cm="1">
        <f t="array" aca="1" ref="I135" ca="1">_xlfn.IFS(G135="Potency out of spec",CHOOSE(RANDBETWEEN(1,6),"Additional testing","Improve formulation","Update production SOP","Supplier evaluation","Training for operators","Equipment calibration"),
G135="PH Level out of range",CHOOSE(RANDBETWEEN(1,6),"PH monitoring","Adjust formulation","Update production SOP","Supplier evaluation","Training for operators","Equipment calibration"),
G135="Impurities out of limit",CHOOSE(RANDBETWEEN(1,6),"Improve purification","Raw material control","Update production SOP","Supplier evaluation","Training for operators","Equipment maintenance"),
G135="Process temp out of range",CHOOSE(RANDBETWEEN(1,6),"Temperature control","Update production SOP","Supplier evaluation","Training for operators",
"Equipment calibration","Preventive maintenance"),
G135="Dissolution rate low - 15 mins",CHOOSE(RANDBETWEEN(1,6),"Increase agitation","Reduce particle size","Update production SOP","Supplier evaluation",
"Training for operators","Equipment calibration"),
G135="Dissolution rate low - 30 mins",CHOOSE(RANDBETWEEN(1,6),"Increase disintegrant","Optimize granulation","Update production SOP","Supplier evaluation",
"Training for operators","Equipment calibration"),
G135="Dissolution rate low - 40 mins",CHOOSE(RANDBETWEEN(1,6),"Increase surface area","Optimize compression","Update production SOP","Supplier evaluation",
"Training for operators","Equipment calibration"),
G135="Dissolution rate high - 15 mins",CHOOSE(RANDBETWEEN(1,6),"Decrease agitation","Increase particle size","Update production SOP","Supplier evaluation","Training for operators","Equipment calibration"),
G135="Dissolution rate high - 30 mins",CHOOSE(RANDBETWEEN(1,6),"Decrease disintegrant","Optimize granulation","Update production SOP","Supplier evaluation","Training for operators","Equipment calibration"),
G135="Dissolution rate high - 40 mins",CHOOSE(RANDBETWEEN(1,6),"Decrease surface area","Optimize compression","Update production SOP","Supplier evaluation","Training for operators","Equipment calibration"))</f>
        <v>Update production SOP</v>
      </c>
    </row>
    <row r="136" spans="1:9" x14ac:dyDescent="0.35">
      <c r="A136" s="31">
        <v>200000569</v>
      </c>
      <c r="B136" s="31">
        <v>1010</v>
      </c>
      <c r="C136" s="31">
        <v>4125</v>
      </c>
      <c r="D136" s="29" t="s">
        <v>504</v>
      </c>
      <c r="E136" s="31">
        <v>93.3</v>
      </c>
      <c r="F136" s="34">
        <f ca="1">LOOKUP(C136,'QALS - Inspection Lot Record'!P:P,'QALS - Inspection Lot Record'!E:E)+RANDBETWEEN(0,1)</f>
        <v>45933</v>
      </c>
      <c r="G136" s="41" t="s">
        <v>472</v>
      </c>
      <c r="H136" s="34">
        <f t="shared" ca="1" si="2"/>
        <v>45935</v>
      </c>
      <c r="I136" s="29" t="str" cm="1">
        <f t="array" aca="1" ref="I136" ca="1">_xlfn.IFS(G136="Potency out of spec",CHOOSE(RANDBETWEEN(1,6),"Additional testing","Improve formulation","Update production SOP","Supplier evaluation","Training for operators","Equipment calibration"),
G136="PH Level out of range",CHOOSE(RANDBETWEEN(1,6),"PH monitoring","Adjust formulation","Update production SOP","Supplier evaluation","Training for operators","Equipment calibration"),
G136="Impurities out of limit",CHOOSE(RANDBETWEEN(1,6),"Improve purification","Raw material control","Update production SOP","Supplier evaluation","Training for operators","Equipment maintenance"),
G136="Process temp out of range",CHOOSE(RANDBETWEEN(1,6),"Temperature control","Update production SOP","Supplier evaluation","Training for operators",
"Equipment calibration","Preventive maintenance"),
G136="Dissolution rate low - 15 mins",CHOOSE(RANDBETWEEN(1,6),"Increase agitation","Reduce particle size","Update production SOP","Supplier evaluation",
"Training for operators","Equipment calibration"),
G136="Dissolution rate low - 30 mins",CHOOSE(RANDBETWEEN(1,6),"Increase disintegrant","Optimize granulation","Update production SOP","Supplier evaluation",
"Training for operators","Equipment calibration"),
G136="Dissolution rate low - 40 mins",CHOOSE(RANDBETWEEN(1,6),"Increase surface area","Optimize compression","Update production SOP","Supplier evaluation",
"Training for operators","Equipment calibration"),
G136="Dissolution rate high - 15 mins",CHOOSE(RANDBETWEEN(1,6),"Decrease agitation","Increase particle size","Update production SOP","Supplier evaluation","Training for operators","Equipment calibration"),
G136="Dissolution rate high - 30 mins",CHOOSE(RANDBETWEEN(1,6),"Decrease disintegrant","Optimize granulation","Update production SOP","Supplier evaluation","Training for operators","Equipment calibration"),
G136="Dissolution rate high - 40 mins",CHOOSE(RANDBETWEEN(1,6),"Decrease surface area","Optimize compression","Update production SOP","Supplier evaluation","Training for operators","Equipment calibration"))</f>
        <v>Improve formulation</v>
      </c>
    </row>
    <row r="137" spans="1:9" x14ac:dyDescent="0.35">
      <c r="A137" s="31">
        <v>200000569</v>
      </c>
      <c r="B137" s="31">
        <v>1010</v>
      </c>
      <c r="C137" s="31">
        <v>4125</v>
      </c>
      <c r="D137" s="29" t="s">
        <v>504</v>
      </c>
      <c r="E137" s="31">
        <v>38.1</v>
      </c>
      <c r="F137" s="34">
        <f ca="1">LOOKUP(C137,'QALS - Inspection Lot Record'!P:P,'QALS - Inspection Lot Record'!E:E)+RANDBETWEEN(0,1)</f>
        <v>45932</v>
      </c>
      <c r="G137" s="41" t="s">
        <v>478</v>
      </c>
      <c r="H137" s="34">
        <f t="shared" ca="1" si="2"/>
        <v>45932</v>
      </c>
      <c r="I137" s="29" t="str" cm="1">
        <f t="array" aca="1" ref="I137" ca="1">_xlfn.IFS(G137="Potency out of spec",CHOOSE(RANDBETWEEN(1,6),"Additional testing","Improve formulation","Update production SOP","Supplier evaluation","Training for operators","Equipment calibration"),
G137="PH Level out of range",CHOOSE(RANDBETWEEN(1,6),"PH monitoring","Adjust formulation","Update production SOP","Supplier evaluation","Training for operators","Equipment calibration"),
G137="Impurities out of limit",CHOOSE(RANDBETWEEN(1,6),"Improve purification","Raw material control","Update production SOP","Supplier evaluation","Training for operators","Equipment maintenance"),
G137="Process temp out of range",CHOOSE(RANDBETWEEN(1,6),"Temperature control","Update production SOP","Supplier evaluation","Training for operators",
"Equipment calibration","Preventive maintenance"),
G137="Dissolution rate low - 15 mins",CHOOSE(RANDBETWEEN(1,6),"Increase agitation","Reduce particle size","Update production SOP","Supplier evaluation",
"Training for operators","Equipment calibration"),
G137="Dissolution rate low - 30 mins",CHOOSE(RANDBETWEEN(1,6),"Increase disintegrant","Optimize granulation","Update production SOP","Supplier evaluation",
"Training for operators","Equipment calibration"),
G137="Dissolution rate low - 40 mins",CHOOSE(RANDBETWEEN(1,6),"Increase surface area","Optimize compression","Update production SOP","Supplier evaluation",
"Training for operators","Equipment calibration"),
G137="Dissolution rate high - 15 mins",CHOOSE(RANDBETWEEN(1,6),"Decrease agitation","Increase particle size","Update production SOP","Supplier evaluation","Training for operators","Equipment calibration"),
G137="Dissolution rate high - 30 mins",CHOOSE(RANDBETWEEN(1,6),"Decrease disintegrant","Optimize granulation","Update production SOP","Supplier evaluation","Training for operators","Equipment calibration"),
G137="Dissolution rate high - 40 mins",CHOOSE(RANDBETWEEN(1,6),"Decrease surface area","Optimize compression","Update production SOP","Supplier evaluation","Training for operators","Equipment calibration"))</f>
        <v>Update production SOP</v>
      </c>
    </row>
    <row r="138" spans="1:9" x14ac:dyDescent="0.35">
      <c r="A138" s="31">
        <v>200000569</v>
      </c>
      <c r="B138" s="31">
        <v>1010</v>
      </c>
      <c r="C138" s="31">
        <v>4125</v>
      </c>
      <c r="D138" s="29" t="s">
        <v>504</v>
      </c>
      <c r="E138" s="31">
        <v>68.599999999999994</v>
      </c>
      <c r="F138" s="34">
        <f ca="1">LOOKUP(C138,'QALS - Inspection Lot Record'!P:P,'QALS - Inspection Lot Record'!E:E)+RANDBETWEEN(0,1)</f>
        <v>45932</v>
      </c>
      <c r="G138" s="41" t="s">
        <v>480</v>
      </c>
      <c r="H138" s="34">
        <f t="shared" ca="1" si="2"/>
        <v>45932</v>
      </c>
      <c r="I138" s="29" t="str" cm="1">
        <f t="array" aca="1" ref="I138" ca="1">_xlfn.IFS(G138="Potency out of spec",CHOOSE(RANDBETWEEN(1,6),"Additional testing","Improve formulation","Update production SOP","Supplier evaluation","Training for operators","Equipment calibration"),
G138="PH Level out of range",CHOOSE(RANDBETWEEN(1,6),"PH monitoring","Adjust formulation","Update production SOP","Supplier evaluation","Training for operators","Equipment calibration"),
G138="Impurities out of limit",CHOOSE(RANDBETWEEN(1,6),"Improve purification","Raw material control","Update production SOP","Supplier evaluation","Training for operators","Equipment maintenance"),
G138="Process temp out of range",CHOOSE(RANDBETWEEN(1,6),"Temperature control","Update production SOP","Supplier evaluation","Training for operators",
"Equipment calibration","Preventive maintenance"),
G138="Dissolution rate low - 15 mins",CHOOSE(RANDBETWEEN(1,6),"Increase agitation","Reduce particle size","Update production SOP","Supplier evaluation",
"Training for operators","Equipment calibration"),
G138="Dissolution rate low - 30 mins",CHOOSE(RANDBETWEEN(1,6),"Increase disintegrant","Optimize granulation","Update production SOP","Supplier evaluation",
"Training for operators","Equipment calibration"),
G138="Dissolution rate low - 40 mins",CHOOSE(RANDBETWEEN(1,6),"Increase surface area","Optimize compression","Update production SOP","Supplier evaluation",
"Training for operators","Equipment calibration"),
G138="Dissolution rate high - 15 mins",CHOOSE(RANDBETWEEN(1,6),"Decrease agitation","Increase particle size","Update production SOP","Supplier evaluation","Training for operators","Equipment calibration"),
G138="Dissolution rate high - 30 mins",CHOOSE(RANDBETWEEN(1,6),"Decrease disintegrant","Optimize granulation","Update production SOP","Supplier evaluation","Training for operators","Equipment calibration"),
G138="Dissolution rate high - 40 mins",CHOOSE(RANDBETWEEN(1,6),"Decrease surface area","Optimize compression","Update production SOP","Supplier evaluation","Training for operators","Equipment calibration"))</f>
        <v>Update production SOP</v>
      </c>
    </row>
    <row r="139" spans="1:9" x14ac:dyDescent="0.35">
      <c r="A139" s="31">
        <v>200000569</v>
      </c>
      <c r="B139" s="31">
        <v>1010</v>
      </c>
      <c r="C139" s="31">
        <v>4125</v>
      </c>
      <c r="D139" s="29" t="s">
        <v>504</v>
      </c>
      <c r="E139" s="31">
        <v>78.900000000000006</v>
      </c>
      <c r="F139" s="34">
        <f ca="1">LOOKUP(C139,'QALS - Inspection Lot Record'!P:P,'QALS - Inspection Lot Record'!E:E)+RANDBETWEEN(0,1)</f>
        <v>45932</v>
      </c>
      <c r="G139" s="41" t="s">
        <v>486</v>
      </c>
      <c r="H139" s="34">
        <f t="shared" ca="1" si="2"/>
        <v>45934</v>
      </c>
      <c r="I139" s="29" t="str" cm="1">
        <f t="array" aca="1" ref="I139" ca="1">_xlfn.IFS(G139="Potency out of spec",CHOOSE(RANDBETWEEN(1,6),"Additional testing","Improve formulation","Update production SOP","Supplier evaluation","Training for operators","Equipment calibration"),
G139="PH Level out of range",CHOOSE(RANDBETWEEN(1,6),"PH monitoring","Adjust formulation","Update production SOP","Supplier evaluation","Training for operators","Equipment calibration"),
G139="Impurities out of limit",CHOOSE(RANDBETWEEN(1,6),"Improve purification","Raw material control","Update production SOP","Supplier evaluation","Training for operators","Equipment maintenance"),
G139="Process temp out of range",CHOOSE(RANDBETWEEN(1,6),"Temperature control","Update production SOP","Supplier evaluation","Training for operators",
"Equipment calibration","Preventive maintenance"),
G139="Dissolution rate low - 15 mins",CHOOSE(RANDBETWEEN(1,6),"Increase agitation","Reduce particle size","Update production SOP","Supplier evaluation",
"Training for operators","Equipment calibration"),
G139="Dissolution rate low - 30 mins",CHOOSE(RANDBETWEEN(1,6),"Increase disintegrant","Optimize granulation","Update production SOP","Supplier evaluation",
"Training for operators","Equipment calibration"),
G139="Dissolution rate low - 40 mins",CHOOSE(RANDBETWEEN(1,6),"Increase surface area","Optimize compression","Update production SOP","Supplier evaluation",
"Training for operators","Equipment calibration"),
G139="Dissolution rate high - 15 mins",CHOOSE(RANDBETWEEN(1,6),"Decrease agitation","Increase particle size","Update production SOP","Supplier evaluation","Training for operators","Equipment calibration"),
G139="Dissolution rate high - 30 mins",CHOOSE(RANDBETWEEN(1,6),"Decrease disintegrant","Optimize granulation","Update production SOP","Supplier evaluation","Training for operators","Equipment calibration"),
G139="Dissolution rate high - 40 mins",CHOOSE(RANDBETWEEN(1,6),"Decrease surface area","Optimize compression","Update production SOP","Supplier evaluation","Training for operators","Equipment calibration"))</f>
        <v>Increase surface area</v>
      </c>
    </row>
    <row r="140" spans="1:9" x14ac:dyDescent="0.35">
      <c r="A140" s="31">
        <v>200000570</v>
      </c>
      <c r="B140" s="31">
        <v>1010</v>
      </c>
      <c r="C140" s="31">
        <v>4126</v>
      </c>
      <c r="D140" s="29" t="s">
        <v>429</v>
      </c>
      <c r="E140" s="31">
        <v>94</v>
      </c>
      <c r="F140" s="34">
        <f ca="1">LOOKUP(C140,'QALS - Inspection Lot Record'!P:P,'QALS - Inspection Lot Record'!E:E)+RANDBETWEEN(0,1)</f>
        <v>45932</v>
      </c>
      <c r="G140" s="41" t="s">
        <v>472</v>
      </c>
      <c r="H140" s="34">
        <f t="shared" ca="1" si="2"/>
        <v>45934</v>
      </c>
      <c r="I140" s="29" t="str" cm="1">
        <f t="array" aca="1" ref="I140" ca="1">_xlfn.IFS(G140="Potency out of spec",CHOOSE(RANDBETWEEN(1,6),"Additional testing","Improve formulation","Update production SOP","Supplier evaluation","Training for operators","Equipment calibration"),
G140="PH Level out of range",CHOOSE(RANDBETWEEN(1,6),"PH monitoring","Adjust formulation","Update production SOP","Supplier evaluation","Training for operators","Equipment calibration"),
G140="Impurities out of limit",CHOOSE(RANDBETWEEN(1,6),"Improve purification","Raw material control","Update production SOP","Supplier evaluation","Training for operators","Equipment maintenance"),
G140="Process temp out of range",CHOOSE(RANDBETWEEN(1,6),"Temperature control","Update production SOP","Supplier evaluation","Training for operators",
"Equipment calibration","Preventive maintenance"),
G140="Dissolution rate low - 15 mins",CHOOSE(RANDBETWEEN(1,6),"Increase agitation","Reduce particle size","Update production SOP","Supplier evaluation",
"Training for operators","Equipment calibration"),
G140="Dissolution rate low - 30 mins",CHOOSE(RANDBETWEEN(1,6),"Increase disintegrant","Optimize granulation","Update production SOP","Supplier evaluation",
"Training for operators","Equipment calibration"),
G140="Dissolution rate low - 40 mins",CHOOSE(RANDBETWEEN(1,6),"Increase surface area","Optimize compression","Update production SOP","Supplier evaluation",
"Training for operators","Equipment calibration"),
G140="Dissolution rate high - 15 mins",CHOOSE(RANDBETWEEN(1,6),"Decrease agitation","Increase particle size","Update production SOP","Supplier evaluation","Training for operators","Equipment calibration"),
G140="Dissolution rate high - 30 mins",CHOOSE(RANDBETWEEN(1,6),"Decrease disintegrant","Optimize granulation","Update production SOP","Supplier evaluation","Training for operators","Equipment calibration"),
G140="Dissolution rate high - 40 mins",CHOOSE(RANDBETWEEN(1,6),"Decrease surface area","Optimize compression","Update production SOP","Supplier evaluation","Training for operators","Equipment calibration"))</f>
        <v>Supplier evaluation</v>
      </c>
    </row>
    <row r="141" spans="1:9" x14ac:dyDescent="0.35">
      <c r="A141" s="31">
        <v>200000570</v>
      </c>
      <c r="B141" s="31">
        <v>1010</v>
      </c>
      <c r="C141" s="31">
        <v>4126</v>
      </c>
      <c r="D141" s="29" t="s">
        <v>429</v>
      </c>
      <c r="E141" s="31">
        <v>2.1</v>
      </c>
      <c r="F141" s="34">
        <f ca="1">LOOKUP(C141,'QALS - Inspection Lot Record'!P:P,'QALS - Inspection Lot Record'!E:E)+RANDBETWEEN(0,1)</f>
        <v>45932</v>
      </c>
      <c r="G141" s="41" t="s">
        <v>474</v>
      </c>
      <c r="H141" s="34">
        <f t="shared" ca="1" si="2"/>
        <v>45933</v>
      </c>
      <c r="I141" s="29" t="str" cm="1">
        <f t="array" aca="1" ref="I141" ca="1">_xlfn.IFS(G141="Potency out of spec",CHOOSE(RANDBETWEEN(1,6),"Additional testing","Improve formulation","Update production SOP","Supplier evaluation","Training for operators","Equipment calibration"),
G141="PH Level out of range",CHOOSE(RANDBETWEEN(1,6),"PH monitoring","Adjust formulation","Update production SOP","Supplier evaluation","Training for operators","Equipment calibration"),
G141="Impurities out of limit",CHOOSE(RANDBETWEEN(1,6),"Improve purification","Raw material control","Update production SOP","Supplier evaluation","Training for operators","Equipment maintenance"),
G141="Process temp out of range",CHOOSE(RANDBETWEEN(1,6),"Temperature control","Update production SOP","Supplier evaluation","Training for operators",
"Equipment calibration","Preventive maintenance"),
G141="Dissolution rate low - 15 mins",CHOOSE(RANDBETWEEN(1,6),"Increase agitation","Reduce particle size","Update production SOP","Supplier evaluation",
"Training for operators","Equipment calibration"),
G141="Dissolution rate low - 30 mins",CHOOSE(RANDBETWEEN(1,6),"Increase disintegrant","Optimize granulation","Update production SOP","Supplier evaluation",
"Training for operators","Equipment calibration"),
G141="Dissolution rate low - 40 mins",CHOOSE(RANDBETWEEN(1,6),"Increase surface area","Optimize compression","Update production SOP","Supplier evaluation",
"Training for operators","Equipment calibration"),
G141="Dissolution rate high - 15 mins",CHOOSE(RANDBETWEEN(1,6),"Decrease agitation","Increase particle size","Update production SOP","Supplier evaluation","Training for operators","Equipment calibration"),
G141="Dissolution rate high - 30 mins",CHOOSE(RANDBETWEEN(1,6),"Decrease disintegrant","Optimize granulation","Update production SOP","Supplier evaluation","Training for operators","Equipment calibration"),
G141="Dissolution rate high - 40 mins",CHOOSE(RANDBETWEEN(1,6),"Decrease surface area","Optimize compression","Update production SOP","Supplier evaluation","Training for operators","Equipment calibration"))</f>
        <v>Update production SOP</v>
      </c>
    </row>
    <row r="142" spans="1:9" x14ac:dyDescent="0.35">
      <c r="A142" s="31">
        <v>200000570</v>
      </c>
      <c r="B142" s="31">
        <v>1010</v>
      </c>
      <c r="C142" s="31">
        <v>4126</v>
      </c>
      <c r="D142" s="29" t="s">
        <v>429</v>
      </c>
      <c r="E142" s="31">
        <v>2</v>
      </c>
      <c r="F142" s="34">
        <f ca="1">LOOKUP(C142,'QALS - Inspection Lot Record'!P:P,'QALS - Inspection Lot Record'!E:E)+RANDBETWEEN(0,1)</f>
        <v>45932</v>
      </c>
      <c r="G142" s="41" t="s">
        <v>476</v>
      </c>
      <c r="H142" s="34">
        <f t="shared" ca="1" si="2"/>
        <v>45932</v>
      </c>
      <c r="I142" s="29" t="str" cm="1">
        <f t="array" aca="1" ref="I142" ca="1">_xlfn.IFS(G142="Potency out of spec",CHOOSE(RANDBETWEEN(1,6),"Additional testing","Improve formulation","Update production SOP","Supplier evaluation","Training for operators","Equipment calibration"),
G142="PH Level out of range",CHOOSE(RANDBETWEEN(1,6),"PH monitoring","Adjust formulation","Update production SOP","Supplier evaluation","Training for operators","Equipment calibration"),
G142="Impurities out of limit",CHOOSE(RANDBETWEEN(1,6),"Improve purification","Raw material control","Update production SOP","Supplier evaluation","Training for operators","Equipment maintenance"),
G142="Process temp out of range",CHOOSE(RANDBETWEEN(1,6),"Temperature control","Update production SOP","Supplier evaluation","Training for operators",
"Equipment calibration","Preventive maintenance"),
G142="Dissolution rate low - 15 mins",CHOOSE(RANDBETWEEN(1,6),"Increase agitation","Reduce particle size","Update production SOP","Supplier evaluation",
"Training for operators","Equipment calibration"),
G142="Dissolution rate low - 30 mins",CHOOSE(RANDBETWEEN(1,6),"Increase disintegrant","Optimize granulation","Update production SOP","Supplier evaluation",
"Training for operators","Equipment calibration"),
G142="Dissolution rate low - 40 mins",CHOOSE(RANDBETWEEN(1,6),"Increase surface area","Optimize compression","Update production SOP","Supplier evaluation",
"Training for operators","Equipment calibration"),
G142="Dissolution rate high - 15 mins",CHOOSE(RANDBETWEEN(1,6),"Decrease agitation","Increase particle size","Update production SOP","Supplier evaluation","Training for operators","Equipment calibration"),
G142="Dissolution rate high - 30 mins",CHOOSE(RANDBETWEEN(1,6),"Decrease disintegrant","Optimize granulation","Update production SOP","Supplier evaluation","Training for operators","Equipment calibration"),
G142="Dissolution rate high - 40 mins",CHOOSE(RANDBETWEEN(1,6),"Decrease surface area","Optimize compression","Update production SOP","Supplier evaluation","Training for operators","Equipment calibration"))</f>
        <v>Improve purification</v>
      </c>
    </row>
    <row r="143" spans="1:9" x14ac:dyDescent="0.35">
      <c r="A143" s="31">
        <v>200000570</v>
      </c>
      <c r="B143" s="31">
        <v>1010</v>
      </c>
      <c r="C143" s="31">
        <v>4126</v>
      </c>
      <c r="D143" s="29" t="s">
        <v>429</v>
      </c>
      <c r="E143" s="31">
        <v>62</v>
      </c>
      <c r="F143" s="34">
        <f ca="1">LOOKUP(C143,'QALS - Inspection Lot Record'!P:P,'QALS - Inspection Lot Record'!E:E)+RANDBETWEEN(0,1)</f>
        <v>45933</v>
      </c>
      <c r="G143" s="41" t="s">
        <v>498</v>
      </c>
      <c r="H143" s="34">
        <f t="shared" ca="1" si="2"/>
        <v>45935</v>
      </c>
      <c r="I143" s="29" t="str" cm="1">
        <f t="array" aca="1" ref="I143" ca="1">_xlfn.IFS(G143="Potency out of spec",CHOOSE(RANDBETWEEN(1,6),"Additional testing","Improve formulation","Update production SOP","Supplier evaluation","Training for operators","Equipment calibration"),
G143="PH Level out of range",CHOOSE(RANDBETWEEN(1,6),"PH monitoring","Adjust formulation","Update production SOP","Supplier evaluation","Training for operators","Equipment calibration"),
G143="Impurities out of limit",CHOOSE(RANDBETWEEN(1,6),"Improve purification","Raw material control","Update production SOP","Supplier evaluation","Training for operators","Equipment maintenance"),
G143="Process temp out of range",CHOOSE(RANDBETWEEN(1,6),"Temperature control","Update production SOP","Supplier evaluation","Training for operators",
"Equipment calibration","Preventive maintenance"),
G143="Dissolution rate low - 15 mins",CHOOSE(RANDBETWEEN(1,6),"Increase agitation","Reduce particle size","Update production SOP","Supplier evaluation",
"Training for operators","Equipment calibration"),
G143="Dissolution rate low - 30 mins",CHOOSE(RANDBETWEEN(1,6),"Increase disintegrant","Optimize granulation","Update production SOP","Supplier evaluation",
"Training for operators","Equipment calibration"),
G143="Dissolution rate low - 40 mins",CHOOSE(RANDBETWEEN(1,6),"Increase surface area","Optimize compression","Update production SOP","Supplier evaluation",
"Training for operators","Equipment calibration"),
G143="Dissolution rate high - 15 mins",CHOOSE(RANDBETWEEN(1,6),"Decrease agitation","Increase particle size","Update production SOP","Supplier evaluation","Training for operators","Equipment calibration"),
G143="Dissolution rate high - 30 mins",CHOOSE(RANDBETWEEN(1,6),"Decrease disintegrant","Optimize granulation","Update production SOP","Supplier evaluation","Training for operators","Equipment calibration"),
G143="Dissolution rate high - 40 mins",CHOOSE(RANDBETWEEN(1,6),"Decrease surface area","Optimize compression","Update production SOP","Supplier evaluation","Training for operators","Equipment calibration"))</f>
        <v>Update production SOP</v>
      </c>
    </row>
    <row r="144" spans="1:9" x14ac:dyDescent="0.35">
      <c r="A144" s="31">
        <v>200000571</v>
      </c>
      <c r="B144" s="31">
        <v>1010</v>
      </c>
      <c r="C144" s="31">
        <v>4127</v>
      </c>
      <c r="D144" s="29" t="s">
        <v>504</v>
      </c>
      <c r="E144" s="31">
        <v>68.900000000000006</v>
      </c>
      <c r="F144" s="34">
        <f ca="1">LOOKUP(C144,'QALS - Inspection Lot Record'!P:P,'QALS - Inspection Lot Record'!E:E)+RANDBETWEEN(0,1)</f>
        <v>45933</v>
      </c>
      <c r="G144" s="41" t="s">
        <v>480</v>
      </c>
      <c r="H144" s="34">
        <f t="shared" ca="1" si="2"/>
        <v>45934</v>
      </c>
      <c r="I144" s="29" t="str" cm="1">
        <f t="array" aca="1" ref="I144" ca="1">_xlfn.IFS(G144="Potency out of spec",CHOOSE(RANDBETWEEN(1,6),"Additional testing","Improve formulation","Update production SOP","Supplier evaluation","Training for operators","Equipment calibration"),
G144="PH Level out of range",CHOOSE(RANDBETWEEN(1,6),"PH monitoring","Adjust formulation","Update production SOP","Supplier evaluation","Training for operators","Equipment calibration"),
G144="Impurities out of limit",CHOOSE(RANDBETWEEN(1,6),"Improve purification","Raw material control","Update production SOP","Supplier evaluation","Training for operators","Equipment maintenance"),
G144="Process temp out of range",CHOOSE(RANDBETWEEN(1,6),"Temperature control","Update production SOP","Supplier evaluation","Training for operators",
"Equipment calibration","Preventive maintenance"),
G144="Dissolution rate low - 15 mins",CHOOSE(RANDBETWEEN(1,6),"Increase agitation","Reduce particle size","Update production SOP","Supplier evaluation",
"Training for operators","Equipment calibration"),
G144="Dissolution rate low - 30 mins",CHOOSE(RANDBETWEEN(1,6),"Increase disintegrant","Optimize granulation","Update production SOP","Supplier evaluation",
"Training for operators","Equipment calibration"),
G144="Dissolution rate low - 40 mins",CHOOSE(RANDBETWEEN(1,6),"Increase surface area","Optimize compression","Update production SOP","Supplier evaluation",
"Training for operators","Equipment calibration"),
G144="Dissolution rate high - 15 mins",CHOOSE(RANDBETWEEN(1,6),"Decrease agitation","Increase particle size","Update production SOP","Supplier evaluation","Training for operators","Equipment calibration"),
G144="Dissolution rate high - 30 mins",CHOOSE(RANDBETWEEN(1,6),"Decrease disintegrant","Optimize granulation","Update production SOP","Supplier evaluation","Training for operators","Equipment calibration"),
G144="Dissolution rate high - 40 mins",CHOOSE(RANDBETWEEN(1,6),"Decrease surface area","Optimize compression","Update production SOP","Supplier evaluation","Training for operators","Equipment calibration"))</f>
        <v>Equipment calibration</v>
      </c>
    </row>
    <row r="145" spans="1:9" x14ac:dyDescent="0.35">
      <c r="A145" s="31">
        <v>200000571</v>
      </c>
      <c r="B145" s="31">
        <v>1010</v>
      </c>
      <c r="C145" s="31">
        <v>4127</v>
      </c>
      <c r="D145" s="29" t="s">
        <v>504</v>
      </c>
      <c r="E145" s="31">
        <v>21.8</v>
      </c>
      <c r="F145" s="34">
        <f ca="1">LOOKUP(C145,'QALS - Inspection Lot Record'!P:P,'QALS - Inspection Lot Record'!E:E)+RANDBETWEEN(0,1)</f>
        <v>45934</v>
      </c>
      <c r="G145" s="41" t="s">
        <v>483</v>
      </c>
      <c r="H145" s="34">
        <f t="shared" ca="1" si="2"/>
        <v>45934</v>
      </c>
      <c r="I145" s="29" t="str" cm="1">
        <f t="array" aca="1" ref="I145" ca="1">_xlfn.IFS(G145="Potency out of spec",CHOOSE(RANDBETWEEN(1,6),"Additional testing","Improve formulation","Update production SOP","Supplier evaluation","Training for operators","Equipment calibration"),
G145="PH Level out of range",CHOOSE(RANDBETWEEN(1,6),"PH monitoring","Adjust formulation","Update production SOP","Supplier evaluation","Training for operators","Equipment calibration"),
G145="Impurities out of limit",CHOOSE(RANDBETWEEN(1,6),"Improve purification","Raw material control","Update production SOP","Supplier evaluation","Training for operators","Equipment maintenance"),
G145="Process temp out of range",CHOOSE(RANDBETWEEN(1,6),"Temperature control","Update production SOP","Supplier evaluation","Training for operators",
"Equipment calibration","Preventive maintenance"),
G145="Dissolution rate low - 15 mins",CHOOSE(RANDBETWEEN(1,6),"Increase agitation","Reduce particle size","Update production SOP","Supplier evaluation",
"Training for operators","Equipment calibration"),
G145="Dissolution rate low - 30 mins",CHOOSE(RANDBETWEEN(1,6),"Increase disintegrant","Optimize granulation","Update production SOP","Supplier evaluation",
"Training for operators","Equipment calibration"),
G145="Dissolution rate low - 40 mins",CHOOSE(RANDBETWEEN(1,6),"Increase surface area","Optimize compression","Update production SOP","Supplier evaluation",
"Training for operators","Equipment calibration"),
G145="Dissolution rate high - 15 mins",CHOOSE(RANDBETWEEN(1,6),"Decrease agitation","Increase particle size","Update production SOP","Supplier evaluation","Training for operators","Equipment calibration"),
G145="Dissolution rate high - 30 mins",CHOOSE(RANDBETWEEN(1,6),"Decrease disintegrant","Optimize granulation","Update production SOP","Supplier evaluation","Training for operators","Equipment calibration"),
G145="Dissolution rate high - 40 mins",CHOOSE(RANDBETWEEN(1,6),"Decrease surface area","Optimize compression","Update production SOP","Supplier evaluation","Training for operators","Equipment calibration"))</f>
        <v>Temperature control</v>
      </c>
    </row>
    <row r="146" spans="1:9" x14ac:dyDescent="0.35">
      <c r="A146" s="31">
        <v>200000572</v>
      </c>
      <c r="B146" s="31">
        <v>1010</v>
      </c>
      <c r="C146" s="31">
        <v>4129</v>
      </c>
      <c r="D146" s="29" t="s">
        <v>429</v>
      </c>
      <c r="E146" s="31">
        <v>93.3</v>
      </c>
      <c r="F146" s="34">
        <f ca="1">LOOKUP(C146,'QALS - Inspection Lot Record'!P:P,'QALS - Inspection Lot Record'!E:E)+RANDBETWEEN(0,1)</f>
        <v>45934</v>
      </c>
      <c r="G146" s="41" t="s">
        <v>472</v>
      </c>
      <c r="H146" s="34">
        <f t="shared" ca="1" si="2"/>
        <v>45935</v>
      </c>
      <c r="I146" s="29" t="str" cm="1">
        <f t="array" aca="1" ref="I146" ca="1">_xlfn.IFS(G146="Potency out of spec",CHOOSE(RANDBETWEEN(1,6),"Additional testing","Improve formulation","Update production SOP","Supplier evaluation","Training for operators","Equipment calibration"),
G146="PH Level out of range",CHOOSE(RANDBETWEEN(1,6),"PH monitoring","Adjust formulation","Update production SOP","Supplier evaluation","Training for operators","Equipment calibration"),
G146="Impurities out of limit",CHOOSE(RANDBETWEEN(1,6),"Improve purification","Raw material control","Update production SOP","Supplier evaluation","Training for operators","Equipment maintenance"),
G146="Process temp out of range",CHOOSE(RANDBETWEEN(1,6),"Temperature control","Update production SOP","Supplier evaluation","Training for operators",
"Equipment calibration","Preventive maintenance"),
G146="Dissolution rate low - 15 mins",CHOOSE(RANDBETWEEN(1,6),"Increase agitation","Reduce particle size","Update production SOP","Supplier evaluation",
"Training for operators","Equipment calibration"),
G146="Dissolution rate low - 30 mins",CHOOSE(RANDBETWEEN(1,6),"Increase disintegrant","Optimize granulation","Update production SOP","Supplier evaluation",
"Training for operators","Equipment calibration"),
G146="Dissolution rate low - 40 mins",CHOOSE(RANDBETWEEN(1,6),"Increase surface area","Optimize compression","Update production SOP","Supplier evaluation",
"Training for operators","Equipment calibration"),
G146="Dissolution rate high - 15 mins",CHOOSE(RANDBETWEEN(1,6),"Decrease agitation","Increase particle size","Update production SOP","Supplier evaluation","Training for operators","Equipment calibration"),
G146="Dissolution rate high - 30 mins",CHOOSE(RANDBETWEEN(1,6),"Decrease disintegrant","Optimize granulation","Update production SOP","Supplier evaluation","Training for operators","Equipment calibration"),
G146="Dissolution rate high - 40 mins",CHOOSE(RANDBETWEEN(1,6),"Decrease surface area","Optimize compression","Update production SOP","Supplier evaluation","Training for operators","Equipment calibration"))</f>
        <v>Improve formulation</v>
      </c>
    </row>
    <row r="147" spans="1:9" x14ac:dyDescent="0.35">
      <c r="A147" s="31">
        <v>200000573</v>
      </c>
      <c r="B147" s="31">
        <v>1010</v>
      </c>
      <c r="C147" s="31">
        <v>4131</v>
      </c>
      <c r="D147" s="29" t="s">
        <v>433</v>
      </c>
      <c r="E147" s="31">
        <v>21.1</v>
      </c>
      <c r="F147" s="34">
        <f ca="1">LOOKUP(C147,'QALS - Inspection Lot Record'!P:P,'QALS - Inspection Lot Record'!E:E)+RANDBETWEEN(0,1)</f>
        <v>45935</v>
      </c>
      <c r="G147" s="41" t="s">
        <v>483</v>
      </c>
      <c r="H147" s="34">
        <f t="shared" ca="1" si="2"/>
        <v>45937</v>
      </c>
      <c r="I147" s="29" t="str" cm="1">
        <f t="array" aca="1" ref="I147" ca="1">_xlfn.IFS(G147="Potency out of spec",CHOOSE(RANDBETWEEN(1,6),"Additional testing","Improve formulation","Update production SOP","Supplier evaluation","Training for operators","Equipment calibration"),
G147="PH Level out of range",CHOOSE(RANDBETWEEN(1,6),"PH monitoring","Adjust formulation","Update production SOP","Supplier evaluation","Training for operators","Equipment calibration"),
G147="Impurities out of limit",CHOOSE(RANDBETWEEN(1,6),"Improve purification","Raw material control","Update production SOP","Supplier evaluation","Training for operators","Equipment maintenance"),
G147="Process temp out of range",CHOOSE(RANDBETWEEN(1,6),"Temperature control","Update production SOP","Supplier evaluation","Training for operators",
"Equipment calibration","Preventive maintenance"),
G147="Dissolution rate low - 15 mins",CHOOSE(RANDBETWEEN(1,6),"Increase agitation","Reduce particle size","Update production SOP","Supplier evaluation",
"Training for operators","Equipment calibration"),
G147="Dissolution rate low - 30 mins",CHOOSE(RANDBETWEEN(1,6),"Increase disintegrant","Optimize granulation","Update production SOP","Supplier evaluation",
"Training for operators","Equipment calibration"),
G147="Dissolution rate low - 40 mins",CHOOSE(RANDBETWEEN(1,6),"Increase surface area","Optimize compression","Update production SOP","Supplier evaluation",
"Training for operators","Equipment calibration"),
G147="Dissolution rate high - 15 mins",CHOOSE(RANDBETWEEN(1,6),"Decrease agitation","Increase particle size","Update production SOP","Supplier evaluation","Training for operators","Equipment calibration"),
G147="Dissolution rate high - 30 mins",CHOOSE(RANDBETWEEN(1,6),"Decrease disintegrant","Optimize granulation","Update production SOP","Supplier evaluation","Training for operators","Equipment calibration"),
G147="Dissolution rate high - 40 mins",CHOOSE(RANDBETWEEN(1,6),"Decrease surface area","Optimize compression","Update production SOP","Supplier evaluation","Training for operators","Equipment calibration"))</f>
        <v>Preventive maintenance</v>
      </c>
    </row>
    <row r="148" spans="1:9" x14ac:dyDescent="0.35">
      <c r="A148" s="31">
        <v>200000574</v>
      </c>
      <c r="B148" s="31">
        <v>1010</v>
      </c>
      <c r="C148" s="31">
        <v>4133</v>
      </c>
      <c r="D148" s="29" t="s">
        <v>429</v>
      </c>
      <c r="E148" s="31">
        <v>93.1</v>
      </c>
      <c r="F148" s="34">
        <f ca="1">LOOKUP(C148,'QALS - Inspection Lot Record'!P:P,'QALS - Inspection Lot Record'!E:E)+RANDBETWEEN(0,1)</f>
        <v>45937</v>
      </c>
      <c r="G148" s="41" t="s">
        <v>472</v>
      </c>
      <c r="H148" s="34">
        <f t="shared" ca="1" si="2"/>
        <v>45937</v>
      </c>
      <c r="I148" s="29" t="str" cm="1">
        <f t="array" aca="1" ref="I148" ca="1">_xlfn.IFS(G148="Potency out of spec",CHOOSE(RANDBETWEEN(1,6),"Additional testing","Improve formulation","Update production SOP","Supplier evaluation","Training for operators","Equipment calibration"),
G148="PH Level out of range",CHOOSE(RANDBETWEEN(1,6),"PH monitoring","Adjust formulation","Update production SOP","Supplier evaluation","Training for operators","Equipment calibration"),
G148="Impurities out of limit",CHOOSE(RANDBETWEEN(1,6),"Improve purification","Raw material control","Update production SOP","Supplier evaluation","Training for operators","Equipment maintenance"),
G148="Process temp out of range",CHOOSE(RANDBETWEEN(1,6),"Temperature control","Update production SOP","Supplier evaluation","Training for operators",
"Equipment calibration","Preventive maintenance"),
G148="Dissolution rate low - 15 mins",CHOOSE(RANDBETWEEN(1,6),"Increase agitation","Reduce particle size","Update production SOP","Supplier evaluation",
"Training for operators","Equipment calibration"),
G148="Dissolution rate low - 30 mins",CHOOSE(RANDBETWEEN(1,6),"Increase disintegrant","Optimize granulation","Update production SOP","Supplier evaluation",
"Training for operators","Equipment calibration"),
G148="Dissolution rate low - 40 mins",CHOOSE(RANDBETWEEN(1,6),"Increase surface area","Optimize compression","Update production SOP","Supplier evaluation",
"Training for operators","Equipment calibration"),
G148="Dissolution rate high - 15 mins",CHOOSE(RANDBETWEEN(1,6),"Decrease agitation","Increase particle size","Update production SOP","Supplier evaluation","Training for operators","Equipment calibration"),
G148="Dissolution rate high - 30 mins",CHOOSE(RANDBETWEEN(1,6),"Decrease disintegrant","Optimize granulation","Update production SOP","Supplier evaluation","Training for operators","Equipment calibration"),
G148="Dissolution rate high - 40 mins",CHOOSE(RANDBETWEEN(1,6),"Decrease surface area","Optimize compression","Update production SOP","Supplier evaluation","Training for operators","Equipment calibration"))</f>
        <v>Additional testing</v>
      </c>
    </row>
    <row r="149" spans="1:9" x14ac:dyDescent="0.35">
      <c r="A149" s="31">
        <v>200000575</v>
      </c>
      <c r="B149" s="31">
        <v>1010</v>
      </c>
      <c r="C149" s="31">
        <v>4135</v>
      </c>
      <c r="D149" s="29" t="s">
        <v>503</v>
      </c>
      <c r="E149" s="31">
        <v>2.1</v>
      </c>
      <c r="F149" s="34">
        <f ca="1">LOOKUP(C149,'QALS - Inspection Lot Record'!P:P,'QALS - Inspection Lot Record'!E:E)+RANDBETWEEN(0,1)</f>
        <v>45938</v>
      </c>
      <c r="G149" s="41" t="s">
        <v>474</v>
      </c>
      <c r="H149" s="34">
        <f t="shared" ca="1" si="2"/>
        <v>45938</v>
      </c>
      <c r="I149" s="29" t="str" cm="1">
        <f t="array" aca="1" ref="I149" ca="1">_xlfn.IFS(G149="Potency out of spec",CHOOSE(RANDBETWEEN(1,6),"Additional testing","Improve formulation","Update production SOP","Supplier evaluation","Training for operators","Equipment calibration"),
G149="PH Level out of range",CHOOSE(RANDBETWEEN(1,6),"PH monitoring","Adjust formulation","Update production SOP","Supplier evaluation","Training for operators","Equipment calibration"),
G149="Impurities out of limit",CHOOSE(RANDBETWEEN(1,6),"Improve purification","Raw material control","Update production SOP","Supplier evaluation","Training for operators","Equipment maintenance"),
G149="Process temp out of range",CHOOSE(RANDBETWEEN(1,6),"Temperature control","Update production SOP","Supplier evaluation","Training for operators",
"Equipment calibration","Preventive maintenance"),
G149="Dissolution rate low - 15 mins",CHOOSE(RANDBETWEEN(1,6),"Increase agitation","Reduce particle size","Update production SOP","Supplier evaluation",
"Training for operators","Equipment calibration"),
G149="Dissolution rate low - 30 mins",CHOOSE(RANDBETWEEN(1,6),"Increase disintegrant","Optimize granulation","Update production SOP","Supplier evaluation",
"Training for operators","Equipment calibration"),
G149="Dissolution rate low - 40 mins",CHOOSE(RANDBETWEEN(1,6),"Increase surface area","Optimize compression","Update production SOP","Supplier evaluation",
"Training for operators","Equipment calibration"),
G149="Dissolution rate high - 15 mins",CHOOSE(RANDBETWEEN(1,6),"Decrease agitation","Increase particle size","Update production SOP","Supplier evaluation","Training for operators","Equipment calibration"),
G149="Dissolution rate high - 30 mins",CHOOSE(RANDBETWEEN(1,6),"Decrease disintegrant","Optimize granulation","Update production SOP","Supplier evaluation","Training for operators","Equipment calibration"),
G149="Dissolution rate high - 40 mins",CHOOSE(RANDBETWEEN(1,6),"Decrease surface area","Optimize compression","Update production SOP","Supplier evaluation","Training for operators","Equipment calibration"))</f>
        <v>Update production SOP</v>
      </c>
    </row>
    <row r="150" spans="1:9" x14ac:dyDescent="0.35">
      <c r="A150" s="31">
        <v>200000575</v>
      </c>
      <c r="B150" s="31">
        <v>1010</v>
      </c>
      <c r="C150" s="31">
        <v>4135</v>
      </c>
      <c r="D150" s="29" t="s">
        <v>503</v>
      </c>
      <c r="E150" s="31">
        <v>68.2</v>
      </c>
      <c r="F150" s="34">
        <f ca="1">LOOKUP(C150,'QALS - Inspection Lot Record'!P:P,'QALS - Inspection Lot Record'!E:E)+RANDBETWEEN(0,1)</f>
        <v>45938</v>
      </c>
      <c r="G150" s="41" t="s">
        <v>480</v>
      </c>
      <c r="H150" s="34">
        <f t="shared" ca="1" si="2"/>
        <v>45940</v>
      </c>
      <c r="I150" s="29" t="str" cm="1">
        <f t="array" aca="1" ref="I150" ca="1">_xlfn.IFS(G150="Potency out of spec",CHOOSE(RANDBETWEEN(1,6),"Additional testing","Improve formulation","Update production SOP","Supplier evaluation","Training for operators","Equipment calibration"),
G150="PH Level out of range",CHOOSE(RANDBETWEEN(1,6),"PH monitoring","Adjust formulation","Update production SOP","Supplier evaluation","Training for operators","Equipment calibration"),
G150="Impurities out of limit",CHOOSE(RANDBETWEEN(1,6),"Improve purification","Raw material control","Update production SOP","Supplier evaluation","Training for operators","Equipment maintenance"),
G150="Process temp out of range",CHOOSE(RANDBETWEEN(1,6),"Temperature control","Update production SOP","Supplier evaluation","Training for operators",
"Equipment calibration","Preventive maintenance"),
G150="Dissolution rate low - 15 mins",CHOOSE(RANDBETWEEN(1,6),"Increase agitation","Reduce particle size","Update production SOP","Supplier evaluation",
"Training for operators","Equipment calibration"),
G150="Dissolution rate low - 30 mins",CHOOSE(RANDBETWEEN(1,6),"Increase disintegrant","Optimize granulation","Update production SOP","Supplier evaluation",
"Training for operators","Equipment calibration"),
G150="Dissolution rate low - 40 mins",CHOOSE(RANDBETWEEN(1,6),"Increase surface area","Optimize compression","Update production SOP","Supplier evaluation",
"Training for operators","Equipment calibration"),
G150="Dissolution rate high - 15 mins",CHOOSE(RANDBETWEEN(1,6),"Decrease agitation","Increase particle size","Update production SOP","Supplier evaluation","Training for operators","Equipment calibration"),
G150="Dissolution rate high - 30 mins",CHOOSE(RANDBETWEEN(1,6),"Decrease disintegrant","Optimize granulation","Update production SOP","Supplier evaluation","Training for operators","Equipment calibration"),
G150="Dissolution rate high - 40 mins",CHOOSE(RANDBETWEEN(1,6),"Decrease surface area","Optimize compression","Update production SOP","Supplier evaluation","Training for operators","Equipment calibration"))</f>
        <v>Update production SOP</v>
      </c>
    </row>
    <row r="151" spans="1:9" x14ac:dyDescent="0.35">
      <c r="A151" s="31">
        <v>200000575</v>
      </c>
      <c r="B151" s="31">
        <v>1010</v>
      </c>
      <c r="C151" s="31">
        <v>4135</v>
      </c>
      <c r="D151" s="29" t="s">
        <v>503</v>
      </c>
      <c r="E151" s="31">
        <v>78.3</v>
      </c>
      <c r="F151" s="34">
        <f ca="1">LOOKUP(C151,'QALS - Inspection Lot Record'!P:P,'QALS - Inspection Lot Record'!E:E)+RANDBETWEEN(0,1)</f>
        <v>45937</v>
      </c>
      <c r="G151" s="41" t="s">
        <v>486</v>
      </c>
      <c r="H151" s="34">
        <f t="shared" ca="1" si="2"/>
        <v>45939</v>
      </c>
      <c r="I151" s="29" t="str" cm="1">
        <f t="array" aca="1" ref="I151" ca="1">_xlfn.IFS(G151="Potency out of spec",CHOOSE(RANDBETWEEN(1,6),"Additional testing","Improve formulation","Update production SOP","Supplier evaluation","Training for operators","Equipment calibration"),
G151="PH Level out of range",CHOOSE(RANDBETWEEN(1,6),"PH monitoring","Adjust formulation","Update production SOP","Supplier evaluation","Training for operators","Equipment calibration"),
G151="Impurities out of limit",CHOOSE(RANDBETWEEN(1,6),"Improve purification","Raw material control","Update production SOP","Supplier evaluation","Training for operators","Equipment maintenance"),
G151="Process temp out of range",CHOOSE(RANDBETWEEN(1,6),"Temperature control","Update production SOP","Supplier evaluation","Training for operators",
"Equipment calibration","Preventive maintenance"),
G151="Dissolution rate low - 15 mins",CHOOSE(RANDBETWEEN(1,6),"Increase agitation","Reduce particle size","Update production SOP","Supplier evaluation",
"Training for operators","Equipment calibration"),
G151="Dissolution rate low - 30 mins",CHOOSE(RANDBETWEEN(1,6),"Increase disintegrant","Optimize granulation","Update production SOP","Supplier evaluation",
"Training for operators","Equipment calibration"),
G151="Dissolution rate low - 40 mins",CHOOSE(RANDBETWEEN(1,6),"Increase surface area","Optimize compression","Update production SOP","Supplier evaluation",
"Training for operators","Equipment calibration"),
G151="Dissolution rate high - 15 mins",CHOOSE(RANDBETWEEN(1,6),"Decrease agitation","Increase particle size","Update production SOP","Supplier evaluation","Training for operators","Equipment calibration"),
G151="Dissolution rate high - 30 mins",CHOOSE(RANDBETWEEN(1,6),"Decrease disintegrant","Optimize granulation","Update production SOP","Supplier evaluation","Training for operators","Equipment calibration"),
G151="Dissolution rate high - 40 mins",CHOOSE(RANDBETWEEN(1,6),"Decrease surface area","Optimize compression","Update production SOP","Supplier evaluation","Training for operators","Equipment calibration"))</f>
        <v>Increase surface area</v>
      </c>
    </row>
    <row r="152" spans="1:9" x14ac:dyDescent="0.35">
      <c r="A152" s="31">
        <v>200000575</v>
      </c>
      <c r="B152" s="31">
        <v>1010</v>
      </c>
      <c r="C152" s="31">
        <v>4135</v>
      </c>
      <c r="D152" s="29" t="s">
        <v>503</v>
      </c>
      <c r="E152" s="31">
        <v>22</v>
      </c>
      <c r="F152" s="34">
        <f ca="1">LOOKUP(C152,'QALS - Inspection Lot Record'!P:P,'QALS - Inspection Lot Record'!E:E)+RANDBETWEEN(0,1)</f>
        <v>45938</v>
      </c>
      <c r="G152" s="41" t="s">
        <v>483</v>
      </c>
      <c r="H152" s="34">
        <f t="shared" ca="1" si="2"/>
        <v>45939</v>
      </c>
      <c r="I152" s="29" t="str" cm="1">
        <f t="array" aca="1" ref="I152" ca="1">_xlfn.IFS(G152="Potency out of spec",CHOOSE(RANDBETWEEN(1,6),"Additional testing","Improve formulation","Update production SOP","Supplier evaluation","Training for operators","Equipment calibration"),
G152="PH Level out of range",CHOOSE(RANDBETWEEN(1,6),"PH monitoring","Adjust formulation","Update production SOP","Supplier evaluation","Training for operators","Equipment calibration"),
G152="Impurities out of limit",CHOOSE(RANDBETWEEN(1,6),"Improve purification","Raw material control","Update production SOP","Supplier evaluation","Training for operators","Equipment maintenance"),
G152="Process temp out of range",CHOOSE(RANDBETWEEN(1,6),"Temperature control","Update production SOP","Supplier evaluation","Training for operators",
"Equipment calibration","Preventive maintenance"),
G152="Dissolution rate low - 15 mins",CHOOSE(RANDBETWEEN(1,6),"Increase agitation","Reduce particle size","Update production SOP","Supplier evaluation",
"Training for operators","Equipment calibration"),
G152="Dissolution rate low - 30 mins",CHOOSE(RANDBETWEEN(1,6),"Increase disintegrant","Optimize granulation","Update production SOP","Supplier evaluation",
"Training for operators","Equipment calibration"),
G152="Dissolution rate low - 40 mins",CHOOSE(RANDBETWEEN(1,6),"Increase surface area","Optimize compression","Update production SOP","Supplier evaluation",
"Training for operators","Equipment calibration"),
G152="Dissolution rate high - 15 mins",CHOOSE(RANDBETWEEN(1,6),"Decrease agitation","Increase particle size","Update production SOP","Supplier evaluation","Training for operators","Equipment calibration"),
G152="Dissolution rate high - 30 mins",CHOOSE(RANDBETWEEN(1,6),"Decrease disintegrant","Optimize granulation","Update production SOP","Supplier evaluation","Training for operators","Equipment calibration"),
G152="Dissolution rate high - 40 mins",CHOOSE(RANDBETWEEN(1,6),"Decrease surface area","Optimize compression","Update production SOP","Supplier evaluation","Training for operators","Equipment calibration"))</f>
        <v>Equipment calibration</v>
      </c>
    </row>
    <row r="153" spans="1:9" x14ac:dyDescent="0.35">
      <c r="A153" s="31">
        <v>200000576</v>
      </c>
      <c r="B153" s="31">
        <v>1010</v>
      </c>
      <c r="C153" s="31">
        <v>4136</v>
      </c>
      <c r="D153" s="29" t="s">
        <v>431</v>
      </c>
      <c r="E153" s="31">
        <v>38.9</v>
      </c>
      <c r="F153" s="34">
        <f ca="1">LOOKUP(C153,'QALS - Inspection Lot Record'!P:P,'QALS - Inspection Lot Record'!E:E)+RANDBETWEEN(0,1)</f>
        <v>45937</v>
      </c>
      <c r="G153" s="41" t="s">
        <v>478</v>
      </c>
      <c r="H153" s="34">
        <f t="shared" ca="1" si="2"/>
        <v>45938</v>
      </c>
      <c r="I153" s="29" t="str" cm="1">
        <f t="array" aca="1" ref="I153" ca="1">_xlfn.IFS(G153="Potency out of spec",CHOOSE(RANDBETWEEN(1,6),"Additional testing","Improve formulation","Update production SOP","Supplier evaluation","Training for operators","Equipment calibration"),
G153="PH Level out of range",CHOOSE(RANDBETWEEN(1,6),"PH monitoring","Adjust formulation","Update production SOP","Supplier evaluation","Training for operators","Equipment calibration"),
G153="Impurities out of limit",CHOOSE(RANDBETWEEN(1,6),"Improve purification","Raw material control","Update production SOP","Supplier evaluation","Training for operators","Equipment maintenance"),
G153="Process temp out of range",CHOOSE(RANDBETWEEN(1,6),"Temperature control","Update production SOP","Supplier evaluation","Training for operators",
"Equipment calibration","Preventive maintenance"),
G153="Dissolution rate low - 15 mins",CHOOSE(RANDBETWEEN(1,6),"Increase agitation","Reduce particle size","Update production SOP","Supplier evaluation",
"Training for operators","Equipment calibration"),
G153="Dissolution rate low - 30 mins",CHOOSE(RANDBETWEEN(1,6),"Increase disintegrant","Optimize granulation","Update production SOP","Supplier evaluation",
"Training for operators","Equipment calibration"),
G153="Dissolution rate low - 40 mins",CHOOSE(RANDBETWEEN(1,6),"Increase surface area","Optimize compression","Update production SOP","Supplier evaluation",
"Training for operators","Equipment calibration"),
G153="Dissolution rate high - 15 mins",CHOOSE(RANDBETWEEN(1,6),"Decrease agitation","Increase particle size","Update production SOP","Supplier evaluation","Training for operators","Equipment calibration"),
G153="Dissolution rate high - 30 mins",CHOOSE(RANDBETWEEN(1,6),"Decrease disintegrant","Optimize granulation","Update production SOP","Supplier evaluation","Training for operators","Equipment calibration"),
G153="Dissolution rate high - 40 mins",CHOOSE(RANDBETWEEN(1,6),"Decrease surface area","Optimize compression","Update production SOP","Supplier evaluation","Training for operators","Equipment calibration"))</f>
        <v>Update production SOP</v>
      </c>
    </row>
    <row r="154" spans="1:9" x14ac:dyDescent="0.35">
      <c r="A154" s="31">
        <v>200000577</v>
      </c>
      <c r="B154" s="31">
        <v>1010</v>
      </c>
      <c r="C154" s="31">
        <v>4137</v>
      </c>
      <c r="D154" s="29" t="s">
        <v>429</v>
      </c>
      <c r="E154" s="31">
        <v>93.2</v>
      </c>
      <c r="F154" s="34">
        <f ca="1">LOOKUP(C154,'QALS - Inspection Lot Record'!P:P,'QALS - Inspection Lot Record'!E:E)+RANDBETWEEN(0,1)</f>
        <v>45939</v>
      </c>
      <c r="G154" s="41" t="s">
        <v>472</v>
      </c>
      <c r="H154" s="34">
        <f t="shared" ca="1" si="2"/>
        <v>45940</v>
      </c>
      <c r="I154" s="29" t="str" cm="1">
        <f t="array" aca="1" ref="I154" ca="1">_xlfn.IFS(G154="Potency out of spec",CHOOSE(RANDBETWEEN(1,6),"Additional testing","Improve formulation","Update production SOP","Supplier evaluation","Training for operators","Equipment calibration"),
G154="PH Level out of range",CHOOSE(RANDBETWEEN(1,6),"PH monitoring","Adjust formulation","Update production SOP","Supplier evaluation","Training for operators","Equipment calibration"),
G154="Impurities out of limit",CHOOSE(RANDBETWEEN(1,6),"Improve purification","Raw material control","Update production SOP","Supplier evaluation","Training for operators","Equipment maintenance"),
G154="Process temp out of range",CHOOSE(RANDBETWEEN(1,6),"Temperature control","Update production SOP","Supplier evaluation","Training for operators",
"Equipment calibration","Preventive maintenance"),
G154="Dissolution rate low - 15 mins",CHOOSE(RANDBETWEEN(1,6),"Increase agitation","Reduce particle size","Update production SOP","Supplier evaluation",
"Training for operators","Equipment calibration"),
G154="Dissolution rate low - 30 mins",CHOOSE(RANDBETWEEN(1,6),"Increase disintegrant","Optimize granulation","Update production SOP","Supplier evaluation",
"Training for operators","Equipment calibration"),
G154="Dissolution rate low - 40 mins",CHOOSE(RANDBETWEEN(1,6),"Increase surface area","Optimize compression","Update production SOP","Supplier evaluation",
"Training for operators","Equipment calibration"),
G154="Dissolution rate high - 15 mins",CHOOSE(RANDBETWEEN(1,6),"Decrease agitation","Increase particle size","Update production SOP","Supplier evaluation","Training for operators","Equipment calibration"),
G154="Dissolution rate high - 30 mins",CHOOSE(RANDBETWEEN(1,6),"Decrease disintegrant","Optimize granulation","Update production SOP","Supplier evaluation","Training for operators","Equipment calibration"),
G154="Dissolution rate high - 40 mins",CHOOSE(RANDBETWEEN(1,6),"Decrease surface area","Optimize compression","Update production SOP","Supplier evaluation","Training for operators","Equipment calibration"))</f>
        <v>Equipment calibration</v>
      </c>
    </row>
    <row r="155" spans="1:9" x14ac:dyDescent="0.35">
      <c r="A155" s="31">
        <v>200000578</v>
      </c>
      <c r="B155" s="31">
        <v>1010</v>
      </c>
      <c r="C155" s="31">
        <v>4138</v>
      </c>
      <c r="D155" s="29" t="s">
        <v>503</v>
      </c>
      <c r="E155" s="31">
        <v>93.5</v>
      </c>
      <c r="F155" s="34">
        <f ca="1">LOOKUP(C155,'QALS - Inspection Lot Record'!P:P,'QALS - Inspection Lot Record'!E:E)+RANDBETWEEN(0,1)</f>
        <v>45938</v>
      </c>
      <c r="G155" s="41" t="s">
        <v>472</v>
      </c>
      <c r="H155" s="34">
        <f t="shared" ca="1" si="2"/>
        <v>45940</v>
      </c>
      <c r="I155" s="29" t="str" cm="1">
        <f t="array" aca="1" ref="I155" ca="1">_xlfn.IFS(G155="Potency out of spec",CHOOSE(RANDBETWEEN(1,6),"Additional testing","Improve formulation","Update production SOP","Supplier evaluation","Training for operators","Equipment calibration"),
G155="PH Level out of range",CHOOSE(RANDBETWEEN(1,6),"PH monitoring","Adjust formulation","Update production SOP","Supplier evaluation","Training for operators","Equipment calibration"),
G155="Impurities out of limit",CHOOSE(RANDBETWEEN(1,6),"Improve purification","Raw material control","Update production SOP","Supplier evaluation","Training for operators","Equipment maintenance"),
G155="Process temp out of range",CHOOSE(RANDBETWEEN(1,6),"Temperature control","Update production SOP","Supplier evaluation","Training for operators",
"Equipment calibration","Preventive maintenance"),
G155="Dissolution rate low - 15 mins",CHOOSE(RANDBETWEEN(1,6),"Increase agitation","Reduce particle size","Update production SOP","Supplier evaluation",
"Training for operators","Equipment calibration"),
G155="Dissolution rate low - 30 mins",CHOOSE(RANDBETWEEN(1,6),"Increase disintegrant","Optimize granulation","Update production SOP","Supplier evaluation",
"Training for operators","Equipment calibration"),
G155="Dissolution rate low - 40 mins",CHOOSE(RANDBETWEEN(1,6),"Increase surface area","Optimize compression","Update production SOP","Supplier evaluation",
"Training for operators","Equipment calibration"),
G155="Dissolution rate high - 15 mins",CHOOSE(RANDBETWEEN(1,6),"Decrease agitation","Increase particle size","Update production SOP","Supplier evaluation","Training for operators","Equipment calibration"),
G155="Dissolution rate high - 30 mins",CHOOSE(RANDBETWEEN(1,6),"Decrease disintegrant","Optimize granulation","Update production SOP","Supplier evaluation","Training for operators","Equipment calibration"),
G155="Dissolution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56" spans="1:9" x14ac:dyDescent="0.35">
      <c r="A156" s="31">
        <v>200000579</v>
      </c>
      <c r="B156" s="31">
        <v>1010</v>
      </c>
      <c r="C156" s="31">
        <v>4139</v>
      </c>
      <c r="D156" s="29" t="s">
        <v>503</v>
      </c>
      <c r="E156" s="31">
        <v>21.7</v>
      </c>
      <c r="F156" s="34">
        <f ca="1">LOOKUP(C156,'QALS - Inspection Lot Record'!P:P,'QALS - Inspection Lot Record'!E:E)+RANDBETWEEN(0,1)</f>
        <v>45940</v>
      </c>
      <c r="G156" s="41" t="s">
        <v>483</v>
      </c>
      <c r="H156" s="34">
        <f t="shared" ca="1" si="2"/>
        <v>45940</v>
      </c>
      <c r="I156" s="29" t="str" cm="1">
        <f t="array" aca="1" ref="I156" ca="1">_xlfn.IFS(G156="Potency out of spec",CHOOSE(RANDBETWEEN(1,6),"Additional testing","Improve formulation","Update production SOP","Supplier evaluation","Training for operators","Equipment calibration"),
G156="PH Level out of range",CHOOSE(RANDBETWEEN(1,6),"PH monitoring","Adjust formulation","Update production SOP","Supplier evaluation","Training for operators","Equipment calibration"),
G156="Impurities out of limit",CHOOSE(RANDBETWEEN(1,6),"Improve purification","Raw material control","Update production SOP","Supplier evaluation","Training for operators","Equipment maintenance"),
G156="Process temp out of range",CHOOSE(RANDBETWEEN(1,6),"Temperature control","Update production SOP","Supplier evaluation","Training for operators",
"Equipment calibration","Preventive maintenance"),
G156="Dissolution rate low - 15 mins",CHOOSE(RANDBETWEEN(1,6),"Increase agitation","Reduce particle size","Update production SOP","Supplier evaluation",
"Training for operators","Equipment calibration"),
G156="Dissolution rate low - 30 mins",CHOOSE(RANDBETWEEN(1,6),"Increase disintegrant","Optimize granulation","Update production SOP","Supplier evaluation",
"Training for operators","Equipment calibration"),
G156="Dissolution rate low - 40 mins",CHOOSE(RANDBETWEEN(1,6),"Increase surface area","Optimize compression","Update production SOP","Supplier evaluation",
"Training for operators","Equipment calibration"),
G156="Dissolution rate high - 15 mins",CHOOSE(RANDBETWEEN(1,6),"Decrease agitation","Increase particle size","Update production SOP","Supplier evaluation","Training for operators","Equipment calibration"),
G156="Dissolution rate high - 30 mins",CHOOSE(RANDBETWEEN(1,6),"Decrease disintegrant","Optimize granulation","Update production SOP","Supplier evaluation","Training for operators","Equipment calibration"),
G156="Dissolution rate high - 40 mins",CHOOSE(RANDBETWEEN(1,6),"Decrease surface area","Optimize compression","Update production SOP","Supplier evaluation","Training for operators","Equipment calibration"))</f>
        <v>Update production SOP</v>
      </c>
    </row>
    <row r="157" spans="1:9" x14ac:dyDescent="0.35">
      <c r="A157" s="31">
        <v>200000580</v>
      </c>
      <c r="B157" s="31">
        <v>1010</v>
      </c>
      <c r="C157" s="31">
        <v>4141</v>
      </c>
      <c r="D157" s="29" t="s">
        <v>431</v>
      </c>
      <c r="E157" s="31">
        <v>2.1</v>
      </c>
      <c r="F157" s="34">
        <f ca="1">LOOKUP(C157,'QALS - Inspection Lot Record'!P:P,'QALS - Inspection Lot Record'!E:E)+RANDBETWEEN(0,1)</f>
        <v>45941</v>
      </c>
      <c r="G157" s="41" t="s">
        <v>476</v>
      </c>
      <c r="H157" s="34">
        <f t="shared" ca="1" si="2"/>
        <v>45941</v>
      </c>
      <c r="I157" s="29" t="str" cm="1">
        <f t="array" aca="1" ref="I157" ca="1">_xlfn.IFS(G157="Potency out of spec",CHOOSE(RANDBETWEEN(1,6),"Additional testing","Improve formulation","Update production SOP","Supplier evaluation","Training for operators","Equipment calibration"),
G157="PH Level out of range",CHOOSE(RANDBETWEEN(1,6),"PH monitoring","Adjust formulation","Update production SOP","Supplier evaluation","Training for operators","Equipment calibration"),
G157="Impurities out of limit",CHOOSE(RANDBETWEEN(1,6),"Improve purification","Raw material control","Update production SOP","Supplier evaluation","Training for operators","Equipment maintenance"),
G157="Process temp out of range",CHOOSE(RANDBETWEEN(1,6),"Temperature control","Update production SOP","Supplier evaluation","Training for operators",
"Equipment calibration","Preventive maintenance"),
G157="Dissolution rate low - 15 mins",CHOOSE(RANDBETWEEN(1,6),"Increase agitation","Reduce particle size","Update production SOP","Supplier evaluation",
"Training for operators","Equipment calibration"),
G157="Dissolution rate low - 30 mins",CHOOSE(RANDBETWEEN(1,6),"Increase disintegrant","Optimize granulation","Update production SOP","Supplier evaluation",
"Training for operators","Equipment calibration"),
G157="Dissolution rate low - 40 mins",CHOOSE(RANDBETWEEN(1,6),"Increase surface area","Optimize compression","Update production SOP","Supplier evaluation",
"Training for operators","Equipment calibration"),
G157="Dissolution rate high - 15 mins",CHOOSE(RANDBETWEEN(1,6),"Decrease agitation","Increase particle size","Update production SOP","Supplier evaluation","Training for operators","Equipment calibration"),
G157="Dissolution rate high - 30 mins",CHOOSE(RANDBETWEEN(1,6),"Decrease disintegrant","Optimize granulation","Update production SOP","Supplier evaluation","Training for operators","Equipment calibration"),
G157="Dissolution rate high - 40 mins",CHOOSE(RANDBETWEEN(1,6),"Decrease surface area","Optimize compression","Update production SOP","Supplier evaluation","Training for operators","Equipment calibration"))</f>
        <v>Improve purification</v>
      </c>
    </row>
    <row r="158" spans="1:9" x14ac:dyDescent="0.35">
      <c r="A158" s="31">
        <v>200000581</v>
      </c>
      <c r="B158" s="31">
        <v>1010</v>
      </c>
      <c r="C158" s="31">
        <v>4143</v>
      </c>
      <c r="D158" s="29" t="s">
        <v>433</v>
      </c>
      <c r="E158" s="31">
        <v>1.8</v>
      </c>
      <c r="F158" s="34">
        <f ca="1">LOOKUP(C158,'QALS - Inspection Lot Record'!P:P,'QALS - Inspection Lot Record'!E:E)+RANDBETWEEN(0,1)</f>
        <v>45942</v>
      </c>
      <c r="G158" s="41" t="s">
        <v>474</v>
      </c>
      <c r="H158" s="34">
        <f t="shared" ca="1" si="2"/>
        <v>45944</v>
      </c>
      <c r="I158" s="29" t="str" cm="1">
        <f t="array" aca="1" ref="I158" ca="1">_xlfn.IFS(G158="Potency out of spec",CHOOSE(RANDBETWEEN(1,6),"Additional testing","Improve formulation","Update production SOP","Supplier evaluation","Training for operators","Equipment calibration"),
G158="PH Level out of range",CHOOSE(RANDBETWEEN(1,6),"PH monitoring","Adjust formulation","Update production SOP","Supplier evaluation","Training for operators","Equipment calibration"),
G158="Impurities out of limit",CHOOSE(RANDBETWEEN(1,6),"Improve purification","Raw material control","Update production SOP","Supplier evaluation","Training for operators","Equipment maintenance"),
G158="Process temp out of range",CHOOSE(RANDBETWEEN(1,6),"Temperature control","Update production SOP","Supplier evaluation","Training for operators",
"Equipment calibration","Preventive maintenance"),
G158="Dissolution rate low - 15 mins",CHOOSE(RANDBETWEEN(1,6),"Increase agitation","Reduce particle size","Update production SOP","Supplier evaluation",
"Training for operators","Equipment calibration"),
G158="Dissolution rate low - 30 mins",CHOOSE(RANDBETWEEN(1,6),"Increase disintegrant","Optimize granulation","Update production SOP","Supplier evaluation",
"Training for operators","Equipment calibration"),
G158="Dissolution rate low - 40 mins",CHOOSE(RANDBETWEEN(1,6),"Increase surface area","Optimize compression","Update production SOP","Supplier evaluation",
"Training for operators","Equipment calibration"),
G158="Dissolution rate high - 15 mins",CHOOSE(RANDBETWEEN(1,6),"Decrease agitation","Increase particle size","Update production SOP","Supplier evaluation","Training for operators","Equipment calibration"),
G158="Dissolution rate high - 30 mins",CHOOSE(RANDBETWEEN(1,6),"Decrease disintegrant","Optimize granulation","Update production SOP","Supplier evaluation","Training for operators","Equipment calibration"),
G158="Dissolution rate high - 40 mins",CHOOSE(RANDBETWEEN(1,6),"Decrease surface area","Optimize compression","Update production SOP","Supplier evaluation","Training for operators","Equipment calibration"))</f>
        <v>Update production SOP</v>
      </c>
    </row>
    <row r="159" spans="1:9" x14ac:dyDescent="0.35">
      <c r="A159" s="31">
        <v>200000582</v>
      </c>
      <c r="B159" s="31">
        <v>1010</v>
      </c>
      <c r="C159" s="31">
        <v>4147</v>
      </c>
      <c r="D159" s="29" t="s">
        <v>504</v>
      </c>
      <c r="E159" s="31">
        <v>93.9</v>
      </c>
      <c r="F159" s="34">
        <f ca="1">LOOKUP(C159,'QALS - Inspection Lot Record'!P:P,'QALS - Inspection Lot Record'!E:E)+RANDBETWEEN(0,1)</f>
        <v>45944</v>
      </c>
      <c r="G159" s="41" t="s">
        <v>472</v>
      </c>
      <c r="H159" s="34">
        <f t="shared" ca="1" si="2"/>
        <v>45944</v>
      </c>
      <c r="I159" s="29" t="str" cm="1">
        <f t="array" aca="1" ref="I159" ca="1">_xlfn.IFS(G159="Potency out of spec",CHOOSE(RANDBETWEEN(1,6),"Additional testing","Improve formulation","Update production SOP","Supplier evaluation","Training for operators","Equipment calibration"),
G159="PH Level out of range",CHOOSE(RANDBETWEEN(1,6),"PH monitoring","Adjust formulation","Update production SOP","Supplier evaluation","Training for operators","Equipment calibration"),
G159="Impurities out of limit",CHOOSE(RANDBETWEEN(1,6),"Improve purification","Raw material control","Update production SOP","Supplier evaluation","Training for operators","Equipment maintenance"),
G159="Process temp out of range",CHOOSE(RANDBETWEEN(1,6),"Temperature control","Update production SOP","Supplier evaluation","Training for operators",
"Equipment calibration","Preventive maintenance"),
G159="Dissolution rate low - 15 mins",CHOOSE(RANDBETWEEN(1,6),"Increase agitation","Reduce particle size","Update production SOP","Supplier evaluation",
"Training for operators","Equipment calibration"),
G159="Dissolution rate low - 30 mins",CHOOSE(RANDBETWEEN(1,6),"Increase disintegrant","Optimize granulation","Update production SOP","Supplier evaluation",
"Training for operators","Equipment calibration"),
G159="Dissolution rate low - 40 mins",CHOOSE(RANDBETWEEN(1,6),"Increase surface area","Optimize compression","Update production SOP","Supplier evaluation",
"Training for operators","Equipment calibration"),
G159="Dissolution rate high - 15 mins",CHOOSE(RANDBETWEEN(1,6),"Decrease agitation","Increase particle size","Update production SOP","Supplier evaluation","Training for operators","Equipment calibration"),
G159="Dissolution rate high - 30 mins",CHOOSE(RANDBETWEEN(1,6),"Decrease disintegrant","Optimize granulation","Update production SOP","Supplier evaluation","Training for operators","Equipment calibration"),
G159="Dissolution rate high - 40 mins",CHOOSE(RANDBETWEEN(1,6),"Decrease surface area","Optimize compression","Update production SOP","Supplier evaluation","Training for operators","Equipment calibration"))</f>
        <v>Improve formulation</v>
      </c>
    </row>
    <row r="160" spans="1:9" x14ac:dyDescent="0.35">
      <c r="A160" s="31">
        <v>200000582</v>
      </c>
      <c r="B160" s="31">
        <v>1010</v>
      </c>
      <c r="C160" s="31">
        <v>4147</v>
      </c>
      <c r="D160" s="29" t="s">
        <v>504</v>
      </c>
      <c r="E160" s="31">
        <v>2.4</v>
      </c>
      <c r="F160" s="34">
        <f ca="1">LOOKUP(C160,'QALS - Inspection Lot Record'!P:P,'QALS - Inspection Lot Record'!E:E)+RANDBETWEEN(0,1)</f>
        <v>45944</v>
      </c>
      <c r="G160" s="41" t="s">
        <v>474</v>
      </c>
      <c r="H160" s="34">
        <f t="shared" ca="1" si="2"/>
        <v>45945</v>
      </c>
      <c r="I160" s="29" t="str" cm="1">
        <f t="array" aca="1" ref="I160" ca="1">_xlfn.IFS(G160="Potency out of spec",CHOOSE(RANDBETWEEN(1,6),"Additional testing","Improve formulation","Update production SOP","Supplier evaluation","Training for operators","Equipment calibration"),
G160="PH Level out of range",CHOOSE(RANDBETWEEN(1,6),"PH monitoring","Adjust formulation","Update production SOP","Supplier evaluation","Training for operators","Equipment calibration"),
G160="Impurities out of limit",CHOOSE(RANDBETWEEN(1,6),"Improve purification","Raw material control","Update production SOP","Supplier evaluation","Training for operators","Equipment maintenance"),
G160="Process temp out of range",CHOOSE(RANDBETWEEN(1,6),"Temperature control","Update production SOP","Supplier evaluation","Training for operators",
"Equipment calibration","Preventive maintenance"),
G160="Dissolution rate low - 15 mins",CHOOSE(RANDBETWEEN(1,6),"Increase agitation","Reduce particle size","Update production SOP","Supplier evaluation",
"Training for operators","Equipment calibration"),
G160="Dissolution rate low - 30 mins",CHOOSE(RANDBETWEEN(1,6),"Increase disintegrant","Optimize granulation","Update production SOP","Supplier evaluation",
"Training for operators","Equipment calibration"),
G160="Dissolution rate low - 40 mins",CHOOSE(RANDBETWEEN(1,6),"Increase surface area","Optimize compression","Update production SOP","Supplier evaluation",
"Training for operators","Equipment calibration"),
G160="Dissolution rate high - 15 mins",CHOOSE(RANDBETWEEN(1,6),"Decrease agitation","Increase particle size","Update production SOP","Supplier evaluation","Training for operators","Equipment calibration"),
G160="Dissolution rate high - 30 mins",CHOOSE(RANDBETWEEN(1,6),"Decrease disintegrant","Optimize granulation","Update production SOP","Supplier evaluation","Training for operators","Equipment calibration"),
G160="Dissolution rate high - 40 mins",CHOOSE(RANDBETWEEN(1,6),"Decrease surface area","Optimize compression","Update production SOP","Supplier evaluation","Training for operators","Equipment calibration"))</f>
        <v>Adjust formulation</v>
      </c>
    </row>
    <row r="161" spans="1:9" x14ac:dyDescent="0.35">
      <c r="A161" s="31">
        <v>200000583</v>
      </c>
      <c r="B161" s="31">
        <v>1010</v>
      </c>
      <c r="C161" s="31">
        <v>4148</v>
      </c>
      <c r="D161" s="29" t="s">
        <v>431</v>
      </c>
      <c r="E161" s="31">
        <v>68.2</v>
      </c>
      <c r="F161" s="34">
        <f ca="1">LOOKUP(C161,'QALS - Inspection Lot Record'!P:P,'QALS - Inspection Lot Record'!E:E)+RANDBETWEEN(0,1)</f>
        <v>45943</v>
      </c>
      <c r="G161" s="41" t="s">
        <v>480</v>
      </c>
      <c r="H161" s="34">
        <f t="shared" ca="1" si="2"/>
        <v>45944</v>
      </c>
      <c r="I161" s="29" t="str" cm="1">
        <f t="array" aca="1" ref="I161" ca="1">_xlfn.IFS(G161="Potency out of spec",CHOOSE(RANDBETWEEN(1,6),"Additional testing","Improve formulation","Update production SOP","Supplier evaluation","Training for operators","Equipment calibration"),
G161="PH Level out of range",CHOOSE(RANDBETWEEN(1,6),"PH monitoring","Adjust formulation","Update production SOP","Supplier evaluation","Training for operators","Equipment calibration"),
G161="Impurities out of limit",CHOOSE(RANDBETWEEN(1,6),"Improve purification","Raw material control","Update production SOP","Supplier evaluation","Training for operators","Equipment maintenance"),
G161="Process temp out of range",CHOOSE(RANDBETWEEN(1,6),"Temperature control","Update production SOP","Supplier evaluation","Training for operators",
"Equipment calibration","Preventive maintenance"),
G161="Dissolution rate low - 15 mins",CHOOSE(RANDBETWEEN(1,6),"Increase agitation","Reduce particle size","Update production SOP","Supplier evaluation",
"Training for operators","Equipment calibration"),
G161="Dissolution rate low - 30 mins",CHOOSE(RANDBETWEEN(1,6),"Increase disintegrant","Optimize granulation","Update production SOP","Supplier evaluation",
"Training for operators","Equipment calibration"),
G161="Dissolution rate low - 40 mins",CHOOSE(RANDBETWEEN(1,6),"Increase surface area","Optimize compression","Update production SOP","Supplier evaluation",
"Training for operators","Equipment calibration"),
G161="Dissolution rate high - 15 mins",CHOOSE(RANDBETWEEN(1,6),"Decrease agitation","Increase particle size","Update production SOP","Supplier evaluation","Training for operators","Equipment calibration"),
G161="Dissolution rate high - 30 mins",CHOOSE(RANDBETWEEN(1,6),"Decrease disintegrant","Optimize granulation","Update production SOP","Supplier evaluation","Training for operators","Equipment calibration"),
G161="Dissolution rate high - 40 mins",CHOOSE(RANDBETWEEN(1,6),"Decrease surface area","Optimize compression","Update production SOP","Supplier evaluation","Training for operators","Equipment calibration"))</f>
        <v>Equipment calibration</v>
      </c>
    </row>
    <row r="162" spans="1:9" x14ac:dyDescent="0.35">
      <c r="A162" s="31">
        <v>200000584</v>
      </c>
      <c r="B162" s="31">
        <v>1010</v>
      </c>
      <c r="C162" s="31">
        <v>4157</v>
      </c>
      <c r="D162" s="29" t="s">
        <v>433</v>
      </c>
      <c r="E162" s="31">
        <v>2.2000000000000002</v>
      </c>
      <c r="F162" s="34">
        <f ca="1">LOOKUP(C162,'QALS - Inspection Lot Record'!P:P,'QALS - Inspection Lot Record'!E:E)+RANDBETWEEN(0,1)</f>
        <v>45948</v>
      </c>
      <c r="G162" s="41" t="s">
        <v>474</v>
      </c>
      <c r="H162" s="34">
        <f t="shared" ca="1" si="2"/>
        <v>45950</v>
      </c>
      <c r="I162" s="29" t="str" cm="1">
        <f t="array" aca="1" ref="I162" ca="1">_xlfn.IFS(G162="Potency out of spec",CHOOSE(RANDBETWEEN(1,6),"Additional testing","Improve formulation","Update production SOP","Supplier evaluation","Training for operators","Equipment calibration"),
G162="PH Level out of range",CHOOSE(RANDBETWEEN(1,6),"PH monitoring","Adjust formulation","Update production SOP","Supplier evaluation","Training for operators","Equipment calibration"),
G162="Impurities out of limit",CHOOSE(RANDBETWEEN(1,6),"Improve purification","Raw material control","Update production SOP","Supplier evaluation","Training for operators","Equipment maintenance"),
G162="Process temp out of range",CHOOSE(RANDBETWEEN(1,6),"Temperature control","Update production SOP","Supplier evaluation","Training for operators",
"Equipment calibration","Preventive maintenance"),
G162="Dissolution rate low - 15 mins",CHOOSE(RANDBETWEEN(1,6),"Increase agitation","Reduce particle size","Update production SOP","Supplier evaluation",
"Training for operators","Equipment calibration"),
G162="Dissolution rate low - 30 mins",CHOOSE(RANDBETWEEN(1,6),"Increase disintegrant","Optimize granulation","Update production SOP","Supplier evaluation",
"Training for operators","Equipment calibration"),
G162="Dissolution rate low - 40 mins",CHOOSE(RANDBETWEEN(1,6),"Increase surface area","Optimize compression","Update production SOP","Supplier evaluation",
"Training for operators","Equipment calibration"),
G162="Dissolution rate high - 15 mins",CHOOSE(RANDBETWEEN(1,6),"Decrease agitation","Increase particle size","Update production SOP","Supplier evaluation","Training for operators","Equipment calibration"),
G162="Dissolution rate high - 30 mins",CHOOSE(RANDBETWEEN(1,6),"Decrease disintegrant","Optimize granulation","Update production SOP","Supplier evaluation","Training for operators","Equipment calibration"),
G162="Dissolution rate high - 40 mins",CHOOSE(RANDBETWEEN(1,6),"Decrease surface area","Optimize compression","Update production SOP","Supplier evaluation","Training for operators","Equipment calibration"))</f>
        <v>Adjust formulation</v>
      </c>
    </row>
    <row r="163" spans="1:9" x14ac:dyDescent="0.35">
      <c r="A163" s="31">
        <v>200000584</v>
      </c>
      <c r="B163" s="31">
        <v>1010</v>
      </c>
      <c r="C163" s="31">
        <v>4157</v>
      </c>
      <c r="D163" s="29" t="s">
        <v>433</v>
      </c>
      <c r="E163" s="31">
        <v>68.099999999999994</v>
      </c>
      <c r="F163" s="34">
        <f ca="1">LOOKUP(C163,'QALS - Inspection Lot Record'!P:P,'QALS - Inspection Lot Record'!E:E)+RANDBETWEEN(0,1)</f>
        <v>45949</v>
      </c>
      <c r="G163" s="41" t="s">
        <v>480</v>
      </c>
      <c r="H163" s="34">
        <f t="shared" ca="1" si="2"/>
        <v>45950</v>
      </c>
      <c r="I163" s="29" t="str" cm="1">
        <f t="array" aca="1" ref="I163" ca="1">_xlfn.IFS(G163="Potency out of spec",CHOOSE(RANDBETWEEN(1,6),"Additional testing","Improve formulation","Update production SOP","Supplier evaluation","Training for operators","Equipment calibration"),
G163="PH Level out of range",CHOOSE(RANDBETWEEN(1,6),"PH monitoring","Adjust formulation","Update production SOP","Supplier evaluation","Training for operators","Equipment calibration"),
G163="Impurities out of limit",CHOOSE(RANDBETWEEN(1,6),"Improve purification","Raw material control","Update production SOP","Supplier evaluation","Training for operators","Equipment maintenance"),
G163="Process temp out of range",CHOOSE(RANDBETWEEN(1,6),"Temperature control","Update production SOP","Supplier evaluation","Training for operators",
"Equipment calibration","Preventive maintenance"),
G163="Dissolution rate low - 15 mins",CHOOSE(RANDBETWEEN(1,6),"Increase agitation","Reduce particle size","Update production SOP","Supplier evaluation",
"Training for operators","Equipment calibration"),
G163="Dissolution rate low - 30 mins",CHOOSE(RANDBETWEEN(1,6),"Increase disintegrant","Optimize granulation","Update production SOP","Supplier evaluation",
"Training for operators","Equipment calibration"),
G163="Dissolution rate low - 40 mins",CHOOSE(RANDBETWEEN(1,6),"Increase surface area","Optimize compression","Update production SOP","Supplier evaluation",
"Training for operators","Equipment calibration"),
G163="Dissolution rate high - 15 mins",CHOOSE(RANDBETWEEN(1,6),"Decrease agitation","Increase particle size","Update production SOP","Supplier evaluation","Training for operators","Equipment calibration"),
G163="Dissolution rate high - 30 mins",CHOOSE(RANDBETWEEN(1,6),"Decrease disintegrant","Optimize granulation","Update production SOP","Supplier evaluation","Training for operators","Equipment calibration"),
G163="Dissolution rate high - 40 mins",CHOOSE(RANDBETWEEN(1,6),"Decrease surface area","Optimize compression","Update production SOP","Supplier evaluation","Training for operators","Equipment calibration"))</f>
        <v>Supplier evaluation</v>
      </c>
    </row>
    <row r="164" spans="1:9" x14ac:dyDescent="0.35">
      <c r="A164" s="31">
        <v>200000584</v>
      </c>
      <c r="B164" s="31">
        <v>1010</v>
      </c>
      <c r="C164" s="31">
        <v>4157</v>
      </c>
      <c r="D164" s="29" t="s">
        <v>433</v>
      </c>
      <c r="E164" s="31">
        <v>78.8</v>
      </c>
      <c r="F164" s="34">
        <f ca="1">LOOKUP(C164,'QALS - Inspection Lot Record'!P:P,'QALS - Inspection Lot Record'!E:E)+RANDBETWEEN(0,1)</f>
        <v>45948</v>
      </c>
      <c r="G164" s="41" t="s">
        <v>486</v>
      </c>
      <c r="H164" s="34">
        <f t="shared" ca="1" si="2"/>
        <v>45948</v>
      </c>
      <c r="I164" s="29" t="str" cm="1">
        <f t="array" aca="1" ref="I164" ca="1">_xlfn.IFS(G164="Potency out of spec",CHOOSE(RANDBETWEEN(1,6),"Additional testing","Improve formulation","Update production SOP","Supplier evaluation","Training for operators","Equipment calibration"),
G164="PH Level out of range",CHOOSE(RANDBETWEEN(1,6),"PH monitoring","Adjust formulation","Update production SOP","Supplier evaluation","Training for operators","Equipment calibration"),
G164="Impurities out of limit",CHOOSE(RANDBETWEEN(1,6),"Improve purification","Raw material control","Update production SOP","Supplier evaluation","Training for operators","Equipment maintenance"),
G164="Process temp out of range",CHOOSE(RANDBETWEEN(1,6),"Temperature control","Update production SOP","Supplier evaluation","Training for operators",
"Equipment calibration","Preventive maintenance"),
G164="Dissolution rate low - 15 mins",CHOOSE(RANDBETWEEN(1,6),"Increase agitation","Reduce particle size","Update production SOP","Supplier evaluation",
"Training for operators","Equipment calibration"),
G164="Dissolution rate low - 30 mins",CHOOSE(RANDBETWEEN(1,6),"Increase disintegrant","Optimize granulation","Update production SOP","Supplier evaluation",
"Training for operators","Equipment calibration"),
G164="Dissolution rate low - 40 mins",CHOOSE(RANDBETWEEN(1,6),"Increase surface area","Optimize compression","Update production SOP","Supplier evaluation",
"Training for operators","Equipment calibration"),
G164="Dissolution rate high - 15 mins",CHOOSE(RANDBETWEEN(1,6),"Decrease agitation","Increase particle size","Update production SOP","Supplier evaluation","Training for operators","Equipment calibration"),
G164="Dissolution rate high - 30 mins",CHOOSE(RANDBETWEEN(1,6),"Decrease disintegrant","Optimize granulation","Update production SOP","Supplier evaluation","Training for operators","Equipment calibration"),
G164="Dissolution rate high - 40 mins",CHOOSE(RANDBETWEEN(1,6),"Decrease surface area","Optimize compression","Update production SOP","Supplier evaluation","Training for operators","Equipment calibration"))</f>
        <v>Increase surface area</v>
      </c>
    </row>
    <row r="165" spans="1:9" x14ac:dyDescent="0.35">
      <c r="A165" s="31">
        <v>200000585</v>
      </c>
      <c r="B165" s="31">
        <v>1010</v>
      </c>
      <c r="C165" s="31">
        <v>4158</v>
      </c>
      <c r="D165" s="29" t="s">
        <v>503</v>
      </c>
      <c r="E165" s="31">
        <v>2.2000000000000002</v>
      </c>
      <c r="F165" s="34">
        <f ca="1">LOOKUP(C165,'QALS - Inspection Lot Record'!P:P,'QALS - Inspection Lot Record'!E:E)+RANDBETWEEN(0,1)</f>
        <v>45949</v>
      </c>
      <c r="G165" s="41" t="s">
        <v>474</v>
      </c>
      <c r="H165" s="34">
        <f t="shared" ca="1" si="2"/>
        <v>45951</v>
      </c>
      <c r="I165" s="29" t="str" cm="1">
        <f t="array" aca="1" ref="I165" ca="1">_xlfn.IFS(G165="Potency out of spec",CHOOSE(RANDBETWEEN(1,6),"Additional testing","Improve formulation","Update production SOP","Supplier evaluation","Training for operators","Equipment calibration"),
G165="PH Level out of range",CHOOSE(RANDBETWEEN(1,6),"PH monitoring","Adjust formulation","Update production SOP","Supplier evaluation","Training for operators","Equipment calibration"),
G165="Impurities out of limit",CHOOSE(RANDBETWEEN(1,6),"Improve purification","Raw material control","Update production SOP","Supplier evaluation","Training for operators","Equipment maintenance"),
G165="Process temp out of range",CHOOSE(RANDBETWEEN(1,6),"Temperature control","Update production SOP","Supplier evaluation","Training for operators",
"Equipment calibration","Preventive maintenance"),
G165="Dissolution rate low - 15 mins",CHOOSE(RANDBETWEEN(1,6),"Increase agitation","Reduce particle size","Update production SOP","Supplier evaluation",
"Training for operators","Equipment calibration"),
G165="Dissolution rate low - 30 mins",CHOOSE(RANDBETWEEN(1,6),"Increase disintegrant","Optimize granulation","Update production SOP","Supplier evaluation",
"Training for operators","Equipment calibration"),
G165="Dissolution rate low - 40 mins",CHOOSE(RANDBETWEEN(1,6),"Increase surface area","Optimize compression","Update production SOP","Supplier evaluation",
"Training for operators","Equipment calibration"),
G165="Dissolution rate high - 15 mins",CHOOSE(RANDBETWEEN(1,6),"Decrease agitation","Increase particle size","Update production SOP","Supplier evaluation","Training for operators","Equipment calibration"),
G165="Dissolution rate high - 30 mins",CHOOSE(RANDBETWEEN(1,6),"Decrease disintegrant","Optimize granulation","Update production SOP","Supplier evaluation","Training for operators","Equipment calibration"),
G165="Dissolution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66" spans="1:9" x14ac:dyDescent="0.35">
      <c r="A166" s="31">
        <v>200000585</v>
      </c>
      <c r="B166" s="31">
        <v>1010</v>
      </c>
      <c r="C166" s="31">
        <v>4158</v>
      </c>
      <c r="D166" s="29" t="s">
        <v>503</v>
      </c>
      <c r="E166" s="31">
        <v>38</v>
      </c>
      <c r="F166" s="34">
        <f ca="1">LOOKUP(C166,'QALS - Inspection Lot Record'!P:P,'QALS - Inspection Lot Record'!E:E)+RANDBETWEEN(0,1)</f>
        <v>45948</v>
      </c>
      <c r="G166" s="41" t="s">
        <v>478</v>
      </c>
      <c r="H166" s="34">
        <f t="shared" ca="1" si="2"/>
        <v>45950</v>
      </c>
      <c r="I166" s="29" t="str" cm="1">
        <f t="array" aca="1" ref="I166" ca="1">_xlfn.IFS(G166="Potency out of spec",CHOOSE(RANDBETWEEN(1,6),"Additional testing","Improve formulation","Update production SOP","Supplier evaluation","Training for operators","Equipment calibration"),
G166="PH Level out of range",CHOOSE(RANDBETWEEN(1,6),"PH monitoring","Adjust formulation","Update production SOP","Supplier evaluation","Training for operators","Equipment calibration"),
G166="Impurities out of limit",CHOOSE(RANDBETWEEN(1,6),"Improve purification","Raw material control","Update production SOP","Supplier evaluation","Training for operators","Equipment maintenance"),
G166="Process temp out of range",CHOOSE(RANDBETWEEN(1,6),"Temperature control","Update production SOP","Supplier evaluation","Training for operators",
"Equipment calibration","Preventive maintenance"),
G166="Dissolution rate low - 15 mins",CHOOSE(RANDBETWEEN(1,6),"Increase agitation","Reduce particle size","Update production SOP","Supplier evaluation",
"Training for operators","Equipment calibration"),
G166="Dissolution rate low - 30 mins",CHOOSE(RANDBETWEEN(1,6),"Increase disintegrant","Optimize granulation","Update production SOP","Supplier evaluation",
"Training for operators","Equipment calibration"),
G166="Dissolution rate low - 40 mins",CHOOSE(RANDBETWEEN(1,6),"Increase surface area","Optimize compression","Update production SOP","Supplier evaluation",
"Training for operators","Equipment calibration"),
G166="Dissolution rate high - 15 mins",CHOOSE(RANDBETWEEN(1,6),"Decrease agitation","Increase particle size","Update production SOP","Supplier evaluation","Training for operators","Equipment calibration"),
G166="Dissolution rate high - 30 mins",CHOOSE(RANDBETWEEN(1,6),"Decrease disintegrant","Optimize granulation","Update production SOP","Supplier evaluation","Training for operators","Equipment calibration"),
G166="Dissolution rate high - 40 mins",CHOOSE(RANDBETWEEN(1,6),"Decrease surface area","Optimize compression","Update production SOP","Supplier evaluation","Training for operators","Equipment calibration"))</f>
        <v>Increase agitation</v>
      </c>
    </row>
    <row r="167" spans="1:9" x14ac:dyDescent="0.35">
      <c r="A167" s="31">
        <v>200000585</v>
      </c>
      <c r="B167" s="31">
        <v>1010</v>
      </c>
      <c r="C167" s="31">
        <v>4158</v>
      </c>
      <c r="D167" s="29" t="s">
        <v>503</v>
      </c>
      <c r="E167" s="31">
        <v>68.900000000000006</v>
      </c>
      <c r="F167" s="34">
        <f ca="1">LOOKUP(C167,'QALS - Inspection Lot Record'!P:P,'QALS - Inspection Lot Record'!E:E)+RANDBETWEEN(0,1)</f>
        <v>45949</v>
      </c>
      <c r="G167" s="41" t="s">
        <v>480</v>
      </c>
      <c r="H167" s="34">
        <f t="shared" ca="1" si="2"/>
        <v>45949</v>
      </c>
      <c r="I167" s="29" t="str" cm="1">
        <f t="array" aca="1" ref="I167" ca="1">_xlfn.IFS(G167="Potency out of spec",CHOOSE(RANDBETWEEN(1,6),"Additional testing","Improve formulation","Update production SOP","Supplier evaluation","Training for operators","Equipment calibration"),
G167="PH Level out of range",CHOOSE(RANDBETWEEN(1,6),"PH monitoring","Adjust formulation","Update production SOP","Supplier evaluation","Training for operators","Equipment calibration"),
G167="Impurities out of limit",CHOOSE(RANDBETWEEN(1,6),"Improve purification","Raw material control","Update production SOP","Supplier evaluation","Training for operators","Equipment maintenance"),
G167="Process temp out of range",CHOOSE(RANDBETWEEN(1,6),"Temperature control","Update production SOP","Supplier evaluation","Training for operators",
"Equipment calibration","Preventive maintenance"),
G167="Dissolution rate low - 15 mins",CHOOSE(RANDBETWEEN(1,6),"Increase agitation","Reduce particle size","Update production SOP","Supplier evaluation",
"Training for operators","Equipment calibration"),
G167="Dissolution rate low - 30 mins",CHOOSE(RANDBETWEEN(1,6),"Increase disintegrant","Optimize granulation","Update production SOP","Supplier evaluation",
"Training for operators","Equipment calibration"),
G167="Dissolution rate low - 40 mins",CHOOSE(RANDBETWEEN(1,6),"Increase surface area","Optimize compression","Update production SOP","Supplier evaluation",
"Training for operators","Equipment calibration"),
G167="Dissolution rate high - 15 mins",CHOOSE(RANDBETWEEN(1,6),"Decrease agitation","Increase particle size","Update production SOP","Supplier evaluation","Training for operators","Equipment calibration"),
G167="Dissolution rate high - 30 mins",CHOOSE(RANDBETWEEN(1,6),"Decrease disintegrant","Optimize granulation","Update production SOP","Supplier evaluation","Training for operators","Equipment calibration"),
G167="Dissolution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68" spans="1:9" x14ac:dyDescent="0.35">
      <c r="A168" s="31">
        <v>200000585</v>
      </c>
      <c r="B168" s="31">
        <v>1010</v>
      </c>
      <c r="C168" s="31">
        <v>4158</v>
      </c>
      <c r="D168" s="29" t="s">
        <v>503</v>
      </c>
      <c r="E168" s="31">
        <v>78.599999999999994</v>
      </c>
      <c r="F168" s="34">
        <f ca="1">LOOKUP(C168,'QALS - Inspection Lot Record'!P:P,'QALS - Inspection Lot Record'!E:E)+RANDBETWEEN(0,1)</f>
        <v>45949</v>
      </c>
      <c r="G168" s="41" t="s">
        <v>486</v>
      </c>
      <c r="H168" s="34">
        <f t="shared" ca="1" si="2"/>
        <v>45950</v>
      </c>
      <c r="I168" s="29" t="str" cm="1">
        <f t="array" aca="1" ref="I168" ca="1">_xlfn.IFS(G168="Potency out of spec",CHOOSE(RANDBETWEEN(1,6),"Additional testing","Improve formulation","Update production SOP","Supplier evaluation","Training for operators","Equipment calibration"),
G168="PH Level out of range",CHOOSE(RANDBETWEEN(1,6),"PH monitoring","Adjust formulation","Update production SOP","Supplier evaluation","Training for operators","Equipment calibration"),
G168="Impurities out of limit",CHOOSE(RANDBETWEEN(1,6),"Improve purification","Raw material control","Update production SOP","Supplier evaluation","Training for operators","Equipment maintenance"),
G168="Process temp out of range",CHOOSE(RANDBETWEEN(1,6),"Temperature control","Update production SOP","Supplier evaluation","Training for operators",
"Equipment calibration","Preventive maintenance"),
G168="Dissolution rate low - 15 mins",CHOOSE(RANDBETWEEN(1,6),"Increase agitation","Reduce particle size","Update production SOP","Supplier evaluation",
"Training for operators","Equipment calibration"),
G168="Dissolution rate low - 30 mins",CHOOSE(RANDBETWEEN(1,6),"Increase disintegrant","Optimize granulation","Update production SOP","Supplier evaluation",
"Training for operators","Equipment calibration"),
G168="Dissolution rate low - 40 mins",CHOOSE(RANDBETWEEN(1,6),"Increase surface area","Optimize compression","Update production SOP","Supplier evaluation",
"Training for operators","Equipment calibration"),
G168="Dissolution rate high - 15 mins",CHOOSE(RANDBETWEEN(1,6),"Decrease agitation","Increase particle size","Update production SOP","Supplier evaluation","Training for operators","Equipment calibration"),
G168="Dissolution rate high - 30 mins",CHOOSE(RANDBETWEEN(1,6),"Decrease disintegrant","Optimize granulation","Update production SOP","Supplier evaluation","Training for operators","Equipment calibration"),
G168="Dissolution rate high - 40 mins",CHOOSE(RANDBETWEEN(1,6),"Decrease surface area","Optimize compression","Update production SOP","Supplier evaluation","Training for operators","Equipment calibration"))</f>
        <v>Equipment calibration</v>
      </c>
    </row>
    <row r="169" spans="1:9" x14ac:dyDescent="0.35">
      <c r="A169" s="31">
        <v>200000586</v>
      </c>
      <c r="B169" s="31">
        <v>1010</v>
      </c>
      <c r="C169" s="31">
        <v>4161</v>
      </c>
      <c r="D169" s="29" t="s">
        <v>433</v>
      </c>
      <c r="E169" s="31">
        <v>1.5</v>
      </c>
      <c r="F169" s="34">
        <f ca="1">LOOKUP(C169,'QALS - Inspection Lot Record'!P:P,'QALS - Inspection Lot Record'!E:E)+RANDBETWEEN(0,1)</f>
        <v>45951</v>
      </c>
      <c r="G169" s="41" t="s">
        <v>474</v>
      </c>
      <c r="H169" s="34">
        <f t="shared" ca="1" si="2"/>
        <v>45951</v>
      </c>
      <c r="I169" s="29" t="str" cm="1">
        <f t="array" aca="1" ref="I169" ca="1">_xlfn.IFS(G169="Potency out of spec",CHOOSE(RANDBETWEEN(1,6),"Additional testing","Improve formulation","Update production SOP","Supplier evaluation","Training for operators","Equipment calibration"),
G169="PH Level out of range",CHOOSE(RANDBETWEEN(1,6),"PH monitoring","Adjust formulation","Update production SOP","Supplier evaluation","Training for operators","Equipment calibration"),
G169="Impurities out of limit",CHOOSE(RANDBETWEEN(1,6),"Improve purification","Raw material control","Update production SOP","Supplier evaluation","Training for operators","Equipment maintenance"),
G169="Process temp out of range",CHOOSE(RANDBETWEEN(1,6),"Temperature control","Update production SOP","Supplier evaluation","Training for operators",
"Equipment calibration","Preventive maintenance"),
G169="Dissolution rate low - 15 mins",CHOOSE(RANDBETWEEN(1,6),"Increase agitation","Reduce particle size","Update production SOP","Supplier evaluation",
"Training for operators","Equipment calibration"),
G169="Dissolution rate low - 30 mins",CHOOSE(RANDBETWEEN(1,6),"Increase disintegrant","Optimize granulation","Update production SOP","Supplier evaluation",
"Training for operators","Equipment calibration"),
G169="Dissolution rate low - 40 mins",CHOOSE(RANDBETWEEN(1,6),"Increase surface area","Optimize compression","Update production SOP","Supplier evaluation",
"Training for operators","Equipment calibration"),
G169="Dissolution rate high - 15 mins",CHOOSE(RANDBETWEEN(1,6),"Decrease agitation","Increase particle size","Update production SOP","Supplier evaluation","Training for operators","Equipment calibration"),
G169="Dissolution rate high - 30 mins",CHOOSE(RANDBETWEEN(1,6),"Decrease disintegrant","Optimize granulation","Update production SOP","Supplier evaluation","Training for operators","Equipment calibration"),
G169="Dissolution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70" spans="1:9" x14ac:dyDescent="0.35">
      <c r="A170" s="31">
        <v>200000586</v>
      </c>
      <c r="B170" s="31">
        <v>1010</v>
      </c>
      <c r="C170" s="31">
        <v>4161</v>
      </c>
      <c r="D170" s="29" t="s">
        <v>433</v>
      </c>
      <c r="E170" s="31">
        <v>68.3</v>
      </c>
      <c r="F170" s="34">
        <f ca="1">LOOKUP(C170,'QALS - Inspection Lot Record'!P:P,'QALS - Inspection Lot Record'!E:E)+RANDBETWEEN(0,1)</f>
        <v>45950</v>
      </c>
      <c r="G170" s="41" t="s">
        <v>480</v>
      </c>
      <c r="H170" s="34">
        <f t="shared" ca="1" si="2"/>
        <v>45952</v>
      </c>
      <c r="I170" s="29" t="str" cm="1">
        <f t="array" aca="1" ref="I170" ca="1">_xlfn.IFS(G170="Potency out of spec",CHOOSE(RANDBETWEEN(1,6),"Additional testing","Improve formulation","Update production SOP","Supplier evaluation","Training for operators","Equipment calibration"),
G170="PH Level out of range",CHOOSE(RANDBETWEEN(1,6),"PH monitoring","Adjust formulation","Update production SOP","Supplier evaluation","Training for operators","Equipment calibration"),
G170="Impurities out of limit",CHOOSE(RANDBETWEEN(1,6),"Improve purification","Raw material control","Update production SOP","Supplier evaluation","Training for operators","Equipment maintenance"),
G170="Process temp out of range",CHOOSE(RANDBETWEEN(1,6),"Temperature control","Update production SOP","Supplier evaluation","Training for operators",
"Equipment calibration","Preventive maintenance"),
G170="Dissolution rate low - 15 mins",CHOOSE(RANDBETWEEN(1,6),"Increase agitation","Reduce particle size","Update production SOP","Supplier evaluation",
"Training for operators","Equipment calibration"),
G170="Dissolution rate low - 30 mins",CHOOSE(RANDBETWEEN(1,6),"Increase disintegrant","Optimize granulation","Update production SOP","Supplier evaluation",
"Training for operators","Equipment calibration"),
G170="Dissolution rate low - 40 mins",CHOOSE(RANDBETWEEN(1,6),"Increase surface area","Optimize compression","Update production SOP","Supplier evaluation",
"Training for operators","Equipment calibration"),
G170="Dissolution rate high - 15 mins",CHOOSE(RANDBETWEEN(1,6),"Decrease agitation","Increase particle size","Update production SOP","Supplier evaluation","Training for operators","Equipment calibration"),
G170="Dissolution rate high - 30 mins",CHOOSE(RANDBETWEEN(1,6),"Decrease disintegrant","Optimize granulation","Update production SOP","Supplier evaluation","Training for operators","Equipment calibration"),
G170="Dissolution rate high - 40 mins",CHOOSE(RANDBETWEEN(1,6),"Decrease surface area","Optimize compression","Update production SOP","Supplier evaluation","Training for operators","Equipment calibration"))</f>
        <v>Equipment calibration</v>
      </c>
    </row>
    <row r="171" spans="1:9" x14ac:dyDescent="0.35">
      <c r="A171" s="31">
        <v>200000586</v>
      </c>
      <c r="B171" s="31">
        <v>1010</v>
      </c>
      <c r="C171" s="31">
        <v>4161</v>
      </c>
      <c r="D171" s="29" t="s">
        <v>433</v>
      </c>
      <c r="E171" s="31">
        <v>78</v>
      </c>
      <c r="F171" s="34">
        <f ca="1">LOOKUP(C171,'QALS - Inspection Lot Record'!P:P,'QALS - Inspection Lot Record'!E:E)+RANDBETWEEN(0,1)</f>
        <v>45951</v>
      </c>
      <c r="G171" s="41" t="s">
        <v>486</v>
      </c>
      <c r="H171" s="34">
        <f t="shared" ca="1" si="2"/>
        <v>45951</v>
      </c>
      <c r="I171" s="29" t="str" cm="1">
        <f t="array" aca="1" ref="I171" ca="1">_xlfn.IFS(G171="Potency out of spec",CHOOSE(RANDBETWEEN(1,6),"Additional testing","Improve formulation","Update production SOP","Supplier evaluation","Training for operators","Equipment calibration"),
G171="PH Level out of range",CHOOSE(RANDBETWEEN(1,6),"PH monitoring","Adjust formulation","Update production SOP","Supplier evaluation","Training for operators","Equipment calibration"),
G171="Impurities out of limit",CHOOSE(RANDBETWEEN(1,6),"Improve purification","Raw material control","Update production SOP","Supplier evaluation","Training for operators","Equipment maintenance"),
G171="Process temp out of range",CHOOSE(RANDBETWEEN(1,6),"Temperature control","Update production SOP","Supplier evaluation","Training for operators",
"Equipment calibration","Preventive maintenance"),
G171="Dissolution rate low - 15 mins",CHOOSE(RANDBETWEEN(1,6),"Increase agitation","Reduce particle size","Update production SOP","Supplier evaluation",
"Training for operators","Equipment calibration"),
G171="Dissolution rate low - 30 mins",CHOOSE(RANDBETWEEN(1,6),"Increase disintegrant","Optimize granulation","Update production SOP","Supplier evaluation",
"Training for operators","Equipment calibration"),
G171="Dissolution rate low - 40 mins",CHOOSE(RANDBETWEEN(1,6),"Increase surface area","Optimize compression","Update production SOP","Supplier evaluation",
"Training for operators","Equipment calibration"),
G171="Dissolution rate high - 15 mins",CHOOSE(RANDBETWEEN(1,6),"Decrease agitation","Increase particle size","Update production SOP","Supplier evaluation","Training for operators","Equipment calibration"),
G171="Dissolution rate high - 30 mins",CHOOSE(RANDBETWEEN(1,6),"Decrease disintegrant","Optimize granulation","Update production SOP","Supplier evaluation","Training for operators","Equipment calibration"),
G171="Dissolution rate high - 40 mins",CHOOSE(RANDBETWEEN(1,6),"Decrease surface area","Optimize compression","Update production SOP","Supplier evaluation","Training for operators","Equipment calibration"))</f>
        <v>Increase surface area</v>
      </c>
    </row>
    <row r="172" spans="1:9" x14ac:dyDescent="0.35">
      <c r="A172" s="31">
        <v>200000587</v>
      </c>
      <c r="B172" s="31">
        <v>1010</v>
      </c>
      <c r="C172" s="31">
        <v>4162</v>
      </c>
      <c r="D172" s="29" t="s">
        <v>429</v>
      </c>
      <c r="E172" s="31">
        <v>69</v>
      </c>
      <c r="F172" s="34">
        <f ca="1">LOOKUP(C172,'QALS - Inspection Lot Record'!P:P,'QALS - Inspection Lot Record'!E:E)+RANDBETWEEN(0,1)</f>
        <v>45950</v>
      </c>
      <c r="G172" s="41" t="s">
        <v>480</v>
      </c>
      <c r="H172" s="34">
        <f t="shared" ca="1" si="2"/>
        <v>45950</v>
      </c>
      <c r="I172" s="29" t="str" cm="1">
        <f t="array" aca="1" ref="I172" ca="1">_xlfn.IFS(G172="Potency out of spec",CHOOSE(RANDBETWEEN(1,6),"Additional testing","Improve formulation","Update production SOP","Supplier evaluation","Training for operators","Equipment calibration"),
G172="PH Level out of range",CHOOSE(RANDBETWEEN(1,6),"PH monitoring","Adjust formulation","Update production SOP","Supplier evaluation","Training for operators","Equipment calibration"),
G172="Impurities out of limit",CHOOSE(RANDBETWEEN(1,6),"Improve purification","Raw material control","Update production SOP","Supplier evaluation","Training for operators","Equipment maintenance"),
G172="Process temp out of range",CHOOSE(RANDBETWEEN(1,6),"Temperature control","Update production SOP","Supplier evaluation","Training for operators",
"Equipment calibration","Preventive maintenance"),
G172="Dissolution rate low - 15 mins",CHOOSE(RANDBETWEEN(1,6),"Increase agitation","Reduce particle size","Update production SOP","Supplier evaluation",
"Training for operators","Equipment calibration"),
G172="Dissolution rate low - 30 mins",CHOOSE(RANDBETWEEN(1,6),"Increase disintegrant","Optimize granulation","Update production SOP","Supplier evaluation",
"Training for operators","Equipment calibration"),
G172="Dissolution rate low - 40 mins",CHOOSE(RANDBETWEEN(1,6),"Increase surface area","Optimize compression","Update production SOP","Supplier evaluation",
"Training for operators","Equipment calibration"),
G172="Dissolution rate high - 15 mins",CHOOSE(RANDBETWEEN(1,6),"Decrease agitation","Increase particle size","Update production SOP","Supplier evaluation","Training for operators","Equipment calibration"),
G172="Dissolution rate high - 30 mins",CHOOSE(RANDBETWEEN(1,6),"Decrease disintegrant","Optimize granulation","Update production SOP","Supplier evaluation","Training for operators","Equipment calibration"),
G172="Dissolution rate high - 40 mins",CHOOSE(RANDBETWEEN(1,6),"Decrease surface area","Optimize compression","Update production SOP","Supplier evaluation","Training for operators","Equipment calibration"))</f>
        <v>Increase disintegrant</v>
      </c>
    </row>
    <row r="173" spans="1:9" x14ac:dyDescent="0.35">
      <c r="A173" s="31">
        <v>200000587</v>
      </c>
      <c r="B173" s="31">
        <v>1010</v>
      </c>
      <c r="C173" s="31">
        <v>4162</v>
      </c>
      <c r="D173" s="29" t="s">
        <v>429</v>
      </c>
      <c r="E173" s="31">
        <v>78.2</v>
      </c>
      <c r="F173" s="34">
        <f ca="1">LOOKUP(C173,'QALS - Inspection Lot Record'!P:P,'QALS - Inspection Lot Record'!E:E)+RANDBETWEEN(0,1)</f>
        <v>45951</v>
      </c>
      <c r="G173" s="41" t="s">
        <v>486</v>
      </c>
      <c r="H173" s="34">
        <f t="shared" ca="1" si="2"/>
        <v>45953</v>
      </c>
      <c r="I173" s="29" t="str" cm="1">
        <f t="array" aca="1" ref="I173" ca="1">_xlfn.IFS(G173="Potency out of spec",CHOOSE(RANDBETWEEN(1,6),"Additional testing","Improve formulation","Update production SOP","Supplier evaluation","Training for operators","Equipment calibration"),
G173="PH Level out of range",CHOOSE(RANDBETWEEN(1,6),"PH monitoring","Adjust formulation","Update production SOP","Supplier evaluation","Training for operators","Equipment calibration"),
G173="Impurities out of limit",CHOOSE(RANDBETWEEN(1,6),"Improve purification","Raw material control","Update production SOP","Supplier evaluation","Training for operators","Equipment maintenance"),
G173="Process temp out of range",CHOOSE(RANDBETWEEN(1,6),"Temperature control","Update production SOP","Supplier evaluation","Training for operators",
"Equipment calibration","Preventive maintenance"),
G173="Dissolution rate low - 15 mins",CHOOSE(RANDBETWEEN(1,6),"Increase agitation","Reduce particle size","Update production SOP","Supplier evaluation",
"Training for operators","Equipment calibration"),
G173="Dissolution rate low - 30 mins",CHOOSE(RANDBETWEEN(1,6),"Increase disintegrant","Optimize granulation","Update production SOP","Supplier evaluation",
"Training for operators","Equipment calibration"),
G173="Dissolution rate low - 40 mins",CHOOSE(RANDBETWEEN(1,6),"Increase surface area","Optimize compression","Update production SOP","Supplier evaluation",
"Training for operators","Equipment calibration"),
G173="Dissolution rate high - 15 mins",CHOOSE(RANDBETWEEN(1,6),"Decrease agitation","Increase particle size","Update production SOP","Supplier evaluation","Training for operators","Equipment calibration"),
G173="Dissolution rate high - 30 mins",CHOOSE(RANDBETWEEN(1,6),"Decrease disintegrant","Optimize granulation","Update production SOP","Supplier evaluation","Training for operators","Equipment calibration"),
G173="Dissolution rate high - 40 mins",CHOOSE(RANDBETWEEN(1,6),"Decrease surface area","Optimize compression","Update production SOP","Supplier evaluation","Training for operators","Equipment calibration"))</f>
        <v>Optimize compression</v>
      </c>
    </row>
    <row r="174" spans="1:9" x14ac:dyDescent="0.35">
      <c r="A174" s="31">
        <v>200000588</v>
      </c>
      <c r="B174" s="31">
        <v>1010</v>
      </c>
      <c r="C174" s="31">
        <v>4165</v>
      </c>
      <c r="D174" s="29" t="s">
        <v>503</v>
      </c>
      <c r="E174" s="31">
        <v>2</v>
      </c>
      <c r="F174" s="34">
        <f ca="1">LOOKUP(C174,'QALS - Inspection Lot Record'!P:P,'QALS - Inspection Lot Record'!E:E)+RANDBETWEEN(0,1)</f>
        <v>45953</v>
      </c>
      <c r="G174" s="41" t="s">
        <v>474</v>
      </c>
      <c r="H174" s="34">
        <f t="shared" ca="1" si="2"/>
        <v>45953</v>
      </c>
      <c r="I174" s="29" t="str" cm="1">
        <f t="array" aca="1" ref="I174" ca="1">_xlfn.IFS(G174="Potency out of spec",CHOOSE(RANDBETWEEN(1,6),"Additional testing","Improve formulation","Update production SOP","Supplier evaluation","Training for operators","Equipment calibration"),
G174="PH Level out of range",CHOOSE(RANDBETWEEN(1,6),"PH monitoring","Adjust formulation","Update production SOP","Supplier evaluation","Training for operators","Equipment calibration"),
G174="Impurities out of limit",CHOOSE(RANDBETWEEN(1,6),"Improve purification","Raw material control","Update production SOP","Supplier evaluation","Training for operators","Equipment maintenance"),
G174="Process temp out of range",CHOOSE(RANDBETWEEN(1,6),"Temperature control","Update production SOP","Supplier evaluation","Training for operators",
"Equipment calibration","Preventive maintenance"),
G174="Dissolution rate low - 15 mins",CHOOSE(RANDBETWEEN(1,6),"Increase agitation","Reduce particle size","Update production SOP","Supplier evaluation",
"Training for operators","Equipment calibration"),
G174="Dissolution rate low - 30 mins",CHOOSE(RANDBETWEEN(1,6),"Increase disintegrant","Optimize granulation","Update production SOP","Supplier evaluation",
"Training for operators","Equipment calibration"),
G174="Dissolution rate low - 40 mins",CHOOSE(RANDBETWEEN(1,6),"Increase surface area","Optimize compression","Update production SOP","Supplier evaluation",
"Training for operators","Equipment calibration"),
G174="Dissolution rate high - 15 mins",CHOOSE(RANDBETWEEN(1,6),"Decrease agitation","Increase particle size","Update production SOP","Supplier evaluation","Training for operators","Equipment calibration"),
G174="Dissolution rate high - 30 mins",CHOOSE(RANDBETWEEN(1,6),"Decrease disintegrant","Optimize granulation","Update production SOP","Supplier evaluation","Training for operators","Equipment calibration"),
G174="Dissolution rate high - 40 mins",CHOOSE(RANDBETWEEN(1,6),"Decrease surface area","Optimize compression","Update production SOP","Supplier evaluation","Training for operators","Equipment calibration"))</f>
        <v>Equipment calibration</v>
      </c>
    </row>
    <row r="175" spans="1:9" x14ac:dyDescent="0.35">
      <c r="A175" s="31">
        <v>200000588</v>
      </c>
      <c r="B175" s="31">
        <v>1010</v>
      </c>
      <c r="C175" s="31">
        <v>4165</v>
      </c>
      <c r="D175" s="29" t="s">
        <v>503</v>
      </c>
      <c r="E175" s="31">
        <v>1.6</v>
      </c>
      <c r="F175" s="34">
        <f ca="1">LOOKUP(C175,'QALS - Inspection Lot Record'!P:P,'QALS - Inspection Lot Record'!E:E)+RANDBETWEEN(0,1)</f>
        <v>45952</v>
      </c>
      <c r="G175" s="41" t="s">
        <v>476</v>
      </c>
      <c r="H175" s="34">
        <f t="shared" ca="1" si="2"/>
        <v>45954</v>
      </c>
      <c r="I175" s="29" t="str" cm="1">
        <f t="array" aca="1" ref="I175" ca="1">_xlfn.IFS(G175="Potency out of spec",CHOOSE(RANDBETWEEN(1,6),"Additional testing","Improve formulation","Update production SOP","Supplier evaluation","Training for operators","Equipment calibration"),
G175="PH Level out of range",CHOOSE(RANDBETWEEN(1,6),"PH monitoring","Adjust formulation","Update production SOP","Supplier evaluation","Training for operators","Equipment calibration"),
G175="Impurities out of limit",CHOOSE(RANDBETWEEN(1,6),"Improve purification","Raw material control","Update production SOP","Supplier evaluation","Training for operators","Equipment maintenance"),
G175="Process temp out of range",CHOOSE(RANDBETWEEN(1,6),"Temperature control","Update production SOP","Supplier evaluation","Training for operators",
"Equipment calibration","Preventive maintenance"),
G175="Dissolution rate low - 15 mins",CHOOSE(RANDBETWEEN(1,6),"Increase agitation","Reduce particle size","Update production SOP","Supplier evaluation",
"Training for operators","Equipment calibration"),
G175="Dissolution rate low - 30 mins",CHOOSE(RANDBETWEEN(1,6),"Increase disintegrant","Optimize granulation","Update production SOP","Supplier evaluation",
"Training for operators","Equipment calibration"),
G175="Dissolution rate low - 40 mins",CHOOSE(RANDBETWEEN(1,6),"Increase surface area","Optimize compression","Update production SOP","Supplier evaluation",
"Training for operators","Equipment calibration"),
G175="Dissolution rate high - 15 mins",CHOOSE(RANDBETWEEN(1,6),"Decrease agitation","Increase particle size","Update production SOP","Supplier evaluation","Training for operators","Equipment calibration"),
G175="Dissolution rate high - 30 mins",CHOOSE(RANDBETWEEN(1,6),"Decrease disintegrant","Optimize granulation","Update production SOP","Supplier evaluation","Training for operators","Equipment calibration"),
G175="Dissolution rate high - 40 mins",CHOOSE(RANDBETWEEN(1,6),"Decrease surface area","Optimize compression","Update production SOP","Supplier evaluation","Training for operators","Equipment calibration"))</f>
        <v>Supplier evaluation</v>
      </c>
    </row>
    <row r="176" spans="1:9" x14ac:dyDescent="0.35">
      <c r="A176" s="31">
        <v>200000588</v>
      </c>
      <c r="B176" s="31">
        <v>1010</v>
      </c>
      <c r="C176" s="31">
        <v>4165</v>
      </c>
      <c r="D176" s="29" t="s">
        <v>503</v>
      </c>
      <c r="E176" s="31">
        <v>78.599999999999994</v>
      </c>
      <c r="F176" s="34">
        <f ca="1">LOOKUP(C176,'QALS - Inspection Lot Record'!P:P,'QALS - Inspection Lot Record'!E:E)+RANDBETWEEN(0,1)</f>
        <v>45952</v>
      </c>
      <c r="G176" s="41" t="s">
        <v>486</v>
      </c>
      <c r="H176" s="34">
        <f t="shared" ca="1" si="2"/>
        <v>45953</v>
      </c>
      <c r="I176" s="29" t="str" cm="1">
        <f t="array" aca="1" ref="I176" ca="1">_xlfn.IFS(G176="Potency out of spec",CHOOSE(RANDBETWEEN(1,6),"Additional testing","Improve formulation","Update production SOP","Supplier evaluation","Training for operators","Equipment calibration"),
G176="PH Level out of range",CHOOSE(RANDBETWEEN(1,6),"PH monitoring","Adjust formulation","Update production SOP","Supplier evaluation","Training for operators","Equipment calibration"),
G176="Impurities out of limit",CHOOSE(RANDBETWEEN(1,6),"Improve purification","Raw material control","Update production SOP","Supplier evaluation","Training for operators","Equipment maintenance"),
G176="Process temp out of range",CHOOSE(RANDBETWEEN(1,6),"Temperature control","Update production SOP","Supplier evaluation","Training for operators",
"Equipment calibration","Preventive maintenance"),
G176="Dissolution rate low - 15 mins",CHOOSE(RANDBETWEEN(1,6),"Increase agitation","Reduce particle size","Update production SOP","Supplier evaluation",
"Training for operators","Equipment calibration"),
G176="Dissolution rate low - 30 mins",CHOOSE(RANDBETWEEN(1,6),"Increase disintegrant","Optimize granulation","Update production SOP","Supplier evaluation",
"Training for operators","Equipment calibration"),
G176="Dissolution rate low - 40 mins",CHOOSE(RANDBETWEEN(1,6),"Increase surface area","Optimize compression","Update production SOP","Supplier evaluation",
"Training for operators","Equipment calibration"),
G176="Dissolution rate high - 15 mins",CHOOSE(RANDBETWEEN(1,6),"Decrease agitation","Increase particle size","Update production SOP","Supplier evaluation","Training for operators","Equipment calibration"),
G176="Dissolution rate high - 30 mins",CHOOSE(RANDBETWEEN(1,6),"Decrease disintegrant","Optimize granulation","Update production SOP","Supplier evaluation","Training for operators","Equipment calibration"),
G176="Dissolution rate high - 40 mins",CHOOSE(RANDBETWEEN(1,6),"Decrease surface area","Optimize compression","Update production SOP","Supplier evaluation","Training for operators","Equipment calibration"))</f>
        <v>Update production SOP</v>
      </c>
    </row>
    <row r="177" spans="1:9" x14ac:dyDescent="0.35">
      <c r="A177" s="31">
        <v>200000588</v>
      </c>
      <c r="B177" s="31">
        <v>1010</v>
      </c>
      <c r="C177" s="31">
        <v>4165</v>
      </c>
      <c r="D177" s="29" t="s">
        <v>503</v>
      </c>
      <c r="E177" s="31">
        <v>21.5</v>
      </c>
      <c r="F177" s="34">
        <f ca="1">LOOKUP(C177,'QALS - Inspection Lot Record'!P:P,'QALS - Inspection Lot Record'!E:E)+RANDBETWEEN(0,1)</f>
        <v>45952</v>
      </c>
      <c r="G177" s="41" t="s">
        <v>483</v>
      </c>
      <c r="H177" s="34">
        <f t="shared" ca="1" si="2"/>
        <v>45952</v>
      </c>
      <c r="I177" s="29" t="str" cm="1">
        <f t="array" aca="1" ref="I177" ca="1">_xlfn.IFS(G177="Potency out of spec",CHOOSE(RANDBETWEEN(1,6),"Additional testing","Improve formulation","Update production SOP","Supplier evaluation","Training for operators","Equipment calibration"),
G177="PH Level out of range",CHOOSE(RANDBETWEEN(1,6),"PH monitoring","Adjust formulation","Update production SOP","Supplier evaluation","Training for operators","Equipment calibration"),
G177="Impurities out of limit",CHOOSE(RANDBETWEEN(1,6),"Improve purification","Raw material control","Update production SOP","Supplier evaluation","Training for operators","Equipment maintenance"),
G177="Process temp out of range",CHOOSE(RANDBETWEEN(1,6),"Temperature control","Update production SOP","Supplier evaluation","Training for operators",
"Equipment calibration","Preventive maintenance"),
G177="Dissolution rate low - 15 mins",CHOOSE(RANDBETWEEN(1,6),"Increase agitation","Reduce particle size","Update production SOP","Supplier evaluation",
"Training for operators","Equipment calibration"),
G177="Dissolution rate low - 30 mins",CHOOSE(RANDBETWEEN(1,6),"Increase disintegrant","Optimize granulation","Update production SOP","Supplier evaluation",
"Training for operators","Equipment calibration"),
G177="Dissolution rate low - 40 mins",CHOOSE(RANDBETWEEN(1,6),"Increase surface area","Optimize compression","Update production SOP","Supplier evaluation",
"Training for operators","Equipment calibration"),
G177="Dissolution rate high - 15 mins",CHOOSE(RANDBETWEEN(1,6),"Decrease agitation","Increase particle size","Update production SOP","Supplier evaluation","Training for operators","Equipment calibration"),
G177="Dissolution rate high - 30 mins",CHOOSE(RANDBETWEEN(1,6),"Decrease disintegrant","Optimize granulation","Update production SOP","Supplier evaluation","Training for operators","Equipment calibration"),
G177="Dissolution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78" spans="1:9" x14ac:dyDescent="0.35">
      <c r="A178" s="31">
        <v>200000589</v>
      </c>
      <c r="B178" s="31">
        <v>1010</v>
      </c>
      <c r="C178" s="31">
        <v>4166</v>
      </c>
      <c r="D178" s="29" t="s">
        <v>433</v>
      </c>
      <c r="E178" s="31">
        <v>2.2999999999999998</v>
      </c>
      <c r="F178" s="34">
        <f ca="1">LOOKUP(C178,'QALS - Inspection Lot Record'!P:P,'QALS - Inspection Lot Record'!E:E)+RANDBETWEEN(0,1)</f>
        <v>45952</v>
      </c>
      <c r="G178" s="41" t="s">
        <v>474</v>
      </c>
      <c r="H178" s="34">
        <f t="shared" ca="1" si="2"/>
        <v>45954</v>
      </c>
      <c r="I178" s="29" t="str" cm="1">
        <f t="array" aca="1" ref="I178" ca="1">_xlfn.IFS(G178="Potency out of spec",CHOOSE(RANDBETWEEN(1,6),"Additional testing","Improve formulation","Update production SOP","Supplier evaluation","Training for operators","Equipment calibration"),
G178="PH Level out of range",CHOOSE(RANDBETWEEN(1,6),"PH monitoring","Adjust formulation","Update production SOP","Supplier evaluation","Training for operators","Equipment calibration"),
G178="Impurities out of limit",CHOOSE(RANDBETWEEN(1,6),"Improve purification","Raw material control","Update production SOP","Supplier evaluation","Training for operators","Equipment maintenance"),
G178="Process temp out of range",CHOOSE(RANDBETWEEN(1,6),"Temperature control","Update production SOP","Supplier evaluation","Training for operators",
"Equipment calibration","Preventive maintenance"),
G178="Dissolution rate low - 15 mins",CHOOSE(RANDBETWEEN(1,6),"Increase agitation","Reduce particle size","Update production SOP","Supplier evaluation",
"Training for operators","Equipment calibration"),
G178="Dissolution rate low - 30 mins",CHOOSE(RANDBETWEEN(1,6),"Increase disintegrant","Optimize granulation","Update production SOP","Supplier evaluation",
"Training for operators","Equipment calibration"),
G178="Dissolution rate low - 40 mins",CHOOSE(RANDBETWEEN(1,6),"Increase surface area","Optimize compression","Update production SOP","Supplier evaluation",
"Training for operators","Equipment calibration"),
G178="Dissolution rate high - 15 mins",CHOOSE(RANDBETWEEN(1,6),"Decrease agitation","Increase particle size","Update production SOP","Supplier evaluation","Training for operators","Equipment calibration"),
G178="Dissolution rate high - 30 mins",CHOOSE(RANDBETWEEN(1,6),"Decrease disintegrant","Optimize granulation","Update production SOP","Supplier evaluation","Training for operators","Equipment calibration"),
G178="Dissolution rate high - 40 mins",CHOOSE(RANDBETWEEN(1,6),"Decrease surface area","Optimize compression","Update production SOP","Supplier evaluation","Training for operators","Equipment calibration"))</f>
        <v>Adjust formulation</v>
      </c>
    </row>
    <row r="179" spans="1:9" x14ac:dyDescent="0.35">
      <c r="A179" s="31">
        <v>200000589</v>
      </c>
      <c r="B179" s="31">
        <v>1010</v>
      </c>
      <c r="C179" s="31">
        <v>4166</v>
      </c>
      <c r="D179" s="29" t="s">
        <v>433</v>
      </c>
      <c r="E179" s="31">
        <v>78.099999999999994</v>
      </c>
      <c r="F179" s="34">
        <f ca="1">LOOKUP(C179,'QALS - Inspection Lot Record'!P:P,'QALS - Inspection Lot Record'!E:E)+RANDBETWEEN(0,1)</f>
        <v>45953</v>
      </c>
      <c r="G179" s="41" t="s">
        <v>486</v>
      </c>
      <c r="H179" s="34">
        <f t="shared" ca="1" si="2"/>
        <v>45953</v>
      </c>
      <c r="I179" s="29" t="str" cm="1">
        <f t="array" aca="1" ref="I179" ca="1">_xlfn.IFS(G179="Potency out of spec",CHOOSE(RANDBETWEEN(1,6),"Additional testing","Improve formulation","Update production SOP","Supplier evaluation","Training for operators","Equipment calibration"),
G179="PH Level out of range",CHOOSE(RANDBETWEEN(1,6),"PH monitoring","Adjust formulation","Update production SOP","Supplier evaluation","Training for operators","Equipment calibration"),
G179="Impurities out of limit",CHOOSE(RANDBETWEEN(1,6),"Improve purification","Raw material control","Update production SOP","Supplier evaluation","Training for operators","Equipment maintenance"),
G179="Process temp out of range",CHOOSE(RANDBETWEEN(1,6),"Temperature control","Update production SOP","Supplier evaluation","Training for operators",
"Equipment calibration","Preventive maintenance"),
G179="Dissolution rate low - 15 mins",CHOOSE(RANDBETWEEN(1,6),"Increase agitation","Reduce particle size","Update production SOP","Supplier evaluation",
"Training for operators","Equipment calibration"),
G179="Dissolution rate low - 30 mins",CHOOSE(RANDBETWEEN(1,6),"Increase disintegrant","Optimize granulation","Update production SOP","Supplier evaluation",
"Training for operators","Equipment calibration"),
G179="Dissolution rate low - 40 mins",CHOOSE(RANDBETWEEN(1,6),"Increase surface area","Optimize compression","Update production SOP","Supplier evaluation",
"Training for operators","Equipment calibration"),
G179="Dissolution rate high - 15 mins",CHOOSE(RANDBETWEEN(1,6),"Decrease agitation","Increase particle size","Update production SOP","Supplier evaluation","Training for operators","Equipment calibration"),
G179="Dissolution rate high - 30 mins",CHOOSE(RANDBETWEEN(1,6),"Decrease disintegrant","Optimize granulation","Update production SOP","Supplier evaluation","Training for operators","Equipment calibration"),
G179="Dissolution rate high - 40 mins",CHOOSE(RANDBETWEEN(1,6),"Decrease surface area","Optimize compression","Update production SOP","Supplier evaluation","Training for operators","Equipment calibration"))</f>
        <v>Supplier evaluation</v>
      </c>
    </row>
    <row r="180" spans="1:9" x14ac:dyDescent="0.35">
      <c r="A180" s="31">
        <v>200000589</v>
      </c>
      <c r="B180" s="31">
        <v>1010</v>
      </c>
      <c r="C180" s="31">
        <v>4166</v>
      </c>
      <c r="D180" s="29" t="s">
        <v>433</v>
      </c>
      <c r="E180" s="31">
        <v>21.7</v>
      </c>
      <c r="F180" s="34">
        <f ca="1">LOOKUP(C180,'QALS - Inspection Lot Record'!P:P,'QALS - Inspection Lot Record'!E:E)+RANDBETWEEN(0,1)</f>
        <v>45953</v>
      </c>
      <c r="G180" s="41" t="s">
        <v>483</v>
      </c>
      <c r="H180" s="34">
        <f t="shared" ca="1" si="2"/>
        <v>45955</v>
      </c>
      <c r="I180" s="29" t="str" cm="1">
        <f t="array" aca="1" ref="I180" ca="1">_xlfn.IFS(G180="Potency out of spec",CHOOSE(RANDBETWEEN(1,6),"Additional testing","Improve formulation","Update production SOP","Supplier evaluation","Training for operators","Equipment calibration"),
G180="PH Level out of range",CHOOSE(RANDBETWEEN(1,6),"PH monitoring","Adjust formulation","Update production SOP","Supplier evaluation","Training for operators","Equipment calibration"),
G180="Impurities out of limit",CHOOSE(RANDBETWEEN(1,6),"Improve purification","Raw material control","Update production SOP","Supplier evaluation","Training for operators","Equipment maintenance"),
G180="Process temp out of range",CHOOSE(RANDBETWEEN(1,6),"Temperature control","Update production SOP","Supplier evaluation","Training for operators",
"Equipment calibration","Preventive maintenance"),
G180="Dissolution rate low - 15 mins",CHOOSE(RANDBETWEEN(1,6),"Increase agitation","Reduce particle size","Update production SOP","Supplier evaluation",
"Training for operators","Equipment calibration"),
G180="Dissolution rate low - 30 mins",CHOOSE(RANDBETWEEN(1,6),"Increase disintegrant","Optimize granulation","Update production SOP","Supplier evaluation",
"Training for operators","Equipment calibration"),
G180="Dissolution rate low - 40 mins",CHOOSE(RANDBETWEEN(1,6),"Increase surface area","Optimize compression","Update production SOP","Supplier evaluation",
"Training for operators","Equipment calibration"),
G180="Dissolution rate high - 15 mins",CHOOSE(RANDBETWEEN(1,6),"Decrease agitation","Increase particle size","Update production SOP","Supplier evaluation","Training for operators","Equipment calibration"),
G180="Dissolution rate high - 30 mins",CHOOSE(RANDBETWEEN(1,6),"Decrease disintegrant","Optimize granulation","Update production SOP","Supplier evaluation","Training for operators","Equipment calibration"),
G180="Dissolution rate high - 40 mins",CHOOSE(RANDBETWEEN(1,6),"Decrease surface area","Optimize compression","Update production SOP","Supplier evaluation","Training for operators","Equipment calibration"))</f>
        <v>Equipment calibration</v>
      </c>
    </row>
    <row r="181" spans="1:9" x14ac:dyDescent="0.35">
      <c r="A181" s="31">
        <v>200000590</v>
      </c>
      <c r="B181" s="31">
        <v>1010</v>
      </c>
      <c r="C181" s="31">
        <v>4169</v>
      </c>
      <c r="D181" s="29" t="s">
        <v>504</v>
      </c>
      <c r="E181" s="31">
        <v>93.1</v>
      </c>
      <c r="F181" s="34">
        <f ca="1">LOOKUP(C181,'QALS - Inspection Lot Record'!P:P,'QALS - Inspection Lot Record'!E:E)+RANDBETWEEN(0,1)</f>
        <v>45955</v>
      </c>
      <c r="G181" s="41" t="s">
        <v>472</v>
      </c>
      <c r="H181" s="34">
        <f t="shared" ca="1" si="2"/>
        <v>45956</v>
      </c>
      <c r="I181" s="29" t="str" cm="1">
        <f t="array" aca="1" ref="I181" ca="1">_xlfn.IFS(G181="Potency out of spec",CHOOSE(RANDBETWEEN(1,6),"Additional testing","Improve formulation","Update production SOP","Supplier evaluation","Training for operators","Equipment calibration"),
G181="PH Level out of range",CHOOSE(RANDBETWEEN(1,6),"PH monitoring","Adjust formulation","Update production SOP","Supplier evaluation","Training for operators","Equipment calibration"),
G181="Impurities out of limit",CHOOSE(RANDBETWEEN(1,6),"Improve purification","Raw material control","Update production SOP","Supplier evaluation","Training for operators","Equipment maintenance"),
G181="Process temp out of range",CHOOSE(RANDBETWEEN(1,6),"Temperature control","Update production SOP","Supplier evaluation","Training for operators",
"Equipment calibration","Preventive maintenance"),
G181="Dissolution rate low - 15 mins",CHOOSE(RANDBETWEEN(1,6),"Increase agitation","Reduce particle size","Update production SOP","Supplier evaluation",
"Training for operators","Equipment calibration"),
G181="Dissolution rate low - 30 mins",CHOOSE(RANDBETWEEN(1,6),"Increase disintegrant","Optimize granulation","Update production SOP","Supplier evaluation",
"Training for operators","Equipment calibration"),
G181="Dissolution rate low - 40 mins",CHOOSE(RANDBETWEEN(1,6),"Increase surface area","Optimize compression","Update production SOP","Supplier evaluation",
"Training for operators","Equipment calibration"),
G181="Dissolution rate high - 15 mins",CHOOSE(RANDBETWEEN(1,6),"Decrease agitation","Increase particle size","Update production SOP","Supplier evaluation","Training for operators","Equipment calibration"),
G181="Dissolution rate high - 30 mins",CHOOSE(RANDBETWEEN(1,6),"Decrease disintegrant","Optimize granulation","Update production SOP","Supplier evaluation","Training for operators","Equipment calibration"),
G181="Dissolution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82" spans="1:9" x14ac:dyDescent="0.35">
      <c r="A182" s="31">
        <v>200000590</v>
      </c>
      <c r="B182" s="31">
        <v>1010</v>
      </c>
      <c r="C182" s="31">
        <v>4169</v>
      </c>
      <c r="D182" s="29" t="s">
        <v>504</v>
      </c>
      <c r="E182" s="31">
        <v>2.5</v>
      </c>
      <c r="F182" s="34">
        <f ca="1">LOOKUP(C182,'QALS - Inspection Lot Record'!P:P,'QALS - Inspection Lot Record'!E:E)+RANDBETWEEN(0,1)</f>
        <v>45955</v>
      </c>
      <c r="G182" s="41" t="s">
        <v>474</v>
      </c>
      <c r="H182" s="34">
        <f t="shared" ca="1" si="2"/>
        <v>45957</v>
      </c>
      <c r="I182" s="29" t="str" cm="1">
        <f t="array" aca="1" ref="I182" ca="1">_xlfn.IFS(G182="Potency out of spec",CHOOSE(RANDBETWEEN(1,6),"Additional testing","Improve formulation","Update production SOP","Supplier evaluation","Training for operators","Equipment calibration"),
G182="PH Level out of range",CHOOSE(RANDBETWEEN(1,6),"PH monitoring","Adjust formulation","Update production SOP","Supplier evaluation","Training for operators","Equipment calibration"),
G182="Impurities out of limit",CHOOSE(RANDBETWEEN(1,6),"Improve purification","Raw material control","Update production SOP","Supplier evaluation","Training for operators","Equipment maintenance"),
G182="Process temp out of range",CHOOSE(RANDBETWEEN(1,6),"Temperature control","Update production SOP","Supplier evaluation","Training for operators",
"Equipment calibration","Preventive maintenance"),
G182="Dissolution rate low - 15 mins",CHOOSE(RANDBETWEEN(1,6),"Increase agitation","Reduce particle size","Update production SOP","Supplier evaluation",
"Training for operators","Equipment calibration"),
G182="Dissolution rate low - 30 mins",CHOOSE(RANDBETWEEN(1,6),"Increase disintegrant","Optimize granulation","Update production SOP","Supplier evaluation",
"Training for operators","Equipment calibration"),
G182="Dissolution rate low - 40 mins",CHOOSE(RANDBETWEEN(1,6),"Increase surface area","Optimize compression","Update production SOP","Supplier evaluation",
"Training for operators","Equipment calibration"),
G182="Dissolution rate high - 15 mins",CHOOSE(RANDBETWEEN(1,6),"Decrease agitation","Increase particle size","Update production SOP","Supplier evaluation","Training for operators","Equipment calibration"),
G182="Dissolution rate high - 30 mins",CHOOSE(RANDBETWEEN(1,6),"Decrease disintegrant","Optimize granulation","Update production SOP","Supplier evaluation","Training for operators","Equipment calibration"),
G182="Dissolution rate high - 40 mins",CHOOSE(RANDBETWEEN(1,6),"Decrease surface area","Optimize compression","Update production SOP","Supplier evaluation","Training for operators","Equipment calibration"))</f>
        <v>Equipment calibration</v>
      </c>
    </row>
    <row r="183" spans="1:9" x14ac:dyDescent="0.35">
      <c r="A183" s="31">
        <v>200000590</v>
      </c>
      <c r="B183" s="31">
        <v>1010</v>
      </c>
      <c r="C183" s="31">
        <v>4169</v>
      </c>
      <c r="D183" s="29" t="s">
        <v>504</v>
      </c>
      <c r="E183" s="31">
        <v>78</v>
      </c>
      <c r="F183" s="34">
        <f ca="1">LOOKUP(C183,'QALS - Inspection Lot Record'!P:P,'QALS - Inspection Lot Record'!E:E)+RANDBETWEEN(0,1)</f>
        <v>45954</v>
      </c>
      <c r="G183" s="41" t="s">
        <v>486</v>
      </c>
      <c r="H183" s="34">
        <f t="shared" ca="1" si="2"/>
        <v>45956</v>
      </c>
      <c r="I183" s="29" t="str" cm="1">
        <f t="array" aca="1" ref="I183" ca="1">_xlfn.IFS(G183="Potency out of spec",CHOOSE(RANDBETWEEN(1,6),"Additional testing","Improve formulation","Update production SOP","Supplier evaluation","Training for operators","Equipment calibration"),
G183="PH Level out of range",CHOOSE(RANDBETWEEN(1,6),"PH monitoring","Adjust formulation","Update production SOP","Supplier evaluation","Training for operators","Equipment calibration"),
G183="Impurities out of limit",CHOOSE(RANDBETWEEN(1,6),"Improve purification","Raw material control","Update production SOP","Supplier evaluation","Training for operators","Equipment maintenance"),
G183="Process temp out of range",CHOOSE(RANDBETWEEN(1,6),"Temperature control","Update production SOP","Supplier evaluation","Training for operators",
"Equipment calibration","Preventive maintenance"),
G183="Dissolution rate low - 15 mins",CHOOSE(RANDBETWEEN(1,6),"Increase agitation","Reduce particle size","Update production SOP","Supplier evaluation",
"Training for operators","Equipment calibration"),
G183="Dissolution rate low - 30 mins",CHOOSE(RANDBETWEEN(1,6),"Increase disintegrant","Optimize granulation","Update production SOP","Supplier evaluation",
"Training for operators","Equipment calibration"),
G183="Dissolution rate low - 40 mins",CHOOSE(RANDBETWEEN(1,6),"Increase surface area","Optimize compression","Update production SOP","Supplier evaluation",
"Training for operators","Equipment calibration"),
G183="Dissolution rate high - 15 mins",CHOOSE(RANDBETWEEN(1,6),"Decrease agitation","Increase particle size","Update production SOP","Supplier evaluation","Training for operators","Equipment calibration"),
G183="Dissolution rate high - 30 mins",CHOOSE(RANDBETWEEN(1,6),"Decrease disintegrant","Optimize granulation","Update production SOP","Supplier evaluation","Training for operators","Equipment calibration"),
G183="Dissolution rate high - 40 mins",CHOOSE(RANDBETWEEN(1,6),"Decrease surface area","Optimize compression","Update production SOP","Supplier evaluation","Training for operators","Equipment calibration"))</f>
        <v>Optimize compression</v>
      </c>
    </row>
    <row r="184" spans="1:9" x14ac:dyDescent="0.35">
      <c r="A184" s="31">
        <v>200000591</v>
      </c>
      <c r="B184" s="31">
        <v>1010</v>
      </c>
      <c r="C184" s="31">
        <v>4170</v>
      </c>
      <c r="D184" s="29" t="s">
        <v>503</v>
      </c>
      <c r="E184" s="31">
        <v>93.4</v>
      </c>
      <c r="F184" s="34">
        <f ca="1">LOOKUP(C184,'QALS - Inspection Lot Record'!P:P,'QALS - Inspection Lot Record'!E:E)+RANDBETWEEN(0,1)</f>
        <v>45955</v>
      </c>
      <c r="G184" s="41" t="s">
        <v>472</v>
      </c>
      <c r="H184" s="34">
        <f t="shared" ca="1" si="2"/>
        <v>45956</v>
      </c>
      <c r="I184" s="29" t="str" cm="1">
        <f t="array" aca="1" ref="I184" ca="1">_xlfn.IFS(G184="Potency out of spec",CHOOSE(RANDBETWEEN(1,6),"Additional testing","Improve formulation","Update production SOP","Supplier evaluation","Training for operators","Equipment calibration"),
G184="PH Level out of range",CHOOSE(RANDBETWEEN(1,6),"PH monitoring","Adjust formulation","Update production SOP","Supplier evaluation","Training for operators","Equipment calibration"),
G184="Impurities out of limit",CHOOSE(RANDBETWEEN(1,6),"Improve purification","Raw material control","Update production SOP","Supplier evaluation","Training for operators","Equipment maintenance"),
G184="Process temp out of range",CHOOSE(RANDBETWEEN(1,6),"Temperature control","Update production SOP","Supplier evaluation","Training for operators",
"Equipment calibration","Preventive maintenance"),
G184="Dissolution rate low - 15 mins",CHOOSE(RANDBETWEEN(1,6),"Increase agitation","Reduce particle size","Update production SOP","Supplier evaluation",
"Training for operators","Equipment calibration"),
G184="Dissolution rate low - 30 mins",CHOOSE(RANDBETWEEN(1,6),"Increase disintegrant","Optimize granulation","Update production SOP","Supplier evaluation",
"Training for operators","Equipment calibration"),
G184="Dissolution rate low - 40 mins",CHOOSE(RANDBETWEEN(1,6),"Increase surface area","Optimize compression","Update production SOP","Supplier evaluation",
"Training for operators","Equipment calibration"),
G184="Dissolution rate high - 15 mins",CHOOSE(RANDBETWEEN(1,6),"Decrease agitation","Increase particle size","Update production SOP","Supplier evaluation","Training for operators","Equipment calibration"),
G184="Dissolution rate high - 30 mins",CHOOSE(RANDBETWEEN(1,6),"Decrease disintegrant","Optimize granulation","Update production SOP","Supplier evaluation","Training for operators","Equipment calibration"),
G184="Dissolution rate high - 40 mins",CHOOSE(RANDBETWEEN(1,6),"Decrease surface area","Optimize compression","Update production SOP","Supplier evaluation","Training for operators","Equipment calibration"))</f>
        <v>Equipment calibration</v>
      </c>
    </row>
    <row r="185" spans="1:9" x14ac:dyDescent="0.35">
      <c r="A185" s="31">
        <v>200000591</v>
      </c>
      <c r="B185" s="31">
        <v>1010</v>
      </c>
      <c r="C185" s="31">
        <v>4170</v>
      </c>
      <c r="D185" s="29" t="s">
        <v>503</v>
      </c>
      <c r="E185" s="31">
        <v>1.5</v>
      </c>
      <c r="F185" s="34">
        <f ca="1">LOOKUP(C185,'QALS - Inspection Lot Record'!P:P,'QALS - Inspection Lot Record'!E:E)+RANDBETWEEN(0,1)</f>
        <v>45954</v>
      </c>
      <c r="G185" s="41" t="s">
        <v>474</v>
      </c>
      <c r="H185" s="34">
        <f t="shared" ca="1" si="2"/>
        <v>45954</v>
      </c>
      <c r="I185" s="29" t="str" cm="1">
        <f t="array" aca="1" ref="I185" ca="1">_xlfn.IFS(G185="Potency out of spec",CHOOSE(RANDBETWEEN(1,6),"Additional testing","Improve formulation","Update production SOP","Supplier evaluation","Training for operators","Equipment calibration"),
G185="PH Level out of range",CHOOSE(RANDBETWEEN(1,6),"PH monitoring","Adjust formulation","Update production SOP","Supplier evaluation","Training for operators","Equipment calibration"),
G185="Impurities out of limit",CHOOSE(RANDBETWEEN(1,6),"Improve purification","Raw material control","Update production SOP","Supplier evaluation","Training for operators","Equipment maintenance"),
G185="Process temp out of range",CHOOSE(RANDBETWEEN(1,6),"Temperature control","Update production SOP","Supplier evaluation","Training for operators",
"Equipment calibration","Preventive maintenance"),
G185="Dissolution rate low - 15 mins",CHOOSE(RANDBETWEEN(1,6),"Increase agitation","Reduce particle size","Update production SOP","Supplier evaluation",
"Training for operators","Equipment calibration"),
G185="Dissolution rate low - 30 mins",CHOOSE(RANDBETWEEN(1,6),"Increase disintegrant","Optimize granulation","Update production SOP","Supplier evaluation",
"Training for operators","Equipment calibration"),
G185="Dissolution rate low - 40 mins",CHOOSE(RANDBETWEEN(1,6),"Increase surface area","Optimize compression","Update production SOP","Supplier evaluation",
"Training for operators","Equipment calibration"),
G185="Dissolution rate high - 15 mins",CHOOSE(RANDBETWEEN(1,6),"Decrease agitation","Increase particle size","Update production SOP","Supplier evaluation","Training for operators","Equipment calibration"),
G185="Dissolution rate high - 30 mins",CHOOSE(RANDBETWEEN(1,6),"Decrease disintegrant","Optimize granulation","Update production SOP","Supplier evaluation","Training for operators","Equipment calibration"),
G185="Dissolution rate high - 40 mins",CHOOSE(RANDBETWEEN(1,6),"Decrease surface area","Optimize compression","Update production SOP","Supplier evaluation","Training for operators","Equipment calibration"))</f>
        <v>PH monitoring</v>
      </c>
    </row>
    <row r="186" spans="1:9" x14ac:dyDescent="0.35">
      <c r="A186" s="31">
        <v>200000591</v>
      </c>
      <c r="B186" s="31">
        <v>1010</v>
      </c>
      <c r="C186" s="31">
        <v>4170</v>
      </c>
      <c r="D186" s="29" t="s">
        <v>503</v>
      </c>
      <c r="E186" s="31">
        <v>78.400000000000006</v>
      </c>
      <c r="F186" s="34">
        <f ca="1">LOOKUP(C186,'QALS - Inspection Lot Record'!P:P,'QALS - Inspection Lot Record'!E:E)+RANDBETWEEN(0,1)</f>
        <v>45954</v>
      </c>
      <c r="G186" s="41" t="s">
        <v>486</v>
      </c>
      <c r="H186" s="34">
        <f t="shared" ca="1" si="2"/>
        <v>45956</v>
      </c>
      <c r="I186" s="29" t="str" cm="1">
        <f t="array" aca="1" ref="I186" ca="1">_xlfn.IFS(G186="Potency out of spec",CHOOSE(RANDBETWEEN(1,6),"Additional testing","Improve formulation","Update production SOP","Supplier evaluation","Training for operators","Equipment calibration"),
G186="PH Level out of range",CHOOSE(RANDBETWEEN(1,6),"PH monitoring","Adjust formulation","Update production SOP","Supplier evaluation","Training for operators","Equipment calibration"),
G186="Impurities out of limit",CHOOSE(RANDBETWEEN(1,6),"Improve purification","Raw material control","Update production SOP","Supplier evaluation","Training for operators","Equipment maintenance"),
G186="Process temp out of range",CHOOSE(RANDBETWEEN(1,6),"Temperature control","Update production SOP","Supplier evaluation","Training for operators",
"Equipment calibration","Preventive maintenance"),
G186="Dissolution rate low - 15 mins",CHOOSE(RANDBETWEEN(1,6),"Increase agitation","Reduce particle size","Update production SOP","Supplier evaluation",
"Training for operators","Equipment calibration"),
G186="Dissolution rate low - 30 mins",CHOOSE(RANDBETWEEN(1,6),"Increase disintegrant","Optimize granulation","Update production SOP","Supplier evaluation",
"Training for operators","Equipment calibration"),
G186="Dissolution rate low - 40 mins",CHOOSE(RANDBETWEEN(1,6),"Increase surface area","Optimize compression","Update production SOP","Supplier evaluation",
"Training for operators","Equipment calibration"),
G186="Dissolution rate high - 15 mins",CHOOSE(RANDBETWEEN(1,6),"Decrease agitation","Increase particle size","Update production SOP","Supplier evaluation","Training for operators","Equipment calibration"),
G186="Dissolution rate high - 30 mins",CHOOSE(RANDBETWEEN(1,6),"Decrease disintegrant","Optimize granulation","Update production SOP","Supplier evaluation","Training for operators","Equipment calibration"),
G186="Dissolution rate high - 40 mins",CHOOSE(RANDBETWEEN(1,6),"Decrease surface area","Optimize compression","Update production SOP","Supplier evaluation","Training for operators","Equipment calibration"))</f>
        <v>Increase surface area</v>
      </c>
    </row>
    <row r="187" spans="1:9" x14ac:dyDescent="0.35">
      <c r="A187" s="31">
        <v>200000591</v>
      </c>
      <c r="B187" s="31">
        <v>1010</v>
      </c>
      <c r="C187" s="31">
        <v>4170</v>
      </c>
      <c r="D187" s="29" t="s">
        <v>503</v>
      </c>
      <c r="E187" s="31">
        <v>22</v>
      </c>
      <c r="F187" s="34">
        <f ca="1">LOOKUP(C187,'QALS - Inspection Lot Record'!P:P,'QALS - Inspection Lot Record'!E:E)+RANDBETWEEN(0,1)</f>
        <v>45955</v>
      </c>
      <c r="G187" s="41" t="s">
        <v>483</v>
      </c>
      <c r="H187" s="34">
        <f t="shared" ca="1" si="2"/>
        <v>45957</v>
      </c>
      <c r="I187" s="29" t="str" cm="1">
        <f t="array" aca="1" ref="I187" ca="1">_xlfn.IFS(G187="Potency out of spec",CHOOSE(RANDBETWEEN(1,6),"Additional testing","Improve formulation","Update production SOP","Supplier evaluation","Training for operators","Equipment calibration"),
G187="PH Level out of range",CHOOSE(RANDBETWEEN(1,6),"PH monitoring","Adjust formulation","Update production SOP","Supplier evaluation","Training for operators","Equipment calibration"),
G187="Impurities out of limit",CHOOSE(RANDBETWEEN(1,6),"Improve purification","Raw material control","Update production SOP","Supplier evaluation","Training for operators","Equipment maintenance"),
G187="Process temp out of range",CHOOSE(RANDBETWEEN(1,6),"Temperature control","Update production SOP","Supplier evaluation","Training for operators",
"Equipment calibration","Preventive maintenance"),
G187="Dissolution rate low - 15 mins",CHOOSE(RANDBETWEEN(1,6),"Increase agitation","Reduce particle size","Update production SOP","Supplier evaluation",
"Training for operators","Equipment calibration"),
G187="Dissolution rate low - 30 mins",CHOOSE(RANDBETWEEN(1,6),"Increase disintegrant","Optimize granulation","Update production SOP","Supplier evaluation",
"Training for operators","Equipment calibration"),
G187="Dissolution rate low - 40 mins",CHOOSE(RANDBETWEEN(1,6),"Increase surface area","Optimize compression","Update production SOP","Supplier evaluation",
"Training for operators","Equipment calibration"),
G187="Dissolution rate high - 15 mins",CHOOSE(RANDBETWEEN(1,6),"Decrease agitation","Increase particle size","Update production SOP","Supplier evaluation","Training for operators","Equipment calibration"),
G187="Dissolution rate high - 30 mins",CHOOSE(RANDBETWEEN(1,6),"Decrease disintegrant","Optimize granulation","Update production SOP","Supplier evaluation","Training for operators","Equipment calibration"),
G187="Dissolution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88" spans="1:9" x14ac:dyDescent="0.35">
      <c r="A188" s="31">
        <v>200000592</v>
      </c>
      <c r="B188" s="31">
        <v>1010</v>
      </c>
      <c r="C188" s="31">
        <v>4173</v>
      </c>
      <c r="D188" s="29" t="s">
        <v>504</v>
      </c>
      <c r="E188" s="31">
        <v>2.1</v>
      </c>
      <c r="F188" s="34">
        <f ca="1">LOOKUP(C188,'QALS - Inspection Lot Record'!P:P,'QALS - Inspection Lot Record'!E:E)+RANDBETWEEN(0,1)</f>
        <v>45957</v>
      </c>
      <c r="G188" s="41" t="s">
        <v>474</v>
      </c>
      <c r="H188" s="34">
        <f t="shared" ca="1" si="2"/>
        <v>45958</v>
      </c>
      <c r="I188" s="29" t="str" cm="1">
        <f t="array" aca="1" ref="I188" ca="1">_xlfn.IFS(G188="Potency out of spec",CHOOSE(RANDBETWEEN(1,6),"Additional testing","Improve formulation","Update production SOP","Supplier evaluation","Training for operators","Equipment calibration"),
G188="PH Level out of range",CHOOSE(RANDBETWEEN(1,6),"PH monitoring","Adjust formulation","Update production SOP","Supplier evaluation","Training for operators","Equipment calibration"),
G188="Impurities out of limit",CHOOSE(RANDBETWEEN(1,6),"Improve purification","Raw material control","Update production SOP","Supplier evaluation","Training for operators","Equipment maintenance"),
G188="Process temp out of range",CHOOSE(RANDBETWEEN(1,6),"Temperature control","Update production SOP","Supplier evaluation","Training for operators",
"Equipment calibration","Preventive maintenance"),
G188="Dissolution rate low - 15 mins",CHOOSE(RANDBETWEEN(1,6),"Increase agitation","Reduce particle size","Update production SOP","Supplier evaluation",
"Training for operators","Equipment calibration"),
G188="Dissolution rate low - 30 mins",CHOOSE(RANDBETWEEN(1,6),"Increase disintegrant","Optimize granulation","Update production SOP","Supplier evaluation",
"Training for operators","Equipment calibration"),
G188="Dissolution rate low - 40 mins",CHOOSE(RANDBETWEEN(1,6),"Increase surface area","Optimize compression","Update production SOP","Supplier evaluation",
"Training for operators","Equipment calibration"),
G188="Dissolution rate high - 15 mins",CHOOSE(RANDBETWEEN(1,6),"Decrease agitation","Increase particle size","Update production SOP","Supplier evaluation","Training for operators","Equipment calibration"),
G188="Dissolution rate high - 30 mins",CHOOSE(RANDBETWEEN(1,6),"Decrease disintegrant","Optimize granulation","Update production SOP","Supplier evaluation","Training for operators","Equipment calibration"),
G188="Dissolution rate high - 40 mins",CHOOSE(RANDBETWEEN(1,6),"Decrease surface area","Optimize compression","Update production SOP","Supplier evaluation","Training for operators","Equipment calibration"))</f>
        <v>PH monitoring</v>
      </c>
    </row>
    <row r="189" spans="1:9" x14ac:dyDescent="0.35">
      <c r="A189" s="31">
        <v>200000592</v>
      </c>
      <c r="B189" s="31">
        <v>1010</v>
      </c>
      <c r="C189" s="31">
        <v>4173</v>
      </c>
      <c r="D189" s="29" t="s">
        <v>504</v>
      </c>
      <c r="E189" s="31">
        <v>38.200000000000003</v>
      </c>
      <c r="F189" s="34">
        <f ca="1">LOOKUP(C189,'QALS - Inspection Lot Record'!P:P,'QALS - Inspection Lot Record'!E:E)+RANDBETWEEN(0,1)</f>
        <v>45956</v>
      </c>
      <c r="G189" s="41" t="s">
        <v>478</v>
      </c>
      <c r="H189" s="34">
        <f t="shared" ca="1" si="2"/>
        <v>45958</v>
      </c>
      <c r="I189" s="29" t="str" cm="1">
        <f t="array" aca="1" ref="I189" ca="1">_xlfn.IFS(G189="Potency out of spec",CHOOSE(RANDBETWEEN(1,6),"Additional testing","Improve formulation","Update production SOP","Supplier evaluation","Training for operators","Equipment calibration"),
G189="PH Level out of range",CHOOSE(RANDBETWEEN(1,6),"PH monitoring","Adjust formulation","Update production SOP","Supplier evaluation","Training for operators","Equipment calibration"),
G189="Impurities out of limit",CHOOSE(RANDBETWEEN(1,6),"Improve purification","Raw material control","Update production SOP","Supplier evaluation","Training for operators","Equipment maintenance"),
G189="Process temp out of range",CHOOSE(RANDBETWEEN(1,6),"Temperature control","Update production SOP","Supplier evaluation","Training for operators",
"Equipment calibration","Preventive maintenance"),
G189="Dissolution rate low - 15 mins",CHOOSE(RANDBETWEEN(1,6),"Increase agitation","Reduce particle size","Update production SOP","Supplier evaluation",
"Training for operators","Equipment calibration"),
G189="Dissolution rate low - 30 mins",CHOOSE(RANDBETWEEN(1,6),"Increase disintegrant","Optimize granulation","Update production SOP","Supplier evaluation",
"Training for operators","Equipment calibration"),
G189="Dissolution rate low - 40 mins",CHOOSE(RANDBETWEEN(1,6),"Increase surface area","Optimize compression","Update production SOP","Supplier evaluation",
"Training for operators","Equipment calibration"),
G189="Dissolution rate high - 15 mins",CHOOSE(RANDBETWEEN(1,6),"Decrease agitation","Increase particle size","Update production SOP","Supplier evaluation","Training for operators","Equipment calibration"),
G189="Dissolution rate high - 30 mins",CHOOSE(RANDBETWEEN(1,6),"Decrease disintegrant","Optimize granulation","Update production SOP","Supplier evaluation","Training for operators","Equipment calibration"),
G189="Dissolution rate high - 40 mins",CHOOSE(RANDBETWEEN(1,6),"Decrease surface area","Optimize compression","Update production SOP","Supplier evaluation","Training for operators","Equipment calibration"))</f>
        <v>Increase agitation</v>
      </c>
    </row>
    <row r="190" spans="1:9" x14ac:dyDescent="0.35">
      <c r="A190" s="31">
        <v>200000593</v>
      </c>
      <c r="B190" s="31">
        <v>1010</v>
      </c>
      <c r="C190" s="31">
        <v>4174</v>
      </c>
      <c r="D190" s="29" t="s">
        <v>433</v>
      </c>
      <c r="E190" s="31">
        <v>2.1</v>
      </c>
      <c r="F190" s="34">
        <f ca="1">LOOKUP(C190,'QALS - Inspection Lot Record'!P:P,'QALS - Inspection Lot Record'!E:E)+RANDBETWEEN(0,1)</f>
        <v>45957</v>
      </c>
      <c r="G190" s="41" t="s">
        <v>476</v>
      </c>
      <c r="H190" s="34">
        <f t="shared" ca="1" si="2"/>
        <v>45958</v>
      </c>
      <c r="I190" s="29" t="str" cm="1">
        <f t="array" aca="1" ref="I190" ca="1">_xlfn.IFS(G190="Potency out of spec",CHOOSE(RANDBETWEEN(1,6),"Additional testing","Improve formulation","Update production SOP","Supplier evaluation","Training for operators","Equipment calibration"),
G190="PH Level out of range",CHOOSE(RANDBETWEEN(1,6),"PH monitoring","Adjust formulation","Update production SOP","Supplier evaluation","Training for operators","Equipment calibration"),
G190="Impurities out of limit",CHOOSE(RANDBETWEEN(1,6),"Improve purification","Raw material control","Update production SOP","Supplier evaluation","Training for operators","Equipment maintenance"),
G190="Process temp out of range",CHOOSE(RANDBETWEEN(1,6),"Temperature control","Update production SOP","Supplier evaluation","Training for operators",
"Equipment calibration","Preventive maintenance"),
G190="Dissolution rate low - 15 mins",CHOOSE(RANDBETWEEN(1,6),"Increase agitation","Reduce particle size","Update production SOP","Supplier evaluation",
"Training for operators","Equipment calibration"),
G190="Dissolution rate low - 30 mins",CHOOSE(RANDBETWEEN(1,6),"Increase disintegrant","Optimize granulation","Update production SOP","Supplier evaluation",
"Training for operators","Equipment calibration"),
G190="Dissolution rate low - 40 mins",CHOOSE(RANDBETWEEN(1,6),"Increase surface area","Optimize compression","Update production SOP","Supplier evaluation",
"Training for operators","Equipment calibration"),
G190="Dissolution rate high - 15 mins",CHOOSE(RANDBETWEEN(1,6),"Decrease agitation","Increase particle size","Update production SOP","Supplier evaluation","Training for operators","Equipment calibration"),
G190="Dissolution rate high - 30 mins",CHOOSE(RANDBETWEEN(1,6),"Decrease disintegrant","Optimize granulation","Update production SOP","Supplier evaluation","Training for operators","Equipment calibration"),
G190="Dissolution rate high - 40 mins",CHOOSE(RANDBETWEEN(1,6),"Decrease surface area","Optimize compression","Update production SOP","Supplier evaluation","Training for operators","Equipment calibration"))</f>
        <v>Equipment maintenance</v>
      </c>
    </row>
    <row r="191" spans="1:9" x14ac:dyDescent="0.35">
      <c r="A191" s="31">
        <v>200000593</v>
      </c>
      <c r="B191" s="31">
        <v>1010</v>
      </c>
      <c r="C191" s="31">
        <v>4174</v>
      </c>
      <c r="D191" s="29" t="s">
        <v>433</v>
      </c>
      <c r="E191" s="31">
        <v>38.5</v>
      </c>
      <c r="F191" s="34">
        <f ca="1">LOOKUP(C191,'QALS - Inspection Lot Record'!P:P,'QALS - Inspection Lot Record'!E:E)+RANDBETWEEN(0,1)</f>
        <v>45956</v>
      </c>
      <c r="G191" s="41" t="s">
        <v>478</v>
      </c>
      <c r="H191" s="34">
        <f t="shared" ca="1" si="2"/>
        <v>45956</v>
      </c>
      <c r="I191" s="29" t="str" cm="1">
        <f t="array" aca="1" ref="I191" ca="1">_xlfn.IFS(G191="Potency out of spec",CHOOSE(RANDBETWEEN(1,6),"Additional testing","Improve formulation","Update production SOP","Supplier evaluation","Training for operators","Equipment calibration"),
G191="PH Level out of range",CHOOSE(RANDBETWEEN(1,6),"PH monitoring","Adjust formulation","Update production SOP","Supplier evaluation","Training for operators","Equipment calibration"),
G191="Impurities out of limit",CHOOSE(RANDBETWEEN(1,6),"Improve purification","Raw material control","Update production SOP","Supplier evaluation","Training for operators","Equipment maintenance"),
G191="Process temp out of range",CHOOSE(RANDBETWEEN(1,6),"Temperature control","Update production SOP","Supplier evaluation","Training for operators",
"Equipment calibration","Preventive maintenance"),
G191="Dissolution rate low - 15 mins",CHOOSE(RANDBETWEEN(1,6),"Increase agitation","Reduce particle size","Update production SOP","Supplier evaluation",
"Training for operators","Equipment calibration"),
G191="Dissolution rate low - 30 mins",CHOOSE(RANDBETWEEN(1,6),"Increase disintegrant","Optimize granulation","Update production SOP","Supplier evaluation",
"Training for operators","Equipment calibration"),
G191="Dissolution rate low - 40 mins",CHOOSE(RANDBETWEEN(1,6),"Increase surface area","Optimize compression","Update production SOP","Supplier evaluation",
"Training for operators","Equipment calibration"),
G191="Dissolution rate high - 15 mins",CHOOSE(RANDBETWEEN(1,6),"Decrease agitation","Increase particle size","Update production SOP","Supplier evaluation","Training for operators","Equipment calibration"),
G191="Dissolution rate high - 30 mins",CHOOSE(RANDBETWEEN(1,6),"Decrease disintegrant","Optimize granulation","Update production SOP","Supplier evaluation","Training for operators","Equipment calibration"),
G191="Dissolution rate high - 40 mins",CHOOSE(RANDBETWEEN(1,6),"Decrease surface area","Optimize compression","Update production SOP","Supplier evaluation","Training for operators","Equipment calibration"))</f>
        <v>Update production SOP</v>
      </c>
    </row>
    <row r="192" spans="1:9" x14ac:dyDescent="0.35">
      <c r="A192" s="31">
        <v>200000593</v>
      </c>
      <c r="B192" s="31">
        <v>1010</v>
      </c>
      <c r="C192" s="31">
        <v>4174</v>
      </c>
      <c r="D192" s="29" t="s">
        <v>433</v>
      </c>
      <c r="E192" s="31">
        <v>78.8</v>
      </c>
      <c r="F192" s="34">
        <f ca="1">LOOKUP(C192,'QALS - Inspection Lot Record'!P:P,'QALS - Inspection Lot Record'!E:E)+RANDBETWEEN(0,1)</f>
        <v>45956</v>
      </c>
      <c r="G192" s="41" t="s">
        <v>486</v>
      </c>
      <c r="H192" s="34">
        <f t="shared" ca="1" si="2"/>
        <v>45956</v>
      </c>
      <c r="I192" s="29" t="str" cm="1">
        <f t="array" aca="1" ref="I192" ca="1">_xlfn.IFS(G192="Potency out of spec",CHOOSE(RANDBETWEEN(1,6),"Additional testing","Improve formulation","Update production SOP","Supplier evaluation","Training for operators","Equipment calibration"),
G192="PH Level out of range",CHOOSE(RANDBETWEEN(1,6),"PH monitoring","Adjust formulation","Update production SOP","Supplier evaluation","Training for operators","Equipment calibration"),
G192="Impurities out of limit",CHOOSE(RANDBETWEEN(1,6),"Improve purification","Raw material control","Update production SOP","Supplier evaluation","Training for operators","Equipment maintenance"),
G192="Process temp out of range",CHOOSE(RANDBETWEEN(1,6),"Temperature control","Update production SOP","Supplier evaluation","Training for operators",
"Equipment calibration","Preventive maintenance"),
G192="Dissolution rate low - 15 mins",CHOOSE(RANDBETWEEN(1,6),"Increase agitation","Reduce particle size","Update production SOP","Supplier evaluation",
"Training for operators","Equipment calibration"),
G192="Dissolution rate low - 30 mins",CHOOSE(RANDBETWEEN(1,6),"Increase disintegrant","Optimize granulation","Update production SOP","Supplier evaluation",
"Training for operators","Equipment calibration"),
G192="Dissolution rate low - 40 mins",CHOOSE(RANDBETWEEN(1,6),"Increase surface area","Optimize compression","Update production SOP","Supplier evaluation",
"Training for operators","Equipment calibration"),
G192="Dissolution rate high - 15 mins",CHOOSE(RANDBETWEEN(1,6),"Decrease agitation","Increase particle size","Update production SOP","Supplier evaluation","Training for operators","Equipment calibration"),
G192="Dissolution rate high - 30 mins",CHOOSE(RANDBETWEEN(1,6),"Decrease disintegrant","Optimize granulation","Update production SOP","Supplier evaluation","Training for operators","Equipment calibration"),
G192="Dissolution rate high - 40 mins",CHOOSE(RANDBETWEEN(1,6),"Decrease surface area","Optimize compression","Update production SOP","Supplier evaluation","Training for operators","Equipment calibration"))</f>
        <v>Update production SOP</v>
      </c>
    </row>
    <row r="193" spans="1:9" x14ac:dyDescent="0.35">
      <c r="A193" s="31">
        <v>200000593</v>
      </c>
      <c r="B193" s="31">
        <v>1010</v>
      </c>
      <c r="C193" s="31">
        <v>4174</v>
      </c>
      <c r="D193" s="29" t="s">
        <v>433</v>
      </c>
      <c r="E193" s="31">
        <v>22</v>
      </c>
      <c r="F193" s="34">
        <f ca="1">LOOKUP(C193,'QALS - Inspection Lot Record'!P:P,'QALS - Inspection Lot Record'!E:E)+RANDBETWEEN(0,1)</f>
        <v>45956</v>
      </c>
      <c r="G193" s="41" t="s">
        <v>483</v>
      </c>
      <c r="H193" s="34">
        <f t="shared" ca="1" si="2"/>
        <v>45958</v>
      </c>
      <c r="I193" s="29" t="str" cm="1">
        <f t="array" aca="1" ref="I193" ca="1">_xlfn.IFS(G193="Potency out of spec",CHOOSE(RANDBETWEEN(1,6),"Additional testing","Improve formulation","Update production SOP","Supplier evaluation","Training for operators","Equipment calibration"),
G193="PH Level out of range",CHOOSE(RANDBETWEEN(1,6),"PH monitoring","Adjust formulation","Update production SOP","Supplier evaluation","Training for operators","Equipment calibration"),
G193="Impurities out of limit",CHOOSE(RANDBETWEEN(1,6),"Improve purification","Raw material control","Update production SOP","Supplier evaluation","Training for operators","Equipment maintenance"),
G193="Process temp out of range",CHOOSE(RANDBETWEEN(1,6),"Temperature control","Update production SOP","Supplier evaluation","Training for operators",
"Equipment calibration","Preventive maintenance"),
G193="Dissolution rate low - 15 mins",CHOOSE(RANDBETWEEN(1,6),"Increase agitation","Reduce particle size","Update production SOP","Supplier evaluation",
"Training for operators","Equipment calibration"),
G193="Dissolution rate low - 30 mins",CHOOSE(RANDBETWEEN(1,6),"Increase disintegrant","Optimize granulation","Update production SOP","Supplier evaluation",
"Training for operators","Equipment calibration"),
G193="Dissolution rate low - 40 mins",CHOOSE(RANDBETWEEN(1,6),"Increase surface area","Optimize compression","Update production SOP","Supplier evaluation",
"Training for operators","Equipment calibration"),
G193="Dissolution rate high - 15 mins",CHOOSE(RANDBETWEEN(1,6),"Decrease agitation","Increase particle size","Update production SOP","Supplier evaluation","Training for operators","Equipment calibration"),
G193="Dissolution rate high - 30 mins",CHOOSE(RANDBETWEEN(1,6),"Decrease disintegrant","Optimize granulation","Update production SOP","Supplier evaluation","Training for operators","Equipment calibration"),
G193="Dissolution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94" spans="1:9" x14ac:dyDescent="0.35">
      <c r="A194" s="31">
        <v>200000594</v>
      </c>
      <c r="B194" s="31">
        <v>1010</v>
      </c>
      <c r="C194" s="31">
        <v>4177</v>
      </c>
      <c r="D194" s="29" t="s">
        <v>504</v>
      </c>
      <c r="E194" s="31">
        <v>68.8</v>
      </c>
      <c r="F194" s="34">
        <f ca="1">LOOKUP(C194,'QALS - Inspection Lot Record'!P:P,'QALS - Inspection Lot Record'!E:E)+RANDBETWEEN(0,1)</f>
        <v>45959</v>
      </c>
      <c r="G194" s="41" t="s">
        <v>480</v>
      </c>
      <c r="H194" s="34">
        <f t="shared" ref="H194:H257" ca="1" si="3">IF(TODAY()&gt;=F194+RANDBETWEEN(0,2), F194+RANDBETWEEN(0,2),"")</f>
        <v>45960</v>
      </c>
      <c r="I194" s="29" t="str" cm="1">
        <f t="array" aca="1" ref="I194" ca="1">_xlfn.IFS(G194="Potency out of spec",CHOOSE(RANDBETWEEN(1,6),"Additional testing","Improve formulation","Update production SOP","Supplier evaluation","Training for operators","Equipment calibration"),
G194="PH Level out of range",CHOOSE(RANDBETWEEN(1,6),"PH monitoring","Adjust formulation","Update production SOP","Supplier evaluation","Training for operators","Equipment calibration"),
G194="Impurities out of limit",CHOOSE(RANDBETWEEN(1,6),"Improve purification","Raw material control","Update production SOP","Supplier evaluation","Training for operators","Equipment maintenance"),
G194="Process temp out of range",CHOOSE(RANDBETWEEN(1,6),"Temperature control","Update production SOP","Supplier evaluation","Training for operators",
"Equipment calibration","Preventive maintenance"),
G194="Dissolution rate low - 15 mins",CHOOSE(RANDBETWEEN(1,6),"Increase agitation","Reduce particle size","Update production SOP","Supplier evaluation",
"Training for operators","Equipment calibration"),
G194="Dissolution rate low - 30 mins",CHOOSE(RANDBETWEEN(1,6),"Increase disintegrant","Optimize granulation","Update production SOP","Supplier evaluation",
"Training for operators","Equipment calibration"),
G194="Dissolution rate low - 40 mins",CHOOSE(RANDBETWEEN(1,6),"Increase surface area","Optimize compression","Update production SOP","Supplier evaluation",
"Training for operators","Equipment calibration"),
G194="Dissolution rate high - 15 mins",CHOOSE(RANDBETWEEN(1,6),"Decrease agitation","Increase particle size","Update production SOP","Supplier evaluation","Training for operators","Equipment calibration"),
G194="Dissolution rate high - 30 mins",CHOOSE(RANDBETWEEN(1,6),"Decrease disintegrant","Optimize granulation","Update production SOP","Supplier evaluation","Training for operators","Equipment calibration"),
G194="Dissolution rate high - 40 mins",CHOOSE(RANDBETWEEN(1,6),"Decrease surface area","Optimize compression","Update production SOP","Supplier evaluation","Training for operators","Equipment calibration"))</f>
        <v>Update production SOP</v>
      </c>
    </row>
    <row r="195" spans="1:9" x14ac:dyDescent="0.35">
      <c r="A195" s="31">
        <v>200000595</v>
      </c>
      <c r="B195" s="31">
        <v>1010</v>
      </c>
      <c r="C195" s="31">
        <v>4178</v>
      </c>
      <c r="D195" s="29" t="s">
        <v>503</v>
      </c>
      <c r="E195" s="31">
        <v>93</v>
      </c>
      <c r="F195" s="34">
        <f ca="1">LOOKUP(C195,'QALS - Inspection Lot Record'!P:P,'QALS - Inspection Lot Record'!E:E)+RANDBETWEEN(0,1)</f>
        <v>45959</v>
      </c>
      <c r="G195" s="41" t="s">
        <v>472</v>
      </c>
      <c r="H195" s="34">
        <f t="shared" ca="1" si="3"/>
        <v>45961</v>
      </c>
      <c r="I195" s="29" t="str" cm="1">
        <f t="array" aca="1" ref="I195" ca="1">_xlfn.IFS(G195="Potency out of spec",CHOOSE(RANDBETWEEN(1,6),"Additional testing","Improve formulation","Update production SOP","Supplier evaluation","Training for operators","Equipment calibration"),
G195="PH Level out of range",CHOOSE(RANDBETWEEN(1,6),"PH monitoring","Adjust formulation","Update production SOP","Supplier evaluation","Training for operators","Equipment calibration"),
G195="Impurities out of limit",CHOOSE(RANDBETWEEN(1,6),"Improve purification","Raw material control","Update production SOP","Supplier evaluation","Training for operators","Equipment maintenance"),
G195="Process temp out of range",CHOOSE(RANDBETWEEN(1,6),"Temperature control","Update production SOP","Supplier evaluation","Training for operators",
"Equipment calibration","Preventive maintenance"),
G195="Dissolution rate low - 15 mins",CHOOSE(RANDBETWEEN(1,6),"Increase agitation","Reduce particle size","Update production SOP","Supplier evaluation",
"Training for operators","Equipment calibration"),
G195="Dissolution rate low - 30 mins",CHOOSE(RANDBETWEEN(1,6),"Increase disintegrant","Optimize granulation","Update production SOP","Supplier evaluation",
"Training for operators","Equipment calibration"),
G195="Dissolution rate low - 40 mins",CHOOSE(RANDBETWEEN(1,6),"Increase surface area","Optimize compression","Update production SOP","Supplier evaluation",
"Training for operators","Equipment calibration"),
G195="Dissolution rate high - 15 mins",CHOOSE(RANDBETWEEN(1,6),"Decrease agitation","Increase particle size","Update production SOP","Supplier evaluation","Training for operators","Equipment calibration"),
G195="Dissolution rate high - 30 mins",CHOOSE(RANDBETWEEN(1,6),"Decrease disintegrant","Optimize granulation","Update production SOP","Supplier evaluation","Training for operators","Equipment calibration"),
G195="Dissolution rate high - 40 mins",CHOOSE(RANDBETWEEN(1,6),"Decrease surface area","Optimize compression","Update production SOP","Supplier evaluation","Training for operators","Equipment calibration"))</f>
        <v>Equipment calibration</v>
      </c>
    </row>
    <row r="196" spans="1:9" x14ac:dyDescent="0.35">
      <c r="A196" s="31">
        <v>200000595</v>
      </c>
      <c r="B196" s="31">
        <v>1010</v>
      </c>
      <c r="C196" s="31">
        <v>4178</v>
      </c>
      <c r="D196" s="29" t="s">
        <v>503</v>
      </c>
      <c r="E196" s="31">
        <v>1.7</v>
      </c>
      <c r="F196" s="34">
        <f ca="1">LOOKUP(C196,'QALS - Inspection Lot Record'!P:P,'QALS - Inspection Lot Record'!E:E)+RANDBETWEEN(0,1)</f>
        <v>45959</v>
      </c>
      <c r="G196" s="41" t="s">
        <v>474</v>
      </c>
      <c r="H196" s="34">
        <f t="shared" ca="1" si="3"/>
        <v>45960</v>
      </c>
      <c r="I196" s="29" t="str" cm="1">
        <f t="array" aca="1" ref="I196" ca="1">_xlfn.IFS(G196="Potency out of spec",CHOOSE(RANDBETWEEN(1,6),"Additional testing","Improve formulation","Update production SOP","Supplier evaluation","Training for operators","Equipment calibration"),
G196="PH Level out of range",CHOOSE(RANDBETWEEN(1,6),"PH monitoring","Adjust formulation","Update production SOP","Supplier evaluation","Training for operators","Equipment calibration"),
G196="Impurities out of limit",CHOOSE(RANDBETWEEN(1,6),"Improve purification","Raw material control","Update production SOP","Supplier evaluation","Training for operators","Equipment maintenance"),
G196="Process temp out of range",CHOOSE(RANDBETWEEN(1,6),"Temperature control","Update production SOP","Supplier evaluation","Training for operators",
"Equipment calibration","Preventive maintenance"),
G196="Dissolution rate low - 15 mins",CHOOSE(RANDBETWEEN(1,6),"Increase agitation","Reduce particle size","Update production SOP","Supplier evaluation",
"Training for operators","Equipment calibration"),
G196="Dissolution rate low - 30 mins",CHOOSE(RANDBETWEEN(1,6),"Increase disintegrant","Optimize granulation","Update production SOP","Supplier evaluation",
"Training for operators","Equipment calibration"),
G196="Dissolution rate low - 40 mins",CHOOSE(RANDBETWEEN(1,6),"Increase surface area","Optimize compression","Update production SOP","Supplier evaluation",
"Training for operators","Equipment calibration"),
G196="Dissolution rate high - 15 mins",CHOOSE(RANDBETWEEN(1,6),"Decrease agitation","Increase particle size","Update production SOP","Supplier evaluation","Training for operators","Equipment calibration"),
G196="Dissolution rate high - 30 mins",CHOOSE(RANDBETWEEN(1,6),"Decrease disintegrant","Optimize granulation","Update production SOP","Supplier evaluation","Training for operators","Equipment calibration"),
G196="Dissolution rate high - 40 mins",CHOOSE(RANDBETWEEN(1,6),"Decrease surface area","Optimize compression","Update production SOP","Supplier evaluation","Training for operators","Equipment calibration"))</f>
        <v>Update production SOP</v>
      </c>
    </row>
    <row r="197" spans="1:9" x14ac:dyDescent="0.35">
      <c r="A197" s="31">
        <v>200000595</v>
      </c>
      <c r="B197" s="31">
        <v>1010</v>
      </c>
      <c r="C197" s="31">
        <v>4178</v>
      </c>
      <c r="D197" s="29" t="s">
        <v>503</v>
      </c>
      <c r="E197" s="31">
        <v>1.2</v>
      </c>
      <c r="F197" s="34">
        <f ca="1">LOOKUP(C197,'QALS - Inspection Lot Record'!P:P,'QALS - Inspection Lot Record'!E:E)+RANDBETWEEN(0,1)</f>
        <v>45958</v>
      </c>
      <c r="G197" s="41" t="s">
        <v>476</v>
      </c>
      <c r="H197" s="34">
        <f t="shared" ca="1" si="3"/>
        <v>45959</v>
      </c>
      <c r="I197" s="29" t="str" cm="1">
        <f t="array" aca="1" ref="I197" ca="1">_xlfn.IFS(G197="Potency out of spec",CHOOSE(RANDBETWEEN(1,6),"Additional testing","Improve formulation","Update production SOP","Supplier evaluation","Training for operators","Equipment calibration"),
G197="PH Level out of range",CHOOSE(RANDBETWEEN(1,6),"PH monitoring","Adjust formulation","Update production SOP","Supplier evaluation","Training for operators","Equipment calibration"),
G197="Impurities out of limit",CHOOSE(RANDBETWEEN(1,6),"Improve purification","Raw material control","Update production SOP","Supplier evaluation","Training for operators","Equipment maintenance"),
G197="Process temp out of range",CHOOSE(RANDBETWEEN(1,6),"Temperature control","Update production SOP","Supplier evaluation","Training for operators",
"Equipment calibration","Preventive maintenance"),
G197="Dissolution rate low - 15 mins",CHOOSE(RANDBETWEEN(1,6),"Increase agitation","Reduce particle size","Update production SOP","Supplier evaluation",
"Training for operators","Equipment calibration"),
G197="Dissolution rate low - 30 mins",CHOOSE(RANDBETWEEN(1,6),"Increase disintegrant","Optimize granulation","Update production SOP","Supplier evaluation",
"Training for operators","Equipment calibration"),
G197="Dissolution rate low - 40 mins",CHOOSE(RANDBETWEEN(1,6),"Increase surface area","Optimize compression","Update production SOP","Supplier evaluation",
"Training for operators","Equipment calibration"),
G197="Dissolution rate high - 15 mins",CHOOSE(RANDBETWEEN(1,6),"Decrease agitation","Increase particle size","Update production SOP","Supplier evaluation","Training for operators","Equipment calibration"),
G197="Dissolution rate high - 30 mins",CHOOSE(RANDBETWEEN(1,6),"Decrease disintegrant","Optimize granulation","Update production SOP","Supplier evaluation","Training for operators","Equipment calibration"),
G197="Dissolution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198" spans="1:9" x14ac:dyDescent="0.35">
      <c r="A198" s="31">
        <v>200000595</v>
      </c>
      <c r="B198" s="31">
        <v>1010</v>
      </c>
      <c r="C198" s="31">
        <v>4178</v>
      </c>
      <c r="D198" s="29" t="s">
        <v>503</v>
      </c>
      <c r="E198" s="31">
        <v>78.400000000000006</v>
      </c>
      <c r="F198" s="34">
        <f ca="1">LOOKUP(C198,'QALS - Inspection Lot Record'!P:P,'QALS - Inspection Lot Record'!E:E)+RANDBETWEEN(0,1)</f>
        <v>45958</v>
      </c>
      <c r="G198" s="41" t="s">
        <v>486</v>
      </c>
      <c r="H198" s="34">
        <f t="shared" ca="1" si="3"/>
        <v>45958</v>
      </c>
      <c r="I198" s="29" t="str" cm="1">
        <f t="array" aca="1" ref="I198" ca="1">_xlfn.IFS(G198="Potency out of spec",CHOOSE(RANDBETWEEN(1,6),"Additional testing","Improve formulation","Update production SOP","Supplier evaluation","Training for operators","Equipment calibration"),
G198="PH Level out of range",CHOOSE(RANDBETWEEN(1,6),"PH monitoring","Adjust formulation","Update production SOP","Supplier evaluation","Training for operators","Equipment calibration"),
G198="Impurities out of limit",CHOOSE(RANDBETWEEN(1,6),"Improve purification","Raw material control","Update production SOP","Supplier evaluation","Training for operators","Equipment maintenance"),
G198="Process temp out of range",CHOOSE(RANDBETWEEN(1,6),"Temperature control","Update production SOP","Supplier evaluation","Training for operators",
"Equipment calibration","Preventive maintenance"),
G198="Dissolution rate low - 15 mins",CHOOSE(RANDBETWEEN(1,6),"Increase agitation","Reduce particle size","Update production SOP","Supplier evaluation",
"Training for operators","Equipment calibration"),
G198="Dissolution rate low - 30 mins",CHOOSE(RANDBETWEEN(1,6),"Increase disintegrant","Optimize granulation","Update production SOP","Supplier evaluation",
"Training for operators","Equipment calibration"),
G198="Dissolution rate low - 40 mins",CHOOSE(RANDBETWEEN(1,6),"Increase surface area","Optimize compression","Update production SOP","Supplier evaluation",
"Training for operators","Equipment calibration"),
G198="Dissolution rate high - 15 mins",CHOOSE(RANDBETWEEN(1,6),"Decrease agitation","Increase particle size","Update production SOP","Supplier evaluation","Training for operators","Equipment calibration"),
G198="Dissolution rate high - 30 mins",CHOOSE(RANDBETWEEN(1,6),"Decrease disintegrant","Optimize granulation","Update production SOP","Supplier evaluation","Training for operators","Equipment calibration"),
G198="Dissolution rate high - 40 mins",CHOOSE(RANDBETWEEN(1,6),"Decrease surface area","Optimize compression","Update production SOP","Supplier evaluation","Training for operators","Equipment calibration"))</f>
        <v>Supplier evaluation</v>
      </c>
    </row>
    <row r="199" spans="1:9" x14ac:dyDescent="0.35">
      <c r="A199" s="31">
        <v>200000595</v>
      </c>
      <c r="B199" s="31">
        <v>1010</v>
      </c>
      <c r="C199" s="31">
        <v>4178</v>
      </c>
      <c r="D199" s="29" t="s">
        <v>503</v>
      </c>
      <c r="E199" s="31">
        <v>21.1</v>
      </c>
      <c r="F199" s="34">
        <f ca="1">LOOKUP(C199,'QALS - Inspection Lot Record'!P:P,'QALS - Inspection Lot Record'!E:E)+RANDBETWEEN(0,1)</f>
        <v>45958</v>
      </c>
      <c r="G199" s="41" t="s">
        <v>483</v>
      </c>
      <c r="H199" s="34">
        <f t="shared" ca="1" si="3"/>
        <v>45960</v>
      </c>
      <c r="I199" s="29" t="str" cm="1">
        <f t="array" aca="1" ref="I199" ca="1">_xlfn.IFS(G199="Potency out of spec",CHOOSE(RANDBETWEEN(1,6),"Additional testing","Improve formulation","Update production SOP","Supplier evaluation","Training for operators","Equipment calibration"),
G199="PH Level out of range",CHOOSE(RANDBETWEEN(1,6),"PH monitoring","Adjust formulation","Update production SOP","Supplier evaluation","Training for operators","Equipment calibration"),
G199="Impurities out of limit",CHOOSE(RANDBETWEEN(1,6),"Improve purification","Raw material control","Update production SOP","Supplier evaluation","Training for operators","Equipment maintenance"),
G199="Process temp out of range",CHOOSE(RANDBETWEEN(1,6),"Temperature control","Update production SOP","Supplier evaluation","Training for operators",
"Equipment calibration","Preventive maintenance"),
G199="Dissolution rate low - 15 mins",CHOOSE(RANDBETWEEN(1,6),"Increase agitation","Reduce particle size","Update production SOP","Supplier evaluation",
"Training for operators","Equipment calibration"),
G199="Dissolution rate low - 30 mins",CHOOSE(RANDBETWEEN(1,6),"Increase disintegrant","Optimize granulation","Update production SOP","Supplier evaluation",
"Training for operators","Equipment calibration"),
G199="Dissolution rate low - 40 mins",CHOOSE(RANDBETWEEN(1,6),"Increase surface area","Optimize compression","Update production SOP","Supplier evaluation",
"Training for operators","Equipment calibration"),
G199="Dissolution rate high - 15 mins",CHOOSE(RANDBETWEEN(1,6),"Decrease agitation","Increase particle size","Update production SOP","Supplier evaluation","Training for operators","Equipment calibration"),
G199="Dissolution rate high - 30 mins",CHOOSE(RANDBETWEEN(1,6),"Decrease disintegrant","Optimize granulation","Update production SOP","Supplier evaluation","Training for operators","Equipment calibration"),
G199="Dissolution rate high - 40 mins",CHOOSE(RANDBETWEEN(1,6),"Decrease surface area","Optimize compression","Update production SOP","Supplier evaluation","Training for operators","Equipment calibration"))</f>
        <v>Preventive maintenance</v>
      </c>
    </row>
    <row r="200" spans="1:9" x14ac:dyDescent="0.35">
      <c r="A200" s="31">
        <v>200000596</v>
      </c>
      <c r="B200" s="31">
        <v>1010</v>
      </c>
      <c r="C200" s="31">
        <v>4181</v>
      </c>
      <c r="D200" s="29" t="s">
        <v>504</v>
      </c>
      <c r="E200" s="31">
        <v>93.8</v>
      </c>
      <c r="F200" s="34">
        <f ca="1">LOOKUP(C200,'QALS - Inspection Lot Record'!P:P,'QALS - Inspection Lot Record'!E:E)+RANDBETWEEN(0,1)</f>
        <v>45960</v>
      </c>
      <c r="G200" s="41" t="s">
        <v>472</v>
      </c>
      <c r="H200" s="34">
        <f t="shared" ca="1" si="3"/>
        <v>45961</v>
      </c>
      <c r="I200" s="29" t="str" cm="1">
        <f t="array" aca="1" ref="I200" ca="1">_xlfn.IFS(G200="Potency out of spec",CHOOSE(RANDBETWEEN(1,6),"Additional testing","Improve formulation","Update production SOP","Supplier evaluation","Training for operators","Equipment calibration"),
G200="PH Level out of range",CHOOSE(RANDBETWEEN(1,6),"PH monitoring","Adjust formulation","Update production SOP","Supplier evaluation","Training for operators","Equipment calibration"),
G200="Impurities out of limit",CHOOSE(RANDBETWEEN(1,6),"Improve purification","Raw material control","Update production SOP","Supplier evaluation","Training for operators","Equipment maintenance"),
G200="Process temp out of range",CHOOSE(RANDBETWEEN(1,6),"Temperature control","Update production SOP","Supplier evaluation","Training for operators",
"Equipment calibration","Preventive maintenance"),
G200="Dissolution rate low - 15 mins",CHOOSE(RANDBETWEEN(1,6),"Increase agitation","Reduce particle size","Update production SOP","Supplier evaluation",
"Training for operators","Equipment calibration"),
G200="Dissolution rate low - 30 mins",CHOOSE(RANDBETWEEN(1,6),"Increase disintegrant","Optimize granulation","Update production SOP","Supplier evaluation",
"Training for operators","Equipment calibration"),
G200="Dissolution rate low - 40 mins",CHOOSE(RANDBETWEEN(1,6),"Increase surface area","Optimize compression","Update production SOP","Supplier evaluation",
"Training for operators","Equipment calibration"),
G200="Dissolution rate high - 15 mins",CHOOSE(RANDBETWEEN(1,6),"Decrease agitation","Increase particle size","Update production SOP","Supplier evaluation","Training for operators","Equipment calibration"),
G200="Dissolution rate high - 30 mins",CHOOSE(RANDBETWEEN(1,6),"Decrease disintegrant","Optimize granulation","Update production SOP","Supplier evaluation","Training for operators","Equipment calibration"),
G200="Dissolution rate high - 40 mins",CHOOSE(RANDBETWEEN(1,6),"Decrease surface area","Optimize compression","Update production SOP","Supplier evaluation","Training for operators","Equipment calibration"))</f>
        <v>Equipment calibration</v>
      </c>
    </row>
    <row r="201" spans="1:9" x14ac:dyDescent="0.35">
      <c r="A201" s="31">
        <v>200000597</v>
      </c>
      <c r="B201" s="31">
        <v>1010</v>
      </c>
      <c r="C201" s="31">
        <v>4182</v>
      </c>
      <c r="D201" s="29" t="s">
        <v>504</v>
      </c>
      <c r="E201" s="31">
        <v>21.6</v>
      </c>
      <c r="F201" s="34">
        <f ca="1">LOOKUP(C201,'QALS - Inspection Lot Record'!P:P,'QALS - Inspection Lot Record'!E:E)+RANDBETWEEN(0,1)</f>
        <v>45961</v>
      </c>
      <c r="G201" s="41" t="s">
        <v>483</v>
      </c>
      <c r="H201" s="34">
        <f t="shared" ca="1" si="3"/>
        <v>45962</v>
      </c>
      <c r="I201" s="29" t="str" cm="1">
        <f t="array" aca="1" ref="I201" ca="1">_xlfn.IFS(G201="Potency out of spec",CHOOSE(RANDBETWEEN(1,6),"Additional testing","Improve formulation","Update production SOP","Supplier evaluation","Training for operators","Equipment calibration"),
G201="PH Level out of range",CHOOSE(RANDBETWEEN(1,6),"PH monitoring","Adjust formulation","Update production SOP","Supplier evaluation","Training for operators","Equipment calibration"),
G201="Impurities out of limit",CHOOSE(RANDBETWEEN(1,6),"Improve purification","Raw material control","Update production SOP","Supplier evaluation","Training for operators","Equipment maintenance"),
G201="Process temp out of range",CHOOSE(RANDBETWEEN(1,6),"Temperature control","Update production SOP","Supplier evaluation","Training for operators",
"Equipment calibration","Preventive maintenance"),
G201="Dissolution rate low - 15 mins",CHOOSE(RANDBETWEEN(1,6),"Increase agitation","Reduce particle size","Update production SOP","Supplier evaluation",
"Training for operators","Equipment calibration"),
G201="Dissolution rate low - 30 mins",CHOOSE(RANDBETWEEN(1,6),"Increase disintegrant","Optimize granulation","Update production SOP","Supplier evaluation",
"Training for operators","Equipment calibration"),
G201="Dissolution rate low - 40 mins",CHOOSE(RANDBETWEEN(1,6),"Increase surface area","Optimize compression","Update production SOP","Supplier evaluation",
"Training for operators","Equipment calibration"),
G201="Dissolution rate high - 15 mins",CHOOSE(RANDBETWEEN(1,6),"Decrease agitation","Increase particle size","Update production SOP","Supplier evaluation","Training for operators","Equipment calibration"),
G201="Dissolution rate high - 30 mins",CHOOSE(RANDBETWEEN(1,6),"Decrease disintegrant","Optimize granulation","Update production SOP","Supplier evaluation","Training for operators","Equipment calibration"),
G201="Dissolution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02" spans="1:9" x14ac:dyDescent="0.35">
      <c r="A202" s="31">
        <v>200000598</v>
      </c>
      <c r="B202" s="31">
        <v>1010</v>
      </c>
      <c r="C202" s="31">
        <v>4183</v>
      </c>
      <c r="D202" s="29" t="s">
        <v>503</v>
      </c>
      <c r="E202" s="31">
        <v>93.5</v>
      </c>
      <c r="F202" s="34">
        <f ca="1">LOOKUP(C202,'QALS - Inspection Lot Record'!P:P,'QALS - Inspection Lot Record'!E:E)+RANDBETWEEN(0,1)</f>
        <v>45961</v>
      </c>
      <c r="G202" s="41" t="s">
        <v>472</v>
      </c>
      <c r="H202" s="34">
        <f t="shared" ca="1" si="3"/>
        <v>45962</v>
      </c>
      <c r="I202" s="29" t="str" cm="1">
        <f t="array" aca="1" ref="I202" ca="1">_xlfn.IFS(G202="Potency out of spec",CHOOSE(RANDBETWEEN(1,6),"Additional testing","Improve formulation","Update production SOP","Supplier evaluation","Training for operators","Equipment calibration"),
G202="PH Level out of range",CHOOSE(RANDBETWEEN(1,6),"PH monitoring","Adjust formulation","Update production SOP","Supplier evaluation","Training for operators","Equipment calibration"),
G202="Impurities out of limit",CHOOSE(RANDBETWEEN(1,6),"Improve purification","Raw material control","Update production SOP","Supplier evaluation","Training for operators","Equipment maintenance"),
G202="Process temp out of range",CHOOSE(RANDBETWEEN(1,6),"Temperature control","Update production SOP","Supplier evaluation","Training for operators",
"Equipment calibration","Preventive maintenance"),
G202="Dissolution rate low - 15 mins",CHOOSE(RANDBETWEEN(1,6),"Increase agitation","Reduce particle size","Update production SOP","Supplier evaluation",
"Training for operators","Equipment calibration"),
G202="Dissolution rate low - 30 mins",CHOOSE(RANDBETWEEN(1,6),"Increase disintegrant","Optimize granulation","Update production SOP","Supplier evaluation",
"Training for operators","Equipment calibration"),
G202="Dissolution rate low - 40 mins",CHOOSE(RANDBETWEEN(1,6),"Increase surface area","Optimize compression","Update production SOP","Supplier evaluation",
"Training for operators","Equipment calibration"),
G202="Dissolution rate high - 15 mins",CHOOSE(RANDBETWEEN(1,6),"Decrease agitation","Increase particle size","Update production SOP","Supplier evaluation","Training for operators","Equipment calibration"),
G202="Dissolution rate high - 30 mins",CHOOSE(RANDBETWEEN(1,6),"Decrease disintegrant","Optimize granulation","Update production SOP","Supplier evaluation","Training for operators","Equipment calibration"),
G202="Dissolution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03" spans="1:9" x14ac:dyDescent="0.35">
      <c r="A203" s="31">
        <v>200000598</v>
      </c>
      <c r="B203" s="31">
        <v>1010</v>
      </c>
      <c r="C203" s="31">
        <v>4183</v>
      </c>
      <c r="D203" s="29" t="s">
        <v>503</v>
      </c>
      <c r="E203" s="31">
        <v>68.599999999999994</v>
      </c>
      <c r="F203" s="34">
        <f ca="1">LOOKUP(C203,'QALS - Inspection Lot Record'!P:P,'QALS - Inspection Lot Record'!E:E)+RANDBETWEEN(0,1)</f>
        <v>45962</v>
      </c>
      <c r="G203" s="41" t="s">
        <v>480</v>
      </c>
      <c r="H203" s="34">
        <f t="shared" ca="1" si="3"/>
        <v>45963</v>
      </c>
      <c r="I203" s="29" t="str" cm="1">
        <f t="array" aca="1" ref="I203" ca="1">_xlfn.IFS(G203="Potency out of spec",CHOOSE(RANDBETWEEN(1,6),"Additional testing","Improve formulation","Update production SOP","Supplier evaluation","Training for operators","Equipment calibration"),
G203="PH Level out of range",CHOOSE(RANDBETWEEN(1,6),"PH monitoring","Adjust formulation","Update production SOP","Supplier evaluation","Training for operators","Equipment calibration"),
G203="Impurities out of limit",CHOOSE(RANDBETWEEN(1,6),"Improve purification","Raw material control","Update production SOP","Supplier evaluation","Training for operators","Equipment maintenance"),
G203="Process temp out of range",CHOOSE(RANDBETWEEN(1,6),"Temperature control","Update production SOP","Supplier evaluation","Training for operators",
"Equipment calibration","Preventive maintenance"),
G203="Dissolution rate low - 15 mins",CHOOSE(RANDBETWEEN(1,6),"Increase agitation","Reduce particle size","Update production SOP","Supplier evaluation",
"Training for operators","Equipment calibration"),
G203="Dissolution rate low - 30 mins",CHOOSE(RANDBETWEEN(1,6),"Increase disintegrant","Optimize granulation","Update production SOP","Supplier evaluation",
"Training for operators","Equipment calibration"),
G203="Dissolution rate low - 40 mins",CHOOSE(RANDBETWEEN(1,6),"Increase surface area","Optimize compression","Update production SOP","Supplier evaluation",
"Training for operators","Equipment calibration"),
G203="Dissolution rate high - 15 mins",CHOOSE(RANDBETWEEN(1,6),"Decrease agitation","Increase particle size","Update production SOP","Supplier evaluation","Training for operators","Equipment calibration"),
G203="Dissolution rate high - 30 mins",CHOOSE(RANDBETWEEN(1,6),"Decrease disintegrant","Optimize granulation","Update production SOP","Supplier evaluation","Training for operators","Equipment calibration"),
G203="Dissolution rate high - 40 mins",CHOOSE(RANDBETWEEN(1,6),"Decrease surface area","Optimize compression","Update production SOP","Supplier evaluation","Training for operators","Equipment calibration"))</f>
        <v>Increase disintegrant</v>
      </c>
    </row>
    <row r="204" spans="1:9" x14ac:dyDescent="0.35">
      <c r="A204" s="31">
        <v>200000598</v>
      </c>
      <c r="B204" s="31">
        <v>1010</v>
      </c>
      <c r="C204" s="31">
        <v>4183</v>
      </c>
      <c r="D204" s="29" t="s">
        <v>503</v>
      </c>
      <c r="E204" s="31">
        <v>78.400000000000006</v>
      </c>
      <c r="F204" s="34">
        <f ca="1">LOOKUP(C204,'QALS - Inspection Lot Record'!P:P,'QALS - Inspection Lot Record'!E:E)+RANDBETWEEN(0,1)</f>
        <v>45962</v>
      </c>
      <c r="G204" s="41" t="s">
        <v>486</v>
      </c>
      <c r="H204" s="34">
        <f t="shared" ca="1" si="3"/>
        <v>45962</v>
      </c>
      <c r="I204" s="29" t="str" cm="1">
        <f t="array" aca="1" ref="I204" ca="1">_xlfn.IFS(G204="Potency out of spec",CHOOSE(RANDBETWEEN(1,6),"Additional testing","Improve formulation","Update production SOP","Supplier evaluation","Training for operators","Equipment calibration"),
G204="PH Level out of range",CHOOSE(RANDBETWEEN(1,6),"PH monitoring","Adjust formulation","Update production SOP","Supplier evaluation","Training for operators","Equipment calibration"),
G204="Impurities out of limit",CHOOSE(RANDBETWEEN(1,6),"Improve purification","Raw material control","Update production SOP","Supplier evaluation","Training for operators","Equipment maintenance"),
G204="Process temp out of range",CHOOSE(RANDBETWEEN(1,6),"Temperature control","Update production SOP","Supplier evaluation","Training for operators",
"Equipment calibration","Preventive maintenance"),
G204="Dissolution rate low - 15 mins",CHOOSE(RANDBETWEEN(1,6),"Increase agitation","Reduce particle size","Update production SOP","Supplier evaluation",
"Training for operators","Equipment calibration"),
G204="Dissolution rate low - 30 mins",CHOOSE(RANDBETWEEN(1,6),"Increase disintegrant","Optimize granulation","Update production SOP","Supplier evaluation",
"Training for operators","Equipment calibration"),
G204="Dissolution rate low - 40 mins",CHOOSE(RANDBETWEEN(1,6),"Increase surface area","Optimize compression","Update production SOP","Supplier evaluation",
"Training for operators","Equipment calibration"),
G204="Dissolution rate high - 15 mins",CHOOSE(RANDBETWEEN(1,6),"Decrease agitation","Increase particle size","Update production SOP","Supplier evaluation","Training for operators","Equipment calibration"),
G204="Dissolution rate high - 30 mins",CHOOSE(RANDBETWEEN(1,6),"Decrease disintegrant","Optimize granulation","Update production SOP","Supplier evaluation","Training for operators","Equipment calibration"),
G204="Dissolution rate high - 40 mins",CHOOSE(RANDBETWEEN(1,6),"Decrease surface area","Optimize compression","Update production SOP","Supplier evaluation","Training for operators","Equipment calibration"))</f>
        <v>Increase surface area</v>
      </c>
    </row>
    <row r="205" spans="1:9" x14ac:dyDescent="0.35">
      <c r="A205" s="31">
        <v>200000599</v>
      </c>
      <c r="B205" s="31">
        <v>1010</v>
      </c>
      <c r="C205" s="31">
        <v>4184</v>
      </c>
      <c r="D205" s="29" t="s">
        <v>429</v>
      </c>
      <c r="E205" s="31">
        <v>93.2</v>
      </c>
      <c r="F205" s="34">
        <f ca="1">LOOKUP(C205,'QALS - Inspection Lot Record'!P:P,'QALS - Inspection Lot Record'!E:E)+RANDBETWEEN(0,1)</f>
        <v>45961</v>
      </c>
      <c r="G205" s="41" t="s">
        <v>472</v>
      </c>
      <c r="H205" s="34">
        <f t="shared" ca="1" si="3"/>
        <v>45962</v>
      </c>
      <c r="I205" s="29" t="str" cm="1">
        <f t="array" aca="1" ref="I205" ca="1">_xlfn.IFS(G205="Potency out of spec",CHOOSE(RANDBETWEEN(1,6),"Additional testing","Improve formulation","Update production SOP","Supplier evaluation","Training for operators","Equipment calibration"),
G205="PH Level out of range",CHOOSE(RANDBETWEEN(1,6),"PH monitoring","Adjust formulation","Update production SOP","Supplier evaluation","Training for operators","Equipment calibration"),
G205="Impurities out of limit",CHOOSE(RANDBETWEEN(1,6),"Improve purification","Raw material control","Update production SOP","Supplier evaluation","Training for operators","Equipment maintenance"),
G205="Process temp out of range",CHOOSE(RANDBETWEEN(1,6),"Temperature control","Update production SOP","Supplier evaluation","Training for operators",
"Equipment calibration","Preventive maintenance"),
G205="Dissolution rate low - 15 mins",CHOOSE(RANDBETWEEN(1,6),"Increase agitation","Reduce particle size","Update production SOP","Supplier evaluation",
"Training for operators","Equipment calibration"),
G205="Dissolution rate low - 30 mins",CHOOSE(RANDBETWEEN(1,6),"Increase disintegrant","Optimize granulation","Update production SOP","Supplier evaluation",
"Training for operators","Equipment calibration"),
G205="Dissolution rate low - 40 mins",CHOOSE(RANDBETWEEN(1,6),"Increase surface area","Optimize compression","Update production SOP","Supplier evaluation",
"Training for operators","Equipment calibration"),
G205="Dissolution rate high - 15 mins",CHOOSE(RANDBETWEEN(1,6),"Decrease agitation","Increase particle size","Update production SOP","Supplier evaluation","Training for operators","Equipment calibration"),
G205="Dissolution rate high - 30 mins",CHOOSE(RANDBETWEEN(1,6),"Decrease disintegrant","Optimize granulation","Update production SOP","Supplier evaluation","Training for operators","Equipment calibration"),
G205="Dissolution rate high - 40 mins",CHOOSE(RANDBETWEEN(1,6),"Decrease surface area","Optimize compression","Update production SOP","Supplier evaluation","Training for operators","Equipment calibration"))</f>
        <v>Improve formulation</v>
      </c>
    </row>
    <row r="206" spans="1:9" x14ac:dyDescent="0.35">
      <c r="A206" s="31">
        <v>200000599</v>
      </c>
      <c r="B206" s="31">
        <v>1010</v>
      </c>
      <c r="C206" s="31">
        <v>4184</v>
      </c>
      <c r="D206" s="29" t="s">
        <v>429</v>
      </c>
      <c r="E206" s="31">
        <v>38.799999999999997</v>
      </c>
      <c r="F206" s="34">
        <f ca="1">LOOKUP(C206,'QALS - Inspection Lot Record'!P:P,'QALS - Inspection Lot Record'!E:E)+RANDBETWEEN(0,1)</f>
        <v>45961</v>
      </c>
      <c r="G206" s="41" t="s">
        <v>478</v>
      </c>
      <c r="H206" s="34">
        <f t="shared" ca="1" si="3"/>
        <v>45963</v>
      </c>
      <c r="I206" s="29" t="str" cm="1">
        <f t="array" aca="1" ref="I206" ca="1">_xlfn.IFS(G206="Potency out of spec",CHOOSE(RANDBETWEEN(1,6),"Additional testing","Improve formulation","Update production SOP","Supplier evaluation","Training for operators","Equipment calibration"),
G206="PH Level out of range",CHOOSE(RANDBETWEEN(1,6),"PH monitoring","Adjust formulation","Update production SOP","Supplier evaluation","Training for operators","Equipment calibration"),
G206="Impurities out of limit",CHOOSE(RANDBETWEEN(1,6),"Improve purification","Raw material control","Update production SOP","Supplier evaluation","Training for operators","Equipment maintenance"),
G206="Process temp out of range",CHOOSE(RANDBETWEEN(1,6),"Temperature control","Update production SOP","Supplier evaluation","Training for operators",
"Equipment calibration","Preventive maintenance"),
G206="Dissolution rate low - 15 mins",CHOOSE(RANDBETWEEN(1,6),"Increase agitation","Reduce particle size","Update production SOP","Supplier evaluation",
"Training for operators","Equipment calibration"),
G206="Dissolution rate low - 30 mins",CHOOSE(RANDBETWEEN(1,6),"Increase disintegrant","Optimize granulation","Update production SOP","Supplier evaluation",
"Training for operators","Equipment calibration"),
G206="Dissolution rate low - 40 mins",CHOOSE(RANDBETWEEN(1,6),"Increase surface area","Optimize compression","Update production SOP","Supplier evaluation",
"Training for operators","Equipment calibration"),
G206="Dissolution rate high - 15 mins",CHOOSE(RANDBETWEEN(1,6),"Decrease agitation","Increase particle size","Update production SOP","Supplier evaluation","Training for operators","Equipment calibration"),
G206="Dissolution rate high - 30 mins",CHOOSE(RANDBETWEEN(1,6),"Decrease disintegrant","Optimize granulation","Update production SOP","Supplier evaluation","Training for operators","Equipment calibration"),
G206="Dissolution rate high - 40 mins",CHOOSE(RANDBETWEEN(1,6),"Decrease surface area","Optimize compression","Update production SOP","Supplier evaluation","Training for operators","Equipment calibration"))</f>
        <v>Increase agitation</v>
      </c>
    </row>
    <row r="207" spans="1:9" x14ac:dyDescent="0.35">
      <c r="A207" s="31">
        <v>200000599</v>
      </c>
      <c r="B207" s="31">
        <v>1010</v>
      </c>
      <c r="C207" s="31">
        <v>4184</v>
      </c>
      <c r="D207" s="29" t="s">
        <v>429</v>
      </c>
      <c r="E207" s="31">
        <v>68</v>
      </c>
      <c r="F207" s="34">
        <f ca="1">LOOKUP(C207,'QALS - Inspection Lot Record'!P:P,'QALS - Inspection Lot Record'!E:E)+RANDBETWEEN(0,1)</f>
        <v>45962</v>
      </c>
      <c r="G207" s="41" t="s">
        <v>480</v>
      </c>
      <c r="H207" s="34">
        <f t="shared" ca="1" si="3"/>
        <v>45963</v>
      </c>
      <c r="I207" s="29" t="str" cm="1">
        <f t="array" aca="1" ref="I207" ca="1">_xlfn.IFS(G207="Potency out of spec",CHOOSE(RANDBETWEEN(1,6),"Additional testing","Improve formulation","Update production SOP","Supplier evaluation","Training for operators","Equipment calibration"),
G207="PH Level out of range",CHOOSE(RANDBETWEEN(1,6),"PH monitoring","Adjust formulation","Update production SOP","Supplier evaluation","Training for operators","Equipment calibration"),
G207="Impurities out of limit",CHOOSE(RANDBETWEEN(1,6),"Improve purification","Raw material control","Update production SOP","Supplier evaluation","Training for operators","Equipment maintenance"),
G207="Process temp out of range",CHOOSE(RANDBETWEEN(1,6),"Temperature control","Update production SOP","Supplier evaluation","Training for operators",
"Equipment calibration","Preventive maintenance"),
G207="Dissolution rate low - 15 mins",CHOOSE(RANDBETWEEN(1,6),"Increase agitation","Reduce particle size","Update production SOP","Supplier evaluation",
"Training for operators","Equipment calibration"),
G207="Dissolution rate low - 30 mins",CHOOSE(RANDBETWEEN(1,6),"Increase disintegrant","Optimize granulation","Update production SOP","Supplier evaluation",
"Training for operators","Equipment calibration"),
G207="Dissolution rate low - 40 mins",CHOOSE(RANDBETWEEN(1,6),"Increase surface area","Optimize compression","Update production SOP","Supplier evaluation",
"Training for operators","Equipment calibration"),
G207="Dissolution rate high - 15 mins",CHOOSE(RANDBETWEEN(1,6),"Decrease agitation","Increase particle size","Update production SOP","Supplier evaluation","Training for operators","Equipment calibration"),
G207="Dissolution rate high - 30 mins",CHOOSE(RANDBETWEEN(1,6),"Decrease disintegrant","Optimize granulation","Update production SOP","Supplier evaluation","Training for operators","Equipment calibration"),
G207="Dissolution rate high - 40 mins",CHOOSE(RANDBETWEEN(1,6),"Decrease surface area","Optimize compression","Update production SOP","Supplier evaluation","Training for operators","Equipment calibration"))</f>
        <v>Equipment calibration</v>
      </c>
    </row>
    <row r="208" spans="1:9" x14ac:dyDescent="0.35">
      <c r="A208" s="31">
        <v>200000599</v>
      </c>
      <c r="B208" s="31">
        <v>1010</v>
      </c>
      <c r="C208" s="31">
        <v>4184</v>
      </c>
      <c r="D208" s="29" t="s">
        <v>429</v>
      </c>
      <c r="E208" s="31">
        <v>78.8</v>
      </c>
      <c r="F208" s="34">
        <f ca="1">LOOKUP(C208,'QALS - Inspection Lot Record'!P:P,'QALS - Inspection Lot Record'!E:E)+RANDBETWEEN(0,1)</f>
        <v>45962</v>
      </c>
      <c r="G208" s="41" t="s">
        <v>486</v>
      </c>
      <c r="H208" s="34">
        <f t="shared" ca="1" si="3"/>
        <v>45963</v>
      </c>
      <c r="I208" s="29" t="str" cm="1">
        <f t="array" aca="1" ref="I208" ca="1">_xlfn.IFS(G208="Potency out of spec",CHOOSE(RANDBETWEEN(1,6),"Additional testing","Improve formulation","Update production SOP","Supplier evaluation","Training for operators","Equipment calibration"),
G208="PH Level out of range",CHOOSE(RANDBETWEEN(1,6),"PH monitoring","Adjust formulation","Update production SOP","Supplier evaluation","Training for operators","Equipment calibration"),
G208="Impurities out of limit",CHOOSE(RANDBETWEEN(1,6),"Improve purification","Raw material control","Update production SOP","Supplier evaluation","Training for operators","Equipment maintenance"),
G208="Process temp out of range",CHOOSE(RANDBETWEEN(1,6),"Temperature control","Update production SOP","Supplier evaluation","Training for operators",
"Equipment calibration","Preventive maintenance"),
G208="Dissolution rate low - 15 mins",CHOOSE(RANDBETWEEN(1,6),"Increase agitation","Reduce particle size","Update production SOP","Supplier evaluation",
"Training for operators","Equipment calibration"),
G208="Dissolution rate low - 30 mins",CHOOSE(RANDBETWEEN(1,6),"Increase disintegrant","Optimize granulation","Update production SOP","Supplier evaluation",
"Training for operators","Equipment calibration"),
G208="Dissolution rate low - 40 mins",CHOOSE(RANDBETWEEN(1,6),"Increase surface area","Optimize compression","Update production SOP","Supplier evaluation",
"Training for operators","Equipment calibration"),
G208="Dissolution rate high - 15 mins",CHOOSE(RANDBETWEEN(1,6),"Decrease agitation","Increase particle size","Update production SOP","Supplier evaluation","Training for operators","Equipment calibration"),
G208="Dissolution rate high - 30 mins",CHOOSE(RANDBETWEEN(1,6),"Decrease disintegrant","Optimize granulation","Update production SOP","Supplier evaluation","Training for operators","Equipment calibration"),
G208="Dissolution rate high - 40 mins",CHOOSE(RANDBETWEEN(1,6),"Decrease surface area","Optimize compression","Update production SOP","Supplier evaluation","Training for operators","Equipment calibration"))</f>
        <v>Update production SOP</v>
      </c>
    </row>
    <row r="209" spans="1:9" x14ac:dyDescent="0.35">
      <c r="A209" s="31">
        <v>200000600</v>
      </c>
      <c r="B209" s="31">
        <v>1010</v>
      </c>
      <c r="C209" s="31">
        <v>4185</v>
      </c>
      <c r="D209" s="29" t="s">
        <v>504</v>
      </c>
      <c r="E209" s="31">
        <v>68.099999999999994</v>
      </c>
      <c r="F209" s="34">
        <f ca="1">LOOKUP(C209,'QALS - Inspection Lot Record'!P:P,'QALS - Inspection Lot Record'!E:E)+RANDBETWEEN(0,1)</f>
        <v>45962</v>
      </c>
      <c r="G209" s="41" t="s">
        <v>480</v>
      </c>
      <c r="H209" s="34">
        <f t="shared" ca="1" si="3"/>
        <v>45963</v>
      </c>
      <c r="I209" s="29" t="str" cm="1">
        <f t="array" aca="1" ref="I209" ca="1">_xlfn.IFS(G209="Potency out of spec",CHOOSE(RANDBETWEEN(1,6),"Additional testing","Improve formulation","Update production SOP","Supplier evaluation","Training for operators","Equipment calibration"),
G209="PH Level out of range",CHOOSE(RANDBETWEEN(1,6),"PH monitoring","Adjust formulation","Update production SOP","Supplier evaluation","Training for operators","Equipment calibration"),
G209="Impurities out of limit",CHOOSE(RANDBETWEEN(1,6),"Improve purification","Raw material control","Update production SOP","Supplier evaluation","Training for operators","Equipment maintenance"),
G209="Process temp out of range",CHOOSE(RANDBETWEEN(1,6),"Temperature control","Update production SOP","Supplier evaluation","Training for operators",
"Equipment calibration","Preventive maintenance"),
G209="Dissolution rate low - 15 mins",CHOOSE(RANDBETWEEN(1,6),"Increase agitation","Reduce particle size","Update production SOP","Supplier evaluation",
"Training for operators","Equipment calibration"),
G209="Dissolution rate low - 30 mins",CHOOSE(RANDBETWEEN(1,6),"Increase disintegrant","Optimize granulation","Update production SOP","Supplier evaluation",
"Training for operators","Equipment calibration"),
G209="Dissolution rate low - 40 mins",CHOOSE(RANDBETWEEN(1,6),"Increase surface area","Optimize compression","Update production SOP","Supplier evaluation",
"Training for operators","Equipment calibration"),
G209="Dissolution rate high - 15 mins",CHOOSE(RANDBETWEEN(1,6),"Decrease agitation","Increase particle size","Update production SOP","Supplier evaluation","Training for operators","Equipment calibration"),
G209="Dissolution rate high - 30 mins",CHOOSE(RANDBETWEEN(1,6),"Decrease disintegrant","Optimize granulation","Update production SOP","Supplier evaluation","Training for operators","Equipment calibration"),
G209="Dissolution rate high - 40 mins",CHOOSE(RANDBETWEEN(1,6),"Decrease surface area","Optimize compression","Update production SOP","Supplier evaluation","Training for operators","Equipment calibration"))</f>
        <v>Supplier evaluation</v>
      </c>
    </row>
    <row r="210" spans="1:9" x14ac:dyDescent="0.35">
      <c r="A210" s="31">
        <v>200000601</v>
      </c>
      <c r="B210" s="31">
        <v>1010</v>
      </c>
      <c r="C210" s="31">
        <v>4186</v>
      </c>
      <c r="D210" s="29" t="s">
        <v>503</v>
      </c>
      <c r="E210" s="31">
        <v>21.8</v>
      </c>
      <c r="F210" s="34">
        <f ca="1">LOOKUP(C210,'QALS - Inspection Lot Record'!P:P,'QALS - Inspection Lot Record'!E:E)+RANDBETWEEN(0,1)</f>
        <v>45963</v>
      </c>
      <c r="G210" s="41" t="s">
        <v>483</v>
      </c>
      <c r="H210" s="34">
        <f t="shared" ca="1" si="3"/>
        <v>45964</v>
      </c>
      <c r="I210" s="29" t="str" cm="1">
        <f t="array" aca="1" ref="I210" ca="1">_xlfn.IFS(G210="Potency out of spec",CHOOSE(RANDBETWEEN(1,6),"Additional testing","Improve formulation","Update production SOP","Supplier evaluation","Training for operators","Equipment calibration"),
G210="PH Level out of range",CHOOSE(RANDBETWEEN(1,6),"PH monitoring","Adjust formulation","Update production SOP","Supplier evaluation","Training for operators","Equipment calibration"),
G210="Impurities out of limit",CHOOSE(RANDBETWEEN(1,6),"Improve purification","Raw material control","Update production SOP","Supplier evaluation","Training for operators","Equipment maintenance"),
G210="Process temp out of range",CHOOSE(RANDBETWEEN(1,6),"Temperature control","Update production SOP","Supplier evaluation","Training for operators",
"Equipment calibration","Preventive maintenance"),
G210="Dissolution rate low - 15 mins",CHOOSE(RANDBETWEEN(1,6),"Increase agitation","Reduce particle size","Update production SOP","Supplier evaluation",
"Training for operators","Equipment calibration"),
G210="Dissolution rate low - 30 mins",CHOOSE(RANDBETWEEN(1,6),"Increase disintegrant","Optimize granulation","Update production SOP","Supplier evaluation",
"Training for operators","Equipment calibration"),
G210="Dissolution rate low - 40 mins",CHOOSE(RANDBETWEEN(1,6),"Increase surface area","Optimize compression","Update production SOP","Supplier evaluation",
"Training for operators","Equipment calibration"),
G210="Dissolution rate high - 15 mins",CHOOSE(RANDBETWEEN(1,6),"Decrease agitation","Increase particle size","Update production SOP","Supplier evaluation","Training for operators","Equipment calibration"),
G210="Dissolution rate high - 30 mins",CHOOSE(RANDBETWEEN(1,6),"Decrease disintegrant","Optimize granulation","Update production SOP","Supplier evaluation","Training for operators","Equipment calibration"),
G210="Dissolution rate high - 40 mins",CHOOSE(RANDBETWEEN(1,6),"Decrease surface area","Optimize compression","Update production SOP","Supplier evaluation","Training for operators","Equipment calibration"))</f>
        <v>Temperature control</v>
      </c>
    </row>
    <row r="211" spans="1:9" x14ac:dyDescent="0.35">
      <c r="A211" s="31">
        <v>200000602</v>
      </c>
      <c r="B211" s="31">
        <v>1010</v>
      </c>
      <c r="C211" s="31">
        <v>4187</v>
      </c>
      <c r="D211" s="29" t="s">
        <v>504</v>
      </c>
      <c r="E211" s="31">
        <v>93.5</v>
      </c>
      <c r="F211" s="34">
        <f ca="1">LOOKUP(C211,'QALS - Inspection Lot Record'!P:P,'QALS - Inspection Lot Record'!E:E)+RANDBETWEEN(0,1)</f>
        <v>45963</v>
      </c>
      <c r="G211" s="41" t="s">
        <v>472</v>
      </c>
      <c r="H211" s="34">
        <f t="shared" ca="1" si="3"/>
        <v>45964</v>
      </c>
      <c r="I211" s="29" t="str" cm="1">
        <f t="array" aca="1" ref="I211" ca="1">_xlfn.IFS(G211="Potency out of spec",CHOOSE(RANDBETWEEN(1,6),"Additional testing","Improve formulation","Update production SOP","Supplier evaluation","Training for operators","Equipment calibration"),
G211="PH Level out of range",CHOOSE(RANDBETWEEN(1,6),"PH monitoring","Adjust formulation","Update production SOP","Supplier evaluation","Training for operators","Equipment calibration"),
G211="Impurities out of limit",CHOOSE(RANDBETWEEN(1,6),"Improve purification","Raw material control","Update production SOP","Supplier evaluation","Training for operators","Equipment maintenance"),
G211="Process temp out of range",CHOOSE(RANDBETWEEN(1,6),"Temperature control","Update production SOP","Supplier evaluation","Training for operators",
"Equipment calibration","Preventive maintenance"),
G211="Dissolution rate low - 15 mins",CHOOSE(RANDBETWEEN(1,6),"Increase agitation","Reduce particle size","Update production SOP","Supplier evaluation",
"Training for operators","Equipment calibration"),
G211="Dissolution rate low - 30 mins",CHOOSE(RANDBETWEEN(1,6),"Increase disintegrant","Optimize granulation","Update production SOP","Supplier evaluation",
"Training for operators","Equipment calibration"),
G211="Dissolution rate low - 40 mins",CHOOSE(RANDBETWEEN(1,6),"Increase surface area","Optimize compression","Update production SOP","Supplier evaluation",
"Training for operators","Equipment calibration"),
G211="Dissolution rate high - 15 mins",CHOOSE(RANDBETWEEN(1,6),"Decrease agitation","Increase particle size","Update production SOP","Supplier evaluation","Training for operators","Equipment calibration"),
G211="Dissolution rate high - 30 mins",CHOOSE(RANDBETWEEN(1,6),"Decrease disintegrant","Optimize granulation","Update production SOP","Supplier evaluation","Training for operators","Equipment calibration"),
G211="Dissolution rate high - 40 mins",CHOOSE(RANDBETWEEN(1,6),"Decrease surface area","Optimize compression","Update production SOP","Supplier evaluation","Training for operators","Equipment calibration"))</f>
        <v>Supplier evaluation</v>
      </c>
    </row>
    <row r="212" spans="1:9" x14ac:dyDescent="0.35">
      <c r="A212" s="31">
        <v>200000602</v>
      </c>
      <c r="B212" s="31">
        <v>1010</v>
      </c>
      <c r="C212" s="31">
        <v>4187</v>
      </c>
      <c r="D212" s="29" t="s">
        <v>504</v>
      </c>
      <c r="E212" s="31">
        <v>68.599999999999994</v>
      </c>
      <c r="F212" s="34">
        <f ca="1">LOOKUP(C212,'QALS - Inspection Lot Record'!P:P,'QALS - Inspection Lot Record'!E:E)+RANDBETWEEN(0,1)</f>
        <v>45963</v>
      </c>
      <c r="G212" s="41" t="s">
        <v>480</v>
      </c>
      <c r="H212" s="34">
        <f t="shared" ca="1" si="3"/>
        <v>45963</v>
      </c>
      <c r="I212" s="29" t="str" cm="1">
        <f t="array" aca="1" ref="I212" ca="1">_xlfn.IFS(G212="Potency out of spec",CHOOSE(RANDBETWEEN(1,6),"Additional testing","Improve formulation","Update production SOP","Supplier evaluation","Training for operators","Equipment calibration"),
G212="PH Level out of range",CHOOSE(RANDBETWEEN(1,6),"PH monitoring","Adjust formulation","Update production SOP","Supplier evaluation","Training for operators","Equipment calibration"),
G212="Impurities out of limit",CHOOSE(RANDBETWEEN(1,6),"Improve purification","Raw material control","Update production SOP","Supplier evaluation","Training for operators","Equipment maintenance"),
G212="Process temp out of range",CHOOSE(RANDBETWEEN(1,6),"Temperature control","Update production SOP","Supplier evaluation","Training for operators",
"Equipment calibration","Preventive maintenance"),
G212="Dissolution rate low - 15 mins",CHOOSE(RANDBETWEEN(1,6),"Increase agitation","Reduce particle size","Update production SOP","Supplier evaluation",
"Training for operators","Equipment calibration"),
G212="Dissolution rate low - 30 mins",CHOOSE(RANDBETWEEN(1,6),"Increase disintegrant","Optimize granulation","Update production SOP","Supplier evaluation",
"Training for operators","Equipment calibration"),
G212="Dissolution rate low - 40 mins",CHOOSE(RANDBETWEEN(1,6),"Increase surface area","Optimize compression","Update production SOP","Supplier evaluation",
"Training for operators","Equipment calibration"),
G212="Dissolution rate high - 15 mins",CHOOSE(RANDBETWEEN(1,6),"Decrease agitation","Increase particle size","Update production SOP","Supplier evaluation","Training for operators","Equipment calibration"),
G212="Dissolution rate high - 30 mins",CHOOSE(RANDBETWEEN(1,6),"Decrease disintegrant","Optimize granulation","Update production SOP","Supplier evaluation","Training for operators","Equipment calibration"),
G212="Dissolution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13" spans="1:9" x14ac:dyDescent="0.35">
      <c r="A213" s="31">
        <v>200000602</v>
      </c>
      <c r="B213" s="31">
        <v>1010</v>
      </c>
      <c r="C213" s="31">
        <v>4187</v>
      </c>
      <c r="D213" s="29" t="s">
        <v>504</v>
      </c>
      <c r="E213" s="31">
        <v>78.5</v>
      </c>
      <c r="F213" s="34">
        <f ca="1">LOOKUP(C213,'QALS - Inspection Lot Record'!P:P,'QALS - Inspection Lot Record'!E:E)+RANDBETWEEN(0,1)</f>
        <v>45964</v>
      </c>
      <c r="G213" s="41" t="s">
        <v>486</v>
      </c>
      <c r="H213" s="34">
        <f t="shared" ca="1" si="3"/>
        <v>45966</v>
      </c>
      <c r="I213" s="29" t="str" cm="1">
        <f t="array" aca="1" ref="I213" ca="1">_xlfn.IFS(G213="Potency out of spec",CHOOSE(RANDBETWEEN(1,6),"Additional testing","Improve formulation","Update production SOP","Supplier evaluation","Training for operators","Equipment calibration"),
G213="PH Level out of range",CHOOSE(RANDBETWEEN(1,6),"PH monitoring","Adjust formulation","Update production SOP","Supplier evaluation","Training for operators","Equipment calibration"),
G213="Impurities out of limit",CHOOSE(RANDBETWEEN(1,6),"Improve purification","Raw material control","Update production SOP","Supplier evaluation","Training for operators","Equipment maintenance"),
G213="Process temp out of range",CHOOSE(RANDBETWEEN(1,6),"Temperature control","Update production SOP","Supplier evaluation","Training for operators",
"Equipment calibration","Preventive maintenance"),
G213="Dissolution rate low - 15 mins",CHOOSE(RANDBETWEEN(1,6),"Increase agitation","Reduce particle size","Update production SOP","Supplier evaluation",
"Training for operators","Equipment calibration"),
G213="Dissolution rate low - 30 mins",CHOOSE(RANDBETWEEN(1,6),"Increase disintegrant","Optimize granulation","Update production SOP","Supplier evaluation",
"Training for operators","Equipment calibration"),
G213="Dissolution rate low - 40 mins",CHOOSE(RANDBETWEEN(1,6),"Increase surface area","Optimize compression","Update production SOP","Supplier evaluation",
"Training for operators","Equipment calibration"),
G213="Dissolution rate high - 15 mins",CHOOSE(RANDBETWEEN(1,6),"Decrease agitation","Increase particle size","Update production SOP","Supplier evaluation","Training for operators","Equipment calibration"),
G213="Dissolution rate high - 30 mins",CHOOSE(RANDBETWEEN(1,6),"Decrease disintegrant","Optimize granulation","Update production SOP","Supplier evaluation","Training for operators","Equipment calibration"),
G213="Dissolution rate high - 40 mins",CHOOSE(RANDBETWEEN(1,6),"Decrease surface area","Optimize compression","Update production SOP","Supplier evaluation","Training for operators","Equipment calibration"))</f>
        <v>Supplier evaluation</v>
      </c>
    </row>
    <row r="214" spans="1:9" x14ac:dyDescent="0.35">
      <c r="A214" s="31">
        <v>200000603</v>
      </c>
      <c r="B214" s="31">
        <v>1010</v>
      </c>
      <c r="C214" s="31">
        <v>4188</v>
      </c>
      <c r="D214" s="29" t="s">
        <v>504</v>
      </c>
      <c r="E214" s="31">
        <v>93.1</v>
      </c>
      <c r="F214" s="34">
        <f ca="1">LOOKUP(C214,'QALS - Inspection Lot Record'!P:P,'QALS - Inspection Lot Record'!E:E)+RANDBETWEEN(0,1)</f>
        <v>45963</v>
      </c>
      <c r="G214" s="41" t="s">
        <v>472</v>
      </c>
      <c r="H214" s="34">
        <f t="shared" ca="1" si="3"/>
        <v>45963</v>
      </c>
      <c r="I214" s="29" t="str" cm="1">
        <f t="array" aca="1" ref="I214" ca="1">_xlfn.IFS(G214="Potency out of spec",CHOOSE(RANDBETWEEN(1,6),"Additional testing","Improve formulation","Update production SOP","Supplier evaluation","Training for operators","Equipment calibration"),
G214="PH Level out of range",CHOOSE(RANDBETWEEN(1,6),"PH monitoring","Adjust formulation","Update production SOP","Supplier evaluation","Training for operators","Equipment calibration"),
G214="Impurities out of limit",CHOOSE(RANDBETWEEN(1,6),"Improve purification","Raw material control","Update production SOP","Supplier evaluation","Training for operators","Equipment maintenance"),
G214="Process temp out of range",CHOOSE(RANDBETWEEN(1,6),"Temperature control","Update production SOP","Supplier evaluation","Training for operators",
"Equipment calibration","Preventive maintenance"),
G214="Dissolution rate low - 15 mins",CHOOSE(RANDBETWEEN(1,6),"Increase agitation","Reduce particle size","Update production SOP","Supplier evaluation",
"Training for operators","Equipment calibration"),
G214="Dissolution rate low - 30 mins",CHOOSE(RANDBETWEEN(1,6),"Increase disintegrant","Optimize granulation","Update production SOP","Supplier evaluation",
"Training for operators","Equipment calibration"),
G214="Dissolution rate low - 40 mins",CHOOSE(RANDBETWEEN(1,6),"Increase surface area","Optimize compression","Update production SOP","Supplier evaluation",
"Training for operators","Equipment calibration"),
G214="Dissolution rate high - 15 mins",CHOOSE(RANDBETWEEN(1,6),"Decrease agitation","Increase particle size","Update production SOP","Supplier evaluation","Training for operators","Equipment calibration"),
G214="Dissolution rate high - 30 mins",CHOOSE(RANDBETWEEN(1,6),"Decrease disintegrant","Optimize granulation","Update production SOP","Supplier evaluation","Training for operators","Equipment calibration"),
G214="Dissolution rate high - 40 mins",CHOOSE(RANDBETWEEN(1,6),"Decrease surface area","Optimize compression","Update production SOP","Supplier evaluation","Training for operators","Equipment calibration"))</f>
        <v>Supplier evaluation</v>
      </c>
    </row>
    <row r="215" spans="1:9" x14ac:dyDescent="0.35">
      <c r="A215" s="31">
        <v>200000603</v>
      </c>
      <c r="B215" s="31">
        <v>1010</v>
      </c>
      <c r="C215" s="31">
        <v>4188</v>
      </c>
      <c r="D215" s="29" t="s">
        <v>504</v>
      </c>
      <c r="E215" s="31">
        <v>1.6</v>
      </c>
      <c r="F215" s="34">
        <f ca="1">LOOKUP(C215,'QALS - Inspection Lot Record'!P:P,'QALS - Inspection Lot Record'!E:E)+RANDBETWEEN(0,1)</f>
        <v>45964</v>
      </c>
      <c r="G215" s="41" t="s">
        <v>474</v>
      </c>
      <c r="H215" s="34">
        <f t="shared" ca="1" si="3"/>
        <v>45964</v>
      </c>
      <c r="I215" s="29" t="str" cm="1">
        <f t="array" aca="1" ref="I215" ca="1">_xlfn.IFS(G215="Potency out of spec",CHOOSE(RANDBETWEEN(1,6),"Additional testing","Improve formulation","Update production SOP","Supplier evaluation","Training for operators","Equipment calibration"),
G215="PH Level out of range",CHOOSE(RANDBETWEEN(1,6),"PH monitoring","Adjust formulation","Update production SOP","Supplier evaluation","Training for operators","Equipment calibration"),
G215="Impurities out of limit",CHOOSE(RANDBETWEEN(1,6),"Improve purification","Raw material control","Update production SOP","Supplier evaluation","Training for operators","Equipment maintenance"),
G215="Process temp out of range",CHOOSE(RANDBETWEEN(1,6),"Temperature control","Update production SOP","Supplier evaluation","Training for operators",
"Equipment calibration","Preventive maintenance"),
G215="Dissolution rate low - 15 mins",CHOOSE(RANDBETWEEN(1,6),"Increase agitation","Reduce particle size","Update production SOP","Supplier evaluation",
"Training for operators","Equipment calibration"),
G215="Dissolution rate low - 30 mins",CHOOSE(RANDBETWEEN(1,6),"Increase disintegrant","Optimize granulation","Update production SOP","Supplier evaluation",
"Training for operators","Equipment calibration"),
G215="Dissolution rate low - 40 mins",CHOOSE(RANDBETWEEN(1,6),"Increase surface area","Optimize compression","Update production SOP","Supplier evaluation",
"Training for operators","Equipment calibration"),
G215="Dissolution rate high - 15 mins",CHOOSE(RANDBETWEEN(1,6),"Decrease agitation","Increase particle size","Update production SOP","Supplier evaluation","Training for operators","Equipment calibration"),
G215="Dissolution rate high - 30 mins",CHOOSE(RANDBETWEEN(1,6),"Decrease disintegrant","Optimize granulation","Update production SOP","Supplier evaluation","Training for operators","Equipment calibration"),
G215="Dissolution rate high - 40 mins",CHOOSE(RANDBETWEEN(1,6),"Decrease surface area","Optimize compression","Update production SOP","Supplier evaluation","Training for operators","Equipment calibration"))</f>
        <v>Supplier evaluation</v>
      </c>
    </row>
    <row r="216" spans="1:9" x14ac:dyDescent="0.35">
      <c r="A216" s="31">
        <v>200000603</v>
      </c>
      <c r="B216" s="31">
        <v>1010</v>
      </c>
      <c r="C216" s="31">
        <v>4188</v>
      </c>
      <c r="D216" s="29" t="s">
        <v>504</v>
      </c>
      <c r="E216" s="31">
        <v>78.3</v>
      </c>
      <c r="F216" s="34">
        <f ca="1">LOOKUP(C216,'QALS - Inspection Lot Record'!P:P,'QALS - Inspection Lot Record'!E:E)+RANDBETWEEN(0,1)</f>
        <v>45963</v>
      </c>
      <c r="G216" s="41" t="s">
        <v>486</v>
      </c>
      <c r="H216" s="34">
        <f t="shared" ca="1" si="3"/>
        <v>45964</v>
      </c>
      <c r="I216" s="29" t="str" cm="1">
        <f t="array" aca="1" ref="I216" ca="1">_xlfn.IFS(G216="Potency out of spec",CHOOSE(RANDBETWEEN(1,6),"Additional testing","Improve formulation","Update production SOP","Supplier evaluation","Training for operators","Equipment calibration"),
G216="PH Level out of range",CHOOSE(RANDBETWEEN(1,6),"PH monitoring","Adjust formulation","Update production SOP","Supplier evaluation","Training for operators","Equipment calibration"),
G216="Impurities out of limit",CHOOSE(RANDBETWEEN(1,6),"Improve purification","Raw material control","Update production SOP","Supplier evaluation","Training for operators","Equipment maintenance"),
G216="Process temp out of range",CHOOSE(RANDBETWEEN(1,6),"Temperature control","Update production SOP","Supplier evaluation","Training for operators",
"Equipment calibration","Preventive maintenance"),
G216="Dissolution rate low - 15 mins",CHOOSE(RANDBETWEEN(1,6),"Increase agitation","Reduce particle size","Update production SOP","Supplier evaluation",
"Training for operators","Equipment calibration"),
G216="Dissolution rate low - 30 mins",CHOOSE(RANDBETWEEN(1,6),"Increase disintegrant","Optimize granulation","Update production SOP","Supplier evaluation",
"Training for operators","Equipment calibration"),
G216="Dissolution rate low - 40 mins",CHOOSE(RANDBETWEEN(1,6),"Increase surface area","Optimize compression","Update production SOP","Supplier evaluation",
"Training for operators","Equipment calibration"),
G216="Dissolution rate high - 15 mins",CHOOSE(RANDBETWEEN(1,6),"Decrease agitation","Increase particle size","Update production SOP","Supplier evaluation","Training for operators","Equipment calibration"),
G216="Dissolution rate high - 30 mins",CHOOSE(RANDBETWEEN(1,6),"Decrease disintegrant","Optimize granulation","Update production SOP","Supplier evaluation","Training for operators","Equipment calibration"),
G216="Dissolution rate high - 40 mins",CHOOSE(RANDBETWEEN(1,6),"Decrease surface area","Optimize compression","Update production SOP","Supplier evaluation","Training for operators","Equipment calibration"))</f>
        <v>Supplier evaluation</v>
      </c>
    </row>
    <row r="217" spans="1:9" x14ac:dyDescent="0.35">
      <c r="A217" s="31">
        <v>200000604</v>
      </c>
      <c r="B217" s="31">
        <v>1010</v>
      </c>
      <c r="C217" s="31">
        <v>4189</v>
      </c>
      <c r="D217" s="29" t="s">
        <v>504</v>
      </c>
      <c r="E217" s="31">
        <v>94</v>
      </c>
      <c r="F217" s="34">
        <f ca="1">LOOKUP(C217,'QALS - Inspection Lot Record'!P:P,'QALS - Inspection Lot Record'!E:E)+RANDBETWEEN(0,1)</f>
        <v>45965</v>
      </c>
      <c r="G217" s="41" t="s">
        <v>472</v>
      </c>
      <c r="H217" s="34">
        <f t="shared" ca="1" si="3"/>
        <v>45967</v>
      </c>
      <c r="I217" s="29" t="str" cm="1">
        <f t="array" aca="1" ref="I217" ca="1">_xlfn.IFS(G217="Potency out of spec",CHOOSE(RANDBETWEEN(1,6),"Additional testing","Improve formulation","Update production SOP","Supplier evaluation","Training for operators","Equipment calibration"),
G217="PH Level out of range",CHOOSE(RANDBETWEEN(1,6),"PH monitoring","Adjust formulation","Update production SOP","Supplier evaluation","Training for operators","Equipment calibration"),
G217="Impurities out of limit",CHOOSE(RANDBETWEEN(1,6),"Improve purification","Raw material control","Update production SOP","Supplier evaluation","Training for operators","Equipment maintenance"),
G217="Process temp out of range",CHOOSE(RANDBETWEEN(1,6),"Temperature control","Update production SOP","Supplier evaluation","Training for operators",
"Equipment calibration","Preventive maintenance"),
G217="Dissolution rate low - 15 mins",CHOOSE(RANDBETWEEN(1,6),"Increase agitation","Reduce particle size","Update production SOP","Supplier evaluation",
"Training for operators","Equipment calibration"),
G217="Dissolution rate low - 30 mins",CHOOSE(RANDBETWEEN(1,6),"Increase disintegrant","Optimize granulation","Update production SOP","Supplier evaluation",
"Training for operators","Equipment calibration"),
G217="Dissolution rate low - 40 mins",CHOOSE(RANDBETWEEN(1,6),"Increase surface area","Optimize compression","Update production SOP","Supplier evaluation",
"Training for operators","Equipment calibration"),
G217="Dissolution rate high - 15 mins",CHOOSE(RANDBETWEEN(1,6),"Decrease agitation","Increase particle size","Update production SOP","Supplier evaluation","Training for operators","Equipment calibration"),
G217="Dissolution rate high - 30 mins",CHOOSE(RANDBETWEEN(1,6),"Decrease disintegrant","Optimize granulation","Update production SOP","Supplier evaluation","Training for operators","Equipment calibration"),
G217="Dissolution rate high - 40 mins",CHOOSE(RANDBETWEEN(1,6),"Decrease surface area","Optimize compression","Update production SOP","Supplier evaluation","Training for operators","Equipment calibration"))</f>
        <v>Supplier evaluation</v>
      </c>
    </row>
    <row r="218" spans="1:9" x14ac:dyDescent="0.35">
      <c r="A218" s="31">
        <v>200000604</v>
      </c>
      <c r="B218" s="31">
        <v>1010</v>
      </c>
      <c r="C218" s="31">
        <v>4189</v>
      </c>
      <c r="D218" s="29" t="s">
        <v>504</v>
      </c>
      <c r="E218" s="31">
        <v>1.5</v>
      </c>
      <c r="F218" s="34">
        <f ca="1">LOOKUP(C218,'QALS - Inspection Lot Record'!P:P,'QALS - Inspection Lot Record'!E:E)+RANDBETWEEN(0,1)</f>
        <v>45964</v>
      </c>
      <c r="G218" s="41" t="s">
        <v>474</v>
      </c>
      <c r="H218" s="34">
        <f t="shared" ca="1" si="3"/>
        <v>45965</v>
      </c>
      <c r="I218" s="29" t="str" cm="1">
        <f t="array" aca="1" ref="I218" ca="1">_xlfn.IFS(G218="Potency out of spec",CHOOSE(RANDBETWEEN(1,6),"Additional testing","Improve formulation","Update production SOP","Supplier evaluation","Training for operators","Equipment calibration"),
G218="PH Level out of range",CHOOSE(RANDBETWEEN(1,6),"PH monitoring","Adjust formulation","Update production SOP","Supplier evaluation","Training for operators","Equipment calibration"),
G218="Impurities out of limit",CHOOSE(RANDBETWEEN(1,6),"Improve purification","Raw material control","Update production SOP","Supplier evaluation","Training for operators","Equipment maintenance"),
G218="Process temp out of range",CHOOSE(RANDBETWEEN(1,6),"Temperature control","Update production SOP","Supplier evaluation","Training for operators",
"Equipment calibration","Preventive maintenance"),
G218="Dissolution rate low - 15 mins",CHOOSE(RANDBETWEEN(1,6),"Increase agitation","Reduce particle size","Update production SOP","Supplier evaluation",
"Training for operators","Equipment calibration"),
G218="Dissolution rate low - 30 mins",CHOOSE(RANDBETWEEN(1,6),"Increase disintegrant","Optimize granulation","Update production SOP","Supplier evaluation",
"Training for operators","Equipment calibration"),
G218="Dissolution rate low - 40 mins",CHOOSE(RANDBETWEEN(1,6),"Increase surface area","Optimize compression","Update production SOP","Supplier evaluation",
"Training for operators","Equipment calibration"),
G218="Dissolution rate high - 15 mins",CHOOSE(RANDBETWEEN(1,6),"Decrease agitation","Increase particle size","Update production SOP","Supplier evaluation","Training for operators","Equipment calibration"),
G218="Dissolution rate high - 30 mins",CHOOSE(RANDBETWEEN(1,6),"Decrease disintegrant","Optimize granulation","Update production SOP","Supplier evaluation","Training for operators","Equipment calibration"),
G218="Dissolution rate high - 40 mins",CHOOSE(RANDBETWEEN(1,6),"Decrease surface area","Optimize compression","Update production SOP","Supplier evaluation","Training for operators","Equipment calibration"))</f>
        <v>Adjust formulation</v>
      </c>
    </row>
    <row r="219" spans="1:9" x14ac:dyDescent="0.35">
      <c r="A219" s="31">
        <v>200000604</v>
      </c>
      <c r="B219" s="31">
        <v>1010</v>
      </c>
      <c r="C219" s="31">
        <v>4189</v>
      </c>
      <c r="D219" s="29" t="s">
        <v>504</v>
      </c>
      <c r="E219" s="31">
        <v>38.700000000000003</v>
      </c>
      <c r="F219" s="34">
        <f ca="1">LOOKUP(C219,'QALS - Inspection Lot Record'!P:P,'QALS - Inspection Lot Record'!E:E)+RANDBETWEEN(0,1)</f>
        <v>45964</v>
      </c>
      <c r="G219" s="41" t="s">
        <v>478</v>
      </c>
      <c r="H219" s="34">
        <f t="shared" ca="1" si="3"/>
        <v>45965</v>
      </c>
      <c r="I219" s="29" t="str" cm="1">
        <f t="array" aca="1" ref="I219" ca="1">_xlfn.IFS(G219="Potency out of spec",CHOOSE(RANDBETWEEN(1,6),"Additional testing","Improve formulation","Update production SOP","Supplier evaluation","Training for operators","Equipment calibration"),
G219="PH Level out of range",CHOOSE(RANDBETWEEN(1,6),"PH monitoring","Adjust formulation","Update production SOP","Supplier evaluation","Training for operators","Equipment calibration"),
G219="Impurities out of limit",CHOOSE(RANDBETWEEN(1,6),"Improve purification","Raw material control","Update production SOP","Supplier evaluation","Training for operators","Equipment maintenance"),
G219="Process temp out of range",CHOOSE(RANDBETWEEN(1,6),"Temperature control","Update production SOP","Supplier evaluation","Training for operators",
"Equipment calibration","Preventive maintenance"),
G219="Dissolution rate low - 15 mins",CHOOSE(RANDBETWEEN(1,6),"Increase agitation","Reduce particle size","Update production SOP","Supplier evaluation",
"Training for operators","Equipment calibration"),
G219="Dissolution rate low - 30 mins",CHOOSE(RANDBETWEEN(1,6),"Increase disintegrant","Optimize granulation","Update production SOP","Supplier evaluation",
"Training for operators","Equipment calibration"),
G219="Dissolution rate low - 40 mins",CHOOSE(RANDBETWEEN(1,6),"Increase surface area","Optimize compression","Update production SOP","Supplier evaluation",
"Training for operators","Equipment calibration"),
G219="Dissolution rate high - 15 mins",CHOOSE(RANDBETWEEN(1,6),"Decrease agitation","Increase particle size","Update production SOP","Supplier evaluation","Training for operators","Equipment calibration"),
G219="Dissolution rate high - 30 mins",CHOOSE(RANDBETWEEN(1,6),"Decrease disintegrant","Optimize granulation","Update production SOP","Supplier evaluation","Training for operators","Equipment calibration"),
G219="Dissolution rate high - 40 mins",CHOOSE(RANDBETWEEN(1,6),"Decrease surface area","Optimize compression","Update production SOP","Supplier evaluation","Training for operators","Equipment calibration"))</f>
        <v>Update production SOP</v>
      </c>
    </row>
    <row r="220" spans="1:9" x14ac:dyDescent="0.35">
      <c r="A220" s="31">
        <v>200000604</v>
      </c>
      <c r="B220" s="31">
        <v>1010</v>
      </c>
      <c r="C220" s="31">
        <v>4189</v>
      </c>
      <c r="D220" s="29" t="s">
        <v>504</v>
      </c>
      <c r="E220" s="31">
        <v>78.7</v>
      </c>
      <c r="F220" s="34">
        <f ca="1">LOOKUP(C220,'QALS - Inspection Lot Record'!P:P,'QALS - Inspection Lot Record'!E:E)+RANDBETWEEN(0,1)</f>
        <v>45964</v>
      </c>
      <c r="G220" s="41" t="s">
        <v>486</v>
      </c>
      <c r="H220" s="34">
        <f t="shared" ca="1" si="3"/>
        <v>45965</v>
      </c>
      <c r="I220" s="29" t="str" cm="1">
        <f t="array" aca="1" ref="I220" ca="1">_xlfn.IFS(G220="Potency out of spec",CHOOSE(RANDBETWEEN(1,6),"Additional testing","Improve formulation","Update production SOP","Supplier evaluation","Training for operators","Equipment calibration"),
G220="PH Level out of range",CHOOSE(RANDBETWEEN(1,6),"PH monitoring","Adjust formulation","Update production SOP","Supplier evaluation","Training for operators","Equipment calibration"),
G220="Impurities out of limit",CHOOSE(RANDBETWEEN(1,6),"Improve purification","Raw material control","Update production SOP","Supplier evaluation","Training for operators","Equipment maintenance"),
G220="Process temp out of range",CHOOSE(RANDBETWEEN(1,6),"Temperature control","Update production SOP","Supplier evaluation","Training for operators",
"Equipment calibration","Preventive maintenance"),
G220="Dissolution rate low - 15 mins",CHOOSE(RANDBETWEEN(1,6),"Increase agitation","Reduce particle size","Update production SOP","Supplier evaluation",
"Training for operators","Equipment calibration"),
G220="Dissolution rate low - 30 mins",CHOOSE(RANDBETWEEN(1,6),"Increase disintegrant","Optimize granulation","Update production SOP","Supplier evaluation",
"Training for operators","Equipment calibration"),
G220="Dissolution rate low - 40 mins",CHOOSE(RANDBETWEEN(1,6),"Increase surface area","Optimize compression","Update production SOP","Supplier evaluation",
"Training for operators","Equipment calibration"),
G220="Dissolution rate high - 15 mins",CHOOSE(RANDBETWEEN(1,6),"Decrease agitation","Increase particle size","Update production SOP","Supplier evaluation","Training for operators","Equipment calibration"),
G220="Dissolution rate high - 30 mins",CHOOSE(RANDBETWEEN(1,6),"Decrease disintegrant","Optimize granulation","Update production SOP","Supplier evaluation","Training for operators","Equipment calibration"),
G220="Dissolution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21" spans="1:9" x14ac:dyDescent="0.35">
      <c r="A221" s="31">
        <v>200000605</v>
      </c>
      <c r="B221" s="31">
        <v>1010</v>
      </c>
      <c r="C221" s="31">
        <v>4190</v>
      </c>
      <c r="D221" s="29" t="s">
        <v>429</v>
      </c>
      <c r="E221" s="31">
        <v>21.4</v>
      </c>
      <c r="F221" s="34">
        <f ca="1">LOOKUP(C221,'QALS - Inspection Lot Record'!P:P,'QALS - Inspection Lot Record'!E:E)+RANDBETWEEN(0,1)</f>
        <v>45964</v>
      </c>
      <c r="G221" s="41" t="s">
        <v>483</v>
      </c>
      <c r="H221" s="34">
        <f t="shared" ca="1" si="3"/>
        <v>45964</v>
      </c>
      <c r="I221" s="29" t="str" cm="1">
        <f t="array" aca="1" ref="I221" ca="1">_xlfn.IFS(G221="Potency out of spec",CHOOSE(RANDBETWEEN(1,6),"Additional testing","Improve formulation","Update production SOP","Supplier evaluation","Training for operators","Equipment calibration"),
G221="PH Level out of range",CHOOSE(RANDBETWEEN(1,6),"PH monitoring","Adjust formulation","Update production SOP","Supplier evaluation","Training for operators","Equipment calibration"),
G221="Impurities out of limit",CHOOSE(RANDBETWEEN(1,6),"Improve purification","Raw material control","Update production SOP","Supplier evaluation","Training for operators","Equipment maintenance"),
G221="Process temp out of range",CHOOSE(RANDBETWEEN(1,6),"Temperature control","Update production SOP","Supplier evaluation","Training for operators",
"Equipment calibration","Preventive maintenance"),
G221="Dissolution rate low - 15 mins",CHOOSE(RANDBETWEEN(1,6),"Increase agitation","Reduce particle size","Update production SOP","Supplier evaluation",
"Training for operators","Equipment calibration"),
G221="Dissolution rate low - 30 mins",CHOOSE(RANDBETWEEN(1,6),"Increase disintegrant","Optimize granulation","Update production SOP","Supplier evaluation",
"Training for operators","Equipment calibration"),
G221="Dissolution rate low - 40 mins",CHOOSE(RANDBETWEEN(1,6),"Increase surface area","Optimize compression","Update production SOP","Supplier evaluation",
"Training for operators","Equipment calibration"),
G221="Dissolution rate high - 15 mins",CHOOSE(RANDBETWEEN(1,6),"Decrease agitation","Increase particle size","Update production SOP","Supplier evaluation","Training for operators","Equipment calibration"),
G221="Dissolution rate high - 30 mins",CHOOSE(RANDBETWEEN(1,6),"Decrease disintegrant","Optimize granulation","Update production SOP","Supplier evaluation","Training for operators","Equipment calibration"),
G221="Dissolution rate high - 40 mins",CHOOSE(RANDBETWEEN(1,6),"Decrease surface area","Optimize compression","Update production SOP","Supplier evaluation","Training for operators","Equipment calibration"))</f>
        <v>Preventive maintenance</v>
      </c>
    </row>
    <row r="222" spans="1:9" x14ac:dyDescent="0.35">
      <c r="A222" s="31">
        <v>200000606</v>
      </c>
      <c r="B222" s="31">
        <v>1010</v>
      </c>
      <c r="C222" s="31">
        <v>4191</v>
      </c>
      <c r="D222" s="29" t="s">
        <v>433</v>
      </c>
      <c r="E222" s="31">
        <v>93.4</v>
      </c>
      <c r="F222" s="34">
        <f ca="1">LOOKUP(C222,'QALS - Inspection Lot Record'!P:P,'QALS - Inspection Lot Record'!E:E)+RANDBETWEEN(0,1)</f>
        <v>45965</v>
      </c>
      <c r="G222" s="41" t="s">
        <v>472</v>
      </c>
      <c r="H222" s="34">
        <f t="shared" ca="1" si="3"/>
        <v>45967</v>
      </c>
      <c r="I222" s="29" t="str" cm="1">
        <f t="array" aca="1" ref="I222" ca="1">_xlfn.IFS(G222="Potency out of spec",CHOOSE(RANDBETWEEN(1,6),"Additional testing","Improve formulation","Update production SOP","Supplier evaluation","Training for operators","Equipment calibration"),
G222="PH Level out of range",CHOOSE(RANDBETWEEN(1,6),"PH monitoring","Adjust formulation","Update production SOP","Supplier evaluation","Training for operators","Equipment calibration"),
G222="Impurities out of limit",CHOOSE(RANDBETWEEN(1,6),"Improve purification","Raw material control","Update production SOP","Supplier evaluation","Training for operators","Equipment maintenance"),
G222="Process temp out of range",CHOOSE(RANDBETWEEN(1,6),"Temperature control","Update production SOP","Supplier evaluation","Training for operators",
"Equipment calibration","Preventive maintenance"),
G222="Dissolution rate low - 15 mins",CHOOSE(RANDBETWEEN(1,6),"Increase agitation","Reduce particle size","Update production SOP","Supplier evaluation",
"Training for operators","Equipment calibration"),
G222="Dissolution rate low - 30 mins",CHOOSE(RANDBETWEEN(1,6),"Increase disintegrant","Optimize granulation","Update production SOP","Supplier evaluation",
"Training for operators","Equipment calibration"),
G222="Dissolution rate low - 40 mins",CHOOSE(RANDBETWEEN(1,6),"Increase surface area","Optimize compression","Update production SOP","Supplier evaluation",
"Training for operators","Equipment calibration"),
G222="Dissolution rate high - 15 mins",CHOOSE(RANDBETWEEN(1,6),"Decrease agitation","Increase particle size","Update production SOP","Supplier evaluation","Training for operators","Equipment calibration"),
G222="Dissolution rate high - 30 mins",CHOOSE(RANDBETWEEN(1,6),"Decrease disintegrant","Optimize granulation","Update production SOP","Supplier evaluation","Training for operators","Equipment calibration"),
G222="Dissolution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23" spans="1:9" x14ac:dyDescent="0.35">
      <c r="A223" s="31">
        <v>200000607</v>
      </c>
      <c r="B223" s="31">
        <v>1010</v>
      </c>
      <c r="C223" s="31">
        <v>4192</v>
      </c>
      <c r="D223" s="29" t="s">
        <v>431</v>
      </c>
      <c r="E223" s="31">
        <v>93.8</v>
      </c>
      <c r="F223" s="34">
        <f ca="1">LOOKUP(C223,'QALS - Inspection Lot Record'!P:P,'QALS - Inspection Lot Record'!E:E)+RANDBETWEEN(0,1)</f>
        <v>45966</v>
      </c>
      <c r="G223" s="41" t="s">
        <v>472</v>
      </c>
      <c r="H223" s="34">
        <f t="shared" ca="1" si="3"/>
        <v>45966</v>
      </c>
      <c r="I223" s="29" t="str" cm="1">
        <f t="array" aca="1" ref="I223" ca="1">_xlfn.IFS(G223="Potency out of spec",CHOOSE(RANDBETWEEN(1,6),"Additional testing","Improve formulation","Update production SOP","Supplier evaluation","Training for operators","Equipment calibration"),
G223="PH Level out of range",CHOOSE(RANDBETWEEN(1,6),"PH monitoring","Adjust formulation","Update production SOP","Supplier evaluation","Training for operators","Equipment calibration"),
G223="Impurities out of limit",CHOOSE(RANDBETWEEN(1,6),"Improve purification","Raw material control","Update production SOP","Supplier evaluation","Training for operators","Equipment maintenance"),
G223="Process temp out of range",CHOOSE(RANDBETWEEN(1,6),"Temperature control","Update production SOP","Supplier evaluation","Training for operators",
"Equipment calibration","Preventive maintenance"),
G223="Dissolution rate low - 15 mins",CHOOSE(RANDBETWEEN(1,6),"Increase agitation","Reduce particle size","Update production SOP","Supplier evaluation",
"Training for operators","Equipment calibration"),
G223="Dissolution rate low - 30 mins",CHOOSE(RANDBETWEEN(1,6),"Increase disintegrant","Optimize granulation","Update production SOP","Supplier evaluation",
"Training for operators","Equipment calibration"),
G223="Dissolution rate low - 40 mins",CHOOSE(RANDBETWEEN(1,6),"Increase surface area","Optimize compression","Update production SOP","Supplier evaluation",
"Training for operators","Equipment calibration"),
G223="Dissolution rate high - 15 mins",CHOOSE(RANDBETWEEN(1,6),"Decrease agitation","Increase particle size","Update production SOP","Supplier evaluation","Training for operators","Equipment calibration"),
G223="Dissolution rate high - 30 mins",CHOOSE(RANDBETWEEN(1,6),"Decrease disintegrant","Optimize granulation","Update production SOP","Supplier evaluation","Training for operators","Equipment calibration"),
G223="Dissolution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24" spans="1:9" x14ac:dyDescent="0.35">
      <c r="A224" s="31">
        <v>200000608</v>
      </c>
      <c r="B224" s="31">
        <v>1010</v>
      </c>
      <c r="C224" s="31">
        <v>4195</v>
      </c>
      <c r="D224" s="29" t="s">
        <v>433</v>
      </c>
      <c r="E224" s="31">
        <v>93.8</v>
      </c>
      <c r="F224" s="34">
        <f ca="1">LOOKUP(C224,'QALS - Inspection Lot Record'!P:P,'QALS - Inspection Lot Record'!E:E)+RANDBETWEEN(0,1)</f>
        <v>45968</v>
      </c>
      <c r="G224" s="41" t="s">
        <v>472</v>
      </c>
      <c r="H224" s="34">
        <f t="shared" ca="1" si="3"/>
        <v>45970</v>
      </c>
      <c r="I224" s="29" t="str" cm="1">
        <f t="array" aca="1" ref="I224" ca="1">_xlfn.IFS(G224="Potency out of spec",CHOOSE(RANDBETWEEN(1,6),"Additional testing","Improve formulation","Update production SOP","Supplier evaluation","Training for operators","Equipment calibration"),
G224="PH Level out of range",CHOOSE(RANDBETWEEN(1,6),"PH monitoring","Adjust formulation","Update production SOP","Supplier evaluation","Training for operators","Equipment calibration"),
G224="Impurities out of limit",CHOOSE(RANDBETWEEN(1,6),"Improve purification","Raw material control","Update production SOP","Supplier evaluation","Training for operators","Equipment maintenance"),
G224="Process temp out of range",CHOOSE(RANDBETWEEN(1,6),"Temperature control","Update production SOP","Supplier evaluation","Training for operators",
"Equipment calibration","Preventive maintenance"),
G224="Dissolution rate low - 15 mins",CHOOSE(RANDBETWEEN(1,6),"Increase agitation","Reduce particle size","Update production SOP","Supplier evaluation",
"Training for operators","Equipment calibration"),
G224="Dissolution rate low - 30 mins",CHOOSE(RANDBETWEEN(1,6),"Increase disintegrant","Optimize granulation","Update production SOP","Supplier evaluation",
"Training for operators","Equipment calibration"),
G224="Dissolution rate low - 40 mins",CHOOSE(RANDBETWEEN(1,6),"Increase surface area","Optimize compression","Update production SOP","Supplier evaluation",
"Training for operators","Equipment calibration"),
G224="Dissolution rate high - 15 mins",CHOOSE(RANDBETWEEN(1,6),"Decrease agitation","Increase particle size","Update production SOP","Supplier evaluation","Training for operators","Equipment calibration"),
G224="Dissolution rate high - 30 mins",CHOOSE(RANDBETWEEN(1,6),"Decrease disintegrant","Optimize granulation","Update production SOP","Supplier evaluation","Training for operators","Equipment calibration"),
G224="Dissolution rate high - 40 mins",CHOOSE(RANDBETWEEN(1,6),"Decrease surface area","Optimize compression","Update production SOP","Supplier evaluation","Training for operators","Equipment calibration"))</f>
        <v>Supplier evaluation</v>
      </c>
    </row>
    <row r="225" spans="1:9" x14ac:dyDescent="0.35">
      <c r="A225" s="31">
        <v>200000609</v>
      </c>
      <c r="B225" s="31">
        <v>1010</v>
      </c>
      <c r="C225" s="31">
        <v>4196</v>
      </c>
      <c r="D225" s="29" t="s">
        <v>429</v>
      </c>
      <c r="E225" s="31">
        <v>93.1</v>
      </c>
      <c r="F225" s="34">
        <f ca="1">LOOKUP(C225,'QALS - Inspection Lot Record'!P:P,'QALS - Inspection Lot Record'!E:E)+RANDBETWEEN(0,1)</f>
        <v>45968</v>
      </c>
      <c r="G225" s="41" t="s">
        <v>472</v>
      </c>
      <c r="H225" s="34">
        <f t="shared" ca="1" si="3"/>
        <v>45969</v>
      </c>
      <c r="I225" s="29" t="str" cm="1">
        <f t="array" aca="1" ref="I225" ca="1">_xlfn.IFS(G225="Potency out of spec",CHOOSE(RANDBETWEEN(1,6),"Additional testing","Improve formulation","Update production SOP","Supplier evaluation","Training for operators","Equipment calibration"),
G225="PH Level out of range",CHOOSE(RANDBETWEEN(1,6),"PH monitoring","Adjust formulation","Update production SOP","Supplier evaluation","Training for operators","Equipment calibration"),
G225="Impurities out of limit",CHOOSE(RANDBETWEEN(1,6),"Improve purification","Raw material control","Update production SOP","Supplier evaluation","Training for operators","Equipment maintenance"),
G225="Process temp out of range",CHOOSE(RANDBETWEEN(1,6),"Temperature control","Update production SOP","Supplier evaluation","Training for operators",
"Equipment calibration","Preventive maintenance"),
G225="Dissolution rate low - 15 mins",CHOOSE(RANDBETWEEN(1,6),"Increase agitation","Reduce particle size","Update production SOP","Supplier evaluation",
"Training for operators","Equipment calibration"),
G225="Dissolution rate low - 30 mins",CHOOSE(RANDBETWEEN(1,6),"Increase disintegrant","Optimize granulation","Update production SOP","Supplier evaluation",
"Training for operators","Equipment calibration"),
G225="Dissolution rate low - 40 mins",CHOOSE(RANDBETWEEN(1,6),"Increase surface area","Optimize compression","Update production SOP","Supplier evaluation",
"Training for operators","Equipment calibration"),
G225="Dissolution rate high - 15 mins",CHOOSE(RANDBETWEEN(1,6),"Decrease agitation","Increase particle size","Update production SOP","Supplier evaluation","Training for operators","Equipment calibration"),
G225="Dissolution rate high - 30 mins",CHOOSE(RANDBETWEEN(1,6),"Decrease disintegrant","Optimize granulation","Update production SOP","Supplier evaluation","Training for operators","Equipment calibration"),
G225="Dissolution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26" spans="1:9" x14ac:dyDescent="0.35">
      <c r="A226" s="31">
        <v>200000610</v>
      </c>
      <c r="B226" s="31">
        <v>1010</v>
      </c>
      <c r="C226" s="31">
        <v>4197</v>
      </c>
      <c r="D226" s="29" t="s">
        <v>433</v>
      </c>
      <c r="E226" s="31">
        <v>93.2</v>
      </c>
      <c r="F226" s="34">
        <f ca="1">LOOKUP(C226,'QALS - Inspection Lot Record'!P:P,'QALS - Inspection Lot Record'!E:E)+RANDBETWEEN(0,1)</f>
        <v>45969</v>
      </c>
      <c r="G226" s="41" t="s">
        <v>472</v>
      </c>
      <c r="H226" s="34">
        <f t="shared" ca="1" si="3"/>
        <v>45970</v>
      </c>
      <c r="I226" s="29" t="str" cm="1">
        <f t="array" aca="1" ref="I226" ca="1">_xlfn.IFS(G226="Potency out of spec",CHOOSE(RANDBETWEEN(1,6),"Additional testing","Improve formulation","Update production SOP","Supplier evaluation","Training for operators","Equipment calibration"),
G226="PH Level out of range",CHOOSE(RANDBETWEEN(1,6),"PH monitoring","Adjust formulation","Update production SOP","Supplier evaluation","Training for operators","Equipment calibration"),
G226="Impurities out of limit",CHOOSE(RANDBETWEEN(1,6),"Improve purification","Raw material control","Update production SOP","Supplier evaluation","Training for operators","Equipment maintenance"),
G226="Process temp out of range",CHOOSE(RANDBETWEEN(1,6),"Temperature control","Update production SOP","Supplier evaluation","Training for operators",
"Equipment calibration","Preventive maintenance"),
G226="Dissolution rate low - 15 mins",CHOOSE(RANDBETWEEN(1,6),"Increase agitation","Reduce particle size","Update production SOP","Supplier evaluation",
"Training for operators","Equipment calibration"),
G226="Dissolution rate low - 30 mins",CHOOSE(RANDBETWEEN(1,6),"Increase disintegrant","Optimize granulation","Update production SOP","Supplier evaluation",
"Training for operators","Equipment calibration"),
G226="Dissolution rate low - 40 mins",CHOOSE(RANDBETWEEN(1,6),"Increase surface area","Optimize compression","Update production SOP","Supplier evaluation",
"Training for operators","Equipment calibration"),
G226="Dissolution rate high - 15 mins",CHOOSE(RANDBETWEEN(1,6),"Decrease agitation","Increase particle size","Update production SOP","Supplier evaluation","Training for operators","Equipment calibration"),
G226="Dissolution rate high - 30 mins",CHOOSE(RANDBETWEEN(1,6),"Decrease disintegrant","Optimize granulation","Update production SOP","Supplier evaluation","Training for operators","Equipment calibration"),
G226="Dissolution rate high - 40 mins",CHOOSE(RANDBETWEEN(1,6),"Decrease surface area","Optimize compression","Update production SOP","Supplier evaluation","Training for operators","Equipment calibration"))</f>
        <v>Additional testing</v>
      </c>
    </row>
    <row r="227" spans="1:9" x14ac:dyDescent="0.35">
      <c r="A227" s="31">
        <v>200000610</v>
      </c>
      <c r="B227" s="31">
        <v>1010</v>
      </c>
      <c r="C227" s="31">
        <v>4197</v>
      </c>
      <c r="D227" s="29" t="s">
        <v>433</v>
      </c>
      <c r="E227" s="31">
        <v>38.200000000000003</v>
      </c>
      <c r="F227" s="34">
        <f ca="1">LOOKUP(C227,'QALS - Inspection Lot Record'!P:P,'QALS - Inspection Lot Record'!E:E)+RANDBETWEEN(0,1)</f>
        <v>45969</v>
      </c>
      <c r="G227" s="41" t="s">
        <v>478</v>
      </c>
      <c r="H227" s="34">
        <f t="shared" ca="1" si="3"/>
        <v>45969</v>
      </c>
      <c r="I227" s="29" t="str" cm="1">
        <f t="array" aca="1" ref="I227" ca="1">_xlfn.IFS(G227="Potency out of spec",CHOOSE(RANDBETWEEN(1,6),"Additional testing","Improve formulation","Update production SOP","Supplier evaluation","Training for operators","Equipment calibration"),
G227="PH Level out of range",CHOOSE(RANDBETWEEN(1,6),"PH monitoring","Adjust formulation","Update production SOP","Supplier evaluation","Training for operators","Equipment calibration"),
G227="Impurities out of limit",CHOOSE(RANDBETWEEN(1,6),"Improve purification","Raw material control","Update production SOP","Supplier evaluation","Training for operators","Equipment maintenance"),
G227="Process temp out of range",CHOOSE(RANDBETWEEN(1,6),"Temperature control","Update production SOP","Supplier evaluation","Training for operators",
"Equipment calibration","Preventive maintenance"),
G227="Dissolution rate low - 15 mins",CHOOSE(RANDBETWEEN(1,6),"Increase agitation","Reduce particle size","Update production SOP","Supplier evaluation",
"Training for operators","Equipment calibration"),
G227="Dissolution rate low - 30 mins",CHOOSE(RANDBETWEEN(1,6),"Increase disintegrant","Optimize granulation","Update production SOP","Supplier evaluation",
"Training for operators","Equipment calibration"),
G227="Dissolution rate low - 40 mins",CHOOSE(RANDBETWEEN(1,6),"Increase surface area","Optimize compression","Update production SOP","Supplier evaluation",
"Training for operators","Equipment calibration"),
G227="Dissolution rate high - 15 mins",CHOOSE(RANDBETWEEN(1,6),"Decrease agitation","Increase particle size","Update production SOP","Supplier evaluation","Training for operators","Equipment calibration"),
G227="Dissolution rate high - 30 mins",CHOOSE(RANDBETWEEN(1,6),"Decrease disintegrant","Optimize granulation","Update production SOP","Supplier evaluation","Training for operators","Equipment calibration"),
G227="Dissolution rate high - 40 mins",CHOOSE(RANDBETWEEN(1,6),"Decrease surface area","Optimize compression","Update production SOP","Supplier evaluation","Training for operators","Equipment calibration"))</f>
        <v>Equipment calibration</v>
      </c>
    </row>
    <row r="228" spans="1:9" x14ac:dyDescent="0.35">
      <c r="A228" s="31">
        <v>200000610</v>
      </c>
      <c r="B228" s="31">
        <v>1010</v>
      </c>
      <c r="C228" s="31">
        <v>4197</v>
      </c>
      <c r="D228" s="29" t="s">
        <v>433</v>
      </c>
      <c r="E228" s="31">
        <v>68</v>
      </c>
      <c r="F228" s="34">
        <f ca="1">LOOKUP(C228,'QALS - Inspection Lot Record'!P:P,'QALS - Inspection Lot Record'!E:E)+RANDBETWEEN(0,1)</f>
        <v>45968</v>
      </c>
      <c r="G228" s="41" t="s">
        <v>480</v>
      </c>
      <c r="H228" s="34">
        <f t="shared" ca="1" si="3"/>
        <v>45970</v>
      </c>
      <c r="I228" s="29" t="str" cm="1">
        <f t="array" aca="1" ref="I228" ca="1">_xlfn.IFS(G228="Potency out of spec",CHOOSE(RANDBETWEEN(1,6),"Additional testing","Improve formulation","Update production SOP","Supplier evaluation","Training for operators","Equipment calibration"),
G228="PH Level out of range",CHOOSE(RANDBETWEEN(1,6),"PH monitoring","Adjust formulation","Update production SOP","Supplier evaluation","Training for operators","Equipment calibration"),
G228="Impurities out of limit",CHOOSE(RANDBETWEEN(1,6),"Improve purification","Raw material control","Update production SOP","Supplier evaluation","Training for operators","Equipment maintenance"),
G228="Process temp out of range",CHOOSE(RANDBETWEEN(1,6),"Temperature control","Update production SOP","Supplier evaluation","Training for operators",
"Equipment calibration","Preventive maintenance"),
G228="Dissolution rate low - 15 mins",CHOOSE(RANDBETWEEN(1,6),"Increase agitation","Reduce particle size","Update production SOP","Supplier evaluation",
"Training for operators","Equipment calibration"),
G228="Dissolution rate low - 30 mins",CHOOSE(RANDBETWEEN(1,6),"Increase disintegrant","Optimize granulation","Update production SOP","Supplier evaluation",
"Training for operators","Equipment calibration"),
G228="Dissolution rate low - 40 mins",CHOOSE(RANDBETWEEN(1,6),"Increase surface area","Optimize compression","Update production SOP","Supplier evaluation",
"Training for operators","Equipment calibration"),
G228="Dissolution rate high - 15 mins",CHOOSE(RANDBETWEEN(1,6),"Decrease agitation","Increase particle size","Update production SOP","Supplier evaluation","Training for operators","Equipment calibration"),
G228="Dissolution rate high - 30 mins",CHOOSE(RANDBETWEEN(1,6),"Decrease disintegrant","Optimize granulation","Update production SOP","Supplier evaluation","Training for operators","Equipment calibration"),
G228="Dissolution rate high - 40 mins",CHOOSE(RANDBETWEEN(1,6),"Decrease surface area","Optimize compression","Update production SOP","Supplier evaluation","Training for operators","Equipment calibration"))</f>
        <v>Optimize granulation</v>
      </c>
    </row>
    <row r="229" spans="1:9" x14ac:dyDescent="0.35">
      <c r="A229" s="31">
        <v>200000610</v>
      </c>
      <c r="B229" s="31">
        <v>1010</v>
      </c>
      <c r="C229" s="31">
        <v>4197</v>
      </c>
      <c r="D229" s="29" t="s">
        <v>433</v>
      </c>
      <c r="E229" s="31">
        <v>78.400000000000006</v>
      </c>
      <c r="F229" s="34">
        <f ca="1">LOOKUP(C229,'QALS - Inspection Lot Record'!P:P,'QALS - Inspection Lot Record'!E:E)+RANDBETWEEN(0,1)</f>
        <v>45968</v>
      </c>
      <c r="G229" s="41" t="s">
        <v>486</v>
      </c>
      <c r="H229" s="34">
        <f t="shared" ca="1" si="3"/>
        <v>45968</v>
      </c>
      <c r="I229" s="29" t="str" cm="1">
        <f t="array" aca="1" ref="I229" ca="1">_xlfn.IFS(G229="Potency out of spec",CHOOSE(RANDBETWEEN(1,6),"Additional testing","Improve formulation","Update production SOP","Supplier evaluation","Training for operators","Equipment calibration"),
G229="PH Level out of range",CHOOSE(RANDBETWEEN(1,6),"PH monitoring","Adjust formulation","Update production SOP","Supplier evaluation","Training for operators","Equipment calibration"),
G229="Impurities out of limit",CHOOSE(RANDBETWEEN(1,6),"Improve purification","Raw material control","Update production SOP","Supplier evaluation","Training for operators","Equipment maintenance"),
G229="Process temp out of range",CHOOSE(RANDBETWEEN(1,6),"Temperature control","Update production SOP","Supplier evaluation","Training for operators",
"Equipment calibration","Preventive maintenance"),
G229="Dissolution rate low - 15 mins",CHOOSE(RANDBETWEEN(1,6),"Increase agitation","Reduce particle size","Update production SOP","Supplier evaluation",
"Training for operators","Equipment calibration"),
G229="Dissolution rate low - 30 mins",CHOOSE(RANDBETWEEN(1,6),"Increase disintegrant","Optimize granulation","Update production SOP","Supplier evaluation",
"Training for operators","Equipment calibration"),
G229="Dissolution rate low - 40 mins",CHOOSE(RANDBETWEEN(1,6),"Increase surface area","Optimize compression","Update production SOP","Supplier evaluation",
"Training for operators","Equipment calibration"),
G229="Dissolution rate high - 15 mins",CHOOSE(RANDBETWEEN(1,6),"Decrease agitation","Increase particle size","Update production SOP","Supplier evaluation","Training for operators","Equipment calibration"),
G229="Dissolution rate high - 30 mins",CHOOSE(RANDBETWEEN(1,6),"Decrease disintegrant","Optimize granulation","Update production SOP","Supplier evaluation","Training for operators","Equipment calibration"),
G229="Dissolution rate high - 40 mins",CHOOSE(RANDBETWEEN(1,6),"Decrease surface area","Optimize compression","Update production SOP","Supplier evaluation","Training for operators","Equipment calibration"))</f>
        <v>Update production SOP</v>
      </c>
    </row>
    <row r="230" spans="1:9" x14ac:dyDescent="0.35">
      <c r="A230" s="31">
        <v>200000611</v>
      </c>
      <c r="B230" s="31">
        <v>1010</v>
      </c>
      <c r="C230" s="31">
        <v>4198</v>
      </c>
      <c r="D230" s="29" t="s">
        <v>503</v>
      </c>
      <c r="E230" s="31">
        <v>68.3</v>
      </c>
      <c r="F230" s="34">
        <f ca="1">LOOKUP(C230,'QALS - Inspection Lot Record'!P:P,'QALS - Inspection Lot Record'!E:E)+RANDBETWEEN(0,1)</f>
        <v>45969</v>
      </c>
      <c r="G230" s="41" t="s">
        <v>480</v>
      </c>
      <c r="H230" s="34">
        <f t="shared" ca="1" si="3"/>
        <v>45971</v>
      </c>
      <c r="I230" s="29" t="str" cm="1">
        <f t="array" aca="1" ref="I230" ca="1">_xlfn.IFS(G230="Potency out of spec",CHOOSE(RANDBETWEEN(1,6),"Additional testing","Improve formulation","Update production SOP","Supplier evaluation","Training for operators","Equipment calibration"),
G230="PH Level out of range",CHOOSE(RANDBETWEEN(1,6),"PH monitoring","Adjust formulation","Update production SOP","Supplier evaluation","Training for operators","Equipment calibration"),
G230="Impurities out of limit",CHOOSE(RANDBETWEEN(1,6),"Improve purification","Raw material control","Update production SOP","Supplier evaluation","Training for operators","Equipment maintenance"),
G230="Process temp out of range",CHOOSE(RANDBETWEEN(1,6),"Temperature control","Update production SOP","Supplier evaluation","Training for operators",
"Equipment calibration","Preventive maintenance"),
G230="Dissolution rate low - 15 mins",CHOOSE(RANDBETWEEN(1,6),"Increase agitation","Reduce particle size","Update production SOP","Supplier evaluation",
"Training for operators","Equipment calibration"),
G230="Dissolution rate low - 30 mins",CHOOSE(RANDBETWEEN(1,6),"Increase disintegrant","Optimize granulation","Update production SOP","Supplier evaluation",
"Training for operators","Equipment calibration"),
G230="Dissolution rate low - 40 mins",CHOOSE(RANDBETWEEN(1,6),"Increase surface area","Optimize compression","Update production SOP","Supplier evaluation",
"Training for operators","Equipment calibration"),
G230="Dissolution rate high - 15 mins",CHOOSE(RANDBETWEEN(1,6),"Decrease agitation","Increase particle size","Update production SOP","Supplier evaluation","Training for operators","Equipment calibration"),
G230="Dissolution rate high - 30 mins",CHOOSE(RANDBETWEEN(1,6),"Decrease disintegrant","Optimize granulation","Update production SOP","Supplier evaluation","Training for operators","Equipment calibration"),
G230="Dissolution rate high - 40 mins",CHOOSE(RANDBETWEEN(1,6),"Decrease surface area","Optimize compression","Update production SOP","Supplier evaluation","Training for operators","Equipment calibration"))</f>
        <v>Optimize granulation</v>
      </c>
    </row>
    <row r="231" spans="1:9" x14ac:dyDescent="0.35">
      <c r="A231" s="31">
        <v>200000612</v>
      </c>
      <c r="B231" s="31">
        <v>1010</v>
      </c>
      <c r="C231" s="31">
        <v>4199</v>
      </c>
      <c r="D231" s="29" t="s">
        <v>433</v>
      </c>
      <c r="E231" s="31">
        <v>93.6</v>
      </c>
      <c r="F231" s="34">
        <f ca="1">LOOKUP(C231,'QALS - Inspection Lot Record'!P:P,'QALS - Inspection Lot Record'!E:E)+RANDBETWEEN(0,1)</f>
        <v>45969</v>
      </c>
      <c r="G231" s="41" t="s">
        <v>472</v>
      </c>
      <c r="H231" s="34">
        <f t="shared" ca="1" si="3"/>
        <v>45969</v>
      </c>
      <c r="I231" s="29" t="str" cm="1">
        <f t="array" aca="1" ref="I231" ca="1">_xlfn.IFS(G231="Potency out of spec",CHOOSE(RANDBETWEEN(1,6),"Additional testing","Improve formulation","Update production SOP","Supplier evaluation","Training for operators","Equipment calibration"),
G231="PH Level out of range",CHOOSE(RANDBETWEEN(1,6),"PH monitoring","Adjust formulation","Update production SOP","Supplier evaluation","Training for operators","Equipment calibration"),
G231="Impurities out of limit",CHOOSE(RANDBETWEEN(1,6),"Improve purification","Raw material control","Update production SOP","Supplier evaluation","Training for operators","Equipment maintenance"),
G231="Process temp out of range",CHOOSE(RANDBETWEEN(1,6),"Temperature control","Update production SOP","Supplier evaluation","Training for operators",
"Equipment calibration","Preventive maintenance"),
G231="Dissolution rate low - 15 mins",CHOOSE(RANDBETWEEN(1,6),"Increase agitation","Reduce particle size","Update production SOP","Supplier evaluation",
"Training for operators","Equipment calibration"),
G231="Dissolution rate low - 30 mins",CHOOSE(RANDBETWEEN(1,6),"Increase disintegrant","Optimize granulation","Update production SOP","Supplier evaluation",
"Training for operators","Equipment calibration"),
G231="Dissolution rate low - 40 mins",CHOOSE(RANDBETWEEN(1,6),"Increase surface area","Optimize compression","Update production SOP","Supplier evaluation",
"Training for operators","Equipment calibration"),
G231="Dissolution rate high - 15 mins",CHOOSE(RANDBETWEEN(1,6),"Decrease agitation","Increase particle size","Update production SOP","Supplier evaluation","Training for operators","Equipment calibration"),
G231="Dissolution rate high - 30 mins",CHOOSE(RANDBETWEEN(1,6),"Decrease disintegrant","Optimize granulation","Update production SOP","Supplier evaluation","Training for operators","Equipment calibration"),
G231="Dissolution rate high - 40 mins",CHOOSE(RANDBETWEEN(1,6),"Decrease surface area","Optimize compression","Update production SOP","Supplier evaluation","Training for operators","Equipment calibration"))</f>
        <v>Improve formulation</v>
      </c>
    </row>
    <row r="232" spans="1:9" x14ac:dyDescent="0.35">
      <c r="A232" s="31">
        <v>200000613</v>
      </c>
      <c r="B232" s="31">
        <v>1010</v>
      </c>
      <c r="C232" s="31">
        <v>4200</v>
      </c>
      <c r="D232" s="29" t="s">
        <v>431</v>
      </c>
      <c r="E232" s="31">
        <v>93.6</v>
      </c>
      <c r="F232" s="34">
        <f ca="1">LOOKUP(C232,'QALS - Inspection Lot Record'!P:P,'QALS - Inspection Lot Record'!E:E)+RANDBETWEEN(0,1)</f>
        <v>45969</v>
      </c>
      <c r="G232" s="41" t="s">
        <v>472</v>
      </c>
      <c r="H232" s="34">
        <f t="shared" ca="1" si="3"/>
        <v>45970</v>
      </c>
      <c r="I232" s="29" t="str" cm="1">
        <f t="array" aca="1" ref="I232" ca="1">_xlfn.IFS(G232="Potency out of spec",CHOOSE(RANDBETWEEN(1,6),"Additional testing","Improve formulation","Update production SOP","Supplier evaluation","Training for operators","Equipment calibration"),
G232="PH Level out of range",CHOOSE(RANDBETWEEN(1,6),"PH monitoring","Adjust formulation","Update production SOP","Supplier evaluation","Training for operators","Equipment calibration"),
G232="Impurities out of limit",CHOOSE(RANDBETWEEN(1,6),"Improve purification","Raw material control","Update production SOP","Supplier evaluation","Training for operators","Equipment maintenance"),
G232="Process temp out of range",CHOOSE(RANDBETWEEN(1,6),"Temperature control","Update production SOP","Supplier evaluation","Training for operators",
"Equipment calibration","Preventive maintenance"),
G232="Dissolution rate low - 15 mins",CHOOSE(RANDBETWEEN(1,6),"Increase agitation","Reduce particle size","Update production SOP","Supplier evaluation",
"Training for operators","Equipment calibration"),
G232="Dissolution rate low - 30 mins",CHOOSE(RANDBETWEEN(1,6),"Increase disintegrant","Optimize granulation","Update production SOP","Supplier evaluation",
"Training for operators","Equipment calibration"),
G232="Dissolution rate low - 40 mins",CHOOSE(RANDBETWEEN(1,6),"Increase surface area","Optimize compression","Update production SOP","Supplier evaluation",
"Training for operators","Equipment calibration"),
G232="Dissolution rate high - 15 mins",CHOOSE(RANDBETWEEN(1,6),"Decrease agitation","Increase particle size","Update production SOP","Supplier evaluation","Training for operators","Equipment calibration"),
G232="Dissolution rate high - 30 mins",CHOOSE(RANDBETWEEN(1,6),"Decrease disintegrant","Optimize granulation","Update production SOP","Supplier evaluation","Training for operators","Equipment calibration"),
G232="Dissolution rate high - 40 mins",CHOOSE(RANDBETWEEN(1,6),"Decrease surface area","Optimize compression","Update production SOP","Supplier evaluation","Training for operators","Equipment calibration"))</f>
        <v>Improve formulation</v>
      </c>
    </row>
    <row r="233" spans="1:9" x14ac:dyDescent="0.35">
      <c r="A233" s="31">
        <v>200000614</v>
      </c>
      <c r="B233" s="31">
        <v>1010</v>
      </c>
      <c r="C233" s="31">
        <v>4202</v>
      </c>
      <c r="D233" s="29" t="s">
        <v>431</v>
      </c>
      <c r="E233" s="31">
        <v>21.4</v>
      </c>
      <c r="F233" s="34">
        <f ca="1">LOOKUP(C233,'QALS - Inspection Lot Record'!P:P,'QALS - Inspection Lot Record'!E:E)+RANDBETWEEN(0,1)</f>
        <v>45970</v>
      </c>
      <c r="G233" s="41" t="s">
        <v>483</v>
      </c>
      <c r="H233" s="34">
        <f t="shared" ca="1" si="3"/>
        <v>45970</v>
      </c>
      <c r="I233" s="29" t="str" cm="1">
        <f t="array" aca="1" ref="I233" ca="1">_xlfn.IFS(G233="Potency out of spec",CHOOSE(RANDBETWEEN(1,6),"Additional testing","Improve formulation","Update production SOP","Supplier evaluation","Training for operators","Equipment calibration"),
G233="PH Level out of range",CHOOSE(RANDBETWEEN(1,6),"PH monitoring","Adjust formulation","Update production SOP","Supplier evaluation","Training for operators","Equipment calibration"),
G233="Impurities out of limit",CHOOSE(RANDBETWEEN(1,6),"Improve purification","Raw material control","Update production SOP","Supplier evaluation","Training for operators","Equipment maintenance"),
G233="Process temp out of range",CHOOSE(RANDBETWEEN(1,6),"Temperature control","Update production SOP","Supplier evaluation","Training for operators",
"Equipment calibration","Preventive maintenance"),
G233="Dissolution rate low - 15 mins",CHOOSE(RANDBETWEEN(1,6),"Increase agitation","Reduce particle size","Update production SOP","Supplier evaluation",
"Training for operators","Equipment calibration"),
G233="Dissolution rate low - 30 mins",CHOOSE(RANDBETWEEN(1,6),"Increase disintegrant","Optimize granulation","Update production SOP","Supplier evaluation",
"Training for operators","Equipment calibration"),
G233="Dissolution rate low - 40 mins",CHOOSE(RANDBETWEEN(1,6),"Increase surface area","Optimize compression","Update production SOP","Supplier evaluation",
"Training for operators","Equipment calibration"),
G233="Dissolution rate high - 15 mins",CHOOSE(RANDBETWEEN(1,6),"Decrease agitation","Increase particle size","Update production SOP","Supplier evaluation","Training for operators","Equipment calibration"),
G233="Dissolution rate high - 30 mins",CHOOSE(RANDBETWEEN(1,6),"Decrease disintegrant","Optimize granulation","Update production SOP","Supplier evaluation","Training for operators","Equipment calibration"),
G233="Dissolution rate high - 40 mins",CHOOSE(RANDBETWEEN(1,6),"Decrease surface area","Optimize compression","Update production SOP","Supplier evaluation","Training for operators","Equipment calibration"))</f>
        <v>Supplier evaluation</v>
      </c>
    </row>
    <row r="234" spans="1:9" x14ac:dyDescent="0.35">
      <c r="A234" s="31">
        <v>200000615</v>
      </c>
      <c r="B234" s="31">
        <v>1010</v>
      </c>
      <c r="C234" s="31">
        <v>4206</v>
      </c>
      <c r="D234" s="29" t="s">
        <v>431</v>
      </c>
      <c r="E234" s="31">
        <v>21.2</v>
      </c>
      <c r="F234" s="34">
        <f ca="1">LOOKUP(C234,'QALS - Inspection Lot Record'!P:P,'QALS - Inspection Lot Record'!E:E)+RANDBETWEEN(0,1)</f>
        <v>45972</v>
      </c>
      <c r="G234" s="41" t="s">
        <v>483</v>
      </c>
      <c r="H234" s="34">
        <f t="shared" ca="1" si="3"/>
        <v>45974</v>
      </c>
      <c r="I234" s="29" t="str" cm="1">
        <f t="array" aca="1" ref="I234" ca="1">_xlfn.IFS(G234="Potency out of spec",CHOOSE(RANDBETWEEN(1,6),"Additional testing","Improve formulation","Update production SOP","Supplier evaluation","Training for operators","Equipment calibration"),
G234="PH Level out of range",CHOOSE(RANDBETWEEN(1,6),"PH monitoring","Adjust formulation","Update production SOP","Supplier evaluation","Training for operators","Equipment calibration"),
G234="Impurities out of limit",CHOOSE(RANDBETWEEN(1,6),"Improve purification","Raw material control","Update production SOP","Supplier evaluation","Training for operators","Equipment maintenance"),
G234="Process temp out of range",CHOOSE(RANDBETWEEN(1,6),"Temperature control","Update production SOP","Supplier evaluation","Training for operators",
"Equipment calibration","Preventive maintenance"),
G234="Dissolution rate low - 15 mins",CHOOSE(RANDBETWEEN(1,6),"Increase agitation","Reduce particle size","Update production SOP","Supplier evaluation",
"Training for operators","Equipment calibration"),
G234="Dissolution rate low - 30 mins",CHOOSE(RANDBETWEEN(1,6),"Increase disintegrant","Optimize granulation","Update production SOP","Supplier evaluation",
"Training for operators","Equipment calibration"),
G234="Dissolution rate low - 40 mins",CHOOSE(RANDBETWEEN(1,6),"Increase surface area","Optimize compression","Update production SOP","Supplier evaluation",
"Training for operators","Equipment calibration"),
G234="Dissolution rate high - 15 mins",CHOOSE(RANDBETWEEN(1,6),"Decrease agitation","Increase particle size","Update production SOP","Supplier evaluation","Training for operators","Equipment calibration"),
G234="Dissolution rate high - 30 mins",CHOOSE(RANDBETWEEN(1,6),"Decrease disintegrant","Optimize granulation","Update production SOP","Supplier evaluation","Training for operators","Equipment calibration"),
G234="Dissolution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35" spans="1:9" x14ac:dyDescent="0.35">
      <c r="A235" s="31">
        <v>200000616</v>
      </c>
      <c r="B235" s="31">
        <v>1010</v>
      </c>
      <c r="C235" s="31">
        <v>4209</v>
      </c>
      <c r="D235" s="29" t="s">
        <v>429</v>
      </c>
      <c r="E235" s="31">
        <v>2.4</v>
      </c>
      <c r="F235" s="34">
        <f ca="1">LOOKUP(C235,'QALS - Inspection Lot Record'!P:P,'QALS - Inspection Lot Record'!E:E)+RANDBETWEEN(0,1)</f>
        <v>45974</v>
      </c>
      <c r="G235" s="41" t="s">
        <v>474</v>
      </c>
      <c r="H235" s="34">
        <f t="shared" ca="1" si="3"/>
        <v>45975</v>
      </c>
      <c r="I235" s="29" t="str" cm="1">
        <f t="array" aca="1" ref="I235" ca="1">_xlfn.IFS(G235="Potency out of spec",CHOOSE(RANDBETWEEN(1,6),"Additional testing","Improve formulation","Update production SOP","Supplier evaluation","Training for operators","Equipment calibration"),
G235="PH Level out of range",CHOOSE(RANDBETWEEN(1,6),"PH monitoring","Adjust formulation","Update production SOP","Supplier evaluation","Training for operators","Equipment calibration"),
G235="Impurities out of limit",CHOOSE(RANDBETWEEN(1,6),"Improve purification","Raw material control","Update production SOP","Supplier evaluation","Training for operators","Equipment maintenance"),
G235="Process temp out of range",CHOOSE(RANDBETWEEN(1,6),"Temperature control","Update production SOP","Supplier evaluation","Training for operators",
"Equipment calibration","Preventive maintenance"),
G235="Dissolution rate low - 15 mins",CHOOSE(RANDBETWEEN(1,6),"Increase agitation","Reduce particle size","Update production SOP","Supplier evaluation",
"Training for operators","Equipment calibration"),
G235="Dissolution rate low - 30 mins",CHOOSE(RANDBETWEEN(1,6),"Increase disintegrant","Optimize granulation","Update production SOP","Supplier evaluation",
"Training for operators","Equipment calibration"),
G235="Dissolution rate low - 40 mins",CHOOSE(RANDBETWEEN(1,6),"Increase surface area","Optimize compression","Update production SOP","Supplier evaluation",
"Training for operators","Equipment calibration"),
G235="Dissolution rate high - 15 mins",CHOOSE(RANDBETWEEN(1,6),"Decrease agitation","Increase particle size","Update production SOP","Supplier evaluation","Training for operators","Equipment calibration"),
G235="Dissolution rate high - 30 mins",CHOOSE(RANDBETWEEN(1,6),"Decrease disintegrant","Optimize granulation","Update production SOP","Supplier evaluation","Training for operators","Equipment calibration"),
G235="Dissolution rate high - 40 mins",CHOOSE(RANDBETWEEN(1,6),"Decrease surface area","Optimize compression","Update production SOP","Supplier evaluation","Training for operators","Equipment calibration"))</f>
        <v>Supplier evaluation</v>
      </c>
    </row>
    <row r="236" spans="1:9" x14ac:dyDescent="0.35">
      <c r="A236" s="31">
        <v>200000616</v>
      </c>
      <c r="B236" s="31">
        <v>1010</v>
      </c>
      <c r="C236" s="31">
        <v>4209</v>
      </c>
      <c r="D236" s="29" t="s">
        <v>429</v>
      </c>
      <c r="E236" s="31">
        <v>78.5</v>
      </c>
      <c r="F236" s="34">
        <f ca="1">LOOKUP(C236,'QALS - Inspection Lot Record'!P:P,'QALS - Inspection Lot Record'!E:E)+RANDBETWEEN(0,1)</f>
        <v>45974</v>
      </c>
      <c r="G236" s="41" t="s">
        <v>486</v>
      </c>
      <c r="H236" s="34">
        <f t="shared" ca="1" si="3"/>
        <v>45975</v>
      </c>
      <c r="I236" s="29" t="str" cm="1">
        <f t="array" aca="1" ref="I236" ca="1">_xlfn.IFS(G236="Potency out of spec",CHOOSE(RANDBETWEEN(1,6),"Additional testing","Improve formulation","Update production SOP","Supplier evaluation","Training for operators","Equipment calibration"),
G236="PH Level out of range",CHOOSE(RANDBETWEEN(1,6),"PH monitoring","Adjust formulation","Update production SOP","Supplier evaluation","Training for operators","Equipment calibration"),
G236="Impurities out of limit",CHOOSE(RANDBETWEEN(1,6),"Improve purification","Raw material control","Update production SOP","Supplier evaluation","Training for operators","Equipment maintenance"),
G236="Process temp out of range",CHOOSE(RANDBETWEEN(1,6),"Temperature control","Update production SOP","Supplier evaluation","Training for operators",
"Equipment calibration","Preventive maintenance"),
G236="Dissolution rate low - 15 mins",CHOOSE(RANDBETWEEN(1,6),"Increase agitation","Reduce particle size","Update production SOP","Supplier evaluation",
"Training for operators","Equipment calibration"),
G236="Dissolution rate low - 30 mins",CHOOSE(RANDBETWEEN(1,6),"Increase disintegrant","Optimize granulation","Update production SOP","Supplier evaluation",
"Training for operators","Equipment calibration"),
G236="Dissolution rate low - 40 mins",CHOOSE(RANDBETWEEN(1,6),"Increase surface area","Optimize compression","Update production SOP","Supplier evaluation",
"Training for operators","Equipment calibration"),
G236="Dissolution rate high - 15 mins",CHOOSE(RANDBETWEEN(1,6),"Decrease agitation","Increase particle size","Update production SOP","Supplier evaluation","Training for operators","Equipment calibration"),
G236="Dissolution rate high - 30 mins",CHOOSE(RANDBETWEEN(1,6),"Decrease disintegrant","Optimize granulation","Update production SOP","Supplier evaluation","Training for operators","Equipment calibration"),
G236="Dissolution rate high - 40 mins",CHOOSE(RANDBETWEEN(1,6),"Decrease surface area","Optimize compression","Update production SOP","Supplier evaluation","Training for operators","Equipment calibration"))</f>
        <v>Update production SOP</v>
      </c>
    </row>
    <row r="237" spans="1:9" x14ac:dyDescent="0.35">
      <c r="A237" s="31">
        <v>200000617</v>
      </c>
      <c r="B237" s="31">
        <v>1010</v>
      </c>
      <c r="C237" s="31">
        <v>4210</v>
      </c>
      <c r="D237" s="29" t="s">
        <v>503</v>
      </c>
      <c r="E237" s="31">
        <v>93.1</v>
      </c>
      <c r="F237" s="34">
        <f ca="1">LOOKUP(C237,'QALS - Inspection Lot Record'!P:P,'QALS - Inspection Lot Record'!E:E)+RANDBETWEEN(0,1)</f>
        <v>45975</v>
      </c>
      <c r="G237" s="41" t="s">
        <v>472</v>
      </c>
      <c r="H237" s="34">
        <f t="shared" ca="1" si="3"/>
        <v>45975</v>
      </c>
      <c r="I237" s="29" t="str" cm="1">
        <f t="array" aca="1" ref="I237" ca="1">_xlfn.IFS(G237="Potency out of spec",CHOOSE(RANDBETWEEN(1,6),"Additional testing","Improve formulation","Update production SOP","Supplier evaluation","Training for operators","Equipment calibration"),
G237="PH Level out of range",CHOOSE(RANDBETWEEN(1,6),"PH monitoring","Adjust formulation","Update production SOP","Supplier evaluation","Training for operators","Equipment calibration"),
G237="Impurities out of limit",CHOOSE(RANDBETWEEN(1,6),"Improve purification","Raw material control","Update production SOP","Supplier evaluation","Training for operators","Equipment maintenance"),
G237="Process temp out of range",CHOOSE(RANDBETWEEN(1,6),"Temperature control","Update production SOP","Supplier evaluation","Training for operators",
"Equipment calibration","Preventive maintenance"),
G237="Dissolution rate low - 15 mins",CHOOSE(RANDBETWEEN(1,6),"Increase agitation","Reduce particle size","Update production SOP","Supplier evaluation",
"Training for operators","Equipment calibration"),
G237="Dissolution rate low - 30 mins",CHOOSE(RANDBETWEEN(1,6),"Increase disintegrant","Optimize granulation","Update production SOP","Supplier evaluation",
"Training for operators","Equipment calibration"),
G237="Dissolution rate low - 40 mins",CHOOSE(RANDBETWEEN(1,6),"Increase surface area","Optimize compression","Update production SOP","Supplier evaluation",
"Training for operators","Equipment calibration"),
G237="Dissolution rate high - 15 mins",CHOOSE(RANDBETWEEN(1,6),"Decrease agitation","Increase particle size","Update production SOP","Supplier evaluation","Training for operators","Equipment calibration"),
G237="Dissolution rate high - 30 mins",CHOOSE(RANDBETWEEN(1,6),"Decrease disintegrant","Optimize granulation","Update production SOP","Supplier evaluation","Training for operators","Equipment calibration"),
G237="Dissolution rate high - 40 mins",CHOOSE(RANDBETWEEN(1,6),"Decrease surface area","Optimize compression","Update production SOP","Supplier evaluation","Training for operators","Equipment calibration"))</f>
        <v>Supplier evaluation</v>
      </c>
    </row>
    <row r="238" spans="1:9" x14ac:dyDescent="0.35">
      <c r="A238" s="31">
        <v>200000617</v>
      </c>
      <c r="B238" s="31">
        <v>1010</v>
      </c>
      <c r="C238" s="31">
        <v>4210</v>
      </c>
      <c r="D238" s="29" t="s">
        <v>503</v>
      </c>
      <c r="E238" s="31">
        <v>78.099999999999994</v>
      </c>
      <c r="F238" s="34">
        <f ca="1">LOOKUP(C238,'QALS - Inspection Lot Record'!P:P,'QALS - Inspection Lot Record'!E:E)+RANDBETWEEN(0,1)</f>
        <v>45975</v>
      </c>
      <c r="G238" s="41" t="s">
        <v>486</v>
      </c>
      <c r="H238" s="34">
        <f t="shared" ca="1" si="3"/>
        <v>45975</v>
      </c>
      <c r="I238" s="29" t="str" cm="1">
        <f t="array" aca="1" ref="I238" ca="1">_xlfn.IFS(G238="Potency out of spec",CHOOSE(RANDBETWEEN(1,6),"Additional testing","Improve formulation","Update production SOP","Supplier evaluation","Training for operators","Equipment calibration"),
G238="PH Level out of range",CHOOSE(RANDBETWEEN(1,6),"PH monitoring","Adjust formulation","Update production SOP","Supplier evaluation","Training for operators","Equipment calibration"),
G238="Impurities out of limit",CHOOSE(RANDBETWEEN(1,6),"Improve purification","Raw material control","Update production SOP","Supplier evaluation","Training for operators","Equipment maintenance"),
G238="Process temp out of range",CHOOSE(RANDBETWEEN(1,6),"Temperature control","Update production SOP","Supplier evaluation","Training for operators",
"Equipment calibration","Preventive maintenance"),
G238="Dissolution rate low - 15 mins",CHOOSE(RANDBETWEEN(1,6),"Increase agitation","Reduce particle size","Update production SOP","Supplier evaluation",
"Training for operators","Equipment calibration"),
G238="Dissolution rate low - 30 mins",CHOOSE(RANDBETWEEN(1,6),"Increase disintegrant","Optimize granulation","Update production SOP","Supplier evaluation",
"Training for operators","Equipment calibration"),
G238="Dissolution rate low - 40 mins",CHOOSE(RANDBETWEEN(1,6),"Increase surface area","Optimize compression","Update production SOP","Supplier evaluation",
"Training for operators","Equipment calibration"),
G238="Dissolution rate high - 15 mins",CHOOSE(RANDBETWEEN(1,6),"Decrease agitation","Increase particle size","Update production SOP","Supplier evaluation","Training for operators","Equipment calibration"),
G238="Dissolution rate high - 30 mins",CHOOSE(RANDBETWEEN(1,6),"Decrease disintegrant","Optimize granulation","Update production SOP","Supplier evaluation","Training for operators","Equipment calibration"),
G238="Dissolution rate high - 40 mins",CHOOSE(RANDBETWEEN(1,6),"Decrease surface area","Optimize compression","Update production SOP","Supplier evaluation","Training for operators","Equipment calibration"))</f>
        <v>Increase surface area</v>
      </c>
    </row>
    <row r="239" spans="1:9" x14ac:dyDescent="0.35">
      <c r="A239" s="31">
        <v>200000618</v>
      </c>
      <c r="B239" s="31">
        <v>1010</v>
      </c>
      <c r="C239" s="31">
        <v>4211</v>
      </c>
      <c r="D239" s="29" t="s">
        <v>504</v>
      </c>
      <c r="E239" s="31">
        <v>68.099999999999994</v>
      </c>
      <c r="F239" s="34">
        <f ca="1">LOOKUP(C239,'QALS - Inspection Lot Record'!P:P,'QALS - Inspection Lot Record'!E:E)+RANDBETWEEN(0,1)</f>
        <v>45975</v>
      </c>
      <c r="G239" s="41" t="s">
        <v>480</v>
      </c>
      <c r="H239" s="34">
        <f t="shared" ca="1" si="3"/>
        <v>45977</v>
      </c>
      <c r="I239" s="29" t="str" cm="1">
        <f t="array" aca="1" ref="I239" ca="1">_xlfn.IFS(G239="Potency out of spec",CHOOSE(RANDBETWEEN(1,6),"Additional testing","Improve formulation","Update production SOP","Supplier evaluation","Training for operators","Equipment calibration"),
G239="PH Level out of range",CHOOSE(RANDBETWEEN(1,6),"PH monitoring","Adjust formulation","Update production SOP","Supplier evaluation","Training for operators","Equipment calibration"),
G239="Impurities out of limit",CHOOSE(RANDBETWEEN(1,6),"Improve purification","Raw material control","Update production SOP","Supplier evaluation","Training for operators","Equipment maintenance"),
G239="Process temp out of range",CHOOSE(RANDBETWEEN(1,6),"Temperature control","Update production SOP","Supplier evaluation","Training for operators",
"Equipment calibration","Preventive maintenance"),
G239="Dissolution rate low - 15 mins",CHOOSE(RANDBETWEEN(1,6),"Increase agitation","Reduce particle size","Update production SOP","Supplier evaluation",
"Training for operators","Equipment calibration"),
G239="Dissolution rate low - 30 mins",CHOOSE(RANDBETWEEN(1,6),"Increase disintegrant","Optimize granulation","Update production SOP","Supplier evaluation",
"Training for operators","Equipment calibration"),
G239="Dissolution rate low - 40 mins",CHOOSE(RANDBETWEEN(1,6),"Increase surface area","Optimize compression","Update production SOP","Supplier evaluation",
"Training for operators","Equipment calibration"),
G239="Dissolution rate high - 15 mins",CHOOSE(RANDBETWEEN(1,6),"Decrease agitation","Increase particle size","Update production SOP","Supplier evaluation","Training for operators","Equipment calibration"),
G239="Dissolution rate high - 30 mins",CHOOSE(RANDBETWEEN(1,6),"Decrease disintegrant","Optimize granulation","Update production SOP","Supplier evaluation","Training for operators","Equipment calibration"),
G239="Dissolution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40" spans="1:9" x14ac:dyDescent="0.35">
      <c r="A240" s="31">
        <v>200000619</v>
      </c>
      <c r="B240" s="31">
        <v>1010</v>
      </c>
      <c r="C240" s="31">
        <v>4212</v>
      </c>
      <c r="D240" s="29" t="s">
        <v>503</v>
      </c>
      <c r="E240" s="31">
        <v>21.1</v>
      </c>
      <c r="F240" s="34">
        <f ca="1">LOOKUP(C240,'QALS - Inspection Lot Record'!P:P,'QALS - Inspection Lot Record'!E:E)+RANDBETWEEN(0,1)</f>
        <v>45975</v>
      </c>
      <c r="G240" s="41" t="s">
        <v>483</v>
      </c>
      <c r="H240" s="34">
        <f t="shared" ca="1" si="3"/>
        <v>45975</v>
      </c>
      <c r="I240" s="29" t="str" cm="1">
        <f t="array" aca="1" ref="I240" ca="1">_xlfn.IFS(G240="Potency out of spec",CHOOSE(RANDBETWEEN(1,6),"Additional testing","Improve formulation","Update production SOP","Supplier evaluation","Training for operators","Equipment calibration"),
G240="PH Level out of range",CHOOSE(RANDBETWEEN(1,6),"PH monitoring","Adjust formulation","Update production SOP","Supplier evaluation","Training for operators","Equipment calibration"),
G240="Impurities out of limit",CHOOSE(RANDBETWEEN(1,6),"Improve purification","Raw material control","Update production SOP","Supplier evaluation","Training for operators","Equipment maintenance"),
G240="Process temp out of range",CHOOSE(RANDBETWEEN(1,6),"Temperature control","Update production SOP","Supplier evaluation","Training for operators",
"Equipment calibration","Preventive maintenance"),
G240="Dissolution rate low - 15 mins",CHOOSE(RANDBETWEEN(1,6),"Increase agitation","Reduce particle size","Update production SOP","Supplier evaluation",
"Training for operators","Equipment calibration"),
G240="Dissolution rate low - 30 mins",CHOOSE(RANDBETWEEN(1,6),"Increase disintegrant","Optimize granulation","Update production SOP","Supplier evaluation",
"Training for operators","Equipment calibration"),
G240="Dissolution rate low - 40 mins",CHOOSE(RANDBETWEEN(1,6),"Increase surface area","Optimize compression","Update production SOP","Supplier evaluation",
"Training for operators","Equipment calibration"),
G240="Dissolution rate high - 15 mins",CHOOSE(RANDBETWEEN(1,6),"Decrease agitation","Increase particle size","Update production SOP","Supplier evaluation","Training for operators","Equipment calibration"),
G240="Dissolution rate high - 30 mins",CHOOSE(RANDBETWEEN(1,6),"Decrease disintegrant","Optimize granulation","Update production SOP","Supplier evaluation","Training for operators","Equipment calibration"),
G240="Dissolution rate high - 40 mins",CHOOSE(RANDBETWEEN(1,6),"Decrease surface area","Optimize compression","Update production SOP","Supplier evaluation","Training for operators","Equipment calibration"))</f>
        <v>Supplier evaluation</v>
      </c>
    </row>
    <row r="241" spans="1:9" x14ac:dyDescent="0.35">
      <c r="A241" s="31">
        <v>200000620</v>
      </c>
      <c r="B241" s="31">
        <v>1010</v>
      </c>
      <c r="C241" s="31">
        <v>4219</v>
      </c>
      <c r="D241" s="29" t="s">
        <v>504</v>
      </c>
      <c r="E241" s="31">
        <v>38.6</v>
      </c>
      <c r="F241" s="34">
        <f ca="1">LOOKUP(C241,'QALS - Inspection Lot Record'!P:P,'QALS - Inspection Lot Record'!E:E)+RANDBETWEEN(0,1)</f>
        <v>45979</v>
      </c>
      <c r="G241" s="41" t="s">
        <v>478</v>
      </c>
      <c r="H241" s="34">
        <f t="shared" ca="1" si="3"/>
        <v>45981</v>
      </c>
      <c r="I241" s="29" t="str" cm="1">
        <f t="array" aca="1" ref="I241" ca="1">_xlfn.IFS(G241="Potency out of spec",CHOOSE(RANDBETWEEN(1,6),"Additional testing","Improve formulation","Update production SOP","Supplier evaluation","Training for operators","Equipment calibration"),
G241="PH Level out of range",CHOOSE(RANDBETWEEN(1,6),"PH monitoring","Adjust formulation","Update production SOP","Supplier evaluation","Training for operators","Equipment calibration"),
G241="Impurities out of limit",CHOOSE(RANDBETWEEN(1,6),"Improve purification","Raw material control","Update production SOP","Supplier evaluation","Training for operators","Equipment maintenance"),
G241="Process temp out of range",CHOOSE(RANDBETWEEN(1,6),"Temperature control","Update production SOP","Supplier evaluation","Training for operators",
"Equipment calibration","Preventive maintenance"),
G241="Dissolution rate low - 15 mins",CHOOSE(RANDBETWEEN(1,6),"Increase agitation","Reduce particle size","Update production SOP","Supplier evaluation",
"Training for operators","Equipment calibration"),
G241="Dissolution rate low - 30 mins",CHOOSE(RANDBETWEEN(1,6),"Increase disintegrant","Optimize granulation","Update production SOP","Supplier evaluation",
"Training for operators","Equipment calibration"),
G241="Dissolution rate low - 40 mins",CHOOSE(RANDBETWEEN(1,6),"Increase surface area","Optimize compression","Update production SOP","Supplier evaluation",
"Training for operators","Equipment calibration"),
G241="Dissolution rate high - 15 mins",CHOOSE(RANDBETWEEN(1,6),"Decrease agitation","Increase particle size","Update production SOP","Supplier evaluation","Training for operators","Equipment calibration"),
G241="Dissolution rate high - 30 mins",CHOOSE(RANDBETWEEN(1,6),"Decrease disintegrant","Optimize granulation","Update production SOP","Supplier evaluation","Training for operators","Equipment calibration"),
G241="Dissolution rate high - 40 mins",CHOOSE(RANDBETWEEN(1,6),"Decrease surface area","Optimize compression","Update production SOP","Supplier evaluation","Training for operators","Equipment calibration"))</f>
        <v>Update production SOP</v>
      </c>
    </row>
    <row r="242" spans="1:9" x14ac:dyDescent="0.35">
      <c r="A242" s="31">
        <v>200000620</v>
      </c>
      <c r="B242" s="31">
        <v>1010</v>
      </c>
      <c r="C242" s="31">
        <v>4219</v>
      </c>
      <c r="D242" s="29" t="s">
        <v>504</v>
      </c>
      <c r="E242" s="31">
        <v>68.2</v>
      </c>
      <c r="F242" s="34">
        <f ca="1">LOOKUP(C242,'QALS - Inspection Lot Record'!P:P,'QALS - Inspection Lot Record'!E:E)+RANDBETWEEN(0,1)</f>
        <v>45980</v>
      </c>
      <c r="G242" s="41" t="s">
        <v>480</v>
      </c>
      <c r="H242" s="34">
        <f t="shared" ca="1" si="3"/>
        <v>45981</v>
      </c>
      <c r="I242" s="29" t="str" cm="1">
        <f t="array" aca="1" ref="I242" ca="1">_xlfn.IFS(G242="Potency out of spec",CHOOSE(RANDBETWEEN(1,6),"Additional testing","Improve formulation","Update production SOP","Supplier evaluation","Training for operators","Equipment calibration"),
G242="PH Level out of range",CHOOSE(RANDBETWEEN(1,6),"PH monitoring","Adjust formulation","Update production SOP","Supplier evaluation","Training for operators","Equipment calibration"),
G242="Impurities out of limit",CHOOSE(RANDBETWEEN(1,6),"Improve purification","Raw material control","Update production SOP","Supplier evaluation","Training for operators","Equipment maintenance"),
G242="Process temp out of range",CHOOSE(RANDBETWEEN(1,6),"Temperature control","Update production SOP","Supplier evaluation","Training for operators",
"Equipment calibration","Preventive maintenance"),
G242="Dissolution rate low - 15 mins",CHOOSE(RANDBETWEEN(1,6),"Increase agitation","Reduce particle size","Update production SOP","Supplier evaluation",
"Training for operators","Equipment calibration"),
G242="Dissolution rate low - 30 mins",CHOOSE(RANDBETWEEN(1,6),"Increase disintegrant","Optimize granulation","Update production SOP","Supplier evaluation",
"Training for operators","Equipment calibration"),
G242="Dissolution rate low - 40 mins",CHOOSE(RANDBETWEEN(1,6),"Increase surface area","Optimize compression","Update production SOP","Supplier evaluation",
"Training for operators","Equipment calibration"),
G242="Dissolution rate high - 15 mins",CHOOSE(RANDBETWEEN(1,6),"Decrease agitation","Increase particle size","Update production SOP","Supplier evaluation","Training for operators","Equipment calibration"),
G242="Dissolution rate high - 30 mins",CHOOSE(RANDBETWEEN(1,6),"Decrease disintegrant","Optimize granulation","Update production SOP","Supplier evaluation","Training for operators","Equipment calibration"),
G242="Dissolution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43" spans="1:9" x14ac:dyDescent="0.35">
      <c r="A243" s="31">
        <v>200000620</v>
      </c>
      <c r="B243" s="31">
        <v>1010</v>
      </c>
      <c r="C243" s="31">
        <v>4219</v>
      </c>
      <c r="D243" s="29" t="s">
        <v>504</v>
      </c>
      <c r="E243" s="31">
        <v>78.2</v>
      </c>
      <c r="F243" s="34">
        <f ca="1">LOOKUP(C243,'QALS - Inspection Lot Record'!P:P,'QALS - Inspection Lot Record'!E:E)+RANDBETWEEN(0,1)</f>
        <v>45979</v>
      </c>
      <c r="G243" s="41" t="s">
        <v>486</v>
      </c>
      <c r="H243" s="34">
        <f t="shared" ca="1" si="3"/>
        <v>45979</v>
      </c>
      <c r="I243" s="29" t="str" cm="1">
        <f t="array" aca="1" ref="I243" ca="1">_xlfn.IFS(G243="Potency out of spec",CHOOSE(RANDBETWEEN(1,6),"Additional testing","Improve formulation","Update production SOP","Supplier evaluation","Training for operators","Equipment calibration"),
G243="PH Level out of range",CHOOSE(RANDBETWEEN(1,6),"PH monitoring","Adjust formulation","Update production SOP","Supplier evaluation","Training for operators","Equipment calibration"),
G243="Impurities out of limit",CHOOSE(RANDBETWEEN(1,6),"Improve purification","Raw material control","Update production SOP","Supplier evaluation","Training for operators","Equipment maintenance"),
G243="Process temp out of range",CHOOSE(RANDBETWEEN(1,6),"Temperature control","Update production SOP","Supplier evaluation","Training for operators",
"Equipment calibration","Preventive maintenance"),
G243="Dissolution rate low - 15 mins",CHOOSE(RANDBETWEEN(1,6),"Increase agitation","Reduce particle size","Update production SOP","Supplier evaluation",
"Training for operators","Equipment calibration"),
G243="Dissolution rate low - 30 mins",CHOOSE(RANDBETWEEN(1,6),"Increase disintegrant","Optimize granulation","Update production SOP","Supplier evaluation",
"Training for operators","Equipment calibration"),
G243="Dissolution rate low - 40 mins",CHOOSE(RANDBETWEEN(1,6),"Increase surface area","Optimize compression","Update production SOP","Supplier evaluation",
"Training for operators","Equipment calibration"),
G243="Dissolution rate high - 15 mins",CHOOSE(RANDBETWEEN(1,6),"Decrease agitation","Increase particle size","Update production SOP","Supplier evaluation","Training for operators","Equipment calibration"),
G243="Dissolution rate high - 30 mins",CHOOSE(RANDBETWEEN(1,6),"Decrease disintegrant","Optimize granulation","Update production SOP","Supplier evaluation","Training for operators","Equipment calibration"),
G243="Dissolution rate high - 40 mins",CHOOSE(RANDBETWEEN(1,6),"Decrease surface area","Optimize compression","Update production SOP","Supplier evaluation","Training for operators","Equipment calibration"))</f>
        <v>Equipment calibration</v>
      </c>
    </row>
    <row r="244" spans="1:9" x14ac:dyDescent="0.35">
      <c r="A244" s="31">
        <v>200000620</v>
      </c>
      <c r="B244" s="31">
        <v>1010</v>
      </c>
      <c r="C244" s="31">
        <v>4219</v>
      </c>
      <c r="D244" s="29" t="s">
        <v>504</v>
      </c>
      <c r="E244" s="31">
        <v>22.4</v>
      </c>
      <c r="F244" s="34">
        <f ca="1">LOOKUP(C244,'QALS - Inspection Lot Record'!P:P,'QALS - Inspection Lot Record'!E:E)+RANDBETWEEN(0,1)</f>
        <v>45979</v>
      </c>
      <c r="G244" s="41" t="s">
        <v>483</v>
      </c>
      <c r="H244" s="34">
        <f t="shared" ca="1" si="3"/>
        <v>45980</v>
      </c>
      <c r="I244" s="29" t="str" cm="1">
        <f t="array" aca="1" ref="I244" ca="1">_xlfn.IFS(G244="Potency out of spec",CHOOSE(RANDBETWEEN(1,6),"Additional testing","Improve formulation","Update production SOP","Supplier evaluation","Training for operators","Equipment calibration"),
G244="PH Level out of range",CHOOSE(RANDBETWEEN(1,6),"PH monitoring","Adjust formulation","Update production SOP","Supplier evaluation","Training for operators","Equipment calibration"),
G244="Impurities out of limit",CHOOSE(RANDBETWEEN(1,6),"Improve purification","Raw material control","Update production SOP","Supplier evaluation","Training for operators","Equipment maintenance"),
G244="Process temp out of range",CHOOSE(RANDBETWEEN(1,6),"Temperature control","Update production SOP","Supplier evaluation","Training for operators",
"Equipment calibration","Preventive maintenance"),
G244="Dissolution rate low - 15 mins",CHOOSE(RANDBETWEEN(1,6),"Increase agitation","Reduce particle size","Update production SOP","Supplier evaluation",
"Training for operators","Equipment calibration"),
G244="Dissolution rate low - 30 mins",CHOOSE(RANDBETWEEN(1,6),"Increase disintegrant","Optimize granulation","Update production SOP","Supplier evaluation",
"Training for operators","Equipment calibration"),
G244="Dissolution rate low - 40 mins",CHOOSE(RANDBETWEEN(1,6),"Increase surface area","Optimize compression","Update production SOP","Supplier evaluation",
"Training for operators","Equipment calibration"),
G244="Dissolution rate high - 15 mins",CHOOSE(RANDBETWEEN(1,6),"Decrease agitation","Increase particle size","Update production SOP","Supplier evaluation","Training for operators","Equipment calibration"),
G244="Dissolution rate high - 30 mins",CHOOSE(RANDBETWEEN(1,6),"Decrease disintegrant","Optimize granulation","Update production SOP","Supplier evaluation","Training for operators","Equipment calibration"),
G244="Dissolution rate high - 40 mins",CHOOSE(RANDBETWEEN(1,6),"Decrease surface area","Optimize compression","Update production SOP","Supplier evaluation","Training for operators","Equipment calibration"))</f>
        <v>Preventive maintenance</v>
      </c>
    </row>
    <row r="245" spans="1:9" x14ac:dyDescent="0.35">
      <c r="A245" s="31">
        <v>200000621</v>
      </c>
      <c r="B245" s="31">
        <v>1010</v>
      </c>
      <c r="C245" s="31">
        <v>4220</v>
      </c>
      <c r="D245" s="29" t="s">
        <v>429</v>
      </c>
      <c r="E245" s="31">
        <v>1.7</v>
      </c>
      <c r="F245" s="34">
        <f ca="1">LOOKUP(C245,'QALS - Inspection Lot Record'!P:P,'QALS - Inspection Lot Record'!E:E)+RANDBETWEEN(0,1)</f>
        <v>45980</v>
      </c>
      <c r="G245" s="41" t="s">
        <v>474</v>
      </c>
      <c r="H245" s="34">
        <f t="shared" ca="1" si="3"/>
        <v>45980</v>
      </c>
      <c r="I245" s="29" t="str" cm="1">
        <f t="array" aca="1" ref="I245" ca="1">_xlfn.IFS(G245="Potency out of spec",CHOOSE(RANDBETWEEN(1,6),"Additional testing","Improve formulation","Update production SOP","Supplier evaluation","Training for operators","Equipment calibration"),
G245="PH Level out of range",CHOOSE(RANDBETWEEN(1,6),"PH monitoring","Adjust formulation","Update production SOP","Supplier evaluation","Training for operators","Equipment calibration"),
G245="Impurities out of limit",CHOOSE(RANDBETWEEN(1,6),"Improve purification","Raw material control","Update production SOP","Supplier evaluation","Training for operators","Equipment maintenance"),
G245="Process temp out of range",CHOOSE(RANDBETWEEN(1,6),"Temperature control","Update production SOP","Supplier evaluation","Training for operators",
"Equipment calibration","Preventive maintenance"),
G245="Dissolution rate low - 15 mins",CHOOSE(RANDBETWEEN(1,6),"Increase agitation","Reduce particle size","Update production SOP","Supplier evaluation",
"Training for operators","Equipment calibration"),
G245="Dissolution rate low - 30 mins",CHOOSE(RANDBETWEEN(1,6),"Increase disintegrant","Optimize granulation","Update production SOP","Supplier evaluation",
"Training for operators","Equipment calibration"),
G245="Dissolution rate low - 40 mins",CHOOSE(RANDBETWEEN(1,6),"Increase surface area","Optimize compression","Update production SOP","Supplier evaluation",
"Training for operators","Equipment calibration"),
G245="Dissolution rate high - 15 mins",CHOOSE(RANDBETWEEN(1,6),"Decrease agitation","Increase particle size","Update production SOP","Supplier evaluation","Training for operators","Equipment calibration"),
G245="Dissolution rate high - 30 mins",CHOOSE(RANDBETWEEN(1,6),"Decrease disintegrant","Optimize granulation","Update production SOP","Supplier evaluation","Training for operators","Equipment calibration"),
G245="Dissolution rate high - 40 mins",CHOOSE(RANDBETWEEN(1,6),"Decrease surface area","Optimize compression","Update production SOP","Supplier evaluation","Training for operators","Equipment calibration"))</f>
        <v>Adjust formulation</v>
      </c>
    </row>
    <row r="246" spans="1:9" x14ac:dyDescent="0.35">
      <c r="A246" s="31">
        <v>200000621</v>
      </c>
      <c r="B246" s="31">
        <v>1010</v>
      </c>
      <c r="C246" s="31">
        <v>4220</v>
      </c>
      <c r="D246" s="29" t="s">
        <v>429</v>
      </c>
      <c r="E246" s="31">
        <v>68.3</v>
      </c>
      <c r="F246" s="34">
        <f ca="1">LOOKUP(C246,'QALS - Inspection Lot Record'!P:P,'QALS - Inspection Lot Record'!E:E)+RANDBETWEEN(0,1)</f>
        <v>45980</v>
      </c>
      <c r="G246" s="41" t="s">
        <v>480</v>
      </c>
      <c r="H246" s="34">
        <f t="shared" ca="1" si="3"/>
        <v>45980</v>
      </c>
      <c r="I246" s="29" t="str" cm="1">
        <f t="array" aca="1" ref="I246" ca="1">_xlfn.IFS(G246="Potency out of spec",CHOOSE(RANDBETWEEN(1,6),"Additional testing","Improve formulation","Update production SOP","Supplier evaluation","Training for operators","Equipment calibration"),
G246="PH Level out of range",CHOOSE(RANDBETWEEN(1,6),"PH monitoring","Adjust formulation","Update production SOP","Supplier evaluation","Training for operators","Equipment calibration"),
G246="Impurities out of limit",CHOOSE(RANDBETWEEN(1,6),"Improve purification","Raw material control","Update production SOP","Supplier evaluation","Training for operators","Equipment maintenance"),
G246="Process temp out of range",CHOOSE(RANDBETWEEN(1,6),"Temperature control","Update production SOP","Supplier evaluation","Training for operators",
"Equipment calibration","Preventive maintenance"),
G246="Dissolution rate low - 15 mins",CHOOSE(RANDBETWEEN(1,6),"Increase agitation","Reduce particle size","Update production SOP","Supplier evaluation",
"Training for operators","Equipment calibration"),
G246="Dissolution rate low - 30 mins",CHOOSE(RANDBETWEEN(1,6),"Increase disintegrant","Optimize granulation","Update production SOP","Supplier evaluation",
"Training for operators","Equipment calibration"),
G246="Dissolution rate low - 40 mins",CHOOSE(RANDBETWEEN(1,6),"Increase surface area","Optimize compression","Update production SOP","Supplier evaluation",
"Training for operators","Equipment calibration"),
G246="Dissolution rate high - 15 mins",CHOOSE(RANDBETWEEN(1,6),"Decrease agitation","Increase particle size","Update production SOP","Supplier evaluation","Training for operators","Equipment calibration"),
G246="Dissolution rate high - 30 mins",CHOOSE(RANDBETWEEN(1,6),"Decrease disintegrant","Optimize granulation","Update production SOP","Supplier evaluation","Training for operators","Equipment calibration"),
G246="Dissolution rate high - 40 mins",CHOOSE(RANDBETWEEN(1,6),"Decrease surface area","Optimize compression","Update production SOP","Supplier evaluation","Training for operators","Equipment calibration"))</f>
        <v>Increase disintegrant</v>
      </c>
    </row>
    <row r="247" spans="1:9" x14ac:dyDescent="0.35">
      <c r="A247" s="31">
        <v>200000621</v>
      </c>
      <c r="B247" s="31">
        <v>1010</v>
      </c>
      <c r="C247" s="31">
        <v>4220</v>
      </c>
      <c r="D247" s="29" t="s">
        <v>429</v>
      </c>
      <c r="E247" s="31">
        <v>78.2</v>
      </c>
      <c r="F247" s="34">
        <f ca="1">LOOKUP(C247,'QALS - Inspection Lot Record'!P:P,'QALS - Inspection Lot Record'!E:E)+RANDBETWEEN(0,1)</f>
        <v>45980</v>
      </c>
      <c r="G247" s="41" t="s">
        <v>486</v>
      </c>
      <c r="H247" s="34">
        <f t="shared" ca="1" si="3"/>
        <v>45982</v>
      </c>
      <c r="I247" s="29" t="str" cm="1">
        <f t="array" aca="1" ref="I247" ca="1">_xlfn.IFS(G247="Potency out of spec",CHOOSE(RANDBETWEEN(1,6),"Additional testing","Improve formulation","Update production SOP","Supplier evaluation","Training for operators","Equipment calibration"),
G247="PH Level out of range",CHOOSE(RANDBETWEEN(1,6),"PH monitoring","Adjust formulation","Update production SOP","Supplier evaluation","Training for operators","Equipment calibration"),
G247="Impurities out of limit",CHOOSE(RANDBETWEEN(1,6),"Improve purification","Raw material control","Update production SOP","Supplier evaluation","Training for operators","Equipment maintenance"),
G247="Process temp out of range",CHOOSE(RANDBETWEEN(1,6),"Temperature control","Update production SOP","Supplier evaluation","Training for operators",
"Equipment calibration","Preventive maintenance"),
G247="Dissolution rate low - 15 mins",CHOOSE(RANDBETWEEN(1,6),"Increase agitation","Reduce particle size","Update production SOP","Supplier evaluation",
"Training for operators","Equipment calibration"),
G247="Dissolution rate low - 30 mins",CHOOSE(RANDBETWEEN(1,6),"Increase disintegrant","Optimize granulation","Update production SOP","Supplier evaluation",
"Training for operators","Equipment calibration"),
G247="Dissolution rate low - 40 mins",CHOOSE(RANDBETWEEN(1,6),"Increase surface area","Optimize compression","Update production SOP","Supplier evaluation",
"Training for operators","Equipment calibration"),
G247="Dissolution rate high - 15 mins",CHOOSE(RANDBETWEEN(1,6),"Decrease agitation","Increase particle size","Update production SOP","Supplier evaluation","Training for operators","Equipment calibration"),
G247="Dissolution rate high - 30 mins",CHOOSE(RANDBETWEEN(1,6),"Decrease disintegrant","Optimize granulation","Update production SOP","Supplier evaluation","Training for operators","Equipment calibration"),
G247="Dissolution rate high - 40 mins",CHOOSE(RANDBETWEEN(1,6),"Decrease surface area","Optimize compression","Update production SOP","Supplier evaluation","Training for operators","Equipment calibration"))</f>
        <v>Increase surface area</v>
      </c>
    </row>
    <row r="248" spans="1:9" x14ac:dyDescent="0.35">
      <c r="A248" s="31">
        <v>200000622</v>
      </c>
      <c r="B248" s="31">
        <v>1010</v>
      </c>
      <c r="C248" s="31">
        <v>4223</v>
      </c>
      <c r="D248" s="29" t="s">
        <v>431</v>
      </c>
      <c r="E248" s="31">
        <v>4.4000000000000004</v>
      </c>
      <c r="F248" s="34">
        <f ca="1">LOOKUP(C248,'QALS - Inspection Lot Record'!P:P,'QALS - Inspection Lot Record'!E:E)+RANDBETWEEN(0,1)</f>
        <v>45982</v>
      </c>
      <c r="G248" s="41" t="s">
        <v>474</v>
      </c>
      <c r="H248" s="34">
        <f t="shared" ca="1" si="3"/>
        <v>45984</v>
      </c>
      <c r="I248" s="29" t="str" cm="1">
        <f t="array" aca="1" ref="I248" ca="1">_xlfn.IFS(G248="Potency out of spec",CHOOSE(RANDBETWEEN(1,6),"Additional testing","Improve formulation","Update production SOP","Supplier evaluation","Training for operators","Equipment calibration"),
G248="PH Level out of range",CHOOSE(RANDBETWEEN(1,6),"PH monitoring","Adjust formulation","Update production SOP","Supplier evaluation","Training for operators","Equipment calibration"),
G248="Impurities out of limit",CHOOSE(RANDBETWEEN(1,6),"Improve purification","Raw material control","Update production SOP","Supplier evaluation","Training for operators","Equipment maintenance"),
G248="Process temp out of range",CHOOSE(RANDBETWEEN(1,6),"Temperature control","Update production SOP","Supplier evaluation","Training for operators",
"Equipment calibration","Preventive maintenance"),
G248="Dissolution rate low - 15 mins",CHOOSE(RANDBETWEEN(1,6),"Increase agitation","Reduce particle size","Update production SOP","Supplier evaluation",
"Training for operators","Equipment calibration"),
G248="Dissolution rate low - 30 mins",CHOOSE(RANDBETWEEN(1,6),"Increase disintegrant","Optimize granulation","Update production SOP","Supplier evaluation",
"Training for operators","Equipment calibration"),
G248="Dissolution rate low - 40 mins",CHOOSE(RANDBETWEEN(1,6),"Increase surface area","Optimize compression","Update production SOP","Supplier evaluation",
"Training for operators","Equipment calibration"),
G248="Dissolution rate high - 15 mins",CHOOSE(RANDBETWEEN(1,6),"Decrease agitation","Increase particle size","Update production SOP","Supplier evaluation","Training for operators","Equipment calibration"),
G248="Dissolution rate high - 30 mins",CHOOSE(RANDBETWEEN(1,6),"Decrease disintegrant","Optimize granulation","Update production SOP","Supplier evaluation","Training for operators","Equipment calibration"),
G248="Dissolution rate high - 40 mins",CHOOSE(RANDBETWEEN(1,6),"Decrease surface area","Optimize compression","Update production SOP","Supplier evaluation","Training for operators","Equipment calibration"))</f>
        <v>Adjust formulation</v>
      </c>
    </row>
    <row r="249" spans="1:9" x14ac:dyDescent="0.35">
      <c r="A249" s="31">
        <v>200000622</v>
      </c>
      <c r="B249" s="31">
        <v>1010</v>
      </c>
      <c r="C249" s="31">
        <v>4223</v>
      </c>
      <c r="D249" s="29" t="s">
        <v>431</v>
      </c>
      <c r="E249" s="31">
        <v>69</v>
      </c>
      <c r="F249" s="34">
        <f ca="1">LOOKUP(C249,'QALS - Inspection Lot Record'!P:P,'QALS - Inspection Lot Record'!E:E)+RANDBETWEEN(0,1)</f>
        <v>45982</v>
      </c>
      <c r="G249" s="41" t="s">
        <v>480</v>
      </c>
      <c r="H249" s="34">
        <f t="shared" ca="1" si="3"/>
        <v>45983</v>
      </c>
      <c r="I249" s="29" t="str" cm="1">
        <f t="array" aca="1" ref="I249" ca="1">_xlfn.IFS(G249="Potency out of spec",CHOOSE(RANDBETWEEN(1,6),"Additional testing","Improve formulation","Update production SOP","Supplier evaluation","Training for operators","Equipment calibration"),
G249="PH Level out of range",CHOOSE(RANDBETWEEN(1,6),"PH monitoring","Adjust formulation","Update production SOP","Supplier evaluation","Training for operators","Equipment calibration"),
G249="Impurities out of limit",CHOOSE(RANDBETWEEN(1,6),"Improve purification","Raw material control","Update production SOP","Supplier evaluation","Training for operators","Equipment maintenance"),
G249="Process temp out of range",CHOOSE(RANDBETWEEN(1,6),"Temperature control","Update production SOP","Supplier evaluation","Training for operators",
"Equipment calibration","Preventive maintenance"),
G249="Dissolution rate low - 15 mins",CHOOSE(RANDBETWEEN(1,6),"Increase agitation","Reduce particle size","Update production SOP","Supplier evaluation",
"Training for operators","Equipment calibration"),
G249="Dissolution rate low - 30 mins",CHOOSE(RANDBETWEEN(1,6),"Increase disintegrant","Optimize granulation","Update production SOP","Supplier evaluation",
"Training for operators","Equipment calibration"),
G249="Dissolution rate low - 40 mins",CHOOSE(RANDBETWEEN(1,6),"Increase surface area","Optimize compression","Update production SOP","Supplier evaluation",
"Training for operators","Equipment calibration"),
G249="Dissolution rate high - 15 mins",CHOOSE(RANDBETWEEN(1,6),"Decrease agitation","Increase particle size","Update production SOP","Supplier evaluation","Training for operators","Equipment calibration"),
G249="Dissolution rate high - 30 mins",CHOOSE(RANDBETWEEN(1,6),"Decrease disintegrant","Optimize granulation","Update production SOP","Supplier evaluation","Training for operators","Equipment calibration"),
G249="Dissolution rate high - 40 mins",CHOOSE(RANDBETWEEN(1,6),"Decrease surface area","Optimize compression","Update production SOP","Supplier evaluation","Training for operators","Equipment calibration"))</f>
        <v>Increase disintegrant</v>
      </c>
    </row>
    <row r="250" spans="1:9" x14ac:dyDescent="0.35">
      <c r="A250" s="31">
        <v>200000622</v>
      </c>
      <c r="B250" s="31">
        <v>1010</v>
      </c>
      <c r="C250" s="31">
        <v>4223</v>
      </c>
      <c r="D250" s="29" t="s">
        <v>431</v>
      </c>
      <c r="E250" s="31">
        <v>79</v>
      </c>
      <c r="F250" s="34">
        <f ca="1">LOOKUP(C250,'QALS - Inspection Lot Record'!P:P,'QALS - Inspection Lot Record'!E:E)+RANDBETWEEN(0,1)</f>
        <v>45982</v>
      </c>
      <c r="G250" s="41" t="s">
        <v>486</v>
      </c>
      <c r="H250" s="34">
        <f t="shared" ca="1" si="3"/>
        <v>45983</v>
      </c>
      <c r="I250" s="29" t="str" cm="1">
        <f t="array" aca="1" ref="I250" ca="1">_xlfn.IFS(G250="Potency out of spec",CHOOSE(RANDBETWEEN(1,6),"Additional testing","Improve formulation","Update production SOP","Supplier evaluation","Training for operators","Equipment calibration"),
G250="PH Level out of range",CHOOSE(RANDBETWEEN(1,6),"PH monitoring","Adjust formulation","Update production SOP","Supplier evaluation","Training for operators","Equipment calibration"),
G250="Impurities out of limit",CHOOSE(RANDBETWEEN(1,6),"Improve purification","Raw material control","Update production SOP","Supplier evaluation","Training for operators","Equipment maintenance"),
G250="Process temp out of range",CHOOSE(RANDBETWEEN(1,6),"Temperature control","Update production SOP","Supplier evaluation","Training for operators",
"Equipment calibration","Preventive maintenance"),
G250="Dissolution rate low - 15 mins",CHOOSE(RANDBETWEEN(1,6),"Increase agitation","Reduce particle size","Update production SOP","Supplier evaluation",
"Training for operators","Equipment calibration"),
G250="Dissolution rate low - 30 mins",CHOOSE(RANDBETWEEN(1,6),"Increase disintegrant","Optimize granulation","Update production SOP","Supplier evaluation",
"Training for operators","Equipment calibration"),
G250="Dissolution rate low - 40 mins",CHOOSE(RANDBETWEEN(1,6),"Increase surface area","Optimize compression","Update production SOP","Supplier evaluation",
"Training for operators","Equipment calibration"),
G250="Dissolution rate high - 15 mins",CHOOSE(RANDBETWEEN(1,6),"Decrease agitation","Increase particle size","Update production SOP","Supplier evaluation","Training for operators","Equipment calibration"),
G250="Dissolution rate high - 30 mins",CHOOSE(RANDBETWEEN(1,6),"Decrease disintegrant","Optimize granulation","Update production SOP","Supplier evaluation","Training for operators","Equipment calibration"),
G250="Dissolution rate high - 40 mins",CHOOSE(RANDBETWEEN(1,6),"Decrease surface area","Optimize compression","Update production SOP","Supplier evaluation","Training for operators","Equipment calibration"))</f>
        <v>Optimize compression</v>
      </c>
    </row>
    <row r="251" spans="1:9" x14ac:dyDescent="0.35">
      <c r="A251" s="31">
        <v>200000623</v>
      </c>
      <c r="B251" s="31">
        <v>1010</v>
      </c>
      <c r="C251" s="31">
        <v>4224</v>
      </c>
      <c r="D251" s="29" t="s">
        <v>433</v>
      </c>
      <c r="E251" s="31">
        <v>68.599999999999994</v>
      </c>
      <c r="F251" s="34">
        <f ca="1">LOOKUP(C251,'QALS - Inspection Lot Record'!P:P,'QALS - Inspection Lot Record'!E:E)+RANDBETWEEN(0,1)</f>
        <v>45982</v>
      </c>
      <c r="G251" s="41" t="s">
        <v>480</v>
      </c>
      <c r="H251" s="34">
        <f t="shared" ca="1" si="3"/>
        <v>45983</v>
      </c>
      <c r="I251" s="29" t="str" cm="1">
        <f t="array" aca="1" ref="I251" ca="1">_xlfn.IFS(G251="Potency out of spec",CHOOSE(RANDBETWEEN(1,6),"Additional testing","Improve formulation","Update production SOP","Supplier evaluation","Training for operators","Equipment calibration"),
G251="PH Level out of range",CHOOSE(RANDBETWEEN(1,6),"PH monitoring","Adjust formulation","Update production SOP","Supplier evaluation","Training for operators","Equipment calibration"),
G251="Impurities out of limit",CHOOSE(RANDBETWEEN(1,6),"Improve purification","Raw material control","Update production SOP","Supplier evaluation","Training for operators","Equipment maintenance"),
G251="Process temp out of range",CHOOSE(RANDBETWEEN(1,6),"Temperature control","Update production SOP","Supplier evaluation","Training for operators",
"Equipment calibration","Preventive maintenance"),
G251="Dissolution rate low - 15 mins",CHOOSE(RANDBETWEEN(1,6),"Increase agitation","Reduce particle size","Update production SOP","Supplier evaluation",
"Training for operators","Equipment calibration"),
G251="Dissolution rate low - 30 mins",CHOOSE(RANDBETWEEN(1,6),"Increase disintegrant","Optimize granulation","Update production SOP","Supplier evaluation",
"Training for operators","Equipment calibration"),
G251="Dissolution rate low - 40 mins",CHOOSE(RANDBETWEEN(1,6),"Increase surface area","Optimize compression","Update production SOP","Supplier evaluation",
"Training for operators","Equipment calibration"),
G251="Dissolution rate high - 15 mins",CHOOSE(RANDBETWEEN(1,6),"Decrease agitation","Increase particle size","Update production SOP","Supplier evaluation","Training for operators","Equipment calibration"),
G251="Dissolution rate high - 30 mins",CHOOSE(RANDBETWEEN(1,6),"Decrease disintegrant","Optimize granulation","Update production SOP","Supplier evaluation","Training for operators","Equipment calibration"),
G251="Dissolution rate high - 40 mins",CHOOSE(RANDBETWEEN(1,6),"Decrease surface area","Optimize compression","Update production SOP","Supplier evaluation","Training for operators","Equipment calibration"))</f>
        <v>Update production SOP</v>
      </c>
    </row>
    <row r="252" spans="1:9" x14ac:dyDescent="0.35">
      <c r="A252" s="31">
        <v>200000623</v>
      </c>
      <c r="B252" s="31">
        <v>1010</v>
      </c>
      <c r="C252" s="31">
        <v>4224</v>
      </c>
      <c r="D252" s="29" t="s">
        <v>433</v>
      </c>
      <c r="E252" s="31">
        <v>78.900000000000006</v>
      </c>
      <c r="F252" s="34">
        <f ca="1">LOOKUP(C252,'QALS - Inspection Lot Record'!P:P,'QALS - Inspection Lot Record'!E:E)+RANDBETWEEN(0,1)</f>
        <v>45982</v>
      </c>
      <c r="G252" s="41" t="s">
        <v>486</v>
      </c>
      <c r="H252" s="34">
        <f t="shared" ca="1" si="3"/>
        <v>45983</v>
      </c>
      <c r="I252" s="29" t="str" cm="1">
        <f t="array" aca="1" ref="I252" ca="1">_xlfn.IFS(G252="Potency out of spec",CHOOSE(RANDBETWEEN(1,6),"Additional testing","Improve formulation","Update production SOP","Supplier evaluation","Training for operators","Equipment calibration"),
G252="PH Level out of range",CHOOSE(RANDBETWEEN(1,6),"PH monitoring","Adjust formulation","Update production SOP","Supplier evaluation","Training for operators","Equipment calibration"),
G252="Impurities out of limit",CHOOSE(RANDBETWEEN(1,6),"Improve purification","Raw material control","Update production SOP","Supplier evaluation","Training for operators","Equipment maintenance"),
G252="Process temp out of range",CHOOSE(RANDBETWEEN(1,6),"Temperature control","Update production SOP","Supplier evaluation","Training for operators",
"Equipment calibration","Preventive maintenance"),
G252="Dissolution rate low - 15 mins",CHOOSE(RANDBETWEEN(1,6),"Increase agitation","Reduce particle size","Update production SOP","Supplier evaluation",
"Training for operators","Equipment calibration"),
G252="Dissolution rate low - 30 mins",CHOOSE(RANDBETWEEN(1,6),"Increase disintegrant","Optimize granulation","Update production SOP","Supplier evaluation",
"Training for operators","Equipment calibration"),
G252="Dissolution rate low - 40 mins",CHOOSE(RANDBETWEEN(1,6),"Increase surface area","Optimize compression","Update production SOP","Supplier evaluation",
"Training for operators","Equipment calibration"),
G252="Dissolution rate high - 15 mins",CHOOSE(RANDBETWEEN(1,6),"Decrease agitation","Increase particle size","Update production SOP","Supplier evaluation","Training for operators","Equipment calibration"),
G252="Dissolution rate high - 30 mins",CHOOSE(RANDBETWEEN(1,6),"Decrease disintegrant","Optimize granulation","Update production SOP","Supplier evaluation","Training for operators","Equipment calibration"),
G252="Dissolution rate high - 40 mins",CHOOSE(RANDBETWEEN(1,6),"Decrease surface area","Optimize compression","Update production SOP","Supplier evaluation","Training for operators","Equipment calibration"))</f>
        <v>Increase surface area</v>
      </c>
    </row>
    <row r="253" spans="1:9" x14ac:dyDescent="0.35">
      <c r="A253" s="31">
        <v>200000624</v>
      </c>
      <c r="B253" s="31">
        <v>1010</v>
      </c>
      <c r="C253" s="31">
        <v>4227</v>
      </c>
      <c r="D253" s="29" t="s">
        <v>504</v>
      </c>
      <c r="E253" s="31">
        <v>93.9</v>
      </c>
      <c r="F253" s="34">
        <f ca="1">LOOKUP(C253,'QALS - Inspection Lot Record'!P:P,'QALS - Inspection Lot Record'!E:E)+RANDBETWEEN(0,1)</f>
        <v>45984</v>
      </c>
      <c r="G253" s="41" t="s">
        <v>472</v>
      </c>
      <c r="H253" s="34">
        <f t="shared" ca="1" si="3"/>
        <v>45984</v>
      </c>
      <c r="I253" s="29" t="str" cm="1">
        <f t="array" aca="1" ref="I253" ca="1">_xlfn.IFS(G253="Potency out of spec",CHOOSE(RANDBETWEEN(1,6),"Additional testing","Improve formulation","Update production SOP","Supplier evaluation","Training for operators","Equipment calibration"),
G253="PH Level out of range",CHOOSE(RANDBETWEEN(1,6),"PH monitoring","Adjust formulation","Update production SOP","Supplier evaluation","Training for operators","Equipment calibration"),
G253="Impurities out of limit",CHOOSE(RANDBETWEEN(1,6),"Improve purification","Raw material control","Update production SOP","Supplier evaluation","Training for operators","Equipment maintenance"),
G253="Process temp out of range",CHOOSE(RANDBETWEEN(1,6),"Temperature control","Update production SOP","Supplier evaluation","Training for operators",
"Equipment calibration","Preventive maintenance"),
G253="Dissolution rate low - 15 mins",CHOOSE(RANDBETWEEN(1,6),"Increase agitation","Reduce particle size","Update production SOP","Supplier evaluation",
"Training for operators","Equipment calibration"),
G253="Dissolution rate low - 30 mins",CHOOSE(RANDBETWEEN(1,6),"Increase disintegrant","Optimize granulation","Update production SOP","Supplier evaluation",
"Training for operators","Equipment calibration"),
G253="Dissolution rate low - 40 mins",CHOOSE(RANDBETWEEN(1,6),"Increase surface area","Optimize compression","Update production SOP","Supplier evaluation",
"Training for operators","Equipment calibration"),
G253="Dissolution rate high - 15 mins",CHOOSE(RANDBETWEEN(1,6),"Decrease agitation","Increase particle size","Update production SOP","Supplier evaluation","Training for operators","Equipment calibration"),
G253="Dissolution rate high - 30 mins",CHOOSE(RANDBETWEEN(1,6),"Decrease disintegrant","Optimize granulation","Update production SOP","Supplier evaluation","Training for operators","Equipment calibration"),
G253="Dissolution rate high - 40 mins",CHOOSE(RANDBETWEEN(1,6),"Decrease surface area","Optimize compression","Update production SOP","Supplier evaluation","Training for operators","Equipment calibration"))</f>
        <v>Update production SOP</v>
      </c>
    </row>
    <row r="254" spans="1:9" x14ac:dyDescent="0.35">
      <c r="A254" s="31">
        <v>200000624</v>
      </c>
      <c r="B254" s="31">
        <v>1010</v>
      </c>
      <c r="C254" s="31">
        <v>4227</v>
      </c>
      <c r="D254" s="29" t="s">
        <v>504</v>
      </c>
      <c r="E254" s="31">
        <v>1.9</v>
      </c>
      <c r="F254" s="34">
        <f ca="1">LOOKUP(C254,'QALS - Inspection Lot Record'!P:P,'QALS - Inspection Lot Record'!E:E)+RANDBETWEEN(0,1)</f>
        <v>45983</v>
      </c>
      <c r="G254" s="41" t="s">
        <v>474</v>
      </c>
      <c r="H254" s="34">
        <f t="shared" ca="1" si="3"/>
        <v>45984</v>
      </c>
      <c r="I254" s="29" t="str" cm="1">
        <f t="array" aca="1" ref="I254" ca="1">_xlfn.IFS(G254="Potency out of spec",CHOOSE(RANDBETWEEN(1,6),"Additional testing","Improve formulation","Update production SOP","Supplier evaluation","Training for operators","Equipment calibration"),
G254="PH Level out of range",CHOOSE(RANDBETWEEN(1,6),"PH monitoring","Adjust formulation","Update production SOP","Supplier evaluation","Training for operators","Equipment calibration"),
G254="Impurities out of limit",CHOOSE(RANDBETWEEN(1,6),"Improve purification","Raw material control","Update production SOP","Supplier evaluation","Training for operators","Equipment maintenance"),
G254="Process temp out of range",CHOOSE(RANDBETWEEN(1,6),"Temperature control","Update production SOP","Supplier evaluation","Training for operators",
"Equipment calibration","Preventive maintenance"),
G254="Dissolution rate low - 15 mins",CHOOSE(RANDBETWEEN(1,6),"Increase agitation","Reduce particle size","Update production SOP","Supplier evaluation",
"Training for operators","Equipment calibration"),
G254="Dissolution rate low - 30 mins",CHOOSE(RANDBETWEEN(1,6),"Increase disintegrant","Optimize granulation","Update production SOP","Supplier evaluation",
"Training for operators","Equipment calibration"),
G254="Dissolution rate low - 40 mins",CHOOSE(RANDBETWEEN(1,6),"Increase surface area","Optimize compression","Update production SOP","Supplier evaluation",
"Training for operators","Equipment calibration"),
G254="Dissolution rate high - 15 mins",CHOOSE(RANDBETWEEN(1,6),"Decrease agitation","Increase particle size","Update production SOP","Supplier evaluation","Training for operators","Equipment calibration"),
G254="Dissolution rate high - 30 mins",CHOOSE(RANDBETWEEN(1,6),"Decrease disintegrant","Optimize granulation","Update production SOP","Supplier evaluation","Training for operators","Equipment calibration"),
G254="Dissolution rate high - 40 mins",CHOOSE(RANDBETWEEN(1,6),"Decrease surface area","Optimize compression","Update production SOP","Supplier evaluation","Training for operators","Equipment calibration"))</f>
        <v>Supplier evaluation</v>
      </c>
    </row>
    <row r="255" spans="1:9" x14ac:dyDescent="0.35">
      <c r="A255" s="31">
        <v>200000624</v>
      </c>
      <c r="B255" s="31">
        <v>1010</v>
      </c>
      <c r="C255" s="31">
        <v>4227</v>
      </c>
      <c r="D255" s="29" t="s">
        <v>504</v>
      </c>
      <c r="E255" s="31">
        <v>78.900000000000006</v>
      </c>
      <c r="F255" s="34">
        <f ca="1">LOOKUP(C255,'QALS - Inspection Lot Record'!P:P,'QALS - Inspection Lot Record'!E:E)+RANDBETWEEN(0,1)</f>
        <v>45984</v>
      </c>
      <c r="G255" s="41" t="s">
        <v>486</v>
      </c>
      <c r="H255" s="34">
        <f t="shared" ca="1" si="3"/>
        <v>45984</v>
      </c>
      <c r="I255" s="29" t="str" cm="1">
        <f t="array" aca="1" ref="I255" ca="1">_xlfn.IFS(G255="Potency out of spec",CHOOSE(RANDBETWEEN(1,6),"Additional testing","Improve formulation","Update production SOP","Supplier evaluation","Training for operators","Equipment calibration"),
G255="PH Level out of range",CHOOSE(RANDBETWEEN(1,6),"PH monitoring","Adjust formulation","Update production SOP","Supplier evaluation","Training for operators","Equipment calibration"),
G255="Impurities out of limit",CHOOSE(RANDBETWEEN(1,6),"Improve purification","Raw material control","Update production SOP","Supplier evaluation","Training for operators","Equipment maintenance"),
G255="Process temp out of range",CHOOSE(RANDBETWEEN(1,6),"Temperature control","Update production SOP","Supplier evaluation","Training for operators",
"Equipment calibration","Preventive maintenance"),
G255="Dissolution rate low - 15 mins",CHOOSE(RANDBETWEEN(1,6),"Increase agitation","Reduce particle size","Update production SOP","Supplier evaluation",
"Training for operators","Equipment calibration"),
G255="Dissolution rate low - 30 mins",CHOOSE(RANDBETWEEN(1,6),"Increase disintegrant","Optimize granulation","Update production SOP","Supplier evaluation",
"Training for operators","Equipment calibration"),
G255="Dissolution rate low - 40 mins",CHOOSE(RANDBETWEEN(1,6),"Increase surface area","Optimize compression","Update production SOP","Supplier evaluation",
"Training for operators","Equipment calibration"),
G255="Dissolution rate high - 15 mins",CHOOSE(RANDBETWEEN(1,6),"Decrease agitation","Increase particle size","Update production SOP","Supplier evaluation","Training for operators","Equipment calibration"),
G255="Dissolution rate high - 30 mins",CHOOSE(RANDBETWEEN(1,6),"Decrease disintegrant","Optimize granulation","Update production SOP","Supplier evaluation","Training for operators","Equipment calibration"),
G255="Dissolution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56" spans="1:9" x14ac:dyDescent="0.35">
      <c r="A256" s="31">
        <v>200000625</v>
      </c>
      <c r="B256" s="31">
        <v>1010</v>
      </c>
      <c r="C256" s="31">
        <v>4228</v>
      </c>
      <c r="D256" s="29" t="s">
        <v>429</v>
      </c>
      <c r="E256" s="31">
        <v>2.5</v>
      </c>
      <c r="F256" s="34">
        <f ca="1">LOOKUP(C256,'QALS - Inspection Lot Record'!P:P,'QALS - Inspection Lot Record'!E:E)+RANDBETWEEN(0,1)</f>
        <v>45983</v>
      </c>
      <c r="G256" s="41" t="s">
        <v>474</v>
      </c>
      <c r="H256" s="34">
        <f t="shared" ca="1" si="3"/>
        <v>45983</v>
      </c>
      <c r="I256" s="29" t="str" cm="1">
        <f t="array" aca="1" ref="I256" ca="1">_xlfn.IFS(G256="Potency out of spec",CHOOSE(RANDBETWEEN(1,6),"Additional testing","Improve formulation","Update production SOP","Supplier evaluation","Training for operators","Equipment calibration"),
G256="PH Level out of range",CHOOSE(RANDBETWEEN(1,6),"PH monitoring","Adjust formulation","Update production SOP","Supplier evaluation","Training for operators","Equipment calibration"),
G256="Impurities out of limit",CHOOSE(RANDBETWEEN(1,6),"Improve purification","Raw material control","Update production SOP","Supplier evaluation","Training for operators","Equipment maintenance"),
G256="Process temp out of range",CHOOSE(RANDBETWEEN(1,6),"Temperature control","Update production SOP","Supplier evaluation","Training for operators",
"Equipment calibration","Preventive maintenance"),
G256="Dissolution rate low - 15 mins",CHOOSE(RANDBETWEEN(1,6),"Increase agitation","Reduce particle size","Update production SOP","Supplier evaluation",
"Training for operators","Equipment calibration"),
G256="Dissolution rate low - 30 mins",CHOOSE(RANDBETWEEN(1,6),"Increase disintegrant","Optimize granulation","Update production SOP","Supplier evaluation",
"Training for operators","Equipment calibration"),
G256="Dissolution rate low - 40 mins",CHOOSE(RANDBETWEEN(1,6),"Increase surface area","Optimize compression","Update production SOP","Supplier evaluation",
"Training for operators","Equipment calibration"),
G256="Dissolution rate high - 15 mins",CHOOSE(RANDBETWEEN(1,6),"Decrease agitation","Increase particle size","Update production SOP","Supplier evaluation","Training for operators","Equipment calibration"),
G256="Dissolution rate high - 30 mins",CHOOSE(RANDBETWEEN(1,6),"Decrease disintegrant","Optimize granulation","Update production SOP","Supplier evaluation","Training for operators","Equipment calibration"),
G256="Dissolution rate high - 40 mins",CHOOSE(RANDBETWEEN(1,6),"Decrease surface area","Optimize compression","Update production SOP","Supplier evaluation","Training for operators","Equipment calibration"))</f>
        <v>Supplier evaluation</v>
      </c>
    </row>
    <row r="257" spans="1:9" x14ac:dyDescent="0.35">
      <c r="A257" s="31">
        <v>200000625</v>
      </c>
      <c r="B257" s="31">
        <v>1010</v>
      </c>
      <c r="C257" s="31">
        <v>4228</v>
      </c>
      <c r="D257" s="29" t="s">
        <v>429</v>
      </c>
      <c r="E257" s="31">
        <v>38.1</v>
      </c>
      <c r="F257" s="34">
        <f ca="1">LOOKUP(C257,'QALS - Inspection Lot Record'!P:P,'QALS - Inspection Lot Record'!E:E)+RANDBETWEEN(0,1)</f>
        <v>45983</v>
      </c>
      <c r="G257" s="41" t="s">
        <v>478</v>
      </c>
      <c r="H257" s="34">
        <f t="shared" ca="1" si="3"/>
        <v>45984</v>
      </c>
      <c r="I257" s="29" t="str" cm="1">
        <f t="array" aca="1" ref="I257" ca="1">_xlfn.IFS(G257="Potency out of spec",CHOOSE(RANDBETWEEN(1,6),"Additional testing","Improve formulation","Update production SOP","Supplier evaluation","Training for operators","Equipment calibration"),
G257="PH Level out of range",CHOOSE(RANDBETWEEN(1,6),"PH monitoring","Adjust formulation","Update production SOP","Supplier evaluation","Training for operators","Equipment calibration"),
G257="Impurities out of limit",CHOOSE(RANDBETWEEN(1,6),"Improve purification","Raw material control","Update production SOP","Supplier evaluation","Training for operators","Equipment maintenance"),
G257="Process temp out of range",CHOOSE(RANDBETWEEN(1,6),"Temperature control","Update production SOP","Supplier evaluation","Training for operators",
"Equipment calibration","Preventive maintenance"),
G257="Dissolution rate low - 15 mins",CHOOSE(RANDBETWEEN(1,6),"Increase agitation","Reduce particle size","Update production SOP","Supplier evaluation",
"Training for operators","Equipment calibration"),
G257="Dissolution rate low - 30 mins",CHOOSE(RANDBETWEEN(1,6),"Increase disintegrant","Optimize granulation","Update production SOP","Supplier evaluation",
"Training for operators","Equipment calibration"),
G257="Dissolution rate low - 40 mins",CHOOSE(RANDBETWEEN(1,6),"Increase surface area","Optimize compression","Update production SOP","Supplier evaluation",
"Training for operators","Equipment calibration"),
G257="Dissolution rate high - 15 mins",CHOOSE(RANDBETWEEN(1,6),"Decrease agitation","Increase particle size","Update production SOP","Supplier evaluation","Training for operators","Equipment calibration"),
G257="Dissolution rate high - 30 mins",CHOOSE(RANDBETWEEN(1,6),"Decrease disintegrant","Optimize granulation","Update production SOP","Supplier evaluation","Training for operators","Equipment calibration"),
G257="Dissolution rate high - 40 mins",CHOOSE(RANDBETWEEN(1,6),"Decrease surface area","Optimize compression","Update production SOP","Supplier evaluation","Training for operators","Equipment calibration"))</f>
        <v>Equipment calibration</v>
      </c>
    </row>
    <row r="258" spans="1:9" x14ac:dyDescent="0.35">
      <c r="A258" s="31">
        <v>200000625</v>
      </c>
      <c r="B258" s="31">
        <v>1010</v>
      </c>
      <c r="C258" s="31">
        <v>4228</v>
      </c>
      <c r="D258" s="29" t="s">
        <v>429</v>
      </c>
      <c r="E258" s="31">
        <v>68.5</v>
      </c>
      <c r="F258" s="34">
        <f ca="1">LOOKUP(C258,'QALS - Inspection Lot Record'!P:P,'QALS - Inspection Lot Record'!E:E)+RANDBETWEEN(0,1)</f>
        <v>45983</v>
      </c>
      <c r="G258" s="41" t="s">
        <v>480</v>
      </c>
      <c r="H258" s="34">
        <f t="shared" ref="H258:H321" ca="1" si="4">IF(TODAY()&gt;=F258+RANDBETWEEN(0,2), F258+RANDBETWEEN(0,2),"")</f>
        <v>45984</v>
      </c>
      <c r="I258" s="29" t="str" cm="1">
        <f t="array" aca="1" ref="I258" ca="1">_xlfn.IFS(G258="Potency out of spec",CHOOSE(RANDBETWEEN(1,6),"Additional testing","Improve formulation","Update production SOP","Supplier evaluation","Training for operators","Equipment calibration"),
G258="PH Level out of range",CHOOSE(RANDBETWEEN(1,6),"PH monitoring","Adjust formulation","Update production SOP","Supplier evaluation","Training for operators","Equipment calibration"),
G258="Impurities out of limit",CHOOSE(RANDBETWEEN(1,6),"Improve purification","Raw material control","Update production SOP","Supplier evaluation","Training for operators","Equipment maintenance"),
G258="Process temp out of range",CHOOSE(RANDBETWEEN(1,6),"Temperature control","Update production SOP","Supplier evaluation","Training for operators",
"Equipment calibration","Preventive maintenance"),
G258="Dissolution rate low - 15 mins",CHOOSE(RANDBETWEEN(1,6),"Increase agitation","Reduce particle size","Update production SOP","Supplier evaluation",
"Training for operators","Equipment calibration"),
G258="Dissolution rate low - 30 mins",CHOOSE(RANDBETWEEN(1,6),"Increase disintegrant","Optimize granulation","Update production SOP","Supplier evaluation",
"Training for operators","Equipment calibration"),
G258="Dissolution rate low - 40 mins",CHOOSE(RANDBETWEEN(1,6),"Increase surface area","Optimize compression","Update production SOP","Supplier evaluation",
"Training for operators","Equipment calibration"),
G258="Dissolution rate high - 15 mins",CHOOSE(RANDBETWEEN(1,6),"Decrease agitation","Increase particle size","Update production SOP","Supplier evaluation","Training for operators","Equipment calibration"),
G258="Dissolution rate high - 30 mins",CHOOSE(RANDBETWEEN(1,6),"Decrease disintegrant","Optimize granulation","Update production SOP","Supplier evaluation","Training for operators","Equipment calibration"),
G258="Dissolution rate high - 40 mins",CHOOSE(RANDBETWEEN(1,6),"Decrease surface area","Optimize compression","Update production SOP","Supplier evaluation","Training for operators","Equipment calibration"))</f>
        <v>Equipment calibration</v>
      </c>
    </row>
    <row r="259" spans="1:9" x14ac:dyDescent="0.35">
      <c r="A259" s="31">
        <v>200000626</v>
      </c>
      <c r="B259" s="31">
        <v>1010</v>
      </c>
      <c r="C259" s="31">
        <v>4231</v>
      </c>
      <c r="D259" s="29" t="s">
        <v>431</v>
      </c>
      <c r="E259" s="31">
        <v>78.8</v>
      </c>
      <c r="F259" s="34">
        <f ca="1">LOOKUP(C259,'QALS - Inspection Lot Record'!P:P,'QALS - Inspection Lot Record'!E:E)+RANDBETWEEN(0,1)</f>
        <v>45986</v>
      </c>
      <c r="G259" s="41" t="s">
        <v>486</v>
      </c>
      <c r="H259" s="34">
        <f t="shared" ca="1" si="4"/>
        <v>45987</v>
      </c>
      <c r="I259" s="29" t="str" cm="1">
        <f t="array" aca="1" ref="I259" ca="1">_xlfn.IFS(G259="Potency out of spec",CHOOSE(RANDBETWEEN(1,6),"Additional testing","Improve formulation","Update production SOP","Supplier evaluation","Training for operators","Equipment calibration"),
G259="PH Level out of range",CHOOSE(RANDBETWEEN(1,6),"PH monitoring","Adjust formulation","Update production SOP","Supplier evaluation","Training for operators","Equipment calibration"),
G259="Impurities out of limit",CHOOSE(RANDBETWEEN(1,6),"Improve purification","Raw material control","Update production SOP","Supplier evaluation","Training for operators","Equipment maintenance"),
G259="Process temp out of range",CHOOSE(RANDBETWEEN(1,6),"Temperature control","Update production SOP","Supplier evaluation","Training for operators",
"Equipment calibration","Preventive maintenance"),
G259="Dissolution rate low - 15 mins",CHOOSE(RANDBETWEEN(1,6),"Increase agitation","Reduce particle size","Update production SOP","Supplier evaluation",
"Training for operators","Equipment calibration"),
G259="Dissolution rate low - 30 mins",CHOOSE(RANDBETWEEN(1,6),"Increase disintegrant","Optimize granulation","Update production SOP","Supplier evaluation",
"Training for operators","Equipment calibration"),
G259="Dissolution rate low - 40 mins",CHOOSE(RANDBETWEEN(1,6),"Increase surface area","Optimize compression","Update production SOP","Supplier evaluation",
"Training for operators","Equipment calibration"),
G259="Dissolution rate high - 15 mins",CHOOSE(RANDBETWEEN(1,6),"Decrease agitation","Increase particle size","Update production SOP","Supplier evaluation","Training for operators","Equipment calibration"),
G259="Dissolution rate high - 30 mins",CHOOSE(RANDBETWEEN(1,6),"Decrease disintegrant","Optimize granulation","Update production SOP","Supplier evaluation","Training for operators","Equipment calibration"),
G259="Dissolution rate high - 40 mins",CHOOSE(RANDBETWEEN(1,6),"Decrease surface area","Optimize compression","Update production SOP","Supplier evaluation","Training for operators","Equipment calibration"))</f>
        <v>Update production SOP</v>
      </c>
    </row>
    <row r="260" spans="1:9" x14ac:dyDescent="0.35">
      <c r="A260" s="31">
        <v>200000627</v>
      </c>
      <c r="B260" s="31">
        <v>1010</v>
      </c>
      <c r="C260" s="31">
        <v>4232</v>
      </c>
      <c r="D260" s="29" t="s">
        <v>433</v>
      </c>
      <c r="E260" s="31">
        <v>93.7</v>
      </c>
      <c r="F260" s="34">
        <f ca="1">LOOKUP(C260,'QALS - Inspection Lot Record'!P:P,'QALS - Inspection Lot Record'!E:E)+RANDBETWEEN(0,1)</f>
        <v>45985</v>
      </c>
      <c r="G260" s="41" t="s">
        <v>472</v>
      </c>
      <c r="H260" s="34">
        <f t="shared" ca="1" si="4"/>
        <v>45985</v>
      </c>
      <c r="I260" s="29" t="str" cm="1">
        <f t="array" aca="1" ref="I260" ca="1">_xlfn.IFS(G260="Potency out of spec",CHOOSE(RANDBETWEEN(1,6),"Additional testing","Improve formulation","Update production SOP","Supplier evaluation","Training for operators","Equipment calibration"),
G260="PH Level out of range",CHOOSE(RANDBETWEEN(1,6),"PH monitoring","Adjust formulation","Update production SOP","Supplier evaluation","Training for operators","Equipment calibration"),
G260="Impurities out of limit",CHOOSE(RANDBETWEEN(1,6),"Improve purification","Raw material control","Update production SOP","Supplier evaluation","Training for operators","Equipment maintenance"),
G260="Process temp out of range",CHOOSE(RANDBETWEEN(1,6),"Temperature control","Update production SOP","Supplier evaluation","Training for operators",
"Equipment calibration","Preventive maintenance"),
G260="Dissolution rate low - 15 mins",CHOOSE(RANDBETWEEN(1,6),"Increase agitation","Reduce particle size","Update production SOP","Supplier evaluation",
"Training for operators","Equipment calibration"),
G260="Dissolution rate low - 30 mins",CHOOSE(RANDBETWEEN(1,6),"Increase disintegrant","Optimize granulation","Update production SOP","Supplier evaluation",
"Training for operators","Equipment calibration"),
G260="Dissolution rate low - 40 mins",CHOOSE(RANDBETWEEN(1,6),"Increase surface area","Optimize compression","Update production SOP","Supplier evaluation",
"Training for operators","Equipment calibration"),
G260="Dissolution rate high - 15 mins",CHOOSE(RANDBETWEEN(1,6),"Decrease agitation","Increase particle size","Update production SOP","Supplier evaluation","Training for operators","Equipment calibration"),
G260="Dissolution rate high - 30 mins",CHOOSE(RANDBETWEEN(1,6),"Decrease disintegrant","Optimize granulation","Update production SOP","Supplier evaluation","Training for operators","Equipment calibration"),
G260="Dissolution rate high - 40 mins",CHOOSE(RANDBETWEEN(1,6),"Decrease surface area","Optimize compression","Update production SOP","Supplier evaluation","Training for operators","Equipment calibration"))</f>
        <v>Additional testing</v>
      </c>
    </row>
    <row r="261" spans="1:9" x14ac:dyDescent="0.35">
      <c r="A261" s="31">
        <v>200000627</v>
      </c>
      <c r="B261" s="31">
        <v>1010</v>
      </c>
      <c r="C261" s="31">
        <v>4232</v>
      </c>
      <c r="D261" s="29" t="s">
        <v>433</v>
      </c>
      <c r="E261" s="31">
        <v>68.400000000000006</v>
      </c>
      <c r="F261" s="34">
        <f ca="1">LOOKUP(C261,'QALS - Inspection Lot Record'!P:P,'QALS - Inspection Lot Record'!E:E)+RANDBETWEEN(0,1)</f>
        <v>45986</v>
      </c>
      <c r="G261" s="41" t="s">
        <v>480</v>
      </c>
      <c r="H261" s="34">
        <f t="shared" ca="1" si="4"/>
        <v>45986</v>
      </c>
      <c r="I261" s="29" t="str" cm="1">
        <f t="array" aca="1" ref="I261" ca="1">_xlfn.IFS(G261="Potency out of spec",CHOOSE(RANDBETWEEN(1,6),"Additional testing","Improve formulation","Update production SOP","Supplier evaluation","Training for operators","Equipment calibration"),
G261="PH Level out of range",CHOOSE(RANDBETWEEN(1,6),"PH monitoring","Adjust formulation","Update production SOP","Supplier evaluation","Training for operators","Equipment calibration"),
G261="Impurities out of limit",CHOOSE(RANDBETWEEN(1,6),"Improve purification","Raw material control","Update production SOP","Supplier evaluation","Training for operators","Equipment maintenance"),
G261="Process temp out of range",CHOOSE(RANDBETWEEN(1,6),"Temperature control","Update production SOP","Supplier evaluation","Training for operators",
"Equipment calibration","Preventive maintenance"),
G261="Dissolution rate low - 15 mins",CHOOSE(RANDBETWEEN(1,6),"Increase agitation","Reduce particle size","Update production SOP","Supplier evaluation",
"Training for operators","Equipment calibration"),
G261="Dissolution rate low - 30 mins",CHOOSE(RANDBETWEEN(1,6),"Increase disintegrant","Optimize granulation","Update production SOP","Supplier evaluation",
"Training for operators","Equipment calibration"),
G261="Dissolution rate low - 40 mins",CHOOSE(RANDBETWEEN(1,6),"Increase surface area","Optimize compression","Update production SOP","Supplier evaluation",
"Training for operators","Equipment calibration"),
G261="Dissolution rate high - 15 mins",CHOOSE(RANDBETWEEN(1,6),"Decrease agitation","Increase particle size","Update production SOP","Supplier evaluation","Training for operators","Equipment calibration"),
G261="Dissolution rate high - 30 mins",CHOOSE(RANDBETWEEN(1,6),"Decrease disintegrant","Optimize granulation","Update production SOP","Supplier evaluation","Training for operators","Equipment calibration"),
G261="Dissolution rate high - 40 mins",CHOOSE(RANDBETWEEN(1,6),"Decrease surface area","Optimize compression","Update production SOP","Supplier evaluation","Training for operators","Equipment calibration"))</f>
        <v>Supplier evaluation</v>
      </c>
    </row>
    <row r="262" spans="1:9" x14ac:dyDescent="0.35">
      <c r="A262" s="31">
        <v>200000628</v>
      </c>
      <c r="B262" s="31">
        <v>1010</v>
      </c>
      <c r="C262" s="31">
        <v>4235</v>
      </c>
      <c r="D262" s="29" t="s">
        <v>429</v>
      </c>
      <c r="E262" s="31">
        <v>94.3</v>
      </c>
      <c r="F262" s="34">
        <f ca="1">LOOKUP(C262,'QALS - Inspection Lot Record'!P:P,'QALS - Inspection Lot Record'!E:E)+RANDBETWEEN(0,1)</f>
        <v>45988</v>
      </c>
      <c r="G262" s="41" t="s">
        <v>472</v>
      </c>
      <c r="H262" s="34">
        <f t="shared" ca="1" si="4"/>
        <v>45989</v>
      </c>
      <c r="I262" s="29" t="str" cm="1">
        <f t="array" aca="1" ref="I262" ca="1">_xlfn.IFS(G262="Potency out of spec",CHOOSE(RANDBETWEEN(1,6),"Additional testing","Improve formulation","Update production SOP","Supplier evaluation","Training for operators","Equipment calibration"),
G262="PH Level out of range",CHOOSE(RANDBETWEEN(1,6),"PH monitoring","Adjust formulation","Update production SOP","Supplier evaluation","Training for operators","Equipment calibration"),
G262="Impurities out of limit",CHOOSE(RANDBETWEEN(1,6),"Improve purification","Raw material control","Update production SOP","Supplier evaluation","Training for operators","Equipment maintenance"),
G262="Process temp out of range",CHOOSE(RANDBETWEEN(1,6),"Temperature control","Update production SOP","Supplier evaluation","Training for operators",
"Equipment calibration","Preventive maintenance"),
G262="Dissolution rate low - 15 mins",CHOOSE(RANDBETWEEN(1,6),"Increase agitation","Reduce particle size","Update production SOP","Supplier evaluation",
"Training for operators","Equipment calibration"),
G262="Dissolution rate low - 30 mins",CHOOSE(RANDBETWEEN(1,6),"Increase disintegrant","Optimize granulation","Update production SOP","Supplier evaluation",
"Training for operators","Equipment calibration"),
G262="Dissolution rate low - 40 mins",CHOOSE(RANDBETWEEN(1,6),"Increase surface area","Optimize compression","Update production SOP","Supplier evaluation",
"Training for operators","Equipment calibration"),
G262="Dissolution rate high - 15 mins",CHOOSE(RANDBETWEEN(1,6),"Decrease agitation","Increase particle size","Update production SOP","Supplier evaluation","Training for operators","Equipment calibration"),
G262="Dissolution rate high - 30 mins",CHOOSE(RANDBETWEEN(1,6),"Decrease disintegrant","Optimize granulation","Update production SOP","Supplier evaluation","Training for operators","Equipment calibration"),
G262="Dissolution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63" spans="1:9" x14ac:dyDescent="0.35">
      <c r="A263" s="31">
        <v>200000628</v>
      </c>
      <c r="B263" s="31">
        <v>1010</v>
      </c>
      <c r="C263" s="31">
        <v>4235</v>
      </c>
      <c r="D263" s="29" t="s">
        <v>429</v>
      </c>
      <c r="E263" s="31">
        <v>1.2</v>
      </c>
      <c r="F263" s="34">
        <f ca="1">LOOKUP(C263,'QALS - Inspection Lot Record'!P:P,'QALS - Inspection Lot Record'!E:E)+RANDBETWEEN(0,1)</f>
        <v>45988</v>
      </c>
      <c r="G263" s="41" t="s">
        <v>476</v>
      </c>
      <c r="H263" s="34">
        <f t="shared" ca="1" si="4"/>
        <v>45988</v>
      </c>
      <c r="I263" s="29" t="str" cm="1">
        <f t="array" aca="1" ref="I263" ca="1">_xlfn.IFS(G263="Potency out of spec",CHOOSE(RANDBETWEEN(1,6),"Additional testing","Improve formulation","Update production SOP","Supplier evaluation","Training for operators","Equipment calibration"),
G263="PH Level out of range",CHOOSE(RANDBETWEEN(1,6),"PH monitoring","Adjust formulation","Update production SOP","Supplier evaluation","Training for operators","Equipment calibration"),
G263="Impurities out of limit",CHOOSE(RANDBETWEEN(1,6),"Improve purification","Raw material control","Update production SOP","Supplier evaluation","Training for operators","Equipment maintenance"),
G263="Process temp out of range",CHOOSE(RANDBETWEEN(1,6),"Temperature control","Update production SOP","Supplier evaluation","Training for operators",
"Equipment calibration","Preventive maintenance"),
G263="Dissolution rate low - 15 mins",CHOOSE(RANDBETWEEN(1,6),"Increase agitation","Reduce particle size","Update production SOP","Supplier evaluation",
"Training for operators","Equipment calibration"),
G263="Dissolution rate low - 30 mins",CHOOSE(RANDBETWEEN(1,6),"Increase disintegrant","Optimize granulation","Update production SOP","Supplier evaluation",
"Training for operators","Equipment calibration"),
G263="Dissolution rate low - 40 mins",CHOOSE(RANDBETWEEN(1,6),"Increase surface area","Optimize compression","Update production SOP","Supplier evaluation",
"Training for operators","Equipment calibration"),
G263="Dissolution rate high - 15 mins",CHOOSE(RANDBETWEEN(1,6),"Decrease agitation","Increase particle size","Update production SOP","Supplier evaluation","Training for operators","Equipment calibration"),
G263="Dissolution rate high - 30 mins",CHOOSE(RANDBETWEEN(1,6),"Decrease disintegrant","Optimize granulation","Update production SOP","Supplier evaluation","Training for operators","Equipment calibration"),
G263="Dissolution rate high - 40 mins",CHOOSE(RANDBETWEEN(1,6),"Decrease surface area","Optimize compression","Update production SOP","Supplier evaluation","Training for operators","Equipment calibration"))</f>
        <v>Raw material control</v>
      </c>
    </row>
    <row r="264" spans="1:9" x14ac:dyDescent="0.35">
      <c r="A264" s="31">
        <v>200000628</v>
      </c>
      <c r="B264" s="31">
        <v>1010</v>
      </c>
      <c r="C264" s="31">
        <v>4235</v>
      </c>
      <c r="D264" s="29" t="s">
        <v>429</v>
      </c>
      <c r="E264" s="31">
        <v>38.9</v>
      </c>
      <c r="F264" s="34">
        <f ca="1">LOOKUP(C264,'QALS - Inspection Lot Record'!P:P,'QALS - Inspection Lot Record'!E:E)+RANDBETWEEN(0,1)</f>
        <v>45988</v>
      </c>
      <c r="G264" s="41" t="s">
        <v>478</v>
      </c>
      <c r="H264" s="34">
        <f t="shared" ca="1" si="4"/>
        <v>45988</v>
      </c>
      <c r="I264" s="29" t="str" cm="1">
        <f t="array" aca="1" ref="I264" ca="1">_xlfn.IFS(G264="Potency out of spec",CHOOSE(RANDBETWEEN(1,6),"Additional testing","Improve formulation","Update production SOP","Supplier evaluation","Training for operators","Equipment calibration"),
G264="PH Level out of range",CHOOSE(RANDBETWEEN(1,6),"PH monitoring","Adjust formulation","Update production SOP","Supplier evaluation","Training for operators","Equipment calibration"),
G264="Impurities out of limit",CHOOSE(RANDBETWEEN(1,6),"Improve purification","Raw material control","Update production SOP","Supplier evaluation","Training for operators","Equipment maintenance"),
G264="Process temp out of range",CHOOSE(RANDBETWEEN(1,6),"Temperature control","Update production SOP","Supplier evaluation","Training for operators",
"Equipment calibration","Preventive maintenance"),
G264="Dissolution rate low - 15 mins",CHOOSE(RANDBETWEEN(1,6),"Increase agitation","Reduce particle size","Update production SOP","Supplier evaluation",
"Training for operators","Equipment calibration"),
G264="Dissolution rate low - 30 mins",CHOOSE(RANDBETWEEN(1,6),"Increase disintegrant","Optimize granulation","Update production SOP","Supplier evaluation",
"Training for operators","Equipment calibration"),
G264="Dissolution rate low - 40 mins",CHOOSE(RANDBETWEEN(1,6),"Increase surface area","Optimize compression","Update production SOP","Supplier evaluation",
"Training for operators","Equipment calibration"),
G264="Dissolution rate high - 15 mins",CHOOSE(RANDBETWEEN(1,6),"Decrease agitation","Increase particle size","Update production SOP","Supplier evaluation","Training for operators","Equipment calibration"),
G264="Dissolution rate high - 30 mins",CHOOSE(RANDBETWEEN(1,6),"Decrease disintegrant","Optimize granulation","Update production SOP","Supplier evaluation","Training for operators","Equipment calibration"),
G264="Dissolution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65" spans="1:9" x14ac:dyDescent="0.35">
      <c r="A265" s="31">
        <v>200000629</v>
      </c>
      <c r="B265" s="31">
        <v>1010</v>
      </c>
      <c r="C265" s="31">
        <v>4236</v>
      </c>
      <c r="D265" s="29" t="s">
        <v>503</v>
      </c>
      <c r="E265" s="31">
        <v>93.2</v>
      </c>
      <c r="F265" s="34">
        <f ca="1">LOOKUP(C265,'QALS - Inspection Lot Record'!P:P,'QALS - Inspection Lot Record'!E:E)+RANDBETWEEN(0,1)</f>
        <v>45988</v>
      </c>
      <c r="G265" s="41" t="s">
        <v>472</v>
      </c>
      <c r="H265" s="34">
        <f t="shared" ca="1" si="4"/>
        <v>45989</v>
      </c>
      <c r="I265" s="29" t="str" cm="1">
        <f t="array" aca="1" ref="I265" ca="1">_xlfn.IFS(G265="Potency out of spec",CHOOSE(RANDBETWEEN(1,6),"Additional testing","Improve formulation","Update production SOP","Supplier evaluation","Training for operators","Equipment calibration"),
G265="PH Level out of range",CHOOSE(RANDBETWEEN(1,6),"PH monitoring","Adjust formulation","Update production SOP","Supplier evaluation","Training for operators","Equipment calibration"),
G265="Impurities out of limit",CHOOSE(RANDBETWEEN(1,6),"Improve purification","Raw material control","Update production SOP","Supplier evaluation","Training for operators","Equipment maintenance"),
G265="Process temp out of range",CHOOSE(RANDBETWEEN(1,6),"Temperature control","Update production SOP","Supplier evaluation","Training for operators",
"Equipment calibration","Preventive maintenance"),
G265="Dissolution rate low - 15 mins",CHOOSE(RANDBETWEEN(1,6),"Increase agitation","Reduce particle size","Update production SOP","Supplier evaluation",
"Training for operators","Equipment calibration"),
G265="Dissolution rate low - 30 mins",CHOOSE(RANDBETWEEN(1,6),"Increase disintegrant","Optimize granulation","Update production SOP","Supplier evaluation",
"Training for operators","Equipment calibration"),
G265="Dissolution rate low - 40 mins",CHOOSE(RANDBETWEEN(1,6),"Increase surface area","Optimize compression","Update production SOP","Supplier evaluation",
"Training for operators","Equipment calibration"),
G265="Dissolution rate high - 15 mins",CHOOSE(RANDBETWEEN(1,6),"Decrease agitation","Increase particle size","Update production SOP","Supplier evaluation","Training for operators","Equipment calibration"),
G265="Dissolution rate high - 30 mins",CHOOSE(RANDBETWEEN(1,6),"Decrease disintegrant","Optimize granulation","Update production SOP","Supplier evaluation","Training for operators","Equipment calibration"),
G265="Dissolution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66" spans="1:9" x14ac:dyDescent="0.35">
      <c r="A266" s="31">
        <v>200000629</v>
      </c>
      <c r="B266" s="31">
        <v>1010</v>
      </c>
      <c r="C266" s="31">
        <v>4236</v>
      </c>
      <c r="D266" s="29" t="s">
        <v>503</v>
      </c>
      <c r="E266" s="31">
        <v>1.6</v>
      </c>
      <c r="F266" s="34">
        <f ca="1">LOOKUP(C266,'QALS - Inspection Lot Record'!P:P,'QALS - Inspection Lot Record'!E:E)+RANDBETWEEN(0,1)</f>
        <v>45987</v>
      </c>
      <c r="G266" s="41" t="s">
        <v>474</v>
      </c>
      <c r="H266" s="34">
        <f t="shared" ca="1" si="4"/>
        <v>45989</v>
      </c>
      <c r="I266" s="29" t="str" cm="1">
        <f t="array" aca="1" ref="I266" ca="1">_xlfn.IFS(G266="Potency out of spec",CHOOSE(RANDBETWEEN(1,6),"Additional testing","Improve formulation","Update production SOP","Supplier evaluation","Training for operators","Equipment calibration"),
G266="PH Level out of range",CHOOSE(RANDBETWEEN(1,6),"PH monitoring","Adjust formulation","Update production SOP","Supplier evaluation","Training for operators","Equipment calibration"),
G266="Impurities out of limit",CHOOSE(RANDBETWEEN(1,6),"Improve purification","Raw material control","Update production SOP","Supplier evaluation","Training for operators","Equipment maintenance"),
G266="Process temp out of range",CHOOSE(RANDBETWEEN(1,6),"Temperature control","Update production SOP","Supplier evaluation","Training for operators",
"Equipment calibration","Preventive maintenance"),
G266="Dissolution rate low - 15 mins",CHOOSE(RANDBETWEEN(1,6),"Increase agitation","Reduce particle size","Update production SOP","Supplier evaluation",
"Training for operators","Equipment calibration"),
G266="Dissolution rate low - 30 mins",CHOOSE(RANDBETWEEN(1,6),"Increase disintegrant","Optimize granulation","Update production SOP","Supplier evaluation",
"Training for operators","Equipment calibration"),
G266="Dissolution rate low - 40 mins",CHOOSE(RANDBETWEEN(1,6),"Increase surface area","Optimize compression","Update production SOP","Supplier evaluation",
"Training for operators","Equipment calibration"),
G266="Dissolution rate high - 15 mins",CHOOSE(RANDBETWEEN(1,6),"Decrease agitation","Increase particle size","Update production SOP","Supplier evaluation","Training for operators","Equipment calibration"),
G266="Dissolution rate high - 30 mins",CHOOSE(RANDBETWEEN(1,6),"Decrease disintegrant","Optimize granulation","Update production SOP","Supplier evaluation","Training for operators","Equipment calibration"),
G266="Dissolution rate high - 40 mins",CHOOSE(RANDBETWEEN(1,6),"Decrease surface area","Optimize compression","Update production SOP","Supplier evaluation","Training for operators","Equipment calibration"))</f>
        <v>Supplier evaluation</v>
      </c>
    </row>
    <row r="267" spans="1:9" x14ac:dyDescent="0.35">
      <c r="A267" s="31">
        <v>200000629</v>
      </c>
      <c r="B267" s="31">
        <v>1010</v>
      </c>
      <c r="C267" s="31">
        <v>4236</v>
      </c>
      <c r="D267" s="29" t="s">
        <v>503</v>
      </c>
      <c r="E267" s="31">
        <v>68.3</v>
      </c>
      <c r="F267" s="34">
        <f ca="1">LOOKUP(C267,'QALS - Inspection Lot Record'!P:P,'QALS - Inspection Lot Record'!E:E)+RANDBETWEEN(0,1)</f>
        <v>45987</v>
      </c>
      <c r="G267" s="41" t="s">
        <v>480</v>
      </c>
      <c r="H267" s="34">
        <f t="shared" ca="1" si="4"/>
        <v>45989</v>
      </c>
      <c r="I267" s="29" t="str" cm="1">
        <f t="array" aca="1" ref="I267" ca="1">_xlfn.IFS(G267="Potency out of spec",CHOOSE(RANDBETWEEN(1,6),"Additional testing","Improve formulation","Update production SOP","Supplier evaluation","Training for operators","Equipment calibration"),
G267="PH Level out of range",CHOOSE(RANDBETWEEN(1,6),"PH monitoring","Adjust formulation","Update production SOP","Supplier evaluation","Training for operators","Equipment calibration"),
G267="Impurities out of limit",CHOOSE(RANDBETWEEN(1,6),"Improve purification","Raw material control","Update production SOP","Supplier evaluation","Training for operators","Equipment maintenance"),
G267="Process temp out of range",CHOOSE(RANDBETWEEN(1,6),"Temperature control","Update production SOP","Supplier evaluation","Training for operators",
"Equipment calibration","Preventive maintenance"),
G267="Dissolution rate low - 15 mins",CHOOSE(RANDBETWEEN(1,6),"Increase agitation","Reduce particle size","Update production SOP","Supplier evaluation",
"Training for operators","Equipment calibration"),
G267="Dissolution rate low - 30 mins",CHOOSE(RANDBETWEEN(1,6),"Increase disintegrant","Optimize granulation","Update production SOP","Supplier evaluation",
"Training for operators","Equipment calibration"),
G267="Dissolution rate low - 40 mins",CHOOSE(RANDBETWEEN(1,6),"Increase surface area","Optimize compression","Update production SOP","Supplier evaluation",
"Training for operators","Equipment calibration"),
G267="Dissolution rate high - 15 mins",CHOOSE(RANDBETWEEN(1,6),"Decrease agitation","Increase particle size","Update production SOP","Supplier evaluation","Training for operators","Equipment calibration"),
G267="Dissolution rate high - 30 mins",CHOOSE(RANDBETWEEN(1,6),"Decrease disintegrant","Optimize granulation","Update production SOP","Supplier evaluation","Training for operators","Equipment calibration"),
G267="Dissolution rate high - 40 mins",CHOOSE(RANDBETWEEN(1,6),"Decrease surface area","Optimize compression","Update production SOP","Supplier evaluation","Training for operators","Equipment calibration"))</f>
        <v>Supplier evaluation</v>
      </c>
    </row>
    <row r="268" spans="1:9" x14ac:dyDescent="0.35">
      <c r="A268" s="31">
        <v>200000630</v>
      </c>
      <c r="B268" s="31">
        <v>1010</v>
      </c>
      <c r="C268" s="31">
        <v>4239</v>
      </c>
      <c r="D268" s="29" t="s">
        <v>433</v>
      </c>
      <c r="E268" s="31">
        <v>1.6</v>
      </c>
      <c r="F268" s="34">
        <f ca="1">LOOKUP(C268,'QALS - Inspection Lot Record'!P:P,'QALS - Inspection Lot Record'!E:E)+RANDBETWEEN(0,1)</f>
        <v>45989</v>
      </c>
      <c r="G268" s="41" t="s">
        <v>474</v>
      </c>
      <c r="H268" s="34">
        <f t="shared" ca="1" si="4"/>
        <v>45990</v>
      </c>
      <c r="I268" s="29" t="str" cm="1">
        <f t="array" aca="1" ref="I268" ca="1">_xlfn.IFS(G268="Potency out of spec",CHOOSE(RANDBETWEEN(1,6),"Additional testing","Improve formulation","Update production SOP","Supplier evaluation","Training for operators","Equipment calibration"),
G268="PH Level out of range",CHOOSE(RANDBETWEEN(1,6),"PH monitoring","Adjust formulation","Update production SOP","Supplier evaluation","Training for operators","Equipment calibration"),
G268="Impurities out of limit",CHOOSE(RANDBETWEEN(1,6),"Improve purification","Raw material control","Update production SOP","Supplier evaluation","Training for operators","Equipment maintenance"),
G268="Process temp out of range",CHOOSE(RANDBETWEEN(1,6),"Temperature control","Update production SOP","Supplier evaluation","Training for operators",
"Equipment calibration","Preventive maintenance"),
G268="Dissolution rate low - 15 mins",CHOOSE(RANDBETWEEN(1,6),"Increase agitation","Reduce particle size","Update production SOP","Supplier evaluation",
"Training for operators","Equipment calibration"),
G268="Dissolution rate low - 30 mins",CHOOSE(RANDBETWEEN(1,6),"Increase disintegrant","Optimize granulation","Update production SOP","Supplier evaluation",
"Training for operators","Equipment calibration"),
G268="Dissolution rate low - 40 mins",CHOOSE(RANDBETWEEN(1,6),"Increase surface area","Optimize compression","Update production SOP","Supplier evaluation",
"Training for operators","Equipment calibration"),
G268="Dissolution rate high - 15 mins",CHOOSE(RANDBETWEEN(1,6),"Decrease agitation","Increase particle size","Update production SOP","Supplier evaluation","Training for operators","Equipment calibration"),
G268="Dissolution rate high - 30 mins",CHOOSE(RANDBETWEEN(1,6),"Decrease disintegrant","Optimize granulation","Update production SOP","Supplier evaluation","Training for operators","Equipment calibration"),
G268="Dissolution rate high - 40 mins",CHOOSE(RANDBETWEEN(1,6),"Decrease surface area","Optimize compression","Update production SOP","Supplier evaluation","Training for operators","Equipment calibration"))</f>
        <v>PH monitoring</v>
      </c>
    </row>
    <row r="269" spans="1:9" x14ac:dyDescent="0.35">
      <c r="A269" s="31">
        <v>200000631</v>
      </c>
      <c r="B269" s="31">
        <v>1010</v>
      </c>
      <c r="C269" s="31">
        <v>4240</v>
      </c>
      <c r="D269" s="29" t="s">
        <v>504</v>
      </c>
      <c r="E269" s="31">
        <v>21.9</v>
      </c>
      <c r="F269" s="34">
        <f ca="1">LOOKUP(C269,'QALS - Inspection Lot Record'!P:P,'QALS - Inspection Lot Record'!E:E)+RANDBETWEEN(0,1)</f>
        <v>45989</v>
      </c>
      <c r="G269" s="41" t="s">
        <v>483</v>
      </c>
      <c r="H269" s="34">
        <f t="shared" ca="1" si="4"/>
        <v>45989</v>
      </c>
      <c r="I269" s="29" t="str" cm="1">
        <f t="array" aca="1" ref="I269" ca="1">_xlfn.IFS(G269="Potency out of spec",CHOOSE(RANDBETWEEN(1,6),"Additional testing","Improve formulation","Update production SOP","Supplier evaluation","Training for operators","Equipment calibration"),
G269="PH Level out of range",CHOOSE(RANDBETWEEN(1,6),"PH monitoring","Adjust formulation","Update production SOP","Supplier evaluation","Training for operators","Equipment calibration"),
G269="Impurities out of limit",CHOOSE(RANDBETWEEN(1,6),"Improve purification","Raw material control","Update production SOP","Supplier evaluation","Training for operators","Equipment maintenance"),
G269="Process temp out of range",CHOOSE(RANDBETWEEN(1,6),"Temperature control","Update production SOP","Supplier evaluation","Training for operators",
"Equipment calibration","Preventive maintenance"),
G269="Dissolution rate low - 15 mins",CHOOSE(RANDBETWEEN(1,6),"Increase agitation","Reduce particle size","Update production SOP","Supplier evaluation",
"Training for operators","Equipment calibration"),
G269="Dissolution rate low - 30 mins",CHOOSE(RANDBETWEEN(1,6),"Increase disintegrant","Optimize granulation","Update production SOP","Supplier evaluation",
"Training for operators","Equipment calibration"),
G269="Dissolution rate low - 40 mins",CHOOSE(RANDBETWEEN(1,6),"Increase surface area","Optimize compression","Update production SOP","Supplier evaluation",
"Training for operators","Equipment calibration"),
G269="Dissolution rate high - 15 mins",CHOOSE(RANDBETWEEN(1,6),"Decrease agitation","Increase particle size","Update production SOP","Supplier evaluation","Training for operators","Equipment calibration"),
G269="Dissolution rate high - 30 mins",CHOOSE(RANDBETWEEN(1,6),"Decrease disintegrant","Optimize granulation","Update production SOP","Supplier evaluation","Training for operators","Equipment calibration"),
G269="Dissolution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70" spans="1:9" x14ac:dyDescent="0.35">
      <c r="A270" s="31">
        <v>200000632</v>
      </c>
      <c r="B270" s="31">
        <v>1010</v>
      </c>
      <c r="C270" s="31">
        <v>4241</v>
      </c>
      <c r="D270" s="29" t="s">
        <v>503</v>
      </c>
      <c r="E270" s="31">
        <v>38.5</v>
      </c>
      <c r="F270" s="34">
        <f ca="1">LOOKUP(C270,'QALS - Inspection Lot Record'!P:P,'QALS - Inspection Lot Record'!E:E)+RANDBETWEEN(0,1)</f>
        <v>45990</v>
      </c>
      <c r="G270" s="41" t="s">
        <v>478</v>
      </c>
      <c r="H270" s="34">
        <f t="shared" ca="1" si="4"/>
        <v>45992</v>
      </c>
      <c r="I270" s="29" t="str" cm="1">
        <f t="array" aca="1" ref="I270" ca="1">_xlfn.IFS(G270="Potency out of spec",CHOOSE(RANDBETWEEN(1,6),"Additional testing","Improve formulation","Update production SOP","Supplier evaluation","Training for operators","Equipment calibration"),
G270="PH Level out of range",CHOOSE(RANDBETWEEN(1,6),"PH monitoring","Adjust formulation","Update production SOP","Supplier evaluation","Training for operators","Equipment calibration"),
G270="Impurities out of limit",CHOOSE(RANDBETWEEN(1,6),"Improve purification","Raw material control","Update production SOP","Supplier evaluation","Training for operators","Equipment maintenance"),
G270="Process temp out of range",CHOOSE(RANDBETWEEN(1,6),"Temperature control","Update production SOP","Supplier evaluation","Training for operators",
"Equipment calibration","Preventive maintenance"),
G270="Dissolution rate low - 15 mins",CHOOSE(RANDBETWEEN(1,6),"Increase agitation","Reduce particle size","Update production SOP","Supplier evaluation",
"Training for operators","Equipment calibration"),
G270="Dissolution rate low - 30 mins",CHOOSE(RANDBETWEEN(1,6),"Increase disintegrant","Optimize granulation","Update production SOP","Supplier evaluation",
"Training for operators","Equipment calibration"),
G270="Dissolution rate low - 40 mins",CHOOSE(RANDBETWEEN(1,6),"Increase surface area","Optimize compression","Update production SOP","Supplier evaluation",
"Training for operators","Equipment calibration"),
G270="Dissolution rate high - 15 mins",CHOOSE(RANDBETWEEN(1,6),"Decrease agitation","Increase particle size","Update production SOP","Supplier evaluation","Training for operators","Equipment calibration"),
G270="Dissolution rate high - 30 mins",CHOOSE(RANDBETWEEN(1,6),"Decrease disintegrant","Optimize granulation","Update production SOP","Supplier evaluation","Training for operators","Equipment calibration"),
G270="Dissolution rate high - 40 mins",CHOOSE(RANDBETWEEN(1,6),"Decrease surface area","Optimize compression","Update production SOP","Supplier evaluation","Training for operators","Equipment calibration"))</f>
        <v>Supplier evaluation</v>
      </c>
    </row>
    <row r="271" spans="1:9" x14ac:dyDescent="0.35">
      <c r="A271" s="31">
        <v>200000632</v>
      </c>
      <c r="B271" s="31">
        <v>1010</v>
      </c>
      <c r="C271" s="31">
        <v>4241</v>
      </c>
      <c r="D271" s="29" t="s">
        <v>503</v>
      </c>
      <c r="E271" s="31">
        <v>78.599999999999994</v>
      </c>
      <c r="F271" s="34">
        <f ca="1">LOOKUP(C271,'QALS - Inspection Lot Record'!P:P,'QALS - Inspection Lot Record'!E:E)+RANDBETWEEN(0,1)</f>
        <v>45991</v>
      </c>
      <c r="G271" s="41" t="s">
        <v>486</v>
      </c>
      <c r="H271" s="34">
        <f t="shared" ca="1" si="4"/>
        <v>45993</v>
      </c>
      <c r="I271" s="29" t="str" cm="1">
        <f t="array" aca="1" ref="I271" ca="1">_xlfn.IFS(G271="Potency out of spec",CHOOSE(RANDBETWEEN(1,6),"Additional testing","Improve formulation","Update production SOP","Supplier evaluation","Training for operators","Equipment calibration"),
G271="PH Level out of range",CHOOSE(RANDBETWEEN(1,6),"PH monitoring","Adjust formulation","Update production SOP","Supplier evaluation","Training for operators","Equipment calibration"),
G271="Impurities out of limit",CHOOSE(RANDBETWEEN(1,6),"Improve purification","Raw material control","Update production SOP","Supplier evaluation","Training for operators","Equipment maintenance"),
G271="Process temp out of range",CHOOSE(RANDBETWEEN(1,6),"Temperature control","Update production SOP","Supplier evaluation","Training for operators",
"Equipment calibration","Preventive maintenance"),
G271="Dissolution rate low - 15 mins",CHOOSE(RANDBETWEEN(1,6),"Increase agitation","Reduce particle size","Update production SOP","Supplier evaluation",
"Training for operators","Equipment calibration"),
G271="Dissolution rate low - 30 mins",CHOOSE(RANDBETWEEN(1,6),"Increase disintegrant","Optimize granulation","Update production SOP","Supplier evaluation",
"Training for operators","Equipment calibration"),
G271="Dissolution rate low - 40 mins",CHOOSE(RANDBETWEEN(1,6),"Increase surface area","Optimize compression","Update production SOP","Supplier evaluation",
"Training for operators","Equipment calibration"),
G271="Dissolution rate high - 15 mins",CHOOSE(RANDBETWEEN(1,6),"Decrease agitation","Increase particle size","Update production SOP","Supplier evaluation","Training for operators","Equipment calibration"),
G271="Dissolution rate high - 30 mins",CHOOSE(RANDBETWEEN(1,6),"Decrease disintegrant","Optimize granulation","Update production SOP","Supplier evaluation","Training for operators","Equipment calibration"),
G271="Dissolution rate high - 40 mins",CHOOSE(RANDBETWEEN(1,6),"Decrease surface area","Optimize compression","Update production SOP","Supplier evaluation","Training for operators","Equipment calibration"))</f>
        <v>Increase surface area</v>
      </c>
    </row>
    <row r="272" spans="1:9" x14ac:dyDescent="0.35">
      <c r="A272" s="31">
        <v>200000633</v>
      </c>
      <c r="B272" s="31">
        <v>1010</v>
      </c>
      <c r="C272" s="31">
        <v>4242</v>
      </c>
      <c r="D272" s="29" t="s">
        <v>429</v>
      </c>
      <c r="E272" s="31">
        <v>94</v>
      </c>
      <c r="F272" s="34">
        <f ca="1">LOOKUP(C272,'QALS - Inspection Lot Record'!P:P,'QALS - Inspection Lot Record'!E:E)+RANDBETWEEN(0,1)</f>
        <v>45991</v>
      </c>
      <c r="G272" s="41" t="s">
        <v>472</v>
      </c>
      <c r="H272" s="34">
        <f t="shared" ca="1" si="4"/>
        <v>45993</v>
      </c>
      <c r="I272" s="29" t="str" cm="1">
        <f t="array" aca="1" ref="I272" ca="1">_xlfn.IFS(G272="Potency out of spec",CHOOSE(RANDBETWEEN(1,6),"Additional testing","Improve formulation","Update production SOP","Supplier evaluation","Training for operators","Equipment calibration"),
G272="PH Level out of range",CHOOSE(RANDBETWEEN(1,6),"PH monitoring","Adjust formulation","Update production SOP","Supplier evaluation","Training for operators","Equipment calibration"),
G272="Impurities out of limit",CHOOSE(RANDBETWEEN(1,6),"Improve purification","Raw material control","Update production SOP","Supplier evaluation","Training for operators","Equipment maintenance"),
G272="Process temp out of range",CHOOSE(RANDBETWEEN(1,6),"Temperature control","Update production SOP","Supplier evaluation","Training for operators",
"Equipment calibration","Preventive maintenance"),
G272="Dissolution rate low - 15 mins",CHOOSE(RANDBETWEEN(1,6),"Increase agitation","Reduce particle size","Update production SOP","Supplier evaluation",
"Training for operators","Equipment calibration"),
G272="Dissolution rate low - 30 mins",CHOOSE(RANDBETWEEN(1,6),"Increase disintegrant","Optimize granulation","Update production SOP","Supplier evaluation",
"Training for operators","Equipment calibration"),
G272="Dissolution rate low - 40 mins",CHOOSE(RANDBETWEEN(1,6),"Increase surface area","Optimize compression","Update production SOP","Supplier evaluation",
"Training for operators","Equipment calibration"),
G272="Dissolution rate high - 15 mins",CHOOSE(RANDBETWEEN(1,6),"Decrease agitation","Increase particle size","Update production SOP","Supplier evaluation","Training for operators","Equipment calibration"),
G272="Dissolution rate high - 30 mins",CHOOSE(RANDBETWEEN(1,6),"Decrease disintegrant","Optimize granulation","Update production SOP","Supplier evaluation","Training for operators","Equipment calibration"),
G272="Dissolution rate high - 40 mins",CHOOSE(RANDBETWEEN(1,6),"Decrease surface area","Optimize compression","Update production SOP","Supplier evaluation","Training for operators","Equipment calibration"))</f>
        <v>Improve formulation</v>
      </c>
    </row>
    <row r="273" spans="1:9" x14ac:dyDescent="0.35">
      <c r="A273" s="31">
        <v>200000633</v>
      </c>
      <c r="B273" s="31">
        <v>1010</v>
      </c>
      <c r="C273" s="31">
        <v>4242</v>
      </c>
      <c r="D273" s="29" t="s">
        <v>429</v>
      </c>
      <c r="E273" s="31">
        <v>68.2</v>
      </c>
      <c r="F273" s="34">
        <f ca="1">LOOKUP(C273,'QALS - Inspection Lot Record'!P:P,'QALS - Inspection Lot Record'!E:E)+RANDBETWEEN(0,1)</f>
        <v>45991</v>
      </c>
      <c r="G273" s="41" t="s">
        <v>480</v>
      </c>
      <c r="H273" s="34">
        <f t="shared" ca="1" si="4"/>
        <v>45993</v>
      </c>
      <c r="I273" s="29" t="str" cm="1">
        <f t="array" aca="1" ref="I273" ca="1">_xlfn.IFS(G273="Potency out of spec",CHOOSE(RANDBETWEEN(1,6),"Additional testing","Improve formulation","Update production SOP","Supplier evaluation","Training for operators","Equipment calibration"),
G273="PH Level out of range",CHOOSE(RANDBETWEEN(1,6),"PH monitoring","Adjust formulation","Update production SOP","Supplier evaluation","Training for operators","Equipment calibration"),
G273="Impurities out of limit",CHOOSE(RANDBETWEEN(1,6),"Improve purification","Raw material control","Update production SOP","Supplier evaluation","Training for operators","Equipment maintenance"),
G273="Process temp out of range",CHOOSE(RANDBETWEEN(1,6),"Temperature control","Update production SOP","Supplier evaluation","Training for operators",
"Equipment calibration","Preventive maintenance"),
G273="Dissolution rate low - 15 mins",CHOOSE(RANDBETWEEN(1,6),"Increase agitation","Reduce particle size","Update production SOP","Supplier evaluation",
"Training for operators","Equipment calibration"),
G273="Dissolution rate low - 30 mins",CHOOSE(RANDBETWEEN(1,6),"Increase disintegrant","Optimize granulation","Update production SOP","Supplier evaluation",
"Training for operators","Equipment calibration"),
G273="Dissolution rate low - 40 mins",CHOOSE(RANDBETWEEN(1,6),"Increase surface area","Optimize compression","Update production SOP","Supplier evaluation",
"Training for operators","Equipment calibration"),
G273="Dissolution rate high - 15 mins",CHOOSE(RANDBETWEEN(1,6),"Decrease agitation","Increase particle size","Update production SOP","Supplier evaluation","Training for operators","Equipment calibration"),
G273="Dissolution rate high - 30 mins",CHOOSE(RANDBETWEEN(1,6),"Decrease disintegrant","Optimize granulation","Update production SOP","Supplier evaluation","Training for operators","Equipment calibration"),
G273="Dissolution rate high - 40 mins",CHOOSE(RANDBETWEEN(1,6),"Decrease surface area","Optimize compression","Update production SOP","Supplier evaluation","Training for operators","Equipment calibration"))</f>
        <v>Update production SOP</v>
      </c>
    </row>
    <row r="274" spans="1:9" x14ac:dyDescent="0.35">
      <c r="A274" s="31">
        <v>200000633</v>
      </c>
      <c r="B274" s="31">
        <v>1010</v>
      </c>
      <c r="C274" s="31">
        <v>4242</v>
      </c>
      <c r="D274" s="29" t="s">
        <v>429</v>
      </c>
      <c r="E274" s="31">
        <v>78.5</v>
      </c>
      <c r="F274" s="34">
        <f ca="1">LOOKUP(C274,'QALS - Inspection Lot Record'!P:P,'QALS - Inspection Lot Record'!E:E)+RANDBETWEEN(0,1)</f>
        <v>45991</v>
      </c>
      <c r="G274" s="41" t="s">
        <v>486</v>
      </c>
      <c r="H274" s="34">
        <f t="shared" ca="1" si="4"/>
        <v>45992</v>
      </c>
      <c r="I274" s="29" t="str" cm="1">
        <f t="array" aca="1" ref="I274" ca="1">_xlfn.IFS(G274="Potency out of spec",CHOOSE(RANDBETWEEN(1,6),"Additional testing","Improve formulation","Update production SOP","Supplier evaluation","Training for operators","Equipment calibration"),
G274="PH Level out of range",CHOOSE(RANDBETWEEN(1,6),"PH monitoring","Adjust formulation","Update production SOP","Supplier evaluation","Training for operators","Equipment calibration"),
G274="Impurities out of limit",CHOOSE(RANDBETWEEN(1,6),"Improve purification","Raw material control","Update production SOP","Supplier evaluation","Training for operators","Equipment maintenance"),
G274="Process temp out of range",CHOOSE(RANDBETWEEN(1,6),"Temperature control","Update production SOP","Supplier evaluation","Training for operators",
"Equipment calibration","Preventive maintenance"),
G274="Dissolution rate low - 15 mins",CHOOSE(RANDBETWEEN(1,6),"Increase agitation","Reduce particle size","Update production SOP","Supplier evaluation",
"Training for operators","Equipment calibration"),
G274="Dissolution rate low - 30 mins",CHOOSE(RANDBETWEEN(1,6),"Increase disintegrant","Optimize granulation","Update production SOP","Supplier evaluation",
"Training for operators","Equipment calibration"),
G274="Dissolution rate low - 40 mins",CHOOSE(RANDBETWEEN(1,6),"Increase surface area","Optimize compression","Update production SOP","Supplier evaluation",
"Training for operators","Equipment calibration"),
G274="Dissolution rate high - 15 mins",CHOOSE(RANDBETWEEN(1,6),"Decrease agitation","Increase particle size","Update production SOP","Supplier evaluation","Training for operators","Equipment calibration"),
G274="Dissolution rate high - 30 mins",CHOOSE(RANDBETWEEN(1,6),"Decrease disintegrant","Optimize granulation","Update production SOP","Supplier evaluation","Training for operators","Equipment calibration"),
G274="Dissolution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75" spans="1:9" x14ac:dyDescent="0.35">
      <c r="A275" s="31">
        <v>200000634</v>
      </c>
      <c r="B275" s="31">
        <v>1010</v>
      </c>
      <c r="C275" s="31">
        <v>4243</v>
      </c>
      <c r="D275" s="29" t="s">
        <v>431</v>
      </c>
      <c r="E275" s="31">
        <v>93.2</v>
      </c>
      <c r="F275" s="34">
        <f ca="1">LOOKUP(C275,'QALS - Inspection Lot Record'!P:P,'QALS - Inspection Lot Record'!E:E)+RANDBETWEEN(0,1)</f>
        <v>45991</v>
      </c>
      <c r="G275" s="41" t="s">
        <v>472</v>
      </c>
      <c r="H275" s="34">
        <f t="shared" ca="1" si="4"/>
        <v>45992</v>
      </c>
      <c r="I275" s="29" t="str" cm="1">
        <f t="array" aca="1" ref="I275" ca="1">_xlfn.IFS(G275="Potency out of spec",CHOOSE(RANDBETWEEN(1,6),"Additional testing","Improve formulation","Update production SOP","Supplier evaluation","Training for operators","Equipment calibration"),
G275="PH Level out of range",CHOOSE(RANDBETWEEN(1,6),"PH monitoring","Adjust formulation","Update production SOP","Supplier evaluation","Training for operators","Equipment calibration"),
G275="Impurities out of limit",CHOOSE(RANDBETWEEN(1,6),"Improve purification","Raw material control","Update production SOP","Supplier evaluation","Training for operators","Equipment maintenance"),
G275="Process temp out of range",CHOOSE(RANDBETWEEN(1,6),"Temperature control","Update production SOP","Supplier evaluation","Training for operators",
"Equipment calibration","Preventive maintenance"),
G275="Dissolution rate low - 15 mins",CHOOSE(RANDBETWEEN(1,6),"Increase agitation","Reduce particle size","Update production SOP","Supplier evaluation",
"Training for operators","Equipment calibration"),
G275="Dissolution rate low - 30 mins",CHOOSE(RANDBETWEEN(1,6),"Increase disintegrant","Optimize granulation","Update production SOP","Supplier evaluation",
"Training for operators","Equipment calibration"),
G275="Dissolution rate low - 40 mins",CHOOSE(RANDBETWEEN(1,6),"Increase surface area","Optimize compression","Update production SOP","Supplier evaluation",
"Training for operators","Equipment calibration"),
G275="Dissolution rate high - 15 mins",CHOOSE(RANDBETWEEN(1,6),"Decrease agitation","Increase particle size","Update production SOP","Supplier evaluation","Training for operators","Equipment calibration"),
G275="Dissolution rate high - 30 mins",CHOOSE(RANDBETWEEN(1,6),"Decrease disintegrant","Optimize granulation","Update production SOP","Supplier evaluation","Training for operators","Equipment calibration"),
G275="Dissolution rate high - 40 mins",CHOOSE(RANDBETWEEN(1,6),"Decrease surface area","Optimize compression","Update production SOP","Supplier evaluation","Training for operators","Equipment calibration"))</f>
        <v>Supplier evaluation</v>
      </c>
    </row>
    <row r="276" spans="1:9" x14ac:dyDescent="0.35">
      <c r="A276" s="31">
        <v>200000634</v>
      </c>
      <c r="B276" s="31">
        <v>1010</v>
      </c>
      <c r="C276" s="31">
        <v>4243</v>
      </c>
      <c r="D276" s="29" t="s">
        <v>431</v>
      </c>
      <c r="E276" s="31">
        <v>5</v>
      </c>
      <c r="F276" s="34">
        <f ca="1">LOOKUP(C276,'QALS - Inspection Lot Record'!P:P,'QALS - Inspection Lot Record'!E:E)+RANDBETWEEN(0,1)</f>
        <v>45992</v>
      </c>
      <c r="G276" s="41" t="s">
        <v>474</v>
      </c>
      <c r="H276" s="34">
        <f t="shared" ca="1" si="4"/>
        <v>45994</v>
      </c>
      <c r="I276" s="29" t="str" cm="1">
        <f t="array" aca="1" ref="I276" ca="1">_xlfn.IFS(G276="Potency out of spec",CHOOSE(RANDBETWEEN(1,6),"Additional testing","Improve formulation","Update production SOP","Supplier evaluation","Training for operators","Equipment calibration"),
G276="PH Level out of range",CHOOSE(RANDBETWEEN(1,6),"PH monitoring","Adjust formulation","Update production SOP","Supplier evaluation","Training for operators","Equipment calibration"),
G276="Impurities out of limit",CHOOSE(RANDBETWEEN(1,6),"Improve purification","Raw material control","Update production SOP","Supplier evaluation","Training for operators","Equipment maintenance"),
G276="Process temp out of range",CHOOSE(RANDBETWEEN(1,6),"Temperature control","Update production SOP","Supplier evaluation","Training for operators",
"Equipment calibration","Preventive maintenance"),
G276="Dissolution rate low - 15 mins",CHOOSE(RANDBETWEEN(1,6),"Increase agitation","Reduce particle size","Update production SOP","Supplier evaluation",
"Training for operators","Equipment calibration"),
G276="Dissolution rate low - 30 mins",CHOOSE(RANDBETWEEN(1,6),"Increase disintegrant","Optimize granulation","Update production SOP","Supplier evaluation",
"Training for operators","Equipment calibration"),
G276="Dissolution rate low - 40 mins",CHOOSE(RANDBETWEEN(1,6),"Increase surface area","Optimize compression","Update production SOP","Supplier evaluation",
"Training for operators","Equipment calibration"),
G276="Dissolution rate high - 15 mins",CHOOSE(RANDBETWEEN(1,6),"Decrease agitation","Increase particle size","Update production SOP","Supplier evaluation","Training for operators","Equipment calibration"),
G276="Dissolution rate high - 30 mins",CHOOSE(RANDBETWEEN(1,6),"Decrease disintegrant","Optimize granulation","Update production SOP","Supplier evaluation","Training for operators","Equipment calibration"),
G276="Dissolution rate high - 40 mins",CHOOSE(RANDBETWEEN(1,6),"Decrease surface area","Optimize compression","Update production SOP","Supplier evaluation","Training for operators","Equipment calibration"))</f>
        <v>Equipment calibration</v>
      </c>
    </row>
    <row r="277" spans="1:9" x14ac:dyDescent="0.35">
      <c r="A277" s="31">
        <v>200000634</v>
      </c>
      <c r="B277" s="31">
        <v>1010</v>
      </c>
      <c r="C277" s="31">
        <v>4243</v>
      </c>
      <c r="D277" s="29" t="s">
        <v>431</v>
      </c>
      <c r="E277" s="31">
        <v>21.6</v>
      </c>
      <c r="F277" s="34">
        <f ca="1">LOOKUP(C277,'QALS - Inspection Lot Record'!P:P,'QALS - Inspection Lot Record'!E:E)+RANDBETWEEN(0,1)</f>
        <v>45992</v>
      </c>
      <c r="G277" s="41" t="s">
        <v>483</v>
      </c>
      <c r="H277" s="34">
        <f t="shared" ca="1" si="4"/>
        <v>45993</v>
      </c>
      <c r="I277" s="29" t="str" cm="1">
        <f t="array" aca="1" ref="I277" ca="1">_xlfn.IFS(G277="Potency out of spec",CHOOSE(RANDBETWEEN(1,6),"Additional testing","Improve formulation","Update production SOP","Supplier evaluation","Training for operators","Equipment calibration"),
G277="PH Level out of range",CHOOSE(RANDBETWEEN(1,6),"PH monitoring","Adjust formulation","Update production SOP","Supplier evaluation","Training for operators","Equipment calibration"),
G277="Impurities out of limit",CHOOSE(RANDBETWEEN(1,6),"Improve purification","Raw material control","Update production SOP","Supplier evaluation","Training for operators","Equipment maintenance"),
G277="Process temp out of range",CHOOSE(RANDBETWEEN(1,6),"Temperature control","Update production SOP","Supplier evaluation","Training for operators",
"Equipment calibration","Preventive maintenance"),
G277="Dissolution rate low - 15 mins",CHOOSE(RANDBETWEEN(1,6),"Increase agitation","Reduce particle size","Update production SOP","Supplier evaluation",
"Training for operators","Equipment calibration"),
G277="Dissolution rate low - 30 mins",CHOOSE(RANDBETWEEN(1,6),"Increase disintegrant","Optimize granulation","Update production SOP","Supplier evaluation",
"Training for operators","Equipment calibration"),
G277="Dissolution rate low - 40 mins",CHOOSE(RANDBETWEEN(1,6),"Increase surface area","Optimize compression","Update production SOP","Supplier evaluation",
"Training for operators","Equipment calibration"),
G277="Dissolution rate high - 15 mins",CHOOSE(RANDBETWEEN(1,6),"Decrease agitation","Increase particle size","Update production SOP","Supplier evaluation","Training for operators","Equipment calibration"),
G277="Dissolution rate high - 30 mins",CHOOSE(RANDBETWEEN(1,6),"Decrease disintegrant","Optimize granulation","Update production SOP","Supplier evaluation","Training for operators","Equipment calibration"),
G277="Dissolution rate high - 40 mins",CHOOSE(RANDBETWEEN(1,6),"Decrease surface area","Optimize compression","Update production SOP","Supplier evaluation","Training for operators","Equipment calibration"))</f>
        <v>Supplier evaluation</v>
      </c>
    </row>
    <row r="278" spans="1:9" x14ac:dyDescent="0.35">
      <c r="A278" s="31">
        <v>200000635</v>
      </c>
      <c r="B278" s="31">
        <v>1010</v>
      </c>
      <c r="C278" s="31">
        <v>4244</v>
      </c>
      <c r="D278" s="29" t="s">
        <v>433</v>
      </c>
      <c r="E278" s="31">
        <v>78.7</v>
      </c>
      <c r="F278" s="34">
        <f ca="1">LOOKUP(C278,'QALS - Inspection Lot Record'!P:P,'QALS - Inspection Lot Record'!E:E)+RANDBETWEEN(0,1)</f>
        <v>45991</v>
      </c>
      <c r="G278" s="41" t="s">
        <v>486</v>
      </c>
      <c r="H278" s="34">
        <f t="shared" ca="1" si="4"/>
        <v>45992</v>
      </c>
      <c r="I278" s="29" t="str" cm="1">
        <f t="array" aca="1" ref="I278" ca="1">_xlfn.IFS(G278="Potency out of spec",CHOOSE(RANDBETWEEN(1,6),"Additional testing","Improve formulation","Update production SOP","Supplier evaluation","Training for operators","Equipment calibration"),
G278="PH Level out of range",CHOOSE(RANDBETWEEN(1,6),"PH monitoring","Adjust formulation","Update production SOP","Supplier evaluation","Training for operators","Equipment calibration"),
G278="Impurities out of limit",CHOOSE(RANDBETWEEN(1,6),"Improve purification","Raw material control","Update production SOP","Supplier evaluation","Training for operators","Equipment maintenance"),
G278="Process temp out of range",CHOOSE(RANDBETWEEN(1,6),"Temperature control","Update production SOP","Supplier evaluation","Training for operators",
"Equipment calibration","Preventive maintenance"),
G278="Dissolution rate low - 15 mins",CHOOSE(RANDBETWEEN(1,6),"Increase agitation","Reduce particle size","Update production SOP","Supplier evaluation",
"Training for operators","Equipment calibration"),
G278="Dissolution rate low - 30 mins",CHOOSE(RANDBETWEEN(1,6),"Increase disintegrant","Optimize granulation","Update production SOP","Supplier evaluation",
"Training for operators","Equipment calibration"),
G278="Dissolution rate low - 40 mins",CHOOSE(RANDBETWEEN(1,6),"Increase surface area","Optimize compression","Update production SOP","Supplier evaluation",
"Training for operators","Equipment calibration"),
G278="Dissolution rate high - 15 mins",CHOOSE(RANDBETWEEN(1,6),"Decrease agitation","Increase particle size","Update production SOP","Supplier evaluation","Training for operators","Equipment calibration"),
G278="Dissolution rate high - 30 mins",CHOOSE(RANDBETWEEN(1,6),"Decrease disintegrant","Optimize granulation","Update production SOP","Supplier evaluation","Training for operators","Equipment calibration"),
G278="Dissolution rate high - 40 mins",CHOOSE(RANDBETWEEN(1,6),"Decrease surface area","Optimize compression","Update production SOP","Supplier evaluation","Training for operators","Equipment calibration"))</f>
        <v>Increase surface area</v>
      </c>
    </row>
    <row r="279" spans="1:9" x14ac:dyDescent="0.35">
      <c r="A279" s="31">
        <v>200000636</v>
      </c>
      <c r="B279" s="31">
        <v>1010</v>
      </c>
      <c r="C279" s="31">
        <v>4245</v>
      </c>
      <c r="D279" s="29" t="s">
        <v>429</v>
      </c>
      <c r="E279" s="31">
        <v>93</v>
      </c>
      <c r="F279" s="34">
        <f ca="1">LOOKUP(C279,'QALS - Inspection Lot Record'!P:P,'QALS - Inspection Lot Record'!E:E)+RANDBETWEEN(0,1)</f>
        <v>45993</v>
      </c>
      <c r="G279" s="41" t="s">
        <v>472</v>
      </c>
      <c r="H279" s="34">
        <f t="shared" ca="1" si="4"/>
        <v>45995</v>
      </c>
      <c r="I279" s="29" t="str" cm="1">
        <f t="array" aca="1" ref="I279" ca="1">_xlfn.IFS(G279="Potency out of spec",CHOOSE(RANDBETWEEN(1,6),"Additional testing","Improve formulation","Update production SOP","Supplier evaluation","Training for operators","Equipment calibration"),
G279="PH Level out of range",CHOOSE(RANDBETWEEN(1,6),"PH monitoring","Adjust formulation","Update production SOP","Supplier evaluation","Training for operators","Equipment calibration"),
G279="Impurities out of limit",CHOOSE(RANDBETWEEN(1,6),"Improve purification","Raw material control","Update production SOP","Supplier evaluation","Training for operators","Equipment maintenance"),
G279="Process temp out of range",CHOOSE(RANDBETWEEN(1,6),"Temperature control","Update production SOP","Supplier evaluation","Training for operators",
"Equipment calibration","Preventive maintenance"),
G279="Dissolution rate low - 15 mins",CHOOSE(RANDBETWEEN(1,6),"Increase agitation","Reduce particle size","Update production SOP","Supplier evaluation",
"Training for operators","Equipment calibration"),
G279="Dissolution rate low - 30 mins",CHOOSE(RANDBETWEEN(1,6),"Increase disintegrant","Optimize granulation","Update production SOP","Supplier evaluation",
"Training for operators","Equipment calibration"),
G279="Dissolution rate low - 40 mins",CHOOSE(RANDBETWEEN(1,6),"Increase surface area","Optimize compression","Update production SOP","Supplier evaluation",
"Training for operators","Equipment calibration"),
G279="Dissolution rate high - 15 mins",CHOOSE(RANDBETWEEN(1,6),"Decrease agitation","Increase particle size","Update production SOP","Supplier evaluation","Training for operators","Equipment calibration"),
G279="Dissolution rate high - 30 mins",CHOOSE(RANDBETWEEN(1,6),"Decrease disintegrant","Optimize granulation","Update production SOP","Supplier evaluation","Training for operators","Equipment calibration"),
G279="Dissolution rate high - 40 mins",CHOOSE(RANDBETWEEN(1,6),"Decrease surface area","Optimize compression","Update production SOP","Supplier evaluation","Training for operators","Equipment calibration"))</f>
        <v>Equipment calibration</v>
      </c>
    </row>
    <row r="280" spans="1:9" x14ac:dyDescent="0.35">
      <c r="A280" s="31">
        <v>200000636</v>
      </c>
      <c r="B280" s="31">
        <v>1010</v>
      </c>
      <c r="C280" s="31">
        <v>4245</v>
      </c>
      <c r="D280" s="29" t="s">
        <v>429</v>
      </c>
      <c r="E280" s="31">
        <v>1.9</v>
      </c>
      <c r="F280" s="34">
        <f ca="1">LOOKUP(C280,'QALS - Inspection Lot Record'!P:P,'QALS - Inspection Lot Record'!E:E)+RANDBETWEEN(0,1)</f>
        <v>45993</v>
      </c>
      <c r="G280" s="41" t="s">
        <v>474</v>
      </c>
      <c r="H280" s="34">
        <f t="shared" ca="1" si="4"/>
        <v>45993</v>
      </c>
      <c r="I280" s="29" t="str" cm="1">
        <f t="array" aca="1" ref="I280" ca="1">_xlfn.IFS(G280="Potency out of spec",CHOOSE(RANDBETWEEN(1,6),"Additional testing","Improve formulation","Update production SOP","Supplier evaluation","Training for operators","Equipment calibration"),
G280="PH Level out of range",CHOOSE(RANDBETWEEN(1,6),"PH monitoring","Adjust formulation","Update production SOP","Supplier evaluation","Training for operators","Equipment calibration"),
G280="Impurities out of limit",CHOOSE(RANDBETWEEN(1,6),"Improve purification","Raw material control","Update production SOP","Supplier evaluation","Training for operators","Equipment maintenance"),
G280="Process temp out of range",CHOOSE(RANDBETWEEN(1,6),"Temperature control","Update production SOP","Supplier evaluation","Training for operators",
"Equipment calibration","Preventive maintenance"),
G280="Dissolution rate low - 15 mins",CHOOSE(RANDBETWEEN(1,6),"Increase agitation","Reduce particle size","Update production SOP","Supplier evaluation",
"Training for operators","Equipment calibration"),
G280="Dissolution rate low - 30 mins",CHOOSE(RANDBETWEEN(1,6),"Increase disintegrant","Optimize granulation","Update production SOP","Supplier evaluation",
"Training for operators","Equipment calibration"),
G280="Dissolution rate low - 40 mins",CHOOSE(RANDBETWEEN(1,6),"Increase surface area","Optimize compression","Update production SOP","Supplier evaluation",
"Training for operators","Equipment calibration"),
G280="Dissolution rate high - 15 mins",CHOOSE(RANDBETWEEN(1,6),"Decrease agitation","Increase particle size","Update production SOP","Supplier evaluation","Training for operators","Equipment calibration"),
G280="Dissolution rate high - 30 mins",CHOOSE(RANDBETWEEN(1,6),"Decrease disintegrant","Optimize granulation","Update production SOP","Supplier evaluation","Training for operators","Equipment calibration"),
G280="Dissolution rate high - 40 mins",CHOOSE(RANDBETWEEN(1,6),"Decrease surface area","Optimize compression","Update production SOP","Supplier evaluation","Training for operators","Equipment calibration"))</f>
        <v>Supplier evaluation</v>
      </c>
    </row>
    <row r="281" spans="1:9" x14ac:dyDescent="0.35">
      <c r="A281" s="31">
        <v>200000636</v>
      </c>
      <c r="B281" s="31">
        <v>1010</v>
      </c>
      <c r="C281" s="31">
        <v>4245</v>
      </c>
      <c r="D281" s="29" t="s">
        <v>429</v>
      </c>
      <c r="E281" s="31">
        <v>68.599999999999994</v>
      </c>
      <c r="F281" s="34">
        <f ca="1">LOOKUP(C281,'QALS - Inspection Lot Record'!P:P,'QALS - Inspection Lot Record'!E:E)+RANDBETWEEN(0,1)</f>
        <v>45992</v>
      </c>
      <c r="G281" s="41" t="s">
        <v>480</v>
      </c>
      <c r="H281" s="34">
        <f t="shared" ca="1" si="4"/>
        <v>45994</v>
      </c>
      <c r="I281" s="29" t="str" cm="1">
        <f t="array" aca="1" ref="I281" ca="1">_xlfn.IFS(G281="Potency out of spec",CHOOSE(RANDBETWEEN(1,6),"Additional testing","Improve formulation","Update production SOP","Supplier evaluation","Training for operators","Equipment calibration"),
G281="PH Level out of range",CHOOSE(RANDBETWEEN(1,6),"PH monitoring","Adjust formulation","Update production SOP","Supplier evaluation","Training for operators","Equipment calibration"),
G281="Impurities out of limit",CHOOSE(RANDBETWEEN(1,6),"Improve purification","Raw material control","Update production SOP","Supplier evaluation","Training for operators","Equipment maintenance"),
G281="Process temp out of range",CHOOSE(RANDBETWEEN(1,6),"Temperature control","Update production SOP","Supplier evaluation","Training for operators",
"Equipment calibration","Preventive maintenance"),
G281="Dissolution rate low - 15 mins",CHOOSE(RANDBETWEEN(1,6),"Increase agitation","Reduce particle size","Update production SOP","Supplier evaluation",
"Training for operators","Equipment calibration"),
G281="Dissolution rate low - 30 mins",CHOOSE(RANDBETWEEN(1,6),"Increase disintegrant","Optimize granulation","Update production SOP","Supplier evaluation",
"Training for operators","Equipment calibration"),
G281="Dissolution rate low - 40 mins",CHOOSE(RANDBETWEEN(1,6),"Increase surface area","Optimize compression","Update production SOP","Supplier evaluation",
"Training for operators","Equipment calibration"),
G281="Dissolution rate high - 15 mins",CHOOSE(RANDBETWEEN(1,6),"Decrease agitation","Increase particle size","Update production SOP","Supplier evaluation","Training for operators","Equipment calibration"),
G281="Dissolution rate high - 30 mins",CHOOSE(RANDBETWEEN(1,6),"Decrease disintegrant","Optimize granulation","Update production SOP","Supplier evaluation","Training for operators","Equipment calibration"),
G281="Dissolution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82" spans="1:9" x14ac:dyDescent="0.35">
      <c r="A282" s="31">
        <v>200000636</v>
      </c>
      <c r="B282" s="31">
        <v>1010</v>
      </c>
      <c r="C282" s="31">
        <v>4245</v>
      </c>
      <c r="D282" s="29" t="s">
        <v>429</v>
      </c>
      <c r="E282" s="31">
        <v>78.3</v>
      </c>
      <c r="F282" s="34">
        <f ca="1">LOOKUP(C282,'QALS - Inspection Lot Record'!P:P,'QALS - Inspection Lot Record'!E:E)+RANDBETWEEN(0,1)</f>
        <v>45993</v>
      </c>
      <c r="G282" s="41" t="s">
        <v>486</v>
      </c>
      <c r="H282" s="34">
        <f t="shared" ca="1" si="4"/>
        <v>45994</v>
      </c>
      <c r="I282" s="29" t="str" cm="1">
        <f t="array" aca="1" ref="I282" ca="1">_xlfn.IFS(G282="Potency out of spec",CHOOSE(RANDBETWEEN(1,6),"Additional testing","Improve formulation","Update production SOP","Supplier evaluation","Training for operators","Equipment calibration"),
G282="PH Level out of range",CHOOSE(RANDBETWEEN(1,6),"PH monitoring","Adjust formulation","Update production SOP","Supplier evaluation","Training for operators","Equipment calibration"),
G282="Impurities out of limit",CHOOSE(RANDBETWEEN(1,6),"Improve purification","Raw material control","Update production SOP","Supplier evaluation","Training for operators","Equipment maintenance"),
G282="Process temp out of range",CHOOSE(RANDBETWEEN(1,6),"Temperature control","Update production SOP","Supplier evaluation","Training for operators",
"Equipment calibration","Preventive maintenance"),
G282="Dissolution rate low - 15 mins",CHOOSE(RANDBETWEEN(1,6),"Increase agitation","Reduce particle size","Update production SOP","Supplier evaluation",
"Training for operators","Equipment calibration"),
G282="Dissolution rate low - 30 mins",CHOOSE(RANDBETWEEN(1,6),"Increase disintegrant","Optimize granulation","Update production SOP","Supplier evaluation",
"Training for operators","Equipment calibration"),
G282="Dissolution rate low - 40 mins",CHOOSE(RANDBETWEEN(1,6),"Increase surface area","Optimize compression","Update production SOP","Supplier evaluation",
"Training for operators","Equipment calibration"),
G282="Dissolution rate high - 15 mins",CHOOSE(RANDBETWEEN(1,6),"Decrease agitation","Increase particle size","Update production SOP","Supplier evaluation","Training for operators","Equipment calibration"),
G282="Dissolution rate high - 30 mins",CHOOSE(RANDBETWEEN(1,6),"Decrease disintegrant","Optimize granulation","Update production SOP","Supplier evaluation","Training for operators","Equipment calibration"),
G282="Dissolution rate high - 40 mins",CHOOSE(RANDBETWEEN(1,6),"Decrease surface area","Optimize compression","Update production SOP","Supplier evaluation","Training for operators","Equipment calibration"))</f>
        <v>Optimize compression</v>
      </c>
    </row>
    <row r="283" spans="1:9" x14ac:dyDescent="0.35">
      <c r="A283" s="31">
        <v>200000637</v>
      </c>
      <c r="B283" s="31">
        <v>1010</v>
      </c>
      <c r="C283" s="31">
        <v>4246</v>
      </c>
      <c r="D283" s="29" t="s">
        <v>503</v>
      </c>
      <c r="E283" s="31">
        <v>78.8</v>
      </c>
      <c r="F283" s="34">
        <f ca="1">LOOKUP(C283,'QALS - Inspection Lot Record'!P:P,'QALS - Inspection Lot Record'!E:E)+RANDBETWEEN(0,1)</f>
        <v>45993</v>
      </c>
      <c r="G283" s="41" t="s">
        <v>486</v>
      </c>
      <c r="H283" s="34">
        <f t="shared" ca="1" si="4"/>
        <v>45994</v>
      </c>
      <c r="I283" s="29" t="str" cm="1">
        <f t="array" aca="1" ref="I283" ca="1">_xlfn.IFS(G283="Potency out of spec",CHOOSE(RANDBETWEEN(1,6),"Additional testing","Improve formulation","Update production SOP","Supplier evaluation","Training for operators","Equipment calibration"),
G283="PH Level out of range",CHOOSE(RANDBETWEEN(1,6),"PH monitoring","Adjust formulation","Update production SOP","Supplier evaluation","Training for operators","Equipment calibration"),
G283="Impurities out of limit",CHOOSE(RANDBETWEEN(1,6),"Improve purification","Raw material control","Update production SOP","Supplier evaluation","Training for operators","Equipment maintenance"),
G283="Process temp out of range",CHOOSE(RANDBETWEEN(1,6),"Temperature control","Update production SOP","Supplier evaluation","Training for operators",
"Equipment calibration","Preventive maintenance"),
G283="Dissolution rate low - 15 mins",CHOOSE(RANDBETWEEN(1,6),"Increase agitation","Reduce particle size","Update production SOP","Supplier evaluation",
"Training for operators","Equipment calibration"),
G283="Dissolution rate low - 30 mins",CHOOSE(RANDBETWEEN(1,6),"Increase disintegrant","Optimize granulation","Update production SOP","Supplier evaluation",
"Training for operators","Equipment calibration"),
G283="Dissolution rate low - 40 mins",CHOOSE(RANDBETWEEN(1,6),"Increase surface area","Optimize compression","Update production SOP","Supplier evaluation",
"Training for operators","Equipment calibration"),
G283="Dissolution rate high - 15 mins",CHOOSE(RANDBETWEEN(1,6),"Decrease agitation","Increase particle size","Update production SOP","Supplier evaluation","Training for operators","Equipment calibration"),
G283="Dissolution rate high - 30 mins",CHOOSE(RANDBETWEEN(1,6),"Decrease disintegrant","Optimize granulation","Update production SOP","Supplier evaluation","Training for operators","Equipment calibration"),
G283="Dissolution rate high - 40 mins",CHOOSE(RANDBETWEEN(1,6),"Decrease surface area","Optimize compression","Update production SOP","Supplier evaluation","Training for operators","Equipment calibration"))</f>
        <v>Supplier evaluation</v>
      </c>
    </row>
    <row r="284" spans="1:9" x14ac:dyDescent="0.35">
      <c r="A284" s="31">
        <v>200000638</v>
      </c>
      <c r="B284" s="31">
        <v>1010</v>
      </c>
      <c r="C284" s="31">
        <v>4247</v>
      </c>
      <c r="D284" s="29" t="s">
        <v>504</v>
      </c>
      <c r="E284" s="31">
        <v>93.8</v>
      </c>
      <c r="F284" s="34">
        <f ca="1">LOOKUP(C284,'QALS - Inspection Lot Record'!P:P,'QALS - Inspection Lot Record'!E:E)+RANDBETWEEN(0,1)</f>
        <v>45993</v>
      </c>
      <c r="G284" s="41" t="s">
        <v>472</v>
      </c>
      <c r="H284" s="34">
        <f t="shared" ca="1" si="4"/>
        <v>45993</v>
      </c>
      <c r="I284" s="29" t="str" cm="1">
        <f t="array" aca="1" ref="I284" ca="1">_xlfn.IFS(G284="Potency out of spec",CHOOSE(RANDBETWEEN(1,6),"Additional testing","Improve formulation","Update production SOP","Supplier evaluation","Training for operators","Equipment calibration"),
G284="PH Level out of range",CHOOSE(RANDBETWEEN(1,6),"PH monitoring","Adjust formulation","Update production SOP","Supplier evaluation","Training for operators","Equipment calibration"),
G284="Impurities out of limit",CHOOSE(RANDBETWEEN(1,6),"Improve purification","Raw material control","Update production SOP","Supplier evaluation","Training for operators","Equipment maintenance"),
G284="Process temp out of range",CHOOSE(RANDBETWEEN(1,6),"Temperature control","Update production SOP","Supplier evaluation","Training for operators",
"Equipment calibration","Preventive maintenance"),
G284="Dissolution rate low - 15 mins",CHOOSE(RANDBETWEEN(1,6),"Increase agitation","Reduce particle size","Update production SOP","Supplier evaluation",
"Training for operators","Equipment calibration"),
G284="Dissolution rate low - 30 mins",CHOOSE(RANDBETWEEN(1,6),"Increase disintegrant","Optimize granulation","Update production SOP","Supplier evaluation",
"Training for operators","Equipment calibration"),
G284="Dissolution rate low - 40 mins",CHOOSE(RANDBETWEEN(1,6),"Increase surface area","Optimize compression","Update production SOP","Supplier evaluation",
"Training for operators","Equipment calibration"),
G284="Dissolution rate high - 15 mins",CHOOSE(RANDBETWEEN(1,6),"Decrease agitation","Increase particle size","Update production SOP","Supplier evaluation","Training for operators","Equipment calibration"),
G284="Dissolution rate high - 30 mins",CHOOSE(RANDBETWEEN(1,6),"Decrease disintegrant","Optimize granulation","Update production SOP","Supplier evaluation","Training for operators","Equipment calibration"),
G284="Dissolution rate high - 40 mins",CHOOSE(RANDBETWEEN(1,6),"Decrease surface area","Optimize compression","Update production SOP","Supplier evaluation","Training for operators","Equipment calibration"))</f>
        <v>Update production SOP</v>
      </c>
    </row>
    <row r="285" spans="1:9" x14ac:dyDescent="0.35">
      <c r="A285" s="31">
        <v>200000639</v>
      </c>
      <c r="B285" s="31">
        <v>1010</v>
      </c>
      <c r="C285" s="31">
        <v>4248</v>
      </c>
      <c r="D285" s="29" t="s">
        <v>504</v>
      </c>
      <c r="E285" s="31">
        <v>38.9</v>
      </c>
      <c r="F285" s="34">
        <f ca="1">LOOKUP(C285,'QALS - Inspection Lot Record'!P:P,'QALS - Inspection Lot Record'!E:E)+RANDBETWEEN(0,1)</f>
        <v>45994</v>
      </c>
      <c r="G285" s="41" t="s">
        <v>478</v>
      </c>
      <c r="H285" s="34">
        <f t="shared" ca="1" si="4"/>
        <v>45995</v>
      </c>
      <c r="I285" s="29" t="str" cm="1">
        <f t="array" aca="1" ref="I285" ca="1">_xlfn.IFS(G285="Potency out of spec",CHOOSE(RANDBETWEEN(1,6),"Additional testing","Improve formulation","Update production SOP","Supplier evaluation","Training for operators","Equipment calibration"),
G285="PH Level out of range",CHOOSE(RANDBETWEEN(1,6),"PH monitoring","Adjust formulation","Update production SOP","Supplier evaluation","Training for operators","Equipment calibration"),
G285="Impurities out of limit",CHOOSE(RANDBETWEEN(1,6),"Improve purification","Raw material control","Update production SOP","Supplier evaluation","Training for operators","Equipment maintenance"),
G285="Process temp out of range",CHOOSE(RANDBETWEEN(1,6),"Temperature control","Update production SOP","Supplier evaluation","Training for operators",
"Equipment calibration","Preventive maintenance"),
G285="Dissolution rate low - 15 mins",CHOOSE(RANDBETWEEN(1,6),"Increase agitation","Reduce particle size","Update production SOP","Supplier evaluation",
"Training for operators","Equipment calibration"),
G285="Dissolution rate low - 30 mins",CHOOSE(RANDBETWEEN(1,6),"Increase disintegrant","Optimize granulation","Update production SOP","Supplier evaluation",
"Training for operators","Equipment calibration"),
G285="Dissolution rate low - 40 mins",CHOOSE(RANDBETWEEN(1,6),"Increase surface area","Optimize compression","Update production SOP","Supplier evaluation",
"Training for operators","Equipment calibration"),
G285="Dissolution rate high - 15 mins",CHOOSE(RANDBETWEEN(1,6),"Decrease agitation","Increase particle size","Update production SOP","Supplier evaluation","Training for operators","Equipment calibration"),
G285="Dissolution rate high - 30 mins",CHOOSE(RANDBETWEEN(1,6),"Decrease disintegrant","Optimize granulation","Update production SOP","Supplier evaluation","Training for operators","Equipment calibration"),
G285="Dissolution rate high - 40 mins",CHOOSE(RANDBETWEEN(1,6),"Decrease surface area","Optimize compression","Update production SOP","Supplier evaluation","Training for operators","Equipment calibration"))</f>
        <v>Update production SOP</v>
      </c>
    </row>
    <row r="286" spans="1:9" x14ac:dyDescent="0.35">
      <c r="A286" s="31">
        <v>200000639</v>
      </c>
      <c r="B286" s="31">
        <v>1010</v>
      </c>
      <c r="C286" s="31">
        <v>4248</v>
      </c>
      <c r="D286" s="29" t="s">
        <v>504</v>
      </c>
      <c r="E286" s="31">
        <v>68.5</v>
      </c>
      <c r="F286" s="34">
        <f ca="1">LOOKUP(C286,'QALS - Inspection Lot Record'!P:P,'QALS - Inspection Lot Record'!E:E)+RANDBETWEEN(0,1)</f>
        <v>45994</v>
      </c>
      <c r="G286" s="41" t="s">
        <v>480</v>
      </c>
      <c r="H286" s="34">
        <f t="shared" ca="1" si="4"/>
        <v>45994</v>
      </c>
      <c r="I286" s="29" t="str" cm="1">
        <f t="array" aca="1" ref="I286" ca="1">_xlfn.IFS(G286="Potency out of spec",CHOOSE(RANDBETWEEN(1,6),"Additional testing","Improve formulation","Update production SOP","Supplier evaluation","Training for operators","Equipment calibration"),
G286="PH Level out of range",CHOOSE(RANDBETWEEN(1,6),"PH monitoring","Adjust formulation","Update production SOP","Supplier evaluation","Training for operators","Equipment calibration"),
G286="Impurities out of limit",CHOOSE(RANDBETWEEN(1,6),"Improve purification","Raw material control","Update production SOP","Supplier evaluation","Training for operators","Equipment maintenance"),
G286="Process temp out of range",CHOOSE(RANDBETWEEN(1,6),"Temperature control","Update production SOP","Supplier evaluation","Training for operators",
"Equipment calibration","Preventive maintenance"),
G286="Dissolution rate low - 15 mins",CHOOSE(RANDBETWEEN(1,6),"Increase agitation","Reduce particle size","Update production SOP","Supplier evaluation",
"Training for operators","Equipment calibration"),
G286="Dissolution rate low - 30 mins",CHOOSE(RANDBETWEEN(1,6),"Increase disintegrant","Optimize granulation","Update production SOP","Supplier evaluation",
"Training for operators","Equipment calibration"),
G286="Dissolution rate low - 40 mins",CHOOSE(RANDBETWEEN(1,6),"Increase surface area","Optimize compression","Update production SOP","Supplier evaluation",
"Training for operators","Equipment calibration"),
G286="Dissolution rate high - 15 mins",CHOOSE(RANDBETWEEN(1,6),"Decrease agitation","Increase particle size","Update production SOP","Supplier evaluation","Training for operators","Equipment calibration"),
G286="Dissolution rate high - 30 mins",CHOOSE(RANDBETWEEN(1,6),"Decrease disintegrant","Optimize granulation","Update production SOP","Supplier evaluation","Training for operators","Equipment calibration"),
G286="Dissolution rate high - 40 mins",CHOOSE(RANDBETWEEN(1,6),"Decrease surface area","Optimize compression","Update production SOP","Supplier evaluation","Training for operators","Equipment calibration"))</f>
        <v>Equipment calibration</v>
      </c>
    </row>
    <row r="287" spans="1:9" x14ac:dyDescent="0.35">
      <c r="A287" s="31">
        <v>200000639</v>
      </c>
      <c r="B287" s="31">
        <v>1010</v>
      </c>
      <c r="C287" s="31">
        <v>4248</v>
      </c>
      <c r="D287" s="29" t="s">
        <v>504</v>
      </c>
      <c r="E287" s="31">
        <v>21.3</v>
      </c>
      <c r="F287" s="34">
        <f ca="1">LOOKUP(C287,'QALS - Inspection Lot Record'!P:P,'QALS - Inspection Lot Record'!E:E)+RANDBETWEEN(0,1)</f>
        <v>45993</v>
      </c>
      <c r="G287" s="41" t="s">
        <v>483</v>
      </c>
      <c r="H287" s="34">
        <f t="shared" ca="1" si="4"/>
        <v>45995</v>
      </c>
      <c r="I287" s="29" t="str" cm="1">
        <f t="array" aca="1" ref="I287" ca="1">_xlfn.IFS(G287="Potency out of spec",CHOOSE(RANDBETWEEN(1,6),"Additional testing","Improve formulation","Update production SOP","Supplier evaluation","Training for operators","Equipment calibration"),
G287="PH Level out of range",CHOOSE(RANDBETWEEN(1,6),"PH monitoring","Adjust formulation","Update production SOP","Supplier evaluation","Training for operators","Equipment calibration"),
G287="Impurities out of limit",CHOOSE(RANDBETWEEN(1,6),"Improve purification","Raw material control","Update production SOP","Supplier evaluation","Training for operators","Equipment maintenance"),
G287="Process temp out of range",CHOOSE(RANDBETWEEN(1,6),"Temperature control","Update production SOP","Supplier evaluation","Training for operators",
"Equipment calibration","Preventive maintenance"),
G287="Dissolution rate low - 15 mins",CHOOSE(RANDBETWEEN(1,6),"Increase agitation","Reduce particle size","Update production SOP","Supplier evaluation",
"Training for operators","Equipment calibration"),
G287="Dissolution rate low - 30 mins",CHOOSE(RANDBETWEEN(1,6),"Increase disintegrant","Optimize granulation","Update production SOP","Supplier evaluation",
"Training for operators","Equipment calibration"),
G287="Dissolution rate low - 40 mins",CHOOSE(RANDBETWEEN(1,6),"Increase surface area","Optimize compression","Update production SOP","Supplier evaluation",
"Training for operators","Equipment calibration"),
G287="Dissolution rate high - 15 mins",CHOOSE(RANDBETWEEN(1,6),"Decrease agitation","Increase particle size","Update production SOP","Supplier evaluation","Training for operators","Equipment calibration"),
G287="Dissolution rate high - 30 mins",CHOOSE(RANDBETWEEN(1,6),"Decrease disintegrant","Optimize granulation","Update production SOP","Supplier evaluation","Training for operators","Equipment calibration"),
G287="Dissolution rate high - 40 mins",CHOOSE(RANDBETWEEN(1,6),"Decrease surface area","Optimize compression","Update production SOP","Supplier evaluation","Training for operators","Equipment calibration"))</f>
        <v>Temperature control</v>
      </c>
    </row>
    <row r="288" spans="1:9" x14ac:dyDescent="0.35">
      <c r="A288" s="31">
        <v>200000640</v>
      </c>
      <c r="B288" s="31">
        <v>1010</v>
      </c>
      <c r="C288" s="31">
        <v>4251</v>
      </c>
      <c r="D288" s="29" t="s">
        <v>429</v>
      </c>
      <c r="E288" s="31">
        <v>2.2999999999999998</v>
      </c>
      <c r="F288" s="34">
        <f ca="1">LOOKUP(C288,'QALS - Inspection Lot Record'!P:P,'QALS - Inspection Lot Record'!E:E)+RANDBETWEEN(0,1)</f>
        <v>45995</v>
      </c>
      <c r="G288" s="41" t="s">
        <v>474</v>
      </c>
      <c r="H288" s="34">
        <f t="shared" ca="1" si="4"/>
        <v>45995</v>
      </c>
      <c r="I288" s="29" t="str" cm="1">
        <f t="array" aca="1" ref="I288" ca="1">_xlfn.IFS(G288="Potency out of spec",CHOOSE(RANDBETWEEN(1,6),"Additional testing","Improve formulation","Update production SOP","Supplier evaluation","Training for operators","Equipment calibration"),
G288="PH Level out of range",CHOOSE(RANDBETWEEN(1,6),"PH monitoring","Adjust formulation","Update production SOP","Supplier evaluation","Training for operators","Equipment calibration"),
G288="Impurities out of limit",CHOOSE(RANDBETWEEN(1,6),"Improve purification","Raw material control","Update production SOP","Supplier evaluation","Training for operators","Equipment maintenance"),
G288="Process temp out of range",CHOOSE(RANDBETWEEN(1,6),"Temperature control","Update production SOP","Supplier evaluation","Training for operators",
"Equipment calibration","Preventive maintenance"),
G288="Dissolution rate low - 15 mins",CHOOSE(RANDBETWEEN(1,6),"Increase agitation","Reduce particle size","Update production SOP","Supplier evaluation",
"Training for operators","Equipment calibration"),
G288="Dissolution rate low - 30 mins",CHOOSE(RANDBETWEEN(1,6),"Increase disintegrant","Optimize granulation","Update production SOP","Supplier evaluation",
"Training for operators","Equipment calibration"),
G288="Dissolution rate low - 40 mins",CHOOSE(RANDBETWEEN(1,6),"Increase surface area","Optimize compression","Update production SOP","Supplier evaluation",
"Training for operators","Equipment calibration"),
G288="Dissolution rate high - 15 mins",CHOOSE(RANDBETWEEN(1,6),"Decrease agitation","Increase particle size","Update production SOP","Supplier evaluation","Training for operators","Equipment calibration"),
G288="Dissolution rate high - 30 mins",CHOOSE(RANDBETWEEN(1,6),"Decrease disintegrant","Optimize granulation","Update production SOP","Supplier evaluation","Training for operators","Equipment calibration"),
G288="Dissolution rate high - 40 mins",CHOOSE(RANDBETWEEN(1,6),"Decrease surface area","Optimize compression","Update production SOP","Supplier evaluation","Training for operators","Equipment calibration"))</f>
        <v>Equipment calibration</v>
      </c>
    </row>
    <row r="289" spans="1:9" x14ac:dyDescent="0.35">
      <c r="A289" s="31">
        <v>200000640</v>
      </c>
      <c r="B289" s="31">
        <v>1010</v>
      </c>
      <c r="C289" s="31">
        <v>4251</v>
      </c>
      <c r="D289" s="29" t="s">
        <v>429</v>
      </c>
      <c r="E289" s="31">
        <v>78.400000000000006</v>
      </c>
      <c r="F289" s="34">
        <f ca="1">LOOKUP(C289,'QALS - Inspection Lot Record'!P:P,'QALS - Inspection Lot Record'!E:E)+RANDBETWEEN(0,1)</f>
        <v>45995</v>
      </c>
      <c r="G289" s="41" t="s">
        <v>486</v>
      </c>
      <c r="H289" s="34">
        <f t="shared" ca="1" si="4"/>
        <v>45995</v>
      </c>
      <c r="I289" s="29" t="str" cm="1">
        <f t="array" aca="1" ref="I289" ca="1">_xlfn.IFS(G289="Potency out of spec",CHOOSE(RANDBETWEEN(1,6),"Additional testing","Improve formulation","Update production SOP","Supplier evaluation","Training for operators","Equipment calibration"),
G289="PH Level out of range",CHOOSE(RANDBETWEEN(1,6),"PH monitoring","Adjust formulation","Update production SOP","Supplier evaluation","Training for operators","Equipment calibration"),
G289="Impurities out of limit",CHOOSE(RANDBETWEEN(1,6),"Improve purification","Raw material control","Update production SOP","Supplier evaluation","Training for operators","Equipment maintenance"),
G289="Process temp out of range",CHOOSE(RANDBETWEEN(1,6),"Temperature control","Update production SOP","Supplier evaluation","Training for operators",
"Equipment calibration","Preventive maintenance"),
G289="Dissolution rate low - 15 mins",CHOOSE(RANDBETWEEN(1,6),"Increase agitation","Reduce particle size","Update production SOP","Supplier evaluation",
"Training for operators","Equipment calibration"),
G289="Dissolution rate low - 30 mins",CHOOSE(RANDBETWEEN(1,6),"Increase disintegrant","Optimize granulation","Update production SOP","Supplier evaluation",
"Training for operators","Equipment calibration"),
G289="Dissolution rate low - 40 mins",CHOOSE(RANDBETWEEN(1,6),"Increase surface area","Optimize compression","Update production SOP","Supplier evaluation",
"Training for operators","Equipment calibration"),
G289="Dissolution rate high - 15 mins",CHOOSE(RANDBETWEEN(1,6),"Decrease agitation","Increase particle size","Update production SOP","Supplier evaluation","Training for operators","Equipment calibration"),
G289="Dissolution rate high - 30 mins",CHOOSE(RANDBETWEEN(1,6),"Decrease disintegrant","Optimize granulation","Update production SOP","Supplier evaluation","Training for operators","Equipment calibration"),
G289="Dissolution rate high - 40 mins",CHOOSE(RANDBETWEEN(1,6),"Decrease surface area","Optimize compression","Update production SOP","Supplier evaluation","Training for operators","Equipment calibration"))</f>
        <v>Update production SOP</v>
      </c>
    </row>
    <row r="290" spans="1:9" x14ac:dyDescent="0.35">
      <c r="A290" s="31">
        <v>200000641</v>
      </c>
      <c r="B290" s="31">
        <v>1010</v>
      </c>
      <c r="C290" s="31">
        <v>4253</v>
      </c>
      <c r="D290" s="29" t="s">
        <v>431</v>
      </c>
      <c r="E290" s="31">
        <v>93.5</v>
      </c>
      <c r="F290" s="34">
        <f ca="1">LOOKUP(C290,'QALS - Inspection Lot Record'!P:P,'QALS - Inspection Lot Record'!E:E)+RANDBETWEEN(0,1)</f>
        <v>45997</v>
      </c>
      <c r="G290" s="41" t="s">
        <v>472</v>
      </c>
      <c r="H290" s="34">
        <f t="shared" ca="1" si="4"/>
        <v>45999</v>
      </c>
      <c r="I290" s="29" t="str" cm="1">
        <f t="array" aca="1" ref="I290" ca="1">_xlfn.IFS(G290="Potency out of spec",CHOOSE(RANDBETWEEN(1,6),"Additional testing","Improve formulation","Update production SOP","Supplier evaluation","Training for operators","Equipment calibration"),
G290="PH Level out of range",CHOOSE(RANDBETWEEN(1,6),"PH monitoring","Adjust formulation","Update production SOP","Supplier evaluation","Training for operators","Equipment calibration"),
G290="Impurities out of limit",CHOOSE(RANDBETWEEN(1,6),"Improve purification","Raw material control","Update production SOP","Supplier evaluation","Training for operators","Equipment maintenance"),
G290="Process temp out of range",CHOOSE(RANDBETWEEN(1,6),"Temperature control","Update production SOP","Supplier evaluation","Training for operators",
"Equipment calibration","Preventive maintenance"),
G290="Dissolution rate low - 15 mins",CHOOSE(RANDBETWEEN(1,6),"Increase agitation","Reduce particle size","Update production SOP","Supplier evaluation",
"Training for operators","Equipment calibration"),
G290="Dissolution rate low - 30 mins",CHOOSE(RANDBETWEEN(1,6),"Increase disintegrant","Optimize granulation","Update production SOP","Supplier evaluation",
"Training for operators","Equipment calibration"),
G290="Dissolution rate low - 40 mins",CHOOSE(RANDBETWEEN(1,6),"Increase surface area","Optimize compression","Update production SOP","Supplier evaluation",
"Training for operators","Equipment calibration"),
G290="Dissolution rate high - 15 mins",CHOOSE(RANDBETWEEN(1,6),"Decrease agitation","Increase particle size","Update production SOP","Supplier evaluation","Training for operators","Equipment calibration"),
G290="Dissolution rate high - 30 mins",CHOOSE(RANDBETWEEN(1,6),"Decrease disintegrant","Optimize granulation","Update production SOP","Supplier evaluation","Training for operators","Equipment calibration"),
G290="Dissolution rate high - 40 mins",CHOOSE(RANDBETWEEN(1,6),"Decrease surface area","Optimize compression","Update production SOP","Supplier evaluation","Training for operators","Equipment calibration"))</f>
        <v>Supplier evaluation</v>
      </c>
    </row>
    <row r="291" spans="1:9" x14ac:dyDescent="0.35">
      <c r="A291" s="31">
        <v>200000642</v>
      </c>
      <c r="B291" s="31">
        <v>1010</v>
      </c>
      <c r="C291" s="31">
        <v>4257</v>
      </c>
      <c r="D291" s="29" t="s">
        <v>503</v>
      </c>
      <c r="E291" s="31">
        <v>93.8</v>
      </c>
      <c r="F291" s="34">
        <f ca="1">LOOKUP(C291,'QALS - Inspection Lot Record'!P:P,'QALS - Inspection Lot Record'!E:E)+RANDBETWEEN(0,1)</f>
        <v>45998</v>
      </c>
      <c r="G291" s="41" t="s">
        <v>472</v>
      </c>
      <c r="H291" s="34">
        <f t="shared" ca="1" si="4"/>
        <v>45998</v>
      </c>
      <c r="I291" s="29" t="str" cm="1">
        <f t="array" aca="1" ref="I291" ca="1">_xlfn.IFS(G291="Potency out of spec",CHOOSE(RANDBETWEEN(1,6),"Additional testing","Improve formulation","Update production SOP","Supplier evaluation","Training for operators","Equipment calibration"),
G291="PH Level out of range",CHOOSE(RANDBETWEEN(1,6),"PH monitoring","Adjust formulation","Update production SOP","Supplier evaluation","Training for operators","Equipment calibration"),
G291="Impurities out of limit",CHOOSE(RANDBETWEEN(1,6),"Improve purification","Raw material control","Update production SOP","Supplier evaluation","Training for operators","Equipment maintenance"),
G291="Process temp out of range",CHOOSE(RANDBETWEEN(1,6),"Temperature control","Update production SOP","Supplier evaluation","Training for operators",
"Equipment calibration","Preventive maintenance"),
G291="Dissolution rate low - 15 mins",CHOOSE(RANDBETWEEN(1,6),"Increase agitation","Reduce particle size","Update production SOP","Supplier evaluation",
"Training for operators","Equipment calibration"),
G291="Dissolution rate low - 30 mins",CHOOSE(RANDBETWEEN(1,6),"Increase disintegrant","Optimize granulation","Update production SOP","Supplier evaluation",
"Training for operators","Equipment calibration"),
G291="Dissolution rate low - 40 mins",CHOOSE(RANDBETWEEN(1,6),"Increase surface area","Optimize compression","Update production SOP","Supplier evaluation",
"Training for operators","Equipment calibration"),
G291="Dissolution rate high - 15 mins",CHOOSE(RANDBETWEEN(1,6),"Decrease agitation","Increase particle size","Update production SOP","Supplier evaluation","Training for operators","Equipment calibration"),
G291="Dissolution rate high - 30 mins",CHOOSE(RANDBETWEEN(1,6),"Decrease disintegrant","Optimize granulation","Update production SOP","Supplier evaluation","Training for operators","Equipment calibration"),
G291="Dissolution rate high - 40 mins",CHOOSE(RANDBETWEEN(1,6),"Decrease surface area","Optimize compression","Update production SOP","Supplier evaluation","Training for operators","Equipment calibration"))</f>
        <v>Equipment calibration</v>
      </c>
    </row>
    <row r="292" spans="1:9" x14ac:dyDescent="0.35">
      <c r="A292" s="31">
        <v>200000643</v>
      </c>
      <c r="B292" s="31">
        <v>1010</v>
      </c>
      <c r="C292" s="31">
        <v>4258</v>
      </c>
      <c r="D292" s="29" t="s">
        <v>433</v>
      </c>
      <c r="E292" s="31">
        <v>93.6</v>
      </c>
      <c r="F292" s="34">
        <f ca="1">LOOKUP(C292,'QALS - Inspection Lot Record'!P:P,'QALS - Inspection Lot Record'!E:E)+RANDBETWEEN(0,1)</f>
        <v>45998</v>
      </c>
      <c r="G292" s="41" t="s">
        <v>472</v>
      </c>
      <c r="H292" s="34">
        <f t="shared" ca="1" si="4"/>
        <v>45998</v>
      </c>
      <c r="I292" s="29" t="str" cm="1">
        <f t="array" aca="1" ref="I292" ca="1">_xlfn.IFS(G292="Potency out of spec",CHOOSE(RANDBETWEEN(1,6),"Additional testing","Improve formulation","Update production SOP","Supplier evaluation","Training for operators","Equipment calibration"),
G292="PH Level out of range",CHOOSE(RANDBETWEEN(1,6),"PH monitoring","Adjust formulation","Update production SOP","Supplier evaluation","Training for operators","Equipment calibration"),
G292="Impurities out of limit",CHOOSE(RANDBETWEEN(1,6),"Improve purification","Raw material control","Update production SOP","Supplier evaluation","Training for operators","Equipment maintenance"),
G292="Process temp out of range",CHOOSE(RANDBETWEEN(1,6),"Temperature control","Update production SOP","Supplier evaluation","Training for operators",
"Equipment calibration","Preventive maintenance"),
G292="Dissolution rate low - 15 mins",CHOOSE(RANDBETWEEN(1,6),"Increase agitation","Reduce particle size","Update production SOP","Supplier evaluation",
"Training for operators","Equipment calibration"),
G292="Dissolution rate low - 30 mins",CHOOSE(RANDBETWEEN(1,6),"Increase disintegrant","Optimize granulation","Update production SOP","Supplier evaluation",
"Training for operators","Equipment calibration"),
G292="Dissolution rate low - 40 mins",CHOOSE(RANDBETWEEN(1,6),"Increase surface area","Optimize compression","Update production SOP","Supplier evaluation",
"Training for operators","Equipment calibration"),
G292="Dissolution rate high - 15 mins",CHOOSE(RANDBETWEEN(1,6),"Decrease agitation","Increase particle size","Update production SOP","Supplier evaluation","Training for operators","Equipment calibration"),
G292="Dissolution rate high - 30 mins",CHOOSE(RANDBETWEEN(1,6),"Decrease disintegrant","Optimize granulation","Update production SOP","Supplier evaluation","Training for operators","Equipment calibration"),
G292="Dissolution rate high - 40 mins",CHOOSE(RANDBETWEEN(1,6),"Decrease surface area","Optimize compression","Update production SOP","Supplier evaluation","Training for operators","Equipment calibration"))</f>
        <v>Update production SOP</v>
      </c>
    </row>
    <row r="293" spans="1:9" x14ac:dyDescent="0.35">
      <c r="A293" s="31">
        <v>200000644</v>
      </c>
      <c r="B293" s="31">
        <v>1010</v>
      </c>
      <c r="C293" s="31">
        <v>4259</v>
      </c>
      <c r="D293" s="29" t="s">
        <v>433</v>
      </c>
      <c r="E293" s="31">
        <v>93</v>
      </c>
      <c r="F293" s="34">
        <f ca="1">LOOKUP(C293,'QALS - Inspection Lot Record'!P:P,'QALS - Inspection Lot Record'!E:E)+RANDBETWEEN(0,1)</f>
        <v>45999</v>
      </c>
      <c r="G293" s="41" t="s">
        <v>472</v>
      </c>
      <c r="H293" s="34">
        <f t="shared" ca="1" si="4"/>
        <v>46000</v>
      </c>
      <c r="I293" s="29" t="str" cm="1">
        <f t="array" aca="1" ref="I293" ca="1">_xlfn.IFS(G293="Potency out of spec",CHOOSE(RANDBETWEEN(1,6),"Additional testing","Improve formulation","Update production SOP","Supplier evaluation","Training for operators","Equipment calibration"),
G293="PH Level out of range",CHOOSE(RANDBETWEEN(1,6),"PH monitoring","Adjust formulation","Update production SOP","Supplier evaluation","Training for operators","Equipment calibration"),
G293="Impurities out of limit",CHOOSE(RANDBETWEEN(1,6),"Improve purification","Raw material control","Update production SOP","Supplier evaluation","Training for operators","Equipment maintenance"),
G293="Process temp out of range",CHOOSE(RANDBETWEEN(1,6),"Temperature control","Update production SOP","Supplier evaluation","Training for operators",
"Equipment calibration","Preventive maintenance"),
G293="Dissolution rate low - 15 mins",CHOOSE(RANDBETWEEN(1,6),"Increase agitation","Reduce particle size","Update production SOP","Supplier evaluation",
"Training for operators","Equipment calibration"),
G293="Dissolution rate low - 30 mins",CHOOSE(RANDBETWEEN(1,6),"Increase disintegrant","Optimize granulation","Update production SOP","Supplier evaluation",
"Training for operators","Equipment calibration"),
G293="Dissolution rate low - 40 mins",CHOOSE(RANDBETWEEN(1,6),"Increase surface area","Optimize compression","Update production SOP","Supplier evaluation",
"Training for operators","Equipment calibration"),
G293="Dissolution rate high - 15 mins",CHOOSE(RANDBETWEEN(1,6),"Decrease agitation","Increase particle size","Update production SOP","Supplier evaluation","Training for operators","Equipment calibration"),
G293="Dissolution rate high - 30 mins",CHOOSE(RANDBETWEEN(1,6),"Decrease disintegrant","Optimize granulation","Update production SOP","Supplier evaluation","Training for operators","Equipment calibration"),
G293="Dissolution rate high - 40 mins",CHOOSE(RANDBETWEEN(1,6),"Decrease surface area","Optimize compression","Update production SOP","Supplier evaluation","Training for operators","Equipment calibration"))</f>
        <v>Update production SOP</v>
      </c>
    </row>
    <row r="294" spans="1:9" x14ac:dyDescent="0.35">
      <c r="A294" s="31">
        <v>200000644</v>
      </c>
      <c r="B294" s="31">
        <v>1010</v>
      </c>
      <c r="C294" s="31">
        <v>4259</v>
      </c>
      <c r="D294" s="29" t="s">
        <v>433</v>
      </c>
      <c r="E294" s="31">
        <v>1.9</v>
      </c>
      <c r="F294" s="34">
        <f ca="1">LOOKUP(C294,'QALS - Inspection Lot Record'!P:P,'QALS - Inspection Lot Record'!E:E)+RANDBETWEEN(0,1)</f>
        <v>45999</v>
      </c>
      <c r="G294" s="41" t="s">
        <v>474</v>
      </c>
      <c r="H294" s="34">
        <f t="shared" ca="1" si="4"/>
        <v>46001</v>
      </c>
      <c r="I294" s="29" t="str" cm="1">
        <f t="array" aca="1" ref="I294" ca="1">_xlfn.IFS(G294="Potency out of spec",CHOOSE(RANDBETWEEN(1,6),"Additional testing","Improve formulation","Update production SOP","Supplier evaluation","Training for operators","Equipment calibration"),
G294="PH Level out of range",CHOOSE(RANDBETWEEN(1,6),"PH monitoring","Adjust formulation","Update production SOP","Supplier evaluation","Training for operators","Equipment calibration"),
G294="Impurities out of limit",CHOOSE(RANDBETWEEN(1,6),"Improve purification","Raw material control","Update production SOP","Supplier evaluation","Training for operators","Equipment maintenance"),
G294="Process temp out of range",CHOOSE(RANDBETWEEN(1,6),"Temperature control","Update production SOP","Supplier evaluation","Training for operators",
"Equipment calibration","Preventive maintenance"),
G294="Dissolution rate low - 15 mins",CHOOSE(RANDBETWEEN(1,6),"Increase agitation","Reduce particle size","Update production SOP","Supplier evaluation",
"Training for operators","Equipment calibration"),
G294="Dissolution rate low - 30 mins",CHOOSE(RANDBETWEEN(1,6),"Increase disintegrant","Optimize granulation","Update production SOP","Supplier evaluation",
"Training for operators","Equipment calibration"),
G294="Dissolution rate low - 40 mins",CHOOSE(RANDBETWEEN(1,6),"Increase surface area","Optimize compression","Update production SOP","Supplier evaluation",
"Training for operators","Equipment calibration"),
G294="Dissolution rate high - 15 mins",CHOOSE(RANDBETWEEN(1,6),"Decrease agitation","Increase particle size","Update production SOP","Supplier evaluation","Training for operators","Equipment calibration"),
G294="Dissolution rate high - 30 mins",CHOOSE(RANDBETWEEN(1,6),"Decrease disintegrant","Optimize granulation","Update production SOP","Supplier evaluation","Training for operators","Equipment calibration"),
G294="Dissolution rate high - 40 mins",CHOOSE(RANDBETWEEN(1,6),"Decrease surface area","Optimize compression","Update production SOP","Supplier evaluation","Training for operators","Equipment calibration"))</f>
        <v>PH monitoring</v>
      </c>
    </row>
    <row r="295" spans="1:9" x14ac:dyDescent="0.35">
      <c r="A295" s="31">
        <v>200000645</v>
      </c>
      <c r="B295" s="31">
        <v>1010</v>
      </c>
      <c r="C295" s="31">
        <v>4260</v>
      </c>
      <c r="D295" s="29" t="s">
        <v>503</v>
      </c>
      <c r="E295" s="31">
        <v>21.2</v>
      </c>
      <c r="F295" s="34">
        <f ca="1">LOOKUP(C295,'QALS - Inspection Lot Record'!P:P,'QALS - Inspection Lot Record'!E:E)+RANDBETWEEN(0,1)</f>
        <v>46000</v>
      </c>
      <c r="G295" s="41" t="s">
        <v>483</v>
      </c>
      <c r="H295" s="34">
        <f t="shared" ca="1" si="4"/>
        <v>46002</v>
      </c>
      <c r="I295" s="29" t="str" cm="1">
        <f t="array" aca="1" ref="I295" ca="1">_xlfn.IFS(G295="Potency out of spec",CHOOSE(RANDBETWEEN(1,6),"Additional testing","Improve formulation","Update production SOP","Supplier evaluation","Training for operators","Equipment calibration"),
G295="PH Level out of range",CHOOSE(RANDBETWEEN(1,6),"PH monitoring","Adjust formulation","Update production SOP","Supplier evaluation","Training for operators","Equipment calibration"),
G295="Impurities out of limit",CHOOSE(RANDBETWEEN(1,6),"Improve purification","Raw material control","Update production SOP","Supplier evaluation","Training for operators","Equipment maintenance"),
G295="Process temp out of range",CHOOSE(RANDBETWEEN(1,6),"Temperature control","Update production SOP","Supplier evaluation","Training for operators",
"Equipment calibration","Preventive maintenance"),
G295="Dissolution rate low - 15 mins",CHOOSE(RANDBETWEEN(1,6),"Increase agitation","Reduce particle size","Update production SOP","Supplier evaluation",
"Training for operators","Equipment calibration"),
G295="Dissolution rate low - 30 mins",CHOOSE(RANDBETWEEN(1,6),"Increase disintegrant","Optimize granulation","Update production SOP","Supplier evaluation",
"Training for operators","Equipment calibration"),
G295="Dissolution rate low - 40 mins",CHOOSE(RANDBETWEEN(1,6),"Increase surface area","Optimize compression","Update production SOP","Supplier evaluation",
"Training for operators","Equipment calibration"),
G295="Dissolution rate high - 15 mins",CHOOSE(RANDBETWEEN(1,6),"Decrease agitation","Increase particle size","Update production SOP","Supplier evaluation","Training for operators","Equipment calibration"),
G295="Dissolution rate high - 30 mins",CHOOSE(RANDBETWEEN(1,6),"Decrease disintegrant","Optimize granulation","Update production SOP","Supplier evaluation","Training for operators","Equipment calibration"),
G295="Dissolution rate high - 40 mins",CHOOSE(RANDBETWEEN(1,6),"Decrease surface area","Optimize compression","Update production SOP","Supplier evaluation","Training for operators","Equipment calibration"))</f>
        <v>Temperature control</v>
      </c>
    </row>
    <row r="296" spans="1:9" x14ac:dyDescent="0.35">
      <c r="A296" s="31">
        <v>200000646</v>
      </c>
      <c r="B296" s="31">
        <v>1010</v>
      </c>
      <c r="C296" s="31">
        <v>4264</v>
      </c>
      <c r="D296" s="29" t="s">
        <v>504</v>
      </c>
      <c r="E296" s="31">
        <v>39</v>
      </c>
      <c r="F296" s="34">
        <f ca="1">LOOKUP(C296,'QALS - Inspection Lot Record'!P:P,'QALS - Inspection Lot Record'!E:E)+RANDBETWEEN(0,1)</f>
        <v>46002</v>
      </c>
      <c r="G296" s="41" t="s">
        <v>478</v>
      </c>
      <c r="H296" s="34">
        <f t="shared" ca="1" si="4"/>
        <v>46002</v>
      </c>
      <c r="I296" s="29" t="str" cm="1">
        <f t="array" aca="1" ref="I296" ca="1">_xlfn.IFS(G296="Potency out of spec",CHOOSE(RANDBETWEEN(1,6),"Additional testing","Improve formulation","Update production SOP","Supplier evaluation","Training for operators","Equipment calibration"),
G296="PH Level out of range",CHOOSE(RANDBETWEEN(1,6),"PH monitoring","Adjust formulation","Update production SOP","Supplier evaluation","Training for operators","Equipment calibration"),
G296="Impurities out of limit",CHOOSE(RANDBETWEEN(1,6),"Improve purification","Raw material control","Update production SOP","Supplier evaluation","Training for operators","Equipment maintenance"),
G296="Process temp out of range",CHOOSE(RANDBETWEEN(1,6),"Temperature control","Update production SOP","Supplier evaluation","Training for operators",
"Equipment calibration","Preventive maintenance"),
G296="Dissolution rate low - 15 mins",CHOOSE(RANDBETWEEN(1,6),"Increase agitation","Reduce particle size","Update production SOP","Supplier evaluation",
"Training for operators","Equipment calibration"),
G296="Dissolution rate low - 30 mins",CHOOSE(RANDBETWEEN(1,6),"Increase disintegrant","Optimize granulation","Update production SOP","Supplier evaluation",
"Training for operators","Equipment calibration"),
G296="Dissolution rate low - 40 mins",CHOOSE(RANDBETWEEN(1,6),"Increase surface area","Optimize compression","Update production SOP","Supplier evaluation",
"Training for operators","Equipment calibration"),
G296="Dissolution rate high - 15 mins",CHOOSE(RANDBETWEEN(1,6),"Decrease agitation","Increase particle size","Update production SOP","Supplier evaluation","Training for operators","Equipment calibration"),
G296="Dissolution rate high - 30 mins",CHOOSE(RANDBETWEEN(1,6),"Decrease disintegrant","Optimize granulation","Update production SOP","Supplier evaluation","Training for operators","Equipment calibration"),
G296="Dissolution rate high - 40 mins",CHOOSE(RANDBETWEEN(1,6),"Decrease surface area","Optimize compression","Update production SOP","Supplier evaluation","Training for operators","Equipment calibration"))</f>
        <v>Supplier evaluation</v>
      </c>
    </row>
    <row r="297" spans="1:9" x14ac:dyDescent="0.35">
      <c r="A297" s="31">
        <v>200000646</v>
      </c>
      <c r="B297" s="31">
        <v>1010</v>
      </c>
      <c r="C297" s="31">
        <v>4264</v>
      </c>
      <c r="D297" s="29" t="s">
        <v>504</v>
      </c>
      <c r="E297" s="31">
        <v>21.9</v>
      </c>
      <c r="F297" s="34">
        <f ca="1">LOOKUP(C297,'QALS - Inspection Lot Record'!P:P,'QALS - Inspection Lot Record'!E:E)+RANDBETWEEN(0,1)</f>
        <v>46001</v>
      </c>
      <c r="G297" s="41" t="s">
        <v>483</v>
      </c>
      <c r="H297" s="34">
        <f t="shared" ca="1" si="4"/>
        <v>46003</v>
      </c>
      <c r="I297" s="29" t="str" cm="1">
        <f t="array" aca="1" ref="I297" ca="1">_xlfn.IFS(G297="Potency out of spec",CHOOSE(RANDBETWEEN(1,6),"Additional testing","Improve formulation","Update production SOP","Supplier evaluation","Training for operators","Equipment calibration"),
G297="PH Level out of range",CHOOSE(RANDBETWEEN(1,6),"PH monitoring","Adjust formulation","Update production SOP","Supplier evaluation","Training for operators","Equipment calibration"),
G297="Impurities out of limit",CHOOSE(RANDBETWEEN(1,6),"Improve purification","Raw material control","Update production SOP","Supplier evaluation","Training for operators","Equipment maintenance"),
G297="Process temp out of range",CHOOSE(RANDBETWEEN(1,6),"Temperature control","Update production SOP","Supplier evaluation","Training for operators",
"Equipment calibration","Preventive maintenance"),
G297="Dissolution rate low - 15 mins",CHOOSE(RANDBETWEEN(1,6),"Increase agitation","Reduce particle size","Update production SOP","Supplier evaluation",
"Training for operators","Equipment calibration"),
G297="Dissolution rate low - 30 mins",CHOOSE(RANDBETWEEN(1,6),"Increase disintegrant","Optimize granulation","Update production SOP","Supplier evaluation",
"Training for operators","Equipment calibration"),
G297="Dissolution rate low - 40 mins",CHOOSE(RANDBETWEEN(1,6),"Increase surface area","Optimize compression","Update production SOP","Supplier evaluation",
"Training for operators","Equipment calibration"),
G297="Dissolution rate high - 15 mins",CHOOSE(RANDBETWEEN(1,6),"Decrease agitation","Increase particle size","Update production SOP","Supplier evaluation","Training for operators","Equipment calibration"),
G297="Dissolution rate high - 30 mins",CHOOSE(RANDBETWEEN(1,6),"Decrease disintegrant","Optimize granulation","Update production SOP","Supplier evaluation","Training for operators","Equipment calibration"),
G297="Dissolution rate high - 40 mins",CHOOSE(RANDBETWEEN(1,6),"Decrease surface area","Optimize compression","Update production SOP","Supplier evaluation","Training for operators","Equipment calibration"))</f>
        <v>Equipment calibration</v>
      </c>
    </row>
    <row r="298" spans="1:9" x14ac:dyDescent="0.35">
      <c r="A298" s="31">
        <v>200000647</v>
      </c>
      <c r="B298" s="31">
        <v>1010</v>
      </c>
      <c r="C298" s="31">
        <v>4267</v>
      </c>
      <c r="D298" s="29" t="s">
        <v>431</v>
      </c>
      <c r="E298" s="31">
        <v>68.599999999999994</v>
      </c>
      <c r="F298" s="34">
        <f ca="1">LOOKUP(C298,'QALS - Inspection Lot Record'!P:P,'QALS - Inspection Lot Record'!E:E)+RANDBETWEEN(0,1)</f>
        <v>46003</v>
      </c>
      <c r="G298" s="41" t="s">
        <v>480</v>
      </c>
      <c r="H298" s="34">
        <f t="shared" ca="1" si="4"/>
        <v>46004</v>
      </c>
      <c r="I298" s="29" t="str" cm="1">
        <f t="array" aca="1" ref="I298" ca="1">_xlfn.IFS(G298="Potency out of spec",CHOOSE(RANDBETWEEN(1,6),"Additional testing","Improve formulation","Update production SOP","Supplier evaluation","Training for operators","Equipment calibration"),
G298="PH Level out of range",CHOOSE(RANDBETWEEN(1,6),"PH monitoring","Adjust formulation","Update production SOP","Supplier evaluation","Training for operators","Equipment calibration"),
G298="Impurities out of limit",CHOOSE(RANDBETWEEN(1,6),"Improve purification","Raw material control","Update production SOP","Supplier evaluation","Training for operators","Equipment maintenance"),
G298="Process temp out of range",CHOOSE(RANDBETWEEN(1,6),"Temperature control","Update production SOP","Supplier evaluation","Training for operators",
"Equipment calibration","Preventive maintenance"),
G298="Dissolution rate low - 15 mins",CHOOSE(RANDBETWEEN(1,6),"Increase agitation","Reduce particle size","Update production SOP","Supplier evaluation",
"Training for operators","Equipment calibration"),
G298="Dissolution rate low - 30 mins",CHOOSE(RANDBETWEEN(1,6),"Increase disintegrant","Optimize granulation","Update production SOP","Supplier evaluation",
"Training for operators","Equipment calibration"),
G298="Dissolution rate low - 40 mins",CHOOSE(RANDBETWEEN(1,6),"Increase surface area","Optimize compression","Update production SOP","Supplier evaluation",
"Training for operators","Equipment calibration"),
G298="Dissolution rate high - 15 mins",CHOOSE(RANDBETWEEN(1,6),"Decrease agitation","Increase particle size","Update production SOP","Supplier evaluation","Training for operators","Equipment calibration"),
G298="Dissolution rate high - 30 mins",CHOOSE(RANDBETWEEN(1,6),"Decrease disintegrant","Optimize granulation","Update production SOP","Supplier evaluation","Training for operators","Equipment calibration"),
G298="Dissolution rate high - 40 mins",CHOOSE(RANDBETWEEN(1,6),"Decrease surface area","Optimize compression","Update production SOP","Supplier evaluation","Training for operators","Equipment calibration"))</f>
        <v>Training for operators</v>
      </c>
    </row>
    <row r="299" spans="1:9" x14ac:dyDescent="0.35">
      <c r="A299" s="31">
        <v>200000648</v>
      </c>
      <c r="B299" s="31">
        <v>1010</v>
      </c>
      <c r="C299" s="31">
        <v>4272</v>
      </c>
      <c r="D299" s="29" t="s">
        <v>503</v>
      </c>
      <c r="E299" s="31">
        <v>78.8</v>
      </c>
      <c r="F299" s="34">
        <f ca="1">LOOKUP(C299,'QALS - Inspection Lot Record'!P:P,'QALS - Inspection Lot Record'!E:E)+RANDBETWEEN(0,1)</f>
        <v>46006</v>
      </c>
      <c r="G299" s="41" t="s">
        <v>486</v>
      </c>
      <c r="H299" s="34">
        <f t="shared" ca="1" si="4"/>
        <v>46007</v>
      </c>
      <c r="I299" s="29" t="str" cm="1">
        <f t="array" aca="1" ref="I299" ca="1">_xlfn.IFS(G299="Potency out of spec",CHOOSE(RANDBETWEEN(1,6),"Additional testing","Improve formulation","Update production SOP","Supplier evaluation","Training for operators","Equipment calibration"),
G299="PH Level out of range",CHOOSE(RANDBETWEEN(1,6),"PH monitoring","Adjust formulation","Update production SOP","Supplier evaluation","Training for operators","Equipment calibration"),
G299="Impurities out of limit",CHOOSE(RANDBETWEEN(1,6),"Improve purification","Raw material control","Update production SOP","Supplier evaluation","Training for operators","Equipment maintenance"),
G299="Process temp out of range",CHOOSE(RANDBETWEEN(1,6),"Temperature control","Update production SOP","Supplier evaluation","Training for operators",
"Equipment calibration","Preventive maintenance"),
G299="Dissolution rate low - 15 mins",CHOOSE(RANDBETWEEN(1,6),"Increase agitation","Reduce particle size","Update production SOP","Supplier evaluation",
"Training for operators","Equipment calibration"),
G299="Dissolution rate low - 30 mins",CHOOSE(RANDBETWEEN(1,6),"Increase disintegrant","Optimize granulation","Update production SOP","Supplier evaluation",
"Training for operators","Equipment calibration"),
G299="Dissolution rate low - 40 mins",CHOOSE(RANDBETWEEN(1,6),"Increase surface area","Optimize compression","Update production SOP","Supplier evaluation",
"Training for operators","Equipment calibration"),
G299="Dissolution rate high - 15 mins",CHOOSE(RANDBETWEEN(1,6),"Decrease agitation","Increase particle size","Update production SOP","Supplier evaluation","Training for operators","Equipment calibration"),
G299="Dissolution rate high - 30 mins",CHOOSE(RANDBETWEEN(1,6),"Decrease disintegrant","Optimize granulation","Update production SOP","Supplier evaluation","Training for operators","Equipment calibration"),
G299="Dissolution rate high - 40 mins",CHOOSE(RANDBETWEEN(1,6),"Decrease surface area","Optimize compression","Update production SOP","Supplier evaluation","Training for operators","Equipment calibration"))</f>
        <v>Equipment calibration</v>
      </c>
    </row>
    <row r="300" spans="1:9" x14ac:dyDescent="0.35">
      <c r="A300" s="31">
        <v>200000648</v>
      </c>
      <c r="B300" s="31">
        <v>1010</v>
      </c>
      <c r="C300" s="31">
        <v>4272</v>
      </c>
      <c r="D300" s="29" t="s">
        <v>503</v>
      </c>
      <c r="E300" s="31">
        <v>21.1</v>
      </c>
      <c r="F300" s="34">
        <f ca="1">LOOKUP(C300,'QALS - Inspection Lot Record'!P:P,'QALS - Inspection Lot Record'!E:E)+RANDBETWEEN(0,1)</f>
        <v>46006</v>
      </c>
      <c r="G300" s="41" t="s">
        <v>483</v>
      </c>
      <c r="H300" s="34">
        <f t="shared" ca="1" si="4"/>
        <v>46007</v>
      </c>
      <c r="I300" s="29" t="str" cm="1">
        <f t="array" aca="1" ref="I300" ca="1">_xlfn.IFS(G300="Potency out of spec",CHOOSE(RANDBETWEEN(1,6),"Additional testing","Improve formulation","Update production SOP","Supplier evaluation","Training for operators","Equipment calibration"),
G300="PH Level out of range",CHOOSE(RANDBETWEEN(1,6),"PH monitoring","Adjust formulation","Update production SOP","Supplier evaluation","Training for operators","Equipment calibration"),
G300="Impurities out of limit",CHOOSE(RANDBETWEEN(1,6),"Improve purification","Raw material control","Update production SOP","Supplier evaluation","Training for operators","Equipment maintenance"),
G300="Process temp out of range",CHOOSE(RANDBETWEEN(1,6),"Temperature control","Update production SOP","Supplier evaluation","Training for operators",
"Equipment calibration","Preventive maintenance"),
G300="Dissolution rate low - 15 mins",CHOOSE(RANDBETWEEN(1,6),"Increase agitation","Reduce particle size","Update production SOP","Supplier evaluation",
"Training for operators","Equipment calibration"),
G300="Dissolution rate low - 30 mins",CHOOSE(RANDBETWEEN(1,6),"Increase disintegrant","Optimize granulation","Update production SOP","Supplier evaluation",
"Training for operators","Equipment calibration"),
G300="Dissolution rate low - 40 mins",CHOOSE(RANDBETWEEN(1,6),"Increase surface area","Optimize compression","Update production SOP","Supplier evaluation",
"Training for operators","Equipment calibration"),
G300="Dissolution rate high - 15 mins",CHOOSE(RANDBETWEEN(1,6),"Decrease agitation","Increase particle size","Update production SOP","Supplier evaluation","Training for operators","Equipment calibration"),
G300="Dissolution rate high - 30 mins",CHOOSE(RANDBETWEEN(1,6),"Decrease disintegrant","Optimize granulation","Update production SOP","Supplier evaluation","Training for operators","Equipment calibration"),
G300="Dissolution rate high - 40 mins",CHOOSE(RANDBETWEEN(1,6),"Decrease surface area","Optimize compression","Update production SOP","Supplier evaluation","Training for operators","Equipment calibration"))</f>
        <v>Preventive maintenance</v>
      </c>
    </row>
    <row r="301" spans="1:9" x14ac:dyDescent="0.35">
      <c r="A301" s="31">
        <v>200000649</v>
      </c>
      <c r="B301" s="31">
        <v>1010</v>
      </c>
      <c r="C301" s="31">
        <v>4273</v>
      </c>
      <c r="D301" s="29" t="s">
        <v>503</v>
      </c>
      <c r="E301" s="31">
        <v>68.599999999999994</v>
      </c>
      <c r="F301" s="34">
        <f ca="1">LOOKUP(C301,'QALS - Inspection Lot Record'!P:P,'QALS - Inspection Lot Record'!E:E)+RANDBETWEEN(0,1)</f>
        <v>46007</v>
      </c>
      <c r="G301" s="41" t="s">
        <v>480</v>
      </c>
      <c r="H301" s="34">
        <f t="shared" ca="1" si="4"/>
        <v>46009</v>
      </c>
      <c r="I301" s="29" t="str" cm="1">
        <f t="array" aca="1" ref="I301" ca="1">_xlfn.IFS(G301="Potency out of spec",CHOOSE(RANDBETWEEN(1,6),"Additional testing","Improve formulation","Update production SOP","Supplier evaluation","Training for operators","Equipment calibration"),
G301="PH Level out of range",CHOOSE(RANDBETWEEN(1,6),"PH monitoring","Adjust formulation","Update production SOP","Supplier evaluation","Training for operators","Equipment calibration"),
G301="Impurities out of limit",CHOOSE(RANDBETWEEN(1,6),"Improve purification","Raw material control","Update production SOP","Supplier evaluation","Training for operators","Equipment maintenance"),
G301="Process temp out of range",CHOOSE(RANDBETWEEN(1,6),"Temperature control","Update production SOP","Supplier evaluation","Training for operators",
"Equipment calibration","Preventive maintenance"),
G301="Dissolution rate low - 15 mins",CHOOSE(RANDBETWEEN(1,6),"Increase agitation","Reduce particle size","Update production SOP","Supplier evaluation",
"Training for operators","Equipment calibration"),
G301="Dissolution rate low - 30 mins",CHOOSE(RANDBETWEEN(1,6),"Increase disintegrant","Optimize granulation","Update production SOP","Supplier evaluation",
"Training for operators","Equipment calibration"),
G301="Dissolution rate low - 40 mins",CHOOSE(RANDBETWEEN(1,6),"Increase surface area","Optimize compression","Update production SOP","Supplier evaluation",
"Training for operators","Equipment calibration"),
G301="Dissolution rate high - 15 mins",CHOOSE(RANDBETWEEN(1,6),"Decrease agitation","Increase particle size","Update production SOP","Supplier evaluation","Training for operators","Equipment calibration"),
G301="Dissolution rate high - 30 mins",CHOOSE(RANDBETWEEN(1,6),"Decrease disintegrant","Optimize granulation","Update production SOP","Supplier evaluation","Training for operators","Equipment calibration"),
G301="Dissolution rate high - 40 mins",CHOOSE(RANDBETWEEN(1,6),"Decrease surface area","Optimize compression","Update production SOP","Supplier evaluation","Training for operators","Equipment calibration"))</f>
        <v>Supplier evaluation</v>
      </c>
    </row>
    <row r="302" spans="1:9" x14ac:dyDescent="0.35">
      <c r="A302" s="31">
        <v>200000650</v>
      </c>
      <c r="B302" s="31">
        <v>1010</v>
      </c>
      <c r="C302" s="31">
        <v>4277</v>
      </c>
      <c r="D302" s="29" t="s">
        <v>429</v>
      </c>
      <c r="E302" s="31">
        <v>38.9</v>
      </c>
      <c r="F302" s="34">
        <f ca="1">LOOKUP(C302,'QALS - Inspection Lot Record'!P:P,'QALS - Inspection Lot Record'!E:E)+RANDBETWEEN(0,1)</f>
        <v>46009</v>
      </c>
      <c r="G302" s="41" t="s">
        <v>478</v>
      </c>
      <c r="H302" s="34">
        <f t="shared" ca="1" si="4"/>
        <v>46010</v>
      </c>
      <c r="I302" s="29" t="str" cm="1">
        <f t="array" aca="1" ref="I302" ca="1">_xlfn.IFS(G302="Potency out of spec",CHOOSE(RANDBETWEEN(1,6),"Additional testing","Improve formulation","Update production SOP","Supplier evaluation","Training for operators","Equipment calibration"),
G302="PH Level out of range",CHOOSE(RANDBETWEEN(1,6),"PH monitoring","Adjust formulation","Update production SOP","Supplier evaluation","Training for operators","Equipment calibration"),
G302="Impurities out of limit",CHOOSE(RANDBETWEEN(1,6),"Improve purification","Raw material control","Update production SOP","Supplier evaluation","Training for operators","Equipment maintenance"),
G302="Process temp out of range",CHOOSE(RANDBETWEEN(1,6),"Temperature control","Update production SOP","Supplier evaluation","Training for operators",
"Equipment calibration","Preventive maintenance"),
G302="Dissolution rate low - 15 mins",CHOOSE(RANDBETWEEN(1,6),"Increase agitation","Reduce particle size","Update production SOP","Supplier evaluation",
"Training for operators","Equipment calibration"),
G302="Dissolution rate low - 30 mins",CHOOSE(RANDBETWEEN(1,6),"Increase disintegrant","Optimize granulation","Update production SOP","Supplier evaluation",
"Training for operators","Equipment calibration"),
G302="Dissolution rate low - 40 mins",CHOOSE(RANDBETWEEN(1,6),"Increase surface area","Optimize compression","Update production SOP","Supplier evaluation",
"Training for operators","Equipment calibration"),
G302="Dissolution rate high - 15 mins",CHOOSE(RANDBETWEEN(1,6),"Decrease agitation","Increase particle size","Update production SOP","Supplier evaluation","Training for operators","Equipment calibration"),
G302="Dissolution rate high - 30 mins",CHOOSE(RANDBETWEEN(1,6),"Decrease disintegrant","Optimize granulation","Update production SOP","Supplier evaluation","Training for operators","Equipment calibration"),
G302="Dissolution rate high - 40 mins",CHOOSE(RANDBETWEEN(1,6),"Decrease surface area","Optimize compression","Update production SOP","Supplier evaluation","Training for operators","Equipment calibration"))</f>
        <v>Increase agitation</v>
      </c>
    </row>
    <row r="303" spans="1:9" x14ac:dyDescent="0.35">
      <c r="A303" s="31">
        <v>200000650</v>
      </c>
      <c r="B303" s="31">
        <v>1010</v>
      </c>
      <c r="C303" s="31">
        <v>4277</v>
      </c>
      <c r="D303" s="29" t="s">
        <v>429</v>
      </c>
      <c r="E303" s="31">
        <v>21.8</v>
      </c>
      <c r="F303" s="34">
        <f ca="1">LOOKUP(C303,'QALS - Inspection Lot Record'!P:P,'QALS - Inspection Lot Record'!E:E)+RANDBETWEEN(0,1)</f>
        <v>46009</v>
      </c>
      <c r="G303" s="41" t="s">
        <v>483</v>
      </c>
      <c r="H303" s="34">
        <f t="shared" ca="1" si="4"/>
        <v>46009</v>
      </c>
      <c r="I303" s="29" t="str" cm="1">
        <f t="array" aca="1" ref="I303" ca="1">_xlfn.IFS(G303="Potency out of spec",CHOOSE(RANDBETWEEN(1,6),"Additional testing","Improve formulation","Update production SOP","Supplier evaluation","Training for operators","Equipment calibration"),
G303="PH Level out of range",CHOOSE(RANDBETWEEN(1,6),"PH monitoring","Adjust formulation","Update production SOP","Supplier evaluation","Training for operators","Equipment calibration"),
G303="Impurities out of limit",CHOOSE(RANDBETWEEN(1,6),"Improve purification","Raw material control","Update production SOP","Supplier evaluation","Training for operators","Equipment maintenance"),
G303="Process temp out of range",CHOOSE(RANDBETWEEN(1,6),"Temperature control","Update production SOP","Supplier evaluation","Training for operators",
"Equipment calibration","Preventive maintenance"),
G303="Dissolution rate low - 15 mins",CHOOSE(RANDBETWEEN(1,6),"Increase agitation","Reduce particle size","Update production SOP","Supplier evaluation",
"Training for operators","Equipment calibration"),
G303="Dissolution rate low - 30 mins",CHOOSE(RANDBETWEEN(1,6),"Increase disintegrant","Optimize granulation","Update production SOP","Supplier evaluation",
"Training for operators","Equipment calibration"),
G303="Dissolution rate low - 40 mins",CHOOSE(RANDBETWEEN(1,6),"Increase surface area","Optimize compression","Update production SOP","Supplier evaluation",
"Training for operators","Equipment calibration"),
G303="Dissolution rate high - 15 mins",CHOOSE(RANDBETWEEN(1,6),"Decrease agitation","Increase particle size","Update production SOP","Supplier evaluation","Training for operators","Equipment calibration"),
G303="Dissolution rate high - 30 mins",CHOOSE(RANDBETWEEN(1,6),"Decrease disintegrant","Optimize granulation","Update production SOP","Supplier evaluation","Training for operators","Equipment calibration"),
G303="Dissolution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04" spans="1:9" x14ac:dyDescent="0.35">
      <c r="A304" s="31">
        <v>200000651</v>
      </c>
      <c r="B304" s="31">
        <v>1010</v>
      </c>
      <c r="C304" s="31">
        <v>4278</v>
      </c>
      <c r="D304" s="29" t="s">
        <v>433</v>
      </c>
      <c r="E304" s="31">
        <v>2</v>
      </c>
      <c r="F304" s="34">
        <f ca="1">LOOKUP(C304,'QALS - Inspection Lot Record'!P:P,'QALS - Inspection Lot Record'!E:E)+RANDBETWEEN(0,1)</f>
        <v>46009</v>
      </c>
      <c r="G304" s="41" t="s">
        <v>474</v>
      </c>
      <c r="H304" s="34">
        <f t="shared" ca="1" si="4"/>
        <v>46010</v>
      </c>
      <c r="I304" s="29" t="str" cm="1">
        <f t="array" aca="1" ref="I304" ca="1">_xlfn.IFS(G304="Potency out of spec",CHOOSE(RANDBETWEEN(1,6),"Additional testing","Improve formulation","Update production SOP","Supplier evaluation","Training for operators","Equipment calibration"),
G304="PH Level out of range",CHOOSE(RANDBETWEEN(1,6),"PH monitoring","Adjust formulation","Update production SOP","Supplier evaluation","Training for operators","Equipment calibration"),
G304="Impurities out of limit",CHOOSE(RANDBETWEEN(1,6),"Improve purification","Raw material control","Update production SOP","Supplier evaluation","Training for operators","Equipment maintenance"),
G304="Process temp out of range",CHOOSE(RANDBETWEEN(1,6),"Temperature control","Update production SOP","Supplier evaluation","Training for operators",
"Equipment calibration","Preventive maintenance"),
G304="Dissolution rate low - 15 mins",CHOOSE(RANDBETWEEN(1,6),"Increase agitation","Reduce particle size","Update production SOP","Supplier evaluation",
"Training for operators","Equipment calibration"),
G304="Dissolution rate low - 30 mins",CHOOSE(RANDBETWEEN(1,6),"Increase disintegrant","Optimize granulation","Update production SOP","Supplier evaluation",
"Training for operators","Equipment calibration"),
G304="Dissolution rate low - 40 mins",CHOOSE(RANDBETWEEN(1,6),"Increase surface area","Optimize compression","Update production SOP","Supplier evaluation",
"Training for operators","Equipment calibration"),
G304="Dissolution rate high - 15 mins",CHOOSE(RANDBETWEEN(1,6),"Decrease agitation","Increase particle size","Update production SOP","Supplier evaluation","Training for operators","Equipment calibration"),
G304="Dissolution rate high - 30 mins",CHOOSE(RANDBETWEEN(1,6),"Decrease disintegrant","Optimize granulation","Update production SOP","Supplier evaluation","Training for operators","Equipment calibration"),
G304="Dissolution rate high - 40 mins",CHOOSE(RANDBETWEEN(1,6),"Decrease surface area","Optimize compression","Update production SOP","Supplier evaluation","Training for operators","Equipment calibration"))</f>
        <v>Supplier evaluation</v>
      </c>
    </row>
    <row r="305" spans="1:9" x14ac:dyDescent="0.35">
      <c r="A305" s="31">
        <v>200000651</v>
      </c>
      <c r="B305" s="31">
        <v>1010</v>
      </c>
      <c r="C305" s="31">
        <v>4278</v>
      </c>
      <c r="D305" s="29" t="s">
        <v>433</v>
      </c>
      <c r="E305" s="31">
        <v>69</v>
      </c>
      <c r="F305" s="34">
        <f ca="1">LOOKUP(C305,'QALS - Inspection Lot Record'!P:P,'QALS - Inspection Lot Record'!E:E)+RANDBETWEEN(0,1)</f>
        <v>46008</v>
      </c>
      <c r="G305" s="41" t="s">
        <v>480</v>
      </c>
      <c r="H305" s="34">
        <f t="shared" ca="1" si="4"/>
        <v>46009</v>
      </c>
      <c r="I305" s="29" t="str" cm="1">
        <f t="array" aca="1" ref="I305" ca="1">_xlfn.IFS(G305="Potency out of spec",CHOOSE(RANDBETWEEN(1,6),"Additional testing","Improve formulation","Update production SOP","Supplier evaluation","Training for operators","Equipment calibration"),
G305="PH Level out of range",CHOOSE(RANDBETWEEN(1,6),"PH monitoring","Adjust formulation","Update production SOP","Supplier evaluation","Training for operators","Equipment calibration"),
G305="Impurities out of limit",CHOOSE(RANDBETWEEN(1,6),"Improve purification","Raw material control","Update production SOP","Supplier evaluation","Training for operators","Equipment maintenance"),
G305="Process temp out of range",CHOOSE(RANDBETWEEN(1,6),"Temperature control","Update production SOP","Supplier evaluation","Training for operators",
"Equipment calibration","Preventive maintenance"),
G305="Dissolution rate low - 15 mins",CHOOSE(RANDBETWEEN(1,6),"Increase agitation","Reduce particle size","Update production SOP","Supplier evaluation",
"Training for operators","Equipment calibration"),
G305="Dissolution rate low - 30 mins",CHOOSE(RANDBETWEEN(1,6),"Increase disintegrant","Optimize granulation","Update production SOP","Supplier evaluation",
"Training for operators","Equipment calibration"),
G305="Dissolution rate low - 40 mins",CHOOSE(RANDBETWEEN(1,6),"Increase surface area","Optimize compression","Update production SOP","Supplier evaluation",
"Training for operators","Equipment calibration"),
G305="Dissolution rate high - 15 mins",CHOOSE(RANDBETWEEN(1,6),"Decrease agitation","Increase particle size","Update production SOP","Supplier evaluation","Training for operators","Equipment calibration"),
G305="Dissolution rate high - 30 mins",CHOOSE(RANDBETWEEN(1,6),"Decrease disintegrant","Optimize granulation","Update production SOP","Supplier evaluation","Training for operators","Equipment calibration"),
G305="Dissolution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06" spans="1:9" x14ac:dyDescent="0.35">
      <c r="A306" s="31">
        <v>200000651</v>
      </c>
      <c r="B306" s="31">
        <v>1010</v>
      </c>
      <c r="C306" s="31">
        <v>4278</v>
      </c>
      <c r="D306" s="29" t="s">
        <v>433</v>
      </c>
      <c r="E306" s="31">
        <v>21.1</v>
      </c>
      <c r="F306" s="34">
        <f ca="1">LOOKUP(C306,'QALS - Inspection Lot Record'!P:P,'QALS - Inspection Lot Record'!E:E)+RANDBETWEEN(0,1)</f>
        <v>46008</v>
      </c>
      <c r="G306" s="41" t="s">
        <v>483</v>
      </c>
      <c r="H306" s="34">
        <f t="shared" ca="1" si="4"/>
        <v>46008</v>
      </c>
      <c r="I306" s="29" t="str" cm="1">
        <f t="array" aca="1" ref="I306" ca="1">_xlfn.IFS(G306="Potency out of spec",CHOOSE(RANDBETWEEN(1,6),"Additional testing","Improve formulation","Update production SOP","Supplier evaluation","Training for operators","Equipment calibration"),
G306="PH Level out of range",CHOOSE(RANDBETWEEN(1,6),"PH monitoring","Adjust formulation","Update production SOP","Supplier evaluation","Training for operators","Equipment calibration"),
G306="Impurities out of limit",CHOOSE(RANDBETWEEN(1,6),"Improve purification","Raw material control","Update production SOP","Supplier evaluation","Training for operators","Equipment maintenance"),
G306="Process temp out of range",CHOOSE(RANDBETWEEN(1,6),"Temperature control","Update production SOP","Supplier evaluation","Training for operators",
"Equipment calibration","Preventive maintenance"),
G306="Dissolution rate low - 15 mins",CHOOSE(RANDBETWEEN(1,6),"Increase agitation","Reduce particle size","Update production SOP","Supplier evaluation",
"Training for operators","Equipment calibration"),
G306="Dissolution rate low - 30 mins",CHOOSE(RANDBETWEEN(1,6),"Increase disintegrant","Optimize granulation","Update production SOP","Supplier evaluation",
"Training for operators","Equipment calibration"),
G306="Dissolution rate low - 40 mins",CHOOSE(RANDBETWEEN(1,6),"Increase surface area","Optimize compression","Update production SOP","Supplier evaluation",
"Training for operators","Equipment calibration"),
G306="Dissolution rate high - 15 mins",CHOOSE(RANDBETWEEN(1,6),"Decrease agitation","Increase particle size","Update production SOP","Supplier evaluation","Training for operators","Equipment calibration"),
G306="Dissolution rate high - 30 mins",CHOOSE(RANDBETWEEN(1,6),"Decrease disintegrant","Optimize granulation","Update production SOP","Supplier evaluation","Training for operators","Equipment calibration"),
G306="Dissolution rate high - 40 mins",CHOOSE(RANDBETWEEN(1,6),"Decrease surface area","Optimize compression","Update production SOP","Supplier evaluation","Training for operators","Equipment calibration"))</f>
        <v>Supplier evaluation</v>
      </c>
    </row>
    <row r="307" spans="1:9" x14ac:dyDescent="0.35">
      <c r="A307" s="31">
        <v>200000652</v>
      </c>
      <c r="B307" s="31">
        <v>1010</v>
      </c>
      <c r="C307" s="31">
        <v>4281</v>
      </c>
      <c r="D307" s="29" t="s">
        <v>504</v>
      </c>
      <c r="E307" s="31">
        <v>93.9</v>
      </c>
      <c r="F307" s="34">
        <f ca="1">LOOKUP(C307,'QALS - Inspection Lot Record'!P:P,'QALS - Inspection Lot Record'!E:E)+RANDBETWEEN(0,1)</f>
        <v>46011</v>
      </c>
      <c r="G307" s="41" t="s">
        <v>472</v>
      </c>
      <c r="H307" s="34">
        <f t="shared" ca="1" si="4"/>
        <v>46013</v>
      </c>
      <c r="I307" s="29" t="str" cm="1">
        <f t="array" aca="1" ref="I307" ca="1">_xlfn.IFS(G307="Potency out of spec",CHOOSE(RANDBETWEEN(1,6),"Additional testing","Improve formulation","Update production SOP","Supplier evaluation","Training for operators","Equipment calibration"),
G307="PH Level out of range",CHOOSE(RANDBETWEEN(1,6),"PH monitoring","Adjust formulation","Update production SOP","Supplier evaluation","Training for operators","Equipment calibration"),
G307="Impurities out of limit",CHOOSE(RANDBETWEEN(1,6),"Improve purification","Raw material control","Update production SOP","Supplier evaluation","Training for operators","Equipment maintenance"),
G307="Process temp out of range",CHOOSE(RANDBETWEEN(1,6),"Temperature control","Update production SOP","Supplier evaluation","Training for operators",
"Equipment calibration","Preventive maintenance"),
G307="Dissolution rate low - 15 mins",CHOOSE(RANDBETWEEN(1,6),"Increase agitation","Reduce particle size","Update production SOP","Supplier evaluation",
"Training for operators","Equipment calibration"),
G307="Dissolution rate low - 30 mins",CHOOSE(RANDBETWEEN(1,6),"Increase disintegrant","Optimize granulation","Update production SOP","Supplier evaluation",
"Training for operators","Equipment calibration"),
G307="Dissolution rate low - 40 mins",CHOOSE(RANDBETWEEN(1,6),"Increase surface area","Optimize compression","Update production SOP","Supplier evaluation",
"Training for operators","Equipment calibration"),
G307="Dissolution rate high - 15 mins",CHOOSE(RANDBETWEEN(1,6),"Decrease agitation","Increase particle size","Update production SOP","Supplier evaluation","Training for operators","Equipment calibration"),
G307="Dissolution rate high - 30 mins",CHOOSE(RANDBETWEEN(1,6),"Decrease disintegrant","Optimize granulation","Update production SOP","Supplier evaluation","Training for operators","Equipment calibration"),
G307="Dissolution rate high - 40 mins",CHOOSE(RANDBETWEEN(1,6),"Decrease surface area","Optimize compression","Update production SOP","Supplier evaluation","Training for operators","Equipment calibration"))</f>
        <v>Equipment calibration</v>
      </c>
    </row>
    <row r="308" spans="1:9" x14ac:dyDescent="0.35">
      <c r="A308" s="31">
        <v>200000652</v>
      </c>
      <c r="B308" s="31">
        <v>1010</v>
      </c>
      <c r="C308" s="31">
        <v>4281</v>
      </c>
      <c r="D308" s="29" t="s">
        <v>504</v>
      </c>
      <c r="E308" s="31">
        <v>68.3</v>
      </c>
      <c r="F308" s="34">
        <f ca="1">LOOKUP(C308,'QALS - Inspection Lot Record'!P:P,'QALS - Inspection Lot Record'!E:E)+RANDBETWEEN(0,1)</f>
        <v>46010</v>
      </c>
      <c r="G308" s="41" t="s">
        <v>480</v>
      </c>
      <c r="H308" s="34">
        <f t="shared" ca="1" si="4"/>
        <v>46011</v>
      </c>
      <c r="I308" s="29" t="str" cm="1">
        <f t="array" aca="1" ref="I308" ca="1">_xlfn.IFS(G308="Potency out of spec",CHOOSE(RANDBETWEEN(1,6),"Additional testing","Improve formulation","Update production SOP","Supplier evaluation","Training for operators","Equipment calibration"),
G308="PH Level out of range",CHOOSE(RANDBETWEEN(1,6),"PH monitoring","Adjust formulation","Update production SOP","Supplier evaluation","Training for operators","Equipment calibration"),
G308="Impurities out of limit",CHOOSE(RANDBETWEEN(1,6),"Improve purification","Raw material control","Update production SOP","Supplier evaluation","Training for operators","Equipment maintenance"),
G308="Process temp out of range",CHOOSE(RANDBETWEEN(1,6),"Temperature control","Update production SOP","Supplier evaluation","Training for operators",
"Equipment calibration","Preventive maintenance"),
G308="Dissolution rate low - 15 mins",CHOOSE(RANDBETWEEN(1,6),"Increase agitation","Reduce particle size","Update production SOP","Supplier evaluation",
"Training for operators","Equipment calibration"),
G308="Dissolution rate low - 30 mins",CHOOSE(RANDBETWEEN(1,6),"Increase disintegrant","Optimize granulation","Update production SOP","Supplier evaluation",
"Training for operators","Equipment calibration"),
G308="Dissolution rate low - 40 mins",CHOOSE(RANDBETWEEN(1,6),"Increase surface area","Optimize compression","Update production SOP","Supplier evaluation",
"Training for operators","Equipment calibration"),
G308="Dissolution rate high - 15 mins",CHOOSE(RANDBETWEEN(1,6),"Decrease agitation","Increase particle size","Update production SOP","Supplier evaluation","Training for operators","Equipment calibration"),
G308="Dissolution rate high - 30 mins",CHOOSE(RANDBETWEEN(1,6),"Decrease disintegrant","Optimize granulation","Update production SOP","Supplier evaluation","Training for operators","Equipment calibration"),
G308="Dissolution rate high - 40 mins",CHOOSE(RANDBETWEEN(1,6),"Decrease surface area","Optimize compression","Update production SOP","Supplier evaluation","Training for operators","Equipment calibration"))</f>
        <v>Equipment calibration</v>
      </c>
    </row>
    <row r="309" spans="1:9" x14ac:dyDescent="0.35">
      <c r="A309" s="31">
        <v>200000652</v>
      </c>
      <c r="B309" s="31">
        <v>1010</v>
      </c>
      <c r="C309" s="31">
        <v>4281</v>
      </c>
      <c r="D309" s="29" t="s">
        <v>504</v>
      </c>
      <c r="E309" s="31">
        <v>21</v>
      </c>
      <c r="F309" s="34">
        <f ca="1">LOOKUP(C309,'QALS - Inspection Lot Record'!P:P,'QALS - Inspection Lot Record'!E:E)+RANDBETWEEN(0,1)</f>
        <v>46010</v>
      </c>
      <c r="G309" s="41" t="s">
        <v>483</v>
      </c>
      <c r="H309" s="34">
        <f t="shared" ca="1" si="4"/>
        <v>46011</v>
      </c>
      <c r="I309" s="29" t="str" cm="1">
        <f t="array" aca="1" ref="I309" ca="1">_xlfn.IFS(G309="Potency out of spec",CHOOSE(RANDBETWEEN(1,6),"Additional testing","Improve formulation","Update production SOP","Supplier evaluation","Training for operators","Equipment calibration"),
G309="PH Level out of range",CHOOSE(RANDBETWEEN(1,6),"PH monitoring","Adjust formulation","Update production SOP","Supplier evaluation","Training for operators","Equipment calibration"),
G309="Impurities out of limit",CHOOSE(RANDBETWEEN(1,6),"Improve purification","Raw material control","Update production SOP","Supplier evaluation","Training for operators","Equipment maintenance"),
G309="Process temp out of range",CHOOSE(RANDBETWEEN(1,6),"Temperature control","Update production SOP","Supplier evaluation","Training for operators",
"Equipment calibration","Preventive maintenance"),
G309="Dissolution rate low - 15 mins",CHOOSE(RANDBETWEEN(1,6),"Increase agitation","Reduce particle size","Update production SOP","Supplier evaluation",
"Training for operators","Equipment calibration"),
G309="Dissolution rate low - 30 mins",CHOOSE(RANDBETWEEN(1,6),"Increase disintegrant","Optimize granulation","Update production SOP","Supplier evaluation",
"Training for operators","Equipment calibration"),
G309="Dissolution rate low - 40 mins",CHOOSE(RANDBETWEEN(1,6),"Increase surface area","Optimize compression","Update production SOP","Supplier evaluation",
"Training for operators","Equipment calibration"),
G309="Dissolution rate high - 15 mins",CHOOSE(RANDBETWEEN(1,6),"Decrease agitation","Increase particle size","Update production SOP","Supplier evaluation","Training for operators","Equipment calibration"),
G309="Dissolution rate high - 30 mins",CHOOSE(RANDBETWEEN(1,6),"Decrease disintegrant","Optimize granulation","Update production SOP","Supplier evaluation","Training for operators","Equipment calibration"),
G309="Dissolution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10" spans="1:9" x14ac:dyDescent="0.35">
      <c r="A310" s="31">
        <v>200000653</v>
      </c>
      <c r="B310" s="31">
        <v>1010</v>
      </c>
      <c r="C310" s="31">
        <v>4282</v>
      </c>
      <c r="D310" s="29" t="s">
        <v>433</v>
      </c>
      <c r="E310" s="31">
        <v>2</v>
      </c>
      <c r="F310" s="34">
        <f ca="1">LOOKUP(C310,'QALS - Inspection Lot Record'!P:P,'QALS - Inspection Lot Record'!E:E)+RANDBETWEEN(0,1)</f>
        <v>46010</v>
      </c>
      <c r="G310" s="41" t="s">
        <v>474</v>
      </c>
      <c r="H310" s="34">
        <f t="shared" ca="1" si="4"/>
        <v>46012</v>
      </c>
      <c r="I310" s="29" t="str" cm="1">
        <f t="array" aca="1" ref="I310" ca="1">_xlfn.IFS(G310="Potency out of spec",CHOOSE(RANDBETWEEN(1,6),"Additional testing","Improve formulation","Update production SOP","Supplier evaluation","Training for operators","Equipment calibration"),
G310="PH Level out of range",CHOOSE(RANDBETWEEN(1,6),"PH monitoring","Adjust formulation","Update production SOP","Supplier evaluation","Training for operators","Equipment calibration"),
G310="Impurities out of limit",CHOOSE(RANDBETWEEN(1,6),"Improve purification","Raw material control","Update production SOP","Supplier evaluation","Training for operators","Equipment maintenance"),
G310="Process temp out of range",CHOOSE(RANDBETWEEN(1,6),"Temperature control","Update production SOP","Supplier evaluation","Training for operators",
"Equipment calibration","Preventive maintenance"),
G310="Dissolution rate low - 15 mins",CHOOSE(RANDBETWEEN(1,6),"Increase agitation","Reduce particle size","Update production SOP","Supplier evaluation",
"Training for operators","Equipment calibration"),
G310="Dissolution rate low - 30 mins",CHOOSE(RANDBETWEEN(1,6),"Increase disintegrant","Optimize granulation","Update production SOP","Supplier evaluation",
"Training for operators","Equipment calibration"),
G310="Dissolution rate low - 40 mins",CHOOSE(RANDBETWEEN(1,6),"Increase surface area","Optimize compression","Update production SOP","Supplier evaluation",
"Training for operators","Equipment calibration"),
G310="Dissolution rate high - 15 mins",CHOOSE(RANDBETWEEN(1,6),"Decrease agitation","Increase particle size","Update production SOP","Supplier evaluation","Training for operators","Equipment calibration"),
G310="Dissolution rate high - 30 mins",CHOOSE(RANDBETWEEN(1,6),"Decrease disintegrant","Optimize granulation","Update production SOP","Supplier evaluation","Training for operators","Equipment calibration"),
G310="Dissolution rate high - 40 mins",CHOOSE(RANDBETWEEN(1,6),"Decrease surface area","Optimize compression","Update production SOP","Supplier evaluation","Training for operators","Equipment calibration"))</f>
        <v>Adjust formulation</v>
      </c>
    </row>
    <row r="311" spans="1:9" x14ac:dyDescent="0.35">
      <c r="A311" s="31">
        <v>200000653</v>
      </c>
      <c r="B311" s="31">
        <v>1010</v>
      </c>
      <c r="C311" s="31">
        <v>4282</v>
      </c>
      <c r="D311" s="29" t="s">
        <v>433</v>
      </c>
      <c r="E311" s="31">
        <v>78.400000000000006</v>
      </c>
      <c r="F311" s="34">
        <f ca="1">LOOKUP(C311,'QALS - Inspection Lot Record'!P:P,'QALS - Inspection Lot Record'!E:E)+RANDBETWEEN(0,1)</f>
        <v>46011</v>
      </c>
      <c r="G311" s="41" t="s">
        <v>486</v>
      </c>
      <c r="H311" s="34">
        <f t="shared" ca="1" si="4"/>
        <v>46012</v>
      </c>
      <c r="I311" s="29" t="str" cm="1">
        <f t="array" aca="1" ref="I311" ca="1">_xlfn.IFS(G311="Potency out of spec",CHOOSE(RANDBETWEEN(1,6),"Additional testing","Improve formulation","Update production SOP","Supplier evaluation","Training for operators","Equipment calibration"),
G311="PH Level out of range",CHOOSE(RANDBETWEEN(1,6),"PH monitoring","Adjust formulation","Update production SOP","Supplier evaluation","Training for operators","Equipment calibration"),
G311="Impurities out of limit",CHOOSE(RANDBETWEEN(1,6),"Improve purification","Raw material control","Update production SOP","Supplier evaluation","Training for operators","Equipment maintenance"),
G311="Process temp out of range",CHOOSE(RANDBETWEEN(1,6),"Temperature control","Update production SOP","Supplier evaluation","Training for operators",
"Equipment calibration","Preventive maintenance"),
G311="Dissolution rate low - 15 mins",CHOOSE(RANDBETWEEN(1,6),"Increase agitation","Reduce particle size","Update production SOP","Supplier evaluation",
"Training for operators","Equipment calibration"),
G311="Dissolution rate low - 30 mins",CHOOSE(RANDBETWEEN(1,6),"Increase disintegrant","Optimize granulation","Update production SOP","Supplier evaluation",
"Training for operators","Equipment calibration"),
G311="Dissolution rate low - 40 mins",CHOOSE(RANDBETWEEN(1,6),"Increase surface area","Optimize compression","Update production SOP","Supplier evaluation",
"Training for operators","Equipment calibration"),
G311="Dissolution rate high - 15 mins",CHOOSE(RANDBETWEEN(1,6),"Decrease agitation","Increase particle size","Update production SOP","Supplier evaluation","Training for operators","Equipment calibration"),
G311="Dissolution rate high - 30 mins",CHOOSE(RANDBETWEEN(1,6),"Decrease disintegrant","Optimize granulation","Update production SOP","Supplier evaluation","Training for operators","Equipment calibration"),
G311="Dissolution rate high - 40 mins",CHOOSE(RANDBETWEEN(1,6),"Decrease surface area","Optimize compression","Update production SOP","Supplier evaluation","Training for operators","Equipment calibration"))</f>
        <v>Equipment calibration</v>
      </c>
    </row>
    <row r="312" spans="1:9" x14ac:dyDescent="0.35">
      <c r="A312" s="31">
        <v>200000654</v>
      </c>
      <c r="B312" s="31">
        <v>1010</v>
      </c>
      <c r="C312" s="31">
        <v>4285</v>
      </c>
      <c r="D312" s="29" t="s">
        <v>503</v>
      </c>
      <c r="E312" s="31">
        <v>1.9</v>
      </c>
      <c r="F312" s="34">
        <f ca="1">LOOKUP(C312,'QALS - Inspection Lot Record'!P:P,'QALS - Inspection Lot Record'!E:E)+RANDBETWEEN(0,1)</f>
        <v>46012</v>
      </c>
      <c r="G312" s="41" t="s">
        <v>474</v>
      </c>
      <c r="H312" s="34">
        <f t="shared" ca="1" si="4"/>
        <v>46013</v>
      </c>
      <c r="I312" s="29" t="str" cm="1">
        <f t="array" aca="1" ref="I312" ca="1">_xlfn.IFS(G312="Potency out of spec",CHOOSE(RANDBETWEEN(1,6),"Additional testing","Improve formulation","Update production SOP","Supplier evaluation","Training for operators","Equipment calibration"),
G312="PH Level out of range",CHOOSE(RANDBETWEEN(1,6),"PH monitoring","Adjust formulation","Update production SOP","Supplier evaluation","Training for operators","Equipment calibration"),
G312="Impurities out of limit",CHOOSE(RANDBETWEEN(1,6),"Improve purification","Raw material control","Update production SOP","Supplier evaluation","Training for operators","Equipment maintenance"),
G312="Process temp out of range",CHOOSE(RANDBETWEEN(1,6),"Temperature control","Update production SOP","Supplier evaluation","Training for operators",
"Equipment calibration","Preventive maintenance"),
G312="Dissolution rate low - 15 mins",CHOOSE(RANDBETWEEN(1,6),"Increase agitation","Reduce particle size","Update production SOP","Supplier evaluation",
"Training for operators","Equipment calibration"),
G312="Dissolution rate low - 30 mins",CHOOSE(RANDBETWEEN(1,6),"Increase disintegrant","Optimize granulation","Update production SOP","Supplier evaluation",
"Training for operators","Equipment calibration"),
G312="Dissolution rate low - 40 mins",CHOOSE(RANDBETWEEN(1,6),"Increase surface area","Optimize compression","Update production SOP","Supplier evaluation",
"Training for operators","Equipment calibration"),
G312="Dissolution rate high - 15 mins",CHOOSE(RANDBETWEEN(1,6),"Decrease agitation","Increase particle size","Update production SOP","Supplier evaluation","Training for operators","Equipment calibration"),
G312="Dissolution rate high - 30 mins",CHOOSE(RANDBETWEEN(1,6),"Decrease disintegrant","Optimize granulation","Update production SOP","Supplier evaluation","Training for operators","Equipment calibration"),
G312="Dissolution rate high - 40 mins",CHOOSE(RANDBETWEEN(1,6),"Decrease surface area","Optimize compression","Update production SOP","Supplier evaluation","Training for operators","Equipment calibration"))</f>
        <v>Equipment calibration</v>
      </c>
    </row>
    <row r="313" spans="1:9" x14ac:dyDescent="0.35">
      <c r="A313" s="31">
        <v>200000654</v>
      </c>
      <c r="B313" s="31">
        <v>1010</v>
      </c>
      <c r="C313" s="31">
        <v>4285</v>
      </c>
      <c r="D313" s="29" t="s">
        <v>503</v>
      </c>
      <c r="E313" s="31">
        <v>68.099999999999994</v>
      </c>
      <c r="F313" s="34">
        <f ca="1">LOOKUP(C313,'QALS - Inspection Lot Record'!P:P,'QALS - Inspection Lot Record'!E:E)+RANDBETWEEN(0,1)</f>
        <v>46013</v>
      </c>
      <c r="G313" s="41" t="s">
        <v>480</v>
      </c>
      <c r="H313" s="34">
        <f t="shared" ca="1" si="4"/>
        <v>46014</v>
      </c>
      <c r="I313" s="29" t="str" cm="1">
        <f t="array" aca="1" ref="I313" ca="1">_xlfn.IFS(G313="Potency out of spec",CHOOSE(RANDBETWEEN(1,6),"Additional testing","Improve formulation","Update production SOP","Supplier evaluation","Training for operators","Equipment calibration"),
G313="PH Level out of range",CHOOSE(RANDBETWEEN(1,6),"PH monitoring","Adjust formulation","Update production SOP","Supplier evaluation","Training for operators","Equipment calibration"),
G313="Impurities out of limit",CHOOSE(RANDBETWEEN(1,6),"Improve purification","Raw material control","Update production SOP","Supplier evaluation","Training for operators","Equipment maintenance"),
G313="Process temp out of range",CHOOSE(RANDBETWEEN(1,6),"Temperature control","Update production SOP","Supplier evaluation","Training for operators",
"Equipment calibration","Preventive maintenance"),
G313="Dissolution rate low - 15 mins",CHOOSE(RANDBETWEEN(1,6),"Increase agitation","Reduce particle size","Update production SOP","Supplier evaluation",
"Training for operators","Equipment calibration"),
G313="Dissolution rate low - 30 mins",CHOOSE(RANDBETWEEN(1,6),"Increase disintegrant","Optimize granulation","Update production SOP","Supplier evaluation",
"Training for operators","Equipment calibration"),
G313="Dissolution rate low - 40 mins",CHOOSE(RANDBETWEEN(1,6),"Increase surface area","Optimize compression","Update production SOP","Supplier evaluation",
"Training for operators","Equipment calibration"),
G313="Dissolution rate high - 15 mins",CHOOSE(RANDBETWEEN(1,6),"Decrease agitation","Increase particle size","Update production SOP","Supplier evaluation","Training for operators","Equipment calibration"),
G313="Dissolution rate high - 30 mins",CHOOSE(RANDBETWEEN(1,6),"Decrease disintegrant","Optimize granulation","Update production SOP","Supplier evaluation","Training for operators","Equipment calibration"),
G313="Dissolution rate high - 40 mins",CHOOSE(RANDBETWEEN(1,6),"Decrease surface area","Optimize compression","Update production SOP","Supplier evaluation","Training for operators","Equipment calibration"))</f>
        <v>Update production SOP</v>
      </c>
    </row>
    <row r="314" spans="1:9" x14ac:dyDescent="0.35">
      <c r="A314" s="31">
        <v>200000654</v>
      </c>
      <c r="B314" s="31">
        <v>1010</v>
      </c>
      <c r="C314" s="31">
        <v>4285</v>
      </c>
      <c r="D314" s="29" t="s">
        <v>503</v>
      </c>
      <c r="E314" s="31">
        <v>78</v>
      </c>
      <c r="F314" s="34">
        <f ca="1">LOOKUP(C314,'QALS - Inspection Lot Record'!P:P,'QALS - Inspection Lot Record'!E:E)+RANDBETWEEN(0,1)</f>
        <v>46013</v>
      </c>
      <c r="G314" s="41" t="s">
        <v>486</v>
      </c>
      <c r="H314" s="34">
        <f t="shared" ca="1" si="4"/>
        <v>46013</v>
      </c>
      <c r="I314" s="29" t="str" cm="1">
        <f t="array" aca="1" ref="I314" ca="1">_xlfn.IFS(G314="Potency out of spec",CHOOSE(RANDBETWEEN(1,6),"Additional testing","Improve formulation","Update production SOP","Supplier evaluation","Training for operators","Equipment calibration"),
G314="PH Level out of range",CHOOSE(RANDBETWEEN(1,6),"PH monitoring","Adjust formulation","Update production SOP","Supplier evaluation","Training for operators","Equipment calibration"),
G314="Impurities out of limit",CHOOSE(RANDBETWEEN(1,6),"Improve purification","Raw material control","Update production SOP","Supplier evaluation","Training for operators","Equipment maintenance"),
G314="Process temp out of range",CHOOSE(RANDBETWEEN(1,6),"Temperature control","Update production SOP","Supplier evaluation","Training for operators",
"Equipment calibration","Preventive maintenance"),
G314="Dissolution rate low - 15 mins",CHOOSE(RANDBETWEEN(1,6),"Increase agitation","Reduce particle size","Update production SOP","Supplier evaluation",
"Training for operators","Equipment calibration"),
G314="Dissolution rate low - 30 mins",CHOOSE(RANDBETWEEN(1,6),"Increase disintegrant","Optimize granulation","Update production SOP","Supplier evaluation",
"Training for operators","Equipment calibration"),
G314="Dissolution rate low - 40 mins",CHOOSE(RANDBETWEEN(1,6),"Increase surface area","Optimize compression","Update production SOP","Supplier evaluation",
"Training for operators","Equipment calibration"),
G314="Dissolution rate high - 15 mins",CHOOSE(RANDBETWEEN(1,6),"Decrease agitation","Increase particle size","Update production SOP","Supplier evaluation","Training for operators","Equipment calibration"),
G314="Dissolution rate high - 30 mins",CHOOSE(RANDBETWEEN(1,6),"Decrease disintegrant","Optimize granulation","Update production SOP","Supplier evaluation","Training for operators","Equipment calibration"),
G314="Dissolution rate high - 40 mins",CHOOSE(RANDBETWEEN(1,6),"Decrease surface area","Optimize compression","Update production SOP","Supplier evaluation","Training for operators","Equipment calibration"))</f>
        <v>Update production SOP</v>
      </c>
    </row>
    <row r="315" spans="1:9" x14ac:dyDescent="0.35">
      <c r="A315" s="31">
        <v>200000655</v>
      </c>
      <c r="B315" s="31">
        <v>1010</v>
      </c>
      <c r="C315" s="31">
        <v>4286</v>
      </c>
      <c r="D315" s="29" t="s">
        <v>504</v>
      </c>
      <c r="E315" s="31">
        <v>94</v>
      </c>
      <c r="F315" s="34">
        <f ca="1">LOOKUP(C315,'QALS - Inspection Lot Record'!P:P,'QALS - Inspection Lot Record'!E:E)+RANDBETWEEN(0,1)</f>
        <v>46013</v>
      </c>
      <c r="G315" s="41" t="s">
        <v>472</v>
      </c>
      <c r="H315" s="34">
        <f t="shared" ca="1" si="4"/>
        <v>46014</v>
      </c>
      <c r="I315" s="29" t="str" cm="1">
        <f t="array" aca="1" ref="I315" ca="1">_xlfn.IFS(G315="Potency out of spec",CHOOSE(RANDBETWEEN(1,6),"Additional testing","Improve formulation","Update production SOP","Supplier evaluation","Training for operators","Equipment calibration"),
G315="PH Level out of range",CHOOSE(RANDBETWEEN(1,6),"PH monitoring","Adjust formulation","Update production SOP","Supplier evaluation","Training for operators","Equipment calibration"),
G315="Impurities out of limit",CHOOSE(RANDBETWEEN(1,6),"Improve purification","Raw material control","Update production SOP","Supplier evaluation","Training for operators","Equipment maintenance"),
G315="Process temp out of range",CHOOSE(RANDBETWEEN(1,6),"Temperature control","Update production SOP","Supplier evaluation","Training for operators",
"Equipment calibration","Preventive maintenance"),
G315="Dissolution rate low - 15 mins",CHOOSE(RANDBETWEEN(1,6),"Increase agitation","Reduce particle size","Update production SOP","Supplier evaluation",
"Training for operators","Equipment calibration"),
G315="Dissolution rate low - 30 mins",CHOOSE(RANDBETWEEN(1,6),"Increase disintegrant","Optimize granulation","Update production SOP","Supplier evaluation",
"Training for operators","Equipment calibration"),
G315="Dissolution rate low - 40 mins",CHOOSE(RANDBETWEEN(1,6),"Increase surface area","Optimize compression","Update production SOP","Supplier evaluation",
"Training for operators","Equipment calibration"),
G315="Dissolution rate high - 15 mins",CHOOSE(RANDBETWEEN(1,6),"Decrease agitation","Increase particle size","Update production SOP","Supplier evaluation","Training for operators","Equipment calibration"),
G315="Dissolution rate high - 30 mins",CHOOSE(RANDBETWEEN(1,6),"Decrease disintegrant","Optimize granulation","Update production SOP","Supplier evaluation","Training for operators","Equipment calibration"),
G315="Dissolution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16" spans="1:9" x14ac:dyDescent="0.35">
      <c r="A316" s="31">
        <v>200000655</v>
      </c>
      <c r="B316" s="31">
        <v>1010</v>
      </c>
      <c r="C316" s="31">
        <v>4286</v>
      </c>
      <c r="D316" s="29" t="s">
        <v>504</v>
      </c>
      <c r="E316" s="31">
        <v>3</v>
      </c>
      <c r="F316" s="34">
        <f ca="1">LOOKUP(C316,'QALS - Inspection Lot Record'!P:P,'QALS - Inspection Lot Record'!E:E)+RANDBETWEEN(0,1)</f>
        <v>46012</v>
      </c>
      <c r="G316" s="41" t="s">
        <v>476</v>
      </c>
      <c r="H316" s="34">
        <f t="shared" ca="1" si="4"/>
        <v>46013</v>
      </c>
      <c r="I316" s="29" t="str" cm="1">
        <f t="array" aca="1" ref="I316" ca="1">_xlfn.IFS(G316="Potency out of spec",CHOOSE(RANDBETWEEN(1,6),"Additional testing","Improve formulation","Update production SOP","Supplier evaluation","Training for operators","Equipment calibration"),
G316="PH Level out of range",CHOOSE(RANDBETWEEN(1,6),"PH monitoring","Adjust formulation","Update production SOP","Supplier evaluation","Training for operators","Equipment calibration"),
G316="Impurities out of limit",CHOOSE(RANDBETWEEN(1,6),"Improve purification","Raw material control","Update production SOP","Supplier evaluation","Training for operators","Equipment maintenance"),
G316="Process temp out of range",CHOOSE(RANDBETWEEN(1,6),"Temperature control","Update production SOP","Supplier evaluation","Training for operators",
"Equipment calibration","Preventive maintenance"),
G316="Dissolution rate low - 15 mins",CHOOSE(RANDBETWEEN(1,6),"Increase agitation","Reduce particle size","Update production SOP","Supplier evaluation",
"Training for operators","Equipment calibration"),
G316="Dissolution rate low - 30 mins",CHOOSE(RANDBETWEEN(1,6),"Increase disintegrant","Optimize granulation","Update production SOP","Supplier evaluation",
"Training for operators","Equipment calibration"),
G316="Dissolution rate low - 40 mins",CHOOSE(RANDBETWEEN(1,6),"Increase surface area","Optimize compression","Update production SOP","Supplier evaluation",
"Training for operators","Equipment calibration"),
G316="Dissolution rate high - 15 mins",CHOOSE(RANDBETWEEN(1,6),"Decrease agitation","Increase particle size","Update production SOP","Supplier evaluation","Training for operators","Equipment calibration"),
G316="Dissolution rate high - 30 mins",CHOOSE(RANDBETWEEN(1,6),"Decrease disintegrant","Optimize granulation","Update production SOP","Supplier evaluation","Training for operators","Equipment calibration"),
G316="Dissolution rate high - 40 mins",CHOOSE(RANDBETWEEN(1,6),"Decrease surface area","Optimize compression","Update production SOP","Supplier evaluation","Training for operators","Equipment calibration"))</f>
        <v>Raw material control</v>
      </c>
    </row>
    <row r="317" spans="1:9" x14ac:dyDescent="0.35">
      <c r="A317" s="31">
        <v>200000656</v>
      </c>
      <c r="B317" s="31">
        <v>1010</v>
      </c>
      <c r="C317" s="31">
        <v>4289</v>
      </c>
      <c r="D317" s="29" t="s">
        <v>503</v>
      </c>
      <c r="E317" s="31">
        <v>93.1</v>
      </c>
      <c r="F317" s="34">
        <f ca="1">LOOKUP(C317,'QALS - Inspection Lot Record'!P:P,'QALS - Inspection Lot Record'!E:E)+RANDBETWEEN(0,1)</f>
        <v>46015</v>
      </c>
      <c r="G317" s="41" t="s">
        <v>472</v>
      </c>
      <c r="H317" s="34">
        <f t="shared" ca="1" si="4"/>
        <v>46017</v>
      </c>
      <c r="I317" s="29" t="str" cm="1">
        <f t="array" aca="1" ref="I317" ca="1">_xlfn.IFS(G317="Potency out of spec",CHOOSE(RANDBETWEEN(1,6),"Additional testing","Improve formulation","Update production SOP","Supplier evaluation","Training for operators","Equipment calibration"),
G317="PH Level out of range",CHOOSE(RANDBETWEEN(1,6),"PH monitoring","Adjust formulation","Update production SOP","Supplier evaluation","Training for operators","Equipment calibration"),
G317="Impurities out of limit",CHOOSE(RANDBETWEEN(1,6),"Improve purification","Raw material control","Update production SOP","Supplier evaluation","Training for operators","Equipment maintenance"),
G317="Process temp out of range",CHOOSE(RANDBETWEEN(1,6),"Temperature control","Update production SOP","Supplier evaluation","Training for operators",
"Equipment calibration","Preventive maintenance"),
G317="Dissolution rate low - 15 mins",CHOOSE(RANDBETWEEN(1,6),"Increase agitation","Reduce particle size","Update production SOP","Supplier evaluation",
"Training for operators","Equipment calibration"),
G317="Dissolution rate low - 30 mins",CHOOSE(RANDBETWEEN(1,6),"Increase disintegrant","Optimize granulation","Update production SOP","Supplier evaluation",
"Training for operators","Equipment calibration"),
G317="Dissolution rate low - 40 mins",CHOOSE(RANDBETWEEN(1,6),"Increase surface area","Optimize compression","Update production SOP","Supplier evaluation",
"Training for operators","Equipment calibration"),
G317="Dissolution rate high - 15 mins",CHOOSE(RANDBETWEEN(1,6),"Decrease agitation","Increase particle size","Update production SOP","Supplier evaluation","Training for operators","Equipment calibration"),
G317="Dissolution rate high - 30 mins",CHOOSE(RANDBETWEEN(1,6),"Decrease disintegrant","Optimize granulation","Update production SOP","Supplier evaluation","Training for operators","Equipment calibration"),
G317="Dissolution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18" spans="1:9" x14ac:dyDescent="0.35">
      <c r="A318" s="31">
        <v>200000656</v>
      </c>
      <c r="B318" s="31">
        <v>1010</v>
      </c>
      <c r="C318" s="31">
        <v>4289</v>
      </c>
      <c r="D318" s="29" t="s">
        <v>503</v>
      </c>
      <c r="E318" s="31">
        <v>2.2999999999999998</v>
      </c>
      <c r="F318" s="34">
        <f ca="1">LOOKUP(C318,'QALS - Inspection Lot Record'!P:P,'QALS - Inspection Lot Record'!E:E)+RANDBETWEEN(0,1)</f>
        <v>46014</v>
      </c>
      <c r="G318" s="41" t="s">
        <v>474</v>
      </c>
      <c r="H318" s="34">
        <f t="shared" ca="1" si="4"/>
        <v>46014</v>
      </c>
      <c r="I318" s="29" t="str" cm="1">
        <f t="array" aca="1" ref="I318" ca="1">_xlfn.IFS(G318="Potency out of spec",CHOOSE(RANDBETWEEN(1,6),"Additional testing","Improve formulation","Update production SOP","Supplier evaluation","Training for operators","Equipment calibration"),
G318="PH Level out of range",CHOOSE(RANDBETWEEN(1,6),"PH monitoring","Adjust formulation","Update production SOP","Supplier evaluation","Training for operators","Equipment calibration"),
G318="Impurities out of limit",CHOOSE(RANDBETWEEN(1,6),"Improve purification","Raw material control","Update production SOP","Supplier evaluation","Training for operators","Equipment maintenance"),
G318="Process temp out of range",CHOOSE(RANDBETWEEN(1,6),"Temperature control","Update production SOP","Supplier evaluation","Training for operators",
"Equipment calibration","Preventive maintenance"),
G318="Dissolution rate low - 15 mins",CHOOSE(RANDBETWEEN(1,6),"Increase agitation","Reduce particle size","Update production SOP","Supplier evaluation",
"Training for operators","Equipment calibration"),
G318="Dissolution rate low - 30 mins",CHOOSE(RANDBETWEEN(1,6),"Increase disintegrant","Optimize granulation","Update production SOP","Supplier evaluation",
"Training for operators","Equipment calibration"),
G318="Dissolution rate low - 40 mins",CHOOSE(RANDBETWEEN(1,6),"Increase surface area","Optimize compression","Update production SOP","Supplier evaluation",
"Training for operators","Equipment calibration"),
G318="Dissolution rate high - 15 mins",CHOOSE(RANDBETWEEN(1,6),"Decrease agitation","Increase particle size","Update production SOP","Supplier evaluation","Training for operators","Equipment calibration"),
G318="Dissolution rate high - 30 mins",CHOOSE(RANDBETWEEN(1,6),"Decrease disintegrant","Optimize granulation","Update production SOP","Supplier evaluation","Training for operators","Equipment calibration"),
G318="Dissolution rate high - 40 mins",CHOOSE(RANDBETWEEN(1,6),"Decrease surface area","Optimize compression","Update production SOP","Supplier evaluation","Training for operators","Equipment calibration"))</f>
        <v>Supplier evaluation</v>
      </c>
    </row>
    <row r="319" spans="1:9" x14ac:dyDescent="0.35">
      <c r="A319" s="31">
        <v>200000657</v>
      </c>
      <c r="B319" s="31">
        <v>1010</v>
      </c>
      <c r="C319" s="31">
        <v>4290</v>
      </c>
      <c r="D319" s="29" t="s">
        <v>503</v>
      </c>
      <c r="E319" s="31">
        <v>93.7</v>
      </c>
      <c r="F319" s="34">
        <f ca="1">LOOKUP(C319,'QALS - Inspection Lot Record'!P:P,'QALS - Inspection Lot Record'!E:E)+RANDBETWEEN(0,1)</f>
        <v>46014</v>
      </c>
      <c r="G319" s="41" t="s">
        <v>472</v>
      </c>
      <c r="H319" s="34">
        <f t="shared" ca="1" si="4"/>
        <v>46014</v>
      </c>
      <c r="I319" s="29" t="str" cm="1">
        <f t="array" aca="1" ref="I319" ca="1">_xlfn.IFS(G319="Potency out of spec",CHOOSE(RANDBETWEEN(1,6),"Additional testing","Improve formulation","Update production SOP","Supplier evaluation","Training for operators","Equipment calibration"),
G319="PH Level out of range",CHOOSE(RANDBETWEEN(1,6),"PH monitoring","Adjust formulation","Update production SOP","Supplier evaluation","Training for operators","Equipment calibration"),
G319="Impurities out of limit",CHOOSE(RANDBETWEEN(1,6),"Improve purification","Raw material control","Update production SOP","Supplier evaluation","Training for operators","Equipment maintenance"),
G319="Process temp out of range",CHOOSE(RANDBETWEEN(1,6),"Temperature control","Update production SOP","Supplier evaluation","Training for operators",
"Equipment calibration","Preventive maintenance"),
G319="Dissolution rate low - 15 mins",CHOOSE(RANDBETWEEN(1,6),"Increase agitation","Reduce particle size","Update production SOP","Supplier evaluation",
"Training for operators","Equipment calibration"),
G319="Dissolution rate low - 30 mins",CHOOSE(RANDBETWEEN(1,6),"Increase disintegrant","Optimize granulation","Update production SOP","Supplier evaluation",
"Training for operators","Equipment calibration"),
G319="Dissolution rate low - 40 mins",CHOOSE(RANDBETWEEN(1,6),"Increase surface area","Optimize compression","Update production SOP","Supplier evaluation",
"Training for operators","Equipment calibration"),
G319="Dissolution rate high - 15 mins",CHOOSE(RANDBETWEEN(1,6),"Decrease agitation","Increase particle size","Update production SOP","Supplier evaluation","Training for operators","Equipment calibration"),
G319="Dissolution rate high - 30 mins",CHOOSE(RANDBETWEEN(1,6),"Decrease disintegrant","Optimize granulation","Update production SOP","Supplier evaluation","Training for operators","Equipment calibration"),
G319="Dissolution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20" spans="1:9" x14ac:dyDescent="0.35">
      <c r="A320" s="31">
        <v>200000657</v>
      </c>
      <c r="B320" s="31">
        <v>1010</v>
      </c>
      <c r="C320" s="31">
        <v>4290</v>
      </c>
      <c r="D320" s="29" t="s">
        <v>503</v>
      </c>
      <c r="E320" s="31">
        <v>68.400000000000006</v>
      </c>
      <c r="F320" s="34">
        <f ca="1">LOOKUP(C320,'QALS - Inspection Lot Record'!P:P,'QALS - Inspection Lot Record'!E:E)+RANDBETWEEN(0,1)</f>
        <v>46014</v>
      </c>
      <c r="G320" s="41" t="s">
        <v>480</v>
      </c>
      <c r="H320" s="34">
        <f t="shared" ca="1" si="4"/>
        <v>46016</v>
      </c>
      <c r="I320" s="29" t="str" cm="1">
        <f t="array" aca="1" ref="I320" ca="1">_xlfn.IFS(G320="Potency out of spec",CHOOSE(RANDBETWEEN(1,6),"Additional testing","Improve formulation","Update production SOP","Supplier evaluation","Training for operators","Equipment calibration"),
G320="PH Level out of range",CHOOSE(RANDBETWEEN(1,6),"PH monitoring","Adjust formulation","Update production SOP","Supplier evaluation","Training for operators","Equipment calibration"),
G320="Impurities out of limit",CHOOSE(RANDBETWEEN(1,6),"Improve purification","Raw material control","Update production SOP","Supplier evaluation","Training for operators","Equipment maintenance"),
G320="Process temp out of range",CHOOSE(RANDBETWEEN(1,6),"Temperature control","Update production SOP","Supplier evaluation","Training for operators",
"Equipment calibration","Preventive maintenance"),
G320="Dissolution rate low - 15 mins",CHOOSE(RANDBETWEEN(1,6),"Increase agitation","Reduce particle size","Update production SOP","Supplier evaluation",
"Training for operators","Equipment calibration"),
G320="Dissolution rate low - 30 mins",CHOOSE(RANDBETWEEN(1,6),"Increase disintegrant","Optimize granulation","Update production SOP","Supplier evaluation",
"Training for operators","Equipment calibration"),
G320="Dissolution rate low - 40 mins",CHOOSE(RANDBETWEEN(1,6),"Increase surface area","Optimize compression","Update production SOP","Supplier evaluation",
"Training for operators","Equipment calibration"),
G320="Dissolution rate high - 15 mins",CHOOSE(RANDBETWEEN(1,6),"Decrease agitation","Increase particle size","Update production SOP","Supplier evaluation","Training for operators","Equipment calibration"),
G320="Dissolution rate high - 30 mins",CHOOSE(RANDBETWEEN(1,6),"Decrease disintegrant","Optimize granulation","Update production SOP","Supplier evaluation","Training for operators","Equipment calibration"),
G320="Dissolution rate high - 40 mins",CHOOSE(RANDBETWEEN(1,6),"Decrease surface area","Optimize compression","Update production SOP","Supplier evaluation","Training for operators","Equipment calibration"))</f>
        <v>Supplier evaluation</v>
      </c>
    </row>
    <row r="321" spans="1:9" x14ac:dyDescent="0.35">
      <c r="A321" s="31">
        <v>200000657</v>
      </c>
      <c r="B321" s="31">
        <v>1010</v>
      </c>
      <c r="C321" s="31">
        <v>4290</v>
      </c>
      <c r="D321" s="29" t="s">
        <v>503</v>
      </c>
      <c r="E321" s="31">
        <v>78.2</v>
      </c>
      <c r="F321" s="34">
        <f ca="1">LOOKUP(C321,'QALS - Inspection Lot Record'!P:P,'QALS - Inspection Lot Record'!E:E)+RANDBETWEEN(0,1)</f>
        <v>46014</v>
      </c>
      <c r="G321" s="41" t="s">
        <v>486</v>
      </c>
      <c r="H321" s="34">
        <f t="shared" ca="1" si="4"/>
        <v>46016</v>
      </c>
      <c r="I321" s="29" t="str" cm="1">
        <f t="array" aca="1" ref="I321" ca="1">_xlfn.IFS(G321="Potency out of spec",CHOOSE(RANDBETWEEN(1,6),"Additional testing","Improve formulation","Update production SOP","Supplier evaluation","Training for operators","Equipment calibration"),
G321="PH Level out of range",CHOOSE(RANDBETWEEN(1,6),"PH monitoring","Adjust formulation","Update production SOP","Supplier evaluation","Training for operators","Equipment calibration"),
G321="Impurities out of limit",CHOOSE(RANDBETWEEN(1,6),"Improve purification","Raw material control","Update production SOP","Supplier evaluation","Training for operators","Equipment maintenance"),
G321="Process temp out of range",CHOOSE(RANDBETWEEN(1,6),"Temperature control","Update production SOP","Supplier evaluation","Training for operators",
"Equipment calibration","Preventive maintenance"),
G321="Dissolution rate low - 15 mins",CHOOSE(RANDBETWEEN(1,6),"Increase agitation","Reduce particle size","Update production SOP","Supplier evaluation",
"Training for operators","Equipment calibration"),
G321="Dissolution rate low - 30 mins",CHOOSE(RANDBETWEEN(1,6),"Increase disintegrant","Optimize granulation","Update production SOP","Supplier evaluation",
"Training for operators","Equipment calibration"),
G321="Dissolution rate low - 40 mins",CHOOSE(RANDBETWEEN(1,6),"Increase surface area","Optimize compression","Update production SOP","Supplier evaluation",
"Training for operators","Equipment calibration"),
G321="Dissolution rate high - 15 mins",CHOOSE(RANDBETWEEN(1,6),"Decrease agitation","Increase particle size","Update production SOP","Supplier evaluation","Training for operators","Equipment calibration"),
G321="Dissolution rate high - 30 mins",CHOOSE(RANDBETWEEN(1,6),"Decrease disintegrant","Optimize granulation","Update production SOP","Supplier evaluation","Training for operators","Equipment calibration"),
G321="Dissolution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22" spans="1:9" x14ac:dyDescent="0.35">
      <c r="A322" s="31">
        <v>200000658</v>
      </c>
      <c r="B322" s="31">
        <v>1010</v>
      </c>
      <c r="C322" s="31">
        <v>4293</v>
      </c>
      <c r="D322" s="29" t="s">
        <v>433</v>
      </c>
      <c r="E322" s="31">
        <v>1.5</v>
      </c>
      <c r="F322" s="34">
        <f ca="1">LOOKUP(C322,'QALS - Inspection Lot Record'!P:P,'QALS - Inspection Lot Record'!E:E)+RANDBETWEEN(0,1)</f>
        <v>46016</v>
      </c>
      <c r="G322" s="41" t="s">
        <v>474</v>
      </c>
      <c r="H322" s="34">
        <f t="shared" ref="H322:H377" ca="1" si="5">IF(TODAY()&gt;=F322+RANDBETWEEN(0,2), F322+RANDBETWEEN(0,2),"")</f>
        <v>46018</v>
      </c>
      <c r="I322" s="29" t="str" cm="1">
        <f t="array" aca="1" ref="I322" ca="1">_xlfn.IFS(G322="Potency out of spec",CHOOSE(RANDBETWEEN(1,6),"Additional testing","Improve formulation","Update production SOP","Supplier evaluation","Training for operators","Equipment calibration"),
G322="PH Level out of range",CHOOSE(RANDBETWEEN(1,6),"PH monitoring","Adjust formulation","Update production SOP","Supplier evaluation","Training for operators","Equipment calibration"),
G322="Impurities out of limit",CHOOSE(RANDBETWEEN(1,6),"Improve purification","Raw material control","Update production SOP","Supplier evaluation","Training for operators","Equipment maintenance"),
G322="Process temp out of range",CHOOSE(RANDBETWEEN(1,6),"Temperature control","Update production SOP","Supplier evaluation","Training for operators",
"Equipment calibration","Preventive maintenance"),
G322="Dissolution rate low - 15 mins",CHOOSE(RANDBETWEEN(1,6),"Increase agitation","Reduce particle size","Update production SOP","Supplier evaluation",
"Training for operators","Equipment calibration"),
G322="Dissolution rate low - 30 mins",CHOOSE(RANDBETWEEN(1,6),"Increase disintegrant","Optimize granulation","Update production SOP","Supplier evaluation",
"Training for operators","Equipment calibration"),
G322="Dissolution rate low - 40 mins",CHOOSE(RANDBETWEEN(1,6),"Increase surface area","Optimize compression","Update production SOP","Supplier evaluation",
"Training for operators","Equipment calibration"),
G322="Dissolution rate high - 15 mins",CHOOSE(RANDBETWEEN(1,6),"Decrease agitation","Increase particle size","Update production SOP","Supplier evaluation","Training for operators","Equipment calibration"),
G322="Dissolution rate high - 30 mins",CHOOSE(RANDBETWEEN(1,6),"Decrease disintegrant","Optimize granulation","Update production SOP","Supplier evaluation","Training for operators","Equipment calibration"),
G322="Dissolution rate high - 40 mins",CHOOSE(RANDBETWEEN(1,6),"Decrease surface area","Optimize compression","Update production SOP","Supplier evaluation","Training for operators","Equipment calibration"))</f>
        <v>Adjust formulation</v>
      </c>
    </row>
    <row r="323" spans="1:9" x14ac:dyDescent="0.35">
      <c r="A323" s="31">
        <v>200000658</v>
      </c>
      <c r="B323" s="31">
        <v>1010</v>
      </c>
      <c r="C323" s="31">
        <v>4293</v>
      </c>
      <c r="D323" s="29" t="s">
        <v>433</v>
      </c>
      <c r="E323" s="31">
        <v>38</v>
      </c>
      <c r="F323" s="34">
        <f ca="1">LOOKUP(C323,'QALS - Inspection Lot Record'!P:P,'QALS - Inspection Lot Record'!E:E)+RANDBETWEEN(0,1)</f>
        <v>46016</v>
      </c>
      <c r="G323" s="41" t="s">
        <v>478</v>
      </c>
      <c r="H323" s="34">
        <f t="shared" ca="1" si="5"/>
        <v>46017</v>
      </c>
      <c r="I323" s="29" t="str" cm="1">
        <f t="array" aca="1" ref="I323" ca="1">_xlfn.IFS(G323="Potency out of spec",CHOOSE(RANDBETWEEN(1,6),"Additional testing","Improve formulation","Update production SOP","Supplier evaluation","Training for operators","Equipment calibration"),
G323="PH Level out of range",CHOOSE(RANDBETWEEN(1,6),"PH monitoring","Adjust formulation","Update production SOP","Supplier evaluation","Training for operators","Equipment calibration"),
G323="Impurities out of limit",CHOOSE(RANDBETWEEN(1,6),"Improve purification","Raw material control","Update production SOP","Supplier evaluation","Training for operators","Equipment maintenance"),
G323="Process temp out of range",CHOOSE(RANDBETWEEN(1,6),"Temperature control","Update production SOP","Supplier evaluation","Training for operators",
"Equipment calibration","Preventive maintenance"),
G323="Dissolution rate low - 15 mins",CHOOSE(RANDBETWEEN(1,6),"Increase agitation","Reduce particle size","Update production SOP","Supplier evaluation",
"Training for operators","Equipment calibration"),
G323="Dissolution rate low - 30 mins",CHOOSE(RANDBETWEEN(1,6),"Increase disintegrant","Optimize granulation","Update production SOP","Supplier evaluation",
"Training for operators","Equipment calibration"),
G323="Dissolution rate low - 40 mins",CHOOSE(RANDBETWEEN(1,6),"Increase surface area","Optimize compression","Update production SOP","Supplier evaluation",
"Training for operators","Equipment calibration"),
G323="Dissolution rate high - 15 mins",CHOOSE(RANDBETWEEN(1,6),"Decrease agitation","Increase particle size","Update production SOP","Supplier evaluation","Training for operators","Equipment calibration"),
G323="Dissolution rate high - 30 mins",CHOOSE(RANDBETWEEN(1,6),"Decrease disintegrant","Optimize granulation","Update production SOP","Supplier evaluation","Training for operators","Equipment calibration"),
G323="Dissolution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24" spans="1:9" x14ac:dyDescent="0.35">
      <c r="A324" s="31">
        <v>200000659</v>
      </c>
      <c r="B324" s="31">
        <v>1010</v>
      </c>
      <c r="C324" s="31">
        <v>4294</v>
      </c>
      <c r="D324" s="29" t="s">
        <v>433</v>
      </c>
      <c r="E324" s="31">
        <v>94</v>
      </c>
      <c r="F324" s="34">
        <f ca="1">LOOKUP(C324,'QALS - Inspection Lot Record'!P:P,'QALS - Inspection Lot Record'!E:E)+RANDBETWEEN(0,1)</f>
        <v>46017</v>
      </c>
      <c r="G324" s="41" t="s">
        <v>472</v>
      </c>
      <c r="H324" s="34">
        <f t="shared" ca="1" si="5"/>
        <v>46017</v>
      </c>
      <c r="I324" s="29" t="str" cm="1">
        <f t="array" aca="1" ref="I324" ca="1">_xlfn.IFS(G324="Potency out of spec",CHOOSE(RANDBETWEEN(1,6),"Additional testing","Improve formulation","Update production SOP","Supplier evaluation","Training for operators","Equipment calibration"),
G324="PH Level out of range",CHOOSE(RANDBETWEEN(1,6),"PH monitoring","Adjust formulation","Update production SOP","Supplier evaluation","Training for operators","Equipment calibration"),
G324="Impurities out of limit",CHOOSE(RANDBETWEEN(1,6),"Improve purification","Raw material control","Update production SOP","Supplier evaluation","Training for operators","Equipment maintenance"),
G324="Process temp out of range",CHOOSE(RANDBETWEEN(1,6),"Temperature control","Update production SOP","Supplier evaluation","Training for operators",
"Equipment calibration","Preventive maintenance"),
G324="Dissolution rate low - 15 mins",CHOOSE(RANDBETWEEN(1,6),"Increase agitation","Reduce particle size","Update production SOP","Supplier evaluation",
"Training for operators","Equipment calibration"),
G324="Dissolution rate low - 30 mins",CHOOSE(RANDBETWEEN(1,6),"Increase disintegrant","Optimize granulation","Update production SOP","Supplier evaluation",
"Training for operators","Equipment calibration"),
G324="Dissolution rate low - 40 mins",CHOOSE(RANDBETWEEN(1,6),"Increase surface area","Optimize compression","Update production SOP","Supplier evaluation",
"Training for operators","Equipment calibration"),
G324="Dissolution rate high - 15 mins",CHOOSE(RANDBETWEEN(1,6),"Decrease agitation","Increase particle size","Update production SOP","Supplier evaluation","Training for operators","Equipment calibration"),
G324="Dissolution rate high - 30 mins",CHOOSE(RANDBETWEEN(1,6),"Decrease disintegrant","Optimize granulation","Update production SOP","Supplier evaluation","Training for operators","Equipment calibration"),
G324="Dissolution rate high - 40 mins",CHOOSE(RANDBETWEEN(1,6),"Decrease surface area","Optimize compression","Update production SOP","Supplier evaluation","Training for operators","Equipment calibration"))</f>
        <v>Additional testing</v>
      </c>
    </row>
    <row r="325" spans="1:9" x14ac:dyDescent="0.35">
      <c r="A325" s="31">
        <v>200000659</v>
      </c>
      <c r="B325" s="31">
        <v>1010</v>
      </c>
      <c r="C325" s="31">
        <v>4294</v>
      </c>
      <c r="D325" s="29" t="s">
        <v>433</v>
      </c>
      <c r="E325" s="31">
        <v>2</v>
      </c>
      <c r="F325" s="34">
        <f ca="1">LOOKUP(C325,'QALS - Inspection Lot Record'!P:P,'QALS - Inspection Lot Record'!E:E)+RANDBETWEEN(0,1)</f>
        <v>46016</v>
      </c>
      <c r="G325" s="41" t="s">
        <v>474</v>
      </c>
      <c r="H325" s="34">
        <f t="shared" ca="1" si="5"/>
        <v>46017</v>
      </c>
      <c r="I325" s="29" t="str" cm="1">
        <f t="array" aca="1" ref="I325" ca="1">_xlfn.IFS(G325="Potency out of spec",CHOOSE(RANDBETWEEN(1,6),"Additional testing","Improve formulation","Update production SOP","Supplier evaluation","Training for operators","Equipment calibration"),
G325="PH Level out of range",CHOOSE(RANDBETWEEN(1,6),"PH monitoring","Adjust formulation","Update production SOP","Supplier evaluation","Training for operators","Equipment calibration"),
G325="Impurities out of limit",CHOOSE(RANDBETWEEN(1,6),"Improve purification","Raw material control","Update production SOP","Supplier evaluation","Training for operators","Equipment maintenance"),
G325="Process temp out of range",CHOOSE(RANDBETWEEN(1,6),"Temperature control","Update production SOP","Supplier evaluation","Training for operators",
"Equipment calibration","Preventive maintenance"),
G325="Dissolution rate low - 15 mins",CHOOSE(RANDBETWEEN(1,6),"Increase agitation","Reduce particle size","Update production SOP","Supplier evaluation",
"Training for operators","Equipment calibration"),
G325="Dissolution rate low - 30 mins",CHOOSE(RANDBETWEEN(1,6),"Increase disintegrant","Optimize granulation","Update production SOP","Supplier evaluation",
"Training for operators","Equipment calibration"),
G325="Dissolution rate low - 40 mins",CHOOSE(RANDBETWEEN(1,6),"Increase surface area","Optimize compression","Update production SOP","Supplier evaluation",
"Training for operators","Equipment calibration"),
G325="Dissolution rate high - 15 mins",CHOOSE(RANDBETWEEN(1,6),"Decrease agitation","Increase particle size","Update production SOP","Supplier evaluation","Training for operators","Equipment calibration"),
G325="Dissolution rate high - 30 mins",CHOOSE(RANDBETWEEN(1,6),"Decrease disintegrant","Optimize granulation","Update production SOP","Supplier evaluation","Training for operators","Equipment calibration"),
G325="Dissolution rate high - 40 mins",CHOOSE(RANDBETWEEN(1,6),"Decrease surface area","Optimize compression","Update production SOP","Supplier evaluation","Training for operators","Equipment calibration"))</f>
        <v>Update production SOP</v>
      </c>
    </row>
    <row r="326" spans="1:9" x14ac:dyDescent="0.35">
      <c r="A326" s="31">
        <v>200000659</v>
      </c>
      <c r="B326" s="31">
        <v>1010</v>
      </c>
      <c r="C326" s="31">
        <v>4294</v>
      </c>
      <c r="D326" s="29" t="s">
        <v>433</v>
      </c>
      <c r="E326" s="31">
        <v>2.2000000000000002</v>
      </c>
      <c r="F326" s="34">
        <f ca="1">LOOKUP(C326,'QALS - Inspection Lot Record'!P:P,'QALS - Inspection Lot Record'!E:E)+RANDBETWEEN(0,1)</f>
        <v>46017</v>
      </c>
      <c r="G326" s="41" t="s">
        <v>476</v>
      </c>
      <c r="H326" s="34">
        <f t="shared" ca="1" si="5"/>
        <v>46017</v>
      </c>
      <c r="I326" s="29" t="str" cm="1">
        <f t="array" aca="1" ref="I326" ca="1">_xlfn.IFS(G326="Potency out of spec",CHOOSE(RANDBETWEEN(1,6),"Additional testing","Improve formulation","Update production SOP","Supplier evaluation","Training for operators","Equipment calibration"),
G326="PH Level out of range",CHOOSE(RANDBETWEEN(1,6),"PH monitoring","Adjust formulation","Update production SOP","Supplier evaluation","Training for operators","Equipment calibration"),
G326="Impurities out of limit",CHOOSE(RANDBETWEEN(1,6),"Improve purification","Raw material control","Update production SOP","Supplier evaluation","Training for operators","Equipment maintenance"),
G326="Process temp out of range",CHOOSE(RANDBETWEEN(1,6),"Temperature control","Update production SOP","Supplier evaluation","Training for operators",
"Equipment calibration","Preventive maintenance"),
G326="Dissolution rate low - 15 mins",CHOOSE(RANDBETWEEN(1,6),"Increase agitation","Reduce particle size","Update production SOP","Supplier evaluation",
"Training for operators","Equipment calibration"),
G326="Dissolution rate low - 30 mins",CHOOSE(RANDBETWEEN(1,6),"Increase disintegrant","Optimize granulation","Update production SOP","Supplier evaluation",
"Training for operators","Equipment calibration"),
G326="Dissolution rate low - 40 mins",CHOOSE(RANDBETWEEN(1,6),"Increase surface area","Optimize compression","Update production SOP","Supplier evaluation",
"Training for operators","Equipment calibration"),
G326="Dissolution rate high - 15 mins",CHOOSE(RANDBETWEEN(1,6),"Decrease agitation","Increase particle size","Update production SOP","Supplier evaluation","Training for operators","Equipment calibration"),
G326="Dissolution rate high - 30 mins",CHOOSE(RANDBETWEEN(1,6),"Decrease disintegrant","Optimize granulation","Update production SOP","Supplier evaluation","Training for operators","Equipment calibration"),
G326="Dissolution rate high - 40 mins",CHOOSE(RANDBETWEEN(1,6),"Decrease surface area","Optimize compression","Update production SOP","Supplier evaluation","Training for operators","Equipment calibration"))</f>
        <v>Raw material control</v>
      </c>
    </row>
    <row r="327" spans="1:9" x14ac:dyDescent="0.35">
      <c r="A327" s="31">
        <v>200000659</v>
      </c>
      <c r="B327" s="31">
        <v>1010</v>
      </c>
      <c r="C327" s="31">
        <v>4294</v>
      </c>
      <c r="D327" s="29" t="s">
        <v>433</v>
      </c>
      <c r="E327" s="31">
        <v>78.2</v>
      </c>
      <c r="F327" s="34">
        <f ca="1">LOOKUP(C327,'QALS - Inspection Lot Record'!P:P,'QALS - Inspection Lot Record'!E:E)+RANDBETWEEN(0,1)</f>
        <v>46017</v>
      </c>
      <c r="G327" s="41" t="s">
        <v>486</v>
      </c>
      <c r="H327" s="34">
        <f t="shared" ca="1" si="5"/>
        <v>46017</v>
      </c>
      <c r="I327" s="29" t="str" cm="1">
        <f t="array" aca="1" ref="I327" ca="1">_xlfn.IFS(G327="Potency out of spec",CHOOSE(RANDBETWEEN(1,6),"Additional testing","Improve formulation","Update production SOP","Supplier evaluation","Training for operators","Equipment calibration"),
G327="PH Level out of range",CHOOSE(RANDBETWEEN(1,6),"PH monitoring","Adjust formulation","Update production SOP","Supplier evaluation","Training for operators","Equipment calibration"),
G327="Impurities out of limit",CHOOSE(RANDBETWEEN(1,6),"Improve purification","Raw material control","Update production SOP","Supplier evaluation","Training for operators","Equipment maintenance"),
G327="Process temp out of range",CHOOSE(RANDBETWEEN(1,6),"Temperature control","Update production SOP","Supplier evaluation","Training for operators",
"Equipment calibration","Preventive maintenance"),
G327="Dissolution rate low - 15 mins",CHOOSE(RANDBETWEEN(1,6),"Increase agitation","Reduce particle size","Update production SOP","Supplier evaluation",
"Training for operators","Equipment calibration"),
G327="Dissolution rate low - 30 mins",CHOOSE(RANDBETWEEN(1,6),"Increase disintegrant","Optimize granulation","Update production SOP","Supplier evaluation",
"Training for operators","Equipment calibration"),
G327="Dissolution rate low - 40 mins",CHOOSE(RANDBETWEEN(1,6),"Increase surface area","Optimize compression","Update production SOP","Supplier evaluation",
"Training for operators","Equipment calibration"),
G327="Dissolution rate high - 15 mins",CHOOSE(RANDBETWEEN(1,6),"Decrease agitation","Increase particle size","Update production SOP","Supplier evaluation","Training for operators","Equipment calibration"),
G327="Dissolution rate high - 30 mins",CHOOSE(RANDBETWEEN(1,6),"Decrease disintegrant","Optimize granulation","Update production SOP","Supplier evaluation","Training for operators","Equipment calibration"),
G327="Dissolution rate high - 40 mins",CHOOSE(RANDBETWEEN(1,6),"Decrease surface area","Optimize compression","Update production SOP","Supplier evaluation","Training for operators","Equipment calibration"))</f>
        <v>Increase surface area</v>
      </c>
    </row>
    <row r="328" spans="1:9" x14ac:dyDescent="0.35">
      <c r="A328" s="31">
        <v>200000660</v>
      </c>
      <c r="B328" s="31">
        <v>1010</v>
      </c>
      <c r="C328" s="31">
        <v>4297</v>
      </c>
      <c r="D328" s="29" t="s">
        <v>431</v>
      </c>
      <c r="E328" s="31">
        <v>5</v>
      </c>
      <c r="F328" s="34">
        <f ca="1">LOOKUP(C328,'QALS - Inspection Lot Record'!P:P,'QALS - Inspection Lot Record'!E:E)+RANDBETWEEN(0,1)</f>
        <v>46019</v>
      </c>
      <c r="G328" s="41" t="s">
        <v>474</v>
      </c>
      <c r="H328" s="34">
        <f t="shared" ca="1" si="5"/>
        <v>46019</v>
      </c>
      <c r="I328" s="29" t="str" cm="1">
        <f t="array" aca="1" ref="I328" ca="1">_xlfn.IFS(G328="Potency out of spec",CHOOSE(RANDBETWEEN(1,6),"Additional testing","Improve formulation","Update production SOP","Supplier evaluation","Training for operators","Equipment calibration"),
G328="PH Level out of range",CHOOSE(RANDBETWEEN(1,6),"PH monitoring","Adjust formulation","Update production SOP","Supplier evaluation","Training for operators","Equipment calibration"),
G328="Impurities out of limit",CHOOSE(RANDBETWEEN(1,6),"Improve purification","Raw material control","Update production SOP","Supplier evaluation","Training for operators","Equipment maintenance"),
G328="Process temp out of range",CHOOSE(RANDBETWEEN(1,6),"Temperature control","Update production SOP","Supplier evaluation","Training for operators",
"Equipment calibration","Preventive maintenance"),
G328="Dissolution rate low - 15 mins",CHOOSE(RANDBETWEEN(1,6),"Increase agitation","Reduce particle size","Update production SOP","Supplier evaluation",
"Training for operators","Equipment calibration"),
G328="Dissolution rate low - 30 mins",CHOOSE(RANDBETWEEN(1,6),"Increase disintegrant","Optimize granulation","Update production SOP","Supplier evaluation",
"Training for operators","Equipment calibration"),
G328="Dissolution rate low - 40 mins",CHOOSE(RANDBETWEEN(1,6),"Increase surface area","Optimize compression","Update production SOP","Supplier evaluation",
"Training for operators","Equipment calibration"),
G328="Dissolution rate high - 15 mins",CHOOSE(RANDBETWEEN(1,6),"Decrease agitation","Increase particle size","Update production SOP","Supplier evaluation","Training for operators","Equipment calibration"),
G328="Dissolution rate high - 30 mins",CHOOSE(RANDBETWEEN(1,6),"Decrease disintegrant","Optimize granulation","Update production SOP","Supplier evaluation","Training for operators","Equipment calibration"),
G328="Dissolution rate high - 40 mins",CHOOSE(RANDBETWEEN(1,6),"Decrease surface area","Optimize compression","Update production SOP","Supplier evaluation","Training for operators","Equipment calibration"))</f>
        <v>Update production SOP</v>
      </c>
    </row>
    <row r="329" spans="1:9" x14ac:dyDescent="0.35">
      <c r="A329" s="31">
        <v>200000660</v>
      </c>
      <c r="B329" s="31">
        <v>1010</v>
      </c>
      <c r="C329" s="31">
        <v>4297</v>
      </c>
      <c r="D329" s="29" t="s">
        <v>431</v>
      </c>
      <c r="E329" s="31">
        <v>2.1</v>
      </c>
      <c r="F329" s="34">
        <f ca="1">LOOKUP(C329,'QALS - Inspection Lot Record'!P:P,'QALS - Inspection Lot Record'!E:E)+RANDBETWEEN(0,1)</f>
        <v>46019</v>
      </c>
      <c r="G329" s="41" t="s">
        <v>476</v>
      </c>
      <c r="H329" s="34">
        <f t="shared" ca="1" si="5"/>
        <v>46020</v>
      </c>
      <c r="I329" s="29" t="str" cm="1">
        <f t="array" aca="1" ref="I329" ca="1">_xlfn.IFS(G329="Potency out of spec",CHOOSE(RANDBETWEEN(1,6),"Additional testing","Improve formulation","Update production SOP","Supplier evaluation","Training for operators","Equipment calibration"),
G329="PH Level out of range",CHOOSE(RANDBETWEEN(1,6),"PH monitoring","Adjust formulation","Update production SOP","Supplier evaluation","Training for operators","Equipment calibration"),
G329="Impurities out of limit",CHOOSE(RANDBETWEEN(1,6),"Improve purification","Raw material control","Update production SOP","Supplier evaluation","Training for operators","Equipment maintenance"),
G329="Process temp out of range",CHOOSE(RANDBETWEEN(1,6),"Temperature control","Update production SOP","Supplier evaluation","Training for operators",
"Equipment calibration","Preventive maintenance"),
G329="Dissolution rate low - 15 mins",CHOOSE(RANDBETWEEN(1,6),"Increase agitation","Reduce particle size","Update production SOP","Supplier evaluation",
"Training for operators","Equipment calibration"),
G329="Dissolution rate low - 30 mins",CHOOSE(RANDBETWEEN(1,6),"Increase disintegrant","Optimize granulation","Update production SOP","Supplier evaluation",
"Training for operators","Equipment calibration"),
G329="Dissolution rate low - 40 mins",CHOOSE(RANDBETWEEN(1,6),"Increase surface area","Optimize compression","Update production SOP","Supplier evaluation",
"Training for operators","Equipment calibration"),
G329="Dissolution rate high - 15 mins",CHOOSE(RANDBETWEEN(1,6),"Decrease agitation","Increase particle size","Update production SOP","Supplier evaluation","Training for operators","Equipment calibration"),
G329="Dissolution rate high - 30 mins",CHOOSE(RANDBETWEEN(1,6),"Decrease disintegrant","Optimize granulation","Update production SOP","Supplier evaluation","Training for operators","Equipment calibration"),
G329="Dissolution rate high - 40 mins",CHOOSE(RANDBETWEEN(1,6),"Decrease surface area","Optimize compression","Update production SOP","Supplier evaluation","Training for operators","Equipment calibration"))</f>
        <v>Equipment maintenance</v>
      </c>
    </row>
    <row r="330" spans="1:9" x14ac:dyDescent="0.35">
      <c r="A330" s="31">
        <v>200000660</v>
      </c>
      <c r="B330" s="31">
        <v>1010</v>
      </c>
      <c r="C330" s="31">
        <v>4297</v>
      </c>
      <c r="D330" s="29" t="s">
        <v>431</v>
      </c>
      <c r="E330" s="31">
        <v>90</v>
      </c>
      <c r="F330" s="34">
        <f ca="1">LOOKUP(C330,'QALS - Inspection Lot Record'!P:P,'QALS - Inspection Lot Record'!E:E)+RANDBETWEEN(0,1)</f>
        <v>46018</v>
      </c>
      <c r="G330" s="41" t="s">
        <v>501</v>
      </c>
      <c r="H330" s="34">
        <f t="shared" ca="1" si="5"/>
        <v>46020</v>
      </c>
      <c r="I330" s="29" t="str" cm="1">
        <f t="array" aca="1" ref="I330" ca="1">_xlfn.IFS(G330="Potency out of spec",CHOOSE(RANDBETWEEN(1,6),"Additional testing","Improve formulation","Update production SOP","Supplier evaluation","Training for operators","Equipment calibration"),
G330="PH Level out of range",CHOOSE(RANDBETWEEN(1,6),"PH monitoring","Adjust formulation","Update production SOP","Supplier evaluation","Training for operators","Equipment calibration"),
G330="Impurities out of limit",CHOOSE(RANDBETWEEN(1,6),"Improve purification","Raw material control","Update production SOP","Supplier evaluation","Training for operators","Equipment maintenance"),
G330="Process temp out of range",CHOOSE(RANDBETWEEN(1,6),"Temperature control","Update production SOP","Supplier evaluation","Training for operators",
"Equipment calibration","Preventive maintenance"),
G330="Dissolution rate low - 15 mins",CHOOSE(RANDBETWEEN(1,6),"Increase agitation","Reduce particle size","Update production SOP","Supplier evaluation",
"Training for operators","Equipment calibration"),
G330="Dissolution rate low - 30 mins",CHOOSE(RANDBETWEEN(1,6),"Increase disintegrant","Optimize granulation","Update production SOP","Supplier evaluation",
"Training for operators","Equipment calibration"),
G330="Dissolution rate low - 40 mins",CHOOSE(RANDBETWEEN(1,6),"Increase surface area","Optimize compression","Update production SOP","Supplier evaluation",
"Training for operators","Equipment calibration"),
G330="Dissolution rate high - 15 mins",CHOOSE(RANDBETWEEN(1,6),"Decrease agitation","Increase particle size","Update production SOP","Supplier evaluation","Training for operators","Equipment calibration"),
G330="Dissolution rate high - 30 mins",CHOOSE(RANDBETWEEN(1,6),"Decrease disintegrant","Optimize granulation","Update production SOP","Supplier evaluation","Training for operators","Equipment calibration"),
G330="Dissolution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31" spans="1:9" x14ac:dyDescent="0.35">
      <c r="A331" s="31">
        <v>200000660</v>
      </c>
      <c r="B331" s="31">
        <v>1010</v>
      </c>
      <c r="C331" s="31">
        <v>4297</v>
      </c>
      <c r="D331" s="29" t="s">
        <v>431</v>
      </c>
      <c r="E331" s="31">
        <v>100</v>
      </c>
      <c r="F331" s="34">
        <f ca="1">LOOKUP(C331,'QALS - Inspection Lot Record'!P:P,'QALS - Inspection Lot Record'!E:E)+RANDBETWEEN(0,1)</f>
        <v>46019</v>
      </c>
      <c r="G331" s="41" t="s">
        <v>502</v>
      </c>
      <c r="H331" s="34">
        <f t="shared" ca="1" si="5"/>
        <v>46019</v>
      </c>
      <c r="I331" s="29" t="str" cm="1">
        <f t="array" aca="1" ref="I331" ca="1">_xlfn.IFS(G331="Potency out of spec",CHOOSE(RANDBETWEEN(1,6),"Additional testing","Improve formulation","Update production SOP","Supplier evaluation","Training for operators","Equipment calibration"),
G331="PH Level out of range",CHOOSE(RANDBETWEEN(1,6),"PH monitoring","Adjust formulation","Update production SOP","Supplier evaluation","Training for operators","Equipment calibration"),
G331="Impurities out of limit",CHOOSE(RANDBETWEEN(1,6),"Improve purification","Raw material control","Update production SOP","Supplier evaluation","Training for operators","Equipment maintenance"),
G331="Process temp out of range",CHOOSE(RANDBETWEEN(1,6),"Temperature control","Update production SOP","Supplier evaluation","Training for operators",
"Equipment calibration","Preventive maintenance"),
G331="Dissolution rate low - 15 mins",CHOOSE(RANDBETWEEN(1,6),"Increase agitation","Reduce particle size","Update production SOP","Supplier evaluation",
"Training for operators","Equipment calibration"),
G331="Dissolution rate low - 30 mins",CHOOSE(RANDBETWEEN(1,6),"Increase disintegrant","Optimize granulation","Update production SOP","Supplier evaluation",
"Training for operators","Equipment calibration"),
G331="Dissolution rate low - 40 mins",CHOOSE(RANDBETWEEN(1,6),"Increase surface area","Optimize compression","Update production SOP","Supplier evaluation",
"Training for operators","Equipment calibration"),
G331="Dissolution rate high - 15 mins",CHOOSE(RANDBETWEEN(1,6),"Decrease agitation","Increase particle size","Update production SOP","Supplier evaluation","Training for operators","Equipment calibration"),
G331="Dissolution rate high - 30 mins",CHOOSE(RANDBETWEEN(1,6),"Decrease disintegrant","Optimize granulation","Update production SOP","Supplier evaluation","Training for operators","Equipment calibration"),
G331="Dissolution rate high - 40 mins",CHOOSE(RANDBETWEEN(1,6),"Decrease surface area","Optimize compression","Update production SOP","Supplier evaluation","Training for operators","Equipment calibration"))</f>
        <v>Update production SOP</v>
      </c>
    </row>
    <row r="332" spans="1:9" x14ac:dyDescent="0.35">
      <c r="A332" s="31">
        <v>200000661</v>
      </c>
      <c r="B332" s="31">
        <v>1010</v>
      </c>
      <c r="C332" s="31">
        <v>4298</v>
      </c>
      <c r="D332" s="29" t="s">
        <v>504</v>
      </c>
      <c r="E332" s="31">
        <v>38.9</v>
      </c>
      <c r="F332" s="34">
        <f ca="1">LOOKUP(C332,'QALS - Inspection Lot Record'!P:P,'QALS - Inspection Lot Record'!E:E)+RANDBETWEEN(0,1)</f>
        <v>46018</v>
      </c>
      <c r="G332" s="41" t="s">
        <v>478</v>
      </c>
      <c r="H332" s="34">
        <f t="shared" ca="1" si="5"/>
        <v>46020</v>
      </c>
      <c r="I332" s="29" t="str" cm="1">
        <f t="array" aca="1" ref="I332" ca="1">_xlfn.IFS(G332="Potency out of spec",CHOOSE(RANDBETWEEN(1,6),"Additional testing","Improve formulation","Update production SOP","Supplier evaluation","Training for operators","Equipment calibration"),
G332="PH Level out of range",CHOOSE(RANDBETWEEN(1,6),"PH monitoring","Adjust formulation","Update production SOP","Supplier evaluation","Training for operators","Equipment calibration"),
G332="Impurities out of limit",CHOOSE(RANDBETWEEN(1,6),"Improve purification","Raw material control","Update production SOP","Supplier evaluation","Training for operators","Equipment maintenance"),
G332="Process temp out of range",CHOOSE(RANDBETWEEN(1,6),"Temperature control","Update production SOP","Supplier evaluation","Training for operators",
"Equipment calibration","Preventive maintenance"),
G332="Dissolution rate low - 15 mins",CHOOSE(RANDBETWEEN(1,6),"Increase agitation","Reduce particle size","Update production SOP","Supplier evaluation",
"Training for operators","Equipment calibration"),
G332="Dissolution rate low - 30 mins",CHOOSE(RANDBETWEEN(1,6),"Increase disintegrant","Optimize granulation","Update production SOP","Supplier evaluation",
"Training for operators","Equipment calibration"),
G332="Dissolution rate low - 40 mins",CHOOSE(RANDBETWEEN(1,6),"Increase surface area","Optimize compression","Update production SOP","Supplier evaluation",
"Training for operators","Equipment calibration"),
G332="Dissolution rate high - 15 mins",CHOOSE(RANDBETWEEN(1,6),"Decrease agitation","Increase particle size","Update production SOP","Supplier evaluation","Training for operators","Equipment calibration"),
G332="Dissolution rate high - 30 mins",CHOOSE(RANDBETWEEN(1,6),"Decrease disintegrant","Optimize granulation","Update production SOP","Supplier evaluation","Training for operators","Equipment calibration"),
G332="Dissolution rate high - 40 mins",CHOOSE(RANDBETWEEN(1,6),"Decrease surface area","Optimize compression","Update production SOP","Supplier evaluation","Training for operators","Equipment calibration"))</f>
        <v>Update production SOP</v>
      </c>
    </row>
    <row r="333" spans="1:9" x14ac:dyDescent="0.35">
      <c r="A333" s="31">
        <v>200000661</v>
      </c>
      <c r="B333" s="31">
        <v>1010</v>
      </c>
      <c r="C333" s="31">
        <v>4298</v>
      </c>
      <c r="D333" s="29" t="s">
        <v>504</v>
      </c>
      <c r="E333" s="31">
        <v>68.8</v>
      </c>
      <c r="F333" s="34">
        <f ca="1">LOOKUP(C333,'QALS - Inspection Lot Record'!P:P,'QALS - Inspection Lot Record'!E:E)+RANDBETWEEN(0,1)</f>
        <v>46018</v>
      </c>
      <c r="G333" s="41" t="s">
        <v>480</v>
      </c>
      <c r="H333" s="34">
        <f t="shared" ca="1" si="5"/>
        <v>46020</v>
      </c>
      <c r="I333" s="29" t="str" cm="1">
        <f t="array" aca="1" ref="I333" ca="1">_xlfn.IFS(G333="Potency out of spec",CHOOSE(RANDBETWEEN(1,6),"Additional testing","Improve formulation","Update production SOP","Supplier evaluation","Training for operators","Equipment calibration"),
G333="PH Level out of range",CHOOSE(RANDBETWEEN(1,6),"PH monitoring","Adjust formulation","Update production SOP","Supplier evaluation","Training for operators","Equipment calibration"),
G333="Impurities out of limit",CHOOSE(RANDBETWEEN(1,6),"Improve purification","Raw material control","Update production SOP","Supplier evaluation","Training for operators","Equipment maintenance"),
G333="Process temp out of range",CHOOSE(RANDBETWEEN(1,6),"Temperature control","Update production SOP","Supplier evaluation","Training for operators",
"Equipment calibration","Preventive maintenance"),
G333="Dissolution rate low - 15 mins",CHOOSE(RANDBETWEEN(1,6),"Increase agitation","Reduce particle size","Update production SOP","Supplier evaluation",
"Training for operators","Equipment calibration"),
G333="Dissolution rate low - 30 mins",CHOOSE(RANDBETWEEN(1,6),"Increase disintegrant","Optimize granulation","Update production SOP","Supplier evaluation",
"Training for operators","Equipment calibration"),
G333="Dissolution rate low - 40 mins",CHOOSE(RANDBETWEEN(1,6),"Increase surface area","Optimize compression","Update production SOP","Supplier evaluation",
"Training for operators","Equipment calibration"),
G333="Dissolution rate high - 15 mins",CHOOSE(RANDBETWEEN(1,6),"Decrease agitation","Increase particle size","Update production SOP","Supplier evaluation","Training for operators","Equipment calibration"),
G333="Dissolution rate high - 30 mins",CHOOSE(RANDBETWEEN(1,6),"Decrease disintegrant","Optimize granulation","Update production SOP","Supplier evaluation","Training for operators","Equipment calibration"),
G333="Dissolution rate high - 40 mins",CHOOSE(RANDBETWEEN(1,6),"Decrease surface area","Optimize compression","Update production SOP","Supplier evaluation","Training for operators","Equipment calibration"))</f>
        <v>Increase disintegrant</v>
      </c>
    </row>
    <row r="334" spans="1:9" x14ac:dyDescent="0.35">
      <c r="A334" s="31">
        <v>200000661</v>
      </c>
      <c r="B334" s="31">
        <v>1010</v>
      </c>
      <c r="C334" s="31">
        <v>4298</v>
      </c>
      <c r="D334" s="29" t="s">
        <v>504</v>
      </c>
      <c r="E334" s="31">
        <v>78</v>
      </c>
      <c r="F334" s="34">
        <f ca="1">LOOKUP(C334,'QALS - Inspection Lot Record'!P:P,'QALS - Inspection Lot Record'!E:E)+RANDBETWEEN(0,1)</f>
        <v>46019</v>
      </c>
      <c r="G334" s="41" t="s">
        <v>486</v>
      </c>
      <c r="H334" s="34">
        <f t="shared" ca="1" si="5"/>
        <v>46021</v>
      </c>
      <c r="I334" s="29" t="str" cm="1">
        <f t="array" aca="1" ref="I334" ca="1">_xlfn.IFS(G334="Potency out of spec",CHOOSE(RANDBETWEEN(1,6),"Additional testing","Improve formulation","Update production SOP","Supplier evaluation","Training for operators","Equipment calibration"),
G334="PH Level out of range",CHOOSE(RANDBETWEEN(1,6),"PH monitoring","Adjust formulation","Update production SOP","Supplier evaluation","Training for operators","Equipment calibration"),
G334="Impurities out of limit",CHOOSE(RANDBETWEEN(1,6),"Improve purification","Raw material control","Update production SOP","Supplier evaluation","Training for operators","Equipment maintenance"),
G334="Process temp out of range",CHOOSE(RANDBETWEEN(1,6),"Temperature control","Update production SOP","Supplier evaluation","Training for operators",
"Equipment calibration","Preventive maintenance"),
G334="Dissolution rate low - 15 mins",CHOOSE(RANDBETWEEN(1,6),"Increase agitation","Reduce particle size","Update production SOP","Supplier evaluation",
"Training for operators","Equipment calibration"),
G334="Dissolution rate low - 30 mins",CHOOSE(RANDBETWEEN(1,6),"Increase disintegrant","Optimize granulation","Update production SOP","Supplier evaluation",
"Training for operators","Equipment calibration"),
G334="Dissolution rate low - 40 mins",CHOOSE(RANDBETWEEN(1,6),"Increase surface area","Optimize compression","Update production SOP","Supplier evaluation",
"Training for operators","Equipment calibration"),
G334="Dissolution rate high - 15 mins",CHOOSE(RANDBETWEEN(1,6),"Decrease agitation","Increase particle size","Update production SOP","Supplier evaluation","Training for operators","Equipment calibration"),
G334="Dissolution rate high - 30 mins",CHOOSE(RANDBETWEEN(1,6),"Decrease disintegrant","Optimize granulation","Update production SOP","Supplier evaluation","Training for operators","Equipment calibration"),
G334="Dissolution rate high - 40 mins",CHOOSE(RANDBETWEEN(1,6),"Decrease surface area","Optimize compression","Update production SOP","Supplier evaluation","Training for operators","Equipment calibration"))</f>
        <v>Optimize compression</v>
      </c>
    </row>
    <row r="335" spans="1:9" x14ac:dyDescent="0.35">
      <c r="A335" s="31">
        <v>200000662</v>
      </c>
      <c r="B335" s="31">
        <v>1010</v>
      </c>
      <c r="C335" s="31">
        <v>4303</v>
      </c>
      <c r="D335" s="29" t="s">
        <v>431</v>
      </c>
      <c r="E335" s="31">
        <v>4.4000000000000004</v>
      </c>
      <c r="F335" s="34">
        <f ca="1">LOOKUP(C335,'QALS - Inspection Lot Record'!P:P,'QALS - Inspection Lot Record'!E:E)+RANDBETWEEN(0,1)</f>
        <v>46022</v>
      </c>
      <c r="G335" s="41" t="s">
        <v>474</v>
      </c>
      <c r="H335" s="34">
        <f t="shared" ca="1" si="5"/>
        <v>46024</v>
      </c>
      <c r="I335" s="29" t="str" cm="1">
        <f t="array" aca="1" ref="I335" ca="1">_xlfn.IFS(G335="Potency out of spec",CHOOSE(RANDBETWEEN(1,6),"Additional testing","Improve formulation","Update production SOP","Supplier evaluation","Training for operators","Equipment calibration"),
G335="PH Level out of range",CHOOSE(RANDBETWEEN(1,6),"PH monitoring","Adjust formulation","Update production SOP","Supplier evaluation","Training for operators","Equipment calibration"),
G335="Impurities out of limit",CHOOSE(RANDBETWEEN(1,6),"Improve purification","Raw material control","Update production SOP","Supplier evaluation","Training for operators","Equipment maintenance"),
G335="Process temp out of range",CHOOSE(RANDBETWEEN(1,6),"Temperature control","Update production SOP","Supplier evaluation","Training for operators",
"Equipment calibration","Preventive maintenance"),
G335="Dissolution rate low - 15 mins",CHOOSE(RANDBETWEEN(1,6),"Increase agitation","Reduce particle size","Update production SOP","Supplier evaluation",
"Training for operators","Equipment calibration"),
G335="Dissolution rate low - 30 mins",CHOOSE(RANDBETWEEN(1,6),"Increase disintegrant","Optimize granulation","Update production SOP","Supplier evaluation",
"Training for operators","Equipment calibration"),
G335="Dissolution rate low - 40 mins",CHOOSE(RANDBETWEEN(1,6),"Increase surface area","Optimize compression","Update production SOP","Supplier evaluation",
"Training for operators","Equipment calibration"),
G335="Dissolution rate high - 15 mins",CHOOSE(RANDBETWEEN(1,6),"Decrease agitation","Increase particle size","Update production SOP","Supplier evaluation","Training for operators","Equipment calibration"),
G335="Dissolution rate high - 30 mins",CHOOSE(RANDBETWEEN(1,6),"Decrease disintegrant","Optimize granulation","Update production SOP","Supplier evaluation","Training for operators","Equipment calibration"),
G335="Dissolution rate high - 40 mins",CHOOSE(RANDBETWEEN(1,6),"Decrease surface area","Optimize compression","Update production SOP","Supplier evaluation","Training for operators","Equipment calibration"))</f>
        <v>Supplier evaluation</v>
      </c>
    </row>
    <row r="336" spans="1:9" x14ac:dyDescent="0.35">
      <c r="A336" s="31">
        <v>200000662</v>
      </c>
      <c r="B336" s="31">
        <v>1010</v>
      </c>
      <c r="C336" s="31">
        <v>4303</v>
      </c>
      <c r="D336" s="29" t="s">
        <v>431</v>
      </c>
      <c r="E336" s="31">
        <v>69</v>
      </c>
      <c r="F336" s="34">
        <f ca="1">LOOKUP(C336,'QALS - Inspection Lot Record'!P:P,'QALS - Inspection Lot Record'!E:E)+RANDBETWEEN(0,1)</f>
        <v>46021</v>
      </c>
      <c r="G336" s="41" t="s">
        <v>480</v>
      </c>
      <c r="H336" s="34">
        <f t="shared" ca="1" si="5"/>
        <v>46023</v>
      </c>
      <c r="I336" s="29" t="str" cm="1">
        <f t="array" aca="1" ref="I336" ca="1">_xlfn.IFS(G336="Potency out of spec",CHOOSE(RANDBETWEEN(1,6),"Additional testing","Improve formulation","Update production SOP","Supplier evaluation","Training for operators","Equipment calibration"),
G336="PH Level out of range",CHOOSE(RANDBETWEEN(1,6),"PH monitoring","Adjust formulation","Update production SOP","Supplier evaluation","Training for operators","Equipment calibration"),
G336="Impurities out of limit",CHOOSE(RANDBETWEEN(1,6),"Improve purification","Raw material control","Update production SOP","Supplier evaluation","Training for operators","Equipment maintenance"),
G336="Process temp out of range",CHOOSE(RANDBETWEEN(1,6),"Temperature control","Update production SOP","Supplier evaluation","Training for operators",
"Equipment calibration","Preventive maintenance"),
G336="Dissolution rate low - 15 mins",CHOOSE(RANDBETWEEN(1,6),"Increase agitation","Reduce particle size","Update production SOP","Supplier evaluation",
"Training for operators","Equipment calibration"),
G336="Dissolution rate low - 30 mins",CHOOSE(RANDBETWEEN(1,6),"Increase disintegrant","Optimize granulation","Update production SOP","Supplier evaluation",
"Training for operators","Equipment calibration"),
G336="Dissolution rate low - 40 mins",CHOOSE(RANDBETWEEN(1,6),"Increase surface area","Optimize compression","Update production SOP","Supplier evaluation",
"Training for operators","Equipment calibration"),
G336="Dissolution rate high - 15 mins",CHOOSE(RANDBETWEEN(1,6),"Decrease agitation","Increase particle size","Update production SOP","Supplier evaluation","Training for operators","Equipment calibration"),
G336="Dissolution rate high - 30 mins",CHOOSE(RANDBETWEEN(1,6),"Decrease disintegrant","Optimize granulation","Update production SOP","Supplier evaluation","Training for operators","Equipment calibration"),
G336="Dissolution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37" spans="1:9" x14ac:dyDescent="0.35">
      <c r="A337" s="31">
        <v>200000662</v>
      </c>
      <c r="B337" s="31">
        <v>1010</v>
      </c>
      <c r="C337" s="31">
        <v>4303</v>
      </c>
      <c r="D337" s="29" t="s">
        <v>431</v>
      </c>
      <c r="E337" s="31">
        <v>78.7</v>
      </c>
      <c r="F337" s="34">
        <f ca="1">LOOKUP(C337,'QALS - Inspection Lot Record'!P:P,'QALS - Inspection Lot Record'!E:E)+RANDBETWEEN(0,1)</f>
        <v>46022</v>
      </c>
      <c r="G337" s="41" t="s">
        <v>486</v>
      </c>
      <c r="H337" s="34">
        <f t="shared" ca="1" si="5"/>
        <v>46024</v>
      </c>
      <c r="I337" s="29" t="str" cm="1">
        <f t="array" aca="1" ref="I337" ca="1">_xlfn.IFS(G337="Potency out of spec",CHOOSE(RANDBETWEEN(1,6),"Additional testing","Improve formulation","Update production SOP","Supplier evaluation","Training for operators","Equipment calibration"),
G337="PH Level out of range",CHOOSE(RANDBETWEEN(1,6),"PH monitoring","Adjust formulation","Update production SOP","Supplier evaluation","Training for operators","Equipment calibration"),
G337="Impurities out of limit",CHOOSE(RANDBETWEEN(1,6),"Improve purification","Raw material control","Update production SOP","Supplier evaluation","Training for operators","Equipment maintenance"),
G337="Process temp out of range",CHOOSE(RANDBETWEEN(1,6),"Temperature control","Update production SOP","Supplier evaluation","Training for operators",
"Equipment calibration","Preventive maintenance"),
G337="Dissolution rate low - 15 mins",CHOOSE(RANDBETWEEN(1,6),"Increase agitation","Reduce particle size","Update production SOP","Supplier evaluation",
"Training for operators","Equipment calibration"),
G337="Dissolution rate low - 30 mins",CHOOSE(RANDBETWEEN(1,6),"Increase disintegrant","Optimize granulation","Update production SOP","Supplier evaluation",
"Training for operators","Equipment calibration"),
G337="Dissolution rate low - 40 mins",CHOOSE(RANDBETWEEN(1,6),"Increase surface area","Optimize compression","Update production SOP","Supplier evaluation",
"Training for operators","Equipment calibration"),
G337="Dissolution rate high - 15 mins",CHOOSE(RANDBETWEEN(1,6),"Decrease agitation","Increase particle size","Update production SOP","Supplier evaluation","Training for operators","Equipment calibration"),
G337="Dissolution rate high - 30 mins",CHOOSE(RANDBETWEEN(1,6),"Decrease disintegrant","Optimize granulation","Update production SOP","Supplier evaluation","Training for operators","Equipment calibration"),
G337="Dissolution rate high - 40 mins",CHOOSE(RANDBETWEEN(1,6),"Decrease surface area","Optimize compression","Update production SOP","Supplier evaluation","Training for operators","Equipment calibration"))</f>
        <v>Optimize compression</v>
      </c>
    </row>
    <row r="338" spans="1:9" x14ac:dyDescent="0.35">
      <c r="A338" s="31">
        <v>200000663</v>
      </c>
      <c r="B338" s="31">
        <v>1010</v>
      </c>
      <c r="C338" s="31">
        <v>4304</v>
      </c>
      <c r="D338" s="29" t="s">
        <v>504</v>
      </c>
      <c r="E338" s="31">
        <v>94</v>
      </c>
      <c r="F338" s="34">
        <f ca="1">LOOKUP(C338,'QALS - Inspection Lot Record'!P:P,'QALS - Inspection Lot Record'!E:E)+RANDBETWEEN(0,1)</f>
        <v>46021</v>
      </c>
      <c r="G338" s="41" t="s">
        <v>472</v>
      </c>
      <c r="H338" s="34">
        <f t="shared" ca="1" si="5"/>
        <v>46021</v>
      </c>
      <c r="I338" s="29" t="str" cm="1">
        <f t="array" aca="1" ref="I338" ca="1">_xlfn.IFS(G338="Potency out of spec",CHOOSE(RANDBETWEEN(1,6),"Additional testing","Improve formulation","Update production SOP","Supplier evaluation","Training for operators","Equipment calibration"),
G338="PH Level out of range",CHOOSE(RANDBETWEEN(1,6),"PH monitoring","Adjust formulation","Update production SOP","Supplier evaluation","Training for operators","Equipment calibration"),
G338="Impurities out of limit",CHOOSE(RANDBETWEEN(1,6),"Improve purification","Raw material control","Update production SOP","Supplier evaluation","Training for operators","Equipment maintenance"),
G338="Process temp out of range",CHOOSE(RANDBETWEEN(1,6),"Temperature control","Update production SOP","Supplier evaluation","Training for operators",
"Equipment calibration","Preventive maintenance"),
G338="Dissolution rate low - 15 mins",CHOOSE(RANDBETWEEN(1,6),"Increase agitation","Reduce particle size","Update production SOP","Supplier evaluation",
"Training for operators","Equipment calibration"),
G338="Dissolution rate low - 30 mins",CHOOSE(RANDBETWEEN(1,6),"Increase disintegrant","Optimize granulation","Update production SOP","Supplier evaluation",
"Training for operators","Equipment calibration"),
G338="Dissolution rate low - 40 mins",CHOOSE(RANDBETWEEN(1,6),"Increase surface area","Optimize compression","Update production SOP","Supplier evaluation",
"Training for operators","Equipment calibration"),
G338="Dissolution rate high - 15 mins",CHOOSE(RANDBETWEEN(1,6),"Decrease agitation","Increase particle size","Update production SOP","Supplier evaluation","Training for operators","Equipment calibration"),
G338="Dissolution rate high - 30 mins",CHOOSE(RANDBETWEEN(1,6),"Decrease disintegrant","Optimize granulation","Update production SOP","Supplier evaluation","Training for operators","Equipment calibration"),
G338="Dissolution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39" spans="1:9" x14ac:dyDescent="0.35">
      <c r="A339" s="31">
        <v>200000663</v>
      </c>
      <c r="B339" s="31">
        <v>1010</v>
      </c>
      <c r="C339" s="31">
        <v>4304</v>
      </c>
      <c r="D339" s="29" t="s">
        <v>504</v>
      </c>
      <c r="E339" s="31">
        <v>38</v>
      </c>
      <c r="F339" s="34">
        <f ca="1">LOOKUP(C339,'QALS - Inspection Lot Record'!P:P,'QALS - Inspection Lot Record'!E:E)+RANDBETWEEN(0,1)</f>
        <v>46022</v>
      </c>
      <c r="G339" s="41" t="s">
        <v>478</v>
      </c>
      <c r="H339" s="34">
        <f t="shared" ca="1" si="5"/>
        <v>46023</v>
      </c>
      <c r="I339" s="29" t="str" cm="1">
        <f t="array" aca="1" ref="I339" ca="1">_xlfn.IFS(G339="Potency out of spec",CHOOSE(RANDBETWEEN(1,6),"Additional testing","Improve formulation","Update production SOP","Supplier evaluation","Training for operators","Equipment calibration"),
G339="PH Level out of range",CHOOSE(RANDBETWEEN(1,6),"PH monitoring","Adjust formulation","Update production SOP","Supplier evaluation","Training for operators","Equipment calibration"),
G339="Impurities out of limit",CHOOSE(RANDBETWEEN(1,6),"Improve purification","Raw material control","Update production SOP","Supplier evaluation","Training for operators","Equipment maintenance"),
G339="Process temp out of range",CHOOSE(RANDBETWEEN(1,6),"Temperature control","Update production SOP","Supplier evaluation","Training for operators",
"Equipment calibration","Preventive maintenance"),
G339="Dissolution rate low - 15 mins",CHOOSE(RANDBETWEEN(1,6),"Increase agitation","Reduce particle size","Update production SOP","Supplier evaluation",
"Training for operators","Equipment calibration"),
G339="Dissolution rate low - 30 mins",CHOOSE(RANDBETWEEN(1,6),"Increase disintegrant","Optimize granulation","Update production SOP","Supplier evaluation",
"Training for operators","Equipment calibration"),
G339="Dissolution rate low - 40 mins",CHOOSE(RANDBETWEEN(1,6),"Increase surface area","Optimize compression","Update production SOP","Supplier evaluation",
"Training for operators","Equipment calibration"),
G339="Dissolution rate high - 15 mins",CHOOSE(RANDBETWEEN(1,6),"Decrease agitation","Increase particle size","Update production SOP","Supplier evaluation","Training for operators","Equipment calibration"),
G339="Dissolution rate high - 30 mins",CHOOSE(RANDBETWEEN(1,6),"Decrease disintegrant","Optimize granulation","Update production SOP","Supplier evaluation","Training for operators","Equipment calibration"),
G339="Dissolution rate high - 40 mins",CHOOSE(RANDBETWEEN(1,6),"Decrease surface area","Optimize compression","Update production SOP","Supplier evaluation","Training for operators","Equipment calibration"))</f>
        <v>Increase agitation</v>
      </c>
    </row>
    <row r="340" spans="1:9" x14ac:dyDescent="0.35">
      <c r="A340" s="31">
        <v>200000663</v>
      </c>
      <c r="B340" s="31">
        <v>1010</v>
      </c>
      <c r="C340" s="31">
        <v>4304</v>
      </c>
      <c r="D340" s="29" t="s">
        <v>504</v>
      </c>
      <c r="E340" s="31">
        <v>68.7</v>
      </c>
      <c r="F340" s="34">
        <f ca="1">LOOKUP(C340,'QALS - Inspection Lot Record'!P:P,'QALS - Inspection Lot Record'!E:E)+RANDBETWEEN(0,1)</f>
        <v>46021</v>
      </c>
      <c r="G340" s="41" t="s">
        <v>480</v>
      </c>
      <c r="H340" s="34">
        <f t="shared" ca="1" si="5"/>
        <v>46021</v>
      </c>
      <c r="I340" s="29" t="str" cm="1">
        <f t="array" aca="1" ref="I340" ca="1">_xlfn.IFS(G340="Potency out of spec",CHOOSE(RANDBETWEEN(1,6),"Additional testing","Improve formulation","Update production SOP","Supplier evaluation","Training for operators","Equipment calibration"),
G340="PH Level out of range",CHOOSE(RANDBETWEEN(1,6),"PH monitoring","Adjust formulation","Update production SOP","Supplier evaluation","Training for operators","Equipment calibration"),
G340="Impurities out of limit",CHOOSE(RANDBETWEEN(1,6),"Improve purification","Raw material control","Update production SOP","Supplier evaluation","Training for operators","Equipment maintenance"),
G340="Process temp out of range",CHOOSE(RANDBETWEEN(1,6),"Temperature control","Update production SOP","Supplier evaluation","Training for operators",
"Equipment calibration","Preventive maintenance"),
G340="Dissolution rate low - 15 mins",CHOOSE(RANDBETWEEN(1,6),"Increase agitation","Reduce particle size","Update production SOP","Supplier evaluation",
"Training for operators","Equipment calibration"),
G340="Dissolution rate low - 30 mins",CHOOSE(RANDBETWEEN(1,6),"Increase disintegrant","Optimize granulation","Update production SOP","Supplier evaluation",
"Training for operators","Equipment calibration"),
G340="Dissolution rate low - 40 mins",CHOOSE(RANDBETWEEN(1,6),"Increase surface area","Optimize compression","Update production SOP","Supplier evaluation",
"Training for operators","Equipment calibration"),
G340="Dissolution rate high - 15 mins",CHOOSE(RANDBETWEEN(1,6),"Decrease agitation","Increase particle size","Update production SOP","Supplier evaluation","Training for operators","Equipment calibration"),
G340="Dissolution rate high - 30 mins",CHOOSE(RANDBETWEEN(1,6),"Decrease disintegrant","Optimize granulation","Update production SOP","Supplier evaluation","Training for operators","Equipment calibration"),
G340="Dissolution rate high - 40 mins",CHOOSE(RANDBETWEEN(1,6),"Decrease surface area","Optimize compression","Update production SOP","Supplier evaluation","Training for operators","Equipment calibration"))</f>
        <v>Optimize granulation</v>
      </c>
    </row>
    <row r="341" spans="1:9" x14ac:dyDescent="0.35">
      <c r="A341" s="31">
        <v>200000663</v>
      </c>
      <c r="B341" s="31">
        <v>1010</v>
      </c>
      <c r="C341" s="31">
        <v>4304</v>
      </c>
      <c r="D341" s="29" t="s">
        <v>504</v>
      </c>
      <c r="E341" s="31">
        <v>78.900000000000006</v>
      </c>
      <c r="F341" s="34">
        <f ca="1">LOOKUP(C341,'QALS - Inspection Lot Record'!P:P,'QALS - Inspection Lot Record'!E:E)+RANDBETWEEN(0,1)</f>
        <v>46021</v>
      </c>
      <c r="G341" s="41" t="s">
        <v>486</v>
      </c>
      <c r="H341" s="34">
        <f t="shared" ca="1" si="5"/>
        <v>46023</v>
      </c>
      <c r="I341" s="29" t="str" cm="1">
        <f t="array" aca="1" ref="I341" ca="1">_xlfn.IFS(G341="Potency out of spec",CHOOSE(RANDBETWEEN(1,6),"Additional testing","Improve formulation","Update production SOP","Supplier evaluation","Training for operators","Equipment calibration"),
G341="PH Level out of range",CHOOSE(RANDBETWEEN(1,6),"PH monitoring","Adjust formulation","Update production SOP","Supplier evaluation","Training for operators","Equipment calibration"),
G341="Impurities out of limit",CHOOSE(RANDBETWEEN(1,6),"Improve purification","Raw material control","Update production SOP","Supplier evaluation","Training for operators","Equipment maintenance"),
G341="Process temp out of range",CHOOSE(RANDBETWEEN(1,6),"Temperature control","Update production SOP","Supplier evaluation","Training for operators",
"Equipment calibration","Preventive maintenance"),
G341="Dissolution rate low - 15 mins",CHOOSE(RANDBETWEEN(1,6),"Increase agitation","Reduce particle size","Update production SOP","Supplier evaluation",
"Training for operators","Equipment calibration"),
G341="Dissolution rate low - 30 mins",CHOOSE(RANDBETWEEN(1,6),"Increase disintegrant","Optimize granulation","Update production SOP","Supplier evaluation",
"Training for operators","Equipment calibration"),
G341="Dissolution rate low - 40 mins",CHOOSE(RANDBETWEEN(1,6),"Increase surface area","Optimize compression","Update production SOP","Supplier evaluation",
"Training for operators","Equipment calibration"),
G341="Dissolution rate high - 15 mins",CHOOSE(RANDBETWEEN(1,6),"Decrease agitation","Increase particle size","Update production SOP","Supplier evaluation","Training for operators","Equipment calibration"),
G341="Dissolution rate high - 30 mins",CHOOSE(RANDBETWEEN(1,6),"Decrease disintegrant","Optimize granulation","Update production SOP","Supplier evaluation","Training for operators","Equipment calibration"),
G341="Dissolution rate high - 40 mins",CHOOSE(RANDBETWEEN(1,6),"Decrease surface area","Optimize compression","Update production SOP","Supplier evaluation","Training for operators","Equipment calibration"))</f>
        <v>Optimize compression</v>
      </c>
    </row>
    <row r="342" spans="1:9" x14ac:dyDescent="0.35">
      <c r="A342" s="31">
        <v>200000664</v>
      </c>
      <c r="B342" s="31">
        <v>1010</v>
      </c>
      <c r="C342" s="31">
        <v>4305</v>
      </c>
      <c r="D342" s="29" t="s">
        <v>429</v>
      </c>
      <c r="E342" s="31">
        <v>93.8</v>
      </c>
      <c r="F342" s="34">
        <f ca="1">LOOKUP(C342,'QALS - Inspection Lot Record'!P:P,'QALS - Inspection Lot Record'!E:E)+RANDBETWEEN(0,1)</f>
        <v>46023</v>
      </c>
      <c r="G342" s="41" t="s">
        <v>472</v>
      </c>
      <c r="H342" s="34">
        <f t="shared" ca="1" si="5"/>
        <v>46024</v>
      </c>
      <c r="I342" s="29" t="str" cm="1">
        <f t="array" aca="1" ref="I342" ca="1">_xlfn.IFS(G342="Potency out of spec",CHOOSE(RANDBETWEEN(1,6),"Additional testing","Improve formulation","Update production SOP","Supplier evaluation","Training for operators","Equipment calibration"),
G342="PH Level out of range",CHOOSE(RANDBETWEEN(1,6),"PH monitoring","Adjust formulation","Update production SOP","Supplier evaluation","Training for operators","Equipment calibration"),
G342="Impurities out of limit",CHOOSE(RANDBETWEEN(1,6),"Improve purification","Raw material control","Update production SOP","Supplier evaluation","Training for operators","Equipment maintenance"),
G342="Process temp out of range",CHOOSE(RANDBETWEEN(1,6),"Temperature control","Update production SOP","Supplier evaluation","Training for operators",
"Equipment calibration","Preventive maintenance"),
G342="Dissolution rate low - 15 mins",CHOOSE(RANDBETWEEN(1,6),"Increase agitation","Reduce particle size","Update production SOP","Supplier evaluation",
"Training for operators","Equipment calibration"),
G342="Dissolution rate low - 30 mins",CHOOSE(RANDBETWEEN(1,6),"Increase disintegrant","Optimize granulation","Update production SOP","Supplier evaluation",
"Training for operators","Equipment calibration"),
G342="Dissolution rate low - 40 mins",CHOOSE(RANDBETWEEN(1,6),"Increase surface area","Optimize compression","Update production SOP","Supplier evaluation",
"Training for operators","Equipment calibration"),
G342="Dissolution rate high - 15 mins",CHOOSE(RANDBETWEEN(1,6),"Decrease agitation","Increase particle size","Update production SOP","Supplier evaluation","Training for operators","Equipment calibration"),
G342="Dissolution rate high - 30 mins",CHOOSE(RANDBETWEEN(1,6),"Decrease disintegrant","Optimize granulation","Update production SOP","Supplier evaluation","Training for operators","Equipment calibration"),
G342="Dissolution rate high - 40 mins",CHOOSE(RANDBETWEEN(1,6),"Decrease surface area","Optimize compression","Update production SOP","Supplier evaluation","Training for operators","Equipment calibration"))</f>
        <v>Equipment calibration</v>
      </c>
    </row>
    <row r="343" spans="1:9" x14ac:dyDescent="0.35">
      <c r="A343" s="31">
        <v>200000665</v>
      </c>
      <c r="B343" s="31">
        <v>1010</v>
      </c>
      <c r="C343" s="31">
        <v>4306</v>
      </c>
      <c r="D343" s="29" t="s">
        <v>431</v>
      </c>
      <c r="E343" s="31">
        <v>68.7</v>
      </c>
      <c r="F343" s="34">
        <f ca="1">LOOKUP(C343,'QALS - Inspection Lot Record'!P:P,'QALS - Inspection Lot Record'!E:E)+RANDBETWEEN(0,1)</f>
        <v>46023</v>
      </c>
      <c r="G343" s="41" t="s">
        <v>480</v>
      </c>
      <c r="H343" s="34">
        <f t="shared" ca="1" si="5"/>
        <v>46023</v>
      </c>
      <c r="I343" s="29" t="str" cm="1">
        <f t="array" aca="1" ref="I343" ca="1">_xlfn.IFS(G343="Potency out of spec",CHOOSE(RANDBETWEEN(1,6),"Additional testing","Improve formulation","Update production SOP","Supplier evaluation","Training for operators","Equipment calibration"),
G343="PH Level out of range",CHOOSE(RANDBETWEEN(1,6),"PH monitoring","Adjust formulation","Update production SOP","Supplier evaluation","Training for operators","Equipment calibration"),
G343="Impurities out of limit",CHOOSE(RANDBETWEEN(1,6),"Improve purification","Raw material control","Update production SOP","Supplier evaluation","Training for operators","Equipment maintenance"),
G343="Process temp out of range",CHOOSE(RANDBETWEEN(1,6),"Temperature control","Update production SOP","Supplier evaluation","Training for operators",
"Equipment calibration","Preventive maintenance"),
G343="Dissolution rate low - 15 mins",CHOOSE(RANDBETWEEN(1,6),"Increase agitation","Reduce particle size","Update production SOP","Supplier evaluation",
"Training for operators","Equipment calibration"),
G343="Dissolution rate low - 30 mins",CHOOSE(RANDBETWEEN(1,6),"Increase disintegrant","Optimize granulation","Update production SOP","Supplier evaluation",
"Training for operators","Equipment calibration"),
G343="Dissolution rate low - 40 mins",CHOOSE(RANDBETWEEN(1,6),"Increase surface area","Optimize compression","Update production SOP","Supplier evaluation",
"Training for operators","Equipment calibration"),
G343="Dissolution rate high - 15 mins",CHOOSE(RANDBETWEEN(1,6),"Decrease agitation","Increase particle size","Update production SOP","Supplier evaluation","Training for operators","Equipment calibration"),
G343="Dissolution rate high - 30 mins",CHOOSE(RANDBETWEEN(1,6),"Decrease disintegrant","Optimize granulation","Update production SOP","Supplier evaluation","Training for operators","Equipment calibration"),
G343="Dissolution rate high - 40 mins",CHOOSE(RANDBETWEEN(1,6),"Decrease surface area","Optimize compression","Update production SOP","Supplier evaluation","Training for operators","Equipment calibration"))</f>
        <v>Equipment calibration</v>
      </c>
    </row>
    <row r="344" spans="1:9" x14ac:dyDescent="0.35">
      <c r="A344" s="31">
        <v>200000665</v>
      </c>
      <c r="B344" s="31">
        <v>1010</v>
      </c>
      <c r="C344" s="31">
        <v>4306</v>
      </c>
      <c r="D344" s="29" t="s">
        <v>431</v>
      </c>
      <c r="E344" s="31">
        <v>78.3</v>
      </c>
      <c r="F344" s="34">
        <f ca="1">LOOKUP(C344,'QALS - Inspection Lot Record'!P:P,'QALS - Inspection Lot Record'!E:E)+RANDBETWEEN(0,1)</f>
        <v>46022</v>
      </c>
      <c r="G344" s="41" t="s">
        <v>486</v>
      </c>
      <c r="H344" s="34">
        <f t="shared" ca="1" si="5"/>
        <v>46023</v>
      </c>
      <c r="I344" s="29" t="str" cm="1">
        <f t="array" aca="1" ref="I344" ca="1">_xlfn.IFS(G344="Potency out of spec",CHOOSE(RANDBETWEEN(1,6),"Additional testing","Improve formulation","Update production SOP","Supplier evaluation","Training for operators","Equipment calibration"),
G344="PH Level out of range",CHOOSE(RANDBETWEEN(1,6),"PH monitoring","Adjust formulation","Update production SOP","Supplier evaluation","Training for operators","Equipment calibration"),
G344="Impurities out of limit",CHOOSE(RANDBETWEEN(1,6),"Improve purification","Raw material control","Update production SOP","Supplier evaluation","Training for operators","Equipment maintenance"),
G344="Process temp out of range",CHOOSE(RANDBETWEEN(1,6),"Temperature control","Update production SOP","Supplier evaluation","Training for operators",
"Equipment calibration","Preventive maintenance"),
G344="Dissolution rate low - 15 mins",CHOOSE(RANDBETWEEN(1,6),"Increase agitation","Reduce particle size","Update production SOP","Supplier evaluation",
"Training for operators","Equipment calibration"),
G344="Dissolution rate low - 30 mins",CHOOSE(RANDBETWEEN(1,6),"Increase disintegrant","Optimize granulation","Update production SOP","Supplier evaluation",
"Training for operators","Equipment calibration"),
G344="Dissolution rate low - 40 mins",CHOOSE(RANDBETWEEN(1,6),"Increase surface area","Optimize compression","Update production SOP","Supplier evaluation",
"Training for operators","Equipment calibration"),
G344="Dissolution rate high - 15 mins",CHOOSE(RANDBETWEEN(1,6),"Decrease agitation","Increase particle size","Update production SOP","Supplier evaluation","Training for operators","Equipment calibration"),
G344="Dissolution rate high - 30 mins",CHOOSE(RANDBETWEEN(1,6),"Decrease disintegrant","Optimize granulation","Update production SOP","Supplier evaluation","Training for operators","Equipment calibration"),
G344="Dissolution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45" spans="1:9" x14ac:dyDescent="0.35">
      <c r="A345" s="31">
        <v>200000666</v>
      </c>
      <c r="B345" s="31">
        <v>1010</v>
      </c>
      <c r="C345" s="31">
        <v>4307</v>
      </c>
      <c r="D345" s="29" t="s">
        <v>503</v>
      </c>
      <c r="E345" s="31">
        <v>2.2000000000000002</v>
      </c>
      <c r="F345" s="34">
        <f ca="1">LOOKUP(C345,'QALS - Inspection Lot Record'!P:P,'QALS - Inspection Lot Record'!E:E)+RANDBETWEEN(0,1)</f>
        <v>46023</v>
      </c>
      <c r="G345" s="41" t="s">
        <v>474</v>
      </c>
      <c r="H345" s="34">
        <f t="shared" ca="1" si="5"/>
        <v>46023</v>
      </c>
      <c r="I345" s="29" t="str" cm="1">
        <f t="array" aca="1" ref="I345" ca="1">_xlfn.IFS(G345="Potency out of spec",CHOOSE(RANDBETWEEN(1,6),"Additional testing","Improve formulation","Update production SOP","Supplier evaluation","Training for operators","Equipment calibration"),
G345="PH Level out of range",CHOOSE(RANDBETWEEN(1,6),"PH monitoring","Adjust formulation","Update production SOP","Supplier evaluation","Training for operators","Equipment calibration"),
G345="Impurities out of limit",CHOOSE(RANDBETWEEN(1,6),"Improve purification","Raw material control","Update production SOP","Supplier evaluation","Training for operators","Equipment maintenance"),
G345="Process temp out of range",CHOOSE(RANDBETWEEN(1,6),"Temperature control","Update production SOP","Supplier evaluation","Training for operators",
"Equipment calibration","Preventive maintenance"),
G345="Dissolution rate low - 15 mins",CHOOSE(RANDBETWEEN(1,6),"Increase agitation","Reduce particle size","Update production SOP","Supplier evaluation",
"Training for operators","Equipment calibration"),
G345="Dissolution rate low - 30 mins",CHOOSE(RANDBETWEEN(1,6),"Increase disintegrant","Optimize granulation","Update production SOP","Supplier evaluation",
"Training for operators","Equipment calibration"),
G345="Dissolution rate low - 40 mins",CHOOSE(RANDBETWEEN(1,6),"Increase surface area","Optimize compression","Update production SOP","Supplier evaluation",
"Training for operators","Equipment calibration"),
G345="Dissolution rate high - 15 mins",CHOOSE(RANDBETWEEN(1,6),"Decrease agitation","Increase particle size","Update production SOP","Supplier evaluation","Training for operators","Equipment calibration"),
G345="Dissolution rate high - 30 mins",CHOOSE(RANDBETWEEN(1,6),"Decrease disintegrant","Optimize granulation","Update production SOP","Supplier evaluation","Training for operators","Equipment calibration"),
G345="Dissolution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46" spans="1:9" x14ac:dyDescent="0.35">
      <c r="A346" s="31">
        <v>200000666</v>
      </c>
      <c r="B346" s="31">
        <v>1010</v>
      </c>
      <c r="C346" s="31">
        <v>4307</v>
      </c>
      <c r="D346" s="29" t="s">
        <v>503</v>
      </c>
      <c r="E346" s="31">
        <v>39</v>
      </c>
      <c r="F346" s="34">
        <f ca="1">LOOKUP(C346,'QALS - Inspection Lot Record'!P:P,'QALS - Inspection Lot Record'!E:E)+RANDBETWEEN(0,1)</f>
        <v>46024</v>
      </c>
      <c r="G346" s="41" t="s">
        <v>478</v>
      </c>
      <c r="H346" s="34">
        <f t="shared" ca="1" si="5"/>
        <v>46025</v>
      </c>
      <c r="I346" s="29" t="str" cm="1">
        <f t="array" aca="1" ref="I346" ca="1">_xlfn.IFS(G346="Potency out of spec",CHOOSE(RANDBETWEEN(1,6),"Additional testing","Improve formulation","Update production SOP","Supplier evaluation","Training for operators","Equipment calibration"),
G346="PH Level out of range",CHOOSE(RANDBETWEEN(1,6),"PH monitoring","Adjust formulation","Update production SOP","Supplier evaluation","Training for operators","Equipment calibration"),
G346="Impurities out of limit",CHOOSE(RANDBETWEEN(1,6),"Improve purification","Raw material control","Update production SOP","Supplier evaluation","Training for operators","Equipment maintenance"),
G346="Process temp out of range",CHOOSE(RANDBETWEEN(1,6),"Temperature control","Update production SOP","Supplier evaluation","Training for operators",
"Equipment calibration","Preventive maintenance"),
G346="Dissolution rate low - 15 mins",CHOOSE(RANDBETWEEN(1,6),"Increase agitation","Reduce particle size","Update production SOP","Supplier evaluation",
"Training for operators","Equipment calibration"),
G346="Dissolution rate low - 30 mins",CHOOSE(RANDBETWEEN(1,6),"Increase disintegrant","Optimize granulation","Update production SOP","Supplier evaluation",
"Training for operators","Equipment calibration"),
G346="Dissolution rate low - 40 mins",CHOOSE(RANDBETWEEN(1,6),"Increase surface area","Optimize compression","Update production SOP","Supplier evaluation",
"Training for operators","Equipment calibration"),
G346="Dissolution rate high - 15 mins",CHOOSE(RANDBETWEEN(1,6),"Decrease agitation","Increase particle size","Update production SOP","Supplier evaluation","Training for operators","Equipment calibration"),
G346="Dissolution rate high - 30 mins",CHOOSE(RANDBETWEEN(1,6),"Decrease disintegrant","Optimize granulation","Update production SOP","Supplier evaluation","Training for operators","Equipment calibration"),
G346="Dissolution rate high - 40 mins",CHOOSE(RANDBETWEEN(1,6),"Decrease surface area","Optimize compression","Update production SOP","Supplier evaluation","Training for operators","Equipment calibration"))</f>
        <v>Supplier evaluation</v>
      </c>
    </row>
    <row r="347" spans="1:9" x14ac:dyDescent="0.35">
      <c r="A347" s="31">
        <v>200000666</v>
      </c>
      <c r="B347" s="31">
        <v>1010</v>
      </c>
      <c r="C347" s="31">
        <v>4307</v>
      </c>
      <c r="D347" s="29" t="s">
        <v>503</v>
      </c>
      <c r="E347" s="31">
        <v>78.2</v>
      </c>
      <c r="F347" s="34">
        <f ca="1">LOOKUP(C347,'QALS - Inspection Lot Record'!P:P,'QALS - Inspection Lot Record'!E:E)+RANDBETWEEN(0,1)</f>
        <v>46024</v>
      </c>
      <c r="G347" s="41" t="s">
        <v>486</v>
      </c>
      <c r="H347" s="34">
        <f t="shared" ca="1" si="5"/>
        <v>46024</v>
      </c>
      <c r="I347" s="29" t="str" cm="1">
        <f t="array" aca="1" ref="I347" ca="1">_xlfn.IFS(G347="Potency out of spec",CHOOSE(RANDBETWEEN(1,6),"Additional testing","Improve formulation","Update production SOP","Supplier evaluation","Training for operators","Equipment calibration"),
G347="PH Level out of range",CHOOSE(RANDBETWEEN(1,6),"PH monitoring","Adjust formulation","Update production SOP","Supplier evaluation","Training for operators","Equipment calibration"),
G347="Impurities out of limit",CHOOSE(RANDBETWEEN(1,6),"Improve purification","Raw material control","Update production SOP","Supplier evaluation","Training for operators","Equipment maintenance"),
G347="Process temp out of range",CHOOSE(RANDBETWEEN(1,6),"Temperature control","Update production SOP","Supplier evaluation","Training for operators",
"Equipment calibration","Preventive maintenance"),
G347="Dissolution rate low - 15 mins",CHOOSE(RANDBETWEEN(1,6),"Increase agitation","Reduce particle size","Update production SOP","Supplier evaluation",
"Training for operators","Equipment calibration"),
G347="Dissolution rate low - 30 mins",CHOOSE(RANDBETWEEN(1,6),"Increase disintegrant","Optimize granulation","Update production SOP","Supplier evaluation",
"Training for operators","Equipment calibration"),
G347="Dissolution rate low - 40 mins",CHOOSE(RANDBETWEEN(1,6),"Increase surface area","Optimize compression","Update production SOP","Supplier evaluation",
"Training for operators","Equipment calibration"),
G347="Dissolution rate high - 15 mins",CHOOSE(RANDBETWEEN(1,6),"Decrease agitation","Increase particle size","Update production SOP","Supplier evaluation","Training for operators","Equipment calibration"),
G347="Dissolution rate high - 30 mins",CHOOSE(RANDBETWEEN(1,6),"Decrease disintegrant","Optimize granulation","Update production SOP","Supplier evaluation","Training for operators","Equipment calibration"),
G347="Dissolution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48" spans="1:9" x14ac:dyDescent="0.35">
      <c r="A348" s="31">
        <v>200000666</v>
      </c>
      <c r="B348" s="31">
        <v>1010</v>
      </c>
      <c r="C348" s="31">
        <v>4307</v>
      </c>
      <c r="D348" s="29" t="s">
        <v>503</v>
      </c>
      <c r="E348" s="31">
        <v>21.5</v>
      </c>
      <c r="F348" s="34">
        <f ca="1">LOOKUP(C348,'QALS - Inspection Lot Record'!P:P,'QALS - Inspection Lot Record'!E:E)+RANDBETWEEN(0,1)</f>
        <v>46023</v>
      </c>
      <c r="G348" s="41" t="s">
        <v>483</v>
      </c>
      <c r="H348" s="34">
        <f t="shared" ca="1" si="5"/>
        <v>46023</v>
      </c>
      <c r="I348" s="29" t="str" cm="1">
        <f t="array" aca="1" ref="I348" ca="1">_xlfn.IFS(G348="Potency out of spec",CHOOSE(RANDBETWEEN(1,6),"Additional testing","Improve formulation","Update production SOP","Supplier evaluation","Training for operators","Equipment calibration"),
G348="PH Level out of range",CHOOSE(RANDBETWEEN(1,6),"PH monitoring","Adjust formulation","Update production SOP","Supplier evaluation","Training for operators","Equipment calibration"),
G348="Impurities out of limit",CHOOSE(RANDBETWEEN(1,6),"Improve purification","Raw material control","Update production SOP","Supplier evaluation","Training for operators","Equipment maintenance"),
G348="Process temp out of range",CHOOSE(RANDBETWEEN(1,6),"Temperature control","Update production SOP","Supplier evaluation","Training for operators",
"Equipment calibration","Preventive maintenance"),
G348="Dissolution rate low - 15 mins",CHOOSE(RANDBETWEEN(1,6),"Increase agitation","Reduce particle size","Update production SOP","Supplier evaluation",
"Training for operators","Equipment calibration"),
G348="Dissolution rate low - 30 mins",CHOOSE(RANDBETWEEN(1,6),"Increase disintegrant","Optimize granulation","Update production SOP","Supplier evaluation",
"Training for operators","Equipment calibration"),
G348="Dissolution rate low - 40 mins",CHOOSE(RANDBETWEEN(1,6),"Increase surface area","Optimize compression","Update production SOP","Supplier evaluation",
"Training for operators","Equipment calibration"),
G348="Dissolution rate high - 15 mins",CHOOSE(RANDBETWEEN(1,6),"Decrease agitation","Increase particle size","Update production SOP","Supplier evaluation","Training for operators","Equipment calibration"),
G348="Dissolution rate high - 30 mins",CHOOSE(RANDBETWEEN(1,6),"Decrease disintegrant","Optimize granulation","Update production SOP","Supplier evaluation","Training for operators","Equipment calibration"),
G348="Dissolution rate high - 40 mins",CHOOSE(RANDBETWEEN(1,6),"Decrease surface area","Optimize compression","Update production SOP","Supplier evaluation","Training for operators","Equipment calibration"))</f>
        <v>Preventive maintenance</v>
      </c>
    </row>
    <row r="349" spans="1:9" x14ac:dyDescent="0.35">
      <c r="A349" s="31">
        <v>200000667</v>
      </c>
      <c r="B349" s="31">
        <v>1010</v>
      </c>
      <c r="C349" s="31">
        <v>4308</v>
      </c>
      <c r="D349" s="29" t="s">
        <v>503</v>
      </c>
      <c r="E349" s="31">
        <v>2.2999999999999998</v>
      </c>
      <c r="F349" s="34">
        <f ca="1">LOOKUP(C349,'QALS - Inspection Lot Record'!P:P,'QALS - Inspection Lot Record'!E:E)+RANDBETWEEN(0,1)</f>
        <v>46024</v>
      </c>
      <c r="G349" s="41" t="s">
        <v>474</v>
      </c>
      <c r="H349" s="34">
        <f t="shared" ca="1" si="5"/>
        <v>46024</v>
      </c>
      <c r="I349" s="29" t="str" cm="1">
        <f t="array" aca="1" ref="I349" ca="1">_xlfn.IFS(G349="Potency out of spec",CHOOSE(RANDBETWEEN(1,6),"Additional testing","Improve formulation","Update production SOP","Supplier evaluation","Training for operators","Equipment calibration"),
G349="PH Level out of range",CHOOSE(RANDBETWEEN(1,6),"PH monitoring","Adjust formulation","Update production SOP","Supplier evaluation","Training for operators","Equipment calibration"),
G349="Impurities out of limit",CHOOSE(RANDBETWEEN(1,6),"Improve purification","Raw material control","Update production SOP","Supplier evaluation","Training for operators","Equipment maintenance"),
G349="Process temp out of range",CHOOSE(RANDBETWEEN(1,6),"Temperature control","Update production SOP","Supplier evaluation","Training for operators",
"Equipment calibration","Preventive maintenance"),
G349="Dissolution rate low - 15 mins",CHOOSE(RANDBETWEEN(1,6),"Increase agitation","Reduce particle size","Update production SOP","Supplier evaluation",
"Training for operators","Equipment calibration"),
G349="Dissolution rate low - 30 mins",CHOOSE(RANDBETWEEN(1,6),"Increase disintegrant","Optimize granulation","Update production SOP","Supplier evaluation",
"Training for operators","Equipment calibration"),
G349="Dissolution rate low - 40 mins",CHOOSE(RANDBETWEEN(1,6),"Increase surface area","Optimize compression","Update production SOP","Supplier evaluation",
"Training for operators","Equipment calibration"),
G349="Dissolution rate high - 15 mins",CHOOSE(RANDBETWEEN(1,6),"Decrease agitation","Increase particle size","Update production SOP","Supplier evaluation","Training for operators","Equipment calibration"),
G349="Dissolution rate high - 30 mins",CHOOSE(RANDBETWEEN(1,6),"Decrease disintegrant","Optimize granulation","Update production SOP","Supplier evaluation","Training for operators","Equipment calibration"),
G349="Dissolution rate high - 40 mins",CHOOSE(RANDBETWEEN(1,6),"Decrease surface area","Optimize compression","Update production SOP","Supplier evaluation","Training for operators","Equipment calibration"))</f>
        <v>PH monitoring</v>
      </c>
    </row>
    <row r="350" spans="1:9" x14ac:dyDescent="0.35">
      <c r="A350" s="31">
        <v>200000667</v>
      </c>
      <c r="B350" s="31">
        <v>1010</v>
      </c>
      <c r="C350" s="31">
        <v>4308</v>
      </c>
      <c r="D350" s="29" t="s">
        <v>503</v>
      </c>
      <c r="E350" s="31">
        <v>1.2</v>
      </c>
      <c r="F350" s="34">
        <f ca="1">LOOKUP(C350,'QALS - Inspection Lot Record'!P:P,'QALS - Inspection Lot Record'!E:E)+RANDBETWEEN(0,1)</f>
        <v>46024</v>
      </c>
      <c r="G350" s="41" t="s">
        <v>476</v>
      </c>
      <c r="H350" s="34">
        <f t="shared" ca="1" si="5"/>
        <v>46025</v>
      </c>
      <c r="I350" s="29" t="str" cm="1">
        <f t="array" aca="1" ref="I350" ca="1">_xlfn.IFS(G350="Potency out of spec",CHOOSE(RANDBETWEEN(1,6),"Additional testing","Improve formulation","Update production SOP","Supplier evaluation","Training for operators","Equipment calibration"),
G350="PH Level out of range",CHOOSE(RANDBETWEEN(1,6),"PH monitoring","Adjust formulation","Update production SOP","Supplier evaluation","Training for operators","Equipment calibration"),
G350="Impurities out of limit",CHOOSE(RANDBETWEEN(1,6),"Improve purification","Raw material control","Update production SOP","Supplier evaluation","Training for operators","Equipment maintenance"),
G350="Process temp out of range",CHOOSE(RANDBETWEEN(1,6),"Temperature control","Update production SOP","Supplier evaluation","Training for operators",
"Equipment calibration","Preventive maintenance"),
G350="Dissolution rate low - 15 mins",CHOOSE(RANDBETWEEN(1,6),"Increase agitation","Reduce particle size","Update production SOP","Supplier evaluation",
"Training for operators","Equipment calibration"),
G350="Dissolution rate low - 30 mins",CHOOSE(RANDBETWEEN(1,6),"Increase disintegrant","Optimize granulation","Update production SOP","Supplier evaluation",
"Training for operators","Equipment calibration"),
G350="Dissolution rate low - 40 mins",CHOOSE(RANDBETWEEN(1,6),"Increase surface area","Optimize compression","Update production SOP","Supplier evaluation",
"Training for operators","Equipment calibration"),
G350="Dissolution rate high - 15 mins",CHOOSE(RANDBETWEEN(1,6),"Decrease agitation","Increase particle size","Update production SOP","Supplier evaluation","Training for operators","Equipment calibration"),
G350="Dissolution rate high - 30 mins",CHOOSE(RANDBETWEEN(1,6),"Decrease disintegrant","Optimize granulation","Update production SOP","Supplier evaluation","Training for operators","Equipment calibration"),
G350="Dissolution rate high - 40 mins",CHOOSE(RANDBETWEEN(1,6),"Decrease surface area","Optimize compression","Update production SOP","Supplier evaluation","Training for operators","Equipment calibration"))</f>
        <v>Improve purification</v>
      </c>
    </row>
    <row r="351" spans="1:9" x14ac:dyDescent="0.35">
      <c r="A351" s="31">
        <v>200000667</v>
      </c>
      <c r="B351" s="31">
        <v>1010</v>
      </c>
      <c r="C351" s="31">
        <v>4308</v>
      </c>
      <c r="D351" s="29" t="s">
        <v>503</v>
      </c>
      <c r="E351" s="31">
        <v>68.8</v>
      </c>
      <c r="F351" s="34">
        <f ca="1">LOOKUP(C351,'QALS - Inspection Lot Record'!P:P,'QALS - Inspection Lot Record'!E:E)+RANDBETWEEN(0,1)</f>
        <v>46023</v>
      </c>
      <c r="G351" s="41" t="s">
        <v>480</v>
      </c>
      <c r="H351" s="34">
        <f t="shared" ca="1" si="5"/>
        <v>46024</v>
      </c>
      <c r="I351" s="29" t="str" cm="1">
        <f t="array" aca="1" ref="I351" ca="1">_xlfn.IFS(G351="Potency out of spec",CHOOSE(RANDBETWEEN(1,6),"Additional testing","Improve formulation","Update production SOP","Supplier evaluation","Training for operators","Equipment calibration"),
G351="PH Level out of range",CHOOSE(RANDBETWEEN(1,6),"PH monitoring","Adjust formulation","Update production SOP","Supplier evaluation","Training for operators","Equipment calibration"),
G351="Impurities out of limit",CHOOSE(RANDBETWEEN(1,6),"Improve purification","Raw material control","Update production SOP","Supplier evaluation","Training for operators","Equipment maintenance"),
G351="Process temp out of range",CHOOSE(RANDBETWEEN(1,6),"Temperature control","Update production SOP","Supplier evaluation","Training for operators",
"Equipment calibration","Preventive maintenance"),
G351="Dissolution rate low - 15 mins",CHOOSE(RANDBETWEEN(1,6),"Increase agitation","Reduce particle size","Update production SOP","Supplier evaluation",
"Training for operators","Equipment calibration"),
G351="Dissolution rate low - 30 mins",CHOOSE(RANDBETWEEN(1,6),"Increase disintegrant","Optimize granulation","Update production SOP","Supplier evaluation",
"Training for operators","Equipment calibration"),
G351="Dissolution rate low - 40 mins",CHOOSE(RANDBETWEEN(1,6),"Increase surface area","Optimize compression","Update production SOP","Supplier evaluation",
"Training for operators","Equipment calibration"),
G351="Dissolution rate high - 15 mins",CHOOSE(RANDBETWEEN(1,6),"Decrease agitation","Increase particle size","Update production SOP","Supplier evaluation","Training for operators","Equipment calibration"),
G351="Dissolution rate high - 30 mins",CHOOSE(RANDBETWEEN(1,6),"Decrease disintegrant","Optimize granulation","Update production SOP","Supplier evaluation","Training for operators","Equipment calibration"),
G351="Dissolution rate high - 40 mins",CHOOSE(RANDBETWEEN(1,6),"Decrease surface area","Optimize compression","Update production SOP","Supplier evaluation","Training for operators","Equipment calibration"))</f>
        <v>Update production SOP</v>
      </c>
    </row>
    <row r="352" spans="1:9" x14ac:dyDescent="0.35">
      <c r="A352" s="31">
        <v>200000667</v>
      </c>
      <c r="B352" s="31">
        <v>1010</v>
      </c>
      <c r="C352" s="31">
        <v>4308</v>
      </c>
      <c r="D352" s="29" t="s">
        <v>503</v>
      </c>
      <c r="E352" s="31">
        <v>78.099999999999994</v>
      </c>
      <c r="F352" s="34">
        <f ca="1">LOOKUP(C352,'QALS - Inspection Lot Record'!P:P,'QALS - Inspection Lot Record'!E:E)+RANDBETWEEN(0,1)</f>
        <v>46024</v>
      </c>
      <c r="G352" s="41" t="s">
        <v>486</v>
      </c>
      <c r="H352" s="34">
        <f t="shared" ca="1" si="5"/>
        <v>46026</v>
      </c>
      <c r="I352" s="29" t="str" cm="1">
        <f t="array" aca="1" ref="I352" ca="1">_xlfn.IFS(G352="Potency out of spec",CHOOSE(RANDBETWEEN(1,6),"Additional testing","Improve formulation","Update production SOP","Supplier evaluation","Training for operators","Equipment calibration"),
G352="PH Level out of range",CHOOSE(RANDBETWEEN(1,6),"PH monitoring","Adjust formulation","Update production SOP","Supplier evaluation","Training for operators","Equipment calibration"),
G352="Impurities out of limit",CHOOSE(RANDBETWEEN(1,6),"Improve purification","Raw material control","Update production SOP","Supplier evaluation","Training for operators","Equipment maintenance"),
G352="Process temp out of range",CHOOSE(RANDBETWEEN(1,6),"Temperature control","Update production SOP","Supplier evaluation","Training for operators",
"Equipment calibration","Preventive maintenance"),
G352="Dissolution rate low - 15 mins",CHOOSE(RANDBETWEEN(1,6),"Increase agitation","Reduce particle size","Update production SOP","Supplier evaluation",
"Training for operators","Equipment calibration"),
G352="Dissolution rate low - 30 mins",CHOOSE(RANDBETWEEN(1,6),"Increase disintegrant","Optimize granulation","Update production SOP","Supplier evaluation",
"Training for operators","Equipment calibration"),
G352="Dissolution rate low - 40 mins",CHOOSE(RANDBETWEEN(1,6),"Increase surface area","Optimize compression","Update production SOP","Supplier evaluation",
"Training for operators","Equipment calibration"),
G352="Dissolution rate high - 15 mins",CHOOSE(RANDBETWEEN(1,6),"Decrease agitation","Increase particle size","Update production SOP","Supplier evaluation","Training for operators","Equipment calibration"),
G352="Dissolution rate high - 30 mins",CHOOSE(RANDBETWEEN(1,6),"Decrease disintegrant","Optimize granulation","Update production SOP","Supplier evaluation","Training for operators","Equipment calibration"),
G352="Dissolution rate high - 40 mins",CHOOSE(RANDBETWEEN(1,6),"Decrease surface area","Optimize compression","Update production SOP","Supplier evaluation","Training for operators","Equipment calibration"))</f>
        <v>Equipment calibration</v>
      </c>
    </row>
    <row r="353" spans="1:9" x14ac:dyDescent="0.35">
      <c r="A353" s="31">
        <v>200000668</v>
      </c>
      <c r="B353" s="31">
        <v>1010</v>
      </c>
      <c r="C353" s="31">
        <v>4309</v>
      </c>
      <c r="D353" s="29" t="s">
        <v>433</v>
      </c>
      <c r="E353" s="31">
        <v>21.6</v>
      </c>
      <c r="F353" s="34">
        <f ca="1">LOOKUP(C353,'QALS - Inspection Lot Record'!P:P,'QALS - Inspection Lot Record'!E:E)+RANDBETWEEN(0,1)</f>
        <v>46024</v>
      </c>
      <c r="G353" s="41" t="s">
        <v>483</v>
      </c>
      <c r="H353" s="34">
        <f t="shared" ca="1" si="5"/>
        <v>46024</v>
      </c>
      <c r="I353" s="29" t="str" cm="1">
        <f t="array" aca="1" ref="I353" ca="1">_xlfn.IFS(G353="Potency out of spec",CHOOSE(RANDBETWEEN(1,6),"Additional testing","Improve formulation","Update production SOP","Supplier evaluation","Training for operators","Equipment calibration"),
G353="PH Level out of range",CHOOSE(RANDBETWEEN(1,6),"PH monitoring","Adjust formulation","Update production SOP","Supplier evaluation","Training for operators","Equipment calibration"),
G353="Impurities out of limit",CHOOSE(RANDBETWEEN(1,6),"Improve purification","Raw material control","Update production SOP","Supplier evaluation","Training for operators","Equipment maintenance"),
G353="Process temp out of range",CHOOSE(RANDBETWEEN(1,6),"Temperature control","Update production SOP","Supplier evaluation","Training for operators",
"Equipment calibration","Preventive maintenance"),
G353="Dissolution rate low - 15 mins",CHOOSE(RANDBETWEEN(1,6),"Increase agitation","Reduce particle size","Update production SOP","Supplier evaluation",
"Training for operators","Equipment calibration"),
G353="Dissolution rate low - 30 mins",CHOOSE(RANDBETWEEN(1,6),"Increase disintegrant","Optimize granulation","Update production SOP","Supplier evaluation",
"Training for operators","Equipment calibration"),
G353="Dissolution rate low - 40 mins",CHOOSE(RANDBETWEEN(1,6),"Increase surface area","Optimize compression","Update production SOP","Supplier evaluation",
"Training for operators","Equipment calibration"),
G353="Dissolution rate high - 15 mins",CHOOSE(RANDBETWEEN(1,6),"Decrease agitation","Increase particle size","Update production SOP","Supplier evaluation","Training for operators","Equipment calibration"),
G353="Dissolution rate high - 30 mins",CHOOSE(RANDBETWEEN(1,6),"Decrease disintegrant","Optimize granulation","Update production SOP","Supplier evaluation","Training for operators","Equipment calibration"),
G353="Dissolution rate high - 40 mins",CHOOSE(RANDBETWEEN(1,6),"Decrease surface area","Optimize compression","Update production SOP","Supplier evaluation","Training for operators","Equipment calibration"))</f>
        <v>Temperature control</v>
      </c>
    </row>
    <row r="354" spans="1:9" x14ac:dyDescent="0.35">
      <c r="A354" s="31">
        <v>200000669</v>
      </c>
      <c r="B354" s="31">
        <v>1010</v>
      </c>
      <c r="C354" s="31">
        <v>4310</v>
      </c>
      <c r="D354" s="29" t="s">
        <v>429</v>
      </c>
      <c r="E354" s="31">
        <v>2</v>
      </c>
      <c r="F354" s="34">
        <f ca="1">LOOKUP(C354,'QALS - Inspection Lot Record'!P:P,'QALS - Inspection Lot Record'!E:E)+RANDBETWEEN(0,1)</f>
        <v>46024</v>
      </c>
      <c r="G354" s="41" t="s">
        <v>474</v>
      </c>
      <c r="H354" s="34">
        <f t="shared" ca="1" si="5"/>
        <v>46026</v>
      </c>
      <c r="I354" s="29" t="str" cm="1">
        <f t="array" aca="1" ref="I354" ca="1">_xlfn.IFS(G354="Potency out of spec",CHOOSE(RANDBETWEEN(1,6),"Additional testing","Improve formulation","Update production SOP","Supplier evaluation","Training for operators","Equipment calibration"),
G354="PH Level out of range",CHOOSE(RANDBETWEEN(1,6),"PH monitoring","Adjust formulation","Update production SOP","Supplier evaluation","Training for operators","Equipment calibration"),
G354="Impurities out of limit",CHOOSE(RANDBETWEEN(1,6),"Improve purification","Raw material control","Update production SOP","Supplier evaluation","Training for operators","Equipment maintenance"),
G354="Process temp out of range",CHOOSE(RANDBETWEEN(1,6),"Temperature control","Update production SOP","Supplier evaluation","Training for operators",
"Equipment calibration","Preventive maintenance"),
G354="Dissolution rate low - 15 mins",CHOOSE(RANDBETWEEN(1,6),"Increase agitation","Reduce particle size","Update production SOP","Supplier evaluation",
"Training for operators","Equipment calibration"),
G354="Dissolution rate low - 30 mins",CHOOSE(RANDBETWEEN(1,6),"Increase disintegrant","Optimize granulation","Update production SOP","Supplier evaluation",
"Training for operators","Equipment calibration"),
G354="Dissolution rate low - 40 mins",CHOOSE(RANDBETWEEN(1,6),"Increase surface area","Optimize compression","Update production SOP","Supplier evaluation",
"Training for operators","Equipment calibration"),
G354="Dissolution rate high - 15 mins",CHOOSE(RANDBETWEEN(1,6),"Decrease agitation","Increase particle size","Update production SOP","Supplier evaluation","Training for operators","Equipment calibration"),
G354="Dissolution rate high - 30 mins",CHOOSE(RANDBETWEEN(1,6),"Decrease disintegrant","Optimize granulation","Update production SOP","Supplier evaluation","Training for operators","Equipment calibration"),
G354="Dissolution rate high - 40 mins",CHOOSE(RANDBETWEEN(1,6),"Decrease surface area","Optimize compression","Update production SOP","Supplier evaluation","Training for operators","Equipment calibration"))</f>
        <v>Update production SOP</v>
      </c>
    </row>
    <row r="355" spans="1:9" x14ac:dyDescent="0.35">
      <c r="A355" s="31">
        <v>200000669</v>
      </c>
      <c r="B355" s="31">
        <v>1010</v>
      </c>
      <c r="C355" s="31">
        <v>4310</v>
      </c>
      <c r="D355" s="29" t="s">
        <v>429</v>
      </c>
      <c r="E355" s="31">
        <v>68.2</v>
      </c>
      <c r="F355" s="34">
        <f ca="1">LOOKUP(C355,'QALS - Inspection Lot Record'!P:P,'QALS - Inspection Lot Record'!E:E)+RANDBETWEEN(0,1)</f>
        <v>46024</v>
      </c>
      <c r="G355" s="41" t="s">
        <v>480</v>
      </c>
      <c r="H355" s="34">
        <f t="shared" ca="1" si="5"/>
        <v>46026</v>
      </c>
      <c r="I355" s="29" t="str" cm="1">
        <f t="array" aca="1" ref="I355" ca="1">_xlfn.IFS(G355="Potency out of spec",CHOOSE(RANDBETWEEN(1,6),"Additional testing","Improve formulation","Update production SOP","Supplier evaluation","Training for operators","Equipment calibration"),
G355="PH Level out of range",CHOOSE(RANDBETWEEN(1,6),"PH monitoring","Adjust formulation","Update production SOP","Supplier evaluation","Training for operators","Equipment calibration"),
G355="Impurities out of limit",CHOOSE(RANDBETWEEN(1,6),"Improve purification","Raw material control","Update production SOP","Supplier evaluation","Training for operators","Equipment maintenance"),
G355="Process temp out of range",CHOOSE(RANDBETWEEN(1,6),"Temperature control","Update production SOP","Supplier evaluation","Training for operators",
"Equipment calibration","Preventive maintenance"),
G355="Dissolution rate low - 15 mins",CHOOSE(RANDBETWEEN(1,6),"Increase agitation","Reduce particle size","Update production SOP","Supplier evaluation",
"Training for operators","Equipment calibration"),
G355="Dissolution rate low - 30 mins",CHOOSE(RANDBETWEEN(1,6),"Increase disintegrant","Optimize granulation","Update production SOP","Supplier evaluation",
"Training for operators","Equipment calibration"),
G355="Dissolution rate low - 40 mins",CHOOSE(RANDBETWEEN(1,6),"Increase surface area","Optimize compression","Update production SOP","Supplier evaluation",
"Training for operators","Equipment calibration"),
G355="Dissolution rate high - 15 mins",CHOOSE(RANDBETWEEN(1,6),"Decrease agitation","Increase particle size","Update production SOP","Supplier evaluation","Training for operators","Equipment calibration"),
G355="Dissolution rate high - 30 mins",CHOOSE(RANDBETWEEN(1,6),"Decrease disintegrant","Optimize granulation","Update production SOP","Supplier evaluation","Training for operators","Equipment calibration"),
G355="Dissolution rate high - 40 mins",CHOOSE(RANDBETWEEN(1,6),"Decrease surface area","Optimize compression","Update production SOP","Supplier evaluation","Training for operators","Equipment calibration"))</f>
        <v>Optimize granulation</v>
      </c>
    </row>
    <row r="356" spans="1:9" x14ac:dyDescent="0.35">
      <c r="A356" s="31">
        <v>200000670</v>
      </c>
      <c r="B356" s="31">
        <v>1010</v>
      </c>
      <c r="C356" s="31">
        <v>4311</v>
      </c>
      <c r="D356" s="29" t="s">
        <v>431</v>
      </c>
      <c r="E356" s="31">
        <v>93.7</v>
      </c>
      <c r="F356" s="34">
        <f ca="1">LOOKUP(C356,'QALS - Inspection Lot Record'!P:P,'QALS - Inspection Lot Record'!E:E)+RANDBETWEEN(0,1)</f>
        <v>46025</v>
      </c>
      <c r="G356" s="41" t="s">
        <v>472</v>
      </c>
      <c r="H356" s="34">
        <f t="shared" ca="1" si="5"/>
        <v>46027</v>
      </c>
      <c r="I356" s="29" t="str" cm="1">
        <f t="array" aca="1" ref="I356" ca="1">_xlfn.IFS(G356="Potency out of spec",CHOOSE(RANDBETWEEN(1,6),"Additional testing","Improve formulation","Update production SOP","Supplier evaluation","Training for operators","Equipment calibration"),
G356="PH Level out of range",CHOOSE(RANDBETWEEN(1,6),"PH monitoring","Adjust formulation","Update production SOP","Supplier evaluation","Training for operators","Equipment calibration"),
G356="Impurities out of limit",CHOOSE(RANDBETWEEN(1,6),"Improve purification","Raw material control","Update production SOP","Supplier evaluation","Training for operators","Equipment maintenance"),
G356="Process temp out of range",CHOOSE(RANDBETWEEN(1,6),"Temperature control","Update production SOP","Supplier evaluation","Training for operators",
"Equipment calibration","Preventive maintenance"),
G356="Dissolution rate low - 15 mins",CHOOSE(RANDBETWEEN(1,6),"Increase agitation","Reduce particle size","Update production SOP","Supplier evaluation",
"Training for operators","Equipment calibration"),
G356="Dissolution rate low - 30 mins",CHOOSE(RANDBETWEEN(1,6),"Increase disintegrant","Optimize granulation","Update production SOP","Supplier evaluation",
"Training for operators","Equipment calibration"),
G356="Dissolution rate low - 40 mins",CHOOSE(RANDBETWEEN(1,6),"Increase surface area","Optimize compression","Update production SOP","Supplier evaluation",
"Training for operators","Equipment calibration"),
G356="Dissolution rate high - 15 mins",CHOOSE(RANDBETWEEN(1,6),"Decrease agitation","Increase particle size","Update production SOP","Supplier evaluation","Training for operators","Equipment calibration"),
G356="Dissolution rate high - 30 mins",CHOOSE(RANDBETWEEN(1,6),"Decrease disintegrant","Optimize granulation","Update production SOP","Supplier evaluation","Training for operators","Equipment calibration"),
G356="Dissolution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57" spans="1:9" x14ac:dyDescent="0.35">
      <c r="A357" s="31">
        <v>200000671</v>
      </c>
      <c r="B357" s="31">
        <v>1010</v>
      </c>
      <c r="C357" s="31">
        <v>4313</v>
      </c>
      <c r="D357" s="29" t="s">
        <v>429</v>
      </c>
      <c r="E357" s="31">
        <v>78.900000000000006</v>
      </c>
      <c r="F357" s="34">
        <f ca="1">LOOKUP(C357,'QALS - Inspection Lot Record'!P:P,'QALS - Inspection Lot Record'!E:E)+RANDBETWEEN(0,1)</f>
        <v>46027</v>
      </c>
      <c r="G357" s="41" t="s">
        <v>486</v>
      </c>
      <c r="H357" s="34">
        <f t="shared" ca="1" si="5"/>
        <v>46028</v>
      </c>
      <c r="I357" s="29" t="str" cm="1">
        <f t="array" aca="1" ref="I357" ca="1">_xlfn.IFS(G357="Potency out of spec",CHOOSE(RANDBETWEEN(1,6),"Additional testing","Improve formulation","Update production SOP","Supplier evaluation","Training for operators","Equipment calibration"),
G357="PH Level out of range",CHOOSE(RANDBETWEEN(1,6),"PH monitoring","Adjust formulation","Update production SOP","Supplier evaluation","Training for operators","Equipment calibration"),
G357="Impurities out of limit",CHOOSE(RANDBETWEEN(1,6),"Improve purification","Raw material control","Update production SOP","Supplier evaluation","Training for operators","Equipment maintenance"),
G357="Process temp out of range",CHOOSE(RANDBETWEEN(1,6),"Temperature control","Update production SOP","Supplier evaluation","Training for operators",
"Equipment calibration","Preventive maintenance"),
G357="Dissolution rate low - 15 mins",CHOOSE(RANDBETWEEN(1,6),"Increase agitation","Reduce particle size","Update production SOP","Supplier evaluation",
"Training for operators","Equipment calibration"),
G357="Dissolution rate low - 30 mins",CHOOSE(RANDBETWEEN(1,6),"Increase disintegrant","Optimize granulation","Update production SOP","Supplier evaluation",
"Training for operators","Equipment calibration"),
G357="Dissolution rate low - 40 mins",CHOOSE(RANDBETWEEN(1,6),"Increase surface area","Optimize compression","Update production SOP","Supplier evaluation",
"Training for operators","Equipment calibration"),
G357="Dissolution rate high - 15 mins",CHOOSE(RANDBETWEEN(1,6),"Decrease agitation","Increase particle size","Update production SOP","Supplier evaluation","Training for operators","Equipment calibration"),
G357="Dissolution rate high - 30 mins",CHOOSE(RANDBETWEEN(1,6),"Decrease disintegrant","Optimize granulation","Update production SOP","Supplier evaluation","Training for operators","Equipment calibration"),
G357="Dissolution rate high - 40 mins",CHOOSE(RANDBETWEEN(1,6),"Decrease surface area","Optimize compression","Update production SOP","Supplier evaluation","Training for operators","Equipment calibration"))</f>
        <v>Equipment calibration</v>
      </c>
    </row>
    <row r="358" spans="1:9" x14ac:dyDescent="0.35">
      <c r="A358" s="31">
        <v>200000672</v>
      </c>
      <c r="B358" s="31">
        <v>1010</v>
      </c>
      <c r="C358" s="31">
        <v>4314</v>
      </c>
      <c r="D358" s="29" t="s">
        <v>504</v>
      </c>
      <c r="E358" s="31">
        <v>93.1</v>
      </c>
      <c r="F358" s="34">
        <f ca="1">LOOKUP(C358,'QALS - Inspection Lot Record'!P:P,'QALS - Inspection Lot Record'!E:E)+RANDBETWEEN(0,1)</f>
        <v>46027</v>
      </c>
      <c r="G358" s="41" t="s">
        <v>472</v>
      </c>
      <c r="H358" s="34">
        <f t="shared" ca="1" si="5"/>
        <v>46029</v>
      </c>
      <c r="I358" s="29" t="str" cm="1">
        <f t="array" aca="1" ref="I358" ca="1">_xlfn.IFS(G358="Potency out of spec",CHOOSE(RANDBETWEEN(1,6),"Additional testing","Improve formulation","Update production SOP","Supplier evaluation","Training for operators","Equipment calibration"),
G358="PH Level out of range",CHOOSE(RANDBETWEEN(1,6),"PH monitoring","Adjust formulation","Update production SOP","Supplier evaluation","Training for operators","Equipment calibration"),
G358="Impurities out of limit",CHOOSE(RANDBETWEEN(1,6),"Improve purification","Raw material control","Update production SOP","Supplier evaluation","Training for operators","Equipment maintenance"),
G358="Process temp out of range",CHOOSE(RANDBETWEEN(1,6),"Temperature control","Update production SOP","Supplier evaluation","Training for operators",
"Equipment calibration","Preventive maintenance"),
G358="Dissolution rate low - 15 mins",CHOOSE(RANDBETWEEN(1,6),"Increase agitation","Reduce particle size","Update production SOP","Supplier evaluation",
"Training for operators","Equipment calibration"),
G358="Dissolution rate low - 30 mins",CHOOSE(RANDBETWEEN(1,6),"Increase disintegrant","Optimize granulation","Update production SOP","Supplier evaluation",
"Training for operators","Equipment calibration"),
G358="Dissolution rate low - 40 mins",CHOOSE(RANDBETWEEN(1,6),"Increase surface area","Optimize compression","Update production SOP","Supplier evaluation",
"Training for operators","Equipment calibration"),
G358="Dissolution rate high - 15 mins",CHOOSE(RANDBETWEEN(1,6),"Decrease agitation","Increase particle size","Update production SOP","Supplier evaluation","Training for operators","Equipment calibration"),
G358="Dissolution rate high - 30 mins",CHOOSE(RANDBETWEEN(1,6),"Decrease disintegrant","Optimize granulation","Update production SOP","Supplier evaluation","Training for operators","Equipment calibration"),
G358="Dissolution rate high - 40 mins",CHOOSE(RANDBETWEEN(1,6),"Decrease surface area","Optimize compression","Update production SOP","Supplier evaluation","Training for operators","Equipment calibration"))</f>
        <v>Improve formulation</v>
      </c>
    </row>
    <row r="359" spans="1:9" x14ac:dyDescent="0.35">
      <c r="A359" s="31">
        <v>200000672</v>
      </c>
      <c r="B359" s="31">
        <v>1010</v>
      </c>
      <c r="C359" s="31">
        <v>4314</v>
      </c>
      <c r="D359" s="29" t="s">
        <v>504</v>
      </c>
      <c r="E359" s="31">
        <v>38.4</v>
      </c>
      <c r="F359" s="34">
        <f ca="1">LOOKUP(C359,'QALS - Inspection Lot Record'!P:P,'QALS - Inspection Lot Record'!E:E)+RANDBETWEEN(0,1)</f>
        <v>46026</v>
      </c>
      <c r="G359" s="41" t="s">
        <v>478</v>
      </c>
      <c r="H359" s="34">
        <f t="shared" ca="1" si="5"/>
        <v>46026</v>
      </c>
      <c r="I359" s="29" t="str" cm="1">
        <f t="array" aca="1" ref="I359" ca="1">_xlfn.IFS(G359="Potency out of spec",CHOOSE(RANDBETWEEN(1,6),"Additional testing","Improve formulation","Update production SOP","Supplier evaluation","Training for operators","Equipment calibration"),
G359="PH Level out of range",CHOOSE(RANDBETWEEN(1,6),"PH monitoring","Adjust formulation","Update production SOP","Supplier evaluation","Training for operators","Equipment calibration"),
G359="Impurities out of limit",CHOOSE(RANDBETWEEN(1,6),"Improve purification","Raw material control","Update production SOP","Supplier evaluation","Training for operators","Equipment maintenance"),
G359="Process temp out of range",CHOOSE(RANDBETWEEN(1,6),"Temperature control","Update production SOP","Supplier evaluation","Training for operators",
"Equipment calibration","Preventive maintenance"),
G359="Dissolution rate low - 15 mins",CHOOSE(RANDBETWEEN(1,6),"Increase agitation","Reduce particle size","Update production SOP","Supplier evaluation",
"Training for operators","Equipment calibration"),
G359="Dissolution rate low - 30 mins",CHOOSE(RANDBETWEEN(1,6),"Increase disintegrant","Optimize granulation","Update production SOP","Supplier evaluation",
"Training for operators","Equipment calibration"),
G359="Dissolution rate low - 40 mins",CHOOSE(RANDBETWEEN(1,6),"Increase surface area","Optimize compression","Update production SOP","Supplier evaluation",
"Training for operators","Equipment calibration"),
G359="Dissolution rate high - 15 mins",CHOOSE(RANDBETWEEN(1,6),"Decrease agitation","Increase particle size","Update production SOP","Supplier evaluation","Training for operators","Equipment calibration"),
G359="Dissolution rate high - 30 mins",CHOOSE(RANDBETWEEN(1,6),"Decrease disintegrant","Optimize granulation","Update production SOP","Supplier evaluation","Training for operators","Equipment calibration"),
G359="Dissolution rate high - 40 mins",CHOOSE(RANDBETWEEN(1,6),"Decrease surface area","Optimize compression","Update production SOP","Supplier evaluation","Training for operators","Equipment calibration"))</f>
        <v>Supplier evaluation</v>
      </c>
    </row>
    <row r="360" spans="1:9" x14ac:dyDescent="0.35">
      <c r="A360" s="31">
        <v>200000672</v>
      </c>
      <c r="B360" s="31">
        <v>1010</v>
      </c>
      <c r="C360" s="31">
        <v>4314</v>
      </c>
      <c r="D360" s="29" t="s">
        <v>504</v>
      </c>
      <c r="E360" s="31">
        <v>68.8</v>
      </c>
      <c r="F360" s="34">
        <f ca="1">LOOKUP(C360,'QALS - Inspection Lot Record'!P:P,'QALS - Inspection Lot Record'!E:E)+RANDBETWEEN(0,1)</f>
        <v>46027</v>
      </c>
      <c r="G360" s="41" t="s">
        <v>480</v>
      </c>
      <c r="H360" s="34">
        <f t="shared" ca="1" si="5"/>
        <v>46029</v>
      </c>
      <c r="I360" s="29" t="str" cm="1">
        <f t="array" aca="1" ref="I360" ca="1">_xlfn.IFS(G360="Potency out of spec",CHOOSE(RANDBETWEEN(1,6),"Additional testing","Improve formulation","Update production SOP","Supplier evaluation","Training for operators","Equipment calibration"),
G360="PH Level out of range",CHOOSE(RANDBETWEEN(1,6),"PH monitoring","Adjust formulation","Update production SOP","Supplier evaluation","Training for operators","Equipment calibration"),
G360="Impurities out of limit",CHOOSE(RANDBETWEEN(1,6),"Improve purification","Raw material control","Update production SOP","Supplier evaluation","Training for operators","Equipment maintenance"),
G360="Process temp out of range",CHOOSE(RANDBETWEEN(1,6),"Temperature control","Update production SOP","Supplier evaluation","Training for operators",
"Equipment calibration","Preventive maintenance"),
G360="Dissolution rate low - 15 mins",CHOOSE(RANDBETWEEN(1,6),"Increase agitation","Reduce particle size","Update production SOP","Supplier evaluation",
"Training for operators","Equipment calibration"),
G360="Dissolution rate low - 30 mins",CHOOSE(RANDBETWEEN(1,6),"Increase disintegrant","Optimize granulation","Update production SOP","Supplier evaluation",
"Training for operators","Equipment calibration"),
G360="Dissolution rate low - 40 mins",CHOOSE(RANDBETWEEN(1,6),"Increase surface area","Optimize compression","Update production SOP","Supplier evaluation",
"Training for operators","Equipment calibration"),
G360="Dissolution rate high - 15 mins",CHOOSE(RANDBETWEEN(1,6),"Decrease agitation","Increase particle size","Update production SOP","Supplier evaluation","Training for operators","Equipment calibration"),
G360="Dissolution rate high - 30 mins",CHOOSE(RANDBETWEEN(1,6),"Decrease disintegrant","Optimize granulation","Update production SOP","Supplier evaluation","Training for operators","Equipment calibration"),
G360="Dissolution rate high - 40 mins",CHOOSE(RANDBETWEEN(1,6),"Decrease surface area","Optimize compression","Update production SOP","Supplier evaluation","Training for operators","Equipment calibration"))</f>
        <v>Increase disintegrant</v>
      </c>
    </row>
    <row r="361" spans="1:9" x14ac:dyDescent="0.35">
      <c r="A361" s="31">
        <v>200000673</v>
      </c>
      <c r="B361" s="31">
        <v>1010</v>
      </c>
      <c r="C361" s="31">
        <v>4317</v>
      </c>
      <c r="D361" s="29" t="s">
        <v>429</v>
      </c>
      <c r="E361" s="31">
        <v>78.099999999999994</v>
      </c>
      <c r="F361" s="34">
        <f ca="1">LOOKUP(C361,'QALS - Inspection Lot Record'!P:P,'QALS - Inspection Lot Record'!E:E)+RANDBETWEEN(0,1)</f>
        <v>46028</v>
      </c>
      <c r="G361" s="41" t="s">
        <v>486</v>
      </c>
      <c r="H361" s="34">
        <f t="shared" ca="1" si="5"/>
        <v>46030</v>
      </c>
      <c r="I361" s="29" t="str" cm="1">
        <f t="array" aca="1" ref="I361" ca="1">_xlfn.IFS(G361="Potency out of spec",CHOOSE(RANDBETWEEN(1,6),"Additional testing","Improve formulation","Update production SOP","Supplier evaluation","Training for operators","Equipment calibration"),
G361="PH Level out of range",CHOOSE(RANDBETWEEN(1,6),"PH monitoring","Adjust formulation","Update production SOP","Supplier evaluation","Training for operators","Equipment calibration"),
G361="Impurities out of limit",CHOOSE(RANDBETWEEN(1,6),"Improve purification","Raw material control","Update production SOP","Supplier evaluation","Training for operators","Equipment maintenance"),
G361="Process temp out of range",CHOOSE(RANDBETWEEN(1,6),"Temperature control","Update production SOP","Supplier evaluation","Training for operators",
"Equipment calibration","Preventive maintenance"),
G361="Dissolution rate low - 15 mins",CHOOSE(RANDBETWEEN(1,6),"Increase agitation","Reduce particle size","Update production SOP","Supplier evaluation",
"Training for operators","Equipment calibration"),
G361="Dissolution rate low - 30 mins",CHOOSE(RANDBETWEEN(1,6),"Increase disintegrant","Optimize granulation","Update production SOP","Supplier evaluation",
"Training for operators","Equipment calibration"),
G361="Dissolution rate low - 40 mins",CHOOSE(RANDBETWEEN(1,6),"Increase surface area","Optimize compression","Update production SOP","Supplier evaluation",
"Training for operators","Equipment calibration"),
G361="Dissolution rate high - 15 mins",CHOOSE(RANDBETWEEN(1,6),"Decrease agitation","Increase particle size","Update production SOP","Supplier evaluation","Training for operators","Equipment calibration"),
G361="Dissolution rate high - 30 mins",CHOOSE(RANDBETWEEN(1,6),"Decrease disintegrant","Optimize granulation","Update production SOP","Supplier evaluation","Training for operators","Equipment calibration"),
G361="Dissolution rate high - 40 mins",CHOOSE(RANDBETWEEN(1,6),"Decrease surface area","Optimize compression","Update production SOP","Supplier evaluation","Training for operators","Equipment calibration"))</f>
        <v>Update production SOP</v>
      </c>
    </row>
    <row r="362" spans="1:9" x14ac:dyDescent="0.35">
      <c r="A362" s="31">
        <v>200000674</v>
      </c>
      <c r="B362" s="31">
        <v>1010</v>
      </c>
      <c r="C362" s="31">
        <v>4318</v>
      </c>
      <c r="D362" s="29" t="s">
        <v>431</v>
      </c>
      <c r="E362" s="31">
        <v>93.3</v>
      </c>
      <c r="F362" s="34">
        <f ca="1">LOOKUP(C362,'QALS - Inspection Lot Record'!P:P,'QALS - Inspection Lot Record'!E:E)+RANDBETWEEN(0,1)</f>
        <v>46028</v>
      </c>
      <c r="G362" s="41" t="s">
        <v>472</v>
      </c>
      <c r="H362" s="34">
        <f t="shared" ca="1" si="5"/>
        <v>46029</v>
      </c>
      <c r="I362" s="29" t="str" cm="1">
        <f t="array" aca="1" ref="I362" ca="1">_xlfn.IFS(G362="Potency out of spec",CHOOSE(RANDBETWEEN(1,6),"Additional testing","Improve formulation","Update production SOP","Supplier evaluation","Training for operators","Equipment calibration"),
G362="PH Level out of range",CHOOSE(RANDBETWEEN(1,6),"PH monitoring","Adjust formulation","Update production SOP","Supplier evaluation","Training for operators","Equipment calibration"),
G362="Impurities out of limit",CHOOSE(RANDBETWEEN(1,6),"Improve purification","Raw material control","Update production SOP","Supplier evaluation","Training for operators","Equipment maintenance"),
G362="Process temp out of range",CHOOSE(RANDBETWEEN(1,6),"Temperature control","Update production SOP","Supplier evaluation","Training for operators",
"Equipment calibration","Preventive maintenance"),
G362="Dissolution rate low - 15 mins",CHOOSE(RANDBETWEEN(1,6),"Increase agitation","Reduce particle size","Update production SOP","Supplier evaluation",
"Training for operators","Equipment calibration"),
G362="Dissolution rate low - 30 mins",CHOOSE(RANDBETWEEN(1,6),"Increase disintegrant","Optimize granulation","Update production SOP","Supplier evaluation",
"Training for operators","Equipment calibration"),
G362="Dissolution rate low - 40 mins",CHOOSE(RANDBETWEEN(1,6),"Increase surface area","Optimize compression","Update production SOP","Supplier evaluation",
"Training for operators","Equipment calibration"),
G362="Dissolution rate high - 15 mins",CHOOSE(RANDBETWEEN(1,6),"Decrease agitation","Increase particle size","Update production SOP","Supplier evaluation","Training for operators","Equipment calibration"),
G362="Dissolution rate high - 30 mins",CHOOSE(RANDBETWEEN(1,6),"Decrease disintegrant","Optimize granulation","Update production SOP","Supplier evaluation","Training for operators","Equipment calibration"),
G362="Dissolution rate high - 40 mins",CHOOSE(RANDBETWEEN(1,6),"Decrease surface area","Optimize compression","Update production SOP","Supplier evaluation","Training for operators","Equipment calibration"))</f>
        <v>Update production SOP</v>
      </c>
    </row>
    <row r="363" spans="1:9" x14ac:dyDescent="0.35">
      <c r="A363" s="31">
        <v>200000675</v>
      </c>
      <c r="B363" s="31">
        <v>1010</v>
      </c>
      <c r="C363" s="31">
        <v>4320</v>
      </c>
      <c r="D363" s="29" t="s">
        <v>431</v>
      </c>
      <c r="E363" s="31">
        <v>93.2</v>
      </c>
      <c r="F363" s="34">
        <f ca="1">LOOKUP(C363,'QALS - Inspection Lot Record'!P:P,'QALS - Inspection Lot Record'!E:E)+RANDBETWEEN(0,1)</f>
        <v>46030</v>
      </c>
      <c r="G363" s="41" t="s">
        <v>472</v>
      </c>
      <c r="H363" s="34">
        <f t="shared" ca="1" si="5"/>
        <v>46030</v>
      </c>
      <c r="I363" s="29" t="str" cm="1">
        <f t="array" aca="1" ref="I363" ca="1">_xlfn.IFS(G363="Potency out of spec",CHOOSE(RANDBETWEEN(1,6),"Additional testing","Improve formulation","Update production SOP","Supplier evaluation","Training for operators","Equipment calibration"),
G363="PH Level out of range",CHOOSE(RANDBETWEEN(1,6),"PH monitoring","Adjust formulation","Update production SOP","Supplier evaluation","Training for operators","Equipment calibration"),
G363="Impurities out of limit",CHOOSE(RANDBETWEEN(1,6),"Improve purification","Raw material control","Update production SOP","Supplier evaluation","Training for operators","Equipment maintenance"),
G363="Process temp out of range",CHOOSE(RANDBETWEEN(1,6),"Temperature control","Update production SOP","Supplier evaluation","Training for operators",
"Equipment calibration","Preventive maintenance"),
G363="Dissolution rate low - 15 mins",CHOOSE(RANDBETWEEN(1,6),"Increase agitation","Reduce particle size","Update production SOP","Supplier evaluation",
"Training for operators","Equipment calibration"),
G363="Dissolution rate low - 30 mins",CHOOSE(RANDBETWEEN(1,6),"Increase disintegrant","Optimize granulation","Update production SOP","Supplier evaluation",
"Training for operators","Equipment calibration"),
G363="Dissolution rate low - 40 mins",CHOOSE(RANDBETWEEN(1,6),"Increase surface area","Optimize compression","Update production SOP","Supplier evaluation",
"Training for operators","Equipment calibration"),
G363="Dissolution rate high - 15 mins",CHOOSE(RANDBETWEEN(1,6),"Decrease agitation","Increase particle size","Update production SOP","Supplier evaluation","Training for operators","Equipment calibration"),
G363="Dissolution rate high - 30 mins",CHOOSE(RANDBETWEEN(1,6),"Decrease disintegrant","Optimize granulation","Update production SOP","Supplier evaluation","Training for operators","Equipment calibration"),
G363="Dissolution rate high - 40 mins",CHOOSE(RANDBETWEEN(1,6),"Decrease surface area","Optimize compression","Update production SOP","Supplier evaluation","Training for operators","Equipment calibration"))</f>
        <v>Improve formulation</v>
      </c>
    </row>
    <row r="364" spans="1:9" x14ac:dyDescent="0.35">
      <c r="A364" s="31">
        <v>200000676</v>
      </c>
      <c r="B364" s="31">
        <v>1010</v>
      </c>
      <c r="C364" s="31">
        <v>4325</v>
      </c>
      <c r="D364" s="29" t="s">
        <v>433</v>
      </c>
      <c r="E364" s="31">
        <v>2.4</v>
      </c>
      <c r="F364" s="34">
        <f ca="1">LOOKUP(C364,'QALS - Inspection Lot Record'!P:P,'QALS - Inspection Lot Record'!E:E)+RANDBETWEEN(0,1)</f>
        <v>46032</v>
      </c>
      <c r="G364" s="41" t="s">
        <v>474</v>
      </c>
      <c r="H364" s="34">
        <f t="shared" ca="1" si="5"/>
        <v>46033</v>
      </c>
      <c r="I364" s="29" t="str" cm="1">
        <f t="array" aca="1" ref="I364" ca="1">_xlfn.IFS(G364="Potency out of spec",CHOOSE(RANDBETWEEN(1,6),"Additional testing","Improve formulation","Update production SOP","Supplier evaluation","Training for operators","Equipment calibration"),
G364="PH Level out of range",CHOOSE(RANDBETWEEN(1,6),"PH monitoring","Adjust formulation","Update production SOP","Supplier evaluation","Training for operators","Equipment calibration"),
G364="Impurities out of limit",CHOOSE(RANDBETWEEN(1,6),"Improve purification","Raw material control","Update production SOP","Supplier evaluation","Training for operators","Equipment maintenance"),
G364="Process temp out of range",CHOOSE(RANDBETWEEN(1,6),"Temperature control","Update production SOP","Supplier evaluation","Training for operators",
"Equipment calibration","Preventive maintenance"),
G364="Dissolution rate low - 15 mins",CHOOSE(RANDBETWEEN(1,6),"Increase agitation","Reduce particle size","Update production SOP","Supplier evaluation",
"Training for operators","Equipment calibration"),
G364="Dissolution rate low - 30 mins",CHOOSE(RANDBETWEEN(1,6),"Increase disintegrant","Optimize granulation","Update production SOP","Supplier evaluation",
"Training for operators","Equipment calibration"),
G364="Dissolution rate low - 40 mins",CHOOSE(RANDBETWEEN(1,6),"Increase surface area","Optimize compression","Update production SOP","Supplier evaluation",
"Training for operators","Equipment calibration"),
G364="Dissolution rate high - 15 mins",CHOOSE(RANDBETWEEN(1,6),"Decrease agitation","Increase particle size","Update production SOP","Supplier evaluation","Training for operators","Equipment calibration"),
G364="Dissolution rate high - 30 mins",CHOOSE(RANDBETWEEN(1,6),"Decrease disintegrant","Optimize granulation","Update production SOP","Supplier evaluation","Training for operators","Equipment calibration"),
G364="Dissolution rate high - 40 mins",CHOOSE(RANDBETWEEN(1,6),"Decrease surface area","Optimize compression","Update production SOP","Supplier evaluation","Training for operators","Equipment calibration"))</f>
        <v>PH monitoring</v>
      </c>
    </row>
    <row r="365" spans="1:9" x14ac:dyDescent="0.35">
      <c r="A365" s="31">
        <v>200000676</v>
      </c>
      <c r="B365" s="31">
        <v>1010</v>
      </c>
      <c r="C365" s="31">
        <v>4325</v>
      </c>
      <c r="D365" s="29" t="s">
        <v>433</v>
      </c>
      <c r="E365" s="31">
        <v>78.8</v>
      </c>
      <c r="F365" s="34">
        <f ca="1">LOOKUP(C365,'QALS - Inspection Lot Record'!P:P,'QALS - Inspection Lot Record'!E:E)+RANDBETWEEN(0,1)</f>
        <v>46033</v>
      </c>
      <c r="G365" s="41" t="s">
        <v>486</v>
      </c>
      <c r="H365" s="34">
        <f t="shared" ca="1" si="5"/>
        <v>46035</v>
      </c>
      <c r="I365" s="29" t="str" cm="1">
        <f t="array" aca="1" ref="I365" ca="1">_xlfn.IFS(G365="Potency out of spec",CHOOSE(RANDBETWEEN(1,6),"Additional testing","Improve formulation","Update production SOP","Supplier evaluation","Training for operators","Equipment calibration"),
G365="PH Level out of range",CHOOSE(RANDBETWEEN(1,6),"PH monitoring","Adjust formulation","Update production SOP","Supplier evaluation","Training for operators","Equipment calibration"),
G365="Impurities out of limit",CHOOSE(RANDBETWEEN(1,6),"Improve purification","Raw material control","Update production SOP","Supplier evaluation","Training for operators","Equipment maintenance"),
G365="Process temp out of range",CHOOSE(RANDBETWEEN(1,6),"Temperature control","Update production SOP","Supplier evaluation","Training for operators",
"Equipment calibration","Preventive maintenance"),
G365="Dissolution rate low - 15 mins",CHOOSE(RANDBETWEEN(1,6),"Increase agitation","Reduce particle size","Update production SOP","Supplier evaluation",
"Training for operators","Equipment calibration"),
G365="Dissolution rate low - 30 mins",CHOOSE(RANDBETWEEN(1,6),"Increase disintegrant","Optimize granulation","Update production SOP","Supplier evaluation",
"Training for operators","Equipment calibration"),
G365="Dissolution rate low - 40 mins",CHOOSE(RANDBETWEEN(1,6),"Increase surface area","Optimize compression","Update production SOP","Supplier evaluation",
"Training for operators","Equipment calibration"),
G365="Dissolution rate high - 15 mins",CHOOSE(RANDBETWEEN(1,6),"Decrease agitation","Increase particle size","Update production SOP","Supplier evaluation","Training for operators","Equipment calibration"),
G365="Dissolution rate high - 30 mins",CHOOSE(RANDBETWEEN(1,6),"Decrease disintegrant","Optimize granulation","Update production SOP","Supplier evaluation","Training for operators","Equipment calibration"),
G365="Dissolution rate high - 40 mins",CHOOSE(RANDBETWEEN(1,6),"Decrease surface area","Optimize compression","Update production SOP","Supplier evaluation","Training for operators","Equipment calibration"))</f>
        <v>Supplier evaluation</v>
      </c>
    </row>
    <row r="366" spans="1:9" x14ac:dyDescent="0.35">
      <c r="A366" s="31">
        <v>200000676</v>
      </c>
      <c r="B366" s="31">
        <v>1010</v>
      </c>
      <c r="C366" s="31">
        <v>4325</v>
      </c>
      <c r="D366" s="29" t="s">
        <v>433</v>
      </c>
      <c r="E366" s="31">
        <v>21.7</v>
      </c>
      <c r="F366" s="34">
        <f ca="1">LOOKUP(C366,'QALS - Inspection Lot Record'!P:P,'QALS - Inspection Lot Record'!E:E)+RANDBETWEEN(0,1)</f>
        <v>46033</v>
      </c>
      <c r="G366" s="41" t="s">
        <v>483</v>
      </c>
      <c r="H366" s="34">
        <f t="shared" ca="1" si="5"/>
        <v>46034</v>
      </c>
      <c r="I366" s="29" t="str" cm="1">
        <f t="array" aca="1" ref="I366" ca="1">_xlfn.IFS(G366="Potency out of spec",CHOOSE(RANDBETWEEN(1,6),"Additional testing","Improve formulation","Update production SOP","Supplier evaluation","Training for operators","Equipment calibration"),
G366="PH Level out of range",CHOOSE(RANDBETWEEN(1,6),"PH monitoring","Adjust formulation","Update production SOP","Supplier evaluation","Training for operators","Equipment calibration"),
G366="Impurities out of limit",CHOOSE(RANDBETWEEN(1,6),"Improve purification","Raw material control","Update production SOP","Supplier evaluation","Training for operators","Equipment maintenance"),
G366="Process temp out of range",CHOOSE(RANDBETWEEN(1,6),"Temperature control","Update production SOP","Supplier evaluation","Training for operators",
"Equipment calibration","Preventive maintenance"),
G366="Dissolution rate low - 15 mins",CHOOSE(RANDBETWEEN(1,6),"Increase agitation","Reduce particle size","Update production SOP","Supplier evaluation",
"Training for operators","Equipment calibration"),
G366="Dissolution rate low - 30 mins",CHOOSE(RANDBETWEEN(1,6),"Increase disintegrant","Optimize granulation","Update production SOP","Supplier evaluation",
"Training for operators","Equipment calibration"),
G366="Dissolution rate low - 40 mins",CHOOSE(RANDBETWEEN(1,6),"Increase surface area","Optimize compression","Update production SOP","Supplier evaluation",
"Training for operators","Equipment calibration"),
G366="Dissolution rate high - 15 mins",CHOOSE(RANDBETWEEN(1,6),"Decrease agitation","Increase particle size","Update production SOP","Supplier evaluation","Training for operators","Equipment calibration"),
G366="Dissolution rate high - 30 mins",CHOOSE(RANDBETWEEN(1,6),"Decrease disintegrant","Optimize granulation","Update production SOP","Supplier evaluation","Training for operators","Equipment calibration"),
G366="Dissolution rate high - 40 mins",CHOOSE(RANDBETWEEN(1,6),"Decrease surface area","Optimize compression","Update production SOP","Supplier evaluation","Training for operators","Equipment calibration"))</f>
        <v>Temperature control</v>
      </c>
    </row>
    <row r="367" spans="1:9" x14ac:dyDescent="0.35">
      <c r="A367" s="31">
        <v>200000677</v>
      </c>
      <c r="B367" s="31">
        <v>1010</v>
      </c>
      <c r="C367" s="31">
        <v>4337</v>
      </c>
      <c r="D367" s="29" t="s">
        <v>504</v>
      </c>
      <c r="E367" s="31">
        <v>2.2000000000000002</v>
      </c>
      <c r="F367" s="34">
        <f ca="1">LOOKUP(C367,'QALS - Inspection Lot Record'!P:P,'QALS - Inspection Lot Record'!E:E)+RANDBETWEEN(0,1)</f>
        <v>46038</v>
      </c>
      <c r="G367" s="41" t="s">
        <v>474</v>
      </c>
      <c r="H367" s="34">
        <f t="shared" ca="1" si="5"/>
        <v>46039</v>
      </c>
      <c r="I367" s="29" t="str" cm="1">
        <f t="array" aca="1" ref="I367" ca="1">_xlfn.IFS(G367="Potency out of spec",CHOOSE(RANDBETWEEN(1,6),"Additional testing","Improve formulation","Update production SOP","Supplier evaluation","Training for operators","Equipment calibration"),
G367="PH Level out of range",CHOOSE(RANDBETWEEN(1,6),"PH monitoring","Adjust formulation","Update production SOP","Supplier evaluation","Training for operators","Equipment calibration"),
G367="Impurities out of limit",CHOOSE(RANDBETWEEN(1,6),"Improve purification","Raw material control","Update production SOP","Supplier evaluation","Training for operators","Equipment maintenance"),
G367="Process temp out of range",CHOOSE(RANDBETWEEN(1,6),"Temperature control","Update production SOP","Supplier evaluation","Training for operators",
"Equipment calibration","Preventive maintenance"),
G367="Dissolution rate low - 15 mins",CHOOSE(RANDBETWEEN(1,6),"Increase agitation","Reduce particle size","Update production SOP","Supplier evaluation",
"Training for operators","Equipment calibration"),
G367="Dissolution rate low - 30 mins",CHOOSE(RANDBETWEEN(1,6),"Increase disintegrant","Optimize granulation","Update production SOP","Supplier evaluation",
"Training for operators","Equipment calibration"),
G367="Dissolution rate low - 40 mins",CHOOSE(RANDBETWEEN(1,6),"Increase surface area","Optimize compression","Update production SOP","Supplier evaluation",
"Training for operators","Equipment calibration"),
G367="Dissolution rate high - 15 mins",CHOOSE(RANDBETWEEN(1,6),"Decrease agitation","Increase particle size","Update production SOP","Supplier evaluation","Training for operators","Equipment calibration"),
G367="Dissolution rate high - 30 mins",CHOOSE(RANDBETWEEN(1,6),"Decrease disintegrant","Optimize granulation","Update production SOP","Supplier evaluation","Training for operators","Equipment calibration"),
G367="Dissolution rate high - 40 mins",CHOOSE(RANDBETWEEN(1,6),"Decrease surface area","Optimize compression","Update production SOP","Supplier evaluation","Training for operators","Equipment calibration"))</f>
        <v>Equipment calibration</v>
      </c>
    </row>
    <row r="368" spans="1:9" x14ac:dyDescent="0.35">
      <c r="A368" s="31">
        <v>200000677</v>
      </c>
      <c r="B368" s="31">
        <v>1010</v>
      </c>
      <c r="C368" s="31">
        <v>4337</v>
      </c>
      <c r="D368" s="29" t="s">
        <v>504</v>
      </c>
      <c r="E368" s="31">
        <v>68.400000000000006</v>
      </c>
      <c r="F368" s="34">
        <f ca="1">LOOKUP(C368,'QALS - Inspection Lot Record'!P:P,'QALS - Inspection Lot Record'!E:E)+RANDBETWEEN(0,1)</f>
        <v>46039</v>
      </c>
      <c r="G368" s="41" t="s">
        <v>480</v>
      </c>
      <c r="H368" s="34">
        <f t="shared" ca="1" si="5"/>
        <v>46040</v>
      </c>
      <c r="I368" s="29" t="str" cm="1">
        <f t="array" aca="1" ref="I368" ca="1">_xlfn.IFS(G368="Potency out of spec",CHOOSE(RANDBETWEEN(1,6),"Additional testing","Improve formulation","Update production SOP","Supplier evaluation","Training for operators","Equipment calibration"),
G368="PH Level out of range",CHOOSE(RANDBETWEEN(1,6),"PH monitoring","Adjust formulation","Update production SOP","Supplier evaluation","Training for operators","Equipment calibration"),
G368="Impurities out of limit",CHOOSE(RANDBETWEEN(1,6),"Improve purification","Raw material control","Update production SOP","Supplier evaluation","Training for operators","Equipment maintenance"),
G368="Process temp out of range",CHOOSE(RANDBETWEEN(1,6),"Temperature control","Update production SOP","Supplier evaluation","Training for operators",
"Equipment calibration","Preventive maintenance"),
G368="Dissolution rate low - 15 mins",CHOOSE(RANDBETWEEN(1,6),"Increase agitation","Reduce particle size","Update production SOP","Supplier evaluation",
"Training for operators","Equipment calibration"),
G368="Dissolution rate low - 30 mins",CHOOSE(RANDBETWEEN(1,6),"Increase disintegrant","Optimize granulation","Update production SOP","Supplier evaluation",
"Training for operators","Equipment calibration"),
G368="Dissolution rate low - 40 mins",CHOOSE(RANDBETWEEN(1,6),"Increase surface area","Optimize compression","Update production SOP","Supplier evaluation",
"Training for operators","Equipment calibration"),
G368="Dissolution rate high - 15 mins",CHOOSE(RANDBETWEEN(1,6),"Decrease agitation","Increase particle size","Update production SOP","Supplier evaluation","Training for operators","Equipment calibration"),
G368="Dissolution rate high - 30 mins",CHOOSE(RANDBETWEEN(1,6),"Decrease disintegrant","Optimize granulation","Update production SOP","Supplier evaluation","Training for operators","Equipment calibration"),
G368="Dissolution rate high - 40 mins",CHOOSE(RANDBETWEEN(1,6),"Decrease surface area","Optimize compression","Update production SOP","Supplier evaluation","Training for operators","Equipment calibration"))</f>
        <v>Increase disintegrant</v>
      </c>
    </row>
    <row r="369" spans="1:9" x14ac:dyDescent="0.35">
      <c r="A369" s="31">
        <v>200000678</v>
      </c>
      <c r="B369" s="31">
        <v>1010</v>
      </c>
      <c r="C369" s="31">
        <v>4338</v>
      </c>
      <c r="D369" s="29" t="s">
        <v>504</v>
      </c>
      <c r="E369" s="31">
        <v>78.7</v>
      </c>
      <c r="F369" s="34">
        <f ca="1">LOOKUP(C369,'QALS - Inspection Lot Record'!P:P,'QALS - Inspection Lot Record'!E:E)+RANDBETWEEN(0,1)</f>
        <v>46039</v>
      </c>
      <c r="G369" s="41" t="s">
        <v>486</v>
      </c>
      <c r="H369" s="34">
        <f t="shared" ca="1" si="5"/>
        <v>46040</v>
      </c>
      <c r="I369" s="29" t="str" cm="1">
        <f t="array" aca="1" ref="I369" ca="1">_xlfn.IFS(G369="Potency out of spec",CHOOSE(RANDBETWEEN(1,6),"Additional testing","Improve formulation","Update production SOP","Supplier evaluation","Training for operators","Equipment calibration"),
G369="PH Level out of range",CHOOSE(RANDBETWEEN(1,6),"PH monitoring","Adjust formulation","Update production SOP","Supplier evaluation","Training for operators","Equipment calibration"),
G369="Impurities out of limit",CHOOSE(RANDBETWEEN(1,6),"Improve purification","Raw material control","Update production SOP","Supplier evaluation","Training for operators","Equipment maintenance"),
G369="Process temp out of range",CHOOSE(RANDBETWEEN(1,6),"Temperature control","Update production SOP","Supplier evaluation","Training for operators",
"Equipment calibration","Preventive maintenance"),
G369="Dissolution rate low - 15 mins",CHOOSE(RANDBETWEEN(1,6),"Increase agitation","Reduce particle size","Update production SOP","Supplier evaluation",
"Training for operators","Equipment calibration"),
G369="Dissolution rate low - 30 mins",CHOOSE(RANDBETWEEN(1,6),"Increase disintegrant","Optimize granulation","Update production SOP","Supplier evaluation",
"Training for operators","Equipment calibration"),
G369="Dissolution rate low - 40 mins",CHOOSE(RANDBETWEEN(1,6),"Increase surface area","Optimize compression","Update production SOP","Supplier evaluation",
"Training for operators","Equipment calibration"),
G369="Dissolution rate high - 15 mins",CHOOSE(RANDBETWEEN(1,6),"Decrease agitation","Increase particle size","Update production SOP","Supplier evaluation","Training for operators","Equipment calibration"),
G369="Dissolution rate high - 30 mins",CHOOSE(RANDBETWEEN(1,6),"Decrease disintegrant","Optimize granulation","Update production SOP","Supplier evaluation","Training for operators","Equipment calibration"),
G369="Dissolution rate high - 40 mins",CHOOSE(RANDBETWEEN(1,6),"Decrease surface area","Optimize compression","Update production SOP","Supplier evaluation","Training for operators","Equipment calibration"))</f>
        <v>Increase surface area</v>
      </c>
    </row>
    <row r="370" spans="1:9" x14ac:dyDescent="0.35">
      <c r="A370" s="31">
        <v>200000679</v>
      </c>
      <c r="B370" s="31">
        <v>1010</v>
      </c>
      <c r="C370" s="31">
        <v>4341</v>
      </c>
      <c r="D370" s="29" t="s">
        <v>431</v>
      </c>
      <c r="E370" s="31">
        <v>94</v>
      </c>
      <c r="F370" s="34">
        <f ca="1">LOOKUP(C370,'QALS - Inspection Lot Record'!P:P,'QALS - Inspection Lot Record'!E:E)+RANDBETWEEN(0,1)</f>
        <v>46041</v>
      </c>
      <c r="G370" s="41" t="s">
        <v>472</v>
      </c>
      <c r="H370" s="34">
        <f t="shared" ca="1" si="5"/>
        <v>46043</v>
      </c>
      <c r="I370" s="29" t="str" cm="1">
        <f t="array" aca="1" ref="I370" ca="1">_xlfn.IFS(G370="Potency out of spec",CHOOSE(RANDBETWEEN(1,6),"Additional testing","Improve formulation","Update production SOP","Supplier evaluation","Training for operators","Equipment calibration"),
G370="PH Level out of range",CHOOSE(RANDBETWEEN(1,6),"PH monitoring","Adjust formulation","Update production SOP","Supplier evaluation","Training for operators","Equipment calibration"),
G370="Impurities out of limit",CHOOSE(RANDBETWEEN(1,6),"Improve purification","Raw material control","Update production SOP","Supplier evaluation","Training for operators","Equipment maintenance"),
G370="Process temp out of range",CHOOSE(RANDBETWEEN(1,6),"Temperature control","Update production SOP","Supplier evaluation","Training for operators",
"Equipment calibration","Preventive maintenance"),
G370="Dissolution rate low - 15 mins",CHOOSE(RANDBETWEEN(1,6),"Increase agitation","Reduce particle size","Update production SOP","Supplier evaluation",
"Training for operators","Equipment calibration"),
G370="Dissolution rate low - 30 mins",CHOOSE(RANDBETWEEN(1,6),"Increase disintegrant","Optimize granulation","Update production SOP","Supplier evaluation",
"Training for operators","Equipment calibration"),
G370="Dissolution rate low - 40 mins",CHOOSE(RANDBETWEEN(1,6),"Increase surface area","Optimize compression","Update production SOP","Supplier evaluation",
"Training for operators","Equipment calibration"),
G370="Dissolution rate high - 15 mins",CHOOSE(RANDBETWEEN(1,6),"Decrease agitation","Increase particle size","Update production SOP","Supplier evaluation","Training for operators","Equipment calibration"),
G370="Dissolution rate high - 30 mins",CHOOSE(RANDBETWEEN(1,6),"Decrease disintegrant","Optimize granulation","Update production SOP","Supplier evaluation","Training for operators","Equipment calibration"),
G370="Dissolution rate high - 40 mins",CHOOSE(RANDBETWEEN(1,6),"Decrease surface area","Optimize compression","Update production SOP","Supplier evaluation","Training for operators","Equipment calibration"))</f>
        <v>Supplier evaluation</v>
      </c>
    </row>
    <row r="371" spans="1:9" x14ac:dyDescent="0.35">
      <c r="A371" s="31">
        <v>200000680</v>
      </c>
      <c r="B371" s="31">
        <v>1010</v>
      </c>
      <c r="C371" s="31">
        <v>4342</v>
      </c>
      <c r="D371" s="29" t="s">
        <v>503</v>
      </c>
      <c r="E371" s="31">
        <v>68.8</v>
      </c>
      <c r="F371" s="34">
        <f ca="1">LOOKUP(C371,'QALS - Inspection Lot Record'!P:P,'QALS - Inspection Lot Record'!E:E)+RANDBETWEEN(0,1)</f>
        <v>46041</v>
      </c>
      <c r="G371" s="41" t="s">
        <v>480</v>
      </c>
      <c r="H371" s="34">
        <f t="shared" ca="1" si="5"/>
        <v>46043</v>
      </c>
      <c r="I371" s="29" t="str" cm="1">
        <f t="array" aca="1" ref="I371" ca="1">_xlfn.IFS(G371="Potency out of spec",CHOOSE(RANDBETWEEN(1,6),"Additional testing","Improve formulation","Update production SOP","Supplier evaluation","Training for operators","Equipment calibration"),
G371="PH Level out of range",CHOOSE(RANDBETWEEN(1,6),"PH monitoring","Adjust formulation","Update production SOP","Supplier evaluation","Training for operators","Equipment calibration"),
G371="Impurities out of limit",CHOOSE(RANDBETWEEN(1,6),"Improve purification","Raw material control","Update production SOP","Supplier evaluation","Training for operators","Equipment maintenance"),
G371="Process temp out of range",CHOOSE(RANDBETWEEN(1,6),"Temperature control","Update production SOP","Supplier evaluation","Training for operators",
"Equipment calibration","Preventive maintenance"),
G371="Dissolution rate low - 15 mins",CHOOSE(RANDBETWEEN(1,6),"Increase agitation","Reduce particle size","Update production SOP","Supplier evaluation",
"Training for operators","Equipment calibration"),
G371="Dissolution rate low - 30 mins",CHOOSE(RANDBETWEEN(1,6),"Increase disintegrant","Optimize granulation","Update production SOP","Supplier evaluation",
"Training for operators","Equipment calibration"),
G371="Dissolution rate low - 40 mins",CHOOSE(RANDBETWEEN(1,6),"Increase surface area","Optimize compression","Update production SOP","Supplier evaluation",
"Training for operators","Equipment calibration"),
G371="Dissolution rate high - 15 mins",CHOOSE(RANDBETWEEN(1,6),"Decrease agitation","Increase particle size","Update production SOP","Supplier evaluation","Training for operators","Equipment calibration"),
G371="Dissolution rate high - 30 mins",CHOOSE(RANDBETWEEN(1,6),"Decrease disintegrant","Optimize granulation","Update production SOP","Supplier evaluation","Training for operators","Equipment calibration"),
G371="Dissolution rate high - 40 mins",CHOOSE(RANDBETWEEN(1,6),"Decrease surface area","Optimize compression","Update production SOP","Supplier evaluation","Training for operators","Equipment calibration"))</f>
        <v>Update production SOP</v>
      </c>
    </row>
    <row r="372" spans="1:9" x14ac:dyDescent="0.35">
      <c r="A372" s="31">
        <v>200000680</v>
      </c>
      <c r="B372" s="31">
        <v>1010</v>
      </c>
      <c r="C372" s="31">
        <v>4342</v>
      </c>
      <c r="D372" s="29" t="s">
        <v>503</v>
      </c>
      <c r="E372" s="31">
        <v>21.9</v>
      </c>
      <c r="F372" s="34">
        <f ca="1">LOOKUP(C372,'QALS - Inspection Lot Record'!P:P,'QALS - Inspection Lot Record'!E:E)+RANDBETWEEN(0,1)</f>
        <v>46041</v>
      </c>
      <c r="G372" s="41" t="s">
        <v>483</v>
      </c>
      <c r="H372" s="34">
        <f t="shared" ca="1" si="5"/>
        <v>46041</v>
      </c>
      <c r="I372" s="29" t="str" cm="1">
        <f t="array" aca="1" ref="I372" ca="1">_xlfn.IFS(G372="Potency out of spec",CHOOSE(RANDBETWEEN(1,6),"Additional testing","Improve formulation","Update production SOP","Supplier evaluation","Training for operators","Equipment calibration"),
G372="PH Level out of range",CHOOSE(RANDBETWEEN(1,6),"PH monitoring","Adjust formulation","Update production SOP","Supplier evaluation","Training for operators","Equipment calibration"),
G372="Impurities out of limit",CHOOSE(RANDBETWEEN(1,6),"Improve purification","Raw material control","Update production SOP","Supplier evaluation","Training for operators","Equipment maintenance"),
G372="Process temp out of range",CHOOSE(RANDBETWEEN(1,6),"Temperature control","Update production SOP","Supplier evaluation","Training for operators",
"Equipment calibration","Preventive maintenance"),
G372="Dissolution rate low - 15 mins",CHOOSE(RANDBETWEEN(1,6),"Increase agitation","Reduce particle size","Update production SOP","Supplier evaluation",
"Training for operators","Equipment calibration"),
G372="Dissolution rate low - 30 mins",CHOOSE(RANDBETWEEN(1,6),"Increase disintegrant","Optimize granulation","Update production SOP","Supplier evaluation",
"Training for operators","Equipment calibration"),
G372="Dissolution rate low - 40 mins",CHOOSE(RANDBETWEEN(1,6),"Increase surface area","Optimize compression","Update production SOP","Supplier evaluation",
"Training for operators","Equipment calibration"),
G372="Dissolution rate high - 15 mins",CHOOSE(RANDBETWEEN(1,6),"Decrease agitation","Increase particle size","Update production SOP","Supplier evaluation","Training for operators","Equipment calibration"),
G372="Dissolution rate high - 30 mins",CHOOSE(RANDBETWEEN(1,6),"Decrease disintegrant","Optimize granulation","Update production SOP","Supplier evaluation","Training for operators","Equipment calibration"),
G372="Dissolution rate high - 40 mins",CHOOSE(RANDBETWEEN(1,6),"Decrease surface area","Optimize compression","Update production SOP","Supplier evaluation","Training for operators","Equipment calibration"))</f>
        <v>Supplier evaluation</v>
      </c>
    </row>
    <row r="373" spans="1:9" x14ac:dyDescent="0.35">
      <c r="A373" s="31">
        <v>200000681</v>
      </c>
      <c r="B373" s="31">
        <v>1010</v>
      </c>
      <c r="C373" s="31">
        <v>4353</v>
      </c>
      <c r="D373" s="29" t="s">
        <v>429</v>
      </c>
      <c r="E373" s="31">
        <v>2.4</v>
      </c>
      <c r="F373" s="34">
        <f ca="1">LOOKUP(C373,'QALS - Inspection Lot Record'!P:P,'QALS - Inspection Lot Record'!E:E)+RANDBETWEEN(0,1)</f>
        <v>46047</v>
      </c>
      <c r="G373" s="41" t="s">
        <v>474</v>
      </c>
      <c r="H373" s="34">
        <f t="shared" ca="1" si="5"/>
        <v>46047</v>
      </c>
      <c r="I373" s="29" t="str" cm="1">
        <f t="array" aca="1" ref="I373" ca="1">_xlfn.IFS(G373="Potency out of spec",CHOOSE(RANDBETWEEN(1,6),"Additional testing","Improve formulation","Update production SOP","Supplier evaluation","Training for operators","Equipment calibration"),
G373="PH Level out of range",CHOOSE(RANDBETWEEN(1,6),"PH monitoring","Adjust formulation","Update production SOP","Supplier evaluation","Training for operators","Equipment calibration"),
G373="Impurities out of limit",CHOOSE(RANDBETWEEN(1,6),"Improve purification","Raw material control","Update production SOP","Supplier evaluation","Training for operators","Equipment maintenance"),
G373="Process temp out of range",CHOOSE(RANDBETWEEN(1,6),"Temperature control","Update production SOP","Supplier evaluation","Training for operators",
"Equipment calibration","Preventive maintenance"),
G373="Dissolution rate low - 15 mins",CHOOSE(RANDBETWEEN(1,6),"Increase agitation","Reduce particle size","Update production SOP","Supplier evaluation",
"Training for operators","Equipment calibration"),
G373="Dissolution rate low - 30 mins",CHOOSE(RANDBETWEEN(1,6),"Increase disintegrant","Optimize granulation","Update production SOP","Supplier evaluation",
"Training for operators","Equipment calibration"),
G373="Dissolution rate low - 40 mins",CHOOSE(RANDBETWEEN(1,6),"Increase surface area","Optimize compression","Update production SOP","Supplier evaluation",
"Training for operators","Equipment calibration"),
G373="Dissolution rate high - 15 mins",CHOOSE(RANDBETWEEN(1,6),"Decrease agitation","Increase particle size","Update production SOP","Supplier evaluation","Training for operators","Equipment calibration"),
G373="Dissolution rate high - 30 mins",CHOOSE(RANDBETWEEN(1,6),"Decrease disintegrant","Optimize granulation","Update production SOP","Supplier evaluation","Training for operators","Equipment calibration"),
G373="Dissolution rate high - 40 mins",CHOOSE(RANDBETWEEN(1,6),"Decrease surface area","Optimize compression","Update production SOP","Supplier evaluation","Training for operators","Equipment calibration"))</f>
        <v>Equipment calibration</v>
      </c>
    </row>
    <row r="374" spans="1:9" x14ac:dyDescent="0.35">
      <c r="A374" s="31">
        <v>200000682</v>
      </c>
      <c r="B374" s="31">
        <v>1010</v>
      </c>
      <c r="C374" s="31">
        <v>4354</v>
      </c>
      <c r="D374" s="29" t="s">
        <v>504</v>
      </c>
      <c r="E374" s="31">
        <v>93.7</v>
      </c>
      <c r="F374" s="34">
        <f ca="1">LOOKUP(C374,'QALS - Inspection Lot Record'!P:P,'QALS - Inspection Lot Record'!E:E)+RANDBETWEEN(0,1)</f>
        <v>46046</v>
      </c>
      <c r="G374" s="41" t="s">
        <v>472</v>
      </c>
      <c r="H374" s="34">
        <f t="shared" ca="1" si="5"/>
        <v>46047</v>
      </c>
      <c r="I374" s="29" t="str" cm="1">
        <f t="array" aca="1" ref="I374" ca="1">_xlfn.IFS(G374="Potency out of spec",CHOOSE(RANDBETWEEN(1,6),"Additional testing","Improve formulation","Update production SOP","Supplier evaluation","Training for operators","Equipment calibration"),
G374="PH Level out of range",CHOOSE(RANDBETWEEN(1,6),"PH monitoring","Adjust formulation","Update production SOP","Supplier evaluation","Training for operators","Equipment calibration"),
G374="Impurities out of limit",CHOOSE(RANDBETWEEN(1,6),"Improve purification","Raw material control","Update production SOP","Supplier evaluation","Training for operators","Equipment maintenance"),
G374="Process temp out of range",CHOOSE(RANDBETWEEN(1,6),"Temperature control","Update production SOP","Supplier evaluation","Training for operators",
"Equipment calibration","Preventive maintenance"),
G374="Dissolution rate low - 15 mins",CHOOSE(RANDBETWEEN(1,6),"Increase agitation","Reduce particle size","Update production SOP","Supplier evaluation",
"Training for operators","Equipment calibration"),
G374="Dissolution rate low - 30 mins",CHOOSE(RANDBETWEEN(1,6),"Increase disintegrant","Optimize granulation","Update production SOP","Supplier evaluation",
"Training for operators","Equipment calibration"),
G374="Dissolution rate low - 40 mins",CHOOSE(RANDBETWEEN(1,6),"Increase surface area","Optimize compression","Update production SOP","Supplier evaluation",
"Training for operators","Equipment calibration"),
G374="Dissolution rate high - 15 mins",CHOOSE(RANDBETWEEN(1,6),"Decrease agitation","Increase particle size","Update production SOP","Supplier evaluation","Training for operators","Equipment calibration"),
G374="Dissolution rate high - 30 mins",CHOOSE(RANDBETWEEN(1,6),"Decrease disintegrant","Optimize granulation","Update production SOP","Supplier evaluation","Training for operators","Equipment calibration"),
G374="Dissolution rate high - 40 mins",CHOOSE(RANDBETWEEN(1,6),"Decrease surface area","Optimize compression","Update production SOP","Supplier evaluation","Training for operators","Equipment calibration"))</f>
        <v>Supplier evaluation</v>
      </c>
    </row>
    <row r="375" spans="1:9" x14ac:dyDescent="0.35">
      <c r="A375" s="31">
        <v>200000682</v>
      </c>
      <c r="B375" s="31">
        <v>1010</v>
      </c>
      <c r="C375" s="31">
        <v>4354</v>
      </c>
      <c r="D375" s="29" t="s">
        <v>504</v>
      </c>
      <c r="E375" s="31">
        <v>68.5</v>
      </c>
      <c r="F375" s="34">
        <f ca="1">LOOKUP(C375,'QALS - Inspection Lot Record'!P:P,'QALS - Inspection Lot Record'!E:E)+RANDBETWEEN(0,1)</f>
        <v>46047</v>
      </c>
      <c r="G375" s="41" t="s">
        <v>480</v>
      </c>
      <c r="H375" s="34">
        <f t="shared" ca="1" si="5"/>
        <v>46048</v>
      </c>
      <c r="I375" s="29" t="str" cm="1">
        <f t="array" aca="1" ref="I375" ca="1">_xlfn.IFS(G375="Potency out of spec",CHOOSE(RANDBETWEEN(1,6),"Additional testing","Improve formulation","Update production SOP","Supplier evaluation","Training for operators","Equipment calibration"),
G375="PH Level out of range",CHOOSE(RANDBETWEEN(1,6),"PH monitoring","Adjust formulation","Update production SOP","Supplier evaluation","Training for operators","Equipment calibration"),
G375="Impurities out of limit",CHOOSE(RANDBETWEEN(1,6),"Improve purification","Raw material control","Update production SOP","Supplier evaluation","Training for operators","Equipment maintenance"),
G375="Process temp out of range",CHOOSE(RANDBETWEEN(1,6),"Temperature control","Update production SOP","Supplier evaluation","Training for operators",
"Equipment calibration","Preventive maintenance"),
G375="Dissolution rate low - 15 mins",CHOOSE(RANDBETWEEN(1,6),"Increase agitation","Reduce particle size","Update production SOP","Supplier evaluation",
"Training for operators","Equipment calibration"),
G375="Dissolution rate low - 30 mins",CHOOSE(RANDBETWEEN(1,6),"Increase disintegrant","Optimize granulation","Update production SOP","Supplier evaluation",
"Training for operators","Equipment calibration"),
G375="Dissolution rate low - 40 mins",CHOOSE(RANDBETWEEN(1,6),"Increase surface area","Optimize compression","Update production SOP","Supplier evaluation",
"Training for operators","Equipment calibration"),
G375="Dissolution rate high - 15 mins",CHOOSE(RANDBETWEEN(1,6),"Decrease agitation","Increase particle size","Update production SOP","Supplier evaluation","Training for operators","Equipment calibration"),
G375="Dissolution rate high - 30 mins",CHOOSE(RANDBETWEEN(1,6),"Decrease disintegrant","Optimize granulation","Update production SOP","Supplier evaluation","Training for operators","Equipment calibration"),
G375="Dissolution rate high - 40 mins",CHOOSE(RANDBETWEEN(1,6),"Decrease surface area","Optimize compression","Update production SOP","Supplier evaluation","Training for operators","Equipment calibration"))</f>
        <v>Training for operators</v>
      </c>
    </row>
    <row r="376" spans="1:9" x14ac:dyDescent="0.35">
      <c r="A376" s="31">
        <v>200000683</v>
      </c>
      <c r="B376" s="31">
        <v>1010</v>
      </c>
      <c r="C376" s="31">
        <v>4358</v>
      </c>
      <c r="D376" s="29" t="s">
        <v>429</v>
      </c>
      <c r="E376" s="31">
        <v>93.1</v>
      </c>
      <c r="F376" s="34">
        <f ca="1">LOOKUP(C376,'QALS - Inspection Lot Record'!P:P,'QALS - Inspection Lot Record'!E:E)+RANDBETWEEN(0,1)</f>
        <v>46048</v>
      </c>
      <c r="G376" s="41" t="s">
        <v>472</v>
      </c>
      <c r="H376" s="34" t="str">
        <f t="shared" ca="1" si="5"/>
        <v/>
      </c>
      <c r="I376" s="29" t="str" cm="1">
        <f t="array" aca="1" ref="I376" ca="1">_xlfn.IFS(G376="Potency out of spec",CHOOSE(RANDBETWEEN(1,6),"Additional testing","Improve formulation","Update production SOP","Supplier evaluation","Training for operators","Equipment calibration"),
G376="PH Level out of range",CHOOSE(RANDBETWEEN(1,6),"PH monitoring","Adjust formulation","Update production SOP","Supplier evaluation","Training for operators","Equipment calibration"),
G376="Impurities out of limit",CHOOSE(RANDBETWEEN(1,6),"Improve purification","Raw material control","Update production SOP","Supplier evaluation","Training for operators","Equipment maintenance"),
G376="Process temp out of range",CHOOSE(RANDBETWEEN(1,6),"Temperature control","Update production SOP","Supplier evaluation","Training for operators",
"Equipment calibration","Preventive maintenance"),
G376="Dissolution rate low - 15 mins",CHOOSE(RANDBETWEEN(1,6),"Increase agitation","Reduce particle size","Update production SOP","Supplier evaluation",
"Training for operators","Equipment calibration"),
G376="Dissolution rate low - 30 mins",CHOOSE(RANDBETWEEN(1,6),"Increase disintegrant","Optimize granulation","Update production SOP","Supplier evaluation",
"Training for operators","Equipment calibration"),
G376="Dissolution rate low - 40 mins",CHOOSE(RANDBETWEEN(1,6),"Increase surface area","Optimize compression","Update production SOP","Supplier evaluation",
"Training for operators","Equipment calibration"),
G376="Dissolution rate high - 15 mins",CHOOSE(RANDBETWEEN(1,6),"Decrease agitation","Increase particle size","Update production SOP","Supplier evaluation","Training for operators","Equipment calibration"),
G376="Dissolution rate high - 30 mins",CHOOSE(RANDBETWEEN(1,6),"Decrease disintegrant","Optimize granulation","Update production SOP","Supplier evaluation","Training for operators","Equipment calibration"),
G376="Dissolution rate high - 40 mins",CHOOSE(RANDBETWEEN(1,6),"Decrease surface area","Optimize compression","Update production SOP","Supplier evaluation","Training for operators","Equipment calibration"))</f>
        <v>Improve formulation</v>
      </c>
    </row>
    <row r="377" spans="1:9" x14ac:dyDescent="0.35">
      <c r="A377" s="31">
        <v>200000683</v>
      </c>
      <c r="B377" s="31">
        <v>1010</v>
      </c>
      <c r="C377" s="31">
        <v>4358</v>
      </c>
      <c r="D377" s="29" t="s">
        <v>429</v>
      </c>
      <c r="E377" s="31">
        <v>68</v>
      </c>
      <c r="F377" s="34">
        <f ca="1">LOOKUP(C377,'QALS - Inspection Lot Record'!P:P,'QALS - Inspection Lot Record'!E:E)+RANDBETWEEN(0,1)</f>
        <v>46048</v>
      </c>
      <c r="G377" s="41" t="s">
        <v>480</v>
      </c>
      <c r="H377" s="34">
        <f t="shared" ca="1" si="5"/>
        <v>46049</v>
      </c>
      <c r="I377" s="29" t="str" cm="1">
        <f t="array" aca="1" ref="I377" ca="1">_xlfn.IFS(G377="Potency out of spec",CHOOSE(RANDBETWEEN(1,6),"Additional testing","Improve formulation","Update production SOP","Supplier evaluation","Training for operators","Equipment calibration"),
G377="PH Level out of range",CHOOSE(RANDBETWEEN(1,6),"PH monitoring","Adjust formulation","Update production SOP","Supplier evaluation","Training for operators","Equipment calibration"),
G377="Impurities out of limit",CHOOSE(RANDBETWEEN(1,6),"Improve purification","Raw material control","Update production SOP","Supplier evaluation","Training for operators","Equipment maintenance"),
G377="Process temp out of range",CHOOSE(RANDBETWEEN(1,6),"Temperature control","Update production SOP","Supplier evaluation","Training for operators",
"Equipment calibration","Preventive maintenance"),
G377="Dissolution rate low - 15 mins",CHOOSE(RANDBETWEEN(1,6),"Increase agitation","Reduce particle size","Update production SOP","Supplier evaluation",
"Training for operators","Equipment calibration"),
G377="Dissolution rate low - 30 mins",CHOOSE(RANDBETWEEN(1,6),"Increase disintegrant","Optimize granulation","Update production SOP","Supplier evaluation",
"Training for operators","Equipment calibration"),
G377="Dissolution rate low - 40 mins",CHOOSE(RANDBETWEEN(1,6),"Increase surface area","Optimize compression","Update production SOP","Supplier evaluation",
"Training for operators","Equipment calibration"),
G377="Dissolution rate high - 15 mins",CHOOSE(RANDBETWEEN(1,6),"Decrease agitation","Increase particle size","Update production SOP","Supplier evaluation","Training for operators","Equipment calibration"),
G377="Dissolution rate high - 30 mins",CHOOSE(RANDBETWEEN(1,6),"Decrease disintegrant","Optimize granulation","Update production SOP","Supplier evaluation","Training for operators","Equipment calibration"),
G377="Dissolution rate high - 40 mins",CHOOSE(RANDBETWEEN(1,6),"Decrease surface area","Optimize compression","Update production SOP","Supplier evaluation","Training for operators","Equipment calibration"))</f>
        <v>Equipment calibration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F4C1-22F1-4E85-9894-4463BC3BAAD7}">
  <dimension ref="A1:H19"/>
  <sheetViews>
    <sheetView workbookViewId="0">
      <selection activeCell="D15" sqref="D15"/>
    </sheetView>
  </sheetViews>
  <sheetFormatPr defaultRowHeight="14.5" x14ac:dyDescent="0.35"/>
  <cols>
    <col min="1" max="1" width="11.81640625" bestFit="1" customWidth="1"/>
    <col min="2" max="2" width="12.1796875" bestFit="1" customWidth="1"/>
    <col min="3" max="3" width="28.81640625" bestFit="1" customWidth="1"/>
    <col min="4" max="4" width="39.54296875" bestFit="1" customWidth="1"/>
    <col min="5" max="5" width="9.453125" bestFit="1" customWidth="1"/>
    <col min="6" max="6" width="11.54296875" customWidth="1"/>
    <col min="7" max="7" width="4.81640625" bestFit="1" customWidth="1"/>
  </cols>
  <sheetData>
    <row r="1" spans="1:8" ht="26" x14ac:dyDescent="0.35">
      <c r="A1" s="3" t="s">
        <v>505</v>
      </c>
      <c r="B1" s="3" t="s">
        <v>506</v>
      </c>
      <c r="C1" s="3" t="s">
        <v>507</v>
      </c>
      <c r="D1" s="3" t="s">
        <v>508</v>
      </c>
      <c r="E1" s="3" t="s">
        <v>509</v>
      </c>
      <c r="F1" s="3" t="s">
        <v>510</v>
      </c>
      <c r="G1" s="3" t="s">
        <v>435</v>
      </c>
      <c r="H1" s="8"/>
    </row>
    <row r="2" spans="1:8" x14ac:dyDescent="0.35">
      <c r="A2">
        <v>200000571</v>
      </c>
      <c r="B2" s="9" t="s">
        <v>511</v>
      </c>
      <c r="C2" s="3" t="s">
        <v>512</v>
      </c>
      <c r="D2" s="3" t="s">
        <v>513</v>
      </c>
      <c r="E2" s="4">
        <v>45000</v>
      </c>
      <c r="F2" s="5">
        <v>0.02</v>
      </c>
      <c r="G2" s="2">
        <v>1010</v>
      </c>
    </row>
    <row r="3" spans="1:8" x14ac:dyDescent="0.35">
      <c r="A3">
        <v>200000572</v>
      </c>
      <c r="B3" s="9" t="s">
        <v>511</v>
      </c>
      <c r="C3" s="3" t="s">
        <v>512</v>
      </c>
      <c r="D3" s="3" t="s">
        <v>514</v>
      </c>
      <c r="E3" s="4">
        <v>45000</v>
      </c>
      <c r="F3" s="5"/>
      <c r="G3" s="2"/>
    </row>
    <row r="4" spans="1:8" x14ac:dyDescent="0.35">
      <c r="A4">
        <v>200000549</v>
      </c>
      <c r="B4" s="9" t="s">
        <v>515</v>
      </c>
      <c r="C4" s="2" t="s">
        <v>512</v>
      </c>
      <c r="D4" s="2" t="s">
        <v>516</v>
      </c>
      <c r="E4" s="6">
        <v>45323</v>
      </c>
      <c r="F4" s="2">
        <v>-0.05</v>
      </c>
      <c r="G4" s="2">
        <v>1010</v>
      </c>
    </row>
    <row r="5" spans="1:8" x14ac:dyDescent="0.35">
      <c r="A5">
        <v>200000418</v>
      </c>
      <c r="B5" s="9" t="s">
        <v>517</v>
      </c>
      <c r="C5" s="2" t="s">
        <v>512</v>
      </c>
      <c r="D5" s="2" t="s">
        <v>518</v>
      </c>
      <c r="E5" s="6">
        <v>45301</v>
      </c>
      <c r="F5" s="2">
        <v>-0.1</v>
      </c>
      <c r="G5" s="2">
        <v>1010</v>
      </c>
    </row>
    <row r="6" spans="1:8" x14ac:dyDescent="0.35">
      <c r="A6">
        <v>200000386</v>
      </c>
      <c r="B6" s="9" t="s">
        <v>519</v>
      </c>
      <c r="C6" s="2" t="s">
        <v>520</v>
      </c>
      <c r="D6" s="2" t="s">
        <v>521</v>
      </c>
      <c r="E6" s="6">
        <v>45390</v>
      </c>
      <c r="F6" s="2">
        <v>0.08</v>
      </c>
      <c r="G6" s="2">
        <v>1010</v>
      </c>
    </row>
    <row r="7" spans="1:8" x14ac:dyDescent="0.35">
      <c r="A7">
        <v>200000383</v>
      </c>
      <c r="B7" s="9" t="s">
        <v>522</v>
      </c>
      <c r="C7" s="2" t="s">
        <v>520</v>
      </c>
      <c r="D7" s="2" t="s">
        <v>523</v>
      </c>
      <c r="E7" s="6">
        <v>45373</v>
      </c>
      <c r="F7" s="2">
        <v>0.03</v>
      </c>
      <c r="G7" s="2">
        <v>1010</v>
      </c>
    </row>
    <row r="8" spans="1:8" x14ac:dyDescent="0.35">
      <c r="A8">
        <v>200000380</v>
      </c>
      <c r="B8" s="9" t="s">
        <v>524</v>
      </c>
      <c r="C8" s="3" t="s">
        <v>512</v>
      </c>
      <c r="D8" s="3" t="s">
        <v>513</v>
      </c>
      <c r="E8" s="4">
        <v>44944</v>
      </c>
      <c r="F8" s="5">
        <v>0.06</v>
      </c>
      <c r="G8" s="2">
        <v>1010</v>
      </c>
    </row>
    <row r="9" spans="1:8" x14ac:dyDescent="0.35">
      <c r="A9">
        <v>200000378</v>
      </c>
      <c r="B9" s="9" t="s">
        <v>525</v>
      </c>
      <c r="C9" s="2" t="s">
        <v>512</v>
      </c>
      <c r="D9" s="2" t="s">
        <v>526</v>
      </c>
      <c r="E9" s="6">
        <v>45337</v>
      </c>
      <c r="F9" s="2">
        <v>0.04</v>
      </c>
      <c r="G9" s="2">
        <v>1010</v>
      </c>
    </row>
    <row r="10" spans="1:8" x14ac:dyDescent="0.35">
      <c r="A10">
        <v>200000331</v>
      </c>
      <c r="B10" s="9" t="s">
        <v>527</v>
      </c>
      <c r="C10" s="2" t="s">
        <v>512</v>
      </c>
      <c r="D10" s="2" t="s">
        <v>528</v>
      </c>
      <c r="E10" s="6">
        <v>45311</v>
      </c>
      <c r="F10" s="2">
        <v>-7.0000000000000007E-2</v>
      </c>
      <c r="G10" s="2">
        <v>1010</v>
      </c>
    </row>
    <row r="11" spans="1:8" x14ac:dyDescent="0.35">
      <c r="A11">
        <v>200000371</v>
      </c>
      <c r="B11" s="9" t="s">
        <v>529</v>
      </c>
      <c r="C11" s="2" t="s">
        <v>520</v>
      </c>
      <c r="D11" s="2" t="s">
        <v>530</v>
      </c>
      <c r="E11" s="6">
        <v>45352</v>
      </c>
      <c r="F11" s="2" t="s">
        <v>531</v>
      </c>
      <c r="G11" s="2">
        <v>1010</v>
      </c>
    </row>
    <row r="12" spans="1:8" x14ac:dyDescent="0.35">
      <c r="A12">
        <v>200000391</v>
      </c>
      <c r="B12" s="9" t="s">
        <v>532</v>
      </c>
      <c r="C12" s="3" t="s">
        <v>512</v>
      </c>
      <c r="D12" s="3" t="s">
        <v>513</v>
      </c>
      <c r="E12" s="4">
        <v>45039</v>
      </c>
      <c r="F12" s="5">
        <v>0.01</v>
      </c>
      <c r="G12" s="2">
        <v>1010</v>
      </c>
    </row>
    <row r="13" spans="1:8" x14ac:dyDescent="0.35">
      <c r="A13">
        <v>200000431</v>
      </c>
      <c r="B13" s="9" t="s">
        <v>533</v>
      </c>
      <c r="C13" s="2" t="s">
        <v>512</v>
      </c>
      <c r="D13" s="2" t="s">
        <v>534</v>
      </c>
      <c r="E13" s="6">
        <v>45330</v>
      </c>
      <c r="F13" s="2">
        <v>0.02</v>
      </c>
      <c r="G13" s="2">
        <v>1010</v>
      </c>
    </row>
    <row r="14" spans="1:8" x14ac:dyDescent="0.35">
      <c r="A14">
        <v>200000421</v>
      </c>
      <c r="B14" s="9" t="s">
        <v>535</v>
      </c>
      <c r="C14" s="2" t="s">
        <v>512</v>
      </c>
      <c r="D14" s="2" t="s">
        <v>536</v>
      </c>
      <c r="E14" s="6">
        <v>45322</v>
      </c>
      <c r="F14" s="2">
        <v>-0.06</v>
      </c>
      <c r="G14" s="2">
        <v>1010</v>
      </c>
    </row>
    <row r="15" spans="1:8" x14ac:dyDescent="0.35">
      <c r="A15">
        <v>200000411</v>
      </c>
      <c r="B15" s="9" t="s">
        <v>537</v>
      </c>
      <c r="C15" s="3" t="s">
        <v>512</v>
      </c>
      <c r="D15" s="3" t="s">
        <v>513</v>
      </c>
      <c r="E15" s="4">
        <v>45061</v>
      </c>
      <c r="F15" s="5">
        <v>0.09</v>
      </c>
      <c r="G15" s="2">
        <v>1010</v>
      </c>
    </row>
    <row r="16" spans="1:8" x14ac:dyDescent="0.35">
      <c r="A16">
        <v>200000401</v>
      </c>
      <c r="B16" s="9" t="s">
        <v>538</v>
      </c>
      <c r="C16" s="3" t="s">
        <v>512</v>
      </c>
      <c r="D16" s="3" t="s">
        <v>513</v>
      </c>
      <c r="E16" s="4">
        <v>45090</v>
      </c>
      <c r="F16" s="7">
        <v>0.04</v>
      </c>
      <c r="G16" s="2">
        <v>1010</v>
      </c>
    </row>
    <row r="17" spans="1:7" x14ac:dyDescent="0.35">
      <c r="A17">
        <v>200000399</v>
      </c>
      <c r="B17" s="9" t="s">
        <v>539</v>
      </c>
      <c r="C17" s="3" t="s">
        <v>512</v>
      </c>
      <c r="D17" s="3" t="s">
        <v>513</v>
      </c>
      <c r="E17" s="4">
        <v>45126</v>
      </c>
      <c r="F17" s="7">
        <v>-0.03</v>
      </c>
      <c r="G17" s="2">
        <v>1010</v>
      </c>
    </row>
    <row r="18" spans="1:7" x14ac:dyDescent="0.35">
      <c r="A18">
        <v>200000395</v>
      </c>
      <c r="B18" s="9" t="s">
        <v>540</v>
      </c>
      <c r="C18" s="3" t="s">
        <v>512</v>
      </c>
      <c r="D18" s="3" t="s">
        <v>513</v>
      </c>
      <c r="E18" s="4">
        <v>45153</v>
      </c>
      <c r="F18" s="7">
        <v>0.02</v>
      </c>
      <c r="G18" s="2">
        <v>1010</v>
      </c>
    </row>
    <row r="19" spans="1:7" x14ac:dyDescent="0.35">
      <c r="E19" s="3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A669-25E1-438B-AEA1-6B12F998B56E}">
  <dimension ref="A1:H377"/>
  <sheetViews>
    <sheetView workbookViewId="0">
      <selection activeCell="G1" sqref="G1"/>
    </sheetView>
  </sheetViews>
  <sheetFormatPr defaultRowHeight="14.5" x14ac:dyDescent="0.35"/>
  <cols>
    <col min="1" max="1" width="15.1796875" customWidth="1"/>
    <col min="2" max="2" width="12.81640625" bestFit="1" customWidth="1"/>
    <col min="3" max="3" width="24.7265625" bestFit="1" customWidth="1"/>
    <col min="4" max="4" width="25.7265625" style="40" bestFit="1" customWidth="1"/>
    <col min="5" max="5" width="16.54296875" customWidth="1"/>
    <col min="6" max="6" width="17.81640625" customWidth="1"/>
    <col min="7" max="7" width="17.26953125" bestFit="1" customWidth="1"/>
    <col min="8" max="8" width="12.54296875" customWidth="1"/>
  </cols>
  <sheetData>
    <row r="1" spans="1:8" x14ac:dyDescent="0.35">
      <c r="A1" s="44" t="s">
        <v>509</v>
      </c>
      <c r="B1" s="42" t="s">
        <v>15</v>
      </c>
      <c r="C1" s="43" t="s">
        <v>14</v>
      </c>
      <c r="D1" s="45" t="s">
        <v>541</v>
      </c>
      <c r="E1" s="10" t="s">
        <v>436</v>
      </c>
      <c r="F1" s="10" t="s">
        <v>542</v>
      </c>
      <c r="G1" s="10" t="s">
        <v>543</v>
      </c>
      <c r="H1" s="46" t="s">
        <v>434</v>
      </c>
    </row>
    <row r="2" spans="1:8" x14ac:dyDescent="0.35">
      <c r="A2" s="34">
        <f ca="1">LOOKUP(B2,'QALS - Inspection Lot Record'!P:P,'QALS - Inspection Lot Record'!E:E)</f>
        <v>45870</v>
      </c>
      <c r="B2" s="31">
        <v>4001</v>
      </c>
      <c r="C2" s="29" t="s">
        <v>429</v>
      </c>
      <c r="D2" s="41" t="s">
        <v>472</v>
      </c>
      <c r="E2" s="31">
        <v>93.5</v>
      </c>
      <c r="F2" s="2"/>
      <c r="G2" s="2"/>
    </row>
    <row r="3" spans="1:8" x14ac:dyDescent="0.35">
      <c r="A3" s="34">
        <f ca="1">LOOKUP(B3,'QALS - Inspection Lot Record'!P:P,'QALS - Inspection Lot Record'!E:E)</f>
        <v>45870</v>
      </c>
      <c r="B3" s="31">
        <v>4001</v>
      </c>
      <c r="C3" s="29" t="s">
        <v>429</v>
      </c>
      <c r="D3" s="41" t="s">
        <v>474</v>
      </c>
      <c r="E3" s="31">
        <v>1.7</v>
      </c>
      <c r="F3" s="2"/>
      <c r="G3" s="2"/>
    </row>
    <row r="4" spans="1:8" x14ac:dyDescent="0.35">
      <c r="A4" s="34">
        <f ca="1">LOOKUP(B4,'QALS - Inspection Lot Record'!P:P,'QALS - Inspection Lot Record'!E:E)</f>
        <v>45870</v>
      </c>
      <c r="B4" s="31">
        <v>4002</v>
      </c>
      <c r="C4" s="29" t="s">
        <v>503</v>
      </c>
      <c r="D4" s="41" t="s">
        <v>472</v>
      </c>
      <c r="E4" s="31">
        <v>94</v>
      </c>
      <c r="F4" s="2"/>
      <c r="G4" s="2"/>
    </row>
    <row r="5" spans="1:8" x14ac:dyDescent="0.35">
      <c r="A5" s="34">
        <f ca="1">LOOKUP(B5,'QALS - Inspection Lot Record'!P:P,'QALS - Inspection Lot Record'!E:E)</f>
        <v>45871</v>
      </c>
      <c r="B5" s="31">
        <v>4003</v>
      </c>
      <c r="C5" s="29" t="s">
        <v>429</v>
      </c>
      <c r="D5" s="41" t="s">
        <v>476</v>
      </c>
      <c r="E5" s="31">
        <v>1.2</v>
      </c>
      <c r="F5" s="2"/>
      <c r="G5" s="2"/>
    </row>
    <row r="6" spans="1:8" x14ac:dyDescent="0.35">
      <c r="A6" s="34">
        <f ca="1">LOOKUP(B6,'QALS - Inspection Lot Record'!P:P,'QALS - Inspection Lot Record'!E:E)</f>
        <v>45871</v>
      </c>
      <c r="B6" s="31">
        <v>4003</v>
      </c>
      <c r="C6" s="29" t="s">
        <v>429</v>
      </c>
      <c r="D6" s="41" t="s">
        <v>478</v>
      </c>
      <c r="E6" s="31">
        <v>38.700000000000003</v>
      </c>
      <c r="F6" s="2"/>
      <c r="G6" s="2"/>
    </row>
    <row r="7" spans="1:8" x14ac:dyDescent="0.35">
      <c r="A7" s="34">
        <f ca="1">LOOKUP(B7,'QALS - Inspection Lot Record'!P:P,'QALS - Inspection Lot Record'!E:E)</f>
        <v>45871</v>
      </c>
      <c r="B7" s="31">
        <v>4003</v>
      </c>
      <c r="C7" s="29" t="s">
        <v>429</v>
      </c>
      <c r="D7" s="41" t="s">
        <v>480</v>
      </c>
      <c r="E7" s="31">
        <v>68</v>
      </c>
      <c r="F7" s="2"/>
      <c r="G7" s="2"/>
    </row>
    <row r="8" spans="1:8" x14ac:dyDescent="0.35">
      <c r="A8" s="34">
        <f ca="1">LOOKUP(B8,'QALS - Inspection Lot Record'!P:P,'QALS - Inspection Lot Record'!E:E)</f>
        <v>45871</v>
      </c>
      <c r="B8" s="31">
        <v>4004</v>
      </c>
      <c r="C8" s="29" t="s">
        <v>429</v>
      </c>
      <c r="D8" s="41" t="s">
        <v>472</v>
      </c>
      <c r="E8" s="31">
        <v>93.6</v>
      </c>
      <c r="F8" s="2"/>
      <c r="G8" s="2"/>
    </row>
    <row r="9" spans="1:8" x14ac:dyDescent="0.35">
      <c r="A9" s="34">
        <f ca="1">LOOKUP(B9,'QALS - Inspection Lot Record'!P:P,'QALS - Inspection Lot Record'!E:E)</f>
        <v>45871</v>
      </c>
      <c r="B9" s="31">
        <v>4004</v>
      </c>
      <c r="C9" s="29" t="s">
        <v>429</v>
      </c>
      <c r="D9" s="41" t="s">
        <v>474</v>
      </c>
      <c r="E9" s="31">
        <v>1.8</v>
      </c>
      <c r="F9" s="2"/>
      <c r="G9" s="2"/>
    </row>
    <row r="10" spans="1:8" x14ac:dyDescent="0.35">
      <c r="A10" s="34">
        <f ca="1">LOOKUP(B10,'QALS - Inspection Lot Record'!P:P,'QALS - Inspection Lot Record'!E:E)</f>
        <v>45871</v>
      </c>
      <c r="B10" s="31">
        <v>4004</v>
      </c>
      <c r="C10" s="29" t="s">
        <v>429</v>
      </c>
      <c r="D10" s="41" t="s">
        <v>478</v>
      </c>
      <c r="E10" s="31">
        <v>38.200000000000003</v>
      </c>
      <c r="F10" s="2"/>
      <c r="G10" s="2"/>
    </row>
    <row r="11" spans="1:8" x14ac:dyDescent="0.35">
      <c r="A11" s="34">
        <f ca="1">LOOKUP(B11,'QALS - Inspection Lot Record'!P:P,'QALS - Inspection Lot Record'!E:E)</f>
        <v>45872</v>
      </c>
      <c r="B11" s="31">
        <v>4005</v>
      </c>
      <c r="C11" s="29" t="s">
        <v>433</v>
      </c>
      <c r="D11" s="41" t="s">
        <v>472</v>
      </c>
      <c r="E11" s="31">
        <v>93.9</v>
      </c>
      <c r="F11" s="2"/>
      <c r="G11" s="2"/>
    </row>
    <row r="12" spans="1:8" x14ac:dyDescent="0.35">
      <c r="A12" s="34">
        <f ca="1">LOOKUP(B12,'QALS - Inspection Lot Record'!P:P,'QALS - Inspection Lot Record'!E:E)</f>
        <v>45872</v>
      </c>
      <c r="B12" s="31">
        <v>4005</v>
      </c>
      <c r="C12" s="29" t="s">
        <v>433</v>
      </c>
      <c r="D12" s="41" t="s">
        <v>483</v>
      </c>
      <c r="E12" s="31">
        <v>22</v>
      </c>
      <c r="F12" s="2"/>
      <c r="G12" s="2"/>
    </row>
    <row r="13" spans="1:8" x14ac:dyDescent="0.35">
      <c r="A13" s="34">
        <f ca="1">LOOKUP(B13,'QALS - Inspection Lot Record'!P:P,'QALS - Inspection Lot Record'!E:E)</f>
        <v>45873</v>
      </c>
      <c r="B13" s="31">
        <v>4008</v>
      </c>
      <c r="C13" s="29" t="s">
        <v>433</v>
      </c>
      <c r="D13" s="41" t="s">
        <v>472</v>
      </c>
      <c r="E13" s="31">
        <v>93.9</v>
      </c>
      <c r="F13" s="2"/>
      <c r="G13" s="2"/>
    </row>
    <row r="14" spans="1:8" x14ac:dyDescent="0.35">
      <c r="A14" s="34">
        <f ca="1">LOOKUP(B14,'QALS - Inspection Lot Record'!P:P,'QALS - Inspection Lot Record'!E:E)</f>
        <v>45874</v>
      </c>
      <c r="B14" s="31">
        <v>4009</v>
      </c>
      <c r="C14" s="29" t="s">
        <v>431</v>
      </c>
      <c r="D14" s="41" t="s">
        <v>472</v>
      </c>
      <c r="E14" s="31">
        <v>93.4</v>
      </c>
      <c r="F14" s="2"/>
      <c r="G14" s="2"/>
    </row>
    <row r="15" spans="1:8" x14ac:dyDescent="0.35">
      <c r="A15" s="34">
        <f ca="1">LOOKUP(B15,'QALS - Inspection Lot Record'!P:P,'QALS - Inspection Lot Record'!E:E)</f>
        <v>45874</v>
      </c>
      <c r="B15" s="31">
        <v>4009</v>
      </c>
      <c r="C15" s="29" t="s">
        <v>431</v>
      </c>
      <c r="D15" s="41" t="s">
        <v>474</v>
      </c>
      <c r="E15" s="31">
        <v>5</v>
      </c>
      <c r="F15" s="2"/>
      <c r="G15" s="2"/>
    </row>
    <row r="16" spans="1:8" x14ac:dyDescent="0.35">
      <c r="A16" s="34">
        <f ca="1">LOOKUP(B16,'QALS - Inspection Lot Record'!P:P,'QALS - Inspection Lot Record'!E:E)</f>
        <v>45874</v>
      </c>
      <c r="B16" s="31">
        <v>4010</v>
      </c>
      <c r="C16" s="29" t="s">
        <v>429</v>
      </c>
      <c r="D16" s="41" t="s">
        <v>486</v>
      </c>
      <c r="E16" s="31">
        <v>78.7</v>
      </c>
      <c r="F16" s="2"/>
      <c r="G16" s="2"/>
    </row>
    <row r="17" spans="1:7" x14ac:dyDescent="0.35">
      <c r="A17" s="34">
        <f ca="1">LOOKUP(B17,'QALS - Inspection Lot Record'!P:P,'QALS - Inspection Lot Record'!E:E)</f>
        <v>45875</v>
      </c>
      <c r="B17" s="31">
        <v>4011</v>
      </c>
      <c r="C17" s="29" t="s">
        <v>503</v>
      </c>
      <c r="D17" s="41" t="s">
        <v>472</v>
      </c>
      <c r="E17" s="31">
        <v>93.9</v>
      </c>
      <c r="F17" s="2"/>
      <c r="G17" s="2"/>
    </row>
    <row r="18" spans="1:7" x14ac:dyDescent="0.35">
      <c r="A18" s="34">
        <f ca="1">LOOKUP(B18,'QALS - Inspection Lot Record'!P:P,'QALS - Inspection Lot Record'!E:E)</f>
        <v>45875</v>
      </c>
      <c r="B18" s="31">
        <v>4012</v>
      </c>
      <c r="C18" s="29" t="s">
        <v>429</v>
      </c>
      <c r="D18" s="41" t="s">
        <v>472</v>
      </c>
      <c r="E18" s="31">
        <v>93.2</v>
      </c>
      <c r="F18" s="2"/>
      <c r="G18" s="2"/>
    </row>
    <row r="19" spans="1:7" x14ac:dyDescent="0.35">
      <c r="A19" s="34">
        <f ca="1">LOOKUP(B19,'QALS - Inspection Lot Record'!P:P,'QALS - Inspection Lot Record'!E:E)</f>
        <v>45876</v>
      </c>
      <c r="B19" s="31">
        <v>4013</v>
      </c>
      <c r="C19" s="29" t="s">
        <v>433</v>
      </c>
      <c r="D19" s="41" t="s">
        <v>480</v>
      </c>
      <c r="E19" s="31">
        <v>68.3</v>
      </c>
      <c r="F19" s="2"/>
      <c r="G19" s="2"/>
    </row>
    <row r="20" spans="1:7" x14ac:dyDescent="0.35">
      <c r="A20" s="34">
        <f ca="1">LOOKUP(B20,'QALS - Inspection Lot Record'!P:P,'QALS - Inspection Lot Record'!E:E)</f>
        <v>45876</v>
      </c>
      <c r="B20" s="31">
        <v>4014</v>
      </c>
      <c r="C20" s="29" t="s">
        <v>503</v>
      </c>
      <c r="D20" s="41" t="s">
        <v>476</v>
      </c>
      <c r="E20" s="31">
        <v>1.2</v>
      </c>
      <c r="F20" s="2"/>
      <c r="G20" s="2"/>
    </row>
    <row r="21" spans="1:7" x14ac:dyDescent="0.35">
      <c r="A21" s="34">
        <f ca="1">LOOKUP(B21,'QALS - Inspection Lot Record'!P:P,'QALS - Inspection Lot Record'!E:E)</f>
        <v>45876</v>
      </c>
      <c r="B21" s="31">
        <v>4014</v>
      </c>
      <c r="C21" s="29" t="s">
        <v>503</v>
      </c>
      <c r="D21" s="41" t="s">
        <v>486</v>
      </c>
      <c r="E21" s="31">
        <v>78.099999999999994</v>
      </c>
      <c r="F21" s="2"/>
      <c r="G21" s="2"/>
    </row>
    <row r="22" spans="1:7" x14ac:dyDescent="0.35">
      <c r="A22" s="34">
        <f ca="1">LOOKUP(B22,'QALS - Inspection Lot Record'!P:P,'QALS - Inspection Lot Record'!E:E)</f>
        <v>45877</v>
      </c>
      <c r="B22" s="31">
        <v>4015</v>
      </c>
      <c r="C22" s="29" t="s">
        <v>503</v>
      </c>
      <c r="D22" s="41" t="s">
        <v>472</v>
      </c>
      <c r="E22" s="31">
        <v>94</v>
      </c>
      <c r="F22" s="2"/>
      <c r="G22" s="2"/>
    </row>
    <row r="23" spans="1:7" x14ac:dyDescent="0.35">
      <c r="A23" s="34">
        <f ca="1">LOOKUP(B23,'QALS - Inspection Lot Record'!P:P,'QALS - Inspection Lot Record'!E:E)</f>
        <v>45877</v>
      </c>
      <c r="B23" s="31">
        <v>4016</v>
      </c>
      <c r="C23" s="29" t="s">
        <v>431</v>
      </c>
      <c r="D23" s="41" t="s">
        <v>472</v>
      </c>
      <c r="E23" s="31">
        <v>93.7</v>
      </c>
      <c r="F23" s="2"/>
      <c r="G23" s="2"/>
    </row>
    <row r="24" spans="1:7" x14ac:dyDescent="0.35">
      <c r="A24" s="34">
        <f ca="1">LOOKUP(B24,'QALS - Inspection Lot Record'!P:P,'QALS - Inspection Lot Record'!E:E)</f>
        <v>45878</v>
      </c>
      <c r="B24" s="31">
        <v>4017</v>
      </c>
      <c r="C24" s="29" t="s">
        <v>431</v>
      </c>
      <c r="D24" s="41" t="s">
        <v>483</v>
      </c>
      <c r="E24" s="31">
        <v>21.2</v>
      </c>
      <c r="F24" s="2"/>
      <c r="G24" s="2"/>
    </row>
    <row r="25" spans="1:7" x14ac:dyDescent="0.35">
      <c r="A25" s="34">
        <f ca="1">LOOKUP(B25,'QALS - Inspection Lot Record'!P:P,'QALS - Inspection Lot Record'!E:E)</f>
        <v>45880</v>
      </c>
      <c r="B25" s="31">
        <v>4021</v>
      </c>
      <c r="C25" s="29" t="s">
        <v>503</v>
      </c>
      <c r="D25" s="41" t="s">
        <v>478</v>
      </c>
      <c r="E25" s="31">
        <v>38.700000000000003</v>
      </c>
      <c r="F25" s="2"/>
      <c r="G25" s="2"/>
    </row>
    <row r="26" spans="1:7" x14ac:dyDescent="0.35">
      <c r="A26" s="34">
        <f ca="1">LOOKUP(B26,'QALS - Inspection Lot Record'!P:P,'QALS - Inspection Lot Record'!E:E)</f>
        <v>45880</v>
      </c>
      <c r="B26" s="31">
        <v>4021</v>
      </c>
      <c r="C26" s="29" t="s">
        <v>503</v>
      </c>
      <c r="D26" s="41" t="s">
        <v>480</v>
      </c>
      <c r="E26" s="31">
        <v>68.099999999999994</v>
      </c>
      <c r="F26" s="2"/>
      <c r="G26" s="2"/>
    </row>
    <row r="27" spans="1:7" x14ac:dyDescent="0.35">
      <c r="A27" s="34">
        <f ca="1">LOOKUP(B27,'QALS - Inspection Lot Record'!P:P,'QALS - Inspection Lot Record'!E:E)</f>
        <v>45882</v>
      </c>
      <c r="B27" s="31">
        <v>4025</v>
      </c>
      <c r="C27" s="29" t="s">
        <v>503</v>
      </c>
      <c r="D27" s="41" t="s">
        <v>483</v>
      </c>
      <c r="E27" s="31">
        <v>21.1</v>
      </c>
      <c r="F27" s="2"/>
      <c r="G27" s="2"/>
    </row>
    <row r="28" spans="1:7" x14ac:dyDescent="0.35">
      <c r="A28" s="34">
        <f ca="1">LOOKUP(B28,'QALS - Inspection Lot Record'!P:P,'QALS - Inspection Lot Record'!E:E)</f>
        <v>45884</v>
      </c>
      <c r="B28" s="31">
        <v>4029</v>
      </c>
      <c r="C28" s="29" t="s">
        <v>429</v>
      </c>
      <c r="D28" s="41" t="s">
        <v>486</v>
      </c>
      <c r="E28" s="31">
        <v>78.599999999999994</v>
      </c>
      <c r="F28" s="2"/>
      <c r="G28" s="2"/>
    </row>
    <row r="29" spans="1:7" x14ac:dyDescent="0.35">
      <c r="A29" s="34">
        <f ca="1">LOOKUP(B29,'QALS - Inspection Lot Record'!P:P,'QALS - Inspection Lot Record'!E:E)</f>
        <v>45884</v>
      </c>
      <c r="B29" s="31">
        <v>4030</v>
      </c>
      <c r="C29" s="29" t="s">
        <v>504</v>
      </c>
      <c r="D29" s="41" t="s">
        <v>474</v>
      </c>
      <c r="E29" s="31">
        <v>2.4</v>
      </c>
      <c r="F29" s="2"/>
      <c r="G29" s="2"/>
    </row>
    <row r="30" spans="1:7" x14ac:dyDescent="0.35">
      <c r="A30" s="34">
        <f ca="1">LOOKUP(B30,'QALS - Inspection Lot Record'!P:P,'QALS - Inspection Lot Record'!E:E)</f>
        <v>45884</v>
      </c>
      <c r="B30" s="31">
        <v>4030</v>
      </c>
      <c r="C30" s="29" t="s">
        <v>504</v>
      </c>
      <c r="D30" s="41" t="s">
        <v>480</v>
      </c>
      <c r="E30" s="31">
        <v>68.2</v>
      </c>
      <c r="F30" s="2"/>
      <c r="G30" s="2"/>
    </row>
    <row r="31" spans="1:7" x14ac:dyDescent="0.35">
      <c r="A31" s="34">
        <f ca="1">LOOKUP(B31,'QALS - Inspection Lot Record'!P:P,'QALS - Inspection Lot Record'!E:E)</f>
        <v>45886</v>
      </c>
      <c r="B31" s="31">
        <v>4034</v>
      </c>
      <c r="C31" s="29" t="s">
        <v>431</v>
      </c>
      <c r="D31" s="41" t="s">
        <v>474</v>
      </c>
      <c r="E31" s="31">
        <v>5</v>
      </c>
      <c r="F31" s="2"/>
      <c r="G31" s="2"/>
    </row>
    <row r="32" spans="1:7" x14ac:dyDescent="0.35">
      <c r="A32" s="34">
        <f ca="1">LOOKUP(B32,'QALS - Inspection Lot Record'!P:P,'QALS - Inspection Lot Record'!E:E)</f>
        <v>45886</v>
      </c>
      <c r="B32" s="31">
        <v>4034</v>
      </c>
      <c r="C32" s="29" t="s">
        <v>431</v>
      </c>
      <c r="D32" s="41" t="s">
        <v>478</v>
      </c>
      <c r="E32" s="31">
        <v>39</v>
      </c>
      <c r="F32" s="2"/>
      <c r="G32" s="2"/>
    </row>
    <row r="33" spans="1:7" x14ac:dyDescent="0.35">
      <c r="A33" s="34">
        <f ca="1">LOOKUP(B33,'QALS - Inspection Lot Record'!P:P,'QALS - Inspection Lot Record'!E:E)</f>
        <v>45887</v>
      </c>
      <c r="B33" s="31">
        <v>4036</v>
      </c>
      <c r="C33" s="29" t="s">
        <v>433</v>
      </c>
      <c r="D33" s="41" t="s">
        <v>476</v>
      </c>
      <c r="E33" s="31">
        <v>2.2000000000000002</v>
      </c>
      <c r="F33" s="2"/>
      <c r="G33" s="2"/>
    </row>
    <row r="34" spans="1:7" x14ac:dyDescent="0.35">
      <c r="A34" s="34">
        <f ca="1">LOOKUP(B34,'QALS - Inspection Lot Record'!P:P,'QALS - Inspection Lot Record'!E:E)</f>
        <v>45888</v>
      </c>
      <c r="B34" s="31">
        <v>4037</v>
      </c>
      <c r="C34" s="29" t="s">
        <v>503</v>
      </c>
      <c r="D34" s="41" t="s">
        <v>474</v>
      </c>
      <c r="E34" s="31">
        <v>2.2000000000000002</v>
      </c>
      <c r="F34" s="2"/>
      <c r="G34" s="2"/>
    </row>
    <row r="35" spans="1:7" x14ac:dyDescent="0.35">
      <c r="A35" s="34">
        <f ca="1">LOOKUP(B35,'QALS - Inspection Lot Record'!P:P,'QALS - Inspection Lot Record'!E:E)</f>
        <v>45888</v>
      </c>
      <c r="B35" s="31">
        <v>4037</v>
      </c>
      <c r="C35" s="29" t="s">
        <v>503</v>
      </c>
      <c r="D35" s="41" t="s">
        <v>486</v>
      </c>
      <c r="E35" s="31">
        <v>78.5</v>
      </c>
      <c r="F35" s="2"/>
      <c r="G35" s="2"/>
    </row>
    <row r="36" spans="1:7" x14ac:dyDescent="0.35">
      <c r="A36" s="34">
        <f ca="1">LOOKUP(B36,'QALS - Inspection Lot Record'!P:P,'QALS - Inspection Lot Record'!E:E)</f>
        <v>45888</v>
      </c>
      <c r="B36" s="31">
        <v>4037</v>
      </c>
      <c r="C36" s="29" t="s">
        <v>503</v>
      </c>
      <c r="D36" s="41" t="s">
        <v>483</v>
      </c>
      <c r="E36" s="31">
        <v>21.9</v>
      </c>
      <c r="F36" s="2"/>
      <c r="G36" s="2"/>
    </row>
    <row r="37" spans="1:7" x14ac:dyDescent="0.35">
      <c r="A37" s="34">
        <f ca="1">LOOKUP(B37,'QALS - Inspection Lot Record'!P:P,'QALS - Inspection Lot Record'!E:E)</f>
        <v>45889</v>
      </c>
      <c r="B37" s="31">
        <v>4040</v>
      </c>
      <c r="C37" s="29" t="s">
        <v>431</v>
      </c>
      <c r="D37" s="41" t="s">
        <v>476</v>
      </c>
      <c r="E37" s="31">
        <v>2.1</v>
      </c>
      <c r="F37" s="2"/>
      <c r="G37" s="2"/>
    </row>
    <row r="38" spans="1:7" x14ac:dyDescent="0.35">
      <c r="A38" s="34">
        <f ca="1">LOOKUP(B38,'QALS - Inspection Lot Record'!P:P,'QALS - Inspection Lot Record'!E:E)</f>
        <v>45890</v>
      </c>
      <c r="B38" s="31">
        <v>4041</v>
      </c>
      <c r="C38" s="29" t="s">
        <v>429</v>
      </c>
      <c r="D38" s="41" t="s">
        <v>483</v>
      </c>
      <c r="E38" s="31">
        <v>22</v>
      </c>
      <c r="F38" s="2"/>
      <c r="G38" s="2"/>
    </row>
    <row r="39" spans="1:7" x14ac:dyDescent="0.35">
      <c r="A39" s="34">
        <f ca="1">LOOKUP(B39,'QALS - Inspection Lot Record'!P:P,'QALS - Inspection Lot Record'!E:E)</f>
        <v>45890</v>
      </c>
      <c r="B39" s="31">
        <v>4042</v>
      </c>
      <c r="C39" s="29" t="s">
        <v>433</v>
      </c>
      <c r="D39" s="41" t="s">
        <v>472</v>
      </c>
      <c r="E39" s="31">
        <v>93.1</v>
      </c>
      <c r="F39" s="2"/>
      <c r="G39" s="2"/>
    </row>
    <row r="40" spans="1:7" x14ac:dyDescent="0.35">
      <c r="A40" s="34">
        <f ca="1">LOOKUP(B40,'QALS - Inspection Lot Record'!P:P,'QALS - Inspection Lot Record'!E:E)</f>
        <v>45892</v>
      </c>
      <c r="B40" s="31">
        <v>4045</v>
      </c>
      <c r="C40" s="29" t="s">
        <v>431</v>
      </c>
      <c r="D40" s="41" t="s">
        <v>483</v>
      </c>
      <c r="E40" s="31">
        <v>21.1</v>
      </c>
      <c r="F40" s="2"/>
      <c r="G40" s="2"/>
    </row>
    <row r="41" spans="1:7" x14ac:dyDescent="0.35">
      <c r="A41" s="34">
        <f ca="1">LOOKUP(B41,'QALS - Inspection Lot Record'!P:P,'QALS - Inspection Lot Record'!E:E)</f>
        <v>45893</v>
      </c>
      <c r="B41" s="31">
        <v>4047</v>
      </c>
      <c r="C41" s="29" t="s">
        <v>504</v>
      </c>
      <c r="D41" s="41" t="s">
        <v>476</v>
      </c>
      <c r="E41" s="31">
        <v>3</v>
      </c>
      <c r="F41" s="2"/>
      <c r="G41" s="2"/>
    </row>
    <row r="42" spans="1:7" x14ac:dyDescent="0.35">
      <c r="A42" s="34">
        <f ca="1">LOOKUP(B42,'QALS - Inspection Lot Record'!P:P,'QALS - Inspection Lot Record'!E:E)</f>
        <v>45893</v>
      </c>
      <c r="B42" s="31">
        <v>4048</v>
      </c>
      <c r="C42" s="29" t="s">
        <v>503</v>
      </c>
      <c r="D42" s="41" t="s">
        <v>476</v>
      </c>
      <c r="E42" s="31">
        <v>1.2</v>
      </c>
      <c r="F42" s="2"/>
      <c r="G42" s="2"/>
    </row>
    <row r="43" spans="1:7" x14ac:dyDescent="0.35">
      <c r="A43" s="34">
        <f ca="1">LOOKUP(B43,'QALS - Inspection Lot Record'!P:P,'QALS - Inspection Lot Record'!E:E)</f>
        <v>45894</v>
      </c>
      <c r="B43" s="31">
        <v>4049</v>
      </c>
      <c r="C43" s="29" t="s">
        <v>431</v>
      </c>
      <c r="D43" s="41" t="s">
        <v>483</v>
      </c>
      <c r="E43" s="31">
        <v>21.8</v>
      </c>
      <c r="F43" s="2"/>
      <c r="G43" s="2"/>
    </row>
    <row r="44" spans="1:7" x14ac:dyDescent="0.35">
      <c r="A44" s="34">
        <f ca="1">LOOKUP(B44,'QALS - Inspection Lot Record'!P:P,'QALS - Inspection Lot Record'!E:E)</f>
        <v>45894</v>
      </c>
      <c r="B44" s="31">
        <v>4050</v>
      </c>
      <c r="C44" s="29" t="s">
        <v>429</v>
      </c>
      <c r="D44" s="41" t="s">
        <v>474</v>
      </c>
      <c r="E44" s="31">
        <v>2.2999999999999998</v>
      </c>
      <c r="F44" s="2"/>
      <c r="G44" s="2"/>
    </row>
    <row r="45" spans="1:7" x14ac:dyDescent="0.35">
      <c r="A45" s="34">
        <f ca="1">LOOKUP(B45,'QALS - Inspection Lot Record'!P:P,'QALS - Inspection Lot Record'!E:E)</f>
        <v>45894</v>
      </c>
      <c r="B45" s="31">
        <v>4050</v>
      </c>
      <c r="C45" s="29" t="s">
        <v>429</v>
      </c>
      <c r="D45" s="41" t="s">
        <v>486</v>
      </c>
      <c r="E45" s="31">
        <v>78.400000000000006</v>
      </c>
      <c r="F45" s="2"/>
      <c r="G45" s="2"/>
    </row>
    <row r="46" spans="1:7" x14ac:dyDescent="0.35">
      <c r="A46" s="34">
        <f ca="1">LOOKUP(B46,'QALS - Inspection Lot Record'!P:P,'QALS - Inspection Lot Record'!E:E)</f>
        <v>45896</v>
      </c>
      <c r="B46" s="31">
        <v>4053</v>
      </c>
      <c r="C46" s="29" t="s">
        <v>504</v>
      </c>
      <c r="D46" s="41" t="s">
        <v>478</v>
      </c>
      <c r="E46" s="31">
        <v>38.700000000000003</v>
      </c>
      <c r="F46" s="2"/>
      <c r="G46" s="2"/>
    </row>
    <row r="47" spans="1:7" x14ac:dyDescent="0.35">
      <c r="A47" s="34">
        <f ca="1">LOOKUP(B47,'QALS - Inspection Lot Record'!P:P,'QALS - Inspection Lot Record'!E:E)</f>
        <v>45896</v>
      </c>
      <c r="B47" s="31">
        <v>4053</v>
      </c>
      <c r="C47" s="29" t="s">
        <v>504</v>
      </c>
      <c r="D47" s="41" t="s">
        <v>483</v>
      </c>
      <c r="E47" s="31">
        <v>21.8</v>
      </c>
      <c r="F47" s="2"/>
      <c r="G47" s="2"/>
    </row>
    <row r="48" spans="1:7" x14ac:dyDescent="0.35">
      <c r="A48" s="34">
        <f ca="1">LOOKUP(B48,'QALS - Inspection Lot Record'!P:P,'QALS - Inspection Lot Record'!E:E)</f>
        <v>45898</v>
      </c>
      <c r="B48" s="31">
        <v>4057</v>
      </c>
      <c r="C48" s="29" t="s">
        <v>429</v>
      </c>
      <c r="D48" s="41" t="s">
        <v>472</v>
      </c>
      <c r="E48" s="31">
        <v>93.6</v>
      </c>
      <c r="F48" s="2"/>
      <c r="G48" s="2"/>
    </row>
    <row r="49" spans="1:7" x14ac:dyDescent="0.35">
      <c r="A49" s="34">
        <f ca="1">LOOKUP(B49,'QALS - Inspection Lot Record'!P:P,'QALS - Inspection Lot Record'!E:E)</f>
        <v>45898</v>
      </c>
      <c r="B49" s="31">
        <v>4057</v>
      </c>
      <c r="C49" s="29" t="s">
        <v>429</v>
      </c>
      <c r="D49" s="41" t="s">
        <v>483</v>
      </c>
      <c r="E49" s="31">
        <v>21.3</v>
      </c>
      <c r="F49" s="2"/>
      <c r="G49" s="2"/>
    </row>
    <row r="50" spans="1:7" x14ac:dyDescent="0.35">
      <c r="A50" s="34">
        <f ca="1">LOOKUP(B50,'QALS - Inspection Lot Record'!P:P,'QALS - Inspection Lot Record'!E:E)</f>
        <v>45899</v>
      </c>
      <c r="B50" s="31">
        <v>4059</v>
      </c>
      <c r="C50" s="29" t="s">
        <v>504</v>
      </c>
      <c r="D50" s="41" t="s">
        <v>474</v>
      </c>
      <c r="E50" s="31">
        <v>2.1</v>
      </c>
      <c r="F50" s="2"/>
      <c r="G50" s="2"/>
    </row>
    <row r="51" spans="1:7" x14ac:dyDescent="0.35">
      <c r="A51" s="34">
        <f ca="1">LOOKUP(B51,'QALS - Inspection Lot Record'!P:P,'QALS - Inspection Lot Record'!E:E)</f>
        <v>45899</v>
      </c>
      <c r="B51" s="31">
        <v>4059</v>
      </c>
      <c r="C51" s="29" t="s">
        <v>504</v>
      </c>
      <c r="D51" s="41" t="s">
        <v>486</v>
      </c>
      <c r="E51" s="31">
        <v>78.900000000000006</v>
      </c>
      <c r="F51" s="2"/>
      <c r="G51" s="2"/>
    </row>
    <row r="52" spans="1:7" x14ac:dyDescent="0.35">
      <c r="A52" s="34">
        <f ca="1">LOOKUP(B52,'QALS - Inspection Lot Record'!P:P,'QALS - Inspection Lot Record'!E:E)</f>
        <v>45899</v>
      </c>
      <c r="B52" s="31">
        <v>4060</v>
      </c>
      <c r="C52" s="29" t="s">
        <v>433</v>
      </c>
      <c r="D52" s="41" t="s">
        <v>472</v>
      </c>
      <c r="E52" s="31">
        <v>93.6</v>
      </c>
      <c r="F52" s="2"/>
      <c r="G52" s="2"/>
    </row>
    <row r="53" spans="1:7" x14ac:dyDescent="0.35">
      <c r="A53" s="34">
        <f ca="1">LOOKUP(B53,'QALS - Inspection Lot Record'!P:P,'QALS - Inspection Lot Record'!E:E)</f>
        <v>45899</v>
      </c>
      <c r="B53" s="31">
        <v>4060</v>
      </c>
      <c r="C53" s="29" t="s">
        <v>433</v>
      </c>
      <c r="D53" s="41" t="s">
        <v>478</v>
      </c>
      <c r="E53" s="31">
        <v>38.4</v>
      </c>
      <c r="F53" s="2"/>
      <c r="G53" s="2"/>
    </row>
    <row r="54" spans="1:7" x14ac:dyDescent="0.35">
      <c r="A54" s="34">
        <f ca="1">LOOKUP(B54,'QALS - Inspection Lot Record'!P:P,'QALS - Inspection Lot Record'!E:E)</f>
        <v>45899</v>
      </c>
      <c r="B54" s="31">
        <v>4060</v>
      </c>
      <c r="C54" s="29" t="s">
        <v>433</v>
      </c>
      <c r="D54" s="41" t="s">
        <v>486</v>
      </c>
      <c r="E54" s="31">
        <v>78.5</v>
      </c>
      <c r="F54" s="2"/>
      <c r="G54" s="2"/>
    </row>
    <row r="55" spans="1:7" x14ac:dyDescent="0.35">
      <c r="A55" s="34">
        <f ca="1">LOOKUP(B55,'QALS - Inspection Lot Record'!P:P,'QALS - Inspection Lot Record'!E:E)</f>
        <v>45900</v>
      </c>
      <c r="B55" s="31">
        <v>4061</v>
      </c>
      <c r="C55" s="29" t="s">
        <v>429</v>
      </c>
      <c r="D55" s="41" t="s">
        <v>474</v>
      </c>
      <c r="E55" s="31">
        <v>1.7</v>
      </c>
      <c r="F55" s="2"/>
      <c r="G55" s="2"/>
    </row>
    <row r="56" spans="1:7" x14ac:dyDescent="0.35">
      <c r="A56" s="34">
        <f ca="1">LOOKUP(B56,'QALS - Inspection Lot Record'!P:P,'QALS - Inspection Lot Record'!E:E)</f>
        <v>45900</v>
      </c>
      <c r="B56" s="31">
        <v>4061</v>
      </c>
      <c r="C56" s="29" t="s">
        <v>429</v>
      </c>
      <c r="D56" s="41" t="s">
        <v>486</v>
      </c>
      <c r="E56" s="31">
        <v>78.3</v>
      </c>
      <c r="F56" s="2"/>
      <c r="G56" s="2"/>
    </row>
    <row r="57" spans="1:7" x14ac:dyDescent="0.35">
      <c r="A57" s="34">
        <f ca="1">LOOKUP(B57,'QALS - Inspection Lot Record'!P:P,'QALS - Inspection Lot Record'!E:E)</f>
        <v>45900</v>
      </c>
      <c r="B57" s="31">
        <v>4062</v>
      </c>
      <c r="C57" s="29" t="s">
        <v>433</v>
      </c>
      <c r="D57" s="41" t="s">
        <v>472</v>
      </c>
      <c r="E57" s="31">
        <v>93.8</v>
      </c>
      <c r="F57" s="2"/>
      <c r="G57" s="2"/>
    </row>
    <row r="58" spans="1:7" x14ac:dyDescent="0.35">
      <c r="A58" s="34">
        <f ca="1">LOOKUP(B58,'QALS - Inspection Lot Record'!P:P,'QALS - Inspection Lot Record'!E:E)</f>
        <v>45900</v>
      </c>
      <c r="B58" s="31">
        <v>4062</v>
      </c>
      <c r="C58" s="29" t="s">
        <v>433</v>
      </c>
      <c r="D58" s="41" t="s">
        <v>486</v>
      </c>
      <c r="E58" s="31">
        <v>79</v>
      </c>
      <c r="F58" s="2"/>
      <c r="G58" s="2"/>
    </row>
    <row r="59" spans="1:7" x14ac:dyDescent="0.35">
      <c r="A59" s="34">
        <f ca="1">LOOKUP(B59,'QALS - Inspection Lot Record'!P:P,'QALS - Inspection Lot Record'!E:E)</f>
        <v>45901</v>
      </c>
      <c r="B59" s="31">
        <v>4063</v>
      </c>
      <c r="C59" s="29" t="s">
        <v>429</v>
      </c>
      <c r="D59" s="41" t="s">
        <v>472</v>
      </c>
      <c r="E59" s="31">
        <v>93.8</v>
      </c>
      <c r="F59" s="2"/>
      <c r="G59" s="2"/>
    </row>
    <row r="60" spans="1:7" x14ac:dyDescent="0.35">
      <c r="A60" s="34">
        <f ca="1">LOOKUP(B60,'QALS - Inspection Lot Record'!P:P,'QALS - Inspection Lot Record'!E:E)</f>
        <v>45901</v>
      </c>
      <c r="B60" s="31">
        <v>4063</v>
      </c>
      <c r="C60" s="29" t="s">
        <v>429</v>
      </c>
      <c r="D60" s="41" t="s">
        <v>486</v>
      </c>
      <c r="E60" s="31">
        <v>79</v>
      </c>
      <c r="F60" s="2"/>
      <c r="G60" s="2"/>
    </row>
    <row r="61" spans="1:7" x14ac:dyDescent="0.35">
      <c r="A61" s="34">
        <f ca="1">LOOKUP(B61,'QALS - Inspection Lot Record'!P:P,'QALS - Inspection Lot Record'!E:E)</f>
        <v>45901</v>
      </c>
      <c r="B61" s="31">
        <v>4064</v>
      </c>
      <c r="C61" s="29" t="s">
        <v>504</v>
      </c>
      <c r="D61" s="41" t="s">
        <v>472</v>
      </c>
      <c r="E61" s="31">
        <v>94</v>
      </c>
      <c r="F61" s="2"/>
      <c r="G61" s="2"/>
    </row>
    <row r="62" spans="1:7" x14ac:dyDescent="0.35">
      <c r="A62" s="34">
        <f ca="1">LOOKUP(B62,'QALS - Inspection Lot Record'!P:P,'QALS - Inspection Lot Record'!E:E)</f>
        <v>45901</v>
      </c>
      <c r="B62" s="31">
        <v>4064</v>
      </c>
      <c r="C62" s="29" t="s">
        <v>504</v>
      </c>
      <c r="D62" s="41" t="s">
        <v>474</v>
      </c>
      <c r="E62" s="31">
        <v>1.9</v>
      </c>
      <c r="F62" s="2"/>
      <c r="G62" s="2"/>
    </row>
    <row r="63" spans="1:7" x14ac:dyDescent="0.35">
      <c r="A63" s="34">
        <f ca="1">LOOKUP(B63,'QALS - Inspection Lot Record'!P:P,'QALS - Inspection Lot Record'!E:E)</f>
        <v>45901</v>
      </c>
      <c r="B63" s="31">
        <v>4064</v>
      </c>
      <c r="C63" s="29" t="s">
        <v>504</v>
      </c>
      <c r="D63" s="41" t="s">
        <v>486</v>
      </c>
      <c r="E63" s="31">
        <v>78.900000000000006</v>
      </c>
      <c r="F63" s="2"/>
      <c r="G63" s="2"/>
    </row>
    <row r="64" spans="1:7" x14ac:dyDescent="0.35">
      <c r="A64" s="34">
        <f ca="1">LOOKUP(B64,'QALS - Inspection Lot Record'!P:P,'QALS - Inspection Lot Record'!E:E)</f>
        <v>45902</v>
      </c>
      <c r="B64" s="31">
        <v>4065</v>
      </c>
      <c r="C64" s="29" t="s">
        <v>433</v>
      </c>
      <c r="D64" s="41" t="s">
        <v>474</v>
      </c>
      <c r="E64" s="31">
        <v>1.8</v>
      </c>
      <c r="F64" s="2"/>
      <c r="G64" s="2"/>
    </row>
    <row r="65" spans="1:7" x14ac:dyDescent="0.35">
      <c r="A65" s="34">
        <f ca="1">LOOKUP(B65,'QALS - Inspection Lot Record'!P:P,'QALS - Inspection Lot Record'!E:E)</f>
        <v>45902</v>
      </c>
      <c r="B65" s="31">
        <v>4066</v>
      </c>
      <c r="C65" s="29" t="s">
        <v>504</v>
      </c>
      <c r="D65" s="41" t="s">
        <v>472</v>
      </c>
      <c r="E65" s="31">
        <v>93.4</v>
      </c>
      <c r="F65" s="2"/>
      <c r="G65" s="2"/>
    </row>
    <row r="66" spans="1:7" x14ac:dyDescent="0.35">
      <c r="A66" s="34">
        <f ca="1">LOOKUP(B66,'QALS - Inspection Lot Record'!P:P,'QALS - Inspection Lot Record'!E:E)</f>
        <v>45902</v>
      </c>
      <c r="B66" s="31">
        <v>4066</v>
      </c>
      <c r="C66" s="29" t="s">
        <v>504</v>
      </c>
      <c r="D66" s="41" t="s">
        <v>480</v>
      </c>
      <c r="E66" s="31">
        <v>68.5</v>
      </c>
      <c r="F66" s="2"/>
      <c r="G66" s="2"/>
    </row>
    <row r="67" spans="1:7" x14ac:dyDescent="0.35">
      <c r="A67" s="34">
        <f ca="1">LOOKUP(B67,'QALS - Inspection Lot Record'!P:P,'QALS - Inspection Lot Record'!E:E)</f>
        <v>45902</v>
      </c>
      <c r="B67" s="31">
        <v>4066</v>
      </c>
      <c r="C67" s="29" t="s">
        <v>504</v>
      </c>
      <c r="D67" s="41" t="s">
        <v>486</v>
      </c>
      <c r="E67" s="31">
        <v>78.3</v>
      </c>
      <c r="F67" s="2"/>
      <c r="G67" s="2"/>
    </row>
    <row r="68" spans="1:7" x14ac:dyDescent="0.35">
      <c r="A68" s="34">
        <f ca="1">LOOKUP(B68,'QALS - Inspection Lot Record'!P:P,'QALS - Inspection Lot Record'!E:E)</f>
        <v>45903</v>
      </c>
      <c r="B68" s="31">
        <v>4067</v>
      </c>
      <c r="C68" s="29" t="s">
        <v>433</v>
      </c>
      <c r="D68" s="41" t="s">
        <v>472</v>
      </c>
      <c r="E68" s="31">
        <v>93.8</v>
      </c>
      <c r="F68" s="2"/>
      <c r="G68" s="2"/>
    </row>
    <row r="69" spans="1:7" x14ac:dyDescent="0.35">
      <c r="A69" s="34">
        <f ca="1">LOOKUP(B69,'QALS - Inspection Lot Record'!P:P,'QALS - Inspection Lot Record'!E:E)</f>
        <v>45904</v>
      </c>
      <c r="B69" s="31">
        <v>4069</v>
      </c>
      <c r="C69" s="29" t="s">
        <v>431</v>
      </c>
      <c r="D69" s="41" t="s">
        <v>483</v>
      </c>
      <c r="E69" s="31">
        <v>21.6</v>
      </c>
      <c r="F69" s="2"/>
      <c r="G69" s="2"/>
    </row>
    <row r="70" spans="1:7" x14ac:dyDescent="0.35">
      <c r="A70" s="34">
        <f ca="1">LOOKUP(B70,'QALS - Inspection Lot Record'!P:P,'QALS - Inspection Lot Record'!E:E)</f>
        <v>45904</v>
      </c>
      <c r="B70" s="31">
        <v>4070</v>
      </c>
      <c r="C70" s="29" t="s">
        <v>429</v>
      </c>
      <c r="D70" s="41" t="s">
        <v>472</v>
      </c>
      <c r="E70" s="31">
        <v>93.6</v>
      </c>
      <c r="F70" s="2"/>
      <c r="G70" s="2"/>
    </row>
    <row r="71" spans="1:7" x14ac:dyDescent="0.35">
      <c r="A71" s="34">
        <f ca="1">LOOKUP(B71,'QALS - Inspection Lot Record'!P:P,'QALS - Inspection Lot Record'!E:E)</f>
        <v>45904</v>
      </c>
      <c r="B71" s="31">
        <v>4070</v>
      </c>
      <c r="C71" s="29" t="s">
        <v>429</v>
      </c>
      <c r="D71" s="41" t="s">
        <v>478</v>
      </c>
      <c r="E71" s="31">
        <v>38.4</v>
      </c>
      <c r="F71" s="2"/>
      <c r="G71" s="2"/>
    </row>
    <row r="72" spans="1:7" x14ac:dyDescent="0.35">
      <c r="A72" s="34">
        <f ca="1">LOOKUP(B72,'QALS - Inspection Lot Record'!P:P,'QALS - Inspection Lot Record'!E:E)</f>
        <v>45904</v>
      </c>
      <c r="B72" s="31">
        <v>4070</v>
      </c>
      <c r="C72" s="29" t="s">
        <v>429</v>
      </c>
      <c r="D72" s="41" t="s">
        <v>480</v>
      </c>
      <c r="E72" s="31">
        <v>68.400000000000006</v>
      </c>
      <c r="F72" s="2"/>
      <c r="G72" s="2"/>
    </row>
    <row r="73" spans="1:7" x14ac:dyDescent="0.35">
      <c r="A73" s="34">
        <f ca="1">LOOKUP(B73,'QALS - Inspection Lot Record'!P:P,'QALS - Inspection Lot Record'!E:E)</f>
        <v>45905</v>
      </c>
      <c r="B73" s="31">
        <v>4071</v>
      </c>
      <c r="C73" s="29" t="s">
        <v>429</v>
      </c>
      <c r="D73" s="41" t="s">
        <v>472</v>
      </c>
      <c r="E73" s="31">
        <v>93.6</v>
      </c>
      <c r="F73" s="2"/>
      <c r="G73" s="2"/>
    </row>
    <row r="74" spans="1:7" x14ac:dyDescent="0.35">
      <c r="A74" s="34">
        <f ca="1">LOOKUP(B74,'QALS - Inspection Lot Record'!P:P,'QALS - Inspection Lot Record'!E:E)</f>
        <v>45906</v>
      </c>
      <c r="B74" s="31">
        <v>4074</v>
      </c>
      <c r="C74" s="29" t="s">
        <v>433</v>
      </c>
      <c r="D74" s="41" t="s">
        <v>472</v>
      </c>
      <c r="E74" s="31">
        <v>93</v>
      </c>
      <c r="F74" s="2"/>
      <c r="G74" s="2"/>
    </row>
    <row r="75" spans="1:7" x14ac:dyDescent="0.35">
      <c r="A75" s="34">
        <f ca="1">LOOKUP(B75,'QALS - Inspection Lot Record'!P:P,'QALS - Inspection Lot Record'!E:E)</f>
        <v>45906</v>
      </c>
      <c r="B75" s="31">
        <v>4074</v>
      </c>
      <c r="C75" s="29" t="s">
        <v>433</v>
      </c>
      <c r="D75" s="41" t="s">
        <v>486</v>
      </c>
      <c r="E75" s="31">
        <v>79</v>
      </c>
      <c r="F75" s="2"/>
      <c r="G75" s="2"/>
    </row>
    <row r="76" spans="1:7" x14ac:dyDescent="0.35">
      <c r="A76" s="34">
        <f ca="1">LOOKUP(B76,'QALS - Inspection Lot Record'!P:P,'QALS - Inspection Lot Record'!E:E)</f>
        <v>45907</v>
      </c>
      <c r="B76" s="31">
        <v>4075</v>
      </c>
      <c r="C76" s="29" t="s">
        <v>429</v>
      </c>
      <c r="D76" s="41" t="s">
        <v>472</v>
      </c>
      <c r="E76" s="31">
        <v>93.8</v>
      </c>
      <c r="F76" s="2"/>
      <c r="G76" s="2"/>
    </row>
    <row r="77" spans="1:7" x14ac:dyDescent="0.35">
      <c r="A77" s="34">
        <f ca="1">LOOKUP(B77,'QALS - Inspection Lot Record'!P:P,'QALS - Inspection Lot Record'!E:E)</f>
        <v>45908</v>
      </c>
      <c r="B77" s="31">
        <v>4077</v>
      </c>
      <c r="C77" s="29" t="s">
        <v>431</v>
      </c>
      <c r="D77" s="41" t="s">
        <v>472</v>
      </c>
      <c r="E77" s="31">
        <v>93.3</v>
      </c>
      <c r="F77" s="2"/>
      <c r="G77" s="2"/>
    </row>
    <row r="78" spans="1:7" x14ac:dyDescent="0.35">
      <c r="A78" s="34">
        <f ca="1">LOOKUP(B78,'QALS - Inspection Lot Record'!P:P,'QALS - Inspection Lot Record'!E:E)</f>
        <v>45908</v>
      </c>
      <c r="B78" s="31">
        <v>4077</v>
      </c>
      <c r="C78" s="29" t="s">
        <v>431</v>
      </c>
      <c r="D78" s="41" t="s">
        <v>474</v>
      </c>
      <c r="E78" s="31">
        <v>4.0999999999999996</v>
      </c>
      <c r="F78" s="2"/>
      <c r="G78" s="2"/>
    </row>
    <row r="79" spans="1:7" x14ac:dyDescent="0.35">
      <c r="A79" s="34">
        <f ca="1">LOOKUP(B79,'QALS - Inspection Lot Record'!P:P,'QALS - Inspection Lot Record'!E:E)</f>
        <v>45910</v>
      </c>
      <c r="B79" s="31">
        <v>4081</v>
      </c>
      <c r="C79" s="29" t="s">
        <v>503</v>
      </c>
      <c r="D79" s="41" t="s">
        <v>474</v>
      </c>
      <c r="E79" s="31">
        <v>1.8</v>
      </c>
      <c r="F79" s="2"/>
      <c r="G79" s="2"/>
    </row>
    <row r="80" spans="1:7" x14ac:dyDescent="0.35">
      <c r="A80" s="34">
        <f ca="1">LOOKUP(B80,'QALS - Inspection Lot Record'!P:P,'QALS - Inspection Lot Record'!E:E)</f>
        <v>45910</v>
      </c>
      <c r="B80" s="31">
        <v>4081</v>
      </c>
      <c r="C80" s="29" t="s">
        <v>503</v>
      </c>
      <c r="D80" s="41" t="s">
        <v>480</v>
      </c>
      <c r="E80" s="31">
        <v>68.3</v>
      </c>
      <c r="F80" s="2"/>
      <c r="G80" s="2"/>
    </row>
    <row r="81" spans="1:7" x14ac:dyDescent="0.35">
      <c r="A81" s="34">
        <f ca="1">LOOKUP(B81,'QALS - Inspection Lot Record'!P:P,'QALS - Inspection Lot Record'!E:E)</f>
        <v>45910</v>
      </c>
      <c r="B81" s="31">
        <v>4081</v>
      </c>
      <c r="C81" s="29" t="s">
        <v>503</v>
      </c>
      <c r="D81" s="41" t="s">
        <v>486</v>
      </c>
      <c r="E81" s="31">
        <v>78.8</v>
      </c>
      <c r="F81" s="2"/>
      <c r="G81" s="2"/>
    </row>
    <row r="82" spans="1:7" x14ac:dyDescent="0.35">
      <c r="A82" s="34">
        <f ca="1">LOOKUP(B82,'QALS - Inspection Lot Record'!P:P,'QALS - Inspection Lot Record'!E:E)</f>
        <v>45910</v>
      </c>
      <c r="B82" s="31">
        <v>4081</v>
      </c>
      <c r="C82" s="29" t="s">
        <v>503</v>
      </c>
      <c r="D82" s="41" t="s">
        <v>483</v>
      </c>
      <c r="E82" s="31">
        <v>21.4</v>
      </c>
      <c r="F82" s="2"/>
      <c r="G82" s="2"/>
    </row>
    <row r="83" spans="1:7" x14ac:dyDescent="0.35">
      <c r="A83" s="34">
        <f ca="1">LOOKUP(B83,'QALS - Inspection Lot Record'!P:P,'QALS - Inspection Lot Record'!E:E)</f>
        <v>45912</v>
      </c>
      <c r="B83" s="31">
        <v>4085</v>
      </c>
      <c r="C83" s="29" t="s">
        <v>503</v>
      </c>
      <c r="D83" s="41" t="s">
        <v>483</v>
      </c>
      <c r="E83" s="31">
        <v>21.3</v>
      </c>
      <c r="F83" s="2"/>
      <c r="G83" s="2"/>
    </row>
    <row r="84" spans="1:7" x14ac:dyDescent="0.35">
      <c r="A84" s="34">
        <f ca="1">LOOKUP(B84,'QALS - Inspection Lot Record'!P:P,'QALS - Inspection Lot Record'!E:E)</f>
        <v>45914</v>
      </c>
      <c r="B84" s="31">
        <v>4089</v>
      </c>
      <c r="C84" s="29" t="s">
        <v>504</v>
      </c>
      <c r="D84" s="41" t="s">
        <v>483</v>
      </c>
      <c r="E84" s="31">
        <v>21.1</v>
      </c>
      <c r="F84" s="2"/>
      <c r="G84" s="2"/>
    </row>
    <row r="85" spans="1:7" x14ac:dyDescent="0.35">
      <c r="A85" s="34">
        <f ca="1">LOOKUP(B85,'QALS - Inspection Lot Record'!P:P,'QALS - Inspection Lot Record'!E:E)</f>
        <v>45914</v>
      </c>
      <c r="B85" s="31">
        <v>4090</v>
      </c>
      <c r="C85" s="29" t="s">
        <v>429</v>
      </c>
      <c r="D85" s="41" t="s">
        <v>474</v>
      </c>
      <c r="E85" s="31">
        <v>1.9</v>
      </c>
      <c r="F85" s="2"/>
      <c r="G85" s="2"/>
    </row>
    <row r="86" spans="1:7" x14ac:dyDescent="0.35">
      <c r="A86" s="34">
        <f ca="1">LOOKUP(B86,'QALS - Inspection Lot Record'!P:P,'QALS - Inspection Lot Record'!E:E)</f>
        <v>45914</v>
      </c>
      <c r="B86" s="31">
        <v>4090</v>
      </c>
      <c r="C86" s="29" t="s">
        <v>429</v>
      </c>
      <c r="D86" s="41" t="s">
        <v>486</v>
      </c>
      <c r="E86" s="31">
        <v>78.8</v>
      </c>
      <c r="F86" s="2"/>
      <c r="G86" s="2"/>
    </row>
    <row r="87" spans="1:7" x14ac:dyDescent="0.35">
      <c r="A87" s="34">
        <f ca="1">LOOKUP(B87,'QALS - Inspection Lot Record'!P:P,'QALS - Inspection Lot Record'!E:E)</f>
        <v>45915</v>
      </c>
      <c r="B87" s="31">
        <v>4092</v>
      </c>
      <c r="C87" s="29" t="s">
        <v>431</v>
      </c>
      <c r="D87" s="41" t="s">
        <v>478</v>
      </c>
      <c r="E87" s="31">
        <v>38.6</v>
      </c>
      <c r="F87" s="2"/>
      <c r="G87" s="2"/>
    </row>
    <row r="88" spans="1:7" x14ac:dyDescent="0.35">
      <c r="A88" s="34">
        <f ca="1">LOOKUP(B88,'QALS - Inspection Lot Record'!P:P,'QALS - Inspection Lot Record'!E:E)</f>
        <v>45915</v>
      </c>
      <c r="B88" s="31">
        <v>4092</v>
      </c>
      <c r="C88" s="29" t="s">
        <v>431</v>
      </c>
      <c r="D88" s="41" t="s">
        <v>480</v>
      </c>
      <c r="E88" s="31">
        <v>68.5</v>
      </c>
      <c r="F88" s="2"/>
      <c r="G88" s="2"/>
    </row>
    <row r="89" spans="1:7" x14ac:dyDescent="0.35">
      <c r="A89" s="34">
        <f ca="1">LOOKUP(B89,'QALS - Inspection Lot Record'!P:P,'QALS - Inspection Lot Record'!E:E)</f>
        <v>45917</v>
      </c>
      <c r="B89" s="31">
        <v>4095</v>
      </c>
      <c r="C89" s="29" t="s">
        <v>431</v>
      </c>
      <c r="D89" s="41" t="s">
        <v>478</v>
      </c>
      <c r="E89" s="31">
        <v>38.9</v>
      </c>
      <c r="F89" s="2"/>
      <c r="G89" s="2"/>
    </row>
    <row r="90" spans="1:7" x14ac:dyDescent="0.35">
      <c r="A90" s="34">
        <f ca="1">LOOKUP(B90,'QALS - Inspection Lot Record'!P:P,'QALS - Inspection Lot Record'!E:E)</f>
        <v>45917</v>
      </c>
      <c r="B90" s="31">
        <v>4095</v>
      </c>
      <c r="C90" s="29" t="s">
        <v>431</v>
      </c>
      <c r="D90" s="41" t="s">
        <v>480</v>
      </c>
      <c r="E90" s="31">
        <v>68</v>
      </c>
      <c r="F90" s="2"/>
      <c r="G90" s="2"/>
    </row>
    <row r="91" spans="1:7" x14ac:dyDescent="0.35">
      <c r="A91" s="34">
        <f ca="1">LOOKUP(B91,'QALS - Inspection Lot Record'!P:P,'QALS - Inspection Lot Record'!E:E)</f>
        <v>45917</v>
      </c>
      <c r="B91" s="31">
        <v>4096</v>
      </c>
      <c r="C91" s="29" t="s">
        <v>503</v>
      </c>
      <c r="D91" s="41" t="s">
        <v>478</v>
      </c>
      <c r="E91" s="31">
        <v>38.299999999999997</v>
      </c>
      <c r="F91" s="2"/>
      <c r="G91" s="2"/>
    </row>
    <row r="92" spans="1:7" x14ac:dyDescent="0.35">
      <c r="A92" s="34">
        <f ca="1">LOOKUP(B92,'QALS - Inspection Lot Record'!P:P,'QALS - Inspection Lot Record'!E:E)</f>
        <v>45917</v>
      </c>
      <c r="B92" s="31">
        <v>4096</v>
      </c>
      <c r="C92" s="29" t="s">
        <v>503</v>
      </c>
      <c r="D92" s="41" t="s">
        <v>480</v>
      </c>
      <c r="E92" s="31">
        <v>68.3</v>
      </c>
      <c r="F92" s="2"/>
      <c r="G92" s="2"/>
    </row>
    <row r="93" spans="1:7" x14ac:dyDescent="0.35">
      <c r="A93" s="34">
        <f ca="1">LOOKUP(B93,'QALS - Inspection Lot Record'!P:P,'QALS - Inspection Lot Record'!E:E)</f>
        <v>45917</v>
      </c>
      <c r="B93" s="31">
        <v>4096</v>
      </c>
      <c r="C93" s="29" t="s">
        <v>503</v>
      </c>
      <c r="D93" s="41" t="s">
        <v>486</v>
      </c>
      <c r="E93" s="31">
        <v>78.400000000000006</v>
      </c>
      <c r="F93" s="2"/>
      <c r="G93" s="2"/>
    </row>
    <row r="94" spans="1:7" x14ac:dyDescent="0.35">
      <c r="A94" s="34">
        <f ca="1">LOOKUP(B94,'QALS - Inspection Lot Record'!P:P,'QALS - Inspection Lot Record'!E:E)</f>
        <v>45919</v>
      </c>
      <c r="B94" s="31">
        <v>4099</v>
      </c>
      <c r="C94" s="29" t="s">
        <v>429</v>
      </c>
      <c r="D94" s="41" t="s">
        <v>474</v>
      </c>
      <c r="E94" s="31">
        <v>2.5</v>
      </c>
      <c r="F94" s="2"/>
      <c r="G94" s="2"/>
    </row>
    <row r="95" spans="1:7" x14ac:dyDescent="0.35">
      <c r="A95" s="34">
        <f ca="1">LOOKUP(B95,'QALS - Inspection Lot Record'!P:P,'QALS - Inspection Lot Record'!E:E)</f>
        <v>45919</v>
      </c>
      <c r="B95" s="31">
        <v>4099</v>
      </c>
      <c r="C95" s="29" t="s">
        <v>429</v>
      </c>
      <c r="D95" s="41" t="s">
        <v>478</v>
      </c>
      <c r="E95" s="31">
        <v>38</v>
      </c>
      <c r="F95" s="2"/>
      <c r="G95" s="2"/>
    </row>
    <row r="96" spans="1:7" x14ac:dyDescent="0.35">
      <c r="A96" s="34">
        <f ca="1">LOOKUP(B96,'QALS - Inspection Lot Record'!P:P,'QALS - Inspection Lot Record'!E:E)</f>
        <v>45919</v>
      </c>
      <c r="B96" s="31">
        <v>4100</v>
      </c>
      <c r="C96" s="29" t="s">
        <v>504</v>
      </c>
      <c r="D96" s="41" t="s">
        <v>472</v>
      </c>
      <c r="E96" s="31">
        <v>93.4</v>
      </c>
      <c r="F96" s="2"/>
      <c r="G96" s="2"/>
    </row>
    <row r="97" spans="1:7" x14ac:dyDescent="0.35">
      <c r="A97" s="34">
        <f ca="1">LOOKUP(B97,'QALS - Inspection Lot Record'!P:P,'QALS - Inspection Lot Record'!E:E)</f>
        <v>45919</v>
      </c>
      <c r="B97" s="31">
        <v>4100</v>
      </c>
      <c r="C97" s="29" t="s">
        <v>504</v>
      </c>
      <c r="D97" s="41" t="s">
        <v>474</v>
      </c>
      <c r="E97" s="31">
        <v>2.4</v>
      </c>
      <c r="F97" s="2"/>
      <c r="G97" s="2"/>
    </row>
    <row r="98" spans="1:7" x14ac:dyDescent="0.35">
      <c r="A98" s="34">
        <f ca="1">LOOKUP(B98,'QALS - Inspection Lot Record'!P:P,'QALS - Inspection Lot Record'!E:E)</f>
        <v>45919</v>
      </c>
      <c r="B98" s="31">
        <v>4100</v>
      </c>
      <c r="C98" s="29" t="s">
        <v>504</v>
      </c>
      <c r="D98" s="41" t="s">
        <v>476</v>
      </c>
      <c r="E98" s="31">
        <v>2.6</v>
      </c>
      <c r="F98" s="2"/>
      <c r="G98" s="2"/>
    </row>
    <row r="99" spans="1:7" x14ac:dyDescent="0.35">
      <c r="A99" s="34">
        <f ca="1">LOOKUP(B99,'QALS - Inspection Lot Record'!P:P,'QALS - Inspection Lot Record'!E:E)</f>
        <v>45919</v>
      </c>
      <c r="B99" s="31">
        <v>4100</v>
      </c>
      <c r="C99" s="29" t="s">
        <v>504</v>
      </c>
      <c r="D99" s="41" t="s">
        <v>486</v>
      </c>
      <c r="E99" s="31">
        <v>78.400000000000006</v>
      </c>
      <c r="F99" s="2"/>
      <c r="G99" s="2"/>
    </row>
    <row r="100" spans="1:7" x14ac:dyDescent="0.35">
      <c r="A100" s="34">
        <f ca="1">LOOKUP(B100,'QALS - Inspection Lot Record'!P:P,'QALS - Inspection Lot Record'!E:E)</f>
        <v>45921</v>
      </c>
      <c r="B100" s="31">
        <v>4103</v>
      </c>
      <c r="C100" s="29" t="s">
        <v>503</v>
      </c>
      <c r="D100" s="41" t="s">
        <v>474</v>
      </c>
      <c r="E100" s="31">
        <v>2.2999999999999998</v>
      </c>
      <c r="F100" s="2"/>
      <c r="G100" s="2"/>
    </row>
    <row r="101" spans="1:7" x14ac:dyDescent="0.35">
      <c r="A101" s="34">
        <f ca="1">LOOKUP(B101,'QALS - Inspection Lot Record'!P:P,'QALS - Inspection Lot Record'!E:E)</f>
        <v>45921</v>
      </c>
      <c r="B101" s="31">
        <v>4103</v>
      </c>
      <c r="C101" s="29" t="s">
        <v>503</v>
      </c>
      <c r="D101" s="41" t="s">
        <v>486</v>
      </c>
      <c r="E101" s="31">
        <v>78</v>
      </c>
      <c r="F101" s="2"/>
      <c r="G101" s="2"/>
    </row>
    <row r="102" spans="1:7" x14ac:dyDescent="0.35">
      <c r="A102" s="34">
        <f ca="1">LOOKUP(B102,'QALS - Inspection Lot Record'!P:P,'QALS - Inspection Lot Record'!E:E)</f>
        <v>45921</v>
      </c>
      <c r="B102" s="31">
        <v>4103</v>
      </c>
      <c r="C102" s="29" t="s">
        <v>503</v>
      </c>
      <c r="D102" s="41" t="s">
        <v>483</v>
      </c>
      <c r="E102" s="31">
        <v>21.5</v>
      </c>
      <c r="F102" s="2"/>
      <c r="G102" s="2"/>
    </row>
    <row r="103" spans="1:7" x14ac:dyDescent="0.35">
      <c r="A103" s="34">
        <f ca="1">LOOKUP(B103,'QALS - Inspection Lot Record'!P:P,'QALS - Inspection Lot Record'!E:E)</f>
        <v>45921</v>
      </c>
      <c r="B103" s="31">
        <v>4104</v>
      </c>
      <c r="C103" s="29" t="s">
        <v>503</v>
      </c>
      <c r="D103" s="41" t="s">
        <v>474</v>
      </c>
      <c r="E103" s="31">
        <v>2</v>
      </c>
      <c r="F103" s="2"/>
      <c r="G103" s="2"/>
    </row>
    <row r="104" spans="1:7" x14ac:dyDescent="0.35">
      <c r="A104" s="34">
        <f ca="1">LOOKUP(B104,'QALS - Inspection Lot Record'!P:P,'QALS - Inspection Lot Record'!E:E)</f>
        <v>45921</v>
      </c>
      <c r="B104" s="31">
        <v>4104</v>
      </c>
      <c r="C104" s="29" t="s">
        <v>503</v>
      </c>
      <c r="D104" s="41" t="s">
        <v>478</v>
      </c>
      <c r="E104" s="31">
        <v>38.6</v>
      </c>
      <c r="F104" s="2"/>
      <c r="G104" s="2"/>
    </row>
    <row r="105" spans="1:7" x14ac:dyDescent="0.35">
      <c r="A105" s="34">
        <f ca="1">LOOKUP(B105,'QALS - Inspection Lot Record'!P:P,'QALS - Inspection Lot Record'!E:E)</f>
        <v>45921</v>
      </c>
      <c r="B105" s="31">
        <v>4104</v>
      </c>
      <c r="C105" s="29" t="s">
        <v>503</v>
      </c>
      <c r="D105" s="41" t="s">
        <v>483</v>
      </c>
      <c r="E105" s="31">
        <v>21.2</v>
      </c>
      <c r="F105" s="2"/>
      <c r="G105" s="2"/>
    </row>
    <row r="106" spans="1:7" x14ac:dyDescent="0.35">
      <c r="A106" s="34">
        <f ca="1">LOOKUP(B106,'QALS - Inspection Lot Record'!P:P,'QALS - Inspection Lot Record'!E:E)</f>
        <v>45923</v>
      </c>
      <c r="B106" s="31">
        <v>4107</v>
      </c>
      <c r="C106" s="29" t="s">
        <v>433</v>
      </c>
      <c r="D106" s="41" t="s">
        <v>472</v>
      </c>
      <c r="E106" s="31">
        <v>93.3</v>
      </c>
      <c r="F106" s="2"/>
      <c r="G106" s="2"/>
    </row>
    <row r="107" spans="1:7" x14ac:dyDescent="0.35">
      <c r="A107" s="34">
        <f ca="1">LOOKUP(B107,'QALS - Inspection Lot Record'!P:P,'QALS - Inspection Lot Record'!E:E)</f>
        <v>45923</v>
      </c>
      <c r="B107" s="31">
        <v>4107</v>
      </c>
      <c r="C107" s="29" t="s">
        <v>433</v>
      </c>
      <c r="D107" s="41" t="s">
        <v>478</v>
      </c>
      <c r="E107" s="31">
        <v>38.799999999999997</v>
      </c>
      <c r="F107" s="2"/>
      <c r="G107" s="2"/>
    </row>
    <row r="108" spans="1:7" x14ac:dyDescent="0.35">
      <c r="A108" s="34">
        <f ca="1">LOOKUP(B108,'QALS - Inspection Lot Record'!P:P,'QALS - Inspection Lot Record'!E:E)</f>
        <v>45923</v>
      </c>
      <c r="B108" s="31">
        <v>4107</v>
      </c>
      <c r="C108" s="29" t="s">
        <v>433</v>
      </c>
      <c r="D108" s="41" t="s">
        <v>486</v>
      </c>
      <c r="E108" s="31">
        <v>78</v>
      </c>
      <c r="F108" s="2"/>
      <c r="G108" s="2"/>
    </row>
    <row r="109" spans="1:7" x14ac:dyDescent="0.35">
      <c r="A109" s="34">
        <f ca="1">LOOKUP(B109,'QALS - Inspection Lot Record'!P:P,'QALS - Inspection Lot Record'!E:E)</f>
        <v>45923</v>
      </c>
      <c r="B109" s="31">
        <v>4108</v>
      </c>
      <c r="C109" s="29" t="s">
        <v>431</v>
      </c>
      <c r="D109" s="41" t="s">
        <v>486</v>
      </c>
      <c r="E109" s="31">
        <v>78.400000000000006</v>
      </c>
      <c r="F109" s="2"/>
      <c r="G109" s="2"/>
    </row>
    <row r="110" spans="1:7" x14ac:dyDescent="0.35">
      <c r="A110" s="34">
        <f ca="1">LOOKUP(B110,'QALS - Inspection Lot Record'!P:P,'QALS - Inspection Lot Record'!E:E)</f>
        <v>45923</v>
      </c>
      <c r="B110" s="31">
        <v>4108</v>
      </c>
      <c r="C110" s="29" t="s">
        <v>431</v>
      </c>
      <c r="D110" s="41" t="s">
        <v>483</v>
      </c>
      <c r="E110" s="31">
        <v>21</v>
      </c>
      <c r="F110" s="2"/>
      <c r="G110" s="2"/>
    </row>
    <row r="111" spans="1:7" x14ac:dyDescent="0.35">
      <c r="A111" s="34">
        <f ca="1">LOOKUP(B111,'QALS - Inspection Lot Record'!P:P,'QALS - Inspection Lot Record'!E:E)</f>
        <v>45925</v>
      </c>
      <c r="B111" s="31">
        <v>4111</v>
      </c>
      <c r="C111" s="29" t="s">
        <v>429</v>
      </c>
      <c r="D111" s="41" t="s">
        <v>472</v>
      </c>
      <c r="E111" s="31">
        <v>93.3</v>
      </c>
      <c r="F111" s="2"/>
      <c r="G111" s="2"/>
    </row>
    <row r="112" spans="1:7" x14ac:dyDescent="0.35">
      <c r="A112" s="34">
        <f ca="1">LOOKUP(B112,'QALS - Inspection Lot Record'!P:P,'QALS - Inspection Lot Record'!E:E)</f>
        <v>45925</v>
      </c>
      <c r="B112" s="31">
        <v>4111</v>
      </c>
      <c r="C112" s="29" t="s">
        <v>429</v>
      </c>
      <c r="D112" s="41" t="s">
        <v>474</v>
      </c>
      <c r="E112" s="31">
        <v>2.2000000000000002</v>
      </c>
      <c r="F112" s="2"/>
      <c r="G112" s="2"/>
    </row>
    <row r="113" spans="1:7" x14ac:dyDescent="0.35">
      <c r="A113" s="34">
        <f ca="1">LOOKUP(B113,'QALS - Inspection Lot Record'!P:P,'QALS - Inspection Lot Record'!E:E)</f>
        <v>45925</v>
      </c>
      <c r="B113" s="31">
        <v>4111</v>
      </c>
      <c r="C113" s="29" t="s">
        <v>429</v>
      </c>
      <c r="D113" s="41" t="s">
        <v>480</v>
      </c>
      <c r="E113" s="31">
        <v>69</v>
      </c>
      <c r="F113" s="2"/>
      <c r="G113" s="2"/>
    </row>
    <row r="114" spans="1:7" x14ac:dyDescent="0.35">
      <c r="A114" s="34">
        <f ca="1">LOOKUP(B114,'QALS - Inspection Lot Record'!P:P,'QALS - Inspection Lot Record'!E:E)</f>
        <v>45925</v>
      </c>
      <c r="B114" s="31">
        <v>4111</v>
      </c>
      <c r="C114" s="29" t="s">
        <v>429</v>
      </c>
      <c r="D114" s="41" t="s">
        <v>486</v>
      </c>
      <c r="E114" s="31">
        <v>78.7</v>
      </c>
      <c r="F114" s="2"/>
      <c r="G114" s="2"/>
    </row>
    <row r="115" spans="1:7" x14ac:dyDescent="0.35">
      <c r="A115" s="34">
        <f ca="1">LOOKUP(B115,'QALS - Inspection Lot Record'!P:P,'QALS - Inspection Lot Record'!E:E)</f>
        <v>45925</v>
      </c>
      <c r="B115" s="31">
        <v>4112</v>
      </c>
      <c r="C115" s="29" t="s">
        <v>503</v>
      </c>
      <c r="D115" s="41" t="s">
        <v>472</v>
      </c>
      <c r="E115" s="31">
        <v>93.5</v>
      </c>
      <c r="F115" s="2"/>
      <c r="G115" s="2"/>
    </row>
    <row r="116" spans="1:7" x14ac:dyDescent="0.35">
      <c r="A116" s="34">
        <f ca="1">LOOKUP(B116,'QALS - Inspection Lot Record'!P:P,'QALS - Inspection Lot Record'!E:E)</f>
        <v>45925</v>
      </c>
      <c r="B116" s="31">
        <v>4112</v>
      </c>
      <c r="C116" s="29" t="s">
        <v>503</v>
      </c>
      <c r="D116" s="41" t="s">
        <v>474</v>
      </c>
      <c r="E116" s="31">
        <v>2.4</v>
      </c>
      <c r="F116" s="2"/>
      <c r="G116" s="2"/>
    </row>
    <row r="117" spans="1:7" x14ac:dyDescent="0.35">
      <c r="A117" s="34">
        <f ca="1">LOOKUP(B117,'QALS - Inspection Lot Record'!P:P,'QALS - Inspection Lot Record'!E:E)</f>
        <v>45925</v>
      </c>
      <c r="B117" s="31">
        <v>4112</v>
      </c>
      <c r="C117" s="29" t="s">
        <v>503</v>
      </c>
      <c r="D117" s="41" t="s">
        <v>498</v>
      </c>
      <c r="E117" s="31">
        <v>63</v>
      </c>
      <c r="F117" s="2"/>
      <c r="G117" s="2"/>
    </row>
    <row r="118" spans="1:7" x14ac:dyDescent="0.35">
      <c r="A118" s="34">
        <f ca="1">LOOKUP(B118,'QALS - Inspection Lot Record'!P:P,'QALS - Inspection Lot Record'!E:E)</f>
        <v>45925</v>
      </c>
      <c r="B118" s="31">
        <v>4112</v>
      </c>
      <c r="C118" s="29" t="s">
        <v>503</v>
      </c>
      <c r="D118" s="41" t="s">
        <v>483</v>
      </c>
      <c r="E118" s="31">
        <v>21.8</v>
      </c>
      <c r="F118" s="2"/>
      <c r="G118" s="2"/>
    </row>
    <row r="119" spans="1:7" x14ac:dyDescent="0.35">
      <c r="A119" s="34">
        <f ca="1">LOOKUP(B119,'QALS - Inspection Lot Record'!P:P,'QALS - Inspection Lot Record'!E:E)</f>
        <v>45927</v>
      </c>
      <c r="B119" s="31">
        <v>4115</v>
      </c>
      <c r="C119" s="29" t="s">
        <v>503</v>
      </c>
      <c r="D119" s="41" t="s">
        <v>472</v>
      </c>
      <c r="E119" s="31">
        <v>93.1</v>
      </c>
      <c r="F119" s="2"/>
      <c r="G119" s="2"/>
    </row>
    <row r="120" spans="1:7" x14ac:dyDescent="0.35">
      <c r="A120" s="34">
        <f ca="1">LOOKUP(B120,'QALS - Inspection Lot Record'!P:P,'QALS - Inspection Lot Record'!E:E)</f>
        <v>45927</v>
      </c>
      <c r="B120" s="31">
        <v>4115</v>
      </c>
      <c r="C120" s="29" t="s">
        <v>503</v>
      </c>
      <c r="D120" s="41" t="s">
        <v>474</v>
      </c>
      <c r="E120" s="31">
        <v>1.8</v>
      </c>
      <c r="F120" s="2"/>
      <c r="G120" s="2"/>
    </row>
    <row r="121" spans="1:7" x14ac:dyDescent="0.35">
      <c r="A121" s="34">
        <f ca="1">LOOKUP(B121,'QALS - Inspection Lot Record'!P:P,'QALS - Inspection Lot Record'!E:E)</f>
        <v>45927</v>
      </c>
      <c r="B121" s="31">
        <v>4115</v>
      </c>
      <c r="C121" s="29" t="s">
        <v>503</v>
      </c>
      <c r="D121" s="41" t="s">
        <v>486</v>
      </c>
      <c r="E121" s="31">
        <v>78.3</v>
      </c>
      <c r="F121" s="2"/>
      <c r="G121" s="2"/>
    </row>
    <row r="122" spans="1:7" x14ac:dyDescent="0.35">
      <c r="A122" s="34">
        <f ca="1">LOOKUP(B122,'QALS - Inspection Lot Record'!P:P,'QALS - Inspection Lot Record'!E:E)</f>
        <v>45927</v>
      </c>
      <c r="B122" s="31">
        <v>4116</v>
      </c>
      <c r="C122" s="29" t="s">
        <v>429</v>
      </c>
      <c r="D122" s="41" t="s">
        <v>474</v>
      </c>
      <c r="E122" s="31">
        <v>2</v>
      </c>
      <c r="F122" s="2"/>
      <c r="G122" s="2"/>
    </row>
    <row r="123" spans="1:7" x14ac:dyDescent="0.35">
      <c r="A123" s="34">
        <f ca="1">LOOKUP(B123,'QALS - Inspection Lot Record'!P:P,'QALS - Inspection Lot Record'!E:E)</f>
        <v>45927</v>
      </c>
      <c r="B123" s="31">
        <v>4116</v>
      </c>
      <c r="C123" s="29" t="s">
        <v>429</v>
      </c>
      <c r="D123" s="41" t="s">
        <v>486</v>
      </c>
      <c r="E123" s="31">
        <v>78.7</v>
      </c>
      <c r="F123" s="2"/>
      <c r="G123" s="2"/>
    </row>
    <row r="124" spans="1:7" x14ac:dyDescent="0.35">
      <c r="A124" s="34">
        <f ca="1">LOOKUP(B124,'QALS - Inspection Lot Record'!P:P,'QALS - Inspection Lot Record'!E:E)</f>
        <v>45927</v>
      </c>
      <c r="B124" s="31">
        <v>4116</v>
      </c>
      <c r="C124" s="29" t="s">
        <v>429</v>
      </c>
      <c r="D124" s="41" t="s">
        <v>483</v>
      </c>
      <c r="E124" s="31">
        <v>21.5</v>
      </c>
      <c r="F124" s="2"/>
      <c r="G124" s="2"/>
    </row>
    <row r="125" spans="1:7" x14ac:dyDescent="0.35">
      <c r="A125" s="34">
        <f ca="1">LOOKUP(B125,'QALS - Inspection Lot Record'!P:P,'QALS - Inspection Lot Record'!E:E)</f>
        <v>45929</v>
      </c>
      <c r="B125" s="31">
        <v>4119</v>
      </c>
      <c r="C125" s="29" t="s">
        <v>503</v>
      </c>
      <c r="D125" s="41" t="s">
        <v>472</v>
      </c>
      <c r="E125" s="31">
        <v>93.2</v>
      </c>
      <c r="F125" s="2"/>
      <c r="G125" s="2"/>
    </row>
    <row r="126" spans="1:7" x14ac:dyDescent="0.35">
      <c r="A126" s="34">
        <f ca="1">LOOKUP(B126,'QALS - Inspection Lot Record'!P:P,'QALS - Inspection Lot Record'!E:E)</f>
        <v>45930</v>
      </c>
      <c r="B126" s="31">
        <v>4121</v>
      </c>
      <c r="C126" s="29" t="s">
        <v>504</v>
      </c>
      <c r="D126" s="41" t="s">
        <v>472</v>
      </c>
      <c r="E126" s="31">
        <v>93.5</v>
      </c>
      <c r="F126" s="2"/>
      <c r="G126" s="2"/>
    </row>
    <row r="127" spans="1:7" x14ac:dyDescent="0.35">
      <c r="A127" s="34">
        <f ca="1">LOOKUP(B127,'QALS - Inspection Lot Record'!P:P,'QALS - Inspection Lot Record'!E:E)</f>
        <v>45930</v>
      </c>
      <c r="B127" s="31">
        <v>4121</v>
      </c>
      <c r="C127" s="29" t="s">
        <v>504</v>
      </c>
      <c r="D127" s="41" t="s">
        <v>476</v>
      </c>
      <c r="E127" s="31">
        <v>3</v>
      </c>
      <c r="F127" s="2"/>
      <c r="G127" s="2"/>
    </row>
    <row r="128" spans="1:7" x14ac:dyDescent="0.35">
      <c r="A128" s="34">
        <f ca="1">LOOKUP(B128,'QALS - Inspection Lot Record'!P:P,'QALS - Inspection Lot Record'!E:E)</f>
        <v>45930</v>
      </c>
      <c r="B128" s="31">
        <v>4121</v>
      </c>
      <c r="C128" s="29" t="s">
        <v>504</v>
      </c>
      <c r="D128" s="41" t="s">
        <v>478</v>
      </c>
      <c r="E128" s="31">
        <v>38.700000000000003</v>
      </c>
      <c r="F128" s="2"/>
      <c r="G128" s="2"/>
    </row>
    <row r="129" spans="1:7" x14ac:dyDescent="0.35">
      <c r="A129" s="34">
        <f ca="1">LOOKUP(B129,'QALS - Inspection Lot Record'!P:P,'QALS - Inspection Lot Record'!E:E)</f>
        <v>45930</v>
      </c>
      <c r="B129" s="31">
        <v>4121</v>
      </c>
      <c r="C129" s="29" t="s">
        <v>504</v>
      </c>
      <c r="D129" s="41" t="s">
        <v>483</v>
      </c>
      <c r="E129" s="31">
        <v>21.9</v>
      </c>
      <c r="F129" s="2"/>
      <c r="G129" s="2"/>
    </row>
    <row r="130" spans="1:7" x14ac:dyDescent="0.35">
      <c r="A130" s="34">
        <f ca="1">LOOKUP(B130,'QALS - Inspection Lot Record'!P:P,'QALS - Inspection Lot Record'!E:E)</f>
        <v>45930</v>
      </c>
      <c r="B130" s="31">
        <v>4122</v>
      </c>
      <c r="C130" s="29" t="s">
        <v>429</v>
      </c>
      <c r="D130" s="41" t="s">
        <v>472</v>
      </c>
      <c r="E130" s="31">
        <v>93.8</v>
      </c>
      <c r="F130" s="2"/>
      <c r="G130" s="2"/>
    </row>
    <row r="131" spans="1:7" x14ac:dyDescent="0.35">
      <c r="A131" s="34">
        <f ca="1">LOOKUP(B131,'QALS - Inspection Lot Record'!P:P,'QALS - Inspection Lot Record'!E:E)</f>
        <v>45930</v>
      </c>
      <c r="B131" s="31">
        <v>4122</v>
      </c>
      <c r="C131" s="29" t="s">
        <v>429</v>
      </c>
      <c r="D131" s="41" t="s">
        <v>474</v>
      </c>
      <c r="E131" s="31">
        <v>2.4</v>
      </c>
      <c r="F131" s="2"/>
      <c r="G131" s="2"/>
    </row>
    <row r="132" spans="1:7" x14ac:dyDescent="0.35">
      <c r="A132" s="34">
        <f ca="1">LOOKUP(B132,'QALS - Inspection Lot Record'!P:P,'QALS - Inspection Lot Record'!E:E)</f>
        <v>45930</v>
      </c>
      <c r="B132" s="31">
        <v>4122</v>
      </c>
      <c r="C132" s="29" t="s">
        <v>429</v>
      </c>
      <c r="D132" s="41" t="s">
        <v>476</v>
      </c>
      <c r="E132" s="31">
        <v>1.2</v>
      </c>
      <c r="F132" s="2"/>
      <c r="G132" s="2"/>
    </row>
    <row r="133" spans="1:7" x14ac:dyDescent="0.35">
      <c r="A133" s="34">
        <f ca="1">LOOKUP(B133,'QALS - Inspection Lot Record'!P:P,'QALS - Inspection Lot Record'!E:E)</f>
        <v>45930</v>
      </c>
      <c r="B133" s="31">
        <v>4122</v>
      </c>
      <c r="C133" s="29" t="s">
        <v>429</v>
      </c>
      <c r="D133" s="41" t="s">
        <v>478</v>
      </c>
      <c r="E133" s="31">
        <v>38.799999999999997</v>
      </c>
      <c r="F133" s="2"/>
      <c r="G133" s="2"/>
    </row>
    <row r="134" spans="1:7" x14ac:dyDescent="0.35">
      <c r="A134" s="34">
        <f ca="1">LOOKUP(B134,'QALS - Inspection Lot Record'!P:P,'QALS - Inspection Lot Record'!E:E)</f>
        <v>45931</v>
      </c>
      <c r="B134" s="31">
        <v>4123</v>
      </c>
      <c r="C134" s="29" t="s">
        <v>431</v>
      </c>
      <c r="D134" s="41" t="s">
        <v>474</v>
      </c>
      <c r="E134" s="31">
        <v>4.9000000000000004</v>
      </c>
      <c r="F134" s="2"/>
      <c r="G134" s="2"/>
    </row>
    <row r="135" spans="1:7" x14ac:dyDescent="0.35">
      <c r="A135" s="34">
        <f ca="1">LOOKUP(B135,'QALS - Inspection Lot Record'!P:P,'QALS - Inspection Lot Record'!E:E)</f>
        <v>45931</v>
      </c>
      <c r="B135" s="31">
        <v>4123</v>
      </c>
      <c r="C135" s="29" t="s">
        <v>431</v>
      </c>
      <c r="D135" s="41" t="s">
        <v>483</v>
      </c>
      <c r="E135" s="31">
        <v>21.3</v>
      </c>
      <c r="F135" s="2"/>
      <c r="G135" s="2"/>
    </row>
    <row r="136" spans="1:7" x14ac:dyDescent="0.35">
      <c r="A136" s="34">
        <f ca="1">LOOKUP(B136,'QALS - Inspection Lot Record'!P:P,'QALS - Inspection Lot Record'!E:E)</f>
        <v>45932</v>
      </c>
      <c r="B136" s="31">
        <v>4125</v>
      </c>
      <c r="C136" s="29" t="s">
        <v>504</v>
      </c>
      <c r="D136" s="41" t="s">
        <v>472</v>
      </c>
      <c r="E136" s="31">
        <v>93.3</v>
      </c>
      <c r="F136" s="2"/>
      <c r="G136" s="2"/>
    </row>
    <row r="137" spans="1:7" x14ac:dyDescent="0.35">
      <c r="A137" s="34">
        <f ca="1">LOOKUP(B137,'QALS - Inspection Lot Record'!P:P,'QALS - Inspection Lot Record'!E:E)</f>
        <v>45932</v>
      </c>
      <c r="B137" s="31">
        <v>4125</v>
      </c>
      <c r="C137" s="29" t="s">
        <v>504</v>
      </c>
      <c r="D137" s="41" t="s">
        <v>478</v>
      </c>
      <c r="E137" s="31">
        <v>38.1</v>
      </c>
      <c r="F137" s="2"/>
      <c r="G137" s="2"/>
    </row>
    <row r="138" spans="1:7" x14ac:dyDescent="0.35">
      <c r="A138" s="34">
        <f ca="1">LOOKUP(B138,'QALS - Inspection Lot Record'!P:P,'QALS - Inspection Lot Record'!E:E)</f>
        <v>45932</v>
      </c>
      <c r="B138" s="31">
        <v>4125</v>
      </c>
      <c r="C138" s="29" t="s">
        <v>504</v>
      </c>
      <c r="D138" s="41" t="s">
        <v>480</v>
      </c>
      <c r="E138" s="31">
        <v>68.599999999999994</v>
      </c>
      <c r="F138" s="2"/>
      <c r="G138" s="2"/>
    </row>
    <row r="139" spans="1:7" x14ac:dyDescent="0.35">
      <c r="A139" s="34">
        <f ca="1">LOOKUP(B139,'QALS - Inspection Lot Record'!P:P,'QALS - Inspection Lot Record'!E:E)</f>
        <v>45932</v>
      </c>
      <c r="B139" s="31">
        <v>4125</v>
      </c>
      <c r="C139" s="29" t="s">
        <v>504</v>
      </c>
      <c r="D139" s="41" t="s">
        <v>486</v>
      </c>
      <c r="E139" s="31">
        <v>78.900000000000006</v>
      </c>
      <c r="F139" s="2"/>
      <c r="G139" s="2"/>
    </row>
    <row r="140" spans="1:7" x14ac:dyDescent="0.35">
      <c r="A140" s="34">
        <f ca="1">LOOKUP(B140,'QALS - Inspection Lot Record'!P:P,'QALS - Inspection Lot Record'!E:E)</f>
        <v>45932</v>
      </c>
      <c r="B140" s="31">
        <v>4126</v>
      </c>
      <c r="C140" s="29" t="s">
        <v>429</v>
      </c>
      <c r="D140" s="41" t="s">
        <v>472</v>
      </c>
      <c r="E140" s="31">
        <v>94</v>
      </c>
      <c r="F140" s="2"/>
      <c r="G140" s="2"/>
    </row>
    <row r="141" spans="1:7" x14ac:dyDescent="0.35">
      <c r="A141" s="34">
        <f ca="1">LOOKUP(B141,'QALS - Inspection Lot Record'!P:P,'QALS - Inspection Lot Record'!E:E)</f>
        <v>45932</v>
      </c>
      <c r="B141" s="31">
        <v>4126</v>
      </c>
      <c r="C141" s="29" t="s">
        <v>429</v>
      </c>
      <c r="D141" s="41" t="s">
        <v>474</v>
      </c>
      <c r="E141" s="31">
        <v>2.1</v>
      </c>
      <c r="F141" s="2"/>
      <c r="G141" s="2"/>
    </row>
    <row r="142" spans="1:7" x14ac:dyDescent="0.35">
      <c r="A142" s="34">
        <f ca="1">LOOKUP(B142,'QALS - Inspection Lot Record'!P:P,'QALS - Inspection Lot Record'!E:E)</f>
        <v>45932</v>
      </c>
      <c r="B142" s="31">
        <v>4126</v>
      </c>
      <c r="C142" s="29" t="s">
        <v>429</v>
      </c>
      <c r="D142" s="41" t="s">
        <v>476</v>
      </c>
      <c r="E142" s="31">
        <v>2</v>
      </c>
      <c r="F142" s="2"/>
      <c r="G142" s="2"/>
    </row>
    <row r="143" spans="1:7" x14ac:dyDescent="0.35">
      <c r="A143" s="34">
        <f ca="1">LOOKUP(B143,'QALS - Inspection Lot Record'!P:P,'QALS - Inspection Lot Record'!E:E)</f>
        <v>45932</v>
      </c>
      <c r="B143" s="31">
        <v>4126</v>
      </c>
      <c r="C143" s="29" t="s">
        <v>429</v>
      </c>
      <c r="D143" s="41" t="s">
        <v>498</v>
      </c>
      <c r="E143" s="31">
        <v>62</v>
      </c>
      <c r="F143" s="2"/>
      <c r="G143" s="2"/>
    </row>
    <row r="144" spans="1:7" x14ac:dyDescent="0.35">
      <c r="A144" s="34">
        <f ca="1">LOOKUP(B144,'QALS - Inspection Lot Record'!P:P,'QALS - Inspection Lot Record'!E:E)</f>
        <v>45933</v>
      </c>
      <c r="B144" s="31">
        <v>4127</v>
      </c>
      <c r="C144" s="29" t="s">
        <v>504</v>
      </c>
      <c r="D144" s="41" t="s">
        <v>480</v>
      </c>
      <c r="E144" s="31">
        <v>68.900000000000006</v>
      </c>
      <c r="F144" s="2"/>
      <c r="G144" s="2"/>
    </row>
    <row r="145" spans="1:7" x14ac:dyDescent="0.35">
      <c r="A145" s="34">
        <f ca="1">LOOKUP(B145,'QALS - Inspection Lot Record'!P:P,'QALS - Inspection Lot Record'!E:E)</f>
        <v>45933</v>
      </c>
      <c r="B145" s="31">
        <v>4127</v>
      </c>
      <c r="C145" s="29" t="s">
        <v>504</v>
      </c>
      <c r="D145" s="41" t="s">
        <v>483</v>
      </c>
      <c r="E145" s="31">
        <v>21.8</v>
      </c>
      <c r="F145" s="2"/>
      <c r="G145" s="2"/>
    </row>
    <row r="146" spans="1:7" x14ac:dyDescent="0.35">
      <c r="A146" s="34">
        <f ca="1">LOOKUP(B146,'QALS - Inspection Lot Record'!P:P,'QALS - Inspection Lot Record'!E:E)</f>
        <v>45934</v>
      </c>
      <c r="B146" s="31">
        <v>4129</v>
      </c>
      <c r="C146" s="29" t="s">
        <v>429</v>
      </c>
      <c r="D146" s="41" t="s">
        <v>472</v>
      </c>
      <c r="E146" s="31">
        <v>93.3</v>
      </c>
      <c r="F146" s="2"/>
      <c r="G146" s="2"/>
    </row>
    <row r="147" spans="1:7" x14ac:dyDescent="0.35">
      <c r="A147" s="34">
        <f ca="1">LOOKUP(B147,'QALS - Inspection Lot Record'!P:P,'QALS - Inspection Lot Record'!E:E)</f>
        <v>45935</v>
      </c>
      <c r="B147" s="31">
        <v>4131</v>
      </c>
      <c r="C147" s="29" t="s">
        <v>433</v>
      </c>
      <c r="D147" s="41" t="s">
        <v>483</v>
      </c>
      <c r="E147" s="31">
        <v>21.1</v>
      </c>
      <c r="F147" s="2"/>
      <c r="G147" s="2"/>
    </row>
    <row r="148" spans="1:7" x14ac:dyDescent="0.35">
      <c r="A148" s="34">
        <f ca="1">LOOKUP(B148,'QALS - Inspection Lot Record'!P:P,'QALS - Inspection Lot Record'!E:E)</f>
        <v>45936</v>
      </c>
      <c r="B148" s="31">
        <v>4133</v>
      </c>
      <c r="C148" s="29" t="s">
        <v>429</v>
      </c>
      <c r="D148" s="41" t="s">
        <v>472</v>
      </c>
      <c r="E148" s="31">
        <v>93.1</v>
      </c>
      <c r="F148" s="2"/>
      <c r="G148" s="2"/>
    </row>
    <row r="149" spans="1:7" x14ac:dyDescent="0.35">
      <c r="A149" s="34">
        <f ca="1">LOOKUP(B149,'QALS - Inspection Lot Record'!P:P,'QALS - Inspection Lot Record'!E:E)</f>
        <v>45937</v>
      </c>
      <c r="B149" s="31">
        <v>4135</v>
      </c>
      <c r="C149" s="29" t="s">
        <v>503</v>
      </c>
      <c r="D149" s="41" t="s">
        <v>474</v>
      </c>
      <c r="E149" s="31">
        <v>2.1</v>
      </c>
      <c r="F149" s="2"/>
      <c r="G149" s="2"/>
    </row>
    <row r="150" spans="1:7" x14ac:dyDescent="0.35">
      <c r="A150" s="34">
        <f ca="1">LOOKUP(B150,'QALS - Inspection Lot Record'!P:P,'QALS - Inspection Lot Record'!E:E)</f>
        <v>45937</v>
      </c>
      <c r="B150" s="31">
        <v>4135</v>
      </c>
      <c r="C150" s="29" t="s">
        <v>503</v>
      </c>
      <c r="D150" s="41" t="s">
        <v>480</v>
      </c>
      <c r="E150" s="31">
        <v>68.2</v>
      </c>
      <c r="F150" s="2"/>
      <c r="G150" s="2"/>
    </row>
    <row r="151" spans="1:7" x14ac:dyDescent="0.35">
      <c r="A151" s="34">
        <f ca="1">LOOKUP(B151,'QALS - Inspection Lot Record'!P:P,'QALS - Inspection Lot Record'!E:E)</f>
        <v>45937</v>
      </c>
      <c r="B151" s="31">
        <v>4135</v>
      </c>
      <c r="C151" s="29" t="s">
        <v>503</v>
      </c>
      <c r="D151" s="41" t="s">
        <v>486</v>
      </c>
      <c r="E151" s="31">
        <v>78.3</v>
      </c>
      <c r="F151" s="2"/>
      <c r="G151" s="2"/>
    </row>
    <row r="152" spans="1:7" x14ac:dyDescent="0.35">
      <c r="A152" s="34">
        <f ca="1">LOOKUP(B152,'QALS - Inspection Lot Record'!P:P,'QALS - Inspection Lot Record'!E:E)</f>
        <v>45937</v>
      </c>
      <c r="B152" s="31">
        <v>4135</v>
      </c>
      <c r="C152" s="29" t="s">
        <v>503</v>
      </c>
      <c r="D152" s="41" t="s">
        <v>483</v>
      </c>
      <c r="E152" s="31">
        <v>22</v>
      </c>
      <c r="F152" s="2"/>
      <c r="G152" s="2"/>
    </row>
    <row r="153" spans="1:7" x14ac:dyDescent="0.35">
      <c r="A153" s="34">
        <f ca="1">LOOKUP(B153,'QALS - Inspection Lot Record'!P:P,'QALS - Inspection Lot Record'!E:E)</f>
        <v>45937</v>
      </c>
      <c r="B153" s="31">
        <v>4136</v>
      </c>
      <c r="C153" s="29" t="s">
        <v>431</v>
      </c>
      <c r="D153" s="41" t="s">
        <v>478</v>
      </c>
      <c r="E153" s="31">
        <v>38.9</v>
      </c>
      <c r="F153" s="2"/>
      <c r="G153" s="2"/>
    </row>
    <row r="154" spans="1:7" x14ac:dyDescent="0.35">
      <c r="A154" s="34">
        <f ca="1">LOOKUP(B154,'QALS - Inspection Lot Record'!P:P,'QALS - Inspection Lot Record'!E:E)</f>
        <v>45938</v>
      </c>
      <c r="B154" s="31">
        <v>4137</v>
      </c>
      <c r="C154" s="29" t="s">
        <v>429</v>
      </c>
      <c r="D154" s="41" t="s">
        <v>472</v>
      </c>
      <c r="E154" s="31">
        <v>93.2</v>
      </c>
      <c r="F154" s="2"/>
      <c r="G154" s="2"/>
    </row>
    <row r="155" spans="1:7" x14ac:dyDescent="0.35">
      <c r="A155" s="34">
        <f ca="1">LOOKUP(B155,'QALS - Inspection Lot Record'!P:P,'QALS - Inspection Lot Record'!E:E)</f>
        <v>45938</v>
      </c>
      <c r="B155" s="31">
        <v>4138</v>
      </c>
      <c r="C155" s="29" t="s">
        <v>503</v>
      </c>
      <c r="D155" s="41" t="s">
        <v>472</v>
      </c>
      <c r="E155" s="31">
        <v>93.5</v>
      </c>
      <c r="F155" s="2"/>
      <c r="G155" s="2"/>
    </row>
    <row r="156" spans="1:7" x14ac:dyDescent="0.35">
      <c r="A156" s="34">
        <f ca="1">LOOKUP(B156,'QALS - Inspection Lot Record'!P:P,'QALS - Inspection Lot Record'!E:E)</f>
        <v>45939</v>
      </c>
      <c r="B156" s="31">
        <v>4139</v>
      </c>
      <c r="C156" s="29" t="s">
        <v>503</v>
      </c>
      <c r="D156" s="41" t="s">
        <v>483</v>
      </c>
      <c r="E156" s="31">
        <v>21.7</v>
      </c>
      <c r="F156" s="2"/>
      <c r="G156" s="2"/>
    </row>
    <row r="157" spans="1:7" x14ac:dyDescent="0.35">
      <c r="A157" s="34">
        <f ca="1">LOOKUP(B157,'QALS - Inspection Lot Record'!P:P,'QALS - Inspection Lot Record'!E:E)</f>
        <v>45940</v>
      </c>
      <c r="B157" s="31">
        <v>4141</v>
      </c>
      <c r="C157" s="29" t="s">
        <v>431</v>
      </c>
      <c r="D157" s="41" t="s">
        <v>476</v>
      </c>
      <c r="E157" s="31">
        <v>2.1</v>
      </c>
      <c r="F157" s="2"/>
      <c r="G157" s="2"/>
    </row>
    <row r="158" spans="1:7" x14ac:dyDescent="0.35">
      <c r="A158" s="34">
        <f ca="1">LOOKUP(B158,'QALS - Inspection Lot Record'!P:P,'QALS - Inspection Lot Record'!E:E)</f>
        <v>45941</v>
      </c>
      <c r="B158" s="31">
        <v>4143</v>
      </c>
      <c r="C158" s="29" t="s">
        <v>433</v>
      </c>
      <c r="D158" s="41" t="s">
        <v>474</v>
      </c>
      <c r="E158" s="31">
        <v>1.8</v>
      </c>
      <c r="F158" s="2"/>
      <c r="G158" s="2"/>
    </row>
    <row r="159" spans="1:7" x14ac:dyDescent="0.35">
      <c r="A159" s="34">
        <f ca="1">LOOKUP(B159,'QALS - Inspection Lot Record'!P:P,'QALS - Inspection Lot Record'!E:E)</f>
        <v>45943</v>
      </c>
      <c r="B159" s="31">
        <v>4147</v>
      </c>
      <c r="C159" s="29" t="s">
        <v>504</v>
      </c>
      <c r="D159" s="41" t="s">
        <v>472</v>
      </c>
      <c r="E159" s="31">
        <v>93.9</v>
      </c>
      <c r="F159" s="2"/>
      <c r="G159" s="2"/>
    </row>
    <row r="160" spans="1:7" x14ac:dyDescent="0.35">
      <c r="A160" s="34">
        <f ca="1">LOOKUP(B160,'QALS - Inspection Lot Record'!P:P,'QALS - Inspection Lot Record'!E:E)</f>
        <v>45943</v>
      </c>
      <c r="B160" s="31">
        <v>4147</v>
      </c>
      <c r="C160" s="29" t="s">
        <v>504</v>
      </c>
      <c r="D160" s="41" t="s">
        <v>474</v>
      </c>
      <c r="E160" s="31">
        <v>2.4</v>
      </c>
      <c r="F160" s="2"/>
      <c r="G160" s="2"/>
    </row>
    <row r="161" spans="1:7" x14ac:dyDescent="0.35">
      <c r="A161" s="34">
        <f ca="1">LOOKUP(B161,'QALS - Inspection Lot Record'!P:P,'QALS - Inspection Lot Record'!E:E)</f>
        <v>45943</v>
      </c>
      <c r="B161" s="31">
        <v>4148</v>
      </c>
      <c r="C161" s="29" t="s">
        <v>431</v>
      </c>
      <c r="D161" s="41" t="s">
        <v>480</v>
      </c>
      <c r="E161" s="31">
        <v>68.2</v>
      </c>
      <c r="F161" s="2"/>
      <c r="G161" s="2"/>
    </row>
    <row r="162" spans="1:7" x14ac:dyDescent="0.35">
      <c r="A162" s="34">
        <f ca="1">LOOKUP(B162,'QALS - Inspection Lot Record'!P:P,'QALS - Inspection Lot Record'!E:E)</f>
        <v>45948</v>
      </c>
      <c r="B162" s="31">
        <v>4157</v>
      </c>
      <c r="C162" s="29" t="s">
        <v>433</v>
      </c>
      <c r="D162" s="41" t="s">
        <v>474</v>
      </c>
      <c r="E162" s="31">
        <v>2.2000000000000002</v>
      </c>
      <c r="F162" s="2"/>
      <c r="G162" s="2"/>
    </row>
    <row r="163" spans="1:7" x14ac:dyDescent="0.35">
      <c r="A163" s="34">
        <f ca="1">LOOKUP(B163,'QALS - Inspection Lot Record'!P:P,'QALS - Inspection Lot Record'!E:E)</f>
        <v>45948</v>
      </c>
      <c r="B163" s="31">
        <v>4157</v>
      </c>
      <c r="C163" s="29" t="s">
        <v>433</v>
      </c>
      <c r="D163" s="41" t="s">
        <v>480</v>
      </c>
      <c r="E163" s="31">
        <v>68.099999999999994</v>
      </c>
      <c r="F163" s="2"/>
      <c r="G163" s="2"/>
    </row>
    <row r="164" spans="1:7" x14ac:dyDescent="0.35">
      <c r="A164" s="34">
        <f ca="1">LOOKUP(B164,'QALS - Inspection Lot Record'!P:P,'QALS - Inspection Lot Record'!E:E)</f>
        <v>45948</v>
      </c>
      <c r="B164" s="31">
        <v>4157</v>
      </c>
      <c r="C164" s="29" t="s">
        <v>433</v>
      </c>
      <c r="D164" s="41" t="s">
        <v>486</v>
      </c>
      <c r="E164" s="31">
        <v>78.8</v>
      </c>
      <c r="F164" s="2"/>
      <c r="G164" s="2"/>
    </row>
    <row r="165" spans="1:7" x14ac:dyDescent="0.35">
      <c r="A165" s="34">
        <f ca="1">LOOKUP(B165,'QALS - Inspection Lot Record'!P:P,'QALS - Inspection Lot Record'!E:E)</f>
        <v>45948</v>
      </c>
      <c r="B165" s="31">
        <v>4158</v>
      </c>
      <c r="C165" s="29" t="s">
        <v>503</v>
      </c>
      <c r="D165" s="41" t="s">
        <v>474</v>
      </c>
      <c r="E165" s="31">
        <v>2.2000000000000002</v>
      </c>
      <c r="F165" s="2"/>
      <c r="G165" s="2"/>
    </row>
    <row r="166" spans="1:7" x14ac:dyDescent="0.35">
      <c r="A166" s="34">
        <f ca="1">LOOKUP(B166,'QALS - Inspection Lot Record'!P:P,'QALS - Inspection Lot Record'!E:E)</f>
        <v>45948</v>
      </c>
      <c r="B166" s="31">
        <v>4158</v>
      </c>
      <c r="C166" s="29" t="s">
        <v>503</v>
      </c>
      <c r="D166" s="41" t="s">
        <v>478</v>
      </c>
      <c r="E166" s="31">
        <v>38</v>
      </c>
      <c r="F166" s="2"/>
      <c r="G166" s="2"/>
    </row>
    <row r="167" spans="1:7" x14ac:dyDescent="0.35">
      <c r="A167" s="34">
        <f ca="1">LOOKUP(B167,'QALS - Inspection Lot Record'!P:P,'QALS - Inspection Lot Record'!E:E)</f>
        <v>45948</v>
      </c>
      <c r="B167" s="31">
        <v>4158</v>
      </c>
      <c r="C167" s="29" t="s">
        <v>503</v>
      </c>
      <c r="D167" s="41" t="s">
        <v>480</v>
      </c>
      <c r="E167" s="31">
        <v>68.900000000000006</v>
      </c>
      <c r="F167" s="2"/>
      <c r="G167" s="2"/>
    </row>
    <row r="168" spans="1:7" x14ac:dyDescent="0.35">
      <c r="A168" s="34">
        <f ca="1">LOOKUP(B168,'QALS - Inspection Lot Record'!P:P,'QALS - Inspection Lot Record'!E:E)</f>
        <v>45948</v>
      </c>
      <c r="B168" s="31">
        <v>4158</v>
      </c>
      <c r="C168" s="29" t="s">
        <v>503</v>
      </c>
      <c r="D168" s="41" t="s">
        <v>486</v>
      </c>
      <c r="E168" s="31">
        <v>78.599999999999994</v>
      </c>
      <c r="F168" s="2"/>
      <c r="G168" s="2"/>
    </row>
    <row r="169" spans="1:7" x14ac:dyDescent="0.35">
      <c r="A169" s="34">
        <f ca="1">LOOKUP(B169,'QALS - Inspection Lot Record'!P:P,'QALS - Inspection Lot Record'!E:E)</f>
        <v>45950</v>
      </c>
      <c r="B169" s="31">
        <v>4161</v>
      </c>
      <c r="C169" s="29" t="s">
        <v>433</v>
      </c>
      <c r="D169" s="41" t="s">
        <v>474</v>
      </c>
      <c r="E169" s="31">
        <v>1.5</v>
      </c>
      <c r="F169" s="2"/>
      <c r="G169" s="2"/>
    </row>
    <row r="170" spans="1:7" x14ac:dyDescent="0.35">
      <c r="A170" s="34">
        <f ca="1">LOOKUP(B170,'QALS - Inspection Lot Record'!P:P,'QALS - Inspection Lot Record'!E:E)</f>
        <v>45950</v>
      </c>
      <c r="B170" s="31">
        <v>4161</v>
      </c>
      <c r="C170" s="29" t="s">
        <v>433</v>
      </c>
      <c r="D170" s="41" t="s">
        <v>480</v>
      </c>
      <c r="E170" s="31">
        <v>68.3</v>
      </c>
      <c r="F170" s="2"/>
      <c r="G170" s="2"/>
    </row>
    <row r="171" spans="1:7" x14ac:dyDescent="0.35">
      <c r="A171" s="34">
        <f ca="1">LOOKUP(B171,'QALS - Inspection Lot Record'!P:P,'QALS - Inspection Lot Record'!E:E)</f>
        <v>45950</v>
      </c>
      <c r="B171" s="31">
        <v>4161</v>
      </c>
      <c r="C171" s="29" t="s">
        <v>433</v>
      </c>
      <c r="D171" s="41" t="s">
        <v>486</v>
      </c>
      <c r="E171" s="31">
        <v>78</v>
      </c>
      <c r="F171" s="2"/>
      <c r="G171" s="2"/>
    </row>
    <row r="172" spans="1:7" x14ac:dyDescent="0.35">
      <c r="A172" s="34">
        <f ca="1">LOOKUP(B172,'QALS - Inspection Lot Record'!P:P,'QALS - Inspection Lot Record'!E:E)</f>
        <v>45950</v>
      </c>
      <c r="B172" s="31">
        <v>4162</v>
      </c>
      <c r="C172" s="29" t="s">
        <v>429</v>
      </c>
      <c r="D172" s="41" t="s">
        <v>480</v>
      </c>
      <c r="E172" s="31">
        <v>69</v>
      </c>
      <c r="F172" s="2"/>
      <c r="G172" s="2"/>
    </row>
    <row r="173" spans="1:7" x14ac:dyDescent="0.35">
      <c r="A173" s="34">
        <f ca="1">LOOKUP(B173,'QALS - Inspection Lot Record'!P:P,'QALS - Inspection Lot Record'!E:E)</f>
        <v>45950</v>
      </c>
      <c r="B173" s="31">
        <v>4162</v>
      </c>
      <c r="C173" s="29" t="s">
        <v>429</v>
      </c>
      <c r="D173" s="41" t="s">
        <v>486</v>
      </c>
      <c r="E173" s="31">
        <v>78.2</v>
      </c>
      <c r="F173" s="2"/>
      <c r="G173" s="2"/>
    </row>
    <row r="174" spans="1:7" x14ac:dyDescent="0.35">
      <c r="A174" s="34">
        <f ca="1">LOOKUP(B174,'QALS - Inspection Lot Record'!P:P,'QALS - Inspection Lot Record'!E:E)</f>
        <v>45952</v>
      </c>
      <c r="B174" s="31">
        <v>4165</v>
      </c>
      <c r="C174" s="29" t="s">
        <v>503</v>
      </c>
      <c r="D174" s="41" t="s">
        <v>474</v>
      </c>
      <c r="E174" s="31">
        <v>2</v>
      </c>
      <c r="F174" s="2"/>
      <c r="G174" s="2"/>
    </row>
    <row r="175" spans="1:7" x14ac:dyDescent="0.35">
      <c r="A175" s="34">
        <f ca="1">LOOKUP(B175,'QALS - Inspection Lot Record'!P:P,'QALS - Inspection Lot Record'!E:E)</f>
        <v>45952</v>
      </c>
      <c r="B175" s="31">
        <v>4165</v>
      </c>
      <c r="C175" s="29" t="s">
        <v>503</v>
      </c>
      <c r="D175" s="41" t="s">
        <v>476</v>
      </c>
      <c r="E175" s="31">
        <v>1.6</v>
      </c>
      <c r="F175" s="2"/>
      <c r="G175" s="2"/>
    </row>
    <row r="176" spans="1:7" x14ac:dyDescent="0.35">
      <c r="A176" s="34">
        <f ca="1">LOOKUP(B176,'QALS - Inspection Lot Record'!P:P,'QALS - Inspection Lot Record'!E:E)</f>
        <v>45952</v>
      </c>
      <c r="B176" s="31">
        <v>4165</v>
      </c>
      <c r="C176" s="29" t="s">
        <v>503</v>
      </c>
      <c r="D176" s="41" t="s">
        <v>486</v>
      </c>
      <c r="E176" s="31">
        <v>78.599999999999994</v>
      </c>
      <c r="F176" s="2"/>
      <c r="G176" s="2"/>
    </row>
    <row r="177" spans="1:7" x14ac:dyDescent="0.35">
      <c r="A177" s="34">
        <f ca="1">LOOKUP(B177,'QALS - Inspection Lot Record'!P:P,'QALS - Inspection Lot Record'!E:E)</f>
        <v>45952</v>
      </c>
      <c r="B177" s="31">
        <v>4165</v>
      </c>
      <c r="C177" s="29" t="s">
        <v>503</v>
      </c>
      <c r="D177" s="41" t="s">
        <v>483</v>
      </c>
      <c r="E177" s="31">
        <v>21.5</v>
      </c>
      <c r="F177" s="2"/>
      <c r="G177" s="2"/>
    </row>
    <row r="178" spans="1:7" x14ac:dyDescent="0.35">
      <c r="A178" s="34">
        <f ca="1">LOOKUP(B178,'QALS - Inspection Lot Record'!P:P,'QALS - Inspection Lot Record'!E:E)</f>
        <v>45952</v>
      </c>
      <c r="B178" s="31">
        <v>4166</v>
      </c>
      <c r="C178" s="29" t="s">
        <v>433</v>
      </c>
      <c r="D178" s="41" t="s">
        <v>474</v>
      </c>
      <c r="E178" s="31">
        <v>2.2999999999999998</v>
      </c>
      <c r="F178" s="2"/>
      <c r="G178" s="2"/>
    </row>
    <row r="179" spans="1:7" x14ac:dyDescent="0.35">
      <c r="A179" s="34">
        <f ca="1">LOOKUP(B179,'QALS - Inspection Lot Record'!P:P,'QALS - Inspection Lot Record'!E:E)</f>
        <v>45952</v>
      </c>
      <c r="B179" s="31">
        <v>4166</v>
      </c>
      <c r="C179" s="29" t="s">
        <v>433</v>
      </c>
      <c r="D179" s="41" t="s">
        <v>486</v>
      </c>
      <c r="E179" s="31">
        <v>78.099999999999994</v>
      </c>
      <c r="F179" s="2"/>
      <c r="G179" s="2"/>
    </row>
    <row r="180" spans="1:7" x14ac:dyDescent="0.35">
      <c r="A180" s="34">
        <f ca="1">LOOKUP(B180,'QALS - Inspection Lot Record'!P:P,'QALS - Inspection Lot Record'!E:E)</f>
        <v>45952</v>
      </c>
      <c r="B180" s="31">
        <v>4166</v>
      </c>
      <c r="C180" s="29" t="s">
        <v>433</v>
      </c>
      <c r="D180" s="41" t="s">
        <v>483</v>
      </c>
      <c r="E180" s="31">
        <v>21.7</v>
      </c>
      <c r="F180" s="2"/>
      <c r="G180" s="2"/>
    </row>
    <row r="181" spans="1:7" x14ac:dyDescent="0.35">
      <c r="A181" s="34">
        <f ca="1">LOOKUP(B181,'QALS - Inspection Lot Record'!P:P,'QALS - Inspection Lot Record'!E:E)</f>
        <v>45954</v>
      </c>
      <c r="B181" s="31">
        <v>4169</v>
      </c>
      <c r="C181" s="29" t="s">
        <v>504</v>
      </c>
      <c r="D181" s="41" t="s">
        <v>472</v>
      </c>
      <c r="E181" s="31">
        <v>93.1</v>
      </c>
      <c r="F181" s="2"/>
      <c r="G181" s="2"/>
    </row>
    <row r="182" spans="1:7" x14ac:dyDescent="0.35">
      <c r="A182" s="34">
        <f ca="1">LOOKUP(B182,'QALS - Inspection Lot Record'!P:P,'QALS - Inspection Lot Record'!E:E)</f>
        <v>45954</v>
      </c>
      <c r="B182" s="31">
        <v>4169</v>
      </c>
      <c r="C182" s="29" t="s">
        <v>504</v>
      </c>
      <c r="D182" s="41" t="s">
        <v>474</v>
      </c>
      <c r="E182" s="31">
        <v>2.5</v>
      </c>
      <c r="F182" s="2"/>
      <c r="G182" s="2"/>
    </row>
    <row r="183" spans="1:7" x14ac:dyDescent="0.35">
      <c r="A183" s="34">
        <f ca="1">LOOKUP(B183,'QALS - Inspection Lot Record'!P:P,'QALS - Inspection Lot Record'!E:E)</f>
        <v>45954</v>
      </c>
      <c r="B183" s="31">
        <v>4169</v>
      </c>
      <c r="C183" s="29" t="s">
        <v>504</v>
      </c>
      <c r="D183" s="41" t="s">
        <v>486</v>
      </c>
      <c r="E183" s="31">
        <v>78</v>
      </c>
      <c r="F183" s="2"/>
      <c r="G183" s="2"/>
    </row>
    <row r="184" spans="1:7" x14ac:dyDescent="0.35">
      <c r="A184" s="34">
        <f ca="1">LOOKUP(B184,'QALS - Inspection Lot Record'!P:P,'QALS - Inspection Lot Record'!E:E)</f>
        <v>45954</v>
      </c>
      <c r="B184" s="31">
        <v>4170</v>
      </c>
      <c r="C184" s="29" t="s">
        <v>503</v>
      </c>
      <c r="D184" s="41" t="s">
        <v>472</v>
      </c>
      <c r="E184" s="31">
        <v>93.4</v>
      </c>
      <c r="F184" s="2"/>
      <c r="G184" s="2"/>
    </row>
    <row r="185" spans="1:7" x14ac:dyDescent="0.35">
      <c r="A185" s="34">
        <f ca="1">LOOKUP(B185,'QALS - Inspection Lot Record'!P:P,'QALS - Inspection Lot Record'!E:E)</f>
        <v>45954</v>
      </c>
      <c r="B185" s="31">
        <v>4170</v>
      </c>
      <c r="C185" s="29" t="s">
        <v>503</v>
      </c>
      <c r="D185" s="41" t="s">
        <v>474</v>
      </c>
      <c r="E185" s="31">
        <v>1.5</v>
      </c>
      <c r="F185" s="2"/>
      <c r="G185" s="2"/>
    </row>
    <row r="186" spans="1:7" x14ac:dyDescent="0.35">
      <c r="A186" s="34">
        <f ca="1">LOOKUP(B186,'QALS - Inspection Lot Record'!P:P,'QALS - Inspection Lot Record'!E:E)</f>
        <v>45954</v>
      </c>
      <c r="B186" s="31">
        <v>4170</v>
      </c>
      <c r="C186" s="29" t="s">
        <v>503</v>
      </c>
      <c r="D186" s="41" t="s">
        <v>486</v>
      </c>
      <c r="E186" s="31">
        <v>78.400000000000006</v>
      </c>
      <c r="F186" s="2"/>
      <c r="G186" s="2"/>
    </row>
    <row r="187" spans="1:7" x14ac:dyDescent="0.35">
      <c r="A187" s="34">
        <f ca="1">LOOKUP(B187,'QALS - Inspection Lot Record'!P:P,'QALS - Inspection Lot Record'!E:E)</f>
        <v>45954</v>
      </c>
      <c r="B187" s="31">
        <v>4170</v>
      </c>
      <c r="C187" s="29" t="s">
        <v>503</v>
      </c>
      <c r="D187" s="41" t="s">
        <v>483</v>
      </c>
      <c r="E187" s="31">
        <v>22</v>
      </c>
      <c r="F187" s="2"/>
      <c r="G187" s="2"/>
    </row>
    <row r="188" spans="1:7" x14ac:dyDescent="0.35">
      <c r="A188" s="34">
        <f ca="1">LOOKUP(B188,'QALS - Inspection Lot Record'!P:P,'QALS - Inspection Lot Record'!E:E)</f>
        <v>45956</v>
      </c>
      <c r="B188" s="31">
        <v>4173</v>
      </c>
      <c r="C188" s="29" t="s">
        <v>504</v>
      </c>
      <c r="D188" s="41" t="s">
        <v>474</v>
      </c>
      <c r="E188" s="31">
        <v>2.1</v>
      </c>
      <c r="F188" s="2"/>
      <c r="G188" s="2"/>
    </row>
    <row r="189" spans="1:7" x14ac:dyDescent="0.35">
      <c r="A189" s="34">
        <f ca="1">LOOKUP(B189,'QALS - Inspection Lot Record'!P:P,'QALS - Inspection Lot Record'!E:E)</f>
        <v>45956</v>
      </c>
      <c r="B189" s="31">
        <v>4173</v>
      </c>
      <c r="C189" s="29" t="s">
        <v>504</v>
      </c>
      <c r="D189" s="41" t="s">
        <v>478</v>
      </c>
      <c r="E189" s="31">
        <v>38.200000000000003</v>
      </c>
      <c r="F189" s="2"/>
      <c r="G189" s="2"/>
    </row>
    <row r="190" spans="1:7" x14ac:dyDescent="0.35">
      <c r="A190" s="34">
        <f ca="1">LOOKUP(B190,'QALS - Inspection Lot Record'!P:P,'QALS - Inspection Lot Record'!E:E)</f>
        <v>45956</v>
      </c>
      <c r="B190" s="31">
        <v>4174</v>
      </c>
      <c r="C190" s="29" t="s">
        <v>433</v>
      </c>
      <c r="D190" s="41" t="s">
        <v>476</v>
      </c>
      <c r="E190" s="31">
        <v>2.1</v>
      </c>
      <c r="F190" s="2"/>
      <c r="G190" s="2"/>
    </row>
    <row r="191" spans="1:7" x14ac:dyDescent="0.35">
      <c r="A191" s="34">
        <f ca="1">LOOKUP(B191,'QALS - Inspection Lot Record'!P:P,'QALS - Inspection Lot Record'!E:E)</f>
        <v>45956</v>
      </c>
      <c r="B191" s="31">
        <v>4174</v>
      </c>
      <c r="C191" s="29" t="s">
        <v>433</v>
      </c>
      <c r="D191" s="41" t="s">
        <v>478</v>
      </c>
      <c r="E191" s="31">
        <v>38.5</v>
      </c>
      <c r="F191" s="2"/>
      <c r="G191" s="2"/>
    </row>
    <row r="192" spans="1:7" x14ac:dyDescent="0.35">
      <c r="A192" s="34">
        <f ca="1">LOOKUP(B192,'QALS - Inspection Lot Record'!P:P,'QALS - Inspection Lot Record'!E:E)</f>
        <v>45956</v>
      </c>
      <c r="B192" s="31">
        <v>4174</v>
      </c>
      <c r="C192" s="29" t="s">
        <v>433</v>
      </c>
      <c r="D192" s="41" t="s">
        <v>486</v>
      </c>
      <c r="E192" s="31">
        <v>78.8</v>
      </c>
      <c r="F192" s="2"/>
      <c r="G192" s="2"/>
    </row>
    <row r="193" spans="1:7" x14ac:dyDescent="0.35">
      <c r="A193" s="34">
        <f ca="1">LOOKUP(B193,'QALS - Inspection Lot Record'!P:P,'QALS - Inspection Lot Record'!E:E)</f>
        <v>45956</v>
      </c>
      <c r="B193" s="31">
        <v>4174</v>
      </c>
      <c r="C193" s="29" t="s">
        <v>433</v>
      </c>
      <c r="D193" s="41" t="s">
        <v>483</v>
      </c>
      <c r="E193" s="31">
        <v>22</v>
      </c>
      <c r="F193" s="2"/>
      <c r="G193" s="2"/>
    </row>
    <row r="194" spans="1:7" x14ac:dyDescent="0.35">
      <c r="A194" s="34">
        <f ca="1">LOOKUP(B194,'QALS - Inspection Lot Record'!P:P,'QALS - Inspection Lot Record'!E:E)</f>
        <v>45958</v>
      </c>
      <c r="B194" s="31">
        <v>4177</v>
      </c>
      <c r="C194" s="29" t="s">
        <v>504</v>
      </c>
      <c r="D194" s="41" t="s">
        <v>480</v>
      </c>
      <c r="E194" s="31">
        <v>68.8</v>
      </c>
      <c r="F194" s="2"/>
      <c r="G194" s="2"/>
    </row>
    <row r="195" spans="1:7" x14ac:dyDescent="0.35">
      <c r="A195" s="34">
        <f ca="1">LOOKUP(B195,'QALS - Inspection Lot Record'!P:P,'QALS - Inspection Lot Record'!E:E)</f>
        <v>45958</v>
      </c>
      <c r="B195" s="31">
        <v>4178</v>
      </c>
      <c r="C195" s="29" t="s">
        <v>503</v>
      </c>
      <c r="D195" s="41" t="s">
        <v>472</v>
      </c>
      <c r="E195" s="31">
        <v>93</v>
      </c>
      <c r="F195" s="2"/>
      <c r="G195" s="2"/>
    </row>
    <row r="196" spans="1:7" x14ac:dyDescent="0.35">
      <c r="A196" s="34">
        <f ca="1">LOOKUP(B196,'QALS - Inspection Lot Record'!P:P,'QALS - Inspection Lot Record'!E:E)</f>
        <v>45958</v>
      </c>
      <c r="B196" s="31">
        <v>4178</v>
      </c>
      <c r="C196" s="29" t="s">
        <v>503</v>
      </c>
      <c r="D196" s="41" t="s">
        <v>474</v>
      </c>
      <c r="E196" s="31">
        <v>1.7</v>
      </c>
      <c r="F196" s="2"/>
      <c r="G196" s="2"/>
    </row>
    <row r="197" spans="1:7" x14ac:dyDescent="0.35">
      <c r="A197" s="34">
        <f ca="1">LOOKUP(B197,'QALS - Inspection Lot Record'!P:P,'QALS - Inspection Lot Record'!E:E)</f>
        <v>45958</v>
      </c>
      <c r="B197" s="31">
        <v>4178</v>
      </c>
      <c r="C197" s="29" t="s">
        <v>503</v>
      </c>
      <c r="D197" s="41" t="s">
        <v>476</v>
      </c>
      <c r="E197" s="31">
        <v>1.2</v>
      </c>
      <c r="F197" s="2"/>
      <c r="G197" s="2"/>
    </row>
    <row r="198" spans="1:7" x14ac:dyDescent="0.35">
      <c r="A198" s="34">
        <f ca="1">LOOKUP(B198,'QALS - Inspection Lot Record'!P:P,'QALS - Inspection Lot Record'!E:E)</f>
        <v>45958</v>
      </c>
      <c r="B198" s="31">
        <v>4178</v>
      </c>
      <c r="C198" s="29" t="s">
        <v>503</v>
      </c>
      <c r="D198" s="41" t="s">
        <v>486</v>
      </c>
      <c r="E198" s="31">
        <v>78.400000000000006</v>
      </c>
      <c r="F198" s="2"/>
      <c r="G198" s="2"/>
    </row>
    <row r="199" spans="1:7" x14ac:dyDescent="0.35">
      <c r="A199" s="34">
        <f ca="1">LOOKUP(B199,'QALS - Inspection Lot Record'!P:P,'QALS - Inspection Lot Record'!E:E)</f>
        <v>45958</v>
      </c>
      <c r="B199" s="31">
        <v>4178</v>
      </c>
      <c r="C199" s="29" t="s">
        <v>503</v>
      </c>
      <c r="D199" s="41" t="s">
        <v>483</v>
      </c>
      <c r="E199" s="31">
        <v>21.1</v>
      </c>
      <c r="F199" s="2"/>
      <c r="G199" s="2"/>
    </row>
    <row r="200" spans="1:7" x14ac:dyDescent="0.35">
      <c r="A200" s="34">
        <f ca="1">LOOKUP(B200,'QALS - Inspection Lot Record'!P:P,'QALS - Inspection Lot Record'!E:E)</f>
        <v>45960</v>
      </c>
      <c r="B200" s="31">
        <v>4181</v>
      </c>
      <c r="C200" s="29" t="s">
        <v>504</v>
      </c>
      <c r="D200" s="41" t="s">
        <v>472</v>
      </c>
      <c r="E200" s="31">
        <v>93.8</v>
      </c>
      <c r="F200" s="2"/>
      <c r="G200" s="2"/>
    </row>
    <row r="201" spans="1:7" x14ac:dyDescent="0.35">
      <c r="A201" s="34">
        <f ca="1">LOOKUP(B201,'QALS - Inspection Lot Record'!P:P,'QALS - Inspection Lot Record'!E:E)</f>
        <v>45960</v>
      </c>
      <c r="B201" s="31">
        <v>4182</v>
      </c>
      <c r="C201" s="29" t="s">
        <v>504</v>
      </c>
      <c r="D201" s="41" t="s">
        <v>483</v>
      </c>
      <c r="E201" s="31">
        <v>21.6</v>
      </c>
      <c r="F201" s="2"/>
      <c r="G201" s="2"/>
    </row>
    <row r="202" spans="1:7" x14ac:dyDescent="0.35">
      <c r="A202" s="34">
        <f ca="1">LOOKUP(B202,'QALS - Inspection Lot Record'!P:P,'QALS - Inspection Lot Record'!E:E)</f>
        <v>45961</v>
      </c>
      <c r="B202" s="31">
        <v>4183</v>
      </c>
      <c r="C202" s="29" t="s">
        <v>503</v>
      </c>
      <c r="D202" s="41" t="s">
        <v>472</v>
      </c>
      <c r="E202" s="31">
        <v>93.5</v>
      </c>
      <c r="F202" s="2"/>
      <c r="G202" s="2"/>
    </row>
    <row r="203" spans="1:7" x14ac:dyDescent="0.35">
      <c r="A203" s="34">
        <f ca="1">LOOKUP(B203,'QALS - Inspection Lot Record'!P:P,'QALS - Inspection Lot Record'!E:E)</f>
        <v>45961</v>
      </c>
      <c r="B203" s="31">
        <v>4183</v>
      </c>
      <c r="C203" s="29" t="s">
        <v>503</v>
      </c>
      <c r="D203" s="41" t="s">
        <v>480</v>
      </c>
      <c r="E203" s="31">
        <v>68.599999999999994</v>
      </c>
      <c r="F203" s="2"/>
      <c r="G203" s="2"/>
    </row>
    <row r="204" spans="1:7" x14ac:dyDescent="0.35">
      <c r="A204" s="34">
        <f ca="1">LOOKUP(B204,'QALS - Inspection Lot Record'!P:P,'QALS - Inspection Lot Record'!E:E)</f>
        <v>45961</v>
      </c>
      <c r="B204" s="31">
        <v>4183</v>
      </c>
      <c r="C204" s="29" t="s">
        <v>503</v>
      </c>
      <c r="D204" s="41" t="s">
        <v>486</v>
      </c>
      <c r="E204" s="31">
        <v>78.400000000000006</v>
      </c>
      <c r="F204" s="2"/>
      <c r="G204" s="2"/>
    </row>
    <row r="205" spans="1:7" x14ac:dyDescent="0.35">
      <c r="A205" s="34">
        <f ca="1">LOOKUP(B205,'QALS - Inspection Lot Record'!P:P,'QALS - Inspection Lot Record'!E:E)</f>
        <v>45961</v>
      </c>
      <c r="B205" s="31">
        <v>4184</v>
      </c>
      <c r="C205" s="29" t="s">
        <v>429</v>
      </c>
      <c r="D205" s="41" t="s">
        <v>472</v>
      </c>
      <c r="E205" s="31">
        <v>93.2</v>
      </c>
      <c r="F205" s="2"/>
      <c r="G205" s="2"/>
    </row>
    <row r="206" spans="1:7" x14ac:dyDescent="0.35">
      <c r="A206" s="34">
        <f ca="1">LOOKUP(B206,'QALS - Inspection Lot Record'!P:P,'QALS - Inspection Lot Record'!E:E)</f>
        <v>45961</v>
      </c>
      <c r="B206" s="31">
        <v>4184</v>
      </c>
      <c r="C206" s="29" t="s">
        <v>429</v>
      </c>
      <c r="D206" s="41" t="s">
        <v>478</v>
      </c>
      <c r="E206" s="31">
        <v>38.799999999999997</v>
      </c>
      <c r="F206" s="2"/>
      <c r="G206" s="2"/>
    </row>
    <row r="207" spans="1:7" x14ac:dyDescent="0.35">
      <c r="A207" s="34">
        <f ca="1">LOOKUP(B207,'QALS - Inspection Lot Record'!P:P,'QALS - Inspection Lot Record'!E:E)</f>
        <v>45961</v>
      </c>
      <c r="B207" s="31">
        <v>4184</v>
      </c>
      <c r="C207" s="29" t="s">
        <v>429</v>
      </c>
      <c r="D207" s="41" t="s">
        <v>480</v>
      </c>
      <c r="E207" s="31">
        <v>68</v>
      </c>
      <c r="F207" s="2"/>
      <c r="G207" s="2"/>
    </row>
    <row r="208" spans="1:7" x14ac:dyDescent="0.35">
      <c r="A208" s="34">
        <f ca="1">LOOKUP(B208,'QALS - Inspection Lot Record'!P:P,'QALS - Inspection Lot Record'!E:E)</f>
        <v>45961</v>
      </c>
      <c r="B208" s="31">
        <v>4184</v>
      </c>
      <c r="C208" s="29" t="s">
        <v>429</v>
      </c>
      <c r="D208" s="41" t="s">
        <v>486</v>
      </c>
      <c r="E208" s="31">
        <v>78.8</v>
      </c>
      <c r="F208" s="2"/>
      <c r="G208" s="2"/>
    </row>
    <row r="209" spans="1:7" x14ac:dyDescent="0.35">
      <c r="A209" s="34">
        <f ca="1">LOOKUP(B209,'QALS - Inspection Lot Record'!P:P,'QALS - Inspection Lot Record'!E:E)</f>
        <v>45962</v>
      </c>
      <c r="B209" s="31">
        <v>4185</v>
      </c>
      <c r="C209" s="29" t="s">
        <v>504</v>
      </c>
      <c r="D209" s="41" t="s">
        <v>480</v>
      </c>
      <c r="E209" s="31">
        <v>68.099999999999994</v>
      </c>
      <c r="F209" s="2"/>
      <c r="G209" s="2"/>
    </row>
    <row r="210" spans="1:7" x14ac:dyDescent="0.35">
      <c r="A210" s="34">
        <f ca="1">LOOKUP(B210,'QALS - Inspection Lot Record'!P:P,'QALS - Inspection Lot Record'!E:E)</f>
        <v>45962</v>
      </c>
      <c r="B210" s="31">
        <v>4186</v>
      </c>
      <c r="C210" s="29" t="s">
        <v>503</v>
      </c>
      <c r="D210" s="41" t="s">
        <v>483</v>
      </c>
      <c r="E210" s="31">
        <v>21.8</v>
      </c>
      <c r="F210" s="2"/>
      <c r="G210" s="2"/>
    </row>
    <row r="211" spans="1:7" x14ac:dyDescent="0.35">
      <c r="A211" s="34">
        <f ca="1">LOOKUP(B211,'QALS - Inspection Lot Record'!P:P,'QALS - Inspection Lot Record'!E:E)</f>
        <v>45963</v>
      </c>
      <c r="B211" s="31">
        <v>4187</v>
      </c>
      <c r="C211" s="29" t="s">
        <v>504</v>
      </c>
      <c r="D211" s="41" t="s">
        <v>472</v>
      </c>
      <c r="E211" s="31">
        <v>93.5</v>
      </c>
      <c r="F211" s="2"/>
      <c r="G211" s="2"/>
    </row>
    <row r="212" spans="1:7" x14ac:dyDescent="0.35">
      <c r="A212" s="34">
        <f ca="1">LOOKUP(B212,'QALS - Inspection Lot Record'!P:P,'QALS - Inspection Lot Record'!E:E)</f>
        <v>45963</v>
      </c>
      <c r="B212" s="31">
        <v>4187</v>
      </c>
      <c r="C212" s="29" t="s">
        <v>504</v>
      </c>
      <c r="D212" s="41" t="s">
        <v>480</v>
      </c>
      <c r="E212" s="31">
        <v>68.599999999999994</v>
      </c>
      <c r="F212" s="2"/>
      <c r="G212" s="2"/>
    </row>
    <row r="213" spans="1:7" x14ac:dyDescent="0.35">
      <c r="A213" s="34">
        <f ca="1">LOOKUP(B213,'QALS - Inspection Lot Record'!P:P,'QALS - Inspection Lot Record'!E:E)</f>
        <v>45963</v>
      </c>
      <c r="B213" s="31">
        <v>4187</v>
      </c>
      <c r="C213" s="29" t="s">
        <v>504</v>
      </c>
      <c r="D213" s="41" t="s">
        <v>486</v>
      </c>
      <c r="E213" s="31">
        <v>78.5</v>
      </c>
      <c r="F213" s="2"/>
      <c r="G213" s="2"/>
    </row>
    <row r="214" spans="1:7" x14ac:dyDescent="0.35">
      <c r="A214" s="34">
        <f ca="1">LOOKUP(B214,'QALS - Inspection Lot Record'!P:P,'QALS - Inspection Lot Record'!E:E)</f>
        <v>45963</v>
      </c>
      <c r="B214" s="31">
        <v>4188</v>
      </c>
      <c r="C214" s="29" t="s">
        <v>504</v>
      </c>
      <c r="D214" s="41" t="s">
        <v>472</v>
      </c>
      <c r="E214" s="31">
        <v>93.1</v>
      </c>
      <c r="F214" s="2"/>
      <c r="G214" s="2"/>
    </row>
    <row r="215" spans="1:7" x14ac:dyDescent="0.35">
      <c r="A215" s="34">
        <f ca="1">LOOKUP(B215,'QALS - Inspection Lot Record'!P:P,'QALS - Inspection Lot Record'!E:E)</f>
        <v>45963</v>
      </c>
      <c r="B215" s="31">
        <v>4188</v>
      </c>
      <c r="C215" s="29" t="s">
        <v>504</v>
      </c>
      <c r="D215" s="41" t="s">
        <v>474</v>
      </c>
      <c r="E215" s="31">
        <v>1.6</v>
      </c>
      <c r="F215" s="2"/>
      <c r="G215" s="2"/>
    </row>
    <row r="216" spans="1:7" x14ac:dyDescent="0.35">
      <c r="A216" s="34">
        <f ca="1">LOOKUP(B216,'QALS - Inspection Lot Record'!P:P,'QALS - Inspection Lot Record'!E:E)</f>
        <v>45963</v>
      </c>
      <c r="B216" s="31">
        <v>4188</v>
      </c>
      <c r="C216" s="29" t="s">
        <v>504</v>
      </c>
      <c r="D216" s="41" t="s">
        <v>486</v>
      </c>
      <c r="E216" s="31">
        <v>78.3</v>
      </c>
      <c r="F216" s="2"/>
      <c r="G216" s="2"/>
    </row>
    <row r="217" spans="1:7" x14ac:dyDescent="0.35">
      <c r="A217" s="34">
        <f ca="1">LOOKUP(B217,'QALS - Inspection Lot Record'!P:P,'QALS - Inspection Lot Record'!E:E)</f>
        <v>45964</v>
      </c>
      <c r="B217" s="31">
        <v>4189</v>
      </c>
      <c r="C217" s="29" t="s">
        <v>504</v>
      </c>
      <c r="D217" s="41" t="s">
        <v>472</v>
      </c>
      <c r="E217" s="31">
        <v>94</v>
      </c>
      <c r="F217" s="2"/>
      <c r="G217" s="2"/>
    </row>
    <row r="218" spans="1:7" x14ac:dyDescent="0.35">
      <c r="A218" s="34">
        <f ca="1">LOOKUP(B218,'QALS - Inspection Lot Record'!P:P,'QALS - Inspection Lot Record'!E:E)</f>
        <v>45964</v>
      </c>
      <c r="B218" s="31">
        <v>4189</v>
      </c>
      <c r="C218" s="29" t="s">
        <v>504</v>
      </c>
      <c r="D218" s="41" t="s">
        <v>474</v>
      </c>
      <c r="E218" s="31">
        <v>1.5</v>
      </c>
      <c r="F218" s="2"/>
      <c r="G218" s="2"/>
    </row>
    <row r="219" spans="1:7" x14ac:dyDescent="0.35">
      <c r="A219" s="34">
        <f ca="1">LOOKUP(B219,'QALS - Inspection Lot Record'!P:P,'QALS - Inspection Lot Record'!E:E)</f>
        <v>45964</v>
      </c>
      <c r="B219" s="31">
        <v>4189</v>
      </c>
      <c r="C219" s="29" t="s">
        <v>504</v>
      </c>
      <c r="D219" s="41" t="s">
        <v>478</v>
      </c>
      <c r="E219" s="31">
        <v>38.700000000000003</v>
      </c>
      <c r="F219" s="2"/>
      <c r="G219" s="2"/>
    </row>
    <row r="220" spans="1:7" x14ac:dyDescent="0.35">
      <c r="A220" s="34">
        <f ca="1">LOOKUP(B220,'QALS - Inspection Lot Record'!P:P,'QALS - Inspection Lot Record'!E:E)</f>
        <v>45964</v>
      </c>
      <c r="B220" s="31">
        <v>4189</v>
      </c>
      <c r="C220" s="29" t="s">
        <v>504</v>
      </c>
      <c r="D220" s="41" t="s">
        <v>486</v>
      </c>
      <c r="E220" s="31">
        <v>78.7</v>
      </c>
      <c r="F220" s="2"/>
      <c r="G220" s="2"/>
    </row>
    <row r="221" spans="1:7" x14ac:dyDescent="0.35">
      <c r="A221" s="34">
        <f ca="1">LOOKUP(B221,'QALS - Inspection Lot Record'!P:P,'QALS - Inspection Lot Record'!E:E)</f>
        <v>45964</v>
      </c>
      <c r="B221" s="31">
        <v>4190</v>
      </c>
      <c r="C221" s="29" t="s">
        <v>429</v>
      </c>
      <c r="D221" s="41" t="s">
        <v>483</v>
      </c>
      <c r="E221" s="31">
        <v>21.4</v>
      </c>
      <c r="F221" s="2"/>
      <c r="G221" s="2"/>
    </row>
    <row r="222" spans="1:7" x14ac:dyDescent="0.35">
      <c r="A222" s="34">
        <f ca="1">LOOKUP(B222,'QALS - Inspection Lot Record'!P:P,'QALS - Inspection Lot Record'!E:E)</f>
        <v>45965</v>
      </c>
      <c r="B222" s="31">
        <v>4191</v>
      </c>
      <c r="C222" s="29" t="s">
        <v>433</v>
      </c>
      <c r="D222" s="41" t="s">
        <v>472</v>
      </c>
      <c r="E222" s="31">
        <v>93.4</v>
      </c>
      <c r="F222" s="2"/>
      <c r="G222" s="2"/>
    </row>
    <row r="223" spans="1:7" x14ac:dyDescent="0.35">
      <c r="A223" s="34">
        <f ca="1">LOOKUP(B223,'QALS - Inspection Lot Record'!P:P,'QALS - Inspection Lot Record'!E:E)</f>
        <v>45965</v>
      </c>
      <c r="B223" s="31">
        <v>4192</v>
      </c>
      <c r="C223" s="29" t="s">
        <v>431</v>
      </c>
      <c r="D223" s="41" t="s">
        <v>472</v>
      </c>
      <c r="E223" s="31">
        <v>93.8</v>
      </c>
      <c r="F223" s="2"/>
      <c r="G223" s="2"/>
    </row>
    <row r="224" spans="1:7" x14ac:dyDescent="0.35">
      <c r="A224" s="34">
        <f ca="1">LOOKUP(B224,'QALS - Inspection Lot Record'!P:P,'QALS - Inspection Lot Record'!E:E)</f>
        <v>45967</v>
      </c>
      <c r="B224" s="31">
        <v>4195</v>
      </c>
      <c r="C224" s="29" t="s">
        <v>433</v>
      </c>
      <c r="D224" s="41" t="s">
        <v>472</v>
      </c>
      <c r="E224" s="31">
        <v>93.8</v>
      </c>
      <c r="F224" s="2"/>
      <c r="G224" s="2"/>
    </row>
    <row r="225" spans="1:7" x14ac:dyDescent="0.35">
      <c r="A225" s="34">
        <f ca="1">LOOKUP(B225,'QALS - Inspection Lot Record'!P:P,'QALS - Inspection Lot Record'!E:E)</f>
        <v>45967</v>
      </c>
      <c r="B225" s="31">
        <v>4196</v>
      </c>
      <c r="C225" s="29" t="s">
        <v>429</v>
      </c>
      <c r="D225" s="41" t="s">
        <v>472</v>
      </c>
      <c r="E225" s="31">
        <v>93.1</v>
      </c>
      <c r="F225" s="2"/>
      <c r="G225" s="2"/>
    </row>
    <row r="226" spans="1:7" x14ac:dyDescent="0.35">
      <c r="A226" s="34">
        <f ca="1">LOOKUP(B226,'QALS - Inspection Lot Record'!P:P,'QALS - Inspection Lot Record'!E:E)</f>
        <v>45968</v>
      </c>
      <c r="B226" s="31">
        <v>4197</v>
      </c>
      <c r="C226" s="29" t="s">
        <v>433</v>
      </c>
      <c r="D226" s="41" t="s">
        <v>472</v>
      </c>
      <c r="E226" s="31">
        <v>93.2</v>
      </c>
      <c r="F226" s="2"/>
      <c r="G226" s="2"/>
    </row>
    <row r="227" spans="1:7" x14ac:dyDescent="0.35">
      <c r="A227" s="34">
        <f ca="1">LOOKUP(B227,'QALS - Inspection Lot Record'!P:P,'QALS - Inspection Lot Record'!E:E)</f>
        <v>45968</v>
      </c>
      <c r="B227" s="31">
        <v>4197</v>
      </c>
      <c r="C227" s="29" t="s">
        <v>433</v>
      </c>
      <c r="D227" s="41" t="s">
        <v>478</v>
      </c>
      <c r="E227" s="31">
        <v>38.200000000000003</v>
      </c>
      <c r="F227" s="2"/>
      <c r="G227" s="2"/>
    </row>
    <row r="228" spans="1:7" x14ac:dyDescent="0.35">
      <c r="A228" s="34">
        <f ca="1">LOOKUP(B228,'QALS - Inspection Lot Record'!P:P,'QALS - Inspection Lot Record'!E:E)</f>
        <v>45968</v>
      </c>
      <c r="B228" s="31">
        <v>4197</v>
      </c>
      <c r="C228" s="29" t="s">
        <v>433</v>
      </c>
      <c r="D228" s="41" t="s">
        <v>480</v>
      </c>
      <c r="E228" s="31">
        <v>68</v>
      </c>
      <c r="F228" s="2"/>
      <c r="G228" s="2"/>
    </row>
    <row r="229" spans="1:7" x14ac:dyDescent="0.35">
      <c r="A229" s="34">
        <f ca="1">LOOKUP(B229,'QALS - Inspection Lot Record'!P:P,'QALS - Inspection Lot Record'!E:E)</f>
        <v>45968</v>
      </c>
      <c r="B229" s="31">
        <v>4197</v>
      </c>
      <c r="C229" s="29" t="s">
        <v>433</v>
      </c>
      <c r="D229" s="41" t="s">
        <v>486</v>
      </c>
      <c r="E229" s="31">
        <v>78.400000000000006</v>
      </c>
      <c r="F229" s="2"/>
      <c r="G229" s="2"/>
    </row>
    <row r="230" spans="1:7" x14ac:dyDescent="0.35">
      <c r="A230" s="34">
        <f ca="1">LOOKUP(B230,'QALS - Inspection Lot Record'!P:P,'QALS - Inspection Lot Record'!E:E)</f>
        <v>45968</v>
      </c>
      <c r="B230" s="31">
        <v>4198</v>
      </c>
      <c r="C230" s="29" t="s">
        <v>503</v>
      </c>
      <c r="D230" s="41" t="s">
        <v>480</v>
      </c>
      <c r="E230" s="31">
        <v>68.3</v>
      </c>
      <c r="F230" s="2"/>
      <c r="G230" s="2"/>
    </row>
    <row r="231" spans="1:7" x14ac:dyDescent="0.35">
      <c r="A231" s="34">
        <f ca="1">LOOKUP(B231,'QALS - Inspection Lot Record'!P:P,'QALS - Inspection Lot Record'!E:E)</f>
        <v>45969</v>
      </c>
      <c r="B231" s="31">
        <v>4199</v>
      </c>
      <c r="C231" s="29" t="s">
        <v>433</v>
      </c>
      <c r="D231" s="41" t="s">
        <v>472</v>
      </c>
      <c r="E231" s="31">
        <v>93.6</v>
      </c>
      <c r="F231" s="2"/>
      <c r="G231" s="2"/>
    </row>
    <row r="232" spans="1:7" x14ac:dyDescent="0.35">
      <c r="A232" s="34">
        <f ca="1">LOOKUP(B232,'QALS - Inspection Lot Record'!P:P,'QALS - Inspection Lot Record'!E:E)</f>
        <v>45969</v>
      </c>
      <c r="B232" s="31">
        <v>4200</v>
      </c>
      <c r="C232" s="29" t="s">
        <v>431</v>
      </c>
      <c r="D232" s="41" t="s">
        <v>472</v>
      </c>
      <c r="E232" s="31">
        <v>93.6</v>
      </c>
      <c r="F232" s="2"/>
      <c r="G232" s="2"/>
    </row>
    <row r="233" spans="1:7" x14ac:dyDescent="0.35">
      <c r="A233" s="34">
        <f ca="1">LOOKUP(B233,'QALS - Inspection Lot Record'!P:P,'QALS - Inspection Lot Record'!E:E)</f>
        <v>45970</v>
      </c>
      <c r="B233" s="31">
        <v>4202</v>
      </c>
      <c r="C233" s="29" t="s">
        <v>431</v>
      </c>
      <c r="D233" s="41" t="s">
        <v>483</v>
      </c>
      <c r="E233" s="31">
        <v>21.4</v>
      </c>
      <c r="F233" s="2"/>
      <c r="G233" s="2"/>
    </row>
    <row r="234" spans="1:7" x14ac:dyDescent="0.35">
      <c r="A234" s="34">
        <f ca="1">LOOKUP(B234,'QALS - Inspection Lot Record'!P:P,'QALS - Inspection Lot Record'!E:E)</f>
        <v>45972</v>
      </c>
      <c r="B234" s="31">
        <v>4206</v>
      </c>
      <c r="C234" s="29" t="s">
        <v>431</v>
      </c>
      <c r="D234" s="41" t="s">
        <v>483</v>
      </c>
      <c r="E234" s="31">
        <v>21.2</v>
      </c>
      <c r="F234" s="2"/>
      <c r="G234" s="2"/>
    </row>
    <row r="235" spans="1:7" x14ac:dyDescent="0.35">
      <c r="A235" s="34">
        <f ca="1">LOOKUP(B235,'QALS - Inspection Lot Record'!P:P,'QALS - Inspection Lot Record'!E:E)</f>
        <v>45974</v>
      </c>
      <c r="B235" s="31">
        <v>4209</v>
      </c>
      <c r="C235" s="29" t="s">
        <v>429</v>
      </c>
      <c r="D235" s="41" t="s">
        <v>474</v>
      </c>
      <c r="E235" s="31">
        <v>2.4</v>
      </c>
      <c r="F235" s="2"/>
      <c r="G235" s="2"/>
    </row>
    <row r="236" spans="1:7" x14ac:dyDescent="0.35">
      <c r="A236" s="34">
        <f ca="1">LOOKUP(B236,'QALS - Inspection Lot Record'!P:P,'QALS - Inspection Lot Record'!E:E)</f>
        <v>45974</v>
      </c>
      <c r="B236" s="31">
        <v>4209</v>
      </c>
      <c r="C236" s="29" t="s">
        <v>429</v>
      </c>
      <c r="D236" s="41" t="s">
        <v>486</v>
      </c>
      <c r="E236" s="31">
        <v>78.5</v>
      </c>
      <c r="F236" s="2"/>
      <c r="G236" s="2"/>
    </row>
    <row r="237" spans="1:7" x14ac:dyDescent="0.35">
      <c r="A237" s="34">
        <f ca="1">LOOKUP(B237,'QALS - Inspection Lot Record'!P:P,'QALS - Inspection Lot Record'!E:E)</f>
        <v>45974</v>
      </c>
      <c r="B237" s="31">
        <v>4210</v>
      </c>
      <c r="C237" s="29" t="s">
        <v>503</v>
      </c>
      <c r="D237" s="41" t="s">
        <v>472</v>
      </c>
      <c r="E237" s="31">
        <v>93.1</v>
      </c>
      <c r="F237" s="2"/>
      <c r="G237" s="2"/>
    </row>
    <row r="238" spans="1:7" x14ac:dyDescent="0.35">
      <c r="A238" s="34">
        <f ca="1">LOOKUP(B238,'QALS - Inspection Lot Record'!P:P,'QALS - Inspection Lot Record'!E:E)</f>
        <v>45974</v>
      </c>
      <c r="B238" s="31">
        <v>4210</v>
      </c>
      <c r="C238" s="29" t="s">
        <v>503</v>
      </c>
      <c r="D238" s="41" t="s">
        <v>486</v>
      </c>
      <c r="E238" s="31">
        <v>78.099999999999994</v>
      </c>
      <c r="F238" s="2"/>
      <c r="G238" s="2"/>
    </row>
    <row r="239" spans="1:7" x14ac:dyDescent="0.35">
      <c r="A239" s="34">
        <f ca="1">LOOKUP(B239,'QALS - Inspection Lot Record'!P:P,'QALS - Inspection Lot Record'!E:E)</f>
        <v>45975</v>
      </c>
      <c r="B239" s="31">
        <v>4211</v>
      </c>
      <c r="C239" s="29" t="s">
        <v>504</v>
      </c>
      <c r="D239" s="41" t="s">
        <v>480</v>
      </c>
      <c r="E239" s="31">
        <v>68.099999999999994</v>
      </c>
      <c r="F239" s="2"/>
      <c r="G239" s="2"/>
    </row>
    <row r="240" spans="1:7" x14ac:dyDescent="0.35">
      <c r="A240" s="34">
        <f ca="1">LOOKUP(B240,'QALS - Inspection Lot Record'!P:P,'QALS - Inspection Lot Record'!E:E)</f>
        <v>45975</v>
      </c>
      <c r="B240" s="31">
        <v>4212</v>
      </c>
      <c r="C240" s="29" t="s">
        <v>503</v>
      </c>
      <c r="D240" s="41" t="s">
        <v>483</v>
      </c>
      <c r="E240" s="31">
        <v>21.1</v>
      </c>
      <c r="F240" s="2"/>
      <c r="G240" s="2"/>
    </row>
    <row r="241" spans="1:7" x14ac:dyDescent="0.35">
      <c r="A241" s="34">
        <f ca="1">LOOKUP(B241,'QALS - Inspection Lot Record'!P:P,'QALS - Inspection Lot Record'!E:E)</f>
        <v>45979</v>
      </c>
      <c r="B241" s="31">
        <v>4219</v>
      </c>
      <c r="C241" s="29" t="s">
        <v>504</v>
      </c>
      <c r="D241" s="41" t="s">
        <v>478</v>
      </c>
      <c r="E241" s="31">
        <v>38.6</v>
      </c>
      <c r="F241" s="2"/>
      <c r="G241" s="2"/>
    </row>
    <row r="242" spans="1:7" x14ac:dyDescent="0.35">
      <c r="A242" s="34">
        <f ca="1">LOOKUP(B242,'QALS - Inspection Lot Record'!P:P,'QALS - Inspection Lot Record'!E:E)</f>
        <v>45979</v>
      </c>
      <c r="B242" s="31">
        <v>4219</v>
      </c>
      <c r="C242" s="29" t="s">
        <v>504</v>
      </c>
      <c r="D242" s="41" t="s">
        <v>480</v>
      </c>
      <c r="E242" s="31">
        <v>68.2</v>
      </c>
      <c r="F242" s="2"/>
      <c r="G242" s="2"/>
    </row>
    <row r="243" spans="1:7" x14ac:dyDescent="0.35">
      <c r="A243" s="34">
        <f ca="1">LOOKUP(B243,'QALS - Inspection Lot Record'!P:P,'QALS - Inspection Lot Record'!E:E)</f>
        <v>45979</v>
      </c>
      <c r="B243" s="31">
        <v>4219</v>
      </c>
      <c r="C243" s="29" t="s">
        <v>504</v>
      </c>
      <c r="D243" s="41" t="s">
        <v>486</v>
      </c>
      <c r="E243" s="31">
        <v>78.2</v>
      </c>
      <c r="F243" s="2"/>
      <c r="G243" s="2"/>
    </row>
    <row r="244" spans="1:7" x14ac:dyDescent="0.35">
      <c r="A244" s="34">
        <f ca="1">LOOKUP(B244,'QALS - Inspection Lot Record'!P:P,'QALS - Inspection Lot Record'!E:E)</f>
        <v>45979</v>
      </c>
      <c r="B244" s="31">
        <v>4219</v>
      </c>
      <c r="C244" s="29" t="s">
        <v>504</v>
      </c>
      <c r="D244" s="41" t="s">
        <v>483</v>
      </c>
      <c r="E244" s="31">
        <v>22.4</v>
      </c>
      <c r="F244" s="2"/>
      <c r="G244" s="2"/>
    </row>
    <row r="245" spans="1:7" x14ac:dyDescent="0.35">
      <c r="A245" s="34">
        <f ca="1">LOOKUP(B245,'QALS - Inspection Lot Record'!P:P,'QALS - Inspection Lot Record'!E:E)</f>
        <v>45979</v>
      </c>
      <c r="B245" s="31">
        <v>4220</v>
      </c>
      <c r="C245" s="29" t="s">
        <v>429</v>
      </c>
      <c r="D245" s="41" t="s">
        <v>474</v>
      </c>
      <c r="E245" s="31">
        <v>1.7</v>
      </c>
      <c r="F245" s="2"/>
      <c r="G245" s="2"/>
    </row>
    <row r="246" spans="1:7" x14ac:dyDescent="0.35">
      <c r="A246" s="34">
        <f ca="1">LOOKUP(B246,'QALS - Inspection Lot Record'!P:P,'QALS - Inspection Lot Record'!E:E)</f>
        <v>45979</v>
      </c>
      <c r="B246" s="31">
        <v>4220</v>
      </c>
      <c r="C246" s="29" t="s">
        <v>429</v>
      </c>
      <c r="D246" s="41" t="s">
        <v>480</v>
      </c>
      <c r="E246" s="31">
        <v>68.3</v>
      </c>
      <c r="F246" s="2"/>
      <c r="G246" s="2"/>
    </row>
    <row r="247" spans="1:7" x14ac:dyDescent="0.35">
      <c r="A247" s="34">
        <f ca="1">LOOKUP(B247,'QALS - Inspection Lot Record'!P:P,'QALS - Inspection Lot Record'!E:E)</f>
        <v>45979</v>
      </c>
      <c r="B247" s="31">
        <v>4220</v>
      </c>
      <c r="C247" s="29" t="s">
        <v>429</v>
      </c>
      <c r="D247" s="41" t="s">
        <v>486</v>
      </c>
      <c r="E247" s="31">
        <v>78.2</v>
      </c>
      <c r="F247" s="2"/>
      <c r="G247" s="2"/>
    </row>
    <row r="248" spans="1:7" x14ac:dyDescent="0.35">
      <c r="A248" s="34">
        <f ca="1">LOOKUP(B248,'QALS - Inspection Lot Record'!P:P,'QALS - Inspection Lot Record'!E:E)</f>
        <v>45981</v>
      </c>
      <c r="B248" s="31">
        <v>4223</v>
      </c>
      <c r="C248" s="29" t="s">
        <v>431</v>
      </c>
      <c r="D248" s="41" t="s">
        <v>474</v>
      </c>
      <c r="E248" s="31">
        <v>4.4000000000000004</v>
      </c>
      <c r="F248" s="2"/>
      <c r="G248" s="2"/>
    </row>
    <row r="249" spans="1:7" x14ac:dyDescent="0.35">
      <c r="A249" s="34">
        <f ca="1">LOOKUP(B249,'QALS - Inspection Lot Record'!P:P,'QALS - Inspection Lot Record'!E:E)</f>
        <v>45981</v>
      </c>
      <c r="B249" s="31">
        <v>4223</v>
      </c>
      <c r="C249" s="29" t="s">
        <v>431</v>
      </c>
      <c r="D249" s="41" t="s">
        <v>480</v>
      </c>
      <c r="E249" s="31">
        <v>69</v>
      </c>
      <c r="F249" s="2"/>
      <c r="G249" s="2"/>
    </row>
    <row r="250" spans="1:7" x14ac:dyDescent="0.35">
      <c r="A250" s="34">
        <f ca="1">LOOKUP(B250,'QALS - Inspection Lot Record'!P:P,'QALS - Inspection Lot Record'!E:E)</f>
        <v>45981</v>
      </c>
      <c r="B250" s="31">
        <v>4223</v>
      </c>
      <c r="C250" s="29" t="s">
        <v>431</v>
      </c>
      <c r="D250" s="41" t="s">
        <v>486</v>
      </c>
      <c r="E250" s="31">
        <v>79</v>
      </c>
      <c r="F250" s="2"/>
      <c r="G250" s="2"/>
    </row>
    <row r="251" spans="1:7" x14ac:dyDescent="0.35">
      <c r="A251" s="34">
        <f ca="1">LOOKUP(B251,'QALS - Inspection Lot Record'!P:P,'QALS - Inspection Lot Record'!E:E)</f>
        <v>45981</v>
      </c>
      <c r="B251" s="31">
        <v>4224</v>
      </c>
      <c r="C251" s="29" t="s">
        <v>433</v>
      </c>
      <c r="D251" s="41" t="s">
        <v>480</v>
      </c>
      <c r="E251" s="31">
        <v>68.599999999999994</v>
      </c>
      <c r="F251" s="2"/>
      <c r="G251" s="2"/>
    </row>
    <row r="252" spans="1:7" x14ac:dyDescent="0.35">
      <c r="A252" s="34">
        <f ca="1">LOOKUP(B252,'QALS - Inspection Lot Record'!P:P,'QALS - Inspection Lot Record'!E:E)</f>
        <v>45981</v>
      </c>
      <c r="B252" s="31">
        <v>4224</v>
      </c>
      <c r="C252" s="29" t="s">
        <v>433</v>
      </c>
      <c r="D252" s="41" t="s">
        <v>486</v>
      </c>
      <c r="E252" s="31">
        <v>78.900000000000006</v>
      </c>
      <c r="F252" s="2"/>
      <c r="G252" s="2"/>
    </row>
    <row r="253" spans="1:7" x14ac:dyDescent="0.35">
      <c r="A253" s="34">
        <f ca="1">LOOKUP(B253,'QALS - Inspection Lot Record'!P:P,'QALS - Inspection Lot Record'!E:E)</f>
        <v>45983</v>
      </c>
      <c r="B253" s="31">
        <v>4227</v>
      </c>
      <c r="C253" s="29" t="s">
        <v>504</v>
      </c>
      <c r="D253" s="41" t="s">
        <v>472</v>
      </c>
      <c r="E253" s="31">
        <v>93.9</v>
      </c>
      <c r="F253" s="2"/>
      <c r="G253" s="2"/>
    </row>
    <row r="254" spans="1:7" x14ac:dyDescent="0.35">
      <c r="A254" s="34">
        <f ca="1">LOOKUP(B254,'QALS - Inspection Lot Record'!P:P,'QALS - Inspection Lot Record'!E:E)</f>
        <v>45983</v>
      </c>
      <c r="B254" s="31">
        <v>4227</v>
      </c>
      <c r="C254" s="29" t="s">
        <v>504</v>
      </c>
      <c r="D254" s="41" t="s">
        <v>474</v>
      </c>
      <c r="E254" s="31">
        <v>1.9</v>
      </c>
      <c r="F254" s="2"/>
      <c r="G254" s="2"/>
    </row>
    <row r="255" spans="1:7" x14ac:dyDescent="0.35">
      <c r="A255" s="34">
        <f ca="1">LOOKUP(B255,'QALS - Inspection Lot Record'!P:P,'QALS - Inspection Lot Record'!E:E)</f>
        <v>45983</v>
      </c>
      <c r="B255" s="31">
        <v>4227</v>
      </c>
      <c r="C255" s="29" t="s">
        <v>504</v>
      </c>
      <c r="D255" s="41" t="s">
        <v>486</v>
      </c>
      <c r="E255" s="31">
        <v>78.900000000000006</v>
      </c>
      <c r="F255" s="2"/>
      <c r="G255" s="2"/>
    </row>
    <row r="256" spans="1:7" x14ac:dyDescent="0.35">
      <c r="A256" s="34">
        <f ca="1">LOOKUP(B256,'QALS - Inspection Lot Record'!P:P,'QALS - Inspection Lot Record'!E:E)</f>
        <v>45983</v>
      </c>
      <c r="B256" s="31">
        <v>4228</v>
      </c>
      <c r="C256" s="29" t="s">
        <v>429</v>
      </c>
      <c r="D256" s="41" t="s">
        <v>474</v>
      </c>
      <c r="E256" s="31">
        <v>2.5</v>
      </c>
      <c r="F256" s="2"/>
      <c r="G256" s="2"/>
    </row>
    <row r="257" spans="1:7" x14ac:dyDescent="0.35">
      <c r="A257" s="34">
        <f ca="1">LOOKUP(B257,'QALS - Inspection Lot Record'!P:P,'QALS - Inspection Lot Record'!E:E)</f>
        <v>45983</v>
      </c>
      <c r="B257" s="31">
        <v>4228</v>
      </c>
      <c r="C257" s="29" t="s">
        <v>429</v>
      </c>
      <c r="D257" s="41" t="s">
        <v>478</v>
      </c>
      <c r="E257" s="31">
        <v>38.1</v>
      </c>
      <c r="F257" s="2"/>
      <c r="G257" s="2"/>
    </row>
    <row r="258" spans="1:7" x14ac:dyDescent="0.35">
      <c r="A258" s="34">
        <f ca="1">LOOKUP(B258,'QALS - Inspection Lot Record'!P:P,'QALS - Inspection Lot Record'!E:E)</f>
        <v>45983</v>
      </c>
      <c r="B258" s="31">
        <v>4228</v>
      </c>
      <c r="C258" s="29" t="s">
        <v>429</v>
      </c>
      <c r="D258" s="41" t="s">
        <v>480</v>
      </c>
      <c r="E258" s="31">
        <v>68.5</v>
      </c>
      <c r="F258" s="2"/>
      <c r="G258" s="2"/>
    </row>
    <row r="259" spans="1:7" x14ac:dyDescent="0.35">
      <c r="A259" s="34">
        <f ca="1">LOOKUP(B259,'QALS - Inspection Lot Record'!P:P,'QALS - Inspection Lot Record'!E:E)</f>
        <v>45985</v>
      </c>
      <c r="B259" s="31">
        <v>4231</v>
      </c>
      <c r="C259" s="29" t="s">
        <v>431</v>
      </c>
      <c r="D259" s="41" t="s">
        <v>486</v>
      </c>
      <c r="E259" s="31">
        <v>78.8</v>
      </c>
      <c r="F259" s="2"/>
      <c r="G259" s="2"/>
    </row>
    <row r="260" spans="1:7" x14ac:dyDescent="0.35">
      <c r="A260" s="34">
        <f ca="1">LOOKUP(B260,'QALS - Inspection Lot Record'!P:P,'QALS - Inspection Lot Record'!E:E)</f>
        <v>45985</v>
      </c>
      <c r="B260" s="31">
        <v>4232</v>
      </c>
      <c r="C260" s="29" t="s">
        <v>433</v>
      </c>
      <c r="D260" s="41" t="s">
        <v>472</v>
      </c>
      <c r="E260" s="31">
        <v>93.7</v>
      </c>
      <c r="F260" s="2"/>
      <c r="G260" s="2"/>
    </row>
    <row r="261" spans="1:7" x14ac:dyDescent="0.35">
      <c r="A261" s="34">
        <f ca="1">LOOKUP(B261,'QALS - Inspection Lot Record'!P:P,'QALS - Inspection Lot Record'!E:E)</f>
        <v>45985</v>
      </c>
      <c r="B261" s="31">
        <v>4232</v>
      </c>
      <c r="C261" s="29" t="s">
        <v>433</v>
      </c>
      <c r="D261" s="41" t="s">
        <v>480</v>
      </c>
      <c r="E261" s="31">
        <v>68.400000000000006</v>
      </c>
      <c r="F261" s="2"/>
      <c r="G261" s="2"/>
    </row>
    <row r="262" spans="1:7" x14ac:dyDescent="0.35">
      <c r="A262" s="34">
        <f ca="1">LOOKUP(B262,'QALS - Inspection Lot Record'!P:P,'QALS - Inspection Lot Record'!E:E)</f>
        <v>45987</v>
      </c>
      <c r="B262" s="31">
        <v>4235</v>
      </c>
      <c r="C262" s="29" t="s">
        <v>429</v>
      </c>
      <c r="D262" s="41" t="s">
        <v>472</v>
      </c>
      <c r="E262" s="31">
        <v>94.3</v>
      </c>
      <c r="F262" s="2"/>
      <c r="G262" s="2"/>
    </row>
    <row r="263" spans="1:7" x14ac:dyDescent="0.35">
      <c r="A263" s="34">
        <f ca="1">LOOKUP(B263,'QALS - Inspection Lot Record'!P:P,'QALS - Inspection Lot Record'!E:E)</f>
        <v>45987</v>
      </c>
      <c r="B263" s="31">
        <v>4235</v>
      </c>
      <c r="C263" s="29" t="s">
        <v>429</v>
      </c>
      <c r="D263" s="41" t="s">
        <v>476</v>
      </c>
      <c r="E263" s="31">
        <v>1.2</v>
      </c>
      <c r="F263" s="2"/>
      <c r="G263" s="2"/>
    </row>
    <row r="264" spans="1:7" x14ac:dyDescent="0.35">
      <c r="A264" s="34">
        <f ca="1">LOOKUP(B264,'QALS - Inspection Lot Record'!P:P,'QALS - Inspection Lot Record'!E:E)</f>
        <v>45987</v>
      </c>
      <c r="B264" s="31">
        <v>4235</v>
      </c>
      <c r="C264" s="29" t="s">
        <v>429</v>
      </c>
      <c r="D264" s="41" t="s">
        <v>478</v>
      </c>
      <c r="E264" s="31">
        <v>38.9</v>
      </c>
      <c r="F264" s="2"/>
      <c r="G264" s="2"/>
    </row>
    <row r="265" spans="1:7" x14ac:dyDescent="0.35">
      <c r="A265" s="34">
        <f ca="1">LOOKUP(B265,'QALS - Inspection Lot Record'!P:P,'QALS - Inspection Lot Record'!E:E)</f>
        <v>45987</v>
      </c>
      <c r="B265" s="31">
        <v>4236</v>
      </c>
      <c r="C265" s="29" t="s">
        <v>503</v>
      </c>
      <c r="D265" s="41" t="s">
        <v>472</v>
      </c>
      <c r="E265" s="31">
        <v>93.2</v>
      </c>
      <c r="F265" s="2"/>
      <c r="G265" s="2"/>
    </row>
    <row r="266" spans="1:7" x14ac:dyDescent="0.35">
      <c r="A266" s="34">
        <f ca="1">LOOKUP(B266,'QALS - Inspection Lot Record'!P:P,'QALS - Inspection Lot Record'!E:E)</f>
        <v>45987</v>
      </c>
      <c r="B266" s="31">
        <v>4236</v>
      </c>
      <c r="C266" s="29" t="s">
        <v>503</v>
      </c>
      <c r="D266" s="41" t="s">
        <v>474</v>
      </c>
      <c r="E266" s="31">
        <v>1.6</v>
      </c>
      <c r="F266" s="2"/>
      <c r="G266" s="2"/>
    </row>
    <row r="267" spans="1:7" x14ac:dyDescent="0.35">
      <c r="A267" s="34">
        <f ca="1">LOOKUP(B267,'QALS - Inspection Lot Record'!P:P,'QALS - Inspection Lot Record'!E:E)</f>
        <v>45987</v>
      </c>
      <c r="B267" s="31">
        <v>4236</v>
      </c>
      <c r="C267" s="29" t="s">
        <v>503</v>
      </c>
      <c r="D267" s="41" t="s">
        <v>480</v>
      </c>
      <c r="E267" s="31">
        <v>68.3</v>
      </c>
      <c r="F267" s="2"/>
      <c r="G267" s="2"/>
    </row>
    <row r="268" spans="1:7" x14ac:dyDescent="0.35">
      <c r="A268" s="34">
        <f ca="1">LOOKUP(B268,'QALS - Inspection Lot Record'!P:P,'QALS - Inspection Lot Record'!E:E)</f>
        <v>45989</v>
      </c>
      <c r="B268" s="31">
        <v>4239</v>
      </c>
      <c r="C268" s="29" t="s">
        <v>433</v>
      </c>
      <c r="D268" s="41" t="s">
        <v>474</v>
      </c>
      <c r="E268" s="31">
        <v>1.6</v>
      </c>
      <c r="F268" s="2"/>
      <c r="G268" s="2"/>
    </row>
    <row r="269" spans="1:7" x14ac:dyDescent="0.35">
      <c r="A269" s="34">
        <f ca="1">LOOKUP(B269,'QALS - Inspection Lot Record'!P:P,'QALS - Inspection Lot Record'!E:E)</f>
        <v>45989</v>
      </c>
      <c r="B269" s="31">
        <v>4240</v>
      </c>
      <c r="C269" s="29" t="s">
        <v>504</v>
      </c>
      <c r="D269" s="41" t="s">
        <v>483</v>
      </c>
      <c r="E269" s="31">
        <v>21.9</v>
      </c>
      <c r="F269" s="2"/>
      <c r="G269" s="2"/>
    </row>
    <row r="270" spans="1:7" x14ac:dyDescent="0.35">
      <c r="A270" s="34">
        <f ca="1">LOOKUP(B270,'QALS - Inspection Lot Record'!P:P,'QALS - Inspection Lot Record'!E:E)</f>
        <v>45990</v>
      </c>
      <c r="B270" s="31">
        <v>4241</v>
      </c>
      <c r="C270" s="29" t="s">
        <v>503</v>
      </c>
      <c r="D270" s="41" t="s">
        <v>478</v>
      </c>
      <c r="E270" s="31">
        <v>38.5</v>
      </c>
      <c r="F270" s="2"/>
      <c r="G270" s="2"/>
    </row>
    <row r="271" spans="1:7" x14ac:dyDescent="0.35">
      <c r="A271" s="34">
        <f ca="1">LOOKUP(B271,'QALS - Inspection Lot Record'!P:P,'QALS - Inspection Lot Record'!E:E)</f>
        <v>45990</v>
      </c>
      <c r="B271" s="31">
        <v>4241</v>
      </c>
      <c r="C271" s="29" t="s">
        <v>503</v>
      </c>
      <c r="D271" s="41" t="s">
        <v>486</v>
      </c>
      <c r="E271" s="31">
        <v>78.599999999999994</v>
      </c>
      <c r="F271" s="2"/>
      <c r="G271" s="2"/>
    </row>
    <row r="272" spans="1:7" x14ac:dyDescent="0.35">
      <c r="A272" s="34">
        <f ca="1">LOOKUP(B272,'QALS - Inspection Lot Record'!P:P,'QALS - Inspection Lot Record'!E:E)</f>
        <v>45990</v>
      </c>
      <c r="B272" s="31">
        <v>4242</v>
      </c>
      <c r="C272" s="29" t="s">
        <v>429</v>
      </c>
      <c r="D272" s="41" t="s">
        <v>472</v>
      </c>
      <c r="E272" s="31">
        <v>94</v>
      </c>
      <c r="F272" s="2"/>
      <c r="G272" s="2"/>
    </row>
    <row r="273" spans="1:7" x14ac:dyDescent="0.35">
      <c r="A273" s="34">
        <f ca="1">LOOKUP(B273,'QALS - Inspection Lot Record'!P:P,'QALS - Inspection Lot Record'!E:E)</f>
        <v>45990</v>
      </c>
      <c r="B273" s="31">
        <v>4242</v>
      </c>
      <c r="C273" s="29" t="s">
        <v>429</v>
      </c>
      <c r="D273" s="41" t="s">
        <v>480</v>
      </c>
      <c r="E273" s="31">
        <v>68.2</v>
      </c>
      <c r="F273" s="2"/>
      <c r="G273" s="2"/>
    </row>
    <row r="274" spans="1:7" x14ac:dyDescent="0.35">
      <c r="A274" s="34">
        <f ca="1">LOOKUP(B274,'QALS - Inspection Lot Record'!P:P,'QALS - Inspection Lot Record'!E:E)</f>
        <v>45990</v>
      </c>
      <c r="B274" s="31">
        <v>4242</v>
      </c>
      <c r="C274" s="29" t="s">
        <v>429</v>
      </c>
      <c r="D274" s="41" t="s">
        <v>486</v>
      </c>
      <c r="E274" s="31">
        <v>78.5</v>
      </c>
      <c r="F274" s="2"/>
      <c r="G274" s="2"/>
    </row>
    <row r="275" spans="1:7" x14ac:dyDescent="0.35">
      <c r="A275" s="34">
        <f ca="1">LOOKUP(B275,'QALS - Inspection Lot Record'!P:P,'QALS - Inspection Lot Record'!E:E)</f>
        <v>45991</v>
      </c>
      <c r="B275" s="31">
        <v>4243</v>
      </c>
      <c r="C275" s="29" t="s">
        <v>431</v>
      </c>
      <c r="D275" s="41" t="s">
        <v>472</v>
      </c>
      <c r="E275" s="31">
        <v>93.2</v>
      </c>
      <c r="F275" s="2"/>
      <c r="G275" s="2"/>
    </row>
    <row r="276" spans="1:7" x14ac:dyDescent="0.35">
      <c r="A276" s="34">
        <f ca="1">LOOKUP(B276,'QALS - Inspection Lot Record'!P:P,'QALS - Inspection Lot Record'!E:E)</f>
        <v>45991</v>
      </c>
      <c r="B276" s="31">
        <v>4243</v>
      </c>
      <c r="C276" s="29" t="s">
        <v>431</v>
      </c>
      <c r="D276" s="41" t="s">
        <v>474</v>
      </c>
      <c r="E276" s="31">
        <v>5</v>
      </c>
      <c r="F276" s="2"/>
      <c r="G276" s="2"/>
    </row>
    <row r="277" spans="1:7" x14ac:dyDescent="0.35">
      <c r="A277" s="34">
        <f ca="1">LOOKUP(B277,'QALS - Inspection Lot Record'!P:P,'QALS - Inspection Lot Record'!E:E)</f>
        <v>45991</v>
      </c>
      <c r="B277" s="31">
        <v>4243</v>
      </c>
      <c r="C277" s="29" t="s">
        <v>431</v>
      </c>
      <c r="D277" s="41" t="s">
        <v>483</v>
      </c>
      <c r="E277" s="31">
        <v>21.6</v>
      </c>
      <c r="F277" s="2"/>
      <c r="G277" s="2"/>
    </row>
    <row r="278" spans="1:7" x14ac:dyDescent="0.35">
      <c r="A278" s="34">
        <f ca="1">LOOKUP(B278,'QALS - Inspection Lot Record'!P:P,'QALS - Inspection Lot Record'!E:E)</f>
        <v>45991</v>
      </c>
      <c r="B278" s="31">
        <v>4244</v>
      </c>
      <c r="C278" s="29" t="s">
        <v>433</v>
      </c>
      <c r="D278" s="41" t="s">
        <v>486</v>
      </c>
      <c r="E278" s="31">
        <v>78.7</v>
      </c>
      <c r="F278" s="2"/>
      <c r="G278" s="2"/>
    </row>
    <row r="279" spans="1:7" x14ac:dyDescent="0.35">
      <c r="A279" s="34">
        <f ca="1">LOOKUP(B279,'QALS - Inspection Lot Record'!P:P,'QALS - Inspection Lot Record'!E:E)</f>
        <v>45992</v>
      </c>
      <c r="B279" s="31">
        <v>4245</v>
      </c>
      <c r="C279" s="29" t="s">
        <v>429</v>
      </c>
      <c r="D279" s="41" t="s">
        <v>472</v>
      </c>
      <c r="E279" s="31">
        <v>93</v>
      </c>
      <c r="F279" s="2"/>
      <c r="G279" s="2"/>
    </row>
    <row r="280" spans="1:7" x14ac:dyDescent="0.35">
      <c r="A280" s="34">
        <f ca="1">LOOKUP(B280,'QALS - Inspection Lot Record'!P:P,'QALS - Inspection Lot Record'!E:E)</f>
        <v>45992</v>
      </c>
      <c r="B280" s="31">
        <v>4245</v>
      </c>
      <c r="C280" s="29" t="s">
        <v>429</v>
      </c>
      <c r="D280" s="41" t="s">
        <v>474</v>
      </c>
      <c r="E280" s="31">
        <v>1.9</v>
      </c>
      <c r="F280" s="2"/>
      <c r="G280" s="2"/>
    </row>
    <row r="281" spans="1:7" x14ac:dyDescent="0.35">
      <c r="A281" s="34">
        <f ca="1">LOOKUP(B281,'QALS - Inspection Lot Record'!P:P,'QALS - Inspection Lot Record'!E:E)</f>
        <v>45992</v>
      </c>
      <c r="B281" s="31">
        <v>4245</v>
      </c>
      <c r="C281" s="29" t="s">
        <v>429</v>
      </c>
      <c r="D281" s="41" t="s">
        <v>480</v>
      </c>
      <c r="E281" s="31">
        <v>68.599999999999994</v>
      </c>
      <c r="F281" s="2"/>
      <c r="G281" s="2"/>
    </row>
    <row r="282" spans="1:7" x14ac:dyDescent="0.35">
      <c r="A282" s="34">
        <f ca="1">LOOKUP(B282,'QALS - Inspection Lot Record'!P:P,'QALS - Inspection Lot Record'!E:E)</f>
        <v>45992</v>
      </c>
      <c r="B282" s="31">
        <v>4245</v>
      </c>
      <c r="C282" s="29" t="s">
        <v>429</v>
      </c>
      <c r="D282" s="41" t="s">
        <v>486</v>
      </c>
      <c r="E282" s="31">
        <v>78.3</v>
      </c>
      <c r="F282" s="2"/>
      <c r="G282" s="2"/>
    </row>
    <row r="283" spans="1:7" x14ac:dyDescent="0.35">
      <c r="A283" s="34">
        <f ca="1">LOOKUP(B283,'QALS - Inspection Lot Record'!P:P,'QALS - Inspection Lot Record'!E:E)</f>
        <v>45992</v>
      </c>
      <c r="B283" s="31">
        <v>4246</v>
      </c>
      <c r="C283" s="29" t="s">
        <v>503</v>
      </c>
      <c r="D283" s="41" t="s">
        <v>486</v>
      </c>
      <c r="E283" s="31">
        <v>78.8</v>
      </c>
      <c r="F283" s="2"/>
      <c r="G283" s="2"/>
    </row>
    <row r="284" spans="1:7" x14ac:dyDescent="0.35">
      <c r="A284" s="34">
        <f ca="1">LOOKUP(B284,'QALS - Inspection Lot Record'!P:P,'QALS - Inspection Lot Record'!E:E)</f>
        <v>45993</v>
      </c>
      <c r="B284" s="31">
        <v>4247</v>
      </c>
      <c r="C284" s="29" t="s">
        <v>504</v>
      </c>
      <c r="D284" s="41" t="s">
        <v>472</v>
      </c>
      <c r="E284" s="31">
        <v>93.8</v>
      </c>
      <c r="F284" s="2"/>
      <c r="G284" s="2"/>
    </row>
    <row r="285" spans="1:7" x14ac:dyDescent="0.35">
      <c r="A285" s="34">
        <f ca="1">LOOKUP(B285,'QALS - Inspection Lot Record'!P:P,'QALS - Inspection Lot Record'!E:E)</f>
        <v>45993</v>
      </c>
      <c r="B285" s="31">
        <v>4248</v>
      </c>
      <c r="C285" s="29" t="s">
        <v>504</v>
      </c>
      <c r="D285" s="41" t="s">
        <v>478</v>
      </c>
      <c r="E285" s="31">
        <v>38.9</v>
      </c>
      <c r="F285" s="2"/>
      <c r="G285" s="2"/>
    </row>
    <row r="286" spans="1:7" x14ac:dyDescent="0.35">
      <c r="A286" s="34">
        <f ca="1">LOOKUP(B286,'QALS - Inspection Lot Record'!P:P,'QALS - Inspection Lot Record'!E:E)</f>
        <v>45993</v>
      </c>
      <c r="B286" s="31">
        <v>4248</v>
      </c>
      <c r="C286" s="29" t="s">
        <v>504</v>
      </c>
      <c r="D286" s="41" t="s">
        <v>480</v>
      </c>
      <c r="E286" s="31">
        <v>68.5</v>
      </c>
      <c r="F286" s="2"/>
      <c r="G286" s="2"/>
    </row>
    <row r="287" spans="1:7" x14ac:dyDescent="0.35">
      <c r="A287" s="34">
        <f ca="1">LOOKUP(B287,'QALS - Inspection Lot Record'!P:P,'QALS - Inspection Lot Record'!E:E)</f>
        <v>45993</v>
      </c>
      <c r="B287" s="31">
        <v>4248</v>
      </c>
      <c r="C287" s="29" t="s">
        <v>504</v>
      </c>
      <c r="D287" s="41" t="s">
        <v>483</v>
      </c>
      <c r="E287" s="31">
        <v>21.3</v>
      </c>
      <c r="F287" s="2"/>
      <c r="G287" s="2"/>
    </row>
    <row r="288" spans="1:7" x14ac:dyDescent="0.35">
      <c r="A288" s="34">
        <f ca="1">LOOKUP(B288,'QALS - Inspection Lot Record'!P:P,'QALS - Inspection Lot Record'!E:E)</f>
        <v>45995</v>
      </c>
      <c r="B288" s="31">
        <v>4251</v>
      </c>
      <c r="C288" s="29" t="s">
        <v>429</v>
      </c>
      <c r="D288" s="41" t="s">
        <v>474</v>
      </c>
      <c r="E288" s="31">
        <v>2.2999999999999998</v>
      </c>
      <c r="F288" s="2"/>
      <c r="G288" s="2"/>
    </row>
    <row r="289" spans="1:7" x14ac:dyDescent="0.35">
      <c r="A289" s="34">
        <f ca="1">LOOKUP(B289,'QALS - Inspection Lot Record'!P:P,'QALS - Inspection Lot Record'!E:E)</f>
        <v>45995</v>
      </c>
      <c r="B289" s="31">
        <v>4251</v>
      </c>
      <c r="C289" s="29" t="s">
        <v>429</v>
      </c>
      <c r="D289" s="41" t="s">
        <v>486</v>
      </c>
      <c r="E289" s="31">
        <v>78.400000000000006</v>
      </c>
      <c r="F289" s="2"/>
      <c r="G289" s="2"/>
    </row>
    <row r="290" spans="1:7" x14ac:dyDescent="0.35">
      <c r="A290" s="34">
        <f ca="1">LOOKUP(B290,'QALS - Inspection Lot Record'!P:P,'QALS - Inspection Lot Record'!E:E)</f>
        <v>45996</v>
      </c>
      <c r="B290" s="31">
        <v>4253</v>
      </c>
      <c r="C290" s="29" t="s">
        <v>431</v>
      </c>
      <c r="D290" s="41" t="s">
        <v>472</v>
      </c>
      <c r="E290" s="31">
        <v>93.5</v>
      </c>
      <c r="F290" s="2"/>
      <c r="G290" s="2"/>
    </row>
    <row r="291" spans="1:7" x14ac:dyDescent="0.35">
      <c r="A291" s="34">
        <f ca="1">LOOKUP(B291,'QALS - Inspection Lot Record'!P:P,'QALS - Inspection Lot Record'!E:E)</f>
        <v>45998</v>
      </c>
      <c r="B291" s="31">
        <v>4257</v>
      </c>
      <c r="C291" s="29" t="s">
        <v>503</v>
      </c>
      <c r="D291" s="41" t="s">
        <v>472</v>
      </c>
      <c r="E291" s="31">
        <v>93.8</v>
      </c>
      <c r="F291" s="2"/>
      <c r="G291" s="2"/>
    </row>
    <row r="292" spans="1:7" x14ac:dyDescent="0.35">
      <c r="A292" s="34">
        <f ca="1">LOOKUP(B292,'QALS - Inspection Lot Record'!P:P,'QALS - Inspection Lot Record'!E:E)</f>
        <v>45998</v>
      </c>
      <c r="B292" s="31">
        <v>4258</v>
      </c>
      <c r="C292" s="29" t="s">
        <v>433</v>
      </c>
      <c r="D292" s="41" t="s">
        <v>472</v>
      </c>
      <c r="E292" s="31">
        <v>93.6</v>
      </c>
      <c r="F292" s="2"/>
      <c r="G292" s="2"/>
    </row>
    <row r="293" spans="1:7" x14ac:dyDescent="0.35">
      <c r="A293" s="34">
        <f ca="1">LOOKUP(B293,'QALS - Inspection Lot Record'!P:P,'QALS - Inspection Lot Record'!E:E)</f>
        <v>45999</v>
      </c>
      <c r="B293" s="31">
        <v>4259</v>
      </c>
      <c r="C293" s="29" t="s">
        <v>433</v>
      </c>
      <c r="D293" s="41" t="s">
        <v>472</v>
      </c>
      <c r="E293" s="31">
        <v>93</v>
      </c>
      <c r="F293" s="2"/>
      <c r="G293" s="2"/>
    </row>
    <row r="294" spans="1:7" x14ac:dyDescent="0.35">
      <c r="A294" s="34">
        <f ca="1">LOOKUP(B294,'QALS - Inspection Lot Record'!P:P,'QALS - Inspection Lot Record'!E:E)</f>
        <v>45999</v>
      </c>
      <c r="B294" s="31">
        <v>4259</v>
      </c>
      <c r="C294" s="29" t="s">
        <v>433</v>
      </c>
      <c r="D294" s="41" t="s">
        <v>474</v>
      </c>
      <c r="E294" s="31">
        <v>1.9</v>
      </c>
      <c r="F294" s="2"/>
      <c r="G294" s="2"/>
    </row>
    <row r="295" spans="1:7" x14ac:dyDescent="0.35">
      <c r="A295" s="34">
        <f ca="1">LOOKUP(B295,'QALS - Inspection Lot Record'!P:P,'QALS - Inspection Lot Record'!E:E)</f>
        <v>45999</v>
      </c>
      <c r="B295" s="31">
        <v>4260</v>
      </c>
      <c r="C295" s="29" t="s">
        <v>503</v>
      </c>
      <c r="D295" s="41" t="s">
        <v>483</v>
      </c>
      <c r="E295" s="31">
        <v>21.2</v>
      </c>
      <c r="F295" s="2"/>
      <c r="G295" s="2"/>
    </row>
    <row r="296" spans="1:7" x14ac:dyDescent="0.35">
      <c r="A296" s="34">
        <f ca="1">LOOKUP(B296,'QALS - Inspection Lot Record'!P:P,'QALS - Inspection Lot Record'!E:E)</f>
        <v>46001</v>
      </c>
      <c r="B296" s="31">
        <v>4264</v>
      </c>
      <c r="C296" s="29" t="s">
        <v>504</v>
      </c>
      <c r="D296" s="41" t="s">
        <v>478</v>
      </c>
      <c r="E296" s="31">
        <v>39</v>
      </c>
      <c r="F296" s="2"/>
      <c r="G296" s="2"/>
    </row>
    <row r="297" spans="1:7" x14ac:dyDescent="0.35">
      <c r="A297" s="34">
        <f ca="1">LOOKUP(B297,'QALS - Inspection Lot Record'!P:P,'QALS - Inspection Lot Record'!E:E)</f>
        <v>46001</v>
      </c>
      <c r="B297" s="31">
        <v>4264</v>
      </c>
      <c r="C297" s="29" t="s">
        <v>504</v>
      </c>
      <c r="D297" s="41" t="s">
        <v>483</v>
      </c>
      <c r="E297" s="31">
        <v>21.9</v>
      </c>
      <c r="F297" s="2"/>
      <c r="G297" s="2"/>
    </row>
    <row r="298" spans="1:7" x14ac:dyDescent="0.35">
      <c r="A298" s="34">
        <f ca="1">LOOKUP(B298,'QALS - Inspection Lot Record'!P:P,'QALS - Inspection Lot Record'!E:E)</f>
        <v>46003</v>
      </c>
      <c r="B298" s="31">
        <v>4267</v>
      </c>
      <c r="C298" s="29" t="s">
        <v>431</v>
      </c>
      <c r="D298" s="41" t="s">
        <v>480</v>
      </c>
      <c r="E298" s="31">
        <v>68.599999999999994</v>
      </c>
      <c r="F298" s="2"/>
      <c r="G298" s="2"/>
    </row>
    <row r="299" spans="1:7" x14ac:dyDescent="0.35">
      <c r="A299" s="34">
        <f ca="1">LOOKUP(B299,'QALS - Inspection Lot Record'!P:P,'QALS - Inspection Lot Record'!E:E)</f>
        <v>46005</v>
      </c>
      <c r="B299" s="31">
        <v>4272</v>
      </c>
      <c r="C299" s="29" t="s">
        <v>503</v>
      </c>
      <c r="D299" s="41" t="s">
        <v>486</v>
      </c>
      <c r="E299" s="31">
        <v>78.8</v>
      </c>
      <c r="F299" s="2"/>
      <c r="G299" s="2"/>
    </row>
    <row r="300" spans="1:7" x14ac:dyDescent="0.35">
      <c r="A300" s="34">
        <f ca="1">LOOKUP(B300,'QALS - Inspection Lot Record'!P:P,'QALS - Inspection Lot Record'!E:E)</f>
        <v>46005</v>
      </c>
      <c r="B300" s="31">
        <v>4272</v>
      </c>
      <c r="C300" s="29" t="s">
        <v>503</v>
      </c>
      <c r="D300" s="41" t="s">
        <v>483</v>
      </c>
      <c r="E300" s="31">
        <v>21.1</v>
      </c>
      <c r="F300" s="2"/>
      <c r="G300" s="2"/>
    </row>
    <row r="301" spans="1:7" x14ac:dyDescent="0.35">
      <c r="A301" s="34">
        <f ca="1">LOOKUP(B301,'QALS - Inspection Lot Record'!P:P,'QALS - Inspection Lot Record'!E:E)</f>
        <v>46006</v>
      </c>
      <c r="B301" s="31">
        <v>4273</v>
      </c>
      <c r="C301" s="29" t="s">
        <v>503</v>
      </c>
      <c r="D301" s="41" t="s">
        <v>480</v>
      </c>
      <c r="E301" s="31">
        <v>68.599999999999994</v>
      </c>
      <c r="F301" s="2"/>
      <c r="G301" s="2"/>
    </row>
    <row r="302" spans="1:7" x14ac:dyDescent="0.35">
      <c r="A302" s="34">
        <f ca="1">LOOKUP(B302,'QALS - Inspection Lot Record'!P:P,'QALS - Inspection Lot Record'!E:E)</f>
        <v>46008</v>
      </c>
      <c r="B302" s="31">
        <v>4277</v>
      </c>
      <c r="C302" s="29" t="s">
        <v>429</v>
      </c>
      <c r="D302" s="41" t="s">
        <v>478</v>
      </c>
      <c r="E302" s="31">
        <v>38.9</v>
      </c>
      <c r="F302" s="2"/>
      <c r="G302" s="2"/>
    </row>
    <row r="303" spans="1:7" x14ac:dyDescent="0.35">
      <c r="A303" s="34">
        <f ca="1">LOOKUP(B303,'QALS - Inspection Lot Record'!P:P,'QALS - Inspection Lot Record'!E:E)</f>
        <v>46008</v>
      </c>
      <c r="B303" s="31">
        <v>4277</v>
      </c>
      <c r="C303" s="29" t="s">
        <v>429</v>
      </c>
      <c r="D303" s="41" t="s">
        <v>483</v>
      </c>
      <c r="E303" s="31">
        <v>21.8</v>
      </c>
      <c r="F303" s="2"/>
      <c r="G303" s="2"/>
    </row>
    <row r="304" spans="1:7" x14ac:dyDescent="0.35">
      <c r="A304" s="34">
        <f ca="1">LOOKUP(B304,'QALS - Inspection Lot Record'!P:P,'QALS - Inspection Lot Record'!E:E)</f>
        <v>46008</v>
      </c>
      <c r="B304" s="31">
        <v>4278</v>
      </c>
      <c r="C304" s="29" t="s">
        <v>433</v>
      </c>
      <c r="D304" s="41" t="s">
        <v>474</v>
      </c>
      <c r="E304" s="31">
        <v>2</v>
      </c>
      <c r="F304" s="2"/>
      <c r="G304" s="2"/>
    </row>
    <row r="305" spans="1:7" x14ac:dyDescent="0.35">
      <c r="A305" s="34">
        <f ca="1">LOOKUP(B305,'QALS - Inspection Lot Record'!P:P,'QALS - Inspection Lot Record'!E:E)</f>
        <v>46008</v>
      </c>
      <c r="B305" s="31">
        <v>4278</v>
      </c>
      <c r="C305" s="29" t="s">
        <v>433</v>
      </c>
      <c r="D305" s="41" t="s">
        <v>480</v>
      </c>
      <c r="E305" s="31">
        <v>69</v>
      </c>
      <c r="F305" s="2"/>
      <c r="G305" s="2"/>
    </row>
    <row r="306" spans="1:7" x14ac:dyDescent="0.35">
      <c r="A306" s="34">
        <f ca="1">LOOKUP(B306,'QALS - Inspection Lot Record'!P:P,'QALS - Inspection Lot Record'!E:E)</f>
        <v>46008</v>
      </c>
      <c r="B306" s="31">
        <v>4278</v>
      </c>
      <c r="C306" s="29" t="s">
        <v>433</v>
      </c>
      <c r="D306" s="41" t="s">
        <v>483</v>
      </c>
      <c r="E306" s="31">
        <v>21.1</v>
      </c>
      <c r="F306" s="2"/>
      <c r="G306" s="2"/>
    </row>
    <row r="307" spans="1:7" x14ac:dyDescent="0.35">
      <c r="A307" s="34">
        <f ca="1">LOOKUP(B307,'QALS - Inspection Lot Record'!P:P,'QALS - Inspection Lot Record'!E:E)</f>
        <v>46010</v>
      </c>
      <c r="B307" s="31">
        <v>4281</v>
      </c>
      <c r="C307" s="29" t="s">
        <v>504</v>
      </c>
      <c r="D307" s="41" t="s">
        <v>472</v>
      </c>
      <c r="E307" s="31">
        <v>93.9</v>
      </c>
      <c r="F307" s="2"/>
      <c r="G307" s="2"/>
    </row>
    <row r="308" spans="1:7" x14ac:dyDescent="0.35">
      <c r="A308" s="34">
        <f ca="1">LOOKUP(B308,'QALS - Inspection Lot Record'!P:P,'QALS - Inspection Lot Record'!E:E)</f>
        <v>46010</v>
      </c>
      <c r="B308" s="31">
        <v>4281</v>
      </c>
      <c r="C308" s="29" t="s">
        <v>504</v>
      </c>
      <c r="D308" s="41" t="s">
        <v>480</v>
      </c>
      <c r="E308" s="31">
        <v>68.3</v>
      </c>
      <c r="F308" s="2"/>
      <c r="G308" s="2"/>
    </row>
    <row r="309" spans="1:7" x14ac:dyDescent="0.35">
      <c r="A309" s="34">
        <f ca="1">LOOKUP(B309,'QALS - Inspection Lot Record'!P:P,'QALS - Inspection Lot Record'!E:E)</f>
        <v>46010</v>
      </c>
      <c r="B309" s="31">
        <v>4281</v>
      </c>
      <c r="C309" s="29" t="s">
        <v>504</v>
      </c>
      <c r="D309" s="41" t="s">
        <v>483</v>
      </c>
      <c r="E309" s="31">
        <v>21</v>
      </c>
      <c r="F309" s="2"/>
      <c r="G309" s="2"/>
    </row>
    <row r="310" spans="1:7" x14ac:dyDescent="0.35">
      <c r="A310" s="34">
        <f ca="1">LOOKUP(B310,'QALS - Inspection Lot Record'!P:P,'QALS - Inspection Lot Record'!E:E)</f>
        <v>46010</v>
      </c>
      <c r="B310" s="31">
        <v>4282</v>
      </c>
      <c r="C310" s="29" t="s">
        <v>433</v>
      </c>
      <c r="D310" s="41" t="s">
        <v>474</v>
      </c>
      <c r="E310" s="31">
        <v>2</v>
      </c>
      <c r="F310" s="2"/>
      <c r="G310" s="2"/>
    </row>
    <row r="311" spans="1:7" x14ac:dyDescent="0.35">
      <c r="A311" s="34">
        <f ca="1">LOOKUP(B311,'QALS - Inspection Lot Record'!P:P,'QALS - Inspection Lot Record'!E:E)</f>
        <v>46010</v>
      </c>
      <c r="B311" s="31">
        <v>4282</v>
      </c>
      <c r="C311" s="29" t="s">
        <v>433</v>
      </c>
      <c r="D311" s="41" t="s">
        <v>486</v>
      </c>
      <c r="E311" s="31">
        <v>78.400000000000006</v>
      </c>
      <c r="F311" s="2"/>
      <c r="G311" s="2"/>
    </row>
    <row r="312" spans="1:7" x14ac:dyDescent="0.35">
      <c r="A312" s="34">
        <f ca="1">LOOKUP(B312,'QALS - Inspection Lot Record'!P:P,'QALS - Inspection Lot Record'!E:E)</f>
        <v>46012</v>
      </c>
      <c r="B312" s="31">
        <v>4285</v>
      </c>
      <c r="C312" s="29" t="s">
        <v>503</v>
      </c>
      <c r="D312" s="41" t="s">
        <v>474</v>
      </c>
      <c r="E312" s="31">
        <v>1.9</v>
      </c>
      <c r="F312" s="2"/>
      <c r="G312" s="2"/>
    </row>
    <row r="313" spans="1:7" x14ac:dyDescent="0.35">
      <c r="A313" s="34">
        <f ca="1">LOOKUP(B313,'QALS - Inspection Lot Record'!P:P,'QALS - Inspection Lot Record'!E:E)</f>
        <v>46012</v>
      </c>
      <c r="B313" s="31">
        <v>4285</v>
      </c>
      <c r="C313" s="29" t="s">
        <v>503</v>
      </c>
      <c r="D313" s="41" t="s">
        <v>480</v>
      </c>
      <c r="E313" s="31">
        <v>68.099999999999994</v>
      </c>
      <c r="F313" s="2"/>
      <c r="G313" s="2"/>
    </row>
    <row r="314" spans="1:7" x14ac:dyDescent="0.35">
      <c r="A314" s="34">
        <f ca="1">LOOKUP(B314,'QALS - Inspection Lot Record'!P:P,'QALS - Inspection Lot Record'!E:E)</f>
        <v>46012</v>
      </c>
      <c r="B314" s="31">
        <v>4285</v>
      </c>
      <c r="C314" s="29" t="s">
        <v>503</v>
      </c>
      <c r="D314" s="41" t="s">
        <v>486</v>
      </c>
      <c r="E314" s="31">
        <v>78</v>
      </c>
      <c r="F314" s="2"/>
      <c r="G314" s="2"/>
    </row>
    <row r="315" spans="1:7" x14ac:dyDescent="0.35">
      <c r="A315" s="34">
        <f ca="1">LOOKUP(B315,'QALS - Inspection Lot Record'!P:P,'QALS - Inspection Lot Record'!E:E)</f>
        <v>46012</v>
      </c>
      <c r="B315" s="31">
        <v>4286</v>
      </c>
      <c r="C315" s="29" t="s">
        <v>504</v>
      </c>
      <c r="D315" s="41" t="s">
        <v>472</v>
      </c>
      <c r="E315" s="31">
        <v>94</v>
      </c>
      <c r="F315" s="2"/>
      <c r="G315" s="2"/>
    </row>
    <row r="316" spans="1:7" x14ac:dyDescent="0.35">
      <c r="A316" s="34">
        <f ca="1">LOOKUP(B316,'QALS - Inspection Lot Record'!P:P,'QALS - Inspection Lot Record'!E:E)</f>
        <v>46012</v>
      </c>
      <c r="B316" s="31">
        <v>4286</v>
      </c>
      <c r="C316" s="29" t="s">
        <v>504</v>
      </c>
      <c r="D316" s="41" t="s">
        <v>476</v>
      </c>
      <c r="E316" s="31">
        <v>3</v>
      </c>
      <c r="F316" s="2"/>
      <c r="G316" s="2"/>
    </row>
    <row r="317" spans="1:7" x14ac:dyDescent="0.35">
      <c r="A317" s="34">
        <f ca="1">LOOKUP(B317,'QALS - Inspection Lot Record'!P:P,'QALS - Inspection Lot Record'!E:E)</f>
        <v>46014</v>
      </c>
      <c r="B317" s="31">
        <v>4289</v>
      </c>
      <c r="C317" s="29" t="s">
        <v>503</v>
      </c>
      <c r="D317" s="41" t="s">
        <v>472</v>
      </c>
      <c r="E317" s="31">
        <v>93.1</v>
      </c>
      <c r="F317" s="2"/>
      <c r="G317" s="2"/>
    </row>
    <row r="318" spans="1:7" x14ac:dyDescent="0.35">
      <c r="A318" s="34">
        <f ca="1">LOOKUP(B318,'QALS - Inspection Lot Record'!P:P,'QALS - Inspection Lot Record'!E:E)</f>
        <v>46014</v>
      </c>
      <c r="B318" s="31">
        <v>4289</v>
      </c>
      <c r="C318" s="29" t="s">
        <v>503</v>
      </c>
      <c r="D318" s="41" t="s">
        <v>474</v>
      </c>
      <c r="E318" s="31">
        <v>2.2999999999999998</v>
      </c>
      <c r="F318" s="2"/>
      <c r="G318" s="2"/>
    </row>
    <row r="319" spans="1:7" x14ac:dyDescent="0.35">
      <c r="A319" s="34">
        <f ca="1">LOOKUP(B319,'QALS - Inspection Lot Record'!P:P,'QALS - Inspection Lot Record'!E:E)</f>
        <v>46014</v>
      </c>
      <c r="B319" s="31">
        <v>4290</v>
      </c>
      <c r="C319" s="29" t="s">
        <v>503</v>
      </c>
      <c r="D319" s="41" t="s">
        <v>472</v>
      </c>
      <c r="E319" s="31">
        <v>93.7</v>
      </c>
      <c r="F319" s="2"/>
      <c r="G319" s="2"/>
    </row>
    <row r="320" spans="1:7" x14ac:dyDescent="0.35">
      <c r="A320" s="34">
        <f ca="1">LOOKUP(B320,'QALS - Inspection Lot Record'!P:P,'QALS - Inspection Lot Record'!E:E)</f>
        <v>46014</v>
      </c>
      <c r="B320" s="31">
        <v>4290</v>
      </c>
      <c r="C320" s="29" t="s">
        <v>503</v>
      </c>
      <c r="D320" s="41" t="s">
        <v>480</v>
      </c>
      <c r="E320" s="31">
        <v>68.400000000000006</v>
      </c>
      <c r="F320" s="2"/>
      <c r="G320" s="2"/>
    </row>
    <row r="321" spans="1:7" x14ac:dyDescent="0.35">
      <c r="A321" s="34">
        <f ca="1">LOOKUP(B321,'QALS - Inspection Lot Record'!P:P,'QALS - Inspection Lot Record'!E:E)</f>
        <v>46014</v>
      </c>
      <c r="B321" s="31">
        <v>4290</v>
      </c>
      <c r="C321" s="29" t="s">
        <v>503</v>
      </c>
      <c r="D321" s="41" t="s">
        <v>486</v>
      </c>
      <c r="E321" s="31">
        <v>78.2</v>
      </c>
      <c r="F321" s="2"/>
      <c r="G321" s="2"/>
    </row>
    <row r="322" spans="1:7" x14ac:dyDescent="0.35">
      <c r="A322" s="34">
        <f ca="1">LOOKUP(B322,'QALS - Inspection Lot Record'!P:P,'QALS - Inspection Lot Record'!E:E)</f>
        <v>46016</v>
      </c>
      <c r="B322" s="31">
        <v>4293</v>
      </c>
      <c r="C322" s="29" t="s">
        <v>433</v>
      </c>
      <c r="D322" s="41" t="s">
        <v>474</v>
      </c>
      <c r="E322" s="31">
        <v>1.5</v>
      </c>
      <c r="F322" s="2"/>
      <c r="G322" s="2"/>
    </row>
    <row r="323" spans="1:7" x14ac:dyDescent="0.35">
      <c r="A323" s="34">
        <f ca="1">LOOKUP(B323,'QALS - Inspection Lot Record'!P:P,'QALS - Inspection Lot Record'!E:E)</f>
        <v>46016</v>
      </c>
      <c r="B323" s="31">
        <v>4293</v>
      </c>
      <c r="C323" s="29" t="s">
        <v>433</v>
      </c>
      <c r="D323" s="41" t="s">
        <v>478</v>
      </c>
      <c r="E323" s="31">
        <v>38</v>
      </c>
      <c r="F323" s="2"/>
      <c r="G323" s="2"/>
    </row>
    <row r="324" spans="1:7" x14ac:dyDescent="0.35">
      <c r="A324" s="34">
        <f ca="1">LOOKUP(B324,'QALS - Inspection Lot Record'!P:P,'QALS - Inspection Lot Record'!E:E)</f>
        <v>46016</v>
      </c>
      <c r="B324" s="31">
        <v>4294</v>
      </c>
      <c r="C324" s="29" t="s">
        <v>433</v>
      </c>
      <c r="D324" s="41" t="s">
        <v>472</v>
      </c>
      <c r="E324" s="31">
        <v>94</v>
      </c>
      <c r="F324" s="2"/>
      <c r="G324" s="2"/>
    </row>
    <row r="325" spans="1:7" x14ac:dyDescent="0.35">
      <c r="A325" s="34">
        <f ca="1">LOOKUP(B325,'QALS - Inspection Lot Record'!P:P,'QALS - Inspection Lot Record'!E:E)</f>
        <v>46016</v>
      </c>
      <c r="B325" s="31">
        <v>4294</v>
      </c>
      <c r="C325" s="29" t="s">
        <v>433</v>
      </c>
      <c r="D325" s="41" t="s">
        <v>474</v>
      </c>
      <c r="E325" s="31">
        <v>2</v>
      </c>
      <c r="F325" s="2"/>
      <c r="G325" s="2"/>
    </row>
    <row r="326" spans="1:7" x14ac:dyDescent="0.35">
      <c r="A326" s="34">
        <f ca="1">LOOKUP(B326,'QALS - Inspection Lot Record'!P:P,'QALS - Inspection Lot Record'!E:E)</f>
        <v>46016</v>
      </c>
      <c r="B326" s="31">
        <v>4294</v>
      </c>
      <c r="C326" s="29" t="s">
        <v>433</v>
      </c>
      <c r="D326" s="41" t="s">
        <v>476</v>
      </c>
      <c r="E326" s="31">
        <v>2.2000000000000002</v>
      </c>
      <c r="F326" s="2"/>
      <c r="G326" s="2"/>
    </row>
    <row r="327" spans="1:7" x14ac:dyDescent="0.35">
      <c r="A327" s="34">
        <f ca="1">LOOKUP(B327,'QALS - Inspection Lot Record'!P:P,'QALS - Inspection Lot Record'!E:E)</f>
        <v>46016</v>
      </c>
      <c r="B327" s="31">
        <v>4294</v>
      </c>
      <c r="C327" s="29" t="s">
        <v>433</v>
      </c>
      <c r="D327" s="41" t="s">
        <v>486</v>
      </c>
      <c r="E327" s="31">
        <v>78.2</v>
      </c>
      <c r="F327" s="2"/>
      <c r="G327" s="2"/>
    </row>
    <row r="328" spans="1:7" x14ac:dyDescent="0.35">
      <c r="A328" s="34">
        <f ca="1">LOOKUP(B328,'QALS - Inspection Lot Record'!P:P,'QALS - Inspection Lot Record'!E:E)</f>
        <v>46018</v>
      </c>
      <c r="B328" s="31">
        <v>4297</v>
      </c>
      <c r="C328" s="29" t="s">
        <v>431</v>
      </c>
      <c r="D328" s="41" t="s">
        <v>474</v>
      </c>
      <c r="E328" s="31">
        <v>5</v>
      </c>
      <c r="F328" s="2"/>
      <c r="G328" s="2"/>
    </row>
    <row r="329" spans="1:7" x14ac:dyDescent="0.35">
      <c r="A329" s="34">
        <f ca="1">LOOKUP(B329,'QALS - Inspection Lot Record'!P:P,'QALS - Inspection Lot Record'!E:E)</f>
        <v>46018</v>
      </c>
      <c r="B329" s="31">
        <v>4297</v>
      </c>
      <c r="C329" s="29" t="s">
        <v>431</v>
      </c>
      <c r="D329" s="41" t="s">
        <v>476</v>
      </c>
      <c r="E329" s="31">
        <v>2.1</v>
      </c>
      <c r="F329" s="2"/>
      <c r="G329" s="2"/>
    </row>
    <row r="330" spans="1:7" x14ac:dyDescent="0.35">
      <c r="A330" s="34">
        <f ca="1">LOOKUP(B330,'QALS - Inspection Lot Record'!P:P,'QALS - Inspection Lot Record'!E:E)</f>
        <v>46018</v>
      </c>
      <c r="B330" s="31">
        <v>4297</v>
      </c>
      <c r="C330" s="29" t="s">
        <v>431</v>
      </c>
      <c r="D330" s="41" t="s">
        <v>501</v>
      </c>
      <c r="E330" s="31">
        <v>90</v>
      </c>
      <c r="F330" s="2"/>
      <c r="G330" s="2"/>
    </row>
    <row r="331" spans="1:7" x14ac:dyDescent="0.35">
      <c r="A331" s="34">
        <f ca="1">LOOKUP(B331,'QALS - Inspection Lot Record'!P:P,'QALS - Inspection Lot Record'!E:E)</f>
        <v>46018</v>
      </c>
      <c r="B331" s="31">
        <v>4297</v>
      </c>
      <c r="C331" s="29" t="s">
        <v>431</v>
      </c>
      <c r="D331" s="41" t="s">
        <v>502</v>
      </c>
      <c r="E331" s="31">
        <v>100</v>
      </c>
      <c r="F331" s="2"/>
      <c r="G331" s="2"/>
    </row>
    <row r="332" spans="1:7" x14ac:dyDescent="0.35">
      <c r="A332" s="34">
        <f ca="1">LOOKUP(B332,'QALS - Inspection Lot Record'!P:P,'QALS - Inspection Lot Record'!E:E)</f>
        <v>46018</v>
      </c>
      <c r="B332" s="31">
        <v>4298</v>
      </c>
      <c r="C332" s="29" t="s">
        <v>504</v>
      </c>
      <c r="D332" s="41" t="s">
        <v>478</v>
      </c>
      <c r="E332" s="31">
        <v>38.9</v>
      </c>
      <c r="F332" s="2"/>
      <c r="G332" s="2"/>
    </row>
    <row r="333" spans="1:7" x14ac:dyDescent="0.35">
      <c r="A333" s="34">
        <f ca="1">LOOKUP(B333,'QALS - Inspection Lot Record'!P:P,'QALS - Inspection Lot Record'!E:E)</f>
        <v>46018</v>
      </c>
      <c r="B333" s="31">
        <v>4298</v>
      </c>
      <c r="C333" s="29" t="s">
        <v>504</v>
      </c>
      <c r="D333" s="41" t="s">
        <v>480</v>
      </c>
      <c r="E333" s="31">
        <v>68.8</v>
      </c>
      <c r="F333" s="2"/>
      <c r="G333" s="2"/>
    </row>
    <row r="334" spans="1:7" x14ac:dyDescent="0.35">
      <c r="A334" s="34">
        <f ca="1">LOOKUP(B334,'QALS - Inspection Lot Record'!P:P,'QALS - Inspection Lot Record'!E:E)</f>
        <v>46018</v>
      </c>
      <c r="B334" s="31">
        <v>4298</v>
      </c>
      <c r="C334" s="29" t="s">
        <v>504</v>
      </c>
      <c r="D334" s="41" t="s">
        <v>486</v>
      </c>
      <c r="E334" s="31">
        <v>78</v>
      </c>
      <c r="F334" s="2"/>
      <c r="G334" s="2"/>
    </row>
    <row r="335" spans="1:7" x14ac:dyDescent="0.35">
      <c r="A335" s="34">
        <f ca="1">LOOKUP(B335,'QALS - Inspection Lot Record'!P:P,'QALS - Inspection Lot Record'!E:E)</f>
        <v>46021</v>
      </c>
      <c r="B335" s="31">
        <v>4303</v>
      </c>
      <c r="C335" s="29" t="s">
        <v>431</v>
      </c>
      <c r="D335" s="41" t="s">
        <v>474</v>
      </c>
      <c r="E335" s="31">
        <v>4.4000000000000004</v>
      </c>
      <c r="F335" s="2"/>
      <c r="G335" s="2"/>
    </row>
    <row r="336" spans="1:7" x14ac:dyDescent="0.35">
      <c r="A336" s="34">
        <f ca="1">LOOKUP(B336,'QALS - Inspection Lot Record'!P:P,'QALS - Inspection Lot Record'!E:E)</f>
        <v>46021</v>
      </c>
      <c r="B336" s="31">
        <v>4303</v>
      </c>
      <c r="C336" s="29" t="s">
        <v>431</v>
      </c>
      <c r="D336" s="41" t="s">
        <v>480</v>
      </c>
      <c r="E336" s="31">
        <v>69</v>
      </c>
      <c r="F336" s="2"/>
      <c r="G336" s="2"/>
    </row>
    <row r="337" spans="1:7" x14ac:dyDescent="0.35">
      <c r="A337" s="34">
        <f ca="1">LOOKUP(B337,'QALS - Inspection Lot Record'!P:P,'QALS - Inspection Lot Record'!E:E)</f>
        <v>46021</v>
      </c>
      <c r="B337" s="31">
        <v>4303</v>
      </c>
      <c r="C337" s="29" t="s">
        <v>431</v>
      </c>
      <c r="D337" s="41" t="s">
        <v>486</v>
      </c>
      <c r="E337" s="31">
        <v>78.7</v>
      </c>
      <c r="F337" s="2"/>
      <c r="G337" s="2"/>
    </row>
    <row r="338" spans="1:7" x14ac:dyDescent="0.35">
      <c r="A338" s="34">
        <f ca="1">LOOKUP(B338,'QALS - Inspection Lot Record'!P:P,'QALS - Inspection Lot Record'!E:E)</f>
        <v>46021</v>
      </c>
      <c r="B338" s="31">
        <v>4304</v>
      </c>
      <c r="C338" s="29" t="s">
        <v>504</v>
      </c>
      <c r="D338" s="41" t="s">
        <v>472</v>
      </c>
      <c r="E338" s="31">
        <v>94</v>
      </c>
      <c r="F338" s="2"/>
      <c r="G338" s="2"/>
    </row>
    <row r="339" spans="1:7" x14ac:dyDescent="0.35">
      <c r="A339" s="34">
        <f ca="1">LOOKUP(B339,'QALS - Inspection Lot Record'!P:P,'QALS - Inspection Lot Record'!E:E)</f>
        <v>46021</v>
      </c>
      <c r="B339" s="31">
        <v>4304</v>
      </c>
      <c r="C339" s="29" t="s">
        <v>504</v>
      </c>
      <c r="D339" s="41" t="s">
        <v>478</v>
      </c>
      <c r="E339" s="31">
        <v>38</v>
      </c>
      <c r="F339" s="2"/>
      <c r="G339" s="2"/>
    </row>
    <row r="340" spans="1:7" x14ac:dyDescent="0.35">
      <c r="A340" s="34">
        <f ca="1">LOOKUP(B340,'QALS - Inspection Lot Record'!P:P,'QALS - Inspection Lot Record'!E:E)</f>
        <v>46021</v>
      </c>
      <c r="B340" s="31">
        <v>4304</v>
      </c>
      <c r="C340" s="29" t="s">
        <v>504</v>
      </c>
      <c r="D340" s="41" t="s">
        <v>480</v>
      </c>
      <c r="E340" s="31">
        <v>68.7</v>
      </c>
      <c r="F340" s="2"/>
      <c r="G340" s="2"/>
    </row>
    <row r="341" spans="1:7" x14ac:dyDescent="0.35">
      <c r="A341" s="34">
        <f ca="1">LOOKUP(B341,'QALS - Inspection Lot Record'!P:P,'QALS - Inspection Lot Record'!E:E)</f>
        <v>46021</v>
      </c>
      <c r="B341" s="31">
        <v>4304</v>
      </c>
      <c r="C341" s="29" t="s">
        <v>504</v>
      </c>
      <c r="D341" s="41" t="s">
        <v>486</v>
      </c>
      <c r="E341" s="31">
        <v>78.900000000000006</v>
      </c>
      <c r="F341" s="2"/>
      <c r="G341" s="2"/>
    </row>
    <row r="342" spans="1:7" x14ac:dyDescent="0.35">
      <c r="A342" s="34">
        <f ca="1">LOOKUP(B342,'QALS - Inspection Lot Record'!P:P,'QALS - Inspection Lot Record'!E:E)</f>
        <v>46022</v>
      </c>
      <c r="B342" s="31">
        <v>4305</v>
      </c>
      <c r="C342" s="29" t="s">
        <v>429</v>
      </c>
      <c r="D342" s="41" t="s">
        <v>472</v>
      </c>
      <c r="E342" s="31">
        <v>93.8</v>
      </c>
      <c r="F342" s="2"/>
      <c r="G342" s="2"/>
    </row>
    <row r="343" spans="1:7" x14ac:dyDescent="0.35">
      <c r="A343" s="34">
        <f ca="1">LOOKUP(B343,'QALS - Inspection Lot Record'!P:P,'QALS - Inspection Lot Record'!E:E)</f>
        <v>46022</v>
      </c>
      <c r="B343" s="31">
        <v>4306</v>
      </c>
      <c r="C343" s="29" t="s">
        <v>431</v>
      </c>
      <c r="D343" s="41" t="s">
        <v>480</v>
      </c>
      <c r="E343" s="31">
        <v>68.7</v>
      </c>
      <c r="F343" s="2"/>
      <c r="G343" s="2"/>
    </row>
    <row r="344" spans="1:7" x14ac:dyDescent="0.35">
      <c r="A344" s="34">
        <f ca="1">LOOKUP(B344,'QALS - Inspection Lot Record'!P:P,'QALS - Inspection Lot Record'!E:E)</f>
        <v>46022</v>
      </c>
      <c r="B344" s="31">
        <v>4306</v>
      </c>
      <c r="C344" s="29" t="s">
        <v>431</v>
      </c>
      <c r="D344" s="41" t="s">
        <v>486</v>
      </c>
      <c r="E344" s="31">
        <v>78.3</v>
      </c>
      <c r="F344" s="2"/>
      <c r="G344" s="2"/>
    </row>
    <row r="345" spans="1:7" x14ac:dyDescent="0.35">
      <c r="A345" s="34">
        <f ca="1">LOOKUP(B345,'QALS - Inspection Lot Record'!P:P,'QALS - Inspection Lot Record'!E:E)</f>
        <v>46023</v>
      </c>
      <c r="B345" s="31">
        <v>4307</v>
      </c>
      <c r="C345" s="29" t="s">
        <v>503</v>
      </c>
      <c r="D345" s="41" t="s">
        <v>474</v>
      </c>
      <c r="E345" s="31">
        <v>2.2000000000000002</v>
      </c>
      <c r="F345" s="2"/>
      <c r="G345" s="2"/>
    </row>
    <row r="346" spans="1:7" x14ac:dyDescent="0.35">
      <c r="A346" s="34">
        <f ca="1">LOOKUP(B346,'QALS - Inspection Lot Record'!P:P,'QALS - Inspection Lot Record'!E:E)</f>
        <v>46023</v>
      </c>
      <c r="B346" s="31">
        <v>4307</v>
      </c>
      <c r="C346" s="29" t="s">
        <v>503</v>
      </c>
      <c r="D346" s="41" t="s">
        <v>478</v>
      </c>
      <c r="E346" s="31">
        <v>39</v>
      </c>
      <c r="F346" s="2"/>
      <c r="G346" s="2"/>
    </row>
    <row r="347" spans="1:7" x14ac:dyDescent="0.35">
      <c r="A347" s="34">
        <f ca="1">LOOKUP(B347,'QALS - Inspection Lot Record'!P:P,'QALS - Inspection Lot Record'!E:E)</f>
        <v>46023</v>
      </c>
      <c r="B347" s="31">
        <v>4307</v>
      </c>
      <c r="C347" s="29" t="s">
        <v>503</v>
      </c>
      <c r="D347" s="41" t="s">
        <v>486</v>
      </c>
      <c r="E347" s="31">
        <v>78.2</v>
      </c>
      <c r="F347" s="2"/>
      <c r="G347" s="2"/>
    </row>
    <row r="348" spans="1:7" x14ac:dyDescent="0.35">
      <c r="A348" s="34">
        <f ca="1">LOOKUP(B348,'QALS - Inspection Lot Record'!P:P,'QALS - Inspection Lot Record'!E:E)</f>
        <v>46023</v>
      </c>
      <c r="B348" s="31">
        <v>4307</v>
      </c>
      <c r="C348" s="29" t="s">
        <v>503</v>
      </c>
      <c r="D348" s="41" t="s">
        <v>483</v>
      </c>
      <c r="E348" s="31">
        <v>21.5</v>
      </c>
      <c r="F348" s="2"/>
      <c r="G348" s="2"/>
    </row>
    <row r="349" spans="1:7" x14ac:dyDescent="0.35">
      <c r="A349" s="34">
        <f ca="1">LOOKUP(B349,'QALS - Inspection Lot Record'!P:P,'QALS - Inspection Lot Record'!E:E)</f>
        <v>46023</v>
      </c>
      <c r="B349" s="31">
        <v>4308</v>
      </c>
      <c r="C349" s="29" t="s">
        <v>503</v>
      </c>
      <c r="D349" s="41" t="s">
        <v>474</v>
      </c>
      <c r="E349" s="31">
        <v>2.2999999999999998</v>
      </c>
      <c r="F349" s="2"/>
      <c r="G349" s="2"/>
    </row>
    <row r="350" spans="1:7" x14ac:dyDescent="0.35">
      <c r="A350" s="34">
        <f ca="1">LOOKUP(B350,'QALS - Inspection Lot Record'!P:P,'QALS - Inspection Lot Record'!E:E)</f>
        <v>46023</v>
      </c>
      <c r="B350" s="31">
        <v>4308</v>
      </c>
      <c r="C350" s="29" t="s">
        <v>503</v>
      </c>
      <c r="D350" s="41" t="s">
        <v>476</v>
      </c>
      <c r="E350" s="31">
        <v>1.2</v>
      </c>
      <c r="F350" s="2"/>
      <c r="G350" s="2"/>
    </row>
    <row r="351" spans="1:7" x14ac:dyDescent="0.35">
      <c r="A351" s="34">
        <f ca="1">LOOKUP(B351,'QALS - Inspection Lot Record'!P:P,'QALS - Inspection Lot Record'!E:E)</f>
        <v>46023</v>
      </c>
      <c r="B351" s="31">
        <v>4308</v>
      </c>
      <c r="C351" s="29" t="s">
        <v>503</v>
      </c>
      <c r="D351" s="41" t="s">
        <v>480</v>
      </c>
      <c r="E351" s="31">
        <v>68.8</v>
      </c>
      <c r="F351" s="2"/>
      <c r="G351" s="2"/>
    </row>
    <row r="352" spans="1:7" x14ac:dyDescent="0.35">
      <c r="A352" s="34">
        <f ca="1">LOOKUP(B352,'QALS - Inspection Lot Record'!P:P,'QALS - Inspection Lot Record'!E:E)</f>
        <v>46023</v>
      </c>
      <c r="B352" s="31">
        <v>4308</v>
      </c>
      <c r="C352" s="29" t="s">
        <v>503</v>
      </c>
      <c r="D352" s="41" t="s">
        <v>486</v>
      </c>
      <c r="E352" s="31">
        <v>78.099999999999994</v>
      </c>
      <c r="F352" s="2"/>
      <c r="G352" s="2"/>
    </row>
    <row r="353" spans="1:7" x14ac:dyDescent="0.35">
      <c r="A353" s="34">
        <f ca="1">LOOKUP(B353,'QALS - Inspection Lot Record'!P:P,'QALS - Inspection Lot Record'!E:E)</f>
        <v>46024</v>
      </c>
      <c r="B353" s="31">
        <v>4309</v>
      </c>
      <c r="C353" s="29" t="s">
        <v>433</v>
      </c>
      <c r="D353" s="41" t="s">
        <v>483</v>
      </c>
      <c r="E353" s="31">
        <v>21.6</v>
      </c>
      <c r="F353" s="2"/>
      <c r="G353" s="2"/>
    </row>
    <row r="354" spans="1:7" x14ac:dyDescent="0.35">
      <c r="A354" s="34">
        <f ca="1">LOOKUP(B354,'QALS - Inspection Lot Record'!P:P,'QALS - Inspection Lot Record'!E:E)</f>
        <v>46024</v>
      </c>
      <c r="B354" s="31">
        <v>4310</v>
      </c>
      <c r="C354" s="29" t="s">
        <v>429</v>
      </c>
      <c r="D354" s="41" t="s">
        <v>474</v>
      </c>
      <c r="E354" s="31">
        <v>2</v>
      </c>
      <c r="F354" s="2"/>
      <c r="G354" s="2"/>
    </row>
    <row r="355" spans="1:7" x14ac:dyDescent="0.35">
      <c r="A355" s="34">
        <f ca="1">LOOKUP(B355,'QALS - Inspection Lot Record'!P:P,'QALS - Inspection Lot Record'!E:E)</f>
        <v>46024</v>
      </c>
      <c r="B355" s="31">
        <v>4310</v>
      </c>
      <c r="C355" s="29" t="s">
        <v>429</v>
      </c>
      <c r="D355" s="41" t="s">
        <v>480</v>
      </c>
      <c r="E355" s="31">
        <v>68.2</v>
      </c>
      <c r="F355" s="2"/>
      <c r="G355" s="2"/>
    </row>
    <row r="356" spans="1:7" x14ac:dyDescent="0.35">
      <c r="A356" s="34">
        <f ca="1">LOOKUP(B356,'QALS - Inspection Lot Record'!P:P,'QALS - Inspection Lot Record'!E:E)</f>
        <v>46025</v>
      </c>
      <c r="B356" s="31">
        <v>4311</v>
      </c>
      <c r="C356" s="29" t="s">
        <v>431</v>
      </c>
      <c r="D356" s="41" t="s">
        <v>472</v>
      </c>
      <c r="E356" s="31">
        <v>93.7</v>
      </c>
      <c r="F356" s="2"/>
      <c r="G356" s="2"/>
    </row>
    <row r="357" spans="1:7" x14ac:dyDescent="0.35">
      <c r="A357" s="34">
        <f ca="1">LOOKUP(B357,'QALS - Inspection Lot Record'!P:P,'QALS - Inspection Lot Record'!E:E)</f>
        <v>46026</v>
      </c>
      <c r="B357" s="31">
        <v>4313</v>
      </c>
      <c r="C357" s="29" t="s">
        <v>429</v>
      </c>
      <c r="D357" s="41" t="s">
        <v>486</v>
      </c>
      <c r="E357" s="31">
        <v>78.900000000000006</v>
      </c>
      <c r="F357" s="2"/>
      <c r="G357" s="2"/>
    </row>
    <row r="358" spans="1:7" x14ac:dyDescent="0.35">
      <c r="A358" s="34">
        <f ca="1">LOOKUP(B358,'QALS - Inspection Lot Record'!P:P,'QALS - Inspection Lot Record'!E:E)</f>
        <v>46026</v>
      </c>
      <c r="B358" s="31">
        <v>4314</v>
      </c>
      <c r="C358" s="29" t="s">
        <v>504</v>
      </c>
      <c r="D358" s="41" t="s">
        <v>472</v>
      </c>
      <c r="E358" s="31">
        <v>93.1</v>
      </c>
      <c r="F358" s="2"/>
      <c r="G358" s="2"/>
    </row>
    <row r="359" spans="1:7" x14ac:dyDescent="0.35">
      <c r="A359" s="34">
        <f ca="1">LOOKUP(B359,'QALS - Inspection Lot Record'!P:P,'QALS - Inspection Lot Record'!E:E)</f>
        <v>46026</v>
      </c>
      <c r="B359" s="31">
        <v>4314</v>
      </c>
      <c r="C359" s="29" t="s">
        <v>504</v>
      </c>
      <c r="D359" s="41" t="s">
        <v>478</v>
      </c>
      <c r="E359" s="31">
        <v>38.4</v>
      </c>
      <c r="F359" s="2"/>
      <c r="G359" s="2"/>
    </row>
    <row r="360" spans="1:7" x14ac:dyDescent="0.35">
      <c r="A360" s="34">
        <f ca="1">LOOKUP(B360,'QALS - Inspection Lot Record'!P:P,'QALS - Inspection Lot Record'!E:E)</f>
        <v>46026</v>
      </c>
      <c r="B360" s="31">
        <v>4314</v>
      </c>
      <c r="C360" s="29" t="s">
        <v>504</v>
      </c>
      <c r="D360" s="41" t="s">
        <v>480</v>
      </c>
      <c r="E360" s="31">
        <v>68.8</v>
      </c>
      <c r="F360" s="2"/>
      <c r="G360" s="2"/>
    </row>
    <row r="361" spans="1:7" x14ac:dyDescent="0.35">
      <c r="A361" s="34">
        <f ca="1">LOOKUP(B361,'QALS - Inspection Lot Record'!P:P,'QALS - Inspection Lot Record'!E:E)</f>
        <v>46028</v>
      </c>
      <c r="B361" s="31">
        <v>4317</v>
      </c>
      <c r="C361" s="29" t="s">
        <v>429</v>
      </c>
      <c r="D361" s="41" t="s">
        <v>486</v>
      </c>
      <c r="E361" s="31">
        <v>78.099999999999994</v>
      </c>
      <c r="F361" s="2"/>
      <c r="G361" s="2"/>
    </row>
    <row r="362" spans="1:7" x14ac:dyDescent="0.35">
      <c r="A362" s="34">
        <f ca="1">LOOKUP(B362,'QALS - Inspection Lot Record'!P:P,'QALS - Inspection Lot Record'!E:E)</f>
        <v>46028</v>
      </c>
      <c r="B362" s="31">
        <v>4318</v>
      </c>
      <c r="C362" s="29" t="s">
        <v>431</v>
      </c>
      <c r="D362" s="41" t="s">
        <v>472</v>
      </c>
      <c r="E362" s="31">
        <v>93.3</v>
      </c>
      <c r="F362" s="2"/>
      <c r="G362" s="2"/>
    </row>
    <row r="363" spans="1:7" x14ac:dyDescent="0.35">
      <c r="A363" s="34">
        <f ca="1">LOOKUP(B363,'QALS - Inspection Lot Record'!P:P,'QALS - Inspection Lot Record'!E:E)</f>
        <v>46029</v>
      </c>
      <c r="B363" s="31">
        <v>4320</v>
      </c>
      <c r="C363" s="29" t="s">
        <v>431</v>
      </c>
      <c r="D363" s="41" t="s">
        <v>472</v>
      </c>
      <c r="E363" s="31">
        <v>93.2</v>
      </c>
      <c r="F363" s="2"/>
      <c r="G363" s="2"/>
    </row>
    <row r="364" spans="1:7" x14ac:dyDescent="0.35">
      <c r="A364" s="34">
        <f ca="1">LOOKUP(B364,'QALS - Inspection Lot Record'!P:P,'QALS - Inspection Lot Record'!E:E)</f>
        <v>46032</v>
      </c>
      <c r="B364" s="31">
        <v>4325</v>
      </c>
      <c r="C364" s="29" t="s">
        <v>433</v>
      </c>
      <c r="D364" s="41" t="s">
        <v>474</v>
      </c>
      <c r="E364" s="31">
        <v>2.4</v>
      </c>
      <c r="F364" s="2"/>
      <c r="G364" s="2"/>
    </row>
    <row r="365" spans="1:7" x14ac:dyDescent="0.35">
      <c r="A365" s="34">
        <f ca="1">LOOKUP(B365,'QALS - Inspection Lot Record'!P:P,'QALS - Inspection Lot Record'!E:E)</f>
        <v>46032</v>
      </c>
      <c r="B365" s="31">
        <v>4325</v>
      </c>
      <c r="C365" s="29" t="s">
        <v>433</v>
      </c>
      <c r="D365" s="41" t="s">
        <v>486</v>
      </c>
      <c r="E365" s="31">
        <v>78.8</v>
      </c>
      <c r="F365" s="2"/>
      <c r="G365" s="2"/>
    </row>
    <row r="366" spans="1:7" x14ac:dyDescent="0.35">
      <c r="A366" s="34">
        <f ca="1">LOOKUP(B366,'QALS - Inspection Lot Record'!P:P,'QALS - Inspection Lot Record'!E:E)</f>
        <v>46032</v>
      </c>
      <c r="B366" s="31">
        <v>4325</v>
      </c>
      <c r="C366" s="29" t="s">
        <v>433</v>
      </c>
      <c r="D366" s="41" t="s">
        <v>483</v>
      </c>
      <c r="E366" s="31">
        <v>21.7</v>
      </c>
      <c r="F366" s="2"/>
      <c r="G366" s="2"/>
    </row>
    <row r="367" spans="1:7" x14ac:dyDescent="0.35">
      <c r="A367" s="34">
        <f ca="1">LOOKUP(B367,'QALS - Inspection Lot Record'!P:P,'QALS - Inspection Lot Record'!E:E)</f>
        <v>46038</v>
      </c>
      <c r="B367" s="31">
        <v>4337</v>
      </c>
      <c r="C367" s="29" t="s">
        <v>504</v>
      </c>
      <c r="D367" s="41" t="s">
        <v>474</v>
      </c>
      <c r="E367" s="31">
        <v>2.2000000000000002</v>
      </c>
      <c r="F367" s="2"/>
      <c r="G367" s="2"/>
    </row>
    <row r="368" spans="1:7" x14ac:dyDescent="0.35">
      <c r="A368" s="34">
        <f ca="1">LOOKUP(B368,'QALS - Inspection Lot Record'!P:P,'QALS - Inspection Lot Record'!E:E)</f>
        <v>46038</v>
      </c>
      <c r="B368" s="31">
        <v>4337</v>
      </c>
      <c r="C368" s="29" t="s">
        <v>504</v>
      </c>
      <c r="D368" s="41" t="s">
        <v>480</v>
      </c>
      <c r="E368" s="31">
        <v>68.400000000000006</v>
      </c>
      <c r="F368" s="2"/>
      <c r="G368" s="2"/>
    </row>
    <row r="369" spans="1:7" x14ac:dyDescent="0.35">
      <c r="A369" s="34">
        <f ca="1">LOOKUP(B369,'QALS - Inspection Lot Record'!P:P,'QALS - Inspection Lot Record'!E:E)</f>
        <v>46038</v>
      </c>
      <c r="B369" s="31">
        <v>4338</v>
      </c>
      <c r="C369" s="29" t="s">
        <v>504</v>
      </c>
      <c r="D369" s="41" t="s">
        <v>486</v>
      </c>
      <c r="E369" s="31">
        <v>78.7</v>
      </c>
      <c r="F369" s="2"/>
      <c r="G369" s="2"/>
    </row>
    <row r="370" spans="1:7" x14ac:dyDescent="0.35">
      <c r="A370" s="34">
        <f ca="1">LOOKUP(B370,'QALS - Inspection Lot Record'!P:P,'QALS - Inspection Lot Record'!E:E)</f>
        <v>46040</v>
      </c>
      <c r="B370" s="31">
        <v>4341</v>
      </c>
      <c r="C370" s="29" t="s">
        <v>431</v>
      </c>
      <c r="D370" s="41" t="s">
        <v>472</v>
      </c>
      <c r="E370" s="31">
        <v>94</v>
      </c>
      <c r="F370" s="2"/>
      <c r="G370" s="2"/>
    </row>
    <row r="371" spans="1:7" x14ac:dyDescent="0.35">
      <c r="A371" s="34">
        <f ca="1">LOOKUP(B371,'QALS - Inspection Lot Record'!P:P,'QALS - Inspection Lot Record'!E:E)</f>
        <v>46040</v>
      </c>
      <c r="B371" s="31">
        <v>4342</v>
      </c>
      <c r="C371" s="29" t="s">
        <v>503</v>
      </c>
      <c r="D371" s="41" t="s">
        <v>480</v>
      </c>
      <c r="E371" s="31">
        <v>68.8</v>
      </c>
      <c r="F371" s="2"/>
      <c r="G371" s="2"/>
    </row>
    <row r="372" spans="1:7" x14ac:dyDescent="0.35">
      <c r="A372" s="34">
        <f ca="1">LOOKUP(B372,'QALS - Inspection Lot Record'!P:P,'QALS - Inspection Lot Record'!E:E)</f>
        <v>46040</v>
      </c>
      <c r="B372" s="31">
        <v>4342</v>
      </c>
      <c r="C372" s="29" t="s">
        <v>503</v>
      </c>
      <c r="D372" s="41" t="s">
        <v>483</v>
      </c>
      <c r="E372" s="31">
        <v>21.9</v>
      </c>
      <c r="F372" s="2"/>
      <c r="G372" s="2"/>
    </row>
    <row r="373" spans="1:7" x14ac:dyDescent="0.35">
      <c r="A373" s="34">
        <f ca="1">LOOKUP(B373,'QALS - Inspection Lot Record'!P:P,'QALS - Inspection Lot Record'!E:E)</f>
        <v>46046</v>
      </c>
      <c r="B373" s="31">
        <v>4353</v>
      </c>
      <c r="C373" s="29" t="s">
        <v>429</v>
      </c>
      <c r="D373" s="41" t="s">
        <v>474</v>
      </c>
      <c r="E373" s="31">
        <v>2.4</v>
      </c>
      <c r="F373" s="2"/>
      <c r="G373" s="2"/>
    </row>
    <row r="374" spans="1:7" x14ac:dyDescent="0.35">
      <c r="A374" s="34">
        <f ca="1">LOOKUP(B374,'QALS - Inspection Lot Record'!P:P,'QALS - Inspection Lot Record'!E:E)</f>
        <v>46046</v>
      </c>
      <c r="B374" s="31">
        <v>4354</v>
      </c>
      <c r="C374" s="29" t="s">
        <v>504</v>
      </c>
      <c r="D374" s="41" t="s">
        <v>472</v>
      </c>
      <c r="E374" s="31">
        <v>93.7</v>
      </c>
      <c r="F374" s="2"/>
      <c r="G374" s="2"/>
    </row>
    <row r="375" spans="1:7" x14ac:dyDescent="0.35">
      <c r="A375" s="34">
        <f ca="1">LOOKUP(B375,'QALS - Inspection Lot Record'!P:P,'QALS - Inspection Lot Record'!E:E)</f>
        <v>46046</v>
      </c>
      <c r="B375" s="31">
        <v>4354</v>
      </c>
      <c r="C375" s="29" t="s">
        <v>504</v>
      </c>
      <c r="D375" s="41" t="s">
        <v>480</v>
      </c>
      <c r="E375" s="31">
        <v>68.5</v>
      </c>
      <c r="F375" s="2"/>
      <c r="G375" s="2"/>
    </row>
    <row r="376" spans="1:7" x14ac:dyDescent="0.35">
      <c r="A376" s="34">
        <f ca="1">LOOKUP(B376,'QALS - Inspection Lot Record'!P:P,'QALS - Inspection Lot Record'!E:E)</f>
        <v>46048</v>
      </c>
      <c r="B376" s="31">
        <v>4358</v>
      </c>
      <c r="C376" s="29" t="s">
        <v>429</v>
      </c>
      <c r="D376" s="41" t="s">
        <v>472</v>
      </c>
      <c r="E376" s="31">
        <v>93.1</v>
      </c>
      <c r="F376" s="2"/>
      <c r="G376" s="2"/>
    </row>
    <row r="377" spans="1:7" x14ac:dyDescent="0.35">
      <c r="A377" s="34">
        <f ca="1">LOOKUP(B377,'QALS - Inspection Lot Record'!P:P,'QALS - Inspection Lot Record'!E:E)</f>
        <v>46048</v>
      </c>
      <c r="B377" s="31">
        <v>4358</v>
      </c>
      <c r="C377" s="29" t="s">
        <v>429</v>
      </c>
      <c r="D377" s="41" t="s">
        <v>480</v>
      </c>
      <c r="E377" s="31">
        <v>68</v>
      </c>
      <c r="F377" s="2"/>
      <c r="G377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2833-7175-4D63-BABE-41E77C016AE7}">
  <dimension ref="A1:G11"/>
  <sheetViews>
    <sheetView workbookViewId="0">
      <selection activeCell="F11" sqref="F11"/>
    </sheetView>
  </sheetViews>
  <sheetFormatPr defaultRowHeight="14.5" x14ac:dyDescent="0.35"/>
  <cols>
    <col min="1" max="1" width="16.7265625" bestFit="1" customWidth="1"/>
    <col min="2" max="2" width="28.81640625" bestFit="1" customWidth="1"/>
    <col min="3" max="3" width="9.453125" bestFit="1" customWidth="1"/>
    <col min="5" max="5" width="39.54296875" bestFit="1" customWidth="1"/>
    <col min="6" max="6" width="55.453125" customWidth="1"/>
    <col min="7" max="7" width="54.453125" hidden="1" customWidth="1"/>
  </cols>
  <sheetData>
    <row r="1" spans="1:7" x14ac:dyDescent="0.35">
      <c r="A1" s="10" t="s">
        <v>506</v>
      </c>
      <c r="B1" s="10" t="s">
        <v>507</v>
      </c>
      <c r="C1" s="10" t="s">
        <v>509</v>
      </c>
      <c r="D1" s="10" t="s">
        <v>510</v>
      </c>
      <c r="E1" s="10" t="s">
        <v>544</v>
      </c>
      <c r="F1" s="10" t="s">
        <v>545</v>
      </c>
      <c r="G1" s="1" t="s">
        <v>546</v>
      </c>
    </row>
    <row r="2" spans="1:7" x14ac:dyDescent="0.35">
      <c r="A2" s="2" t="s">
        <v>547</v>
      </c>
      <c r="B2" s="2" t="s">
        <v>512</v>
      </c>
      <c r="C2" s="6">
        <v>45366</v>
      </c>
      <c r="D2" s="2">
        <v>0.02</v>
      </c>
      <c r="E2" s="2" t="s">
        <v>548</v>
      </c>
      <c r="F2" s="2" t="s">
        <v>549</v>
      </c>
      <c r="G2" t="s">
        <v>550</v>
      </c>
    </row>
    <row r="3" spans="1:7" x14ac:dyDescent="0.35">
      <c r="A3" s="2" t="s">
        <v>551</v>
      </c>
      <c r="B3" s="2" t="s">
        <v>512</v>
      </c>
      <c r="C3" s="6">
        <v>45323</v>
      </c>
      <c r="D3" s="2">
        <v>-0.05</v>
      </c>
      <c r="E3" s="2" t="s">
        <v>523</v>
      </c>
      <c r="F3" s="2" t="s">
        <v>552</v>
      </c>
      <c r="G3" t="s">
        <v>553</v>
      </c>
    </row>
    <row r="4" spans="1:7" x14ac:dyDescent="0.35">
      <c r="A4" s="2" t="s">
        <v>554</v>
      </c>
      <c r="B4" s="2" t="s">
        <v>512</v>
      </c>
      <c r="C4" s="6">
        <v>45301</v>
      </c>
      <c r="D4" s="2" t="s">
        <v>531</v>
      </c>
      <c r="E4" s="2" t="s">
        <v>555</v>
      </c>
      <c r="F4" s="2" t="s">
        <v>556</v>
      </c>
      <c r="G4" t="s">
        <v>557</v>
      </c>
    </row>
    <row r="5" spans="1:7" x14ac:dyDescent="0.35">
      <c r="A5" s="2" t="s">
        <v>558</v>
      </c>
      <c r="B5" s="2" t="s">
        <v>520</v>
      </c>
      <c r="C5" s="6">
        <v>45390</v>
      </c>
      <c r="D5" s="2">
        <v>0.08</v>
      </c>
      <c r="E5" s="2" t="s">
        <v>521</v>
      </c>
      <c r="F5" s="2" t="s">
        <v>559</v>
      </c>
      <c r="G5" t="s">
        <v>560</v>
      </c>
    </row>
    <row r="6" spans="1:7" x14ac:dyDescent="0.35">
      <c r="A6" s="2" t="s">
        <v>561</v>
      </c>
      <c r="B6" s="2" t="s">
        <v>520</v>
      </c>
      <c r="C6" s="6">
        <v>45373</v>
      </c>
      <c r="D6" s="2">
        <v>0.03</v>
      </c>
      <c r="E6" s="2" t="s">
        <v>523</v>
      </c>
      <c r="F6" s="2" t="s">
        <v>562</v>
      </c>
      <c r="G6" t="s">
        <v>563</v>
      </c>
    </row>
    <row r="7" spans="1:7" x14ac:dyDescent="0.35">
      <c r="A7" s="2" t="s">
        <v>564</v>
      </c>
      <c r="B7" s="2" t="s">
        <v>512</v>
      </c>
      <c r="C7" s="6">
        <v>45337</v>
      </c>
      <c r="D7" s="2">
        <v>0.04</v>
      </c>
      <c r="E7" s="2" t="s">
        <v>526</v>
      </c>
      <c r="F7" s="2" t="s">
        <v>565</v>
      </c>
      <c r="G7" t="s">
        <v>566</v>
      </c>
    </row>
    <row r="8" spans="1:7" x14ac:dyDescent="0.35">
      <c r="A8" s="2" t="s">
        <v>567</v>
      </c>
      <c r="B8" s="2" t="s">
        <v>512</v>
      </c>
      <c r="C8" s="6">
        <v>45311</v>
      </c>
      <c r="D8" s="2">
        <v>-7.0000000000000007E-2</v>
      </c>
      <c r="E8" s="2" t="s">
        <v>528</v>
      </c>
      <c r="F8" s="2" t="s">
        <v>568</v>
      </c>
      <c r="G8" t="s">
        <v>569</v>
      </c>
    </row>
    <row r="9" spans="1:7" x14ac:dyDescent="0.35">
      <c r="A9" s="2" t="s">
        <v>570</v>
      </c>
      <c r="B9" s="2" t="s">
        <v>520</v>
      </c>
      <c r="C9" s="6">
        <v>45352</v>
      </c>
      <c r="D9" s="2" t="s">
        <v>531</v>
      </c>
      <c r="E9" s="2" t="s">
        <v>571</v>
      </c>
      <c r="F9" s="2" t="s">
        <v>572</v>
      </c>
      <c r="G9" t="s">
        <v>573</v>
      </c>
    </row>
    <row r="10" spans="1:7" x14ac:dyDescent="0.35">
      <c r="A10" s="2" t="s">
        <v>574</v>
      </c>
      <c r="B10" s="2" t="s">
        <v>512</v>
      </c>
      <c r="C10" s="6">
        <v>45330</v>
      </c>
      <c r="D10" s="2">
        <v>0.02</v>
      </c>
      <c r="E10" s="2" t="s">
        <v>534</v>
      </c>
      <c r="F10" s="2" t="s">
        <v>575</v>
      </c>
      <c r="G10" t="s">
        <v>576</v>
      </c>
    </row>
    <row r="11" spans="1:7" x14ac:dyDescent="0.35">
      <c r="A11" s="2" t="s">
        <v>577</v>
      </c>
      <c r="B11" s="2" t="s">
        <v>512</v>
      </c>
      <c r="C11" s="6">
        <v>45322</v>
      </c>
      <c r="D11" s="2">
        <v>-0.06</v>
      </c>
      <c r="E11" s="2" t="s">
        <v>536</v>
      </c>
      <c r="F11" s="2" t="s">
        <v>578</v>
      </c>
      <c r="G11" t="s">
        <v>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7D7A-07DE-4D00-B5C2-45C7D815A6DE}">
  <dimension ref="A1:I43"/>
  <sheetViews>
    <sheetView tabSelected="1" topLeftCell="B1" workbookViewId="0">
      <selection activeCell="G41" sqref="G41"/>
    </sheetView>
  </sheetViews>
  <sheetFormatPr defaultRowHeight="14.5" x14ac:dyDescent="0.35"/>
  <cols>
    <col min="2" max="2" width="30.453125" bestFit="1" customWidth="1"/>
    <col min="3" max="3" width="24" customWidth="1"/>
    <col min="4" max="4" width="16.26953125" customWidth="1"/>
    <col min="5" max="5" width="23.81640625" customWidth="1"/>
    <col min="7" max="7" width="21.81640625" customWidth="1"/>
    <col min="8" max="8" width="27.81640625" bestFit="1" customWidth="1"/>
  </cols>
  <sheetData>
    <row r="1" spans="1:9" x14ac:dyDescent="0.35">
      <c r="A1" s="52" t="s">
        <v>580</v>
      </c>
      <c r="B1" s="53" t="s">
        <v>581</v>
      </c>
      <c r="C1" s="53" t="s">
        <v>582</v>
      </c>
      <c r="D1" s="72" t="s">
        <v>583</v>
      </c>
      <c r="E1" s="72" t="s">
        <v>584</v>
      </c>
      <c r="F1" s="72" t="s">
        <v>585</v>
      </c>
      <c r="G1" s="72" t="s">
        <v>586</v>
      </c>
      <c r="H1" s="73" t="s">
        <v>612</v>
      </c>
      <c r="I1" s="73" t="s">
        <v>613</v>
      </c>
    </row>
    <row r="2" spans="1:9" x14ac:dyDescent="0.35">
      <c r="A2">
        <v>1</v>
      </c>
      <c r="B2" t="s">
        <v>587</v>
      </c>
      <c r="C2" s="65" t="s">
        <v>0</v>
      </c>
      <c r="D2" t="s">
        <v>588</v>
      </c>
      <c r="E2" t="s">
        <v>589</v>
      </c>
      <c r="F2" t="s">
        <v>588</v>
      </c>
      <c r="G2" t="s">
        <v>588</v>
      </c>
      <c r="H2" t="s">
        <v>614</v>
      </c>
      <c r="I2" t="s">
        <v>615</v>
      </c>
    </row>
    <row r="3" spans="1:9" x14ac:dyDescent="0.35">
      <c r="A3">
        <v>2</v>
      </c>
      <c r="B3" t="s">
        <v>587</v>
      </c>
      <c r="C3" s="68" t="s">
        <v>1</v>
      </c>
      <c r="D3" t="s">
        <v>589</v>
      </c>
      <c r="E3" t="s">
        <v>589</v>
      </c>
      <c r="F3" t="s">
        <v>589</v>
      </c>
      <c r="G3" t="s">
        <v>589</v>
      </c>
      <c r="H3" t="s">
        <v>614</v>
      </c>
      <c r="I3" t="s">
        <v>616</v>
      </c>
    </row>
    <row r="4" spans="1:9" x14ac:dyDescent="0.35">
      <c r="A4">
        <v>3</v>
      </c>
      <c r="B4" t="s">
        <v>587</v>
      </c>
      <c r="C4" s="68" t="s">
        <v>2</v>
      </c>
      <c r="D4" t="s">
        <v>589</v>
      </c>
      <c r="E4" t="s">
        <v>589</v>
      </c>
      <c r="F4" t="s">
        <v>589</v>
      </c>
      <c r="G4" t="s">
        <v>589</v>
      </c>
      <c r="H4" t="s">
        <v>614</v>
      </c>
      <c r="I4" t="s">
        <v>633</v>
      </c>
    </row>
    <row r="5" spans="1:9" x14ac:dyDescent="0.35">
      <c r="A5">
        <v>4</v>
      </c>
      <c r="B5" t="s">
        <v>587</v>
      </c>
      <c r="C5" s="68" t="s">
        <v>3</v>
      </c>
      <c r="D5" t="s">
        <v>589</v>
      </c>
      <c r="E5" t="s">
        <v>589</v>
      </c>
      <c r="F5" t="s">
        <v>589</v>
      </c>
      <c r="G5" t="s">
        <v>589</v>
      </c>
      <c r="H5" t="s">
        <v>614</v>
      </c>
      <c r="I5" t="s">
        <v>617</v>
      </c>
    </row>
    <row r="6" spans="1:9" x14ac:dyDescent="0.35">
      <c r="A6">
        <v>5</v>
      </c>
      <c r="B6" t="s">
        <v>587</v>
      </c>
      <c r="C6" s="68" t="s">
        <v>4</v>
      </c>
      <c r="D6" t="s">
        <v>589</v>
      </c>
      <c r="E6" t="s">
        <v>589</v>
      </c>
      <c r="F6" t="s">
        <v>589</v>
      </c>
      <c r="G6" t="s">
        <v>589</v>
      </c>
      <c r="H6" t="s">
        <v>614</v>
      </c>
      <c r="I6" t="s">
        <v>638</v>
      </c>
    </row>
    <row r="7" spans="1:9" x14ac:dyDescent="0.35">
      <c r="A7">
        <v>6</v>
      </c>
      <c r="B7" t="s">
        <v>587</v>
      </c>
      <c r="C7" s="68" t="s">
        <v>5</v>
      </c>
      <c r="D7" t="s">
        <v>589</v>
      </c>
      <c r="E7" t="s">
        <v>589</v>
      </c>
      <c r="F7" t="s">
        <v>589</v>
      </c>
      <c r="G7" t="s">
        <v>589</v>
      </c>
      <c r="H7" t="s">
        <v>614</v>
      </c>
      <c r="I7" t="s">
        <v>639</v>
      </c>
    </row>
    <row r="8" spans="1:9" x14ac:dyDescent="0.35">
      <c r="A8">
        <v>7</v>
      </c>
      <c r="B8" t="s">
        <v>587</v>
      </c>
      <c r="C8" s="64" t="s">
        <v>6</v>
      </c>
      <c r="D8" t="s">
        <v>589</v>
      </c>
      <c r="E8" t="s">
        <v>589</v>
      </c>
      <c r="F8" t="s">
        <v>589</v>
      </c>
      <c r="G8" t="s">
        <v>588</v>
      </c>
      <c r="H8" t="s">
        <v>614</v>
      </c>
      <c r="I8" t="s">
        <v>637</v>
      </c>
    </row>
    <row r="9" spans="1:9" x14ac:dyDescent="0.35">
      <c r="A9">
        <v>8</v>
      </c>
      <c r="B9" t="s">
        <v>587</v>
      </c>
      <c r="C9" s="64" t="s">
        <v>7</v>
      </c>
      <c r="D9" t="s">
        <v>589</v>
      </c>
      <c r="E9" t="s">
        <v>589</v>
      </c>
      <c r="F9" t="s">
        <v>588</v>
      </c>
      <c r="G9" t="s">
        <v>588</v>
      </c>
      <c r="H9" t="s">
        <v>614</v>
      </c>
      <c r="I9" t="s">
        <v>635</v>
      </c>
    </row>
    <row r="10" spans="1:9" x14ac:dyDescent="0.35">
      <c r="A10">
        <v>9</v>
      </c>
      <c r="B10" t="s">
        <v>587</v>
      </c>
      <c r="C10" s="64" t="s">
        <v>8</v>
      </c>
      <c r="D10" t="s">
        <v>589</v>
      </c>
      <c r="E10" t="s">
        <v>589</v>
      </c>
      <c r="F10" t="s">
        <v>589</v>
      </c>
      <c r="G10" t="s">
        <v>588</v>
      </c>
      <c r="H10" t="s">
        <v>614</v>
      </c>
      <c r="I10" t="s">
        <v>649</v>
      </c>
    </row>
    <row r="11" spans="1:9" x14ac:dyDescent="0.35">
      <c r="A11">
        <v>10</v>
      </c>
      <c r="B11" t="s">
        <v>587</v>
      </c>
      <c r="C11" s="64" t="s">
        <v>9</v>
      </c>
      <c r="D11" t="s">
        <v>589</v>
      </c>
      <c r="E11" t="s">
        <v>589</v>
      </c>
      <c r="F11" t="s">
        <v>589</v>
      </c>
      <c r="G11" t="s">
        <v>588</v>
      </c>
      <c r="H11" t="s">
        <v>614</v>
      </c>
      <c r="I11" t="s">
        <v>636</v>
      </c>
    </row>
    <row r="12" spans="1:9" x14ac:dyDescent="0.35">
      <c r="A12">
        <v>11</v>
      </c>
      <c r="B12" t="s">
        <v>587</v>
      </c>
      <c r="C12" s="68" t="s">
        <v>10</v>
      </c>
      <c r="D12" t="s">
        <v>589</v>
      </c>
      <c r="E12" t="s">
        <v>589</v>
      </c>
      <c r="F12" t="s">
        <v>589</v>
      </c>
      <c r="G12" t="s">
        <v>589</v>
      </c>
      <c r="H12" t="s">
        <v>614</v>
      </c>
      <c r="I12" t="s">
        <v>650</v>
      </c>
    </row>
    <row r="13" spans="1:9" x14ac:dyDescent="0.35">
      <c r="A13">
        <v>12</v>
      </c>
      <c r="B13" t="s">
        <v>587</v>
      </c>
      <c r="C13" s="68" t="s">
        <v>11</v>
      </c>
      <c r="D13" t="s">
        <v>589</v>
      </c>
      <c r="E13" t="s">
        <v>589</v>
      </c>
      <c r="F13" t="s">
        <v>589</v>
      </c>
      <c r="G13" t="s">
        <v>589</v>
      </c>
      <c r="H13" t="s">
        <v>614</v>
      </c>
      <c r="I13" t="s">
        <v>618</v>
      </c>
    </row>
    <row r="14" spans="1:9" x14ac:dyDescent="0.35">
      <c r="A14">
        <v>13</v>
      </c>
      <c r="B14" t="s">
        <v>587</v>
      </c>
      <c r="C14" s="68" t="s">
        <v>12</v>
      </c>
      <c r="D14" t="s">
        <v>589</v>
      </c>
      <c r="E14" t="s">
        <v>589</v>
      </c>
      <c r="F14" t="s">
        <v>589</v>
      </c>
      <c r="G14" t="s">
        <v>589</v>
      </c>
      <c r="H14" t="s">
        <v>614</v>
      </c>
      <c r="I14" t="s">
        <v>619</v>
      </c>
    </row>
    <row r="15" spans="1:9" x14ac:dyDescent="0.35">
      <c r="A15">
        <v>14</v>
      </c>
      <c r="B15" t="s">
        <v>587</v>
      </c>
      <c r="C15" s="68" t="s">
        <v>13</v>
      </c>
      <c r="D15" t="s">
        <v>589</v>
      </c>
      <c r="E15" t="s">
        <v>589</v>
      </c>
      <c r="F15" t="s">
        <v>589</v>
      </c>
      <c r="G15" t="s">
        <v>589</v>
      </c>
      <c r="H15" t="s">
        <v>624</v>
      </c>
      <c r="I15" t="s">
        <v>640</v>
      </c>
    </row>
    <row r="16" spans="1:9" x14ac:dyDescent="0.35">
      <c r="A16">
        <v>15</v>
      </c>
      <c r="B16" t="s">
        <v>587</v>
      </c>
      <c r="C16" s="64" t="s">
        <v>14</v>
      </c>
      <c r="D16" t="s">
        <v>588</v>
      </c>
      <c r="E16" t="s">
        <v>589</v>
      </c>
      <c r="F16" t="s">
        <v>588</v>
      </c>
      <c r="G16" t="s">
        <v>588</v>
      </c>
      <c r="H16" t="s">
        <v>620</v>
      </c>
      <c r="I16" t="s">
        <v>621</v>
      </c>
    </row>
    <row r="17" spans="1:9" x14ac:dyDescent="0.35">
      <c r="A17">
        <v>16</v>
      </c>
      <c r="B17" t="s">
        <v>587</v>
      </c>
      <c r="C17" s="64" t="s">
        <v>15</v>
      </c>
      <c r="D17" t="s">
        <v>588</v>
      </c>
      <c r="E17" t="s">
        <v>589</v>
      </c>
      <c r="F17" t="s">
        <v>589</v>
      </c>
      <c r="G17" t="s">
        <v>588</v>
      </c>
      <c r="H17" t="s">
        <v>614</v>
      </c>
      <c r="I17" t="s">
        <v>622</v>
      </c>
    </row>
    <row r="18" spans="1:9" x14ac:dyDescent="0.35">
      <c r="A18">
        <v>17</v>
      </c>
      <c r="B18" t="s">
        <v>590</v>
      </c>
      <c r="C18" s="65" t="s">
        <v>0</v>
      </c>
      <c r="D18" t="s">
        <v>589</v>
      </c>
      <c r="E18" t="s">
        <v>589</v>
      </c>
      <c r="F18" t="s">
        <v>589</v>
      </c>
      <c r="G18" t="s">
        <v>588</v>
      </c>
      <c r="H18" t="s">
        <v>625</v>
      </c>
      <c r="I18" t="s">
        <v>615</v>
      </c>
    </row>
    <row r="19" spans="1:9" x14ac:dyDescent="0.35">
      <c r="A19">
        <v>18</v>
      </c>
      <c r="B19" t="s">
        <v>590</v>
      </c>
      <c r="C19" s="70" t="s">
        <v>388</v>
      </c>
      <c r="D19" t="s">
        <v>589</v>
      </c>
      <c r="E19" t="s">
        <v>589</v>
      </c>
      <c r="F19" t="s">
        <v>589</v>
      </c>
      <c r="G19" t="s">
        <v>589</v>
      </c>
      <c r="H19" t="s">
        <v>625</v>
      </c>
      <c r="I19" t="s">
        <v>634</v>
      </c>
    </row>
    <row r="20" spans="1:9" x14ac:dyDescent="0.35">
      <c r="A20">
        <v>19</v>
      </c>
      <c r="B20" t="s">
        <v>590</v>
      </c>
      <c r="C20" s="65" t="s">
        <v>14</v>
      </c>
      <c r="D20" t="s">
        <v>588</v>
      </c>
      <c r="E20" t="s">
        <v>588</v>
      </c>
      <c r="F20" t="s">
        <v>588</v>
      </c>
      <c r="G20" t="s">
        <v>588</v>
      </c>
      <c r="H20" t="s">
        <v>620</v>
      </c>
      <c r="I20" t="s">
        <v>621</v>
      </c>
    </row>
    <row r="21" spans="1:9" x14ac:dyDescent="0.35">
      <c r="A21">
        <v>20</v>
      </c>
      <c r="B21" t="s">
        <v>590</v>
      </c>
      <c r="C21" s="70" t="s">
        <v>389</v>
      </c>
      <c r="D21" t="s">
        <v>589</v>
      </c>
      <c r="E21" t="s">
        <v>589</v>
      </c>
      <c r="F21" t="s">
        <v>589</v>
      </c>
      <c r="G21" t="s">
        <v>589</v>
      </c>
      <c r="H21" t="s">
        <v>625</v>
      </c>
      <c r="I21" t="s">
        <v>627</v>
      </c>
    </row>
    <row r="22" spans="1:9" x14ac:dyDescent="0.35">
      <c r="A22">
        <v>21</v>
      </c>
      <c r="B22" t="s">
        <v>590</v>
      </c>
      <c r="C22" s="65" t="s">
        <v>390</v>
      </c>
      <c r="D22" t="s">
        <v>588</v>
      </c>
      <c r="E22" t="s">
        <v>588</v>
      </c>
      <c r="F22" t="s">
        <v>588</v>
      </c>
      <c r="G22" t="s">
        <v>588</v>
      </c>
      <c r="H22" t="s">
        <v>628</v>
      </c>
      <c r="I22" t="s">
        <v>629</v>
      </c>
    </row>
    <row r="23" spans="1:9" x14ac:dyDescent="0.35">
      <c r="A23">
        <v>22</v>
      </c>
      <c r="B23" t="s">
        <v>590</v>
      </c>
      <c r="C23" s="70" t="s">
        <v>391</v>
      </c>
      <c r="D23" t="s">
        <v>589</v>
      </c>
      <c r="E23" t="s">
        <v>589</v>
      </c>
      <c r="F23" t="s">
        <v>589</v>
      </c>
      <c r="G23" t="s">
        <v>589</v>
      </c>
      <c r="H23" t="s">
        <v>625</v>
      </c>
      <c r="I23" t="s">
        <v>637</v>
      </c>
    </row>
    <row r="24" spans="1:9" x14ac:dyDescent="0.35">
      <c r="A24">
        <v>23</v>
      </c>
      <c r="B24" t="s">
        <v>590</v>
      </c>
      <c r="C24" s="70" t="s">
        <v>392</v>
      </c>
      <c r="D24" t="s">
        <v>589</v>
      </c>
      <c r="E24" t="s">
        <v>589</v>
      </c>
      <c r="F24" t="s">
        <v>589</v>
      </c>
      <c r="G24" t="s">
        <v>589</v>
      </c>
      <c r="H24" t="s">
        <v>625</v>
      </c>
      <c r="I24" t="s">
        <v>643</v>
      </c>
    </row>
    <row r="25" spans="1:9" x14ac:dyDescent="0.35">
      <c r="A25">
        <v>24</v>
      </c>
      <c r="B25" t="s">
        <v>590</v>
      </c>
      <c r="C25" s="65" t="s">
        <v>393</v>
      </c>
      <c r="D25" t="s">
        <v>589</v>
      </c>
      <c r="E25" t="s">
        <v>588</v>
      </c>
      <c r="F25" t="s">
        <v>588</v>
      </c>
      <c r="G25" t="s">
        <v>588</v>
      </c>
      <c r="H25" t="s">
        <v>625</v>
      </c>
      <c r="I25" t="s">
        <v>641</v>
      </c>
    </row>
    <row r="26" spans="1:9" x14ac:dyDescent="0.35">
      <c r="A26">
        <v>25</v>
      </c>
      <c r="B26" t="s">
        <v>590</v>
      </c>
      <c r="C26" s="70" t="s">
        <v>394</v>
      </c>
      <c r="D26" t="s">
        <v>589</v>
      </c>
      <c r="E26" t="s">
        <v>589</v>
      </c>
      <c r="F26" t="s">
        <v>591</v>
      </c>
      <c r="H26" t="s">
        <v>625</v>
      </c>
      <c r="I26" t="s">
        <v>642</v>
      </c>
    </row>
    <row r="27" spans="1:9" x14ac:dyDescent="0.35">
      <c r="A27">
        <v>26</v>
      </c>
      <c r="B27" t="s">
        <v>590</v>
      </c>
      <c r="C27" s="65" t="s">
        <v>7</v>
      </c>
      <c r="D27" t="s">
        <v>589</v>
      </c>
      <c r="E27" t="s">
        <v>588</v>
      </c>
      <c r="F27" t="s">
        <v>591</v>
      </c>
      <c r="G27" t="s">
        <v>588</v>
      </c>
      <c r="H27" t="s">
        <v>625</v>
      </c>
      <c r="I27" t="s">
        <v>644</v>
      </c>
    </row>
    <row r="28" spans="1:9" x14ac:dyDescent="0.35">
      <c r="A28">
        <v>27</v>
      </c>
      <c r="B28" t="s">
        <v>590</v>
      </c>
      <c r="C28" s="65" t="s">
        <v>8</v>
      </c>
      <c r="D28" t="s">
        <v>589</v>
      </c>
      <c r="E28" t="s">
        <v>589</v>
      </c>
      <c r="F28" t="s">
        <v>591</v>
      </c>
      <c r="G28" t="s">
        <v>588</v>
      </c>
      <c r="H28" t="s">
        <v>625</v>
      </c>
      <c r="I28" t="s">
        <v>646</v>
      </c>
    </row>
    <row r="29" spans="1:9" x14ac:dyDescent="0.35">
      <c r="A29">
        <v>28</v>
      </c>
      <c r="B29" t="s">
        <v>590</v>
      </c>
      <c r="C29" s="65" t="s">
        <v>9</v>
      </c>
      <c r="D29" t="s">
        <v>588</v>
      </c>
      <c r="E29" t="s">
        <v>589</v>
      </c>
      <c r="F29" t="s">
        <v>591</v>
      </c>
      <c r="G29" t="s">
        <v>588</v>
      </c>
      <c r="H29" t="s">
        <v>625</v>
      </c>
      <c r="I29" t="s">
        <v>645</v>
      </c>
    </row>
    <row r="30" spans="1:9" x14ac:dyDescent="0.35">
      <c r="A30">
        <v>29</v>
      </c>
      <c r="B30" t="s">
        <v>590</v>
      </c>
      <c r="C30" s="70" t="s">
        <v>10</v>
      </c>
      <c r="D30" t="s">
        <v>589</v>
      </c>
      <c r="E30" t="s">
        <v>589</v>
      </c>
      <c r="F30" t="s">
        <v>591</v>
      </c>
      <c r="G30" t="s">
        <v>589</v>
      </c>
      <c r="H30" t="s">
        <v>630</v>
      </c>
      <c r="I30" t="s">
        <v>648</v>
      </c>
    </row>
    <row r="31" spans="1:9" x14ac:dyDescent="0.35">
      <c r="A31">
        <v>30</v>
      </c>
      <c r="B31" t="s">
        <v>590</v>
      </c>
      <c r="C31" s="32" t="s">
        <v>395</v>
      </c>
      <c r="D31" t="s">
        <v>589</v>
      </c>
      <c r="E31" t="s">
        <v>588</v>
      </c>
      <c r="F31" t="s">
        <v>588</v>
      </c>
      <c r="G31" t="s">
        <v>588</v>
      </c>
      <c r="H31" s="75" t="s">
        <v>657</v>
      </c>
      <c r="I31" s="75" t="s">
        <v>656</v>
      </c>
    </row>
    <row r="32" spans="1:9" x14ac:dyDescent="0.35">
      <c r="A32">
        <v>31</v>
      </c>
      <c r="B32" t="s">
        <v>590</v>
      </c>
      <c r="C32" s="32" t="s">
        <v>396</v>
      </c>
      <c r="D32" t="s">
        <v>588</v>
      </c>
      <c r="E32" t="s">
        <v>588</v>
      </c>
      <c r="F32" t="s">
        <v>588</v>
      </c>
      <c r="G32" t="s">
        <v>588</v>
      </c>
      <c r="H32" s="75" t="s">
        <v>657</v>
      </c>
      <c r="I32" s="75" t="s">
        <v>656</v>
      </c>
    </row>
    <row r="33" spans="1:9" x14ac:dyDescent="0.35">
      <c r="A33">
        <v>32</v>
      </c>
      <c r="B33" t="s">
        <v>590</v>
      </c>
      <c r="C33" s="65" t="s">
        <v>397</v>
      </c>
      <c r="D33" t="s">
        <v>588</v>
      </c>
      <c r="E33" t="s">
        <v>588</v>
      </c>
      <c r="F33" t="s">
        <v>588</v>
      </c>
      <c r="G33" t="s">
        <v>588</v>
      </c>
      <c r="H33" t="s">
        <v>647</v>
      </c>
      <c r="I33" t="s">
        <v>631</v>
      </c>
    </row>
    <row r="34" spans="1:9" x14ac:dyDescent="0.35">
      <c r="A34">
        <v>33</v>
      </c>
      <c r="B34" t="s">
        <v>590</v>
      </c>
      <c r="C34" s="65" t="s">
        <v>398</v>
      </c>
      <c r="D34" t="s">
        <v>588</v>
      </c>
      <c r="E34" t="s">
        <v>588</v>
      </c>
      <c r="F34" t="s">
        <v>588</v>
      </c>
      <c r="G34" t="s">
        <v>588</v>
      </c>
      <c r="H34" t="s">
        <v>647</v>
      </c>
      <c r="I34" t="s">
        <v>632</v>
      </c>
    </row>
    <row r="35" spans="1:9" x14ac:dyDescent="0.35">
      <c r="A35">
        <v>34</v>
      </c>
      <c r="B35" t="s">
        <v>592</v>
      </c>
      <c r="C35" s="66" t="s">
        <v>434</v>
      </c>
      <c r="D35" t="s">
        <v>588</v>
      </c>
      <c r="E35" t="s">
        <v>589</v>
      </c>
      <c r="F35" t="s">
        <v>589</v>
      </c>
      <c r="G35" t="s">
        <v>589</v>
      </c>
      <c r="H35" t="s">
        <v>626</v>
      </c>
      <c r="I35" t="s">
        <v>623</v>
      </c>
    </row>
    <row r="36" spans="1:9" x14ac:dyDescent="0.35">
      <c r="A36">
        <v>35</v>
      </c>
      <c r="B36" t="s">
        <v>592</v>
      </c>
      <c r="C36" s="69" t="s">
        <v>435</v>
      </c>
      <c r="D36" t="s">
        <v>589</v>
      </c>
      <c r="E36" t="s">
        <v>589</v>
      </c>
      <c r="F36" t="s">
        <v>589</v>
      </c>
      <c r="G36" t="s">
        <v>589</v>
      </c>
      <c r="H36" t="s">
        <v>626</v>
      </c>
      <c r="I36" t="s">
        <v>616</v>
      </c>
    </row>
    <row r="37" spans="1:9" x14ac:dyDescent="0.35">
      <c r="A37">
        <v>36</v>
      </c>
      <c r="B37" t="s">
        <v>592</v>
      </c>
      <c r="C37" s="66" t="s">
        <v>15</v>
      </c>
      <c r="D37" t="s">
        <v>588</v>
      </c>
      <c r="E37" t="s">
        <v>589</v>
      </c>
      <c r="F37" t="s">
        <v>589</v>
      </c>
      <c r="G37" t="s">
        <v>589</v>
      </c>
      <c r="H37" t="s">
        <v>626</v>
      </c>
      <c r="I37" t="s">
        <v>622</v>
      </c>
    </row>
    <row r="38" spans="1:9" x14ac:dyDescent="0.35">
      <c r="A38">
        <v>37</v>
      </c>
      <c r="B38" t="s">
        <v>592</v>
      </c>
      <c r="C38" s="66" t="s">
        <v>14</v>
      </c>
      <c r="D38" t="s">
        <v>588</v>
      </c>
      <c r="E38" t="s">
        <v>588</v>
      </c>
      <c r="F38" t="s">
        <v>588</v>
      </c>
      <c r="G38" t="s">
        <v>589</v>
      </c>
      <c r="H38" t="s">
        <v>620</v>
      </c>
      <c r="I38" t="s">
        <v>621</v>
      </c>
    </row>
    <row r="39" spans="1:9" x14ac:dyDescent="0.35">
      <c r="A39">
        <v>38</v>
      </c>
      <c r="B39" t="s">
        <v>592</v>
      </c>
      <c r="C39" s="74" t="s">
        <v>436</v>
      </c>
      <c r="D39" t="s">
        <v>588</v>
      </c>
      <c r="E39" t="s">
        <v>589</v>
      </c>
      <c r="F39" t="s">
        <v>588</v>
      </c>
      <c r="G39" t="s">
        <v>589</v>
      </c>
      <c r="H39" s="75" t="s">
        <v>651</v>
      </c>
      <c r="I39" s="75" t="s">
        <v>658</v>
      </c>
    </row>
    <row r="40" spans="1:9" x14ac:dyDescent="0.35">
      <c r="A40">
        <v>39</v>
      </c>
      <c r="B40" t="s">
        <v>592</v>
      </c>
      <c r="C40" s="66" t="s">
        <v>437</v>
      </c>
      <c r="D40" t="s">
        <v>589</v>
      </c>
      <c r="E40" t="s">
        <v>589</v>
      </c>
      <c r="F40" t="s">
        <v>588</v>
      </c>
      <c r="G40" t="s">
        <v>589</v>
      </c>
      <c r="H40" t="s">
        <v>626</v>
      </c>
      <c r="I40" t="s">
        <v>655</v>
      </c>
    </row>
    <row r="41" spans="1:9" x14ac:dyDescent="0.35">
      <c r="A41">
        <v>40</v>
      </c>
      <c r="B41" t="s">
        <v>592</v>
      </c>
      <c r="C41" s="66" t="s">
        <v>438</v>
      </c>
      <c r="D41" t="s">
        <v>588</v>
      </c>
      <c r="E41" t="s">
        <v>588</v>
      </c>
      <c r="F41" t="s">
        <v>588</v>
      </c>
      <c r="G41" t="s">
        <v>589</v>
      </c>
      <c r="H41" t="s">
        <v>660</v>
      </c>
      <c r="I41" t="s">
        <v>659</v>
      </c>
    </row>
    <row r="42" spans="1:9" x14ac:dyDescent="0.35">
      <c r="A42">
        <v>41</v>
      </c>
      <c r="B42" t="s">
        <v>592</v>
      </c>
      <c r="C42" s="66" t="s">
        <v>439</v>
      </c>
      <c r="D42" t="s">
        <v>588</v>
      </c>
      <c r="E42" t="s">
        <v>589</v>
      </c>
      <c r="F42" t="s">
        <v>589</v>
      </c>
      <c r="G42" t="s">
        <v>589</v>
      </c>
      <c r="H42" t="s">
        <v>653</v>
      </c>
      <c r="I42" t="s">
        <v>654</v>
      </c>
    </row>
    <row r="43" spans="1:9" x14ac:dyDescent="0.35">
      <c r="A43">
        <v>42</v>
      </c>
      <c r="B43" t="s">
        <v>592</v>
      </c>
      <c r="C43" s="67" t="s">
        <v>440</v>
      </c>
      <c r="D43" t="s">
        <v>588</v>
      </c>
      <c r="E43" t="s">
        <v>588</v>
      </c>
      <c r="F43" t="s">
        <v>588</v>
      </c>
      <c r="G43" t="s">
        <v>589</v>
      </c>
      <c r="H43" t="s">
        <v>653</v>
      </c>
      <c r="I43" t="s">
        <v>652</v>
      </c>
    </row>
  </sheetData>
  <conditionalFormatting sqref="C25">
    <cfRule type="containsText" dxfId="0" priority="1" operator="containsText" text="R">
      <formula>NOT(ISERROR(SEARCH("R",C25)))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E00E-8210-42D8-ADD6-A4DCF1CA742B}">
  <dimension ref="A1:B26"/>
  <sheetViews>
    <sheetView workbookViewId="0">
      <selection activeCell="P37" sqref="P37"/>
    </sheetView>
  </sheetViews>
  <sheetFormatPr defaultRowHeight="14.5" x14ac:dyDescent="0.35"/>
  <cols>
    <col min="1" max="1" width="20" bestFit="1" customWidth="1"/>
  </cols>
  <sheetData>
    <row r="1" spans="1:2" x14ac:dyDescent="0.35">
      <c r="A1" t="s">
        <v>593</v>
      </c>
      <c r="B1" t="s">
        <v>594</v>
      </c>
    </row>
    <row r="2" spans="1:2" x14ac:dyDescent="0.35">
      <c r="B2" t="s">
        <v>595</v>
      </c>
    </row>
    <row r="3" spans="1:2" x14ac:dyDescent="0.35">
      <c r="B3" t="s">
        <v>596</v>
      </c>
    </row>
    <row r="6" spans="1:2" x14ac:dyDescent="0.35">
      <c r="A6" t="s">
        <v>597</v>
      </c>
      <c r="B6" t="s">
        <v>598</v>
      </c>
    </row>
    <row r="7" spans="1:2" x14ac:dyDescent="0.35">
      <c r="B7" t="s">
        <v>599</v>
      </c>
    </row>
    <row r="8" spans="1:2" x14ac:dyDescent="0.35">
      <c r="B8" t="s">
        <v>600</v>
      </c>
    </row>
    <row r="9" spans="1:2" x14ac:dyDescent="0.35">
      <c r="B9" t="s">
        <v>601</v>
      </c>
    </row>
    <row r="10" spans="1:2" x14ac:dyDescent="0.35">
      <c r="B10" t="s">
        <v>602</v>
      </c>
    </row>
    <row r="15" spans="1:2" x14ac:dyDescent="0.35">
      <c r="A15" t="s">
        <v>585</v>
      </c>
      <c r="B15" t="s">
        <v>603</v>
      </c>
    </row>
    <row r="16" spans="1:2" x14ac:dyDescent="0.35">
      <c r="B16" t="s">
        <v>604</v>
      </c>
    </row>
    <row r="17" spans="1:2" x14ac:dyDescent="0.35">
      <c r="B17" t="s">
        <v>605</v>
      </c>
    </row>
    <row r="18" spans="1:2" x14ac:dyDescent="0.35">
      <c r="B18" t="s">
        <v>606</v>
      </c>
    </row>
    <row r="21" spans="1:2" x14ac:dyDescent="0.35">
      <c r="A21" t="s">
        <v>592</v>
      </c>
      <c r="B21" t="s">
        <v>607</v>
      </c>
    </row>
    <row r="22" spans="1:2" x14ac:dyDescent="0.35">
      <c r="B22" s="71" t="s">
        <v>608</v>
      </c>
    </row>
    <row r="25" spans="1:2" x14ac:dyDescent="0.35">
      <c r="A25" t="s">
        <v>609</v>
      </c>
      <c r="B25" t="s">
        <v>610</v>
      </c>
    </row>
    <row r="26" spans="1:2" x14ac:dyDescent="0.35">
      <c r="B26" s="71" t="s">
        <v>611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97B478F2A45F4185844B2C6BE11615" ma:contentTypeVersion="14" ma:contentTypeDescription="Create a new document." ma:contentTypeScope="" ma:versionID="1d6322cf14fcef9f81526b1395aac62e">
  <xsd:schema xmlns:xsd="http://www.w3.org/2001/XMLSchema" xmlns:xs="http://www.w3.org/2001/XMLSchema" xmlns:p="http://schemas.microsoft.com/office/2006/metadata/properties" xmlns:ns2="dde4244e-16cd-45f6-830a-915bcd0ac5f8" xmlns:ns3="f7752271-b1fd-4c69-ac8a-cbc992800675" targetNamespace="http://schemas.microsoft.com/office/2006/metadata/properties" ma:root="true" ma:fieldsID="6668a6114f51cea9b200d92eb63eb496" ns2:_="" ns3:_="">
    <xsd:import namespace="dde4244e-16cd-45f6-830a-915bcd0ac5f8"/>
    <xsd:import namespace="f7752271-b1fd-4c69-ac8a-cbc992800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4244e-16cd-45f6-830a-915bcd0ac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52271-b1fd-4c69-ac8a-cbc9928006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e8a29c-cd76-4d74-90e1-d39829f321ed}" ma:internalName="TaxCatchAll" ma:showField="CatchAllData" ma:web="f7752271-b1fd-4c69-ac8a-cbc992800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4244e-16cd-45f6-830a-915bcd0ac5f8">
      <Terms xmlns="http://schemas.microsoft.com/office/infopath/2007/PartnerControls"/>
    </lcf76f155ced4ddcb4097134ff3c332f>
    <TaxCatchAll xmlns="f7752271-b1fd-4c69-ac8a-cbc992800675" xsi:nil="true"/>
  </documentManagement>
</p:properties>
</file>

<file path=customXml/itemProps1.xml><?xml version="1.0" encoding="utf-8"?>
<ds:datastoreItem xmlns:ds="http://schemas.openxmlformats.org/officeDocument/2006/customXml" ds:itemID="{FB5B755D-0B66-40D3-B1F1-DC72EB02A3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51A82-D2C4-4C86-B0E5-FC7AA6B66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e4244e-16cd-45f6-830a-915bcd0ac5f8"/>
    <ds:schemaRef ds:uri="f7752271-b1fd-4c69-ac8a-cbc9928006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BDEA20-9BE5-48A0-B8EF-303125A8BDE3}">
  <ds:schemaRefs>
    <ds:schemaRef ds:uri="http://www.w3.org/XML/1998/namespace"/>
    <ds:schemaRef ds:uri="http://purl.org/dc/dcmitype/"/>
    <ds:schemaRef ds:uri="f7752271-b1fd-4c69-ac8a-cbc992800675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dde4244e-16cd-45f6-830a-915bcd0ac5f8"/>
    <ds:schemaRef ds:uri="http://purl.org/dc/terms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QALS - Inspection Lot Record</vt:lpstr>
      <vt:lpstr>QAMR - Characteristic Recording</vt:lpstr>
      <vt:lpstr>QAMR - Old</vt:lpstr>
      <vt:lpstr>CAPA</vt:lpstr>
      <vt:lpstr>CAPA-old</vt:lpstr>
      <vt:lpstr>Reference CAPA - Test data</vt:lpstr>
      <vt:lpstr>CAPA-backup</vt:lpstr>
      <vt:lpstr>Defect Notification -old</vt:lpstr>
      <vt:lpstr>CAPA Effectiveness-new</vt:lpstr>
      <vt:lpstr>CAPA Effectiveness-old</vt:lpstr>
      <vt:lpstr>Data &amp; Feature mapping</vt:lpstr>
      <vt:lpstr>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Govindaraj, Shankarganesh</dc:creator>
  <cp:keywords/>
  <dc:description/>
  <cp:lastModifiedBy>Govindaraj, Shankarganesh</cp:lastModifiedBy>
  <cp:revision/>
  <dcterms:created xsi:type="dcterms:W3CDTF">2024-04-18T02:36:59Z</dcterms:created>
  <dcterms:modified xsi:type="dcterms:W3CDTF">2026-01-27T09:22:47Z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0x0101001A97B478F2A45F4185844B2C6BE11615</vt:lpwstr>
  </property>
  <property fmtid="{D5CDD505-2E9C-101B-9397-08002B2CF9AE}" pid="3" name="MediaServiceImageTags">
    <vt:lpwstr/>
  </property>
</Properties>
</file>